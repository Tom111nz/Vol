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om\PycharmProjects\Vol\"/>
    </mc:Choice>
  </mc:AlternateContent>
  <xr:revisionPtr revIDLastSave="0" documentId="13_ncr:1_{433FF2E0-1263-4AD6-B3E0-DD6495D59209}" xr6:coauthVersionLast="47" xr6:coauthVersionMax="47" xr10:uidLastSave="{00000000-0000-0000-0000-000000000000}"/>
  <bookViews>
    <workbookView xWindow="-110" yWindow="-110" windowWidth="19420" windowHeight="10300" firstSheet="1" activeTab="2" xr2:uid="{6EAAF301-923A-4DF2-B09F-F5EBC937D73A}"/>
  </bookViews>
  <sheets>
    <sheet name="OptionPivot" sheetId="1" r:id="rId1"/>
    <sheet name="Plan" sheetId="3" r:id="rId2"/>
    <sheet name="Plan2" sheetId="4" r:id="rId3"/>
  </sheets>
  <definedNames>
    <definedName name="_xlnm._FilterDatabase" localSheetId="0" hidden="1">OptionPivot!$A$1:$AH$3392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6" i="3" l="1"/>
  <c r="P19" i="3"/>
  <c r="B6" i="3"/>
  <c r="B5" i="3"/>
  <c r="O19" i="3"/>
  <c r="T19" i="3"/>
  <c r="S19" i="3"/>
  <c r="R19" i="3"/>
  <c r="Q19" i="3"/>
  <c r="N19" i="3"/>
  <c r="M19" i="3"/>
  <c r="L19" i="3"/>
  <c r="K19" i="3"/>
  <c r="J19" i="3"/>
  <c r="I19" i="3"/>
  <c r="H19" i="3"/>
  <c r="G19" i="3"/>
  <c r="F19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4" i="3"/>
  <c r="E5" i="3"/>
  <c r="E6" i="3"/>
  <c r="E7" i="3"/>
  <c r="Q3" i="3"/>
  <c r="R3" i="3" s="1"/>
  <c r="S3" i="3" s="1"/>
  <c r="T3" i="3" s="1"/>
  <c r="E12" i="3"/>
  <c r="E11" i="3" s="1"/>
  <c r="E10" i="3" s="1"/>
  <c r="E9" i="3" s="1"/>
  <c r="L3" i="3"/>
  <c r="M3" i="3" s="1"/>
  <c r="N3" i="3" s="1"/>
  <c r="O3" i="3" s="1"/>
  <c r="A3" i="3"/>
  <c r="B3" i="3" s="1"/>
  <c r="G3" i="3"/>
  <c r="H3" i="3" s="1"/>
  <c r="I3" i="3" s="1"/>
  <c r="J3" i="3" s="1"/>
  <c r="E15" i="3"/>
  <c r="E16" i="3" s="1"/>
  <c r="E17" i="3" s="1"/>
  <c r="E18" i="3" s="1"/>
  <c r="AI453" i="1"/>
  <c r="AI452" i="1"/>
  <c r="AI451" i="1"/>
  <c r="AI450" i="1"/>
  <c r="AI449" i="1"/>
  <c r="AI448" i="1"/>
  <c r="AI447" i="1"/>
  <c r="AI446" i="1"/>
  <c r="AI445" i="1"/>
  <c r="AI444" i="1"/>
  <c r="AI443" i="1"/>
  <c r="AI442" i="1"/>
  <c r="AI441" i="1"/>
  <c r="AI440" i="1"/>
  <c r="AI439" i="1"/>
  <c r="AI438" i="1"/>
  <c r="AI437" i="1"/>
  <c r="AI436" i="1"/>
  <c r="AI435" i="1"/>
  <c r="AI434" i="1"/>
  <c r="AI433" i="1"/>
  <c r="AI432" i="1"/>
  <c r="AI431" i="1"/>
  <c r="AI430" i="1"/>
  <c r="AI429" i="1"/>
  <c r="AI428" i="1"/>
  <c r="AI427" i="1"/>
  <c r="AI426" i="1"/>
  <c r="AI425" i="1"/>
  <c r="AI424" i="1"/>
  <c r="AI423" i="1"/>
  <c r="AI422" i="1"/>
  <c r="AI421" i="1"/>
  <c r="AI420" i="1"/>
  <c r="AI419" i="1"/>
  <c r="AI418" i="1"/>
  <c r="AI417" i="1"/>
  <c r="AI416" i="1"/>
  <c r="AI415" i="1"/>
  <c r="AI414" i="1"/>
  <c r="AI413" i="1"/>
  <c r="AI412" i="1"/>
  <c r="AI411" i="1"/>
  <c r="AI410" i="1"/>
  <c r="AI409" i="1"/>
  <c r="AI408" i="1"/>
  <c r="AI407" i="1"/>
  <c r="AI406" i="1"/>
  <c r="AI405" i="1"/>
  <c r="AI404" i="1"/>
  <c r="AI403" i="1"/>
  <c r="AI402" i="1"/>
  <c r="AI401" i="1"/>
  <c r="AI400" i="1"/>
  <c r="AI399" i="1"/>
  <c r="AI398" i="1"/>
  <c r="AI397" i="1"/>
  <c r="AI396" i="1"/>
  <c r="AI395" i="1"/>
  <c r="AI394" i="1"/>
  <c r="AI393" i="1"/>
  <c r="AI392" i="1"/>
  <c r="AI391" i="1"/>
  <c r="AI390" i="1"/>
  <c r="AI389" i="1"/>
  <c r="AI388" i="1"/>
  <c r="AI387" i="1"/>
  <c r="AI386" i="1"/>
  <c r="AI385" i="1"/>
  <c r="AI384" i="1"/>
  <c r="AI383" i="1"/>
  <c r="AI382" i="1"/>
  <c r="AI381" i="1"/>
  <c r="AI380" i="1"/>
  <c r="AI379" i="1"/>
  <c r="AI378" i="1"/>
  <c r="AI377" i="1"/>
  <c r="AI376" i="1"/>
  <c r="AI375" i="1"/>
  <c r="AI374" i="1"/>
  <c r="AI373" i="1"/>
  <c r="AI372" i="1"/>
  <c r="AI371" i="1"/>
  <c r="AI370" i="1"/>
  <c r="AI369" i="1"/>
  <c r="AI368" i="1"/>
  <c r="AI367" i="1"/>
  <c r="AI366" i="1"/>
  <c r="AI365" i="1"/>
  <c r="AI364" i="1"/>
  <c r="AI363" i="1"/>
  <c r="AI362" i="1"/>
  <c r="AI361" i="1"/>
  <c r="AI360" i="1"/>
  <c r="AI359" i="1"/>
  <c r="AI358" i="1"/>
  <c r="AI357" i="1"/>
  <c r="AI356" i="1"/>
  <c r="AI355" i="1"/>
  <c r="AI354" i="1"/>
  <c r="AI353" i="1"/>
  <c r="AI352" i="1"/>
  <c r="AI351" i="1"/>
  <c r="AI350" i="1"/>
  <c r="AI349" i="1"/>
  <c r="AI348" i="1"/>
  <c r="AI347" i="1"/>
  <c r="AI346" i="1"/>
  <c r="AI345" i="1"/>
  <c r="AI344" i="1"/>
  <c r="AI343" i="1"/>
  <c r="AI342" i="1"/>
  <c r="AI341" i="1"/>
  <c r="AI340" i="1"/>
  <c r="AI339" i="1"/>
  <c r="AI338" i="1"/>
  <c r="AI337" i="1"/>
  <c r="AI336" i="1"/>
  <c r="AI335" i="1"/>
  <c r="AI334" i="1"/>
  <c r="AI333" i="1"/>
  <c r="AI332" i="1"/>
  <c r="AI331" i="1"/>
  <c r="AI330" i="1"/>
  <c r="AI329" i="1"/>
  <c r="AI328" i="1"/>
  <c r="AI327" i="1"/>
  <c r="AI326" i="1"/>
  <c r="AI325" i="1"/>
  <c r="AI324" i="1"/>
  <c r="AI323" i="1"/>
  <c r="AI322" i="1"/>
  <c r="AI321" i="1"/>
  <c r="AI320" i="1"/>
  <c r="AI319" i="1"/>
  <c r="AI318" i="1"/>
  <c r="AI317" i="1"/>
  <c r="AI316" i="1"/>
  <c r="AI315" i="1"/>
  <c r="AI314" i="1"/>
  <c r="AI313" i="1"/>
  <c r="AI312" i="1"/>
  <c r="AI311" i="1"/>
  <c r="AI310" i="1"/>
  <c r="AI309" i="1"/>
  <c r="AI308" i="1"/>
  <c r="AI307" i="1"/>
  <c r="AI306" i="1"/>
  <c r="AI305" i="1"/>
  <c r="AI304" i="1"/>
  <c r="AI303" i="1"/>
  <c r="AI302" i="1"/>
  <c r="AI301" i="1"/>
  <c r="AI300" i="1"/>
  <c r="AI299" i="1"/>
  <c r="AI298" i="1"/>
  <c r="AI297" i="1"/>
  <c r="AI296" i="1"/>
  <c r="AI295" i="1"/>
  <c r="AI454" i="1"/>
  <c r="BL350" i="1"/>
  <c r="BL349" i="1"/>
  <c r="BL348" i="1"/>
  <c r="BL347" i="1"/>
  <c r="BL346" i="1"/>
  <c r="BL345" i="1"/>
  <c r="BL344" i="1"/>
  <c r="BL343" i="1"/>
  <c r="BK346" i="1"/>
  <c r="BK347" i="1" s="1"/>
  <c r="BK348" i="1" s="1"/>
  <c r="BK349" i="1" s="1"/>
  <c r="BK350" i="1" s="1"/>
  <c r="BK345" i="1"/>
  <c r="BK344" i="1"/>
  <c r="AO4" i="1"/>
  <c r="AN4" i="1"/>
</calcChain>
</file>

<file path=xl/sharedStrings.xml><?xml version="1.0" encoding="utf-8"?>
<sst xmlns="http://schemas.openxmlformats.org/spreadsheetml/2006/main" count="10279" uniqueCount="60">
  <si>
    <t># root</t>
  </si>
  <si>
    <t>quote_date</t>
  </si>
  <si>
    <t>rootoriginal</t>
  </si>
  <si>
    <t>expiration</t>
  </si>
  <si>
    <t>strike</t>
  </si>
  <si>
    <t>trim(st.option_type)</t>
  </si>
  <si>
    <t>opn</t>
  </si>
  <si>
    <t>high</t>
  </si>
  <si>
    <t>low</t>
  </si>
  <si>
    <t>clos</t>
  </si>
  <si>
    <t>trade_volume</t>
  </si>
  <si>
    <t>bid_size_1545</t>
  </si>
  <si>
    <t>bid_1545</t>
  </si>
  <si>
    <t>ask_size_1545</t>
  </si>
  <si>
    <t>ask_1545</t>
  </si>
  <si>
    <t>underlying_bid_1545</t>
  </si>
  <si>
    <t>underlying_ask_1545</t>
  </si>
  <si>
    <t>implied_underlying_price_1545</t>
  </si>
  <si>
    <t>active_underlying_price_1545</t>
  </si>
  <si>
    <t>implied_volatility_1545</t>
  </si>
  <si>
    <t>delta_1545</t>
  </si>
  <si>
    <t>gamma_1545</t>
  </si>
  <si>
    <t>theta_1545</t>
  </si>
  <si>
    <t>vega_1545</t>
  </si>
  <si>
    <t>rho_1545</t>
  </si>
  <si>
    <t>bid_size_eod</t>
  </si>
  <si>
    <t>bid_eod</t>
  </si>
  <si>
    <t>ask_size_eod</t>
  </si>
  <si>
    <t>ask_eod</t>
  </si>
  <si>
    <t>underlying_bid_eod</t>
  </si>
  <si>
    <t>underlying_ask_eod</t>
  </si>
  <si>
    <t>vwap</t>
  </si>
  <si>
    <t>open_interest</t>
  </si>
  <si>
    <t>delivery_code</t>
  </si>
  <si>
    <t>SPXW</t>
  </si>
  <si>
    <t>p</t>
  </si>
  <si>
    <t>P</t>
  </si>
  <si>
    <t>SPX</t>
  </si>
  <si>
    <t>Row Labels</t>
  </si>
  <si>
    <t>Grand Total</t>
  </si>
  <si>
    <t>Column Labels</t>
  </si>
  <si>
    <t>Sum of ask_1545</t>
  </si>
  <si>
    <t>Total Sum of ask_1545</t>
  </si>
  <si>
    <t>Total Sum of delta_1545</t>
  </si>
  <si>
    <t>Sum of delta_1545</t>
  </si>
  <si>
    <t>x</t>
  </si>
  <si>
    <t>Expiry</t>
  </si>
  <si>
    <t>Day of week</t>
  </si>
  <si>
    <t>Always have three options live</t>
  </si>
  <si>
    <t>Option cost</t>
  </si>
  <si>
    <t>Strike 500pts down costs 1.0</t>
  </si>
  <si>
    <t>SPX trading at 7260</t>
  </si>
  <si>
    <t>See optionPivot sheet for theos</t>
  </si>
  <si>
    <t>Without Fees</t>
  </si>
  <si>
    <t>Friday and Tuesday buy 4DTE options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</si>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</sst>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22" fontId="0" fillId="0" borderId="0" xfId="0" applyNumberFormat="1"/>
    <xf numFmtId="0" fontId="0" fillId="0" borderId="0" xfId="0" pivotButton="1"/>
    <xf numFmtId="2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0" fontId="0" fillId="2" borderId="0" xfId="0" applyFill="1" applyAlignment="1">
      <alignment horizontal="left"/>
    </xf>
    <xf numFmtId="0" fontId="1" fillId="0" borderId="0" xfId="0" applyFont="1"/>
    <xf numFmtId="3" fontId="0" fillId="0" borderId="0" xfId="0" applyNumberFormat="1"/>
    <xf numFmtId="10" fontId="0" fillId="0" borderId="0" xfId="0" applyNumberFormat="1"/>
    <xf numFmtId="0" fontId="0" fillId="3" borderId="0" xfId="0" applyFill="1"/>
    <xf numFmtId="0" fontId="1" fillId="3" borderId="0" xfId="0" applyFont="1" applyFill="1"/>
    <xf numFmtId="0" fontId="0" fillId="2" borderId="0" xfId="0" applyFill="1"/>
    <xf numFmtId="1" fontId="0" fillId="0" borderId="0" xfId="0" applyNumberFormat="1"/>
    <xf numFmtId="0" fontId="0" fillId="4" borderId="0" xfId="0" applyFill="1"/>
    <xf numFmtId="0" fontId="0" fillId="5" borderId="0" xfId="0" applyFill="1"/>
    <xf numFmtId="0" fontId="0" fillId="0" borderId="1" xfId="0" applyBorder="1"/>
    <xf numFmtId="0" fontId="0" fillId="5" borderId="1" xfId="0" applyFill="1" applyBorder="1"/>
  </cellXfs>
  <cellStyles count="1">
    <cellStyle name="Normal" xfId="0" builtinId="0"/>
  </cellStyles>
  <dxfs count="5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" refreshedDate="46148.754849999998" createdVersion="8" refreshedVersion="8" minRefreshableVersion="3" recordCount="3391" xr:uid="{432B4B96-9175-46BC-86C5-D0044F087A2D}">
  <cacheSource type="worksheet">
    <worksheetSource ref="A1:AH3392" sheet="OptionPivot"/>
  </cacheSource>
  <cacheFields count="34">
    <cacheField name="# root" numFmtId="0">
      <sharedItems count="2">
        <s v="SPXW"/>
        <s v="SPX"/>
      </sharedItems>
    </cacheField>
    <cacheField name="quote_date" numFmtId="22">
      <sharedItems containsSemiMixedTypes="0" containsNonDate="0" containsDate="1" containsString="0" minDate="2026-05-04T15:45:00" maxDate="2026-05-04T15:45:00" count="1">
        <d v="2026-05-04T15:45:00"/>
      </sharedItems>
    </cacheField>
    <cacheField name="rootoriginal" numFmtId="0">
      <sharedItems/>
    </cacheField>
    <cacheField name="expiration" numFmtId="22">
      <sharedItems containsSemiMixedTypes="0" containsNonDate="0" containsDate="1" containsString="0" minDate="2026-05-04T15:00:00" maxDate="2026-05-15T15:00:00" count="11">
        <d v="2026-05-04T15:00:00"/>
        <d v="2026-05-05T15:00:00"/>
        <d v="2026-05-06T15:00:00"/>
        <d v="2026-05-07T15:00:00"/>
        <d v="2026-05-08T15:00:00"/>
        <d v="2026-05-11T15:00:00"/>
        <d v="2026-05-12T15:00:00"/>
        <d v="2026-05-13T15:00:00"/>
        <d v="2026-05-14T15:00:00"/>
        <d v="2026-05-15T08:30:00"/>
        <d v="2026-05-15T15:00:00"/>
      </sharedItems>
    </cacheField>
    <cacheField name="strike" numFmtId="0">
      <sharedItems containsSemiMixedTypes="0" containsString="0" containsNumber="1" containsInteger="1" minValue="200" maxValue="12400" count="590">
        <n v="2600"/>
        <n v="2800"/>
        <n v="3000"/>
        <n v="3200"/>
        <n v="3400"/>
        <n v="3600"/>
        <n v="3800"/>
        <n v="4000"/>
        <n v="4200"/>
        <n v="4400"/>
        <n v="4600"/>
        <n v="4800"/>
        <n v="5000"/>
        <n v="5100"/>
        <n v="5200"/>
        <n v="5300"/>
        <n v="5400"/>
        <n v="5475"/>
        <n v="5500"/>
        <n v="5525"/>
        <n v="5550"/>
        <n v="5575"/>
        <n v="5600"/>
        <n v="5625"/>
        <n v="5650"/>
        <n v="5675"/>
        <n v="5700"/>
        <n v="5725"/>
        <n v="5750"/>
        <n v="5775"/>
        <n v="5800"/>
        <n v="5825"/>
        <n v="5850"/>
        <n v="5875"/>
        <n v="5900"/>
        <n v="5925"/>
        <n v="5950"/>
        <n v="5975"/>
        <n v="6000"/>
        <n v="6025"/>
        <n v="6050"/>
        <n v="6075"/>
        <n v="6100"/>
        <n v="6125"/>
        <n v="6150"/>
        <n v="6175"/>
        <n v="6200"/>
        <n v="6225"/>
        <n v="6230"/>
        <n v="6240"/>
        <n v="6250"/>
        <n v="6260"/>
        <n v="6270"/>
        <n v="6275"/>
        <n v="6280"/>
        <n v="6290"/>
        <n v="6300"/>
        <n v="6310"/>
        <n v="6320"/>
        <n v="6325"/>
        <n v="6330"/>
        <n v="6340"/>
        <n v="6350"/>
        <n v="6360"/>
        <n v="6370"/>
        <n v="6375"/>
        <n v="6380"/>
        <n v="6390"/>
        <n v="6400"/>
        <n v="6410"/>
        <n v="6420"/>
        <n v="6425"/>
        <n v="6430"/>
        <n v="6440"/>
        <n v="6450"/>
        <n v="6460"/>
        <n v="6470"/>
        <n v="6475"/>
        <n v="6480"/>
        <n v="6490"/>
        <n v="6500"/>
        <n v="6510"/>
        <n v="6520"/>
        <n v="6525"/>
        <n v="6530"/>
        <n v="6540"/>
        <n v="6550"/>
        <n v="6560"/>
        <n v="6570"/>
        <n v="6575"/>
        <n v="6580"/>
        <n v="6590"/>
        <n v="6600"/>
        <n v="6610"/>
        <n v="6620"/>
        <n v="6625"/>
        <n v="6630"/>
        <n v="6640"/>
        <n v="6650"/>
        <n v="6660"/>
        <n v="6670"/>
        <n v="6675"/>
        <n v="6680"/>
        <n v="6690"/>
        <n v="6700"/>
        <n v="6710"/>
        <n v="6715"/>
        <n v="6720"/>
        <n v="6725"/>
        <n v="6730"/>
        <n v="6735"/>
        <n v="6740"/>
        <n v="6745"/>
        <n v="6750"/>
        <n v="6755"/>
        <n v="6760"/>
        <n v="6765"/>
        <n v="6770"/>
        <n v="6775"/>
        <n v="6780"/>
        <n v="6785"/>
        <n v="6790"/>
        <n v="6795"/>
        <n v="6800"/>
        <n v="6805"/>
        <n v="6810"/>
        <n v="6815"/>
        <n v="6820"/>
        <n v="6825"/>
        <n v="6830"/>
        <n v="6835"/>
        <n v="6840"/>
        <n v="6845"/>
        <n v="6850"/>
        <n v="6855"/>
        <n v="6860"/>
        <n v="6865"/>
        <n v="6870"/>
        <n v="6875"/>
        <n v="6880"/>
        <n v="6885"/>
        <n v="6890"/>
        <n v="6895"/>
        <n v="6900"/>
        <n v="6905"/>
        <n v="6910"/>
        <n v="6915"/>
        <n v="6920"/>
        <n v="6925"/>
        <n v="6930"/>
        <n v="6935"/>
        <n v="6940"/>
        <n v="6945"/>
        <n v="6950"/>
        <n v="6955"/>
        <n v="6960"/>
        <n v="6965"/>
        <n v="6970"/>
        <n v="6975"/>
        <n v="6980"/>
        <n v="6985"/>
        <n v="6990"/>
        <n v="6995"/>
        <n v="7000"/>
        <n v="7005"/>
        <n v="7010"/>
        <n v="7015"/>
        <n v="7020"/>
        <n v="7025"/>
        <n v="7030"/>
        <n v="7035"/>
        <n v="7040"/>
        <n v="7045"/>
        <n v="7050"/>
        <n v="7055"/>
        <n v="7060"/>
        <n v="7065"/>
        <n v="7070"/>
        <n v="7075"/>
        <n v="7080"/>
        <n v="7085"/>
        <n v="7090"/>
        <n v="7095"/>
        <n v="7100"/>
        <n v="7105"/>
        <n v="7110"/>
        <n v="7115"/>
        <n v="7120"/>
        <n v="7125"/>
        <n v="7130"/>
        <n v="7135"/>
        <n v="7140"/>
        <n v="7145"/>
        <n v="7150"/>
        <n v="7155"/>
        <n v="7160"/>
        <n v="7165"/>
        <n v="7170"/>
        <n v="7175"/>
        <n v="7180"/>
        <n v="7185"/>
        <n v="7190"/>
        <n v="7195"/>
        <n v="7200"/>
        <n v="7205"/>
        <n v="7210"/>
        <n v="7215"/>
        <n v="7220"/>
        <n v="7225"/>
        <n v="7230"/>
        <n v="7235"/>
        <n v="7240"/>
        <n v="7245"/>
        <n v="7250"/>
        <n v="7255"/>
        <n v="7260"/>
        <n v="7265"/>
        <n v="7270"/>
        <n v="7275"/>
        <n v="7280"/>
        <n v="7285"/>
        <n v="7290"/>
        <n v="7295"/>
        <n v="7300"/>
        <n v="7305"/>
        <n v="7310"/>
        <n v="7315"/>
        <n v="7320"/>
        <n v="7325"/>
        <n v="7330"/>
        <n v="7335"/>
        <n v="7340"/>
        <n v="7345"/>
        <n v="7350"/>
        <n v="7355"/>
        <n v="7360"/>
        <n v="7365"/>
        <n v="7370"/>
        <n v="7375"/>
        <n v="7380"/>
        <n v="7385"/>
        <n v="7390"/>
        <n v="7395"/>
        <n v="7400"/>
        <n v="7405"/>
        <n v="7410"/>
        <n v="7415"/>
        <n v="7420"/>
        <n v="7425"/>
        <n v="7430"/>
        <n v="7435"/>
        <n v="7440"/>
        <n v="7445"/>
        <n v="7450"/>
        <n v="7460"/>
        <n v="7470"/>
        <n v="7475"/>
        <n v="7480"/>
        <n v="7490"/>
        <n v="7500"/>
        <n v="7510"/>
        <n v="7520"/>
        <n v="7525"/>
        <n v="7550"/>
        <n v="7575"/>
        <n v="7600"/>
        <n v="7625"/>
        <n v="7650"/>
        <n v="7675"/>
        <n v="7700"/>
        <n v="7725"/>
        <n v="7800"/>
        <n v="7900"/>
        <n v="8000"/>
        <n v="8200"/>
        <n v="8400"/>
        <n v="8600"/>
        <n v="8800"/>
        <n v="9000"/>
        <n v="9200"/>
        <n v="9400"/>
        <n v="1400"/>
        <n v="1600"/>
        <n v="1800"/>
        <n v="2000"/>
        <n v="2200"/>
        <n v="2400"/>
        <n v="4900"/>
        <n v="4950"/>
        <n v="5050"/>
        <n v="5150"/>
        <n v="5250"/>
        <n v="5350"/>
        <n v="5450"/>
        <n v="5970"/>
        <n v="5980"/>
        <n v="5990"/>
        <n v="6010"/>
        <n v="6020"/>
        <n v="6030"/>
        <n v="6040"/>
        <n v="6060"/>
        <n v="6070"/>
        <n v="6080"/>
        <n v="6090"/>
        <n v="6110"/>
        <n v="6120"/>
        <n v="6130"/>
        <n v="6140"/>
        <n v="6160"/>
        <n v="6170"/>
        <n v="6180"/>
        <n v="6190"/>
        <n v="6210"/>
        <n v="6220"/>
        <n v="6685"/>
        <n v="6695"/>
        <n v="6705"/>
        <n v="7530"/>
        <n v="7540"/>
        <n v="7560"/>
        <n v="7570"/>
        <n v="7580"/>
        <n v="7590"/>
        <n v="7610"/>
        <n v="7620"/>
        <n v="7630"/>
        <n v="7640"/>
        <n v="7660"/>
        <n v="7750"/>
        <n v="7775"/>
        <n v="7825"/>
        <n v="7850"/>
        <n v="7875"/>
        <n v="7925"/>
        <n v="7950"/>
        <n v="8100"/>
        <n v="200"/>
        <n v="400"/>
        <n v="600"/>
        <n v="800"/>
        <n v="1000"/>
        <n v="1200"/>
        <n v="2300"/>
        <n v="2500"/>
        <n v="2700"/>
        <n v="2900"/>
        <n v="3100"/>
        <n v="3250"/>
        <n v="3300"/>
        <n v="3350"/>
        <n v="3450"/>
        <n v="3500"/>
        <n v="3550"/>
        <n v="3650"/>
        <n v="3700"/>
        <n v="3750"/>
        <n v="3775"/>
        <n v="3825"/>
        <n v="3850"/>
        <n v="3875"/>
        <n v="3900"/>
        <n v="3925"/>
        <n v="3950"/>
        <n v="3975"/>
        <n v="4025"/>
        <n v="4050"/>
        <n v="4075"/>
        <n v="4100"/>
        <n v="4125"/>
        <n v="4150"/>
        <n v="4175"/>
        <n v="4225"/>
        <n v="4250"/>
        <n v="4275"/>
        <n v="4300"/>
        <n v="4325"/>
        <n v="4350"/>
        <n v="4375"/>
        <n v="4425"/>
        <n v="4450"/>
        <n v="4475"/>
        <n v="4500"/>
        <n v="4525"/>
        <n v="4550"/>
        <n v="4575"/>
        <n v="4625"/>
        <n v="4650"/>
        <n v="4675"/>
        <n v="4700"/>
        <n v="4725"/>
        <n v="4750"/>
        <n v="4775"/>
        <n v="4825"/>
        <n v="4850"/>
        <n v="4875"/>
        <n v="4925"/>
        <n v="4975"/>
        <n v="5025"/>
        <n v="5075"/>
        <n v="5125"/>
        <n v="5175"/>
        <n v="5225"/>
        <n v="5230"/>
        <n v="5240"/>
        <n v="5260"/>
        <n v="5270"/>
        <n v="5275"/>
        <n v="5280"/>
        <n v="5290"/>
        <n v="5310"/>
        <n v="5320"/>
        <n v="5325"/>
        <n v="5330"/>
        <n v="5340"/>
        <n v="5360"/>
        <n v="5370"/>
        <n v="5375"/>
        <n v="5380"/>
        <n v="5390"/>
        <n v="5410"/>
        <n v="5420"/>
        <n v="5425"/>
        <n v="5430"/>
        <n v="5440"/>
        <n v="5460"/>
        <n v="5470"/>
        <n v="5480"/>
        <n v="5490"/>
        <n v="5510"/>
        <n v="5520"/>
        <n v="5530"/>
        <n v="5540"/>
        <n v="5560"/>
        <n v="5570"/>
        <n v="5580"/>
        <n v="5590"/>
        <n v="5610"/>
        <n v="5620"/>
        <n v="5630"/>
        <n v="5640"/>
        <n v="5660"/>
        <n v="5670"/>
        <n v="5680"/>
        <n v="5690"/>
        <n v="5710"/>
        <n v="5720"/>
        <n v="5730"/>
        <n v="5740"/>
        <n v="5760"/>
        <n v="5770"/>
        <n v="5780"/>
        <n v="5790"/>
        <n v="5810"/>
        <n v="5820"/>
        <n v="5830"/>
        <n v="5840"/>
        <n v="5860"/>
        <n v="5870"/>
        <n v="5880"/>
        <n v="5885"/>
        <n v="5890"/>
        <n v="5895"/>
        <n v="5905"/>
        <n v="5910"/>
        <n v="5915"/>
        <n v="5920"/>
        <n v="5930"/>
        <n v="5935"/>
        <n v="5940"/>
        <n v="5945"/>
        <n v="5955"/>
        <n v="5960"/>
        <n v="5965"/>
        <n v="5985"/>
        <n v="5995"/>
        <n v="6005"/>
        <n v="6015"/>
        <n v="6035"/>
        <n v="6045"/>
        <n v="6055"/>
        <n v="6065"/>
        <n v="6085"/>
        <n v="6095"/>
        <n v="6105"/>
        <n v="6115"/>
        <n v="6135"/>
        <n v="6145"/>
        <n v="6155"/>
        <n v="6165"/>
        <n v="6185"/>
        <n v="6195"/>
        <n v="6205"/>
        <n v="6215"/>
        <n v="6235"/>
        <n v="6245"/>
        <n v="6255"/>
        <n v="6265"/>
        <n v="6285"/>
        <n v="6295"/>
        <n v="6305"/>
        <n v="6315"/>
        <n v="6335"/>
        <n v="6345"/>
        <n v="6355"/>
        <n v="6365"/>
        <n v="6385"/>
        <n v="6395"/>
        <n v="6405"/>
        <n v="6415"/>
        <n v="6435"/>
        <n v="6445"/>
        <n v="6455"/>
        <n v="6465"/>
        <n v="6485"/>
        <n v="6495"/>
        <n v="6505"/>
        <n v="6515"/>
        <n v="6535"/>
        <n v="6545"/>
        <n v="6555"/>
        <n v="6565"/>
        <n v="6585"/>
        <n v="6595"/>
        <n v="6605"/>
        <n v="6615"/>
        <n v="6635"/>
        <n v="6645"/>
        <n v="6655"/>
        <n v="6665"/>
        <n v="7455"/>
        <n v="7465"/>
        <n v="7485"/>
        <n v="7495"/>
        <n v="7505"/>
        <n v="7515"/>
        <n v="7535"/>
        <n v="7545"/>
        <n v="7555"/>
        <n v="7565"/>
        <n v="7585"/>
        <n v="7595"/>
        <n v="7605"/>
        <n v="7670"/>
        <n v="7680"/>
        <n v="7690"/>
        <n v="7710"/>
        <n v="7720"/>
        <n v="7730"/>
        <n v="7740"/>
        <n v="7760"/>
        <n v="7770"/>
        <n v="7780"/>
        <n v="7790"/>
        <n v="7810"/>
        <n v="7820"/>
        <n v="7830"/>
        <n v="7840"/>
        <n v="7860"/>
        <n v="7870"/>
        <n v="7880"/>
        <n v="7890"/>
        <n v="7910"/>
        <n v="7920"/>
        <n v="7930"/>
        <n v="7940"/>
        <n v="7960"/>
        <n v="7975"/>
        <n v="8025"/>
        <n v="8050"/>
        <n v="8075"/>
        <n v="8125"/>
        <n v="8150"/>
        <n v="8175"/>
        <n v="8225"/>
        <n v="8250"/>
        <n v="8275"/>
        <n v="8300"/>
        <n v="8325"/>
        <n v="8500"/>
        <n v="8700"/>
        <n v="8900"/>
        <n v="9600"/>
        <n v="10000"/>
        <n v="10400"/>
        <n v="10800"/>
        <n v="11200"/>
        <n v="11600"/>
        <n v="12000"/>
        <n v="12400"/>
      </sharedItems>
    </cacheField>
    <cacheField name="trim(st.option_type)" numFmtId="0">
      <sharedItems/>
    </cacheField>
    <cacheField name="opn" numFmtId="0">
      <sharedItems containsSemiMixedTypes="0" containsString="0" containsNumber="1" minValue="0" maxValue="2193.5700000000002"/>
    </cacheField>
    <cacheField name="high" numFmtId="0">
      <sharedItems containsSemiMixedTypes="0" containsString="0" containsNumber="1" minValue="0" maxValue="2193.5700000000002"/>
    </cacheField>
    <cacheField name="low" numFmtId="0">
      <sharedItems containsSemiMixedTypes="0" containsString="0" containsNumber="1" minValue="0" maxValue="2190.4899999999998"/>
    </cacheField>
    <cacheField name="clos" numFmtId="0">
      <sharedItems containsSemiMixedTypes="0" containsString="0" containsNumber="1" minValue="0" maxValue="2190.4899999999998"/>
    </cacheField>
    <cacheField name="trade_volume" numFmtId="0">
      <sharedItems containsSemiMixedTypes="0" containsString="0" containsNumber="1" containsInteger="1" minValue="0" maxValue="161951"/>
    </cacheField>
    <cacheField name="bid_size_1545" numFmtId="0">
      <sharedItems containsSemiMixedTypes="0" containsString="0" containsNumber="1" containsInteger="1" minValue="0" maxValue="1417"/>
    </cacheField>
    <cacheField name="bid_1545" numFmtId="0">
      <sharedItems containsSemiMixedTypes="0" containsString="0" containsNumber="1" minValue="0" maxValue="5174.8999999999996"/>
    </cacheField>
    <cacheField name="ask_size_1545" numFmtId="0">
      <sharedItems containsSemiMixedTypes="0" containsString="0" containsNumber="1" containsInteger="1" minValue="1" maxValue="5311"/>
    </cacheField>
    <cacheField name="ask_1545" numFmtId="0">
      <sharedItems containsSemiMixedTypes="0" containsString="0" containsNumber="1" minValue="0.05" maxValue="5196.2"/>
    </cacheField>
    <cacheField name="underlying_bid_1545" numFmtId="0">
      <sharedItems containsSemiMixedTypes="0" containsString="0" containsNumber="1" containsInteger="1" minValue="0" maxValue="0"/>
    </cacheField>
    <cacheField name="underlying_ask_1545" numFmtId="0">
      <sharedItems containsSemiMixedTypes="0" containsString="0" containsNumber="1" containsInteger="1" minValue="0" maxValue="0"/>
    </cacheField>
    <cacheField name="implied_underlying_price_1545" numFmtId="0">
      <sharedItems containsSemiMixedTypes="0" containsString="0" containsNumber="1" containsInteger="1" minValue="0" maxValue="0"/>
    </cacheField>
    <cacheField name="active_underlying_price_1545" numFmtId="0">
      <sharedItems containsSemiMixedTypes="0" containsString="0" containsNumber="1" containsInteger="1" minValue="0" maxValue="0"/>
    </cacheField>
    <cacheField name="implied_volatility_1545" numFmtId="0">
      <sharedItems containsSemiMixedTypes="0" containsString="0" containsNumber="1" minValue="0" maxValue="8.4908000000000001"/>
    </cacheField>
    <cacheField name="delta_1545" numFmtId="0">
      <sharedItems containsSemiMixedTypes="0" containsString="0" containsNumber="1" minValue="-0.99980000000000002" maxValue="0"/>
    </cacheField>
    <cacheField name="gamma_1545" numFmtId="0">
      <sharedItems containsSemiMixedTypes="0" containsString="0" containsNumber="1" minValue="0" maxValue="5.57E-2"/>
    </cacheField>
    <cacheField name="theta_1545" numFmtId="0">
      <sharedItems containsSemiMixedTypes="0" containsString="0" containsNumber="1" minValue="-19.6051" maxValue="0"/>
    </cacheField>
    <cacheField name="vega_1545" numFmtId="0">
      <sharedItems containsSemiMixedTypes="0" containsString="0" containsNumber="1" minValue="0" maxValue="4.9878999999999998"/>
    </cacheField>
    <cacheField name="rho_1545" numFmtId="0">
      <sharedItems containsSemiMixedTypes="0" containsString="0" containsNumber="1" minValue="-3.6871999999999998" maxValue="0"/>
    </cacheField>
    <cacheField name="bid_size_eod" numFmtId="0">
      <sharedItems containsSemiMixedTypes="0" containsString="0" containsNumber="1" containsInteger="1" minValue="0" maxValue="540"/>
    </cacheField>
    <cacheField name="bid_eod" numFmtId="0">
      <sharedItems containsSemiMixedTypes="0" containsString="0" containsNumber="1" minValue="0" maxValue="5176.8999999999996"/>
    </cacheField>
    <cacheField name="ask_size_eod" numFmtId="0">
      <sharedItems containsSemiMixedTypes="0" containsString="0" containsNumber="1" containsInteger="1" minValue="1" maxValue="3775"/>
    </cacheField>
    <cacheField name="ask_eod" numFmtId="0">
      <sharedItems containsSemiMixedTypes="0" containsString="0" containsNumber="1" minValue="0.05" maxValue="5200.3"/>
    </cacheField>
    <cacheField name="underlying_bid_eod" numFmtId="0">
      <sharedItems containsSemiMixedTypes="0" containsString="0" containsNumber="1" containsInteger="1" minValue="0" maxValue="0"/>
    </cacheField>
    <cacheField name="underlying_ask_eod" numFmtId="0">
      <sharedItems containsSemiMixedTypes="0" containsString="0" containsNumber="1" containsInteger="1" minValue="0" maxValue="0"/>
    </cacheField>
    <cacheField name="vwap" numFmtId="0">
      <sharedItems containsSemiMixedTypes="0" containsString="0" containsNumber="1" minValue="0" maxValue="2192.0300000000002"/>
    </cacheField>
    <cacheField name="open_interest" numFmtId="0">
      <sharedItems containsSemiMixedTypes="0" containsString="0" containsNumber="1" containsInteger="1" minValue="0" maxValue="112457"/>
    </cacheField>
    <cacheField name="delivery_code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1">
  <r>
    <x v="0"/>
    <x v="0"/>
    <s v="SPXW"/>
    <x v="0"/>
    <x v="0"/>
    <s v="p"/>
    <n v="0.05"/>
    <n v="0.05"/>
    <n v="0.05"/>
    <n v="0.05"/>
    <n v="3"/>
    <n v="0"/>
    <n v="0"/>
    <n v="5311"/>
    <n v="0.05"/>
    <n v="0"/>
    <n v="0"/>
    <n v="0"/>
    <n v="0"/>
    <n v="0"/>
    <n v="0"/>
    <n v="0"/>
    <n v="0"/>
    <n v="0"/>
    <n v="0"/>
    <n v="0"/>
    <n v="0"/>
    <n v="3775"/>
    <n v="0.05"/>
    <n v="0"/>
    <n v="0"/>
    <n v="0.05"/>
    <n v="4"/>
    <n v="0"/>
  </r>
  <r>
    <x v="0"/>
    <x v="0"/>
    <s v="SPXW"/>
    <x v="0"/>
    <x v="1"/>
    <s v="p"/>
    <n v="0"/>
    <n v="0"/>
    <n v="0"/>
    <n v="0"/>
    <n v="0"/>
    <n v="0"/>
    <n v="0"/>
    <n v="3372"/>
    <n v="0.05"/>
    <n v="0"/>
    <n v="0"/>
    <n v="0"/>
    <n v="0"/>
    <n v="0"/>
    <n v="0"/>
    <n v="0"/>
    <n v="0"/>
    <n v="0"/>
    <n v="0"/>
    <n v="0"/>
    <n v="0"/>
    <n v="1836"/>
    <n v="0.05"/>
    <n v="0"/>
    <n v="0"/>
    <n v="0"/>
    <n v="3"/>
    <n v="0"/>
  </r>
  <r>
    <x v="0"/>
    <x v="0"/>
    <s v="SPXW"/>
    <x v="0"/>
    <x v="2"/>
    <s v="p"/>
    <n v="0.05"/>
    <n v="0.05"/>
    <n v="0.05"/>
    <n v="0.05"/>
    <n v="1"/>
    <n v="0"/>
    <n v="0"/>
    <n v="3407"/>
    <n v="0.05"/>
    <n v="0"/>
    <n v="0"/>
    <n v="0"/>
    <n v="0"/>
    <n v="0"/>
    <n v="0"/>
    <n v="0"/>
    <n v="0"/>
    <n v="0"/>
    <n v="0"/>
    <n v="0"/>
    <n v="0"/>
    <n v="1842"/>
    <n v="0.05"/>
    <n v="0"/>
    <n v="0"/>
    <n v="0.05"/>
    <n v="100"/>
    <n v="0"/>
  </r>
  <r>
    <x v="0"/>
    <x v="0"/>
    <s v="SPXW"/>
    <x v="0"/>
    <x v="3"/>
    <s v="p"/>
    <n v="0"/>
    <n v="0"/>
    <n v="0"/>
    <n v="0"/>
    <n v="0"/>
    <n v="0"/>
    <n v="0"/>
    <n v="3424"/>
    <n v="0.05"/>
    <n v="0"/>
    <n v="0"/>
    <n v="0"/>
    <n v="0"/>
    <n v="0"/>
    <n v="0"/>
    <n v="0"/>
    <n v="0"/>
    <n v="0"/>
    <n v="0"/>
    <n v="0"/>
    <n v="0"/>
    <n v="1836"/>
    <n v="0.05"/>
    <n v="0"/>
    <n v="0"/>
    <n v="0"/>
    <n v="5"/>
    <n v="0"/>
  </r>
  <r>
    <x v="0"/>
    <x v="0"/>
    <s v="SPXW"/>
    <x v="0"/>
    <x v="4"/>
    <s v="p"/>
    <n v="0.05"/>
    <n v="0.05"/>
    <n v="0.05"/>
    <n v="0.05"/>
    <n v="6"/>
    <n v="0"/>
    <n v="0"/>
    <n v="3411"/>
    <n v="0.05"/>
    <n v="0"/>
    <n v="0"/>
    <n v="0"/>
    <n v="0"/>
    <n v="0"/>
    <n v="0"/>
    <n v="0"/>
    <n v="0"/>
    <n v="0"/>
    <n v="0"/>
    <n v="0"/>
    <n v="0"/>
    <n v="1836"/>
    <n v="0.05"/>
    <n v="0"/>
    <n v="0"/>
    <n v="0.05"/>
    <n v="91"/>
    <n v="0"/>
  </r>
  <r>
    <x v="0"/>
    <x v="0"/>
    <s v="SPXW"/>
    <x v="0"/>
    <x v="5"/>
    <s v="p"/>
    <n v="0.05"/>
    <n v="0.05"/>
    <n v="0.05"/>
    <n v="0.05"/>
    <n v="1"/>
    <n v="0"/>
    <n v="0"/>
    <n v="3416"/>
    <n v="0.05"/>
    <n v="0"/>
    <n v="0"/>
    <n v="0"/>
    <n v="0"/>
    <n v="0"/>
    <n v="0"/>
    <n v="0"/>
    <n v="0"/>
    <n v="0"/>
    <n v="0"/>
    <n v="0"/>
    <n v="0"/>
    <n v="1838"/>
    <n v="0.05"/>
    <n v="0"/>
    <n v="0"/>
    <n v="0.05"/>
    <n v="75"/>
    <n v="0"/>
  </r>
  <r>
    <x v="0"/>
    <x v="0"/>
    <s v="SPXW"/>
    <x v="0"/>
    <x v="6"/>
    <s v="p"/>
    <n v="0"/>
    <n v="0"/>
    <n v="0"/>
    <n v="0"/>
    <n v="0"/>
    <n v="0"/>
    <n v="0"/>
    <n v="3414"/>
    <n v="0.05"/>
    <n v="0"/>
    <n v="0"/>
    <n v="0"/>
    <n v="0"/>
    <n v="0"/>
    <n v="0"/>
    <n v="0"/>
    <n v="0"/>
    <n v="0"/>
    <n v="0"/>
    <n v="0"/>
    <n v="0"/>
    <n v="1836"/>
    <n v="0.05"/>
    <n v="0"/>
    <n v="0"/>
    <n v="0"/>
    <n v="28"/>
    <n v="0"/>
  </r>
  <r>
    <x v="0"/>
    <x v="0"/>
    <s v="SPXW"/>
    <x v="0"/>
    <x v="7"/>
    <s v="p"/>
    <n v="0"/>
    <n v="0"/>
    <n v="0"/>
    <n v="0"/>
    <n v="0"/>
    <n v="0"/>
    <n v="0"/>
    <n v="3414"/>
    <n v="0.05"/>
    <n v="0"/>
    <n v="0"/>
    <n v="0"/>
    <n v="0"/>
    <n v="0"/>
    <n v="0"/>
    <n v="0"/>
    <n v="0"/>
    <n v="0"/>
    <n v="0"/>
    <n v="0"/>
    <n v="0"/>
    <n v="1841"/>
    <n v="0.05"/>
    <n v="0"/>
    <n v="0"/>
    <n v="0"/>
    <n v="101"/>
    <n v="0"/>
  </r>
  <r>
    <x v="0"/>
    <x v="0"/>
    <s v="SPXW"/>
    <x v="0"/>
    <x v="8"/>
    <s v="p"/>
    <n v="0"/>
    <n v="0"/>
    <n v="0"/>
    <n v="0"/>
    <n v="0"/>
    <n v="0"/>
    <n v="0"/>
    <n v="3407"/>
    <n v="0.05"/>
    <n v="0"/>
    <n v="0"/>
    <n v="0"/>
    <n v="0"/>
    <n v="0"/>
    <n v="0"/>
    <n v="0"/>
    <n v="0"/>
    <n v="0"/>
    <n v="0"/>
    <n v="0"/>
    <n v="0"/>
    <n v="1836"/>
    <n v="0.05"/>
    <n v="0"/>
    <n v="0"/>
    <n v="0"/>
    <n v="83"/>
    <n v="0"/>
  </r>
  <r>
    <x v="0"/>
    <x v="0"/>
    <s v="SPXW"/>
    <x v="0"/>
    <x v="9"/>
    <s v="p"/>
    <n v="0"/>
    <n v="0"/>
    <n v="0"/>
    <n v="0"/>
    <n v="0"/>
    <n v="0"/>
    <n v="0"/>
    <n v="3624"/>
    <n v="0.05"/>
    <n v="0"/>
    <n v="0"/>
    <n v="0"/>
    <n v="0"/>
    <n v="0"/>
    <n v="0"/>
    <n v="0"/>
    <n v="0"/>
    <n v="0"/>
    <n v="0"/>
    <n v="0"/>
    <n v="0"/>
    <n v="2058"/>
    <n v="0.05"/>
    <n v="0"/>
    <n v="0"/>
    <n v="0"/>
    <n v="766"/>
    <n v="0"/>
  </r>
  <r>
    <x v="0"/>
    <x v="0"/>
    <s v="SPXW"/>
    <x v="0"/>
    <x v="10"/>
    <s v="p"/>
    <n v="0"/>
    <n v="0"/>
    <n v="0"/>
    <n v="0"/>
    <n v="0"/>
    <n v="0"/>
    <n v="0"/>
    <n v="3396"/>
    <n v="0.05"/>
    <n v="0"/>
    <n v="0"/>
    <n v="0"/>
    <n v="0"/>
    <n v="0"/>
    <n v="0"/>
    <n v="0"/>
    <n v="0"/>
    <n v="0"/>
    <n v="0"/>
    <n v="0"/>
    <n v="0"/>
    <n v="1836"/>
    <n v="0.05"/>
    <n v="0"/>
    <n v="0"/>
    <n v="0"/>
    <n v="284"/>
    <n v="0"/>
  </r>
  <r>
    <x v="0"/>
    <x v="0"/>
    <s v="SPXW"/>
    <x v="0"/>
    <x v="11"/>
    <s v="p"/>
    <n v="0"/>
    <n v="0"/>
    <n v="0"/>
    <n v="0"/>
    <n v="0"/>
    <n v="0"/>
    <n v="0"/>
    <n v="3833"/>
    <n v="0.05"/>
    <n v="0"/>
    <n v="0"/>
    <n v="0"/>
    <n v="0"/>
    <n v="0"/>
    <n v="0"/>
    <n v="0"/>
    <n v="0"/>
    <n v="0"/>
    <n v="0"/>
    <n v="0"/>
    <n v="0"/>
    <n v="2284"/>
    <n v="0.05"/>
    <n v="0"/>
    <n v="0"/>
    <n v="0"/>
    <n v="392"/>
    <n v="0"/>
  </r>
  <r>
    <x v="0"/>
    <x v="0"/>
    <s v="SPXW"/>
    <x v="0"/>
    <x v="12"/>
    <s v="p"/>
    <n v="0"/>
    <n v="0"/>
    <n v="0"/>
    <n v="0"/>
    <n v="0"/>
    <n v="0"/>
    <n v="0"/>
    <n v="3849"/>
    <n v="0.05"/>
    <n v="0"/>
    <n v="0"/>
    <n v="0"/>
    <n v="0"/>
    <n v="0"/>
    <n v="0"/>
    <n v="0"/>
    <n v="0"/>
    <n v="0"/>
    <n v="0"/>
    <n v="0"/>
    <n v="0"/>
    <n v="2512"/>
    <n v="0.05"/>
    <n v="0"/>
    <n v="0"/>
    <n v="0"/>
    <n v="2241"/>
    <n v="0"/>
  </r>
  <r>
    <x v="0"/>
    <x v="0"/>
    <s v="SPXW"/>
    <x v="0"/>
    <x v="13"/>
    <s v="p"/>
    <n v="0"/>
    <n v="0"/>
    <n v="0"/>
    <n v="0"/>
    <n v="0"/>
    <n v="0"/>
    <n v="0"/>
    <n v="3844"/>
    <n v="0.05"/>
    <n v="0"/>
    <n v="0"/>
    <n v="0"/>
    <n v="0"/>
    <n v="0"/>
    <n v="0"/>
    <n v="0"/>
    <n v="0"/>
    <n v="0"/>
    <n v="0"/>
    <n v="0"/>
    <n v="0"/>
    <n v="2507"/>
    <n v="0.05"/>
    <n v="0"/>
    <n v="0"/>
    <n v="0"/>
    <n v="1078"/>
    <n v="0"/>
  </r>
  <r>
    <x v="0"/>
    <x v="0"/>
    <s v="SPXW"/>
    <x v="0"/>
    <x v="14"/>
    <s v="p"/>
    <n v="0"/>
    <n v="0"/>
    <n v="0"/>
    <n v="0"/>
    <n v="0"/>
    <n v="0"/>
    <n v="0"/>
    <n v="3283"/>
    <n v="0.05"/>
    <n v="0"/>
    <n v="0"/>
    <n v="0"/>
    <n v="0"/>
    <n v="0"/>
    <n v="0"/>
    <n v="0"/>
    <n v="0"/>
    <n v="0"/>
    <n v="0"/>
    <n v="0"/>
    <n v="0"/>
    <n v="1952"/>
    <n v="0.05"/>
    <n v="0"/>
    <n v="0"/>
    <n v="0"/>
    <n v="527"/>
    <n v="0"/>
  </r>
  <r>
    <x v="0"/>
    <x v="0"/>
    <s v="SPXW"/>
    <x v="0"/>
    <x v="15"/>
    <s v="p"/>
    <n v="0"/>
    <n v="0"/>
    <n v="0"/>
    <n v="0"/>
    <n v="0"/>
    <n v="0"/>
    <n v="0"/>
    <n v="3283"/>
    <n v="0.05"/>
    <n v="0"/>
    <n v="0"/>
    <n v="0"/>
    <n v="0"/>
    <n v="0"/>
    <n v="0"/>
    <n v="0"/>
    <n v="0"/>
    <n v="0"/>
    <n v="0"/>
    <n v="0"/>
    <n v="0"/>
    <n v="1952"/>
    <n v="0.05"/>
    <n v="0"/>
    <n v="0"/>
    <n v="0"/>
    <n v="307"/>
    <n v="0"/>
  </r>
  <r>
    <x v="0"/>
    <x v="0"/>
    <s v="SPXW"/>
    <x v="0"/>
    <x v="16"/>
    <s v="p"/>
    <n v="0"/>
    <n v="0"/>
    <n v="0"/>
    <n v="0"/>
    <n v="0"/>
    <n v="0"/>
    <n v="0"/>
    <n v="3283"/>
    <n v="0.05"/>
    <n v="0"/>
    <n v="0"/>
    <n v="0"/>
    <n v="0"/>
    <n v="0"/>
    <n v="0"/>
    <n v="0"/>
    <n v="0"/>
    <n v="0"/>
    <n v="0"/>
    <n v="0"/>
    <n v="0"/>
    <n v="1952"/>
    <n v="0.05"/>
    <n v="0"/>
    <n v="0"/>
    <n v="0"/>
    <n v="765"/>
    <n v="0"/>
  </r>
  <r>
    <x v="0"/>
    <x v="0"/>
    <s v="SPXW"/>
    <x v="0"/>
    <x v="17"/>
    <s v="p"/>
    <n v="0"/>
    <n v="0"/>
    <n v="0"/>
    <n v="0"/>
    <n v="0"/>
    <n v="0"/>
    <n v="0"/>
    <n v="2553"/>
    <n v="0.05"/>
    <n v="0"/>
    <n v="0"/>
    <n v="0"/>
    <n v="0"/>
    <n v="0"/>
    <n v="0"/>
    <n v="0"/>
    <n v="0"/>
    <n v="0"/>
    <n v="0"/>
    <n v="0"/>
    <n v="0"/>
    <n v="1836"/>
    <n v="0.05"/>
    <n v="0"/>
    <n v="0"/>
    <n v="0"/>
    <n v="96"/>
    <n v="0"/>
  </r>
  <r>
    <x v="0"/>
    <x v="0"/>
    <s v="SPXW"/>
    <x v="0"/>
    <x v="18"/>
    <s v="p"/>
    <n v="0"/>
    <n v="0"/>
    <n v="0"/>
    <n v="0"/>
    <n v="0"/>
    <n v="0"/>
    <n v="0"/>
    <n v="3283"/>
    <n v="0.05"/>
    <n v="0"/>
    <n v="0"/>
    <n v="0"/>
    <n v="0"/>
    <n v="0"/>
    <n v="0"/>
    <n v="0"/>
    <n v="0"/>
    <n v="0"/>
    <n v="0"/>
    <n v="0"/>
    <n v="0"/>
    <n v="1952"/>
    <n v="0.05"/>
    <n v="0"/>
    <n v="0"/>
    <n v="0"/>
    <n v="474"/>
    <n v="0"/>
  </r>
  <r>
    <x v="0"/>
    <x v="0"/>
    <s v="SPXW"/>
    <x v="0"/>
    <x v="19"/>
    <s v="p"/>
    <n v="0"/>
    <n v="0"/>
    <n v="0"/>
    <n v="0"/>
    <n v="0"/>
    <n v="0"/>
    <n v="0"/>
    <n v="2511"/>
    <n v="0.05"/>
    <n v="0"/>
    <n v="0"/>
    <n v="0"/>
    <n v="0"/>
    <n v="0"/>
    <n v="0"/>
    <n v="0"/>
    <n v="0"/>
    <n v="0"/>
    <n v="0"/>
    <n v="0"/>
    <n v="0"/>
    <n v="1803"/>
    <n v="0.05"/>
    <n v="0"/>
    <n v="0"/>
    <n v="0"/>
    <n v="5"/>
    <n v="0"/>
  </r>
  <r>
    <x v="0"/>
    <x v="0"/>
    <s v="SPXW"/>
    <x v="0"/>
    <x v="20"/>
    <s v="p"/>
    <n v="0"/>
    <n v="0"/>
    <n v="0"/>
    <n v="0"/>
    <n v="0"/>
    <n v="0"/>
    <n v="0"/>
    <n v="2509"/>
    <n v="0.05"/>
    <n v="0"/>
    <n v="0"/>
    <n v="0"/>
    <n v="0"/>
    <n v="0"/>
    <n v="0"/>
    <n v="0"/>
    <n v="0"/>
    <n v="0"/>
    <n v="0"/>
    <n v="0"/>
    <n v="0"/>
    <n v="1803"/>
    <n v="0.05"/>
    <n v="0"/>
    <n v="0"/>
    <n v="0"/>
    <n v="61"/>
    <n v="0"/>
  </r>
  <r>
    <x v="0"/>
    <x v="0"/>
    <s v="SPXW"/>
    <x v="0"/>
    <x v="21"/>
    <s v="p"/>
    <n v="0"/>
    <n v="0"/>
    <n v="0"/>
    <n v="0"/>
    <n v="0"/>
    <n v="0"/>
    <n v="0"/>
    <n v="3132"/>
    <n v="0.05"/>
    <n v="0"/>
    <n v="0"/>
    <n v="0"/>
    <n v="0"/>
    <n v="0"/>
    <n v="0"/>
    <n v="0"/>
    <n v="0"/>
    <n v="0"/>
    <n v="0"/>
    <n v="0"/>
    <n v="0"/>
    <n v="1803"/>
    <n v="0.05"/>
    <n v="0"/>
    <n v="0"/>
    <n v="0"/>
    <n v="45"/>
    <n v="0"/>
  </r>
  <r>
    <x v="0"/>
    <x v="0"/>
    <s v="SPXW"/>
    <x v="0"/>
    <x v="22"/>
    <s v="p"/>
    <n v="0.05"/>
    <n v="0.05"/>
    <n v="0.05"/>
    <n v="0.05"/>
    <n v="1"/>
    <n v="0"/>
    <n v="0"/>
    <n v="2825"/>
    <n v="0.05"/>
    <n v="0"/>
    <n v="0"/>
    <n v="0"/>
    <n v="0"/>
    <n v="0"/>
    <n v="0"/>
    <n v="0"/>
    <n v="0"/>
    <n v="0"/>
    <n v="0"/>
    <n v="0"/>
    <n v="0"/>
    <n v="2119"/>
    <n v="0.05"/>
    <n v="0"/>
    <n v="0"/>
    <n v="0.05"/>
    <n v="553"/>
    <n v="0"/>
  </r>
  <r>
    <x v="0"/>
    <x v="0"/>
    <s v="SPXW"/>
    <x v="0"/>
    <x v="23"/>
    <s v="p"/>
    <n v="0"/>
    <n v="0"/>
    <n v="0"/>
    <n v="0"/>
    <n v="0"/>
    <n v="0"/>
    <n v="0"/>
    <n v="3133"/>
    <n v="0.05"/>
    <n v="0"/>
    <n v="0"/>
    <n v="0"/>
    <n v="0"/>
    <n v="0"/>
    <n v="0"/>
    <n v="0"/>
    <n v="0"/>
    <n v="0"/>
    <n v="0"/>
    <n v="0"/>
    <n v="0"/>
    <n v="1803"/>
    <n v="0.05"/>
    <n v="0"/>
    <n v="0"/>
    <n v="0"/>
    <n v="168"/>
    <n v="0"/>
  </r>
  <r>
    <x v="0"/>
    <x v="0"/>
    <s v="SPXW"/>
    <x v="0"/>
    <x v="24"/>
    <s v="p"/>
    <n v="0"/>
    <n v="0"/>
    <n v="0"/>
    <n v="0"/>
    <n v="0"/>
    <n v="0"/>
    <n v="0"/>
    <n v="3354"/>
    <n v="0.05"/>
    <n v="0"/>
    <n v="0"/>
    <n v="0"/>
    <n v="0"/>
    <n v="0"/>
    <n v="0"/>
    <n v="0"/>
    <n v="0"/>
    <n v="0"/>
    <n v="0"/>
    <n v="0"/>
    <n v="0"/>
    <n v="2025"/>
    <n v="0.05"/>
    <n v="0"/>
    <n v="0"/>
    <n v="0"/>
    <n v="865"/>
    <n v="0"/>
  </r>
  <r>
    <x v="0"/>
    <x v="0"/>
    <s v="SPXW"/>
    <x v="0"/>
    <x v="25"/>
    <s v="p"/>
    <n v="0"/>
    <n v="0"/>
    <n v="0"/>
    <n v="0"/>
    <n v="0"/>
    <n v="0"/>
    <n v="0"/>
    <n v="3183"/>
    <n v="0.05"/>
    <n v="0"/>
    <n v="0"/>
    <n v="0"/>
    <n v="0"/>
    <n v="0"/>
    <n v="0"/>
    <n v="0"/>
    <n v="0"/>
    <n v="0"/>
    <n v="0"/>
    <n v="0"/>
    <n v="0"/>
    <n v="2469"/>
    <n v="0.05"/>
    <n v="0"/>
    <n v="0"/>
    <n v="0"/>
    <n v="1869"/>
    <n v="0"/>
  </r>
  <r>
    <x v="0"/>
    <x v="0"/>
    <s v="SPXW"/>
    <x v="0"/>
    <x v="26"/>
    <s v="p"/>
    <n v="0"/>
    <n v="0"/>
    <n v="0"/>
    <n v="0"/>
    <n v="0"/>
    <n v="0"/>
    <n v="0"/>
    <n v="2576"/>
    <n v="0.05"/>
    <n v="0"/>
    <n v="0"/>
    <n v="0"/>
    <n v="0"/>
    <n v="0"/>
    <n v="0"/>
    <n v="0"/>
    <n v="0"/>
    <n v="0"/>
    <n v="0"/>
    <n v="0"/>
    <n v="0"/>
    <n v="1870"/>
    <n v="0.05"/>
    <n v="0"/>
    <n v="0"/>
    <n v="0"/>
    <n v="543"/>
    <n v="0"/>
  </r>
  <r>
    <x v="0"/>
    <x v="0"/>
    <s v="SPXW"/>
    <x v="0"/>
    <x v="27"/>
    <s v="p"/>
    <n v="0"/>
    <n v="0"/>
    <n v="0"/>
    <n v="0"/>
    <n v="0"/>
    <n v="0"/>
    <n v="0"/>
    <n v="2569"/>
    <n v="0.05"/>
    <n v="0"/>
    <n v="0"/>
    <n v="0"/>
    <n v="0"/>
    <n v="0"/>
    <n v="0"/>
    <n v="0"/>
    <n v="0"/>
    <n v="0"/>
    <n v="0"/>
    <n v="0"/>
    <n v="0"/>
    <n v="1864"/>
    <n v="0.05"/>
    <n v="0"/>
    <n v="0"/>
    <n v="0"/>
    <n v="388"/>
    <n v="0"/>
  </r>
  <r>
    <x v="0"/>
    <x v="0"/>
    <s v="SPXW"/>
    <x v="0"/>
    <x v="28"/>
    <s v="p"/>
    <n v="0"/>
    <n v="0"/>
    <n v="0"/>
    <n v="0"/>
    <n v="0"/>
    <n v="0"/>
    <n v="0"/>
    <n v="2680"/>
    <n v="0.05"/>
    <n v="0"/>
    <n v="0"/>
    <n v="0"/>
    <n v="0"/>
    <n v="0"/>
    <n v="0"/>
    <n v="0"/>
    <n v="0"/>
    <n v="0"/>
    <n v="0"/>
    <n v="0"/>
    <n v="0"/>
    <n v="1975"/>
    <n v="0.05"/>
    <n v="0"/>
    <n v="0"/>
    <n v="0"/>
    <n v="633"/>
    <n v="0"/>
  </r>
  <r>
    <x v="0"/>
    <x v="0"/>
    <s v="SPXW"/>
    <x v="0"/>
    <x v="29"/>
    <s v="p"/>
    <n v="0.03"/>
    <n v="0.03"/>
    <n v="0.03"/>
    <n v="0.03"/>
    <n v="1"/>
    <n v="0"/>
    <n v="0"/>
    <n v="2458"/>
    <n v="0.05"/>
    <n v="0"/>
    <n v="0"/>
    <n v="0"/>
    <n v="0"/>
    <n v="0"/>
    <n v="0"/>
    <n v="0"/>
    <n v="0"/>
    <n v="0"/>
    <n v="0"/>
    <n v="0"/>
    <n v="0"/>
    <n v="1753"/>
    <n v="0.05"/>
    <n v="0"/>
    <n v="0"/>
    <n v="0.03"/>
    <n v="58"/>
    <n v="0"/>
  </r>
  <r>
    <x v="0"/>
    <x v="0"/>
    <s v="SPXW"/>
    <x v="0"/>
    <x v="30"/>
    <s v="p"/>
    <n v="0"/>
    <n v="0"/>
    <n v="0"/>
    <n v="0"/>
    <n v="0"/>
    <n v="0"/>
    <n v="0"/>
    <n v="1887"/>
    <n v="0.05"/>
    <n v="0"/>
    <n v="0"/>
    <n v="0"/>
    <n v="0"/>
    <n v="0"/>
    <n v="0"/>
    <n v="0"/>
    <n v="0"/>
    <n v="0"/>
    <n v="0"/>
    <n v="0"/>
    <n v="0"/>
    <n v="1182"/>
    <n v="0.05"/>
    <n v="0"/>
    <n v="0"/>
    <n v="0"/>
    <n v="593"/>
    <n v="0"/>
  </r>
  <r>
    <x v="0"/>
    <x v="0"/>
    <s v="SPXW"/>
    <x v="0"/>
    <x v="31"/>
    <s v="p"/>
    <n v="0"/>
    <n v="0"/>
    <n v="0"/>
    <n v="0"/>
    <n v="0"/>
    <n v="0"/>
    <n v="0"/>
    <n v="1658"/>
    <n v="0.05"/>
    <n v="0"/>
    <n v="0"/>
    <n v="0"/>
    <n v="0"/>
    <n v="0"/>
    <n v="0"/>
    <n v="0"/>
    <n v="0"/>
    <n v="0"/>
    <n v="0"/>
    <n v="0"/>
    <n v="0"/>
    <n v="955"/>
    <n v="0.05"/>
    <n v="0"/>
    <n v="0"/>
    <n v="0"/>
    <n v="91"/>
    <n v="0"/>
  </r>
  <r>
    <x v="0"/>
    <x v="0"/>
    <s v="SPXW"/>
    <x v="0"/>
    <x v="32"/>
    <s v="p"/>
    <n v="0"/>
    <n v="0"/>
    <n v="0"/>
    <n v="0"/>
    <n v="0"/>
    <n v="0"/>
    <n v="0"/>
    <n v="2994"/>
    <n v="0.05"/>
    <n v="0"/>
    <n v="0"/>
    <n v="0"/>
    <n v="0"/>
    <n v="0"/>
    <n v="0"/>
    <n v="0"/>
    <n v="0"/>
    <n v="0"/>
    <n v="0"/>
    <n v="0"/>
    <n v="0"/>
    <n v="2292"/>
    <n v="0.05"/>
    <n v="0"/>
    <n v="0"/>
    <n v="0"/>
    <n v="10419"/>
    <n v="0"/>
  </r>
  <r>
    <x v="0"/>
    <x v="0"/>
    <s v="SPXW"/>
    <x v="0"/>
    <x v="33"/>
    <s v="p"/>
    <n v="0"/>
    <n v="0"/>
    <n v="0"/>
    <n v="0"/>
    <n v="0"/>
    <n v="0"/>
    <n v="0"/>
    <n v="1657"/>
    <n v="0.05"/>
    <n v="0"/>
    <n v="0"/>
    <n v="0"/>
    <n v="0"/>
    <n v="0"/>
    <n v="0"/>
    <n v="0"/>
    <n v="0"/>
    <n v="0"/>
    <n v="0"/>
    <n v="0"/>
    <n v="0"/>
    <n v="955"/>
    <n v="0.05"/>
    <n v="0"/>
    <n v="0"/>
    <n v="0"/>
    <n v="243"/>
    <n v="0"/>
  </r>
  <r>
    <x v="0"/>
    <x v="0"/>
    <s v="SPXW"/>
    <x v="0"/>
    <x v="34"/>
    <s v="p"/>
    <n v="0"/>
    <n v="0"/>
    <n v="0"/>
    <n v="0"/>
    <n v="0"/>
    <n v="0"/>
    <n v="0"/>
    <n v="2328"/>
    <n v="0.05"/>
    <n v="0"/>
    <n v="0"/>
    <n v="0"/>
    <n v="0"/>
    <n v="0"/>
    <n v="0"/>
    <n v="0"/>
    <n v="0"/>
    <n v="0"/>
    <n v="0"/>
    <n v="0"/>
    <n v="0"/>
    <n v="1626"/>
    <n v="0.05"/>
    <n v="0"/>
    <n v="0"/>
    <n v="0"/>
    <n v="2276"/>
    <n v="0"/>
  </r>
  <r>
    <x v="0"/>
    <x v="0"/>
    <s v="SPXW"/>
    <x v="0"/>
    <x v="35"/>
    <s v="p"/>
    <n v="0"/>
    <n v="0"/>
    <n v="0"/>
    <n v="0"/>
    <n v="0"/>
    <n v="0"/>
    <n v="0"/>
    <n v="1879"/>
    <n v="0.05"/>
    <n v="0"/>
    <n v="0"/>
    <n v="0"/>
    <n v="0"/>
    <n v="0"/>
    <n v="0"/>
    <n v="0"/>
    <n v="0"/>
    <n v="0"/>
    <n v="0"/>
    <n v="0"/>
    <n v="0"/>
    <n v="1177"/>
    <n v="0.05"/>
    <n v="0"/>
    <n v="0"/>
    <n v="0"/>
    <n v="961"/>
    <n v="0"/>
  </r>
  <r>
    <x v="0"/>
    <x v="0"/>
    <s v="SPXW"/>
    <x v="0"/>
    <x v="36"/>
    <s v="p"/>
    <n v="0"/>
    <n v="0"/>
    <n v="0"/>
    <n v="0"/>
    <n v="0"/>
    <n v="0"/>
    <n v="0"/>
    <n v="1767"/>
    <n v="0.05"/>
    <n v="0"/>
    <n v="0"/>
    <n v="0"/>
    <n v="0"/>
    <n v="0"/>
    <n v="0"/>
    <n v="0"/>
    <n v="0"/>
    <n v="0"/>
    <n v="0"/>
    <n v="0"/>
    <n v="0"/>
    <n v="1066"/>
    <n v="0.05"/>
    <n v="0"/>
    <n v="0"/>
    <n v="0"/>
    <n v="562"/>
    <n v="0"/>
  </r>
  <r>
    <x v="0"/>
    <x v="0"/>
    <s v="SPXW"/>
    <x v="0"/>
    <x v="37"/>
    <s v="p"/>
    <n v="0"/>
    <n v="0"/>
    <n v="0"/>
    <n v="0"/>
    <n v="0"/>
    <n v="0"/>
    <n v="0"/>
    <n v="1656"/>
    <n v="0.05"/>
    <n v="0"/>
    <n v="0"/>
    <n v="0"/>
    <n v="0"/>
    <n v="0"/>
    <n v="0"/>
    <n v="0"/>
    <n v="0"/>
    <n v="0"/>
    <n v="0"/>
    <n v="0"/>
    <n v="0"/>
    <n v="955"/>
    <n v="0.05"/>
    <n v="0"/>
    <n v="0"/>
    <n v="0"/>
    <n v="165"/>
    <n v="0"/>
  </r>
  <r>
    <x v="0"/>
    <x v="0"/>
    <s v="SPXW"/>
    <x v="0"/>
    <x v="38"/>
    <s v="p"/>
    <n v="0"/>
    <n v="0"/>
    <n v="0"/>
    <n v="0"/>
    <n v="0"/>
    <n v="0"/>
    <n v="0"/>
    <n v="1882"/>
    <n v="0.05"/>
    <n v="0"/>
    <n v="0"/>
    <n v="0"/>
    <n v="0"/>
    <n v="0"/>
    <n v="0"/>
    <n v="0"/>
    <n v="0"/>
    <n v="0"/>
    <n v="0"/>
    <n v="0"/>
    <n v="0"/>
    <n v="1182"/>
    <n v="0.05"/>
    <n v="0"/>
    <n v="0"/>
    <n v="0"/>
    <n v="6927"/>
    <n v="0"/>
  </r>
  <r>
    <x v="0"/>
    <x v="0"/>
    <s v="SPXW"/>
    <x v="0"/>
    <x v="39"/>
    <s v="p"/>
    <n v="0"/>
    <n v="0"/>
    <n v="0"/>
    <n v="0"/>
    <n v="0"/>
    <n v="0"/>
    <n v="0"/>
    <n v="1666"/>
    <n v="0.05"/>
    <n v="0"/>
    <n v="0"/>
    <n v="0"/>
    <n v="0"/>
    <n v="0"/>
    <n v="0"/>
    <n v="0"/>
    <n v="0"/>
    <n v="0"/>
    <n v="0"/>
    <n v="0"/>
    <n v="0"/>
    <n v="969"/>
    <n v="0.05"/>
    <n v="0"/>
    <n v="0"/>
    <n v="0"/>
    <n v="224"/>
    <n v="0"/>
  </r>
  <r>
    <x v="0"/>
    <x v="0"/>
    <s v="SPXW"/>
    <x v="0"/>
    <x v="40"/>
    <s v="p"/>
    <n v="0"/>
    <n v="0"/>
    <n v="0"/>
    <n v="0"/>
    <n v="0"/>
    <n v="0"/>
    <n v="0"/>
    <n v="1666"/>
    <n v="0.05"/>
    <n v="0"/>
    <n v="0"/>
    <n v="0"/>
    <n v="0"/>
    <n v="0"/>
    <n v="0"/>
    <n v="0"/>
    <n v="0"/>
    <n v="0"/>
    <n v="0"/>
    <n v="0"/>
    <n v="0"/>
    <n v="969"/>
    <n v="0.05"/>
    <n v="0"/>
    <n v="0"/>
    <n v="0"/>
    <n v="672"/>
    <n v="0"/>
  </r>
  <r>
    <x v="0"/>
    <x v="0"/>
    <s v="SPXW"/>
    <x v="0"/>
    <x v="41"/>
    <s v="p"/>
    <n v="0"/>
    <n v="0"/>
    <n v="0"/>
    <n v="0"/>
    <n v="0"/>
    <n v="0"/>
    <n v="0"/>
    <n v="1564"/>
    <n v="0.05"/>
    <n v="0"/>
    <n v="0"/>
    <n v="0"/>
    <n v="0"/>
    <n v="0"/>
    <n v="0"/>
    <n v="0"/>
    <n v="0"/>
    <n v="0"/>
    <n v="0"/>
    <n v="0"/>
    <n v="0"/>
    <n v="868"/>
    <n v="0.05"/>
    <n v="0"/>
    <n v="0"/>
    <n v="0"/>
    <n v="275"/>
    <n v="0"/>
  </r>
  <r>
    <x v="0"/>
    <x v="0"/>
    <s v="SPXW"/>
    <x v="0"/>
    <x v="42"/>
    <s v="p"/>
    <n v="0"/>
    <n v="0"/>
    <n v="0"/>
    <n v="0"/>
    <n v="0"/>
    <n v="0"/>
    <n v="0"/>
    <n v="2300"/>
    <n v="0.05"/>
    <n v="0"/>
    <n v="0"/>
    <n v="0"/>
    <n v="0"/>
    <n v="0"/>
    <n v="0"/>
    <n v="0"/>
    <n v="0"/>
    <n v="0"/>
    <n v="0"/>
    <n v="0"/>
    <n v="0"/>
    <n v="989"/>
    <n v="0.05"/>
    <n v="0"/>
    <n v="0"/>
    <n v="0"/>
    <n v="595"/>
    <n v="0"/>
  </r>
  <r>
    <x v="0"/>
    <x v="0"/>
    <s v="SPXW"/>
    <x v="0"/>
    <x v="43"/>
    <s v="p"/>
    <n v="0"/>
    <n v="0"/>
    <n v="0"/>
    <n v="0"/>
    <n v="0"/>
    <n v="0"/>
    <n v="0"/>
    <n v="1973"/>
    <n v="0.05"/>
    <n v="0"/>
    <n v="0"/>
    <n v="0"/>
    <n v="0"/>
    <n v="0"/>
    <n v="0"/>
    <n v="0"/>
    <n v="0"/>
    <n v="0"/>
    <n v="0"/>
    <n v="0"/>
    <n v="0"/>
    <n v="656"/>
    <n v="0.05"/>
    <n v="0"/>
    <n v="0"/>
    <n v="0"/>
    <n v="162"/>
    <n v="0"/>
  </r>
  <r>
    <x v="0"/>
    <x v="0"/>
    <s v="SPXW"/>
    <x v="0"/>
    <x v="44"/>
    <s v="p"/>
    <n v="0"/>
    <n v="0"/>
    <n v="0"/>
    <n v="0"/>
    <n v="0"/>
    <n v="0"/>
    <n v="0"/>
    <n v="1999"/>
    <n v="0.05"/>
    <n v="0"/>
    <n v="0"/>
    <n v="0"/>
    <n v="0"/>
    <n v="0"/>
    <n v="0"/>
    <n v="0"/>
    <n v="0"/>
    <n v="0"/>
    <n v="0"/>
    <n v="0"/>
    <n v="0"/>
    <n v="692"/>
    <n v="0.05"/>
    <n v="0"/>
    <n v="0"/>
    <n v="0"/>
    <n v="442"/>
    <n v="0"/>
  </r>
  <r>
    <x v="0"/>
    <x v="0"/>
    <s v="SPXW"/>
    <x v="0"/>
    <x v="45"/>
    <s v="p"/>
    <n v="0"/>
    <n v="0"/>
    <n v="0"/>
    <n v="0"/>
    <n v="0"/>
    <n v="0"/>
    <n v="0"/>
    <n v="1825"/>
    <n v="0.05"/>
    <n v="0"/>
    <n v="0"/>
    <n v="0"/>
    <n v="0"/>
    <n v="8.4908000000000001"/>
    <n v="-2.9999999999999997E-4"/>
    <n v="0"/>
    <n v="-2.5000000000000001E-2"/>
    <n v="4.0000000000000002E-4"/>
    <n v="0"/>
    <n v="0"/>
    <n v="0"/>
    <n v="515"/>
    <n v="0.05"/>
    <n v="0"/>
    <n v="0"/>
    <n v="0"/>
    <n v="190"/>
    <n v="0"/>
  </r>
  <r>
    <x v="0"/>
    <x v="0"/>
    <s v="SPXW"/>
    <x v="0"/>
    <x v="46"/>
    <s v="p"/>
    <n v="0"/>
    <n v="0"/>
    <n v="0"/>
    <n v="0"/>
    <n v="0"/>
    <n v="0"/>
    <n v="0"/>
    <n v="1598"/>
    <n v="0.05"/>
    <n v="0"/>
    <n v="0"/>
    <n v="0"/>
    <n v="0"/>
    <n v="8.2815999999999992"/>
    <n v="-2.9999999999999997E-4"/>
    <n v="0"/>
    <n v="-2.5000000000000001E-2"/>
    <n v="4.0000000000000002E-4"/>
    <n v="0"/>
    <n v="0"/>
    <n v="0"/>
    <n v="614"/>
    <n v="0.05"/>
    <n v="0"/>
    <n v="0"/>
    <n v="0"/>
    <n v="1774"/>
    <n v="0"/>
  </r>
  <r>
    <x v="0"/>
    <x v="0"/>
    <s v="SPXW"/>
    <x v="0"/>
    <x v="47"/>
    <s v="p"/>
    <n v="0"/>
    <n v="0"/>
    <n v="0"/>
    <n v="0"/>
    <n v="0"/>
    <n v="0"/>
    <n v="0"/>
    <n v="1240"/>
    <n v="0.05"/>
    <n v="0"/>
    <n v="0"/>
    <n v="0"/>
    <n v="0"/>
    <n v="8.0730000000000004"/>
    <n v="-2.9999999999999997E-4"/>
    <n v="0"/>
    <n v="-2.5000000000000001E-2"/>
    <n v="5.0000000000000001E-4"/>
    <n v="0"/>
    <n v="0"/>
    <n v="0"/>
    <n v="548"/>
    <n v="0.05"/>
    <n v="0"/>
    <n v="0"/>
    <n v="0"/>
    <n v="467"/>
    <n v="0"/>
  </r>
  <r>
    <x v="0"/>
    <x v="0"/>
    <s v="SPXW"/>
    <x v="0"/>
    <x v="48"/>
    <s v="p"/>
    <n v="0"/>
    <n v="0"/>
    <n v="0"/>
    <n v="0"/>
    <n v="0"/>
    <n v="0"/>
    <n v="0"/>
    <n v="1207"/>
    <n v="0.05"/>
    <n v="0"/>
    <n v="0"/>
    <n v="0"/>
    <n v="0"/>
    <n v="8.0312999999999999"/>
    <n v="-2.9999999999999997E-4"/>
    <n v="0"/>
    <n v="-2.5000000000000001E-2"/>
    <n v="5.0000000000000001E-4"/>
    <n v="0"/>
    <n v="0"/>
    <n v="0"/>
    <n v="515"/>
    <n v="0.05"/>
    <n v="0"/>
    <n v="0"/>
    <n v="0"/>
    <n v="190"/>
    <n v="0"/>
  </r>
  <r>
    <x v="0"/>
    <x v="0"/>
    <s v="SPXW"/>
    <x v="0"/>
    <x v="49"/>
    <s v="p"/>
    <n v="0"/>
    <n v="0"/>
    <n v="0"/>
    <n v="0"/>
    <n v="0"/>
    <n v="0"/>
    <n v="0"/>
    <n v="1206"/>
    <n v="0.05"/>
    <n v="0"/>
    <n v="0"/>
    <n v="0"/>
    <n v="0"/>
    <n v="7.9480000000000004"/>
    <n v="-4.0000000000000002E-4"/>
    <n v="0"/>
    <n v="-2.5000000000000001E-2"/>
    <n v="5.0000000000000001E-4"/>
    <n v="0"/>
    <n v="0"/>
    <n v="0"/>
    <n v="515"/>
    <n v="0.05"/>
    <n v="0"/>
    <n v="0"/>
    <n v="0"/>
    <n v="200"/>
    <n v="0"/>
  </r>
  <r>
    <x v="0"/>
    <x v="0"/>
    <s v="SPXW"/>
    <x v="0"/>
    <x v="50"/>
    <s v="p"/>
    <n v="0.03"/>
    <n v="0.03"/>
    <n v="0.03"/>
    <n v="0.03"/>
    <n v="1"/>
    <n v="0"/>
    <n v="0"/>
    <n v="1276"/>
    <n v="0.05"/>
    <n v="0"/>
    <n v="0"/>
    <n v="0"/>
    <n v="0"/>
    <n v="7.8648999999999996"/>
    <n v="-4.0000000000000002E-4"/>
    <n v="0"/>
    <n v="-2.5000000000000001E-2"/>
    <n v="5.0000000000000001E-4"/>
    <n v="0"/>
    <n v="0"/>
    <n v="0"/>
    <n v="581"/>
    <n v="0.05"/>
    <n v="0"/>
    <n v="0"/>
    <n v="0.03"/>
    <n v="812"/>
    <n v="0"/>
  </r>
  <r>
    <x v="0"/>
    <x v="0"/>
    <s v="SPXW"/>
    <x v="0"/>
    <x v="51"/>
    <s v="p"/>
    <n v="0"/>
    <n v="0"/>
    <n v="0"/>
    <n v="0"/>
    <n v="0"/>
    <n v="0"/>
    <n v="0"/>
    <n v="682"/>
    <n v="0.05"/>
    <n v="0"/>
    <n v="0"/>
    <n v="0"/>
    <n v="0"/>
    <n v="7.7817999999999996"/>
    <n v="-4.0000000000000002E-4"/>
    <n v="0"/>
    <n v="-2.5000000000000001E-2"/>
    <n v="5.0000000000000001E-4"/>
    <n v="0"/>
    <n v="0"/>
    <n v="0"/>
    <n v="10"/>
    <n v="0.05"/>
    <n v="0"/>
    <n v="0"/>
    <n v="0"/>
    <n v="146"/>
    <n v="0"/>
  </r>
  <r>
    <x v="0"/>
    <x v="0"/>
    <s v="SPXW"/>
    <x v="0"/>
    <x v="52"/>
    <s v="p"/>
    <n v="0.05"/>
    <n v="0.05"/>
    <n v="0.05"/>
    <n v="0.05"/>
    <n v="1"/>
    <n v="0"/>
    <n v="0"/>
    <n v="683"/>
    <n v="0.05"/>
    <n v="0"/>
    <n v="0"/>
    <n v="0"/>
    <n v="0"/>
    <n v="7.6988000000000003"/>
    <n v="-4.0000000000000002E-4"/>
    <n v="0"/>
    <n v="-2.5000000000000001E-2"/>
    <n v="5.0000000000000001E-4"/>
    <n v="0"/>
    <n v="0"/>
    <n v="0"/>
    <n v="11"/>
    <n v="0.05"/>
    <n v="0"/>
    <n v="0"/>
    <n v="0.05"/>
    <n v="42"/>
    <n v="0"/>
  </r>
  <r>
    <x v="0"/>
    <x v="0"/>
    <s v="SPXW"/>
    <x v="0"/>
    <x v="53"/>
    <s v="p"/>
    <n v="0"/>
    <n v="0"/>
    <n v="0"/>
    <n v="0"/>
    <n v="0"/>
    <n v="0"/>
    <n v="0"/>
    <n v="902"/>
    <n v="0.05"/>
    <n v="0"/>
    <n v="0"/>
    <n v="0"/>
    <n v="0"/>
    <n v="7.6573000000000002"/>
    <n v="-4.0000000000000002E-4"/>
    <n v="0"/>
    <n v="-2.5000000000000001E-2"/>
    <n v="5.0000000000000001E-4"/>
    <n v="0"/>
    <n v="0"/>
    <n v="0"/>
    <n v="210"/>
    <n v="0.05"/>
    <n v="0"/>
    <n v="0"/>
    <n v="0"/>
    <n v="221"/>
    <n v="0"/>
  </r>
  <r>
    <x v="0"/>
    <x v="0"/>
    <s v="SPXW"/>
    <x v="0"/>
    <x v="54"/>
    <s v="p"/>
    <n v="0"/>
    <n v="0"/>
    <n v="0"/>
    <n v="0"/>
    <n v="0"/>
    <n v="0"/>
    <n v="0"/>
    <n v="681"/>
    <n v="0.05"/>
    <n v="0"/>
    <n v="0"/>
    <n v="0"/>
    <n v="0"/>
    <n v="7.6158999999999999"/>
    <n v="-4.0000000000000002E-4"/>
    <n v="0"/>
    <n v="-2.5000000000000001E-2"/>
    <n v="5.0000000000000001E-4"/>
    <n v="0"/>
    <n v="0"/>
    <n v="0"/>
    <n v="10"/>
    <n v="0.05"/>
    <n v="0"/>
    <n v="0"/>
    <n v="0"/>
    <n v="140"/>
    <n v="0"/>
  </r>
  <r>
    <x v="0"/>
    <x v="0"/>
    <s v="SPXW"/>
    <x v="0"/>
    <x v="55"/>
    <s v="p"/>
    <n v="0.05"/>
    <n v="0.05"/>
    <n v="0.05"/>
    <n v="0.05"/>
    <n v="1"/>
    <n v="0"/>
    <n v="0"/>
    <n v="740"/>
    <n v="0.05"/>
    <n v="0"/>
    <n v="0"/>
    <n v="0"/>
    <n v="0"/>
    <n v="7.5331000000000001"/>
    <n v="-4.0000000000000002E-4"/>
    <n v="0"/>
    <n v="-2.5000000000000001E-2"/>
    <n v="5.0000000000000001E-4"/>
    <n v="0"/>
    <n v="0"/>
    <n v="0"/>
    <n v="49"/>
    <n v="0.05"/>
    <n v="0"/>
    <n v="0"/>
    <n v="0.05"/>
    <n v="169"/>
    <n v="0"/>
  </r>
  <r>
    <x v="0"/>
    <x v="0"/>
    <s v="SPXW"/>
    <x v="0"/>
    <x v="56"/>
    <s v="p"/>
    <n v="0"/>
    <n v="0"/>
    <n v="0"/>
    <n v="0"/>
    <n v="0"/>
    <n v="0"/>
    <n v="0"/>
    <n v="934"/>
    <n v="0.05"/>
    <n v="0"/>
    <n v="0"/>
    <n v="0"/>
    <n v="0"/>
    <n v="7.4503000000000004"/>
    <n v="-4.0000000000000002E-4"/>
    <n v="0"/>
    <n v="-2.5000000000000001E-2"/>
    <n v="5.0000000000000001E-4"/>
    <n v="0"/>
    <n v="0"/>
    <n v="0"/>
    <n v="243"/>
    <n v="0.05"/>
    <n v="0"/>
    <n v="0"/>
    <n v="0"/>
    <n v="1210"/>
    <n v="0"/>
  </r>
  <r>
    <x v="0"/>
    <x v="0"/>
    <s v="SPXW"/>
    <x v="0"/>
    <x v="57"/>
    <s v="p"/>
    <n v="0"/>
    <n v="0"/>
    <n v="0"/>
    <n v="0"/>
    <n v="0"/>
    <n v="0"/>
    <n v="0"/>
    <n v="680"/>
    <n v="0.05"/>
    <n v="0"/>
    <n v="0"/>
    <n v="0"/>
    <n v="0"/>
    <n v="7.3676000000000004"/>
    <n v="-4.0000000000000002E-4"/>
    <n v="0"/>
    <n v="-2.5000000000000001E-2"/>
    <n v="5.0000000000000001E-4"/>
    <n v="0"/>
    <n v="0"/>
    <n v="0"/>
    <n v="10"/>
    <n v="0.05"/>
    <n v="0"/>
    <n v="0"/>
    <n v="0"/>
    <n v="113"/>
    <n v="0"/>
  </r>
  <r>
    <x v="0"/>
    <x v="0"/>
    <s v="SPXW"/>
    <x v="0"/>
    <x v="58"/>
    <s v="p"/>
    <n v="0"/>
    <n v="0"/>
    <n v="0"/>
    <n v="0"/>
    <n v="0"/>
    <n v="0"/>
    <n v="0"/>
    <n v="678"/>
    <n v="0.05"/>
    <n v="0"/>
    <n v="0"/>
    <n v="0"/>
    <n v="0"/>
    <n v="7.2850000000000001"/>
    <n v="-4.0000000000000002E-4"/>
    <n v="0"/>
    <n v="-2.5000000000000001E-2"/>
    <n v="5.0000000000000001E-4"/>
    <n v="0"/>
    <n v="0"/>
    <n v="0"/>
    <n v="10"/>
    <n v="0.05"/>
    <n v="0"/>
    <n v="0"/>
    <n v="0"/>
    <n v="172"/>
    <n v="0"/>
  </r>
  <r>
    <x v="0"/>
    <x v="0"/>
    <s v="SPXW"/>
    <x v="0"/>
    <x v="59"/>
    <s v="p"/>
    <n v="0"/>
    <n v="0"/>
    <n v="0"/>
    <n v="0"/>
    <n v="0"/>
    <n v="0"/>
    <n v="0"/>
    <n v="898"/>
    <n v="0.05"/>
    <n v="0"/>
    <n v="0"/>
    <n v="0"/>
    <n v="0"/>
    <n v="7.2438000000000002"/>
    <n v="-4.0000000000000002E-4"/>
    <n v="0"/>
    <n v="-2.5000000000000001E-2"/>
    <n v="5.0000000000000001E-4"/>
    <n v="0"/>
    <n v="0"/>
    <n v="0"/>
    <n v="210"/>
    <n v="0.05"/>
    <n v="0"/>
    <n v="0"/>
    <n v="0"/>
    <n v="200"/>
    <n v="0"/>
  </r>
  <r>
    <x v="0"/>
    <x v="0"/>
    <s v="SPXW"/>
    <x v="0"/>
    <x v="60"/>
    <s v="p"/>
    <n v="0"/>
    <n v="0"/>
    <n v="0"/>
    <n v="0"/>
    <n v="0"/>
    <n v="0"/>
    <n v="0"/>
    <n v="677"/>
    <n v="0.05"/>
    <n v="0"/>
    <n v="0"/>
    <n v="0"/>
    <n v="0"/>
    <n v="7.2024999999999997"/>
    <n v="-4.0000000000000002E-4"/>
    <n v="0"/>
    <n v="-2.5000000000000001E-2"/>
    <n v="5.0000000000000001E-4"/>
    <n v="0"/>
    <n v="0"/>
    <n v="0"/>
    <n v="10"/>
    <n v="0.05"/>
    <n v="0"/>
    <n v="0"/>
    <n v="0"/>
    <n v="128"/>
    <n v="0"/>
  </r>
  <r>
    <x v="0"/>
    <x v="0"/>
    <s v="SPXW"/>
    <x v="0"/>
    <x v="61"/>
    <s v="p"/>
    <n v="0"/>
    <n v="0"/>
    <n v="0"/>
    <n v="0"/>
    <n v="0"/>
    <n v="0"/>
    <n v="0"/>
    <n v="681"/>
    <n v="0.05"/>
    <n v="0"/>
    <n v="0"/>
    <n v="0"/>
    <n v="0"/>
    <n v="7.1200999999999999"/>
    <n v="-4.0000000000000002E-4"/>
    <n v="0"/>
    <n v="-2.5000000000000001E-2"/>
    <n v="5.0000000000000001E-4"/>
    <n v="0"/>
    <n v="0"/>
    <n v="0"/>
    <n v="10"/>
    <n v="0.05"/>
    <n v="0"/>
    <n v="0"/>
    <n v="0"/>
    <n v="157"/>
    <n v="0"/>
  </r>
  <r>
    <x v="0"/>
    <x v="0"/>
    <s v="SPXW"/>
    <x v="0"/>
    <x v="62"/>
    <s v="p"/>
    <n v="0.05"/>
    <n v="0.05"/>
    <n v="0.05"/>
    <n v="0.05"/>
    <n v="6"/>
    <n v="0"/>
    <n v="0"/>
    <n v="874"/>
    <n v="0.05"/>
    <n v="0"/>
    <n v="0"/>
    <n v="0"/>
    <n v="0"/>
    <n v="7.0377000000000001"/>
    <n v="-4.0000000000000002E-4"/>
    <n v="0"/>
    <n v="-2.5000000000000001E-2"/>
    <n v="5.0000000000000001E-4"/>
    <n v="0"/>
    <n v="0"/>
    <n v="0"/>
    <n v="189"/>
    <n v="0.05"/>
    <n v="0"/>
    <n v="0"/>
    <n v="0.05"/>
    <n v="786"/>
    <n v="0"/>
  </r>
  <r>
    <x v="0"/>
    <x v="0"/>
    <s v="SPXW"/>
    <x v="0"/>
    <x v="63"/>
    <s v="p"/>
    <n v="0"/>
    <n v="0"/>
    <n v="0"/>
    <n v="0"/>
    <n v="0"/>
    <n v="0"/>
    <n v="0"/>
    <n v="674"/>
    <n v="0.05"/>
    <n v="0"/>
    <n v="0"/>
    <n v="0"/>
    <n v="0"/>
    <n v="6.9554999999999998"/>
    <n v="-4.0000000000000002E-4"/>
    <n v="0"/>
    <n v="-2.5000000000000001E-2"/>
    <n v="5.0000000000000001E-4"/>
    <n v="0"/>
    <n v="0"/>
    <n v="0"/>
    <n v="10"/>
    <n v="0.05"/>
    <n v="0"/>
    <n v="0"/>
    <n v="0"/>
    <n v="294"/>
    <n v="0"/>
  </r>
  <r>
    <x v="0"/>
    <x v="0"/>
    <s v="SPXW"/>
    <x v="0"/>
    <x v="64"/>
    <s v="p"/>
    <n v="0"/>
    <n v="0"/>
    <n v="0"/>
    <n v="0"/>
    <n v="0"/>
    <n v="0"/>
    <n v="0"/>
    <n v="673"/>
    <n v="0.05"/>
    <n v="0"/>
    <n v="0"/>
    <n v="0"/>
    <n v="0"/>
    <n v="6.8582999999999998"/>
    <n v="-4.0000000000000002E-4"/>
    <n v="0"/>
    <n v="-2.5000000000000001E-2"/>
    <n v="5.0000000000000001E-4"/>
    <n v="0"/>
    <n v="0"/>
    <n v="0"/>
    <n v="10"/>
    <n v="0.05"/>
    <n v="0"/>
    <n v="0"/>
    <n v="0"/>
    <n v="155"/>
    <n v="0"/>
  </r>
  <r>
    <x v="0"/>
    <x v="0"/>
    <s v="SPXW"/>
    <x v="0"/>
    <x v="65"/>
    <s v="p"/>
    <n v="0"/>
    <n v="0"/>
    <n v="0"/>
    <n v="0"/>
    <n v="0"/>
    <n v="0"/>
    <n v="0"/>
    <n v="877"/>
    <n v="0.05"/>
    <n v="0"/>
    <n v="0"/>
    <n v="0"/>
    <n v="0"/>
    <n v="6.8173000000000004"/>
    <n v="-4.0000000000000002E-4"/>
    <n v="0"/>
    <n v="-2.5000000000000001E-2"/>
    <n v="5.0000000000000001E-4"/>
    <n v="0"/>
    <n v="0"/>
    <n v="0"/>
    <n v="193"/>
    <n v="0.05"/>
    <n v="0"/>
    <n v="0"/>
    <n v="0"/>
    <n v="932"/>
    <n v="0"/>
  </r>
  <r>
    <x v="0"/>
    <x v="0"/>
    <s v="SPXW"/>
    <x v="0"/>
    <x v="66"/>
    <s v="p"/>
    <n v="0"/>
    <n v="0"/>
    <n v="0"/>
    <n v="0"/>
    <n v="0"/>
    <n v="0"/>
    <n v="0"/>
    <n v="661"/>
    <n v="0.05"/>
    <n v="0"/>
    <n v="0"/>
    <n v="0"/>
    <n v="0"/>
    <n v="6.7763"/>
    <n v="-4.0000000000000002E-4"/>
    <n v="0"/>
    <n v="-2.5000000000000001E-2"/>
    <n v="5.0000000000000001E-4"/>
    <n v="0"/>
    <n v="0"/>
    <n v="0"/>
    <n v="1"/>
    <n v="4.0999999999999996"/>
    <n v="0"/>
    <n v="0"/>
    <n v="0"/>
    <n v="34"/>
    <n v="0"/>
  </r>
  <r>
    <x v="0"/>
    <x v="0"/>
    <s v="SPXW"/>
    <x v="0"/>
    <x v="67"/>
    <s v="p"/>
    <n v="0"/>
    <n v="0"/>
    <n v="0"/>
    <n v="0"/>
    <n v="0"/>
    <n v="0"/>
    <n v="0"/>
    <n v="670"/>
    <n v="0.05"/>
    <n v="0"/>
    <n v="0"/>
    <n v="0"/>
    <n v="0"/>
    <n v="6.6943999999999999"/>
    <n v="-4.0000000000000002E-4"/>
    <n v="0"/>
    <n v="-2.5000000000000001E-2"/>
    <n v="5.0000000000000001E-4"/>
    <n v="0"/>
    <n v="0"/>
    <n v="0"/>
    <n v="10"/>
    <n v="0.05"/>
    <n v="0"/>
    <n v="0"/>
    <n v="0"/>
    <n v="133"/>
    <n v="0"/>
  </r>
  <r>
    <x v="0"/>
    <x v="0"/>
    <s v="SPXW"/>
    <x v="0"/>
    <x v="68"/>
    <s v="p"/>
    <n v="0"/>
    <n v="0"/>
    <n v="0"/>
    <n v="0"/>
    <n v="0"/>
    <n v="0"/>
    <n v="0"/>
    <n v="875"/>
    <n v="0.05"/>
    <n v="0"/>
    <n v="0"/>
    <n v="0"/>
    <n v="0"/>
    <n v="6.6125999999999996"/>
    <n v="-4.0000000000000002E-4"/>
    <n v="0"/>
    <n v="-2.5000000000000001E-2"/>
    <n v="5.0000000000000001E-4"/>
    <n v="0"/>
    <n v="0"/>
    <n v="0"/>
    <n v="194"/>
    <n v="0.05"/>
    <n v="0"/>
    <n v="0"/>
    <n v="0"/>
    <n v="540"/>
    <n v="0"/>
  </r>
  <r>
    <x v="0"/>
    <x v="0"/>
    <s v="SPXW"/>
    <x v="0"/>
    <x v="69"/>
    <s v="p"/>
    <n v="0"/>
    <n v="0"/>
    <n v="0"/>
    <n v="0"/>
    <n v="0"/>
    <n v="0"/>
    <n v="0"/>
    <n v="657"/>
    <n v="0.05"/>
    <n v="0"/>
    <n v="0"/>
    <n v="0"/>
    <n v="0"/>
    <n v="6.5308999999999999"/>
    <n v="-4.0000000000000002E-4"/>
    <n v="0"/>
    <n v="-2.5000000000000001E-2"/>
    <n v="5.0000000000000001E-4"/>
    <n v="0"/>
    <n v="0"/>
    <n v="0"/>
    <n v="1"/>
    <n v="4.0999999999999996"/>
    <n v="0"/>
    <n v="0"/>
    <n v="0"/>
    <n v="87"/>
    <n v="0"/>
  </r>
  <r>
    <x v="0"/>
    <x v="0"/>
    <s v="SPXW"/>
    <x v="0"/>
    <x v="70"/>
    <s v="p"/>
    <n v="0"/>
    <n v="0"/>
    <n v="0"/>
    <n v="0"/>
    <n v="0"/>
    <n v="0"/>
    <n v="0"/>
    <n v="656"/>
    <n v="0.05"/>
    <n v="0"/>
    <n v="0"/>
    <n v="0"/>
    <n v="0"/>
    <n v="6.4492000000000003"/>
    <n v="-4.0000000000000002E-4"/>
    <n v="0"/>
    <n v="-2.5000000000000001E-2"/>
    <n v="5.9999999999999995E-4"/>
    <n v="0"/>
    <n v="0"/>
    <n v="0"/>
    <n v="1"/>
    <n v="4.0999999999999996"/>
    <n v="0"/>
    <n v="0"/>
    <n v="0"/>
    <n v="14"/>
    <n v="0"/>
  </r>
  <r>
    <x v="0"/>
    <x v="0"/>
    <s v="SPXW"/>
    <x v="0"/>
    <x v="71"/>
    <s v="p"/>
    <n v="0"/>
    <n v="0"/>
    <n v="0"/>
    <n v="0"/>
    <n v="0"/>
    <n v="0"/>
    <n v="0"/>
    <n v="819"/>
    <n v="0.05"/>
    <n v="0"/>
    <n v="0"/>
    <n v="0"/>
    <n v="0"/>
    <n v="6.4084000000000003"/>
    <n v="-4.0000000000000002E-4"/>
    <n v="0"/>
    <n v="-2.5000000000000001E-2"/>
    <n v="5.9999999999999995E-4"/>
    <n v="0"/>
    <n v="0"/>
    <n v="0"/>
    <n v="140"/>
    <n v="0.05"/>
    <n v="0"/>
    <n v="0"/>
    <n v="0"/>
    <n v="136"/>
    <n v="0"/>
  </r>
  <r>
    <x v="0"/>
    <x v="0"/>
    <s v="SPXW"/>
    <x v="0"/>
    <x v="72"/>
    <s v="p"/>
    <n v="0"/>
    <n v="0"/>
    <n v="0"/>
    <n v="0"/>
    <n v="0"/>
    <n v="0"/>
    <n v="0"/>
    <n v="690"/>
    <n v="0.05"/>
    <n v="0"/>
    <n v="0"/>
    <n v="0"/>
    <n v="0"/>
    <n v="6.3676000000000004"/>
    <n v="-4.0000000000000002E-4"/>
    <n v="0"/>
    <n v="-2.5000000000000001E-2"/>
    <n v="5.9999999999999995E-4"/>
    <n v="0"/>
    <n v="0"/>
    <n v="0"/>
    <n v="10"/>
    <n v="0.05"/>
    <n v="0"/>
    <n v="0"/>
    <n v="0"/>
    <n v="154"/>
    <n v="0"/>
  </r>
  <r>
    <x v="0"/>
    <x v="0"/>
    <s v="SPXW"/>
    <x v="0"/>
    <x v="73"/>
    <s v="p"/>
    <n v="0"/>
    <n v="0"/>
    <n v="0"/>
    <n v="0"/>
    <n v="0"/>
    <n v="0"/>
    <n v="0"/>
    <n v="675"/>
    <n v="0.05"/>
    <n v="0"/>
    <n v="0"/>
    <n v="0"/>
    <n v="0"/>
    <n v="6.2861000000000002"/>
    <n v="-4.0000000000000002E-4"/>
    <n v="0"/>
    <n v="-2.5000000000000001E-2"/>
    <n v="5.9999999999999995E-4"/>
    <n v="0"/>
    <n v="0"/>
    <n v="0"/>
    <n v="1"/>
    <n v="4.0999999999999996"/>
    <n v="0"/>
    <n v="0"/>
    <n v="0"/>
    <n v="48"/>
    <n v="0"/>
  </r>
  <r>
    <x v="0"/>
    <x v="0"/>
    <s v="SPXW"/>
    <x v="0"/>
    <x v="74"/>
    <s v="p"/>
    <n v="0"/>
    <n v="0"/>
    <n v="0"/>
    <n v="0"/>
    <n v="0"/>
    <n v="0"/>
    <n v="0"/>
    <n v="833"/>
    <n v="0.05"/>
    <n v="0"/>
    <n v="0"/>
    <n v="0"/>
    <n v="0"/>
    <n v="6.2046000000000001"/>
    <n v="-4.0000000000000002E-4"/>
    <n v="0"/>
    <n v="-2.5000000000000001E-2"/>
    <n v="5.9999999999999995E-4"/>
    <n v="0"/>
    <n v="0"/>
    <n v="0"/>
    <n v="140"/>
    <n v="0.05"/>
    <n v="0"/>
    <n v="0"/>
    <n v="0"/>
    <n v="830"/>
    <n v="0"/>
  </r>
  <r>
    <x v="0"/>
    <x v="0"/>
    <s v="SPXW"/>
    <x v="0"/>
    <x v="75"/>
    <s v="p"/>
    <n v="0"/>
    <n v="0"/>
    <n v="0"/>
    <n v="0"/>
    <n v="0"/>
    <n v="0"/>
    <n v="0"/>
    <n v="674"/>
    <n v="0.05"/>
    <n v="0"/>
    <n v="0"/>
    <n v="0"/>
    <n v="0"/>
    <n v="6.1231999999999998"/>
    <n v="-4.0000000000000002E-4"/>
    <n v="0"/>
    <n v="-2.5000000000000001E-2"/>
    <n v="5.9999999999999995E-4"/>
    <n v="0"/>
    <n v="0"/>
    <n v="0"/>
    <n v="1"/>
    <n v="4.0999999999999996"/>
    <n v="0"/>
    <n v="0"/>
    <n v="0"/>
    <n v="123"/>
    <n v="0"/>
  </r>
  <r>
    <x v="0"/>
    <x v="0"/>
    <s v="SPXW"/>
    <x v="0"/>
    <x v="76"/>
    <s v="p"/>
    <n v="0"/>
    <n v="0"/>
    <n v="0"/>
    <n v="0"/>
    <n v="0"/>
    <n v="0"/>
    <n v="0"/>
    <n v="672"/>
    <n v="0.05"/>
    <n v="0"/>
    <n v="0"/>
    <n v="0"/>
    <n v="0"/>
    <n v="6.0549999999999997"/>
    <n v="-5.0000000000000001E-4"/>
    <n v="0"/>
    <n v="-2.5000000000000001E-2"/>
    <n v="5.9999999999999995E-4"/>
    <n v="0"/>
    <n v="0"/>
    <n v="0"/>
    <n v="1"/>
    <n v="4.0999999999999996"/>
    <n v="0"/>
    <n v="0"/>
    <n v="0"/>
    <n v="53"/>
    <n v="0"/>
  </r>
  <r>
    <x v="0"/>
    <x v="0"/>
    <s v="SPXW"/>
    <x v="0"/>
    <x v="77"/>
    <s v="p"/>
    <n v="0"/>
    <n v="0"/>
    <n v="0"/>
    <n v="0"/>
    <n v="0"/>
    <n v="0"/>
    <n v="0"/>
    <n v="871"/>
    <n v="0.05"/>
    <n v="0"/>
    <n v="0"/>
    <n v="0"/>
    <n v="0"/>
    <n v="6.0143000000000004"/>
    <n v="-5.0000000000000001E-4"/>
    <n v="0"/>
    <n v="-2.5000000000000001E-2"/>
    <n v="5.9999999999999995E-4"/>
    <n v="0"/>
    <n v="0"/>
    <n v="0"/>
    <n v="142"/>
    <n v="0.05"/>
    <n v="0"/>
    <n v="0"/>
    <n v="0"/>
    <n v="294"/>
    <n v="0"/>
  </r>
  <r>
    <x v="0"/>
    <x v="0"/>
    <s v="SPXW"/>
    <x v="0"/>
    <x v="78"/>
    <s v="p"/>
    <n v="0"/>
    <n v="0"/>
    <n v="0"/>
    <n v="0"/>
    <n v="0"/>
    <n v="0"/>
    <n v="0"/>
    <n v="671"/>
    <n v="0.05"/>
    <n v="0"/>
    <n v="0"/>
    <n v="0"/>
    <n v="0"/>
    <n v="5.9736000000000002"/>
    <n v="-5.0000000000000001E-4"/>
    <n v="0"/>
    <n v="-2.5000000000000001E-2"/>
    <n v="5.9999999999999995E-4"/>
    <n v="0"/>
    <n v="0"/>
    <n v="0"/>
    <n v="1"/>
    <n v="4.0999999999999996"/>
    <n v="0"/>
    <n v="0"/>
    <n v="0"/>
    <n v="185"/>
    <n v="0"/>
  </r>
  <r>
    <x v="0"/>
    <x v="0"/>
    <s v="SPXW"/>
    <x v="0"/>
    <x v="79"/>
    <s v="p"/>
    <n v="0"/>
    <n v="0"/>
    <n v="0"/>
    <n v="0"/>
    <n v="0"/>
    <n v="0"/>
    <n v="0"/>
    <n v="707"/>
    <n v="0.05"/>
    <n v="0"/>
    <n v="0"/>
    <n v="0"/>
    <n v="0"/>
    <n v="5.8921999999999999"/>
    <n v="-5.0000000000000001E-4"/>
    <n v="0"/>
    <n v="-2.5000000000000001E-2"/>
    <n v="5.9999999999999995E-4"/>
    <n v="0"/>
    <n v="0"/>
    <n v="0"/>
    <n v="1"/>
    <n v="4.0999999999999996"/>
    <n v="0"/>
    <n v="0"/>
    <n v="0"/>
    <n v="98"/>
    <n v="0"/>
  </r>
  <r>
    <x v="0"/>
    <x v="0"/>
    <s v="SPXW"/>
    <x v="0"/>
    <x v="80"/>
    <s v="p"/>
    <n v="0.03"/>
    <n v="0.03"/>
    <n v="0.03"/>
    <n v="0.03"/>
    <n v="8"/>
    <n v="0"/>
    <n v="0"/>
    <n v="866"/>
    <n v="0.05"/>
    <n v="0"/>
    <n v="0"/>
    <n v="0"/>
    <n v="0"/>
    <n v="5.8108000000000004"/>
    <n v="-5.0000000000000001E-4"/>
    <n v="0"/>
    <n v="-2.5000000000000001E-2"/>
    <n v="5.9999999999999995E-4"/>
    <n v="0"/>
    <n v="0"/>
    <n v="0"/>
    <n v="141"/>
    <n v="0.05"/>
    <n v="0"/>
    <n v="0"/>
    <n v="0.03"/>
    <n v="1770"/>
    <n v="0"/>
  </r>
  <r>
    <x v="0"/>
    <x v="0"/>
    <s v="SPXW"/>
    <x v="0"/>
    <x v="81"/>
    <s v="p"/>
    <n v="0"/>
    <n v="0"/>
    <n v="0"/>
    <n v="0"/>
    <n v="0"/>
    <n v="0"/>
    <n v="0"/>
    <n v="701"/>
    <n v="0.05"/>
    <n v="0"/>
    <n v="0"/>
    <n v="0"/>
    <n v="0"/>
    <n v="5.7294999999999998"/>
    <n v="-5.0000000000000001E-4"/>
    <n v="0"/>
    <n v="-2.5000000000000001E-2"/>
    <n v="5.9999999999999995E-4"/>
    <n v="0"/>
    <n v="0"/>
    <n v="0"/>
    <n v="1"/>
    <n v="4.0999999999999996"/>
    <n v="0"/>
    <n v="0"/>
    <n v="0"/>
    <n v="61"/>
    <n v="0"/>
  </r>
  <r>
    <x v="0"/>
    <x v="0"/>
    <s v="SPXW"/>
    <x v="0"/>
    <x v="82"/>
    <s v="p"/>
    <n v="0.05"/>
    <n v="0.05"/>
    <n v="0.05"/>
    <n v="0.05"/>
    <n v="50"/>
    <n v="0"/>
    <n v="0"/>
    <n v="843"/>
    <n v="0.05"/>
    <n v="0"/>
    <n v="0"/>
    <n v="0"/>
    <n v="0"/>
    <n v="5.6482999999999999"/>
    <n v="-5.0000000000000001E-4"/>
    <n v="0"/>
    <n v="-2.5000000000000001E-2"/>
    <n v="5.9999999999999995E-4"/>
    <n v="0"/>
    <n v="0"/>
    <n v="0"/>
    <n v="124"/>
    <n v="0.05"/>
    <n v="0"/>
    <n v="0"/>
    <n v="0.05"/>
    <n v="97"/>
    <n v="0"/>
  </r>
  <r>
    <x v="0"/>
    <x v="0"/>
    <s v="SPXW"/>
    <x v="0"/>
    <x v="83"/>
    <s v="p"/>
    <n v="0"/>
    <n v="0"/>
    <n v="0"/>
    <n v="0"/>
    <n v="0"/>
    <n v="0"/>
    <n v="0"/>
    <n v="829"/>
    <n v="0.05"/>
    <n v="0"/>
    <n v="0"/>
    <n v="0"/>
    <n v="0"/>
    <n v="5.6077000000000004"/>
    <n v="-5.0000000000000001E-4"/>
    <n v="0"/>
    <n v="-2.5000000000000001E-2"/>
    <n v="5.9999999999999995E-4"/>
    <n v="0"/>
    <n v="0"/>
    <n v="0"/>
    <n v="112"/>
    <n v="0.05"/>
    <n v="0"/>
    <n v="0"/>
    <n v="0"/>
    <n v="79"/>
    <n v="0"/>
  </r>
  <r>
    <x v="0"/>
    <x v="0"/>
    <s v="SPXW"/>
    <x v="0"/>
    <x v="84"/>
    <s v="p"/>
    <n v="0"/>
    <n v="0"/>
    <n v="0"/>
    <n v="0"/>
    <n v="0"/>
    <n v="0"/>
    <n v="0"/>
    <n v="703"/>
    <n v="0.05"/>
    <n v="0"/>
    <n v="0"/>
    <n v="0"/>
    <n v="0"/>
    <n v="5.5670999999999999"/>
    <n v="-5.0000000000000001E-4"/>
    <n v="0"/>
    <n v="-2.5000000000000001E-2"/>
    <n v="5.9999999999999995E-4"/>
    <n v="0"/>
    <n v="0"/>
    <n v="0"/>
    <n v="4"/>
    <n v="0.05"/>
    <n v="0"/>
    <n v="0"/>
    <n v="0"/>
    <n v="35"/>
    <n v="0"/>
  </r>
  <r>
    <x v="0"/>
    <x v="0"/>
    <s v="SPXW"/>
    <x v="0"/>
    <x v="85"/>
    <s v="p"/>
    <n v="0"/>
    <n v="0"/>
    <n v="0"/>
    <n v="0"/>
    <n v="0"/>
    <n v="0"/>
    <n v="0"/>
    <n v="697"/>
    <n v="0.05"/>
    <n v="0"/>
    <n v="0"/>
    <n v="0"/>
    <n v="0"/>
    <n v="5.4859999999999998"/>
    <n v="-5.0000000000000001E-4"/>
    <n v="0"/>
    <n v="-2.5000000000000001E-2"/>
    <n v="5.9999999999999995E-4"/>
    <n v="0"/>
    <n v="0"/>
    <n v="0"/>
    <n v="1"/>
    <n v="4.0999999999999996"/>
    <n v="0"/>
    <n v="0"/>
    <n v="0"/>
    <n v="178"/>
    <n v="0"/>
  </r>
  <r>
    <x v="0"/>
    <x v="0"/>
    <s v="SPXW"/>
    <x v="0"/>
    <x v="86"/>
    <s v="p"/>
    <n v="0.03"/>
    <n v="0.05"/>
    <n v="0.03"/>
    <n v="0.05"/>
    <n v="9"/>
    <n v="0"/>
    <n v="0"/>
    <n v="826"/>
    <n v="0.05"/>
    <n v="0"/>
    <n v="0"/>
    <n v="0"/>
    <n v="0"/>
    <n v="5.4048999999999996"/>
    <n v="-5.0000000000000001E-4"/>
    <n v="0"/>
    <n v="-2.5000000000000001E-2"/>
    <n v="5.9999999999999995E-4"/>
    <n v="0"/>
    <n v="0"/>
    <n v="0"/>
    <n v="112"/>
    <n v="0.05"/>
    <n v="0"/>
    <n v="0"/>
    <n v="3.8899999999999997E-2"/>
    <n v="316"/>
    <n v="0"/>
  </r>
  <r>
    <x v="0"/>
    <x v="0"/>
    <s v="SPXW"/>
    <x v="0"/>
    <x v="87"/>
    <s v="p"/>
    <n v="0"/>
    <n v="0"/>
    <n v="0"/>
    <n v="0"/>
    <n v="0"/>
    <n v="0"/>
    <n v="0"/>
    <n v="693"/>
    <n v="0.05"/>
    <n v="0"/>
    <n v="0"/>
    <n v="0"/>
    <n v="0"/>
    <n v="5.3239000000000001"/>
    <n v="-5.0000000000000001E-4"/>
    <n v="0"/>
    <n v="-2.5000000000000001E-2"/>
    <n v="6.9999999999999999E-4"/>
    <n v="0"/>
    <n v="0"/>
    <n v="0"/>
    <n v="1"/>
    <n v="0.05"/>
    <n v="0"/>
    <n v="0"/>
    <n v="0"/>
    <n v="196"/>
    <n v="0"/>
  </r>
  <r>
    <x v="0"/>
    <x v="0"/>
    <s v="SPXW"/>
    <x v="0"/>
    <x v="88"/>
    <s v="p"/>
    <n v="0"/>
    <n v="0"/>
    <n v="0"/>
    <n v="0"/>
    <n v="0"/>
    <n v="0"/>
    <n v="0"/>
    <n v="697"/>
    <n v="0.05"/>
    <n v="0"/>
    <n v="0"/>
    <n v="0"/>
    <n v="0"/>
    <n v="5.2428999999999997"/>
    <n v="-5.0000000000000001E-4"/>
    <n v="0"/>
    <n v="-2.5000000000000001E-2"/>
    <n v="6.9999999999999999E-4"/>
    <n v="0"/>
    <n v="0"/>
    <n v="0"/>
    <n v="1"/>
    <n v="4.0999999999999996"/>
    <n v="0"/>
    <n v="0"/>
    <n v="0"/>
    <n v="86"/>
    <n v="0"/>
  </r>
  <r>
    <x v="0"/>
    <x v="0"/>
    <s v="SPXW"/>
    <x v="0"/>
    <x v="89"/>
    <s v="p"/>
    <n v="0.03"/>
    <n v="0.03"/>
    <n v="0.03"/>
    <n v="0.03"/>
    <n v="1"/>
    <n v="0"/>
    <n v="0"/>
    <n v="825"/>
    <n v="0.05"/>
    <n v="0"/>
    <n v="0"/>
    <n v="0"/>
    <n v="0"/>
    <n v="5.2023999999999999"/>
    <n v="-5.0000000000000001E-4"/>
    <n v="0"/>
    <n v="-2.5000000000000001E-2"/>
    <n v="6.9999999999999999E-4"/>
    <n v="0"/>
    <n v="0"/>
    <n v="0"/>
    <n v="109"/>
    <n v="0.05"/>
    <n v="0"/>
    <n v="0"/>
    <n v="0.03"/>
    <n v="131"/>
    <n v="0"/>
  </r>
  <r>
    <x v="0"/>
    <x v="0"/>
    <s v="SPXW"/>
    <x v="0"/>
    <x v="90"/>
    <s v="p"/>
    <n v="0.02"/>
    <n v="0.02"/>
    <n v="0.02"/>
    <n v="0.02"/>
    <n v="2"/>
    <n v="0"/>
    <n v="0"/>
    <n v="696"/>
    <n v="0.05"/>
    <n v="0"/>
    <n v="0"/>
    <n v="0"/>
    <n v="0"/>
    <n v="5.1619999999999999"/>
    <n v="-5.0000000000000001E-4"/>
    <n v="0"/>
    <n v="-2.5000000000000001E-2"/>
    <n v="6.9999999999999999E-4"/>
    <n v="0"/>
    <n v="0"/>
    <n v="0"/>
    <n v="1"/>
    <n v="4.0999999999999996"/>
    <n v="0"/>
    <n v="0"/>
    <n v="0.02"/>
    <n v="290"/>
    <n v="0"/>
  </r>
  <r>
    <x v="0"/>
    <x v="0"/>
    <s v="SPXW"/>
    <x v="0"/>
    <x v="91"/>
    <s v="p"/>
    <n v="0"/>
    <n v="0"/>
    <n v="0"/>
    <n v="0"/>
    <n v="0"/>
    <n v="0"/>
    <n v="0"/>
    <n v="695"/>
    <n v="0.05"/>
    <n v="0"/>
    <n v="0"/>
    <n v="0"/>
    <n v="0"/>
    <n v="5.0701000000000001"/>
    <n v="-5.0000000000000001E-4"/>
    <n v="0"/>
    <n v="-2.5000000000000001E-2"/>
    <n v="6.9999999999999999E-4"/>
    <n v="0"/>
    <n v="0"/>
    <n v="0"/>
    <n v="1"/>
    <n v="4.0999999999999996"/>
    <n v="0"/>
    <n v="0"/>
    <n v="0"/>
    <n v="333"/>
    <n v="0"/>
  </r>
  <r>
    <x v="0"/>
    <x v="0"/>
    <s v="SPXW"/>
    <x v="0"/>
    <x v="92"/>
    <s v="p"/>
    <n v="0.05"/>
    <n v="0.05"/>
    <n v="0.03"/>
    <n v="0.05"/>
    <n v="1125"/>
    <n v="0"/>
    <n v="0"/>
    <n v="1225"/>
    <n v="0.05"/>
    <n v="0"/>
    <n v="0"/>
    <n v="0"/>
    <n v="0"/>
    <n v="4.9893999999999998"/>
    <n v="-5.0000000000000001E-4"/>
    <n v="0"/>
    <n v="-2.5000000000000001E-2"/>
    <n v="6.9999999999999999E-4"/>
    <n v="0"/>
    <n v="0"/>
    <n v="0"/>
    <n v="513"/>
    <n v="0.05"/>
    <n v="0"/>
    <n v="0"/>
    <n v="3.73E-2"/>
    <n v="1517"/>
    <n v="0"/>
  </r>
  <r>
    <x v="0"/>
    <x v="0"/>
    <s v="SPXW"/>
    <x v="0"/>
    <x v="93"/>
    <s v="p"/>
    <n v="0.05"/>
    <n v="0.05"/>
    <n v="0.05"/>
    <n v="0.05"/>
    <n v="6"/>
    <n v="0"/>
    <n v="0"/>
    <n v="690"/>
    <n v="0.05"/>
    <n v="0"/>
    <n v="0"/>
    <n v="0"/>
    <n v="0"/>
    <n v="4.9088000000000003"/>
    <n v="-5.0000000000000001E-4"/>
    <n v="0"/>
    <n v="-2.5000000000000001E-2"/>
    <n v="6.9999999999999999E-4"/>
    <n v="0"/>
    <n v="0"/>
    <n v="0"/>
    <n v="1"/>
    <n v="4.0999999999999996"/>
    <n v="0"/>
    <n v="0"/>
    <n v="0.05"/>
    <n v="81"/>
    <n v="0"/>
  </r>
  <r>
    <x v="0"/>
    <x v="0"/>
    <s v="SPXW"/>
    <x v="0"/>
    <x v="94"/>
    <s v="p"/>
    <n v="0.03"/>
    <n v="0.05"/>
    <n v="0.03"/>
    <n v="0.05"/>
    <n v="52"/>
    <n v="0"/>
    <n v="0"/>
    <n v="793"/>
    <n v="0.05"/>
    <n v="0"/>
    <n v="0"/>
    <n v="0"/>
    <n v="0"/>
    <n v="4.8281999999999998"/>
    <n v="-5.9999999999999995E-4"/>
    <n v="0"/>
    <n v="-2.5000000000000001E-2"/>
    <n v="6.9999999999999999E-4"/>
    <n v="0"/>
    <n v="0"/>
    <n v="0"/>
    <n v="84"/>
    <n v="0.05"/>
    <n v="0"/>
    <n v="0"/>
    <n v="4.9599999999999998E-2"/>
    <n v="121"/>
    <n v="0"/>
  </r>
  <r>
    <x v="0"/>
    <x v="0"/>
    <s v="SPXW"/>
    <x v="0"/>
    <x v="95"/>
    <s v="p"/>
    <n v="0.05"/>
    <n v="0.05"/>
    <n v="0.05"/>
    <n v="0.05"/>
    <n v="45"/>
    <n v="0"/>
    <n v="0"/>
    <n v="809"/>
    <n v="0.05"/>
    <n v="0"/>
    <n v="0"/>
    <n v="0"/>
    <n v="0"/>
    <n v="4.7878999999999996"/>
    <n v="-5.9999999999999995E-4"/>
    <n v="0"/>
    <n v="-2.5000000000000001E-2"/>
    <n v="6.9999999999999999E-4"/>
    <n v="0"/>
    <n v="0"/>
    <n v="0"/>
    <n v="105"/>
    <n v="0.05"/>
    <n v="0"/>
    <n v="0"/>
    <n v="0.05"/>
    <n v="229"/>
    <n v="0"/>
  </r>
  <r>
    <x v="0"/>
    <x v="0"/>
    <s v="SPXW"/>
    <x v="0"/>
    <x v="96"/>
    <s v="p"/>
    <n v="0.05"/>
    <n v="0.05"/>
    <n v="0.05"/>
    <n v="0.05"/>
    <n v="8"/>
    <n v="0"/>
    <n v="0"/>
    <n v="682"/>
    <n v="0.05"/>
    <n v="0"/>
    <n v="0"/>
    <n v="0"/>
    <n v="0"/>
    <n v="4.7476000000000003"/>
    <n v="-5.9999999999999995E-4"/>
    <n v="0"/>
    <n v="-2.5000000000000001E-2"/>
    <n v="6.9999999999999999E-4"/>
    <n v="0"/>
    <n v="0"/>
    <n v="0"/>
    <n v="1"/>
    <n v="4.0999999999999996"/>
    <n v="0"/>
    <n v="0"/>
    <n v="0.05"/>
    <n v="131"/>
    <n v="0"/>
  </r>
  <r>
    <x v="0"/>
    <x v="0"/>
    <s v="SPXW"/>
    <x v="0"/>
    <x v="97"/>
    <s v="p"/>
    <n v="0"/>
    <n v="0"/>
    <n v="0"/>
    <n v="0"/>
    <n v="0"/>
    <n v="0"/>
    <n v="0"/>
    <n v="681"/>
    <n v="0.05"/>
    <n v="0"/>
    <n v="0"/>
    <n v="0"/>
    <n v="0"/>
    <n v="4.6670999999999996"/>
    <n v="-5.9999999999999995E-4"/>
    <n v="0"/>
    <n v="-2.5000000000000001E-2"/>
    <n v="6.9999999999999999E-4"/>
    <n v="0"/>
    <n v="0"/>
    <n v="0"/>
    <n v="1"/>
    <n v="4.0999999999999996"/>
    <n v="0"/>
    <n v="0"/>
    <n v="0"/>
    <n v="98"/>
    <n v="0"/>
  </r>
  <r>
    <x v="0"/>
    <x v="0"/>
    <s v="SPXW"/>
    <x v="0"/>
    <x v="98"/>
    <s v="p"/>
    <n v="0.03"/>
    <n v="0.05"/>
    <n v="0.03"/>
    <n v="0.05"/>
    <n v="11"/>
    <n v="0"/>
    <n v="0"/>
    <n v="812"/>
    <n v="0.05"/>
    <n v="0"/>
    <n v="0"/>
    <n v="0"/>
    <n v="0"/>
    <n v="4.5964999999999998"/>
    <n v="-5.9999999999999995E-4"/>
    <n v="0"/>
    <n v="-2.5000000000000001E-2"/>
    <n v="6.9999999999999999E-4"/>
    <n v="0"/>
    <n v="0"/>
    <n v="0"/>
    <n v="112"/>
    <n v="0.05"/>
    <n v="0"/>
    <n v="0"/>
    <n v="4.0899999999999999E-2"/>
    <n v="634"/>
    <n v="0"/>
  </r>
  <r>
    <x v="0"/>
    <x v="0"/>
    <s v="SPXW"/>
    <x v="0"/>
    <x v="99"/>
    <s v="p"/>
    <n v="0.03"/>
    <n v="0.03"/>
    <n v="0.03"/>
    <n v="0.03"/>
    <n v="2"/>
    <n v="0"/>
    <n v="0"/>
    <n v="676"/>
    <n v="0.05"/>
    <n v="0"/>
    <n v="0"/>
    <n v="0"/>
    <n v="0"/>
    <n v="4.5061"/>
    <n v="-5.9999999999999995E-4"/>
    <n v="0"/>
    <n v="-2.5000000000000001E-2"/>
    <n v="8.0000000000000004E-4"/>
    <n v="0"/>
    <n v="0"/>
    <n v="0"/>
    <n v="1"/>
    <n v="4.0999999999999996"/>
    <n v="0"/>
    <n v="0"/>
    <n v="0.03"/>
    <n v="268"/>
    <n v="0"/>
  </r>
  <r>
    <x v="0"/>
    <x v="0"/>
    <s v="SPXW"/>
    <x v="0"/>
    <x v="100"/>
    <s v="p"/>
    <n v="0.05"/>
    <n v="0.05"/>
    <n v="0.05"/>
    <n v="0.05"/>
    <n v="14"/>
    <n v="0"/>
    <n v="0"/>
    <n v="672"/>
    <n v="0.05"/>
    <n v="0"/>
    <n v="0"/>
    <n v="0"/>
    <n v="0"/>
    <n v="4.4257"/>
    <n v="-5.9999999999999995E-4"/>
    <n v="0"/>
    <n v="-2.5000000000000001E-2"/>
    <n v="8.0000000000000004E-4"/>
    <n v="0"/>
    <n v="0"/>
    <n v="0"/>
    <n v="1"/>
    <n v="4.0999999999999996"/>
    <n v="0"/>
    <n v="0"/>
    <n v="0.05"/>
    <n v="121"/>
    <n v="0"/>
  </r>
  <r>
    <x v="0"/>
    <x v="0"/>
    <s v="SPXW"/>
    <x v="0"/>
    <x v="101"/>
    <s v="p"/>
    <n v="0.02"/>
    <n v="0.02"/>
    <n v="0.02"/>
    <n v="0.02"/>
    <n v="10"/>
    <n v="0"/>
    <n v="0"/>
    <n v="805"/>
    <n v="0.05"/>
    <n v="0"/>
    <n v="0"/>
    <n v="0"/>
    <n v="0"/>
    <n v="4.3949999999999996"/>
    <n v="-5.9999999999999995E-4"/>
    <n v="0"/>
    <n v="-2.5000000000000001E-2"/>
    <n v="8.0000000000000004E-4"/>
    <n v="0"/>
    <n v="0"/>
    <n v="0"/>
    <n v="114"/>
    <n v="0.05"/>
    <n v="0"/>
    <n v="0"/>
    <n v="0.02"/>
    <n v="486"/>
    <n v="0"/>
  </r>
  <r>
    <x v="0"/>
    <x v="0"/>
    <s v="SPXW"/>
    <x v="0"/>
    <x v="102"/>
    <s v="p"/>
    <n v="0.03"/>
    <n v="0.05"/>
    <n v="0.03"/>
    <n v="0.05"/>
    <n v="31"/>
    <n v="0"/>
    <n v="0"/>
    <n v="669"/>
    <n v="0.05"/>
    <n v="0"/>
    <n v="0"/>
    <n v="0"/>
    <n v="0"/>
    <n v="4.3452999999999999"/>
    <n v="-5.9999999999999995E-4"/>
    <n v="0"/>
    <n v="-2.5000000000000001E-2"/>
    <n v="8.0000000000000004E-4"/>
    <n v="0"/>
    <n v="0"/>
    <n v="0"/>
    <n v="1"/>
    <n v="0.1"/>
    <n v="0"/>
    <n v="0"/>
    <n v="4.87E-2"/>
    <n v="93"/>
    <n v="0"/>
  </r>
  <r>
    <x v="0"/>
    <x v="0"/>
    <s v="SPXW"/>
    <x v="0"/>
    <x v="103"/>
    <s v="p"/>
    <n v="0"/>
    <n v="0"/>
    <n v="0"/>
    <n v="0"/>
    <n v="0"/>
    <n v="0"/>
    <n v="0"/>
    <n v="666"/>
    <n v="0.05"/>
    <n v="0"/>
    <n v="0"/>
    <n v="0"/>
    <n v="0"/>
    <n v="4.2648999999999999"/>
    <n v="-5.9999999999999995E-4"/>
    <n v="0"/>
    <n v="-2.5000000000000001E-2"/>
    <n v="8.0000000000000004E-4"/>
    <n v="0"/>
    <n v="0"/>
    <n v="0"/>
    <n v="1"/>
    <n v="4.0999999999999996"/>
    <n v="0"/>
    <n v="0"/>
    <n v="0"/>
    <n v="194"/>
    <n v="0"/>
  </r>
  <r>
    <x v="0"/>
    <x v="0"/>
    <s v="SPXW"/>
    <x v="0"/>
    <x v="104"/>
    <s v="p"/>
    <n v="0.05"/>
    <n v="0.05"/>
    <n v="0.03"/>
    <n v="0.03"/>
    <n v="96"/>
    <n v="0"/>
    <n v="0"/>
    <n v="800"/>
    <n v="0.05"/>
    <n v="0"/>
    <n v="0"/>
    <n v="0"/>
    <n v="0"/>
    <n v="4.1936"/>
    <n v="-5.9999999999999995E-4"/>
    <n v="0"/>
    <n v="-2.5000000000000001E-2"/>
    <n v="8.0000000000000004E-4"/>
    <n v="0"/>
    <n v="0"/>
    <n v="0"/>
    <n v="114"/>
    <n v="0.05"/>
    <n v="0"/>
    <n v="0"/>
    <n v="4.1000000000000002E-2"/>
    <n v="505"/>
    <n v="0"/>
  </r>
  <r>
    <x v="0"/>
    <x v="0"/>
    <s v="SPXW"/>
    <x v="0"/>
    <x v="105"/>
    <s v="p"/>
    <n v="0.05"/>
    <n v="0.05"/>
    <n v="0.03"/>
    <n v="0.03"/>
    <n v="13"/>
    <n v="0"/>
    <n v="0"/>
    <n v="664"/>
    <n v="0.05"/>
    <n v="0"/>
    <n v="0"/>
    <n v="0"/>
    <n v="0"/>
    <n v="4.1041999999999996"/>
    <n v="-5.9999999999999995E-4"/>
    <n v="0"/>
    <n v="-2.5000000000000001E-2"/>
    <n v="8.0000000000000004E-4"/>
    <n v="0"/>
    <n v="0"/>
    <n v="0"/>
    <n v="1"/>
    <n v="4.0999999999999996"/>
    <n v="0"/>
    <n v="0"/>
    <n v="4.8500000000000001E-2"/>
    <n v="1369"/>
    <n v="0"/>
  </r>
  <r>
    <x v="0"/>
    <x v="0"/>
    <s v="SPXW"/>
    <x v="0"/>
    <x v="106"/>
    <s v="p"/>
    <n v="0.05"/>
    <n v="0.05"/>
    <n v="0.05"/>
    <n v="0.05"/>
    <n v="16"/>
    <n v="0"/>
    <n v="0"/>
    <n v="661"/>
    <n v="0.05"/>
    <n v="0"/>
    <n v="0"/>
    <n v="0"/>
    <n v="0"/>
    <n v="4.0640999999999998"/>
    <n v="-5.9999999999999995E-4"/>
    <n v="0"/>
    <n v="-2.5000000000000001E-2"/>
    <n v="8.0000000000000004E-4"/>
    <n v="0"/>
    <n v="0"/>
    <n v="0"/>
    <n v="1"/>
    <n v="4.0999999999999996"/>
    <n v="0"/>
    <n v="0"/>
    <n v="0.05"/>
    <n v="131"/>
    <n v="0"/>
  </r>
  <r>
    <x v="0"/>
    <x v="0"/>
    <s v="SPXW"/>
    <x v="0"/>
    <x v="107"/>
    <s v="p"/>
    <n v="0.05"/>
    <n v="0.05"/>
    <n v="0.05"/>
    <n v="0.05"/>
    <n v="12"/>
    <n v="0"/>
    <n v="0"/>
    <n v="660"/>
    <n v="0.05"/>
    <n v="0"/>
    <n v="0"/>
    <n v="0"/>
    <n v="0"/>
    <n v="4.0239000000000003"/>
    <n v="-6.9999999999999999E-4"/>
    <n v="0"/>
    <n v="-2.5000000000000001E-2"/>
    <n v="8.0000000000000004E-4"/>
    <n v="0"/>
    <n v="0"/>
    <n v="0"/>
    <n v="1"/>
    <n v="4"/>
    <n v="0"/>
    <n v="0"/>
    <n v="0.05"/>
    <n v="2014"/>
    <n v="0"/>
  </r>
  <r>
    <x v="0"/>
    <x v="0"/>
    <s v="SPXW"/>
    <x v="0"/>
    <x v="108"/>
    <s v="p"/>
    <n v="0.05"/>
    <n v="0.05"/>
    <n v="0.05"/>
    <n v="0.05"/>
    <n v="52"/>
    <n v="0"/>
    <n v="0"/>
    <n v="791"/>
    <n v="0.05"/>
    <n v="0"/>
    <n v="0"/>
    <n v="0"/>
    <n v="0"/>
    <n v="3.9923999999999999"/>
    <n v="-6.9999999999999999E-4"/>
    <n v="0"/>
    <n v="-2.5000000000000001E-2"/>
    <n v="8.0000000000000004E-4"/>
    <n v="0"/>
    <n v="0"/>
    <n v="0"/>
    <n v="111"/>
    <n v="0.05"/>
    <n v="0"/>
    <n v="0"/>
    <n v="0.05"/>
    <n v="1557"/>
    <n v="0"/>
  </r>
  <r>
    <x v="0"/>
    <x v="0"/>
    <s v="SPXW"/>
    <x v="0"/>
    <x v="109"/>
    <s v="p"/>
    <n v="0.05"/>
    <n v="0.05"/>
    <n v="0.02"/>
    <n v="0.02"/>
    <n v="7"/>
    <n v="0"/>
    <n v="0"/>
    <n v="658"/>
    <n v="0.05"/>
    <n v="0"/>
    <n v="0"/>
    <n v="0"/>
    <n v="0"/>
    <n v="3.9436"/>
    <n v="-6.9999999999999999E-4"/>
    <n v="0"/>
    <n v="-2.5000000000000001E-2"/>
    <n v="8.9999999999999998E-4"/>
    <n v="0"/>
    <n v="0"/>
    <n v="0"/>
    <n v="1"/>
    <n v="4"/>
    <n v="0"/>
    <n v="0"/>
    <n v="4.5699999999999998E-2"/>
    <n v="313"/>
    <n v="0"/>
  </r>
  <r>
    <x v="0"/>
    <x v="0"/>
    <s v="SPXW"/>
    <x v="0"/>
    <x v="110"/>
    <s v="p"/>
    <n v="0.03"/>
    <n v="0.03"/>
    <n v="0.03"/>
    <n v="0.03"/>
    <n v="60"/>
    <n v="0"/>
    <n v="0"/>
    <n v="656"/>
    <n v="0.05"/>
    <n v="0"/>
    <n v="0"/>
    <n v="0"/>
    <n v="0"/>
    <n v="3.9034"/>
    <n v="-6.9999999999999999E-4"/>
    <n v="0"/>
    <n v="-2.5000000000000001E-2"/>
    <n v="8.9999999999999998E-4"/>
    <n v="0"/>
    <n v="0"/>
    <n v="0"/>
    <n v="1"/>
    <n v="4.0999999999999996"/>
    <n v="0"/>
    <n v="0"/>
    <n v="0.03"/>
    <n v="2"/>
    <n v="0"/>
  </r>
  <r>
    <x v="0"/>
    <x v="0"/>
    <s v="SPXW"/>
    <x v="0"/>
    <x v="111"/>
    <s v="p"/>
    <n v="0"/>
    <n v="0"/>
    <n v="0"/>
    <n v="0"/>
    <n v="0"/>
    <n v="0"/>
    <n v="0"/>
    <n v="656"/>
    <n v="0.05"/>
    <n v="0"/>
    <n v="0"/>
    <n v="0"/>
    <n v="0"/>
    <n v="3.8715999999999999"/>
    <n v="-6.9999999999999999E-4"/>
    <n v="0"/>
    <n v="-2.5000000000000001E-2"/>
    <n v="8.9999999999999998E-4"/>
    <n v="0"/>
    <n v="0"/>
    <n v="0"/>
    <n v="1"/>
    <n v="0.05"/>
    <n v="0"/>
    <n v="0"/>
    <n v="0"/>
    <n v="161"/>
    <n v="0"/>
  </r>
  <r>
    <x v="0"/>
    <x v="0"/>
    <s v="SPXW"/>
    <x v="0"/>
    <x v="112"/>
    <s v="p"/>
    <n v="0.05"/>
    <n v="0.05"/>
    <n v="0.03"/>
    <n v="0.03"/>
    <n v="35"/>
    <n v="0"/>
    <n v="0"/>
    <n v="655"/>
    <n v="0.05"/>
    <n v="0"/>
    <n v="0"/>
    <n v="0"/>
    <n v="0"/>
    <n v="3.8313999999999999"/>
    <n v="-6.9999999999999999E-4"/>
    <n v="0"/>
    <n v="-2.5000000000000001E-2"/>
    <n v="8.9999999999999998E-4"/>
    <n v="0"/>
    <n v="0"/>
    <n v="0"/>
    <n v="1"/>
    <n v="4.0999999999999996"/>
    <n v="0"/>
    <n v="0"/>
    <n v="4.9399999999999999E-2"/>
    <n v="78"/>
    <n v="0"/>
  </r>
  <r>
    <x v="0"/>
    <x v="0"/>
    <s v="SPXW"/>
    <x v="0"/>
    <x v="113"/>
    <s v="p"/>
    <n v="0.03"/>
    <n v="0.05"/>
    <n v="0.03"/>
    <n v="0.05"/>
    <n v="46"/>
    <n v="0"/>
    <n v="0"/>
    <n v="800"/>
    <n v="0.05"/>
    <n v="0"/>
    <n v="0"/>
    <n v="0"/>
    <n v="0"/>
    <n v="3.7911999999999999"/>
    <n v="-6.9999999999999999E-4"/>
    <n v="0"/>
    <n v="-2.5000000000000001E-2"/>
    <n v="8.9999999999999998E-4"/>
    <n v="0"/>
    <n v="0"/>
    <n v="0"/>
    <n v="125"/>
    <n v="0.05"/>
    <n v="0"/>
    <n v="0"/>
    <n v="4.5699999999999998E-2"/>
    <n v="799"/>
    <n v="0"/>
  </r>
  <r>
    <x v="0"/>
    <x v="0"/>
    <s v="SPXW"/>
    <x v="0"/>
    <x v="114"/>
    <s v="p"/>
    <n v="0.05"/>
    <n v="0.05"/>
    <n v="0.03"/>
    <n v="0.03"/>
    <n v="25"/>
    <n v="0"/>
    <n v="0"/>
    <n v="658"/>
    <n v="0.05"/>
    <n v="0"/>
    <n v="0"/>
    <n v="0"/>
    <n v="0"/>
    <n v="3.7509999999999999"/>
    <n v="-6.9999999999999999E-4"/>
    <n v="0"/>
    <n v="-2.5000000000000001E-2"/>
    <n v="8.9999999999999998E-4"/>
    <n v="0"/>
    <n v="0"/>
    <n v="0"/>
    <n v="1"/>
    <n v="4.0999999999999996"/>
    <n v="0"/>
    <n v="0"/>
    <n v="4.9200000000000001E-2"/>
    <n v="144"/>
    <n v="0"/>
  </r>
  <r>
    <x v="0"/>
    <x v="0"/>
    <s v="SPXW"/>
    <x v="0"/>
    <x v="115"/>
    <s v="p"/>
    <n v="0.03"/>
    <n v="0.03"/>
    <n v="0.03"/>
    <n v="0.03"/>
    <n v="12"/>
    <n v="0"/>
    <n v="0"/>
    <n v="655"/>
    <n v="0.05"/>
    <n v="0"/>
    <n v="0"/>
    <n v="0"/>
    <n v="0"/>
    <n v="3.7107000000000001"/>
    <n v="-6.9999999999999999E-4"/>
    <n v="0"/>
    <n v="-2.5000000000000001E-2"/>
    <n v="8.9999999999999998E-4"/>
    <n v="0"/>
    <n v="0"/>
    <n v="0"/>
    <n v="1"/>
    <n v="4.0999999999999996"/>
    <n v="0"/>
    <n v="0"/>
    <n v="0.03"/>
    <n v="454"/>
    <n v="0"/>
  </r>
  <r>
    <x v="0"/>
    <x v="0"/>
    <s v="SPXW"/>
    <x v="0"/>
    <x v="116"/>
    <s v="p"/>
    <n v="0.03"/>
    <n v="0.03"/>
    <n v="0.03"/>
    <n v="0.03"/>
    <n v="12"/>
    <n v="0"/>
    <n v="0"/>
    <n v="775"/>
    <n v="0.05"/>
    <n v="0"/>
    <n v="0"/>
    <n v="0"/>
    <n v="0"/>
    <n v="3.6705000000000001"/>
    <n v="-6.9999999999999999E-4"/>
    <n v="0"/>
    <n v="-2.5000000000000001E-2"/>
    <n v="8.9999999999999998E-4"/>
    <n v="0"/>
    <n v="0"/>
    <n v="0"/>
    <n v="1"/>
    <n v="4.0999999999999996"/>
    <n v="0"/>
    <n v="0"/>
    <n v="0.03"/>
    <n v="111"/>
    <n v="0"/>
  </r>
  <r>
    <x v="0"/>
    <x v="0"/>
    <s v="SPXW"/>
    <x v="0"/>
    <x v="117"/>
    <s v="p"/>
    <n v="0.05"/>
    <n v="0.05"/>
    <n v="0.05"/>
    <n v="0.05"/>
    <n v="3"/>
    <n v="0"/>
    <n v="0"/>
    <n v="774"/>
    <n v="0.05"/>
    <n v="0"/>
    <n v="0"/>
    <n v="0"/>
    <n v="0"/>
    <n v="3.6303000000000001"/>
    <n v="-6.9999999999999999E-4"/>
    <n v="0"/>
    <n v="-2.5000000000000001E-2"/>
    <n v="8.9999999999999998E-4"/>
    <n v="0"/>
    <n v="0"/>
    <n v="0"/>
    <n v="1"/>
    <n v="4.0999999999999996"/>
    <n v="0"/>
    <n v="0"/>
    <n v="0.05"/>
    <n v="299"/>
    <n v="0"/>
  </r>
  <r>
    <x v="0"/>
    <x v="0"/>
    <s v="SPXW"/>
    <x v="0"/>
    <x v="118"/>
    <s v="p"/>
    <n v="0.05"/>
    <n v="0.05"/>
    <n v="0.02"/>
    <n v="0.05"/>
    <n v="38"/>
    <n v="0"/>
    <n v="0"/>
    <n v="881"/>
    <n v="0.05"/>
    <n v="0"/>
    <n v="0"/>
    <n v="0"/>
    <n v="0"/>
    <n v="3.59"/>
    <n v="-6.9999999999999999E-4"/>
    <n v="0"/>
    <n v="-2.5000000000000001E-2"/>
    <n v="8.9999999999999998E-4"/>
    <n v="0"/>
    <n v="0"/>
    <n v="0"/>
    <n v="109"/>
    <n v="0.05"/>
    <n v="0"/>
    <n v="0"/>
    <n v="4.6100000000000002E-2"/>
    <n v="421"/>
    <n v="0"/>
  </r>
  <r>
    <x v="0"/>
    <x v="0"/>
    <s v="SPXW"/>
    <x v="0"/>
    <x v="119"/>
    <s v="p"/>
    <n v="0.05"/>
    <n v="0.05"/>
    <n v="0.03"/>
    <n v="0.03"/>
    <n v="3"/>
    <n v="0"/>
    <n v="0"/>
    <n v="762"/>
    <n v="0.05"/>
    <n v="0"/>
    <n v="0"/>
    <n v="0"/>
    <n v="0"/>
    <n v="3.5497999999999998"/>
    <n v="-6.9999999999999999E-4"/>
    <n v="0"/>
    <n v="-2.5000000000000001E-2"/>
    <n v="8.9999999999999998E-4"/>
    <n v="0"/>
    <n v="0"/>
    <n v="0"/>
    <n v="1"/>
    <n v="4.0999999999999996"/>
    <n v="0"/>
    <n v="0"/>
    <n v="4.3299999999999998E-2"/>
    <n v="215"/>
    <n v="0"/>
  </r>
  <r>
    <x v="0"/>
    <x v="0"/>
    <s v="SPXW"/>
    <x v="0"/>
    <x v="120"/>
    <s v="p"/>
    <n v="0.1"/>
    <n v="0.1"/>
    <n v="0.05"/>
    <n v="0.05"/>
    <n v="35"/>
    <n v="0"/>
    <n v="0"/>
    <n v="763"/>
    <n v="0.05"/>
    <n v="0"/>
    <n v="0"/>
    <n v="0"/>
    <n v="0"/>
    <n v="3.5095999999999998"/>
    <n v="-6.9999999999999999E-4"/>
    <n v="0"/>
    <n v="-2.5000000000000001E-2"/>
    <n v="8.9999999999999998E-4"/>
    <n v="0"/>
    <n v="0"/>
    <n v="0"/>
    <n v="1"/>
    <n v="0.05"/>
    <n v="0"/>
    <n v="0"/>
    <n v="6.7699999999999996E-2"/>
    <n v="541"/>
    <n v="0"/>
  </r>
  <r>
    <x v="0"/>
    <x v="0"/>
    <s v="SPXW"/>
    <x v="0"/>
    <x v="121"/>
    <s v="p"/>
    <n v="0.05"/>
    <n v="0.1"/>
    <n v="0.05"/>
    <n v="0.05"/>
    <n v="70"/>
    <n v="0"/>
    <n v="0"/>
    <n v="759"/>
    <n v="0.05"/>
    <n v="0"/>
    <n v="0"/>
    <n v="0"/>
    <n v="0"/>
    <n v="3.4693999999999998"/>
    <n v="-6.9999999999999999E-4"/>
    <n v="0"/>
    <n v="-2.5000000000000001E-2"/>
    <n v="1E-3"/>
    <n v="0"/>
    <n v="0"/>
    <n v="0"/>
    <n v="1"/>
    <n v="0.1"/>
    <n v="0"/>
    <n v="0"/>
    <n v="6.6400000000000001E-2"/>
    <n v="232"/>
    <n v="0"/>
  </r>
  <r>
    <x v="0"/>
    <x v="0"/>
    <s v="SPXW"/>
    <x v="0"/>
    <x v="122"/>
    <s v="p"/>
    <n v="0.03"/>
    <n v="0.1"/>
    <n v="0.01"/>
    <n v="0.01"/>
    <n v="26"/>
    <n v="0"/>
    <n v="0"/>
    <n v="758"/>
    <n v="0.05"/>
    <n v="0"/>
    <n v="0"/>
    <n v="0"/>
    <n v="0"/>
    <n v="3.4291999999999998"/>
    <n v="-8.0000000000000004E-4"/>
    <n v="0"/>
    <n v="-2.5000000000000001E-2"/>
    <n v="1E-3"/>
    <n v="0"/>
    <n v="0"/>
    <n v="0"/>
    <n v="1"/>
    <n v="4.0999999999999996"/>
    <n v="0"/>
    <n v="0"/>
    <n v="7.8799999999999995E-2"/>
    <n v="171"/>
    <n v="0"/>
  </r>
  <r>
    <x v="0"/>
    <x v="0"/>
    <s v="SPXW"/>
    <x v="0"/>
    <x v="123"/>
    <s v="p"/>
    <n v="0.05"/>
    <n v="0.1"/>
    <n v="0.03"/>
    <n v="0.03"/>
    <n v="271"/>
    <n v="0"/>
    <n v="0"/>
    <n v="873"/>
    <n v="0.05"/>
    <n v="0"/>
    <n v="0"/>
    <n v="0"/>
    <n v="0"/>
    <n v="3.3889"/>
    <n v="-8.0000000000000004E-4"/>
    <n v="0"/>
    <n v="-2.5000000000000001E-2"/>
    <n v="1E-3"/>
    <n v="0"/>
    <n v="0"/>
    <n v="0"/>
    <n v="118"/>
    <n v="0.05"/>
    <n v="0"/>
    <n v="0"/>
    <n v="4.7800000000000002E-2"/>
    <n v="2352"/>
    <n v="0"/>
  </r>
  <r>
    <x v="0"/>
    <x v="0"/>
    <s v="SPXW"/>
    <x v="0"/>
    <x v="124"/>
    <s v="p"/>
    <n v="0.05"/>
    <n v="0.1"/>
    <n v="0.05"/>
    <n v="0.1"/>
    <n v="16"/>
    <n v="0"/>
    <n v="0"/>
    <n v="754"/>
    <n v="0.05"/>
    <n v="0"/>
    <n v="0"/>
    <n v="0"/>
    <n v="0"/>
    <n v="3.3487"/>
    <n v="-8.0000000000000004E-4"/>
    <n v="0"/>
    <n v="-2.5000000000000001E-2"/>
    <n v="1E-3"/>
    <n v="0"/>
    <n v="0"/>
    <n v="0"/>
    <n v="1"/>
    <n v="4.0999999999999996"/>
    <n v="0"/>
    <n v="0"/>
    <n v="6.25E-2"/>
    <n v="394"/>
    <n v="0"/>
  </r>
  <r>
    <x v="0"/>
    <x v="0"/>
    <s v="SPXW"/>
    <x v="0"/>
    <x v="125"/>
    <s v="p"/>
    <n v="0.05"/>
    <n v="0.1"/>
    <n v="0.03"/>
    <n v="0.05"/>
    <n v="30"/>
    <n v="0"/>
    <n v="0"/>
    <n v="758"/>
    <n v="0.05"/>
    <n v="0"/>
    <n v="0"/>
    <n v="0"/>
    <n v="0"/>
    <n v="3.3085"/>
    <n v="-8.0000000000000004E-4"/>
    <n v="0"/>
    <n v="-2.5000000000000001E-2"/>
    <n v="1E-3"/>
    <n v="0"/>
    <n v="0"/>
    <n v="0"/>
    <n v="5"/>
    <n v="0.05"/>
    <n v="0"/>
    <n v="0"/>
    <n v="6.0299999999999999E-2"/>
    <n v="144"/>
    <n v="0"/>
  </r>
  <r>
    <x v="0"/>
    <x v="0"/>
    <s v="SPXW"/>
    <x v="0"/>
    <x v="126"/>
    <s v="p"/>
    <n v="0.05"/>
    <n v="0.1"/>
    <n v="0.05"/>
    <n v="0.05"/>
    <n v="46"/>
    <n v="0"/>
    <n v="0"/>
    <n v="749"/>
    <n v="0.05"/>
    <n v="0"/>
    <n v="0"/>
    <n v="0"/>
    <n v="0"/>
    <n v="3.2682000000000002"/>
    <n v="-8.0000000000000004E-4"/>
    <n v="0"/>
    <n v="-2.5000000000000001E-2"/>
    <n v="1E-3"/>
    <n v="0"/>
    <n v="0"/>
    <n v="0"/>
    <n v="1"/>
    <n v="4.0999999999999996"/>
    <n v="0"/>
    <n v="0"/>
    <n v="5.5399999999999998E-2"/>
    <n v="313"/>
    <n v="0"/>
  </r>
  <r>
    <x v="0"/>
    <x v="0"/>
    <s v="SPXW"/>
    <x v="0"/>
    <x v="127"/>
    <s v="p"/>
    <n v="0.05"/>
    <n v="0.15"/>
    <n v="0.05"/>
    <n v="0.1"/>
    <n v="61"/>
    <n v="0"/>
    <n v="0"/>
    <n v="1695"/>
    <n v="0.05"/>
    <n v="0"/>
    <n v="0"/>
    <n v="0"/>
    <n v="0"/>
    <n v="3.2280000000000002"/>
    <n v="-8.0000000000000004E-4"/>
    <n v="0"/>
    <n v="-2.5000000000000001E-2"/>
    <n v="1E-3"/>
    <n v="0"/>
    <n v="0"/>
    <n v="0"/>
    <n v="1"/>
    <n v="4.0999999999999996"/>
    <n v="0"/>
    <n v="0"/>
    <n v="6.1499999999999999E-2"/>
    <n v="175"/>
    <n v="0"/>
  </r>
  <r>
    <x v="0"/>
    <x v="0"/>
    <s v="SPXW"/>
    <x v="0"/>
    <x v="128"/>
    <s v="p"/>
    <n v="0.03"/>
    <n v="0.1"/>
    <n v="0.03"/>
    <n v="0.03"/>
    <n v="312"/>
    <n v="0"/>
    <n v="0"/>
    <n v="1814"/>
    <n v="0.05"/>
    <n v="0"/>
    <n v="0"/>
    <n v="0"/>
    <n v="0"/>
    <n v="3.1877"/>
    <n v="-8.0000000000000004E-4"/>
    <n v="0"/>
    <n v="-2.5000000000000001E-2"/>
    <n v="1E-3"/>
    <n v="0"/>
    <n v="0"/>
    <n v="0"/>
    <n v="103"/>
    <n v="0.05"/>
    <n v="0"/>
    <n v="0"/>
    <n v="5.0500000000000003E-2"/>
    <n v="406"/>
    <n v="0"/>
  </r>
  <r>
    <x v="0"/>
    <x v="0"/>
    <s v="SPXW"/>
    <x v="0"/>
    <x v="129"/>
    <s v="p"/>
    <n v="0.05"/>
    <n v="0.1"/>
    <n v="0.03"/>
    <n v="0.05"/>
    <n v="24"/>
    <n v="0"/>
    <n v="0"/>
    <n v="1686"/>
    <n v="0.05"/>
    <n v="0"/>
    <n v="0"/>
    <n v="0"/>
    <n v="0"/>
    <n v="3.1475"/>
    <n v="-8.0000000000000004E-4"/>
    <n v="0"/>
    <n v="-2.5000000000000001E-2"/>
    <n v="1E-3"/>
    <n v="0"/>
    <n v="0"/>
    <n v="0"/>
    <n v="1"/>
    <n v="4.0999999999999996"/>
    <n v="0"/>
    <n v="0"/>
    <n v="5.8799999999999998E-2"/>
    <n v="237"/>
    <n v="0"/>
  </r>
  <r>
    <x v="0"/>
    <x v="0"/>
    <s v="SPXW"/>
    <x v="0"/>
    <x v="130"/>
    <s v="p"/>
    <n v="0.03"/>
    <n v="0.1"/>
    <n v="0.03"/>
    <n v="0.1"/>
    <n v="6"/>
    <n v="0"/>
    <n v="0"/>
    <n v="1702"/>
    <n v="0.05"/>
    <n v="0"/>
    <n v="0"/>
    <n v="0"/>
    <n v="0"/>
    <n v="3.1072000000000002"/>
    <n v="-8.0000000000000004E-4"/>
    <n v="0"/>
    <n v="-2.5000000000000001E-2"/>
    <n v="1E-3"/>
    <n v="0"/>
    <n v="0"/>
    <n v="0"/>
    <n v="1"/>
    <n v="4.0999999999999996"/>
    <n v="0"/>
    <n v="0"/>
    <n v="0.08"/>
    <n v="430"/>
    <n v="0"/>
  </r>
  <r>
    <x v="0"/>
    <x v="0"/>
    <s v="SPXW"/>
    <x v="0"/>
    <x v="131"/>
    <s v="p"/>
    <n v="0.03"/>
    <n v="0.03"/>
    <n v="0.03"/>
    <n v="0.03"/>
    <n v="10"/>
    <n v="0"/>
    <n v="0"/>
    <n v="1701"/>
    <n v="0.05"/>
    <n v="0"/>
    <n v="0"/>
    <n v="0"/>
    <n v="0"/>
    <n v="3.0670000000000002"/>
    <n v="-8.0000000000000004E-4"/>
    <n v="0"/>
    <n v="-2.5000000000000001E-2"/>
    <n v="1.1000000000000001E-3"/>
    <n v="0"/>
    <n v="0"/>
    <n v="0"/>
    <n v="1"/>
    <n v="4.0999999999999996"/>
    <n v="0"/>
    <n v="0"/>
    <n v="0.03"/>
    <n v="375"/>
    <n v="0"/>
  </r>
  <r>
    <x v="0"/>
    <x v="0"/>
    <s v="SPXW"/>
    <x v="0"/>
    <x v="132"/>
    <s v="p"/>
    <n v="0.05"/>
    <n v="0.1"/>
    <n v="0.05"/>
    <n v="0.05"/>
    <n v="74"/>
    <n v="0"/>
    <n v="0"/>
    <n v="1693"/>
    <n v="0.05"/>
    <n v="0"/>
    <n v="0"/>
    <n v="0"/>
    <n v="0"/>
    <n v="3.0266999999999999"/>
    <n v="-8.0000000000000004E-4"/>
    <n v="0"/>
    <n v="-2.5000000000000001E-2"/>
    <n v="1.1000000000000001E-3"/>
    <n v="0"/>
    <n v="0"/>
    <n v="0"/>
    <n v="6"/>
    <n v="0.05"/>
    <n v="0"/>
    <n v="0"/>
    <n v="7.1800000000000003E-2"/>
    <n v="350"/>
    <n v="0"/>
  </r>
  <r>
    <x v="0"/>
    <x v="0"/>
    <s v="SPXW"/>
    <x v="0"/>
    <x v="133"/>
    <s v="p"/>
    <n v="0.05"/>
    <n v="0.2"/>
    <n v="0.03"/>
    <n v="0.03"/>
    <n v="1089"/>
    <n v="0"/>
    <n v="0"/>
    <n v="1823"/>
    <n v="0.05"/>
    <n v="0"/>
    <n v="0"/>
    <n v="0"/>
    <n v="0"/>
    <n v="2.9864000000000002"/>
    <n v="-8.9999999999999998E-4"/>
    <n v="0"/>
    <n v="-2.5000000000000001E-2"/>
    <n v="1.1000000000000001E-3"/>
    <n v="0"/>
    <n v="0"/>
    <n v="0"/>
    <n v="109"/>
    <n v="0.05"/>
    <n v="0"/>
    <n v="0"/>
    <n v="5.0599999999999999E-2"/>
    <n v="1498"/>
    <n v="0"/>
  </r>
  <r>
    <x v="0"/>
    <x v="0"/>
    <s v="SPXW"/>
    <x v="0"/>
    <x v="134"/>
    <s v="p"/>
    <n v="0.03"/>
    <n v="0.2"/>
    <n v="0.03"/>
    <n v="0.05"/>
    <n v="178"/>
    <n v="0"/>
    <n v="0"/>
    <n v="1690"/>
    <n v="0.05"/>
    <n v="0"/>
    <n v="0"/>
    <n v="0"/>
    <n v="0"/>
    <n v="2.9460999999999999"/>
    <n v="-8.9999999999999998E-4"/>
    <n v="0"/>
    <n v="-2.5000000000000001E-2"/>
    <n v="1.1000000000000001E-3"/>
    <n v="0"/>
    <n v="0"/>
    <n v="0"/>
    <n v="1"/>
    <n v="4.0999999999999996"/>
    <n v="0"/>
    <n v="0"/>
    <n v="5.3999999999999999E-2"/>
    <n v="1215"/>
    <n v="0"/>
  </r>
  <r>
    <x v="0"/>
    <x v="0"/>
    <s v="SPXW"/>
    <x v="0"/>
    <x v="135"/>
    <s v="p"/>
    <n v="0.03"/>
    <n v="0.2"/>
    <n v="0.03"/>
    <n v="0.05"/>
    <n v="858"/>
    <n v="0"/>
    <n v="0"/>
    <n v="1681"/>
    <n v="0.05"/>
    <n v="0"/>
    <n v="0"/>
    <n v="0"/>
    <n v="0"/>
    <n v="2.9058999999999999"/>
    <n v="-8.9999999999999998E-4"/>
    <n v="0"/>
    <n v="-2.5000000000000001E-2"/>
    <n v="1.1000000000000001E-3"/>
    <n v="0"/>
    <n v="0"/>
    <n v="0"/>
    <n v="1"/>
    <n v="4.0999999999999996"/>
    <n v="0"/>
    <n v="0"/>
    <n v="3.9699999999999999E-2"/>
    <n v="1047"/>
    <n v="0"/>
  </r>
  <r>
    <x v="0"/>
    <x v="0"/>
    <s v="SPXW"/>
    <x v="0"/>
    <x v="136"/>
    <s v="p"/>
    <n v="0.05"/>
    <n v="0.2"/>
    <n v="0.03"/>
    <n v="0.03"/>
    <n v="203"/>
    <n v="0"/>
    <n v="0"/>
    <n v="1678"/>
    <n v="0.05"/>
    <n v="0"/>
    <n v="0"/>
    <n v="0"/>
    <n v="0"/>
    <n v="2.8656000000000001"/>
    <n v="-8.9999999999999998E-4"/>
    <n v="0"/>
    <n v="-2.5000000000000001E-2"/>
    <n v="1.1000000000000001E-3"/>
    <n v="0"/>
    <n v="0"/>
    <n v="0"/>
    <n v="1"/>
    <n v="4.0999999999999996"/>
    <n v="0"/>
    <n v="0"/>
    <n v="5.7099999999999998E-2"/>
    <n v="1478"/>
    <n v="0"/>
  </r>
  <r>
    <x v="0"/>
    <x v="0"/>
    <s v="SPXW"/>
    <x v="0"/>
    <x v="137"/>
    <s v="p"/>
    <n v="0.03"/>
    <n v="0.25"/>
    <n v="0.03"/>
    <n v="7.0000000000000007E-2"/>
    <n v="291"/>
    <n v="0"/>
    <n v="0"/>
    <n v="1671"/>
    <n v="0.05"/>
    <n v="0"/>
    <n v="0"/>
    <n v="0"/>
    <n v="0"/>
    <n v="2.8252000000000002"/>
    <n v="-8.9999999999999998E-4"/>
    <n v="0"/>
    <n v="-2.5000000000000001E-2"/>
    <n v="1.1000000000000001E-3"/>
    <n v="0"/>
    <n v="0"/>
    <n v="0"/>
    <n v="1"/>
    <n v="0.05"/>
    <n v="0"/>
    <n v="0"/>
    <n v="5.0799999999999998E-2"/>
    <n v="174"/>
    <n v="0"/>
  </r>
  <r>
    <x v="0"/>
    <x v="0"/>
    <s v="SPXW"/>
    <x v="0"/>
    <x v="138"/>
    <s v="p"/>
    <n v="0.05"/>
    <n v="0.2"/>
    <n v="0.02"/>
    <n v="0.1"/>
    <n v="868"/>
    <n v="0"/>
    <n v="0"/>
    <n v="1744"/>
    <n v="0.05"/>
    <n v="0"/>
    <n v="0"/>
    <n v="0"/>
    <n v="0"/>
    <n v="2.7848999999999999"/>
    <n v="-8.9999999999999998E-4"/>
    <n v="0"/>
    <n v="-2.5000000000000001E-2"/>
    <n v="1.1999999999999999E-3"/>
    <n v="0"/>
    <n v="0"/>
    <n v="0"/>
    <n v="104"/>
    <n v="0.05"/>
    <n v="0"/>
    <n v="0"/>
    <n v="4.9299999999999997E-2"/>
    <n v="728"/>
    <n v="0"/>
  </r>
  <r>
    <x v="0"/>
    <x v="0"/>
    <s v="SPXW"/>
    <x v="0"/>
    <x v="139"/>
    <s v="p"/>
    <n v="0.05"/>
    <n v="0.2"/>
    <n v="0.03"/>
    <n v="0.03"/>
    <n v="1033"/>
    <n v="0"/>
    <n v="0"/>
    <n v="1644"/>
    <n v="0.05"/>
    <n v="0"/>
    <n v="0"/>
    <n v="0"/>
    <n v="0"/>
    <n v="2.7446000000000002"/>
    <n v="-8.9999999999999998E-4"/>
    <n v="0"/>
    <n v="-2.5000000000000001E-2"/>
    <n v="1.1999999999999999E-3"/>
    <n v="0"/>
    <n v="0"/>
    <n v="0"/>
    <n v="1"/>
    <n v="4.0999999999999996"/>
    <n v="0"/>
    <n v="0"/>
    <n v="4.8899999999999999E-2"/>
    <n v="753"/>
    <n v="0"/>
  </r>
  <r>
    <x v="0"/>
    <x v="0"/>
    <s v="SPXW"/>
    <x v="0"/>
    <x v="140"/>
    <s v="p"/>
    <n v="0.05"/>
    <n v="0.2"/>
    <n v="0.03"/>
    <n v="0.05"/>
    <n v="190"/>
    <n v="0"/>
    <n v="0"/>
    <n v="1637"/>
    <n v="0.05"/>
    <n v="0"/>
    <n v="0"/>
    <n v="0"/>
    <n v="0"/>
    <n v="2.7042000000000002"/>
    <n v="-8.9999999999999998E-4"/>
    <n v="0"/>
    <n v="-2.5000000000000001E-2"/>
    <n v="1.1999999999999999E-3"/>
    <n v="0"/>
    <n v="0"/>
    <n v="0"/>
    <n v="2"/>
    <n v="0.1"/>
    <n v="0"/>
    <n v="0"/>
    <n v="5.7099999999999998E-2"/>
    <n v="241"/>
    <n v="0"/>
  </r>
  <r>
    <x v="0"/>
    <x v="0"/>
    <s v="SPXW"/>
    <x v="0"/>
    <x v="141"/>
    <s v="p"/>
    <n v="0.03"/>
    <n v="0.2"/>
    <n v="0.03"/>
    <n v="0.03"/>
    <n v="145"/>
    <n v="0"/>
    <n v="0"/>
    <n v="1621"/>
    <n v="0.05"/>
    <n v="0"/>
    <n v="0"/>
    <n v="0"/>
    <n v="0"/>
    <n v="2.6638999999999999"/>
    <n v="-1E-3"/>
    <n v="0"/>
    <n v="-2.5000000000000001E-2"/>
    <n v="1.1999999999999999E-3"/>
    <n v="0"/>
    <n v="0"/>
    <n v="0"/>
    <n v="1"/>
    <n v="4.0999999999999996"/>
    <n v="0"/>
    <n v="0"/>
    <n v="5.0799999999999998E-2"/>
    <n v="2294"/>
    <n v="0"/>
  </r>
  <r>
    <x v="0"/>
    <x v="0"/>
    <s v="SPXW"/>
    <x v="0"/>
    <x v="142"/>
    <s v="p"/>
    <n v="0.1"/>
    <n v="0.1"/>
    <n v="0.03"/>
    <n v="0.03"/>
    <n v="522"/>
    <n v="0"/>
    <n v="0"/>
    <n v="1577"/>
    <n v="0.05"/>
    <n v="0"/>
    <n v="0"/>
    <n v="0"/>
    <n v="0"/>
    <n v="2.6234999999999999"/>
    <n v="-1E-3"/>
    <n v="0"/>
    <n v="-2.5000000000000001E-2"/>
    <n v="1.1999999999999999E-3"/>
    <n v="0"/>
    <n v="0"/>
    <n v="0"/>
    <n v="1"/>
    <n v="0.05"/>
    <n v="0"/>
    <n v="0"/>
    <n v="6.5699999999999995E-2"/>
    <n v="140"/>
    <n v="0"/>
  </r>
  <r>
    <x v="0"/>
    <x v="0"/>
    <s v="SPXW"/>
    <x v="0"/>
    <x v="143"/>
    <s v="p"/>
    <n v="0.05"/>
    <n v="0.2"/>
    <n v="0.03"/>
    <n v="0.03"/>
    <n v="994"/>
    <n v="0"/>
    <n v="0"/>
    <n v="1662"/>
    <n v="0.05"/>
    <n v="0"/>
    <n v="0"/>
    <n v="0"/>
    <n v="0"/>
    <n v="2.5831"/>
    <n v="-1E-3"/>
    <n v="0"/>
    <n v="-2.5000000000000001E-2"/>
    <n v="1.1999999999999999E-3"/>
    <n v="0"/>
    <n v="0"/>
    <n v="0"/>
    <n v="112"/>
    <n v="0.05"/>
    <n v="0"/>
    <n v="0"/>
    <n v="5.4800000000000001E-2"/>
    <n v="6697"/>
    <n v="0"/>
  </r>
  <r>
    <x v="0"/>
    <x v="0"/>
    <s v="SPXW"/>
    <x v="0"/>
    <x v="144"/>
    <s v="p"/>
    <n v="0.05"/>
    <n v="7.0000000000000007E-2"/>
    <n v="0.03"/>
    <n v="0.05"/>
    <n v="413"/>
    <n v="0"/>
    <n v="0"/>
    <n v="1560"/>
    <n v="0.05"/>
    <n v="0"/>
    <n v="0"/>
    <n v="0"/>
    <n v="0"/>
    <n v="2.5427"/>
    <n v="-1E-3"/>
    <n v="0"/>
    <n v="-2.5000000000000001E-2"/>
    <n v="1.1999999999999999E-3"/>
    <n v="0"/>
    <n v="0"/>
    <n v="0"/>
    <n v="1"/>
    <n v="0.1"/>
    <n v="0"/>
    <n v="0"/>
    <n v="4.7399999999999998E-2"/>
    <n v="325"/>
    <n v="0"/>
  </r>
  <r>
    <x v="0"/>
    <x v="0"/>
    <s v="SPXW"/>
    <x v="0"/>
    <x v="145"/>
    <s v="p"/>
    <n v="7.0000000000000007E-2"/>
    <n v="0.25"/>
    <n v="0.03"/>
    <n v="0.03"/>
    <n v="336"/>
    <n v="0"/>
    <n v="0"/>
    <n v="1551"/>
    <n v="0.05"/>
    <n v="0"/>
    <n v="0"/>
    <n v="0"/>
    <n v="0"/>
    <n v="2.5023"/>
    <n v="-1E-3"/>
    <n v="0"/>
    <n v="-2.5000000000000001E-2"/>
    <n v="1.2999999999999999E-3"/>
    <n v="0"/>
    <n v="0"/>
    <n v="0"/>
    <n v="7"/>
    <n v="0.05"/>
    <n v="0"/>
    <n v="0"/>
    <n v="0.1157"/>
    <n v="884"/>
    <n v="0"/>
  </r>
  <r>
    <x v="0"/>
    <x v="0"/>
    <s v="SPXW"/>
    <x v="0"/>
    <x v="146"/>
    <s v="p"/>
    <n v="0.05"/>
    <n v="0.3"/>
    <n v="0.03"/>
    <n v="0.1"/>
    <n v="900"/>
    <n v="0"/>
    <n v="0"/>
    <n v="1534"/>
    <n v="0.05"/>
    <n v="0"/>
    <n v="0"/>
    <n v="0"/>
    <n v="0"/>
    <n v="2.4618000000000002"/>
    <n v="-1E-3"/>
    <n v="0"/>
    <n v="-2.5000000000000001E-2"/>
    <n v="1.2999999999999999E-3"/>
    <n v="0"/>
    <n v="0"/>
    <n v="0"/>
    <n v="1"/>
    <n v="4.0999999999999996"/>
    <n v="0"/>
    <n v="0"/>
    <n v="5.9900000000000002E-2"/>
    <n v="186"/>
    <n v="0"/>
  </r>
  <r>
    <x v="0"/>
    <x v="0"/>
    <s v="SPXW"/>
    <x v="0"/>
    <x v="147"/>
    <s v="p"/>
    <n v="0.05"/>
    <n v="0.3"/>
    <n v="0.03"/>
    <n v="0.03"/>
    <n v="308"/>
    <n v="0"/>
    <n v="0"/>
    <n v="1531"/>
    <n v="0.05"/>
    <n v="0"/>
    <n v="0"/>
    <n v="0"/>
    <n v="0"/>
    <n v="2.4214000000000002"/>
    <n v="-1E-3"/>
    <n v="0"/>
    <n v="-2.5000000000000001E-2"/>
    <n v="1.2999999999999999E-3"/>
    <n v="0"/>
    <n v="0"/>
    <n v="0"/>
    <n v="2"/>
    <n v="0.05"/>
    <n v="0"/>
    <n v="0"/>
    <n v="6.0600000000000001E-2"/>
    <n v="320"/>
    <n v="0"/>
  </r>
  <r>
    <x v="0"/>
    <x v="0"/>
    <s v="SPXW"/>
    <x v="0"/>
    <x v="148"/>
    <s v="p"/>
    <n v="0.08"/>
    <n v="0.3"/>
    <n v="0.03"/>
    <n v="0.03"/>
    <n v="335"/>
    <n v="0"/>
    <n v="0"/>
    <n v="1561"/>
    <n v="0.05"/>
    <n v="0"/>
    <n v="0"/>
    <n v="0"/>
    <n v="0"/>
    <n v="2.3809"/>
    <n v="-1.1000000000000001E-3"/>
    <n v="0"/>
    <n v="-2.5000000000000001E-2"/>
    <n v="1.2999999999999999E-3"/>
    <n v="0"/>
    <n v="0"/>
    <n v="0"/>
    <n v="100"/>
    <n v="0.05"/>
    <n v="0"/>
    <n v="0"/>
    <n v="9.1800000000000007E-2"/>
    <n v="3437"/>
    <n v="0"/>
  </r>
  <r>
    <x v="0"/>
    <x v="0"/>
    <s v="SPXW"/>
    <x v="0"/>
    <x v="149"/>
    <s v="p"/>
    <n v="7.0000000000000007E-2"/>
    <n v="0.25"/>
    <n v="0.04"/>
    <n v="0.17"/>
    <n v="214"/>
    <n v="0"/>
    <n v="0"/>
    <n v="1543"/>
    <n v="0.05"/>
    <n v="0"/>
    <n v="0"/>
    <n v="0"/>
    <n v="0"/>
    <n v="2.3403999999999998"/>
    <n v="-1.1000000000000001E-3"/>
    <n v="0"/>
    <n v="-2.5000000000000001E-2"/>
    <n v="1.2999999999999999E-3"/>
    <n v="0"/>
    <n v="0"/>
    <n v="0"/>
    <n v="1"/>
    <n v="0.1"/>
    <n v="0"/>
    <n v="0"/>
    <n v="7.8899999999999998E-2"/>
    <n v="5920"/>
    <n v="0"/>
  </r>
  <r>
    <x v="0"/>
    <x v="0"/>
    <s v="SPXW"/>
    <x v="0"/>
    <x v="150"/>
    <s v="p"/>
    <n v="0.1"/>
    <n v="0.25"/>
    <n v="0.03"/>
    <n v="0.05"/>
    <n v="314"/>
    <n v="0"/>
    <n v="0"/>
    <n v="1526"/>
    <n v="0.05"/>
    <n v="0"/>
    <n v="0"/>
    <n v="0"/>
    <n v="0"/>
    <n v="2.2999000000000001"/>
    <n v="-1.1000000000000001E-3"/>
    <n v="0"/>
    <n v="-2.5000000000000001E-2"/>
    <n v="1.4E-3"/>
    <n v="0"/>
    <n v="0"/>
    <n v="0"/>
    <n v="2"/>
    <n v="0.2"/>
    <n v="0"/>
    <n v="0"/>
    <n v="0.1038"/>
    <n v="3401"/>
    <n v="0"/>
  </r>
  <r>
    <x v="0"/>
    <x v="0"/>
    <s v="SPXW"/>
    <x v="0"/>
    <x v="151"/>
    <s v="p"/>
    <n v="7.0000000000000007E-2"/>
    <n v="0.35"/>
    <n v="0.03"/>
    <n v="0.03"/>
    <n v="164"/>
    <n v="0"/>
    <n v="0"/>
    <n v="1522"/>
    <n v="0.05"/>
    <n v="0"/>
    <n v="0"/>
    <n v="0"/>
    <n v="0"/>
    <n v="2.2593000000000001"/>
    <n v="-1.1000000000000001E-3"/>
    <n v="0"/>
    <n v="-2.5000000000000001E-2"/>
    <n v="1.4E-3"/>
    <n v="0"/>
    <n v="0"/>
    <n v="0"/>
    <n v="3"/>
    <n v="0.05"/>
    <n v="0"/>
    <n v="0"/>
    <n v="0.10920000000000001"/>
    <n v="342"/>
    <n v="0"/>
  </r>
  <r>
    <x v="0"/>
    <x v="0"/>
    <s v="SPXW"/>
    <x v="0"/>
    <x v="152"/>
    <s v="p"/>
    <n v="7.0000000000000007E-2"/>
    <n v="0.25"/>
    <n v="0.03"/>
    <n v="0.03"/>
    <n v="127"/>
    <n v="0"/>
    <n v="0"/>
    <n v="1510"/>
    <n v="0.05"/>
    <n v="0"/>
    <n v="0"/>
    <n v="0"/>
    <n v="0"/>
    <n v="2.2187000000000001"/>
    <n v="-1.1000000000000001E-3"/>
    <n v="0"/>
    <n v="-2.5000000000000001E-2"/>
    <n v="1.4E-3"/>
    <n v="0"/>
    <n v="0"/>
    <n v="0"/>
    <n v="4"/>
    <n v="0.05"/>
    <n v="0"/>
    <n v="0"/>
    <n v="7.2099999999999997E-2"/>
    <n v="294"/>
    <n v="0"/>
  </r>
  <r>
    <x v="0"/>
    <x v="0"/>
    <s v="SPXW"/>
    <x v="0"/>
    <x v="153"/>
    <s v="p"/>
    <n v="7.0000000000000007E-2"/>
    <n v="0.45"/>
    <n v="0.03"/>
    <n v="0.03"/>
    <n v="710"/>
    <n v="0"/>
    <n v="0"/>
    <n v="1524"/>
    <n v="0.05"/>
    <n v="0"/>
    <n v="0"/>
    <n v="0"/>
    <n v="0"/>
    <n v="2.1781999999999999"/>
    <n v="-1.1000000000000001E-3"/>
    <n v="1E-4"/>
    <n v="-2.5000000000000001E-2"/>
    <n v="1.4E-3"/>
    <n v="0"/>
    <n v="0"/>
    <n v="0"/>
    <n v="62"/>
    <n v="0.05"/>
    <n v="0"/>
    <n v="0"/>
    <n v="9.5299999999999996E-2"/>
    <n v="1679"/>
    <n v="0"/>
  </r>
  <r>
    <x v="0"/>
    <x v="0"/>
    <s v="SPXW"/>
    <x v="0"/>
    <x v="154"/>
    <s v="p"/>
    <n v="7.0000000000000007E-2"/>
    <n v="0.47"/>
    <n v="0.05"/>
    <n v="0.05"/>
    <n v="322"/>
    <n v="0"/>
    <n v="0"/>
    <n v="1481"/>
    <n v="0.05"/>
    <n v="0"/>
    <n v="0"/>
    <n v="0"/>
    <n v="0"/>
    <n v="2.1375000000000002"/>
    <n v="-1.1999999999999999E-3"/>
    <n v="1E-4"/>
    <n v="-2.5000000000000001E-2"/>
    <n v="1.5E-3"/>
    <n v="0"/>
    <n v="0"/>
    <n v="0"/>
    <n v="2"/>
    <n v="0.05"/>
    <n v="0"/>
    <n v="0"/>
    <n v="0.11210000000000001"/>
    <n v="277"/>
    <n v="0"/>
  </r>
  <r>
    <x v="0"/>
    <x v="0"/>
    <s v="SPXW"/>
    <x v="0"/>
    <x v="155"/>
    <s v="p"/>
    <n v="0.1"/>
    <n v="0.5"/>
    <n v="0.03"/>
    <n v="0.03"/>
    <n v="807"/>
    <n v="0"/>
    <n v="0"/>
    <n v="1474"/>
    <n v="0.05"/>
    <n v="0"/>
    <n v="0"/>
    <n v="0"/>
    <n v="0"/>
    <n v="2.0969000000000002"/>
    <n v="-1.1999999999999999E-3"/>
    <n v="1E-4"/>
    <n v="-2.5000000000000001E-2"/>
    <n v="1.5E-3"/>
    <n v="0"/>
    <n v="0"/>
    <n v="0"/>
    <n v="5"/>
    <n v="0.05"/>
    <n v="0"/>
    <n v="0"/>
    <n v="0.16059999999999999"/>
    <n v="427"/>
    <n v="0"/>
  </r>
  <r>
    <x v="0"/>
    <x v="0"/>
    <s v="SPXW"/>
    <x v="0"/>
    <x v="156"/>
    <s v="p"/>
    <n v="0.1"/>
    <n v="0.5"/>
    <n v="0.03"/>
    <n v="0.05"/>
    <n v="1261"/>
    <n v="0"/>
    <n v="0"/>
    <n v="1461"/>
    <n v="0.05"/>
    <n v="0"/>
    <n v="0"/>
    <n v="0"/>
    <n v="0"/>
    <n v="2.0562"/>
    <n v="-1.1999999999999999E-3"/>
    <n v="1E-4"/>
    <n v="-2.5000000000000001E-2"/>
    <n v="1.5E-3"/>
    <n v="0"/>
    <n v="0"/>
    <n v="0"/>
    <n v="3"/>
    <n v="0.05"/>
    <n v="0"/>
    <n v="0"/>
    <n v="0.13070000000000001"/>
    <n v="375"/>
    <n v="0"/>
  </r>
  <r>
    <x v="0"/>
    <x v="0"/>
    <s v="SPXW"/>
    <x v="0"/>
    <x v="157"/>
    <s v="p"/>
    <n v="0.1"/>
    <n v="0.55000000000000004"/>
    <n v="0.03"/>
    <n v="0.05"/>
    <n v="2868"/>
    <n v="0"/>
    <n v="0"/>
    <n v="1438"/>
    <n v="0.05"/>
    <n v="0"/>
    <n v="0"/>
    <n v="0"/>
    <n v="0"/>
    <n v="2.0154999999999998"/>
    <n v="-1.1999999999999999E-3"/>
    <n v="1E-4"/>
    <n v="-2.5000000000000001E-2"/>
    <n v="1.5E-3"/>
    <n v="0"/>
    <n v="0"/>
    <n v="0"/>
    <n v="4"/>
    <n v="0.05"/>
    <n v="0"/>
    <n v="0"/>
    <n v="0.1129"/>
    <n v="1729"/>
    <n v="0"/>
  </r>
  <r>
    <x v="0"/>
    <x v="0"/>
    <s v="SPXW"/>
    <x v="0"/>
    <x v="158"/>
    <s v="p"/>
    <n v="0.12"/>
    <n v="0.62"/>
    <n v="0.03"/>
    <n v="0.05"/>
    <n v="3796"/>
    <n v="0"/>
    <n v="0"/>
    <n v="1500"/>
    <n v="0.05"/>
    <n v="0"/>
    <n v="0"/>
    <n v="0"/>
    <n v="0"/>
    <n v="1.9746999999999999"/>
    <n v="-1.1999999999999999E-3"/>
    <n v="1E-4"/>
    <n v="-2.5000000000000001E-2"/>
    <n v="1.6000000000000001E-3"/>
    <n v="0"/>
    <n v="0"/>
    <n v="0"/>
    <n v="103"/>
    <n v="0.05"/>
    <n v="0"/>
    <n v="0"/>
    <n v="0.13730000000000001"/>
    <n v="1611"/>
    <n v="0"/>
  </r>
  <r>
    <x v="0"/>
    <x v="0"/>
    <s v="SPXW"/>
    <x v="0"/>
    <x v="159"/>
    <s v="p"/>
    <n v="0.1"/>
    <n v="0.65"/>
    <n v="0.03"/>
    <n v="0.03"/>
    <n v="2330"/>
    <n v="0"/>
    <n v="0"/>
    <n v="1409"/>
    <n v="0.05"/>
    <n v="0"/>
    <n v="0"/>
    <n v="0"/>
    <n v="0"/>
    <n v="1.9339999999999999"/>
    <n v="-1.2999999999999999E-3"/>
    <n v="1E-4"/>
    <n v="-2.5000000000000001E-2"/>
    <n v="1.6000000000000001E-3"/>
    <n v="0"/>
    <n v="0"/>
    <n v="0"/>
    <n v="4"/>
    <n v="0.05"/>
    <n v="0"/>
    <n v="0"/>
    <n v="0.1275"/>
    <n v="730"/>
    <n v="0"/>
  </r>
  <r>
    <x v="0"/>
    <x v="0"/>
    <s v="SPXW"/>
    <x v="0"/>
    <x v="160"/>
    <s v="p"/>
    <n v="0.12"/>
    <n v="0.65"/>
    <n v="0.03"/>
    <n v="0.03"/>
    <n v="2822"/>
    <n v="0"/>
    <n v="0"/>
    <n v="1372"/>
    <n v="0.05"/>
    <n v="0"/>
    <n v="0"/>
    <n v="0"/>
    <n v="0"/>
    <n v="1.8931"/>
    <n v="-1.2999999999999999E-3"/>
    <n v="1E-4"/>
    <n v="-2.5000000000000001E-2"/>
    <n v="1.6000000000000001E-3"/>
    <n v="0"/>
    <n v="0"/>
    <n v="0"/>
    <n v="9"/>
    <n v="0.05"/>
    <n v="0"/>
    <n v="0"/>
    <n v="0.14230000000000001"/>
    <n v="1340"/>
    <n v="0"/>
  </r>
  <r>
    <x v="0"/>
    <x v="0"/>
    <s v="SPXW"/>
    <x v="0"/>
    <x v="161"/>
    <s v="p"/>
    <n v="0.12"/>
    <n v="0.65"/>
    <n v="0.03"/>
    <n v="0.05"/>
    <n v="2569"/>
    <n v="0"/>
    <n v="0"/>
    <n v="520"/>
    <n v="0.05"/>
    <n v="0"/>
    <n v="0"/>
    <n v="0"/>
    <n v="0"/>
    <n v="1.8523000000000001"/>
    <n v="-1.2999999999999999E-3"/>
    <n v="1E-4"/>
    <n v="-2.5000000000000001E-2"/>
    <n v="1.6000000000000001E-3"/>
    <n v="0"/>
    <n v="0"/>
    <n v="0"/>
    <n v="51"/>
    <n v="0.05"/>
    <n v="0"/>
    <n v="0"/>
    <n v="0.2019"/>
    <n v="1748"/>
    <n v="0"/>
  </r>
  <r>
    <x v="0"/>
    <x v="0"/>
    <s v="SPXW"/>
    <x v="0"/>
    <x v="162"/>
    <s v="p"/>
    <n v="0.12"/>
    <n v="0.7"/>
    <n v="0.03"/>
    <n v="0.05"/>
    <n v="2678"/>
    <n v="0"/>
    <n v="0"/>
    <n v="997"/>
    <n v="0.05"/>
    <n v="0"/>
    <n v="0"/>
    <n v="0"/>
    <n v="0"/>
    <n v="1.8113999999999999"/>
    <n v="-1.4E-3"/>
    <n v="1E-4"/>
    <n v="-2.5000000000000001E-2"/>
    <n v="1.6999999999999999E-3"/>
    <n v="0"/>
    <n v="0"/>
    <n v="0"/>
    <n v="501"/>
    <n v="0.05"/>
    <n v="0"/>
    <n v="0"/>
    <n v="0.18659999999999999"/>
    <n v="928"/>
    <n v="0"/>
  </r>
  <r>
    <x v="0"/>
    <x v="0"/>
    <s v="SPXW"/>
    <x v="0"/>
    <x v="163"/>
    <s v="p"/>
    <n v="0.15"/>
    <n v="0.73"/>
    <n v="0.03"/>
    <n v="0.03"/>
    <n v="5524"/>
    <n v="0"/>
    <n v="0"/>
    <n v="732"/>
    <n v="0.05"/>
    <n v="0"/>
    <n v="0"/>
    <n v="0"/>
    <n v="0"/>
    <n v="1.7705"/>
    <n v="-1.4E-3"/>
    <n v="1E-4"/>
    <n v="-2.5000000000000001E-2"/>
    <n v="1.6999999999999999E-3"/>
    <n v="0"/>
    <n v="0"/>
    <n v="0"/>
    <n v="249"/>
    <n v="0.05"/>
    <n v="0"/>
    <n v="0"/>
    <n v="0.18379999999999999"/>
    <n v="7751"/>
    <n v="0"/>
  </r>
  <r>
    <x v="0"/>
    <x v="0"/>
    <s v="SPXW"/>
    <x v="0"/>
    <x v="164"/>
    <s v="p"/>
    <n v="0.1"/>
    <n v="0.7"/>
    <n v="0.03"/>
    <n v="0.03"/>
    <n v="1714"/>
    <n v="0"/>
    <n v="0"/>
    <n v="460"/>
    <n v="0.05"/>
    <n v="0"/>
    <n v="0"/>
    <n v="0"/>
    <n v="0"/>
    <n v="1.7295"/>
    <n v="-1.4E-3"/>
    <n v="1E-4"/>
    <n v="-2.5000000000000001E-2"/>
    <n v="1.6999999999999999E-3"/>
    <n v="0"/>
    <n v="0"/>
    <n v="0"/>
    <n v="6"/>
    <n v="0.05"/>
    <n v="0"/>
    <n v="0"/>
    <n v="0.16139999999999999"/>
    <n v="373"/>
    <n v="0"/>
  </r>
  <r>
    <x v="0"/>
    <x v="0"/>
    <s v="SPXW"/>
    <x v="0"/>
    <x v="165"/>
    <s v="p"/>
    <n v="0.2"/>
    <n v="0.83"/>
    <n v="0.03"/>
    <n v="0.05"/>
    <n v="2458"/>
    <n v="0"/>
    <n v="0"/>
    <n v="454"/>
    <n v="0.05"/>
    <n v="0"/>
    <n v="0"/>
    <n v="0"/>
    <n v="0"/>
    <n v="1.6884999999999999"/>
    <n v="-1.4E-3"/>
    <n v="1E-4"/>
    <n v="-2.5000000000000001E-2"/>
    <n v="1.8E-3"/>
    <n v="0"/>
    <n v="0"/>
    <n v="0"/>
    <n v="9"/>
    <n v="0.05"/>
    <n v="0"/>
    <n v="0"/>
    <n v="0.15770000000000001"/>
    <n v="527"/>
    <n v="0"/>
  </r>
  <r>
    <x v="0"/>
    <x v="0"/>
    <s v="SPXW"/>
    <x v="0"/>
    <x v="166"/>
    <s v="p"/>
    <n v="0.17"/>
    <n v="0.85"/>
    <n v="0.05"/>
    <n v="0.05"/>
    <n v="3426"/>
    <n v="0"/>
    <n v="0"/>
    <n v="452"/>
    <n v="0.05"/>
    <n v="0"/>
    <n v="0"/>
    <n v="0"/>
    <n v="0"/>
    <n v="1.6474"/>
    <n v="-1.5E-3"/>
    <n v="1E-4"/>
    <n v="-2.5000000000000001E-2"/>
    <n v="1.8E-3"/>
    <n v="0"/>
    <n v="0"/>
    <n v="0"/>
    <n v="1"/>
    <n v="0.05"/>
    <n v="0"/>
    <n v="0"/>
    <n v="0.24199999999999999"/>
    <n v="384"/>
    <n v="0"/>
  </r>
  <r>
    <x v="0"/>
    <x v="0"/>
    <s v="SPXW"/>
    <x v="0"/>
    <x v="167"/>
    <s v="p"/>
    <n v="0.17"/>
    <n v="0.92"/>
    <n v="0.02"/>
    <n v="0.03"/>
    <n v="2762"/>
    <n v="0"/>
    <n v="0"/>
    <n v="457"/>
    <n v="0.05"/>
    <n v="0"/>
    <n v="0"/>
    <n v="0"/>
    <n v="0"/>
    <n v="1.6063000000000001"/>
    <n v="-1.5E-3"/>
    <n v="1E-4"/>
    <n v="-2.5000000000000001E-2"/>
    <n v="1.9E-3"/>
    <n v="0"/>
    <n v="0"/>
    <n v="0"/>
    <n v="3"/>
    <n v="0.05"/>
    <n v="0"/>
    <n v="0"/>
    <n v="0.249"/>
    <n v="1805"/>
    <n v="0"/>
  </r>
  <r>
    <x v="0"/>
    <x v="0"/>
    <s v="SPXW"/>
    <x v="0"/>
    <x v="168"/>
    <s v="p"/>
    <n v="0.17"/>
    <n v="0.97"/>
    <n v="0.02"/>
    <n v="0.05"/>
    <n v="3331"/>
    <n v="0"/>
    <n v="0"/>
    <n v="453"/>
    <n v="0.05"/>
    <n v="0"/>
    <n v="0"/>
    <n v="0"/>
    <n v="0"/>
    <n v="1.5651999999999999"/>
    <n v="-1.5E-3"/>
    <n v="1E-4"/>
    <n v="-2.5000000000000001E-2"/>
    <n v="1.9E-3"/>
    <n v="0"/>
    <n v="0"/>
    <n v="0"/>
    <n v="6"/>
    <n v="0.05"/>
    <n v="0"/>
    <n v="0"/>
    <n v="0.31130000000000002"/>
    <n v="3674"/>
    <n v="0"/>
  </r>
  <r>
    <x v="0"/>
    <x v="0"/>
    <s v="SPXW"/>
    <x v="0"/>
    <x v="169"/>
    <s v="p"/>
    <n v="0.23"/>
    <n v="1.03"/>
    <n v="0.02"/>
    <n v="0.02"/>
    <n v="3750"/>
    <n v="0"/>
    <n v="0"/>
    <n v="470"/>
    <n v="0.05"/>
    <n v="0"/>
    <n v="0"/>
    <n v="0"/>
    <n v="0"/>
    <n v="1.5239"/>
    <n v="-1.6000000000000001E-3"/>
    <n v="1E-4"/>
    <n v="-2.5000000000000001E-2"/>
    <n v="1.9E-3"/>
    <n v="0"/>
    <n v="0"/>
    <n v="0"/>
    <n v="4"/>
    <n v="0.05"/>
    <n v="0"/>
    <n v="0"/>
    <n v="0.29039999999999999"/>
    <n v="5415"/>
    <n v="0"/>
  </r>
  <r>
    <x v="0"/>
    <x v="0"/>
    <s v="SPXW"/>
    <x v="0"/>
    <x v="170"/>
    <s v="p"/>
    <n v="0.25"/>
    <n v="1.1000000000000001"/>
    <n v="0.03"/>
    <n v="0.05"/>
    <n v="3478"/>
    <n v="0"/>
    <n v="0"/>
    <n v="469"/>
    <n v="0.05"/>
    <n v="0"/>
    <n v="0"/>
    <n v="0"/>
    <n v="0"/>
    <n v="1.4826999999999999"/>
    <n v="-1.6000000000000001E-3"/>
    <n v="1E-4"/>
    <n v="-2.5000000000000001E-2"/>
    <n v="2E-3"/>
    <n v="0"/>
    <n v="0"/>
    <n v="0"/>
    <n v="9"/>
    <n v="0.05"/>
    <n v="0"/>
    <n v="0"/>
    <n v="0.24909999999999999"/>
    <n v="4753"/>
    <n v="0"/>
  </r>
  <r>
    <x v="0"/>
    <x v="0"/>
    <s v="SPXW"/>
    <x v="0"/>
    <x v="171"/>
    <s v="p"/>
    <n v="0.24"/>
    <n v="1.3"/>
    <n v="0.03"/>
    <n v="0.05"/>
    <n v="4337"/>
    <n v="0"/>
    <n v="0"/>
    <n v="419"/>
    <n v="0.05"/>
    <n v="0"/>
    <n v="0"/>
    <n v="0"/>
    <n v="0"/>
    <n v="1.4413"/>
    <n v="-1.6999999999999999E-3"/>
    <n v="1E-4"/>
    <n v="-2.5000000000000001E-2"/>
    <n v="2E-3"/>
    <n v="0"/>
    <n v="0"/>
    <n v="0"/>
    <n v="10"/>
    <n v="0.05"/>
    <n v="0"/>
    <n v="0"/>
    <n v="0.30320000000000003"/>
    <n v="964"/>
    <n v="0"/>
  </r>
  <r>
    <x v="0"/>
    <x v="0"/>
    <s v="SPXW"/>
    <x v="0"/>
    <x v="172"/>
    <s v="p"/>
    <n v="0.25"/>
    <n v="1.3"/>
    <n v="0.02"/>
    <n v="0.05"/>
    <n v="3980"/>
    <n v="0"/>
    <n v="0"/>
    <n v="416"/>
    <n v="0.05"/>
    <n v="0"/>
    <n v="0"/>
    <n v="0"/>
    <n v="0"/>
    <n v="1.3998999999999999"/>
    <n v="-1.6999999999999999E-3"/>
    <n v="1E-4"/>
    <n v="-2.5000000000000001E-2"/>
    <n v="2.0999999999999999E-3"/>
    <n v="0"/>
    <n v="0"/>
    <n v="0"/>
    <n v="5"/>
    <n v="0.05"/>
    <n v="0"/>
    <n v="0"/>
    <n v="0.33860000000000001"/>
    <n v="780"/>
    <n v="0"/>
  </r>
  <r>
    <x v="0"/>
    <x v="0"/>
    <s v="SPXW"/>
    <x v="0"/>
    <x v="173"/>
    <s v="p"/>
    <n v="0.3"/>
    <n v="1.45"/>
    <n v="0.02"/>
    <n v="0.02"/>
    <n v="6339"/>
    <n v="0"/>
    <n v="0"/>
    <n v="457"/>
    <n v="0.05"/>
    <n v="0"/>
    <n v="0"/>
    <n v="0"/>
    <n v="0"/>
    <n v="1.3585"/>
    <n v="-1.8E-3"/>
    <n v="1E-4"/>
    <n v="-2.5000000000000001E-2"/>
    <n v="2.2000000000000001E-3"/>
    <n v="0"/>
    <n v="0"/>
    <n v="0"/>
    <n v="82"/>
    <n v="0.05"/>
    <n v="0"/>
    <n v="0"/>
    <n v="0.32540000000000002"/>
    <n v="4037"/>
    <n v="0"/>
  </r>
  <r>
    <x v="0"/>
    <x v="0"/>
    <s v="SPXW"/>
    <x v="0"/>
    <x v="174"/>
    <s v="p"/>
    <n v="0.25"/>
    <n v="1.85"/>
    <n v="0.03"/>
    <n v="0.03"/>
    <n v="3610"/>
    <n v="0"/>
    <n v="0"/>
    <n v="465"/>
    <n v="0.05"/>
    <n v="0"/>
    <n v="0"/>
    <n v="0"/>
    <n v="0"/>
    <n v="1.3169"/>
    <n v="-1.8E-3"/>
    <n v="1E-4"/>
    <n v="-2.5000000000000001E-2"/>
    <n v="2.2000000000000001E-3"/>
    <n v="0"/>
    <n v="0"/>
    <n v="0"/>
    <n v="94"/>
    <n v="0.05"/>
    <n v="0"/>
    <n v="0"/>
    <n v="0.44030000000000002"/>
    <n v="686"/>
    <n v="0"/>
  </r>
  <r>
    <x v="0"/>
    <x v="0"/>
    <s v="SPXW"/>
    <x v="0"/>
    <x v="175"/>
    <s v="p"/>
    <n v="0.3"/>
    <n v="1.65"/>
    <n v="0.03"/>
    <n v="0.05"/>
    <n v="5397"/>
    <n v="0"/>
    <n v="0"/>
    <n v="473"/>
    <n v="0.05"/>
    <n v="0"/>
    <n v="0"/>
    <n v="0"/>
    <n v="0"/>
    <n v="1.2753000000000001"/>
    <n v="-1.9E-3"/>
    <n v="1E-4"/>
    <n v="-2.5000000000000001E-2"/>
    <n v="2.3E-3"/>
    <n v="0"/>
    <n v="0"/>
    <n v="0"/>
    <n v="64"/>
    <n v="0.05"/>
    <n v="0"/>
    <n v="0"/>
    <n v="0.44109999999999999"/>
    <n v="1712"/>
    <n v="0"/>
  </r>
  <r>
    <x v="0"/>
    <x v="0"/>
    <s v="SPXW"/>
    <x v="0"/>
    <x v="176"/>
    <s v="p"/>
    <n v="0.4"/>
    <n v="1.74"/>
    <n v="0.03"/>
    <n v="0.03"/>
    <n v="4830"/>
    <n v="0"/>
    <n v="0"/>
    <n v="406"/>
    <n v="0.05"/>
    <n v="0"/>
    <n v="0"/>
    <n v="0"/>
    <n v="0"/>
    <n v="1.2336"/>
    <n v="-1.9E-3"/>
    <n v="1E-4"/>
    <n v="-2.5000000000000001E-2"/>
    <n v="2.3E-3"/>
    <n v="0"/>
    <n v="0"/>
    <n v="0"/>
    <n v="32"/>
    <n v="0.05"/>
    <n v="0"/>
    <n v="0"/>
    <n v="0.47949999999999998"/>
    <n v="2653"/>
    <n v="0"/>
  </r>
  <r>
    <x v="0"/>
    <x v="0"/>
    <s v="SPXW"/>
    <x v="0"/>
    <x v="177"/>
    <s v="p"/>
    <n v="0.4"/>
    <n v="1.95"/>
    <n v="0.03"/>
    <n v="0.03"/>
    <n v="7255"/>
    <n v="0"/>
    <n v="0"/>
    <n v="447"/>
    <n v="0.05"/>
    <n v="0"/>
    <n v="0"/>
    <n v="0"/>
    <n v="0"/>
    <n v="1.1918"/>
    <n v="-2E-3"/>
    <n v="1E-4"/>
    <n v="-2.5000000000000001E-2"/>
    <n v="2.3999999999999998E-3"/>
    <n v="0"/>
    <n v="0"/>
    <n v="0"/>
    <n v="49"/>
    <n v="0.05"/>
    <n v="0"/>
    <n v="0"/>
    <n v="0.46429999999999999"/>
    <n v="1772"/>
    <n v="0"/>
  </r>
  <r>
    <x v="0"/>
    <x v="0"/>
    <s v="SPXW"/>
    <x v="0"/>
    <x v="178"/>
    <s v="p"/>
    <n v="0.43"/>
    <n v="2.35"/>
    <n v="0.03"/>
    <n v="0.03"/>
    <n v="7977"/>
    <n v="0"/>
    <n v="0"/>
    <n v="408"/>
    <n v="0.05"/>
    <n v="0"/>
    <n v="0"/>
    <n v="0"/>
    <n v="0"/>
    <n v="1.1499999999999999"/>
    <n v="-2E-3"/>
    <n v="2.0000000000000001E-4"/>
    <n v="-2.5000000000000001E-2"/>
    <n v="2.5000000000000001E-3"/>
    <n v="0"/>
    <n v="0"/>
    <n v="0"/>
    <n v="40"/>
    <n v="0.05"/>
    <n v="0"/>
    <n v="0"/>
    <n v="0.56110000000000004"/>
    <n v="1136"/>
    <n v="0"/>
  </r>
  <r>
    <x v="0"/>
    <x v="0"/>
    <s v="SPXW"/>
    <x v="0"/>
    <x v="179"/>
    <s v="p"/>
    <n v="0.45"/>
    <n v="2.35"/>
    <n v="0.03"/>
    <n v="0.03"/>
    <n v="9163"/>
    <n v="0"/>
    <n v="0"/>
    <n v="387"/>
    <n v="0.05"/>
    <n v="0"/>
    <n v="0"/>
    <n v="0"/>
    <n v="0"/>
    <n v="1.1080000000000001"/>
    <n v="-2.0999999999999999E-3"/>
    <n v="2.0000000000000001E-4"/>
    <n v="-2.5000000000000001E-2"/>
    <n v="2.5999999999999999E-3"/>
    <n v="0"/>
    <n v="0"/>
    <n v="0"/>
    <n v="23"/>
    <n v="0.05"/>
    <n v="0"/>
    <n v="0"/>
    <n v="0.55259999999999998"/>
    <n v="765"/>
    <n v="0"/>
  </r>
  <r>
    <x v="0"/>
    <x v="0"/>
    <s v="SPXW"/>
    <x v="0"/>
    <x v="180"/>
    <s v="p"/>
    <n v="0.5"/>
    <n v="2.5499999999999998"/>
    <n v="0.03"/>
    <n v="0.03"/>
    <n v="8375"/>
    <n v="0"/>
    <n v="0"/>
    <n v="500"/>
    <n v="0.05"/>
    <n v="0"/>
    <n v="0"/>
    <n v="0"/>
    <n v="0"/>
    <n v="1.0659000000000001"/>
    <n v="-2.2000000000000001E-3"/>
    <n v="2.0000000000000001E-4"/>
    <n v="-2.5000000000000001E-2"/>
    <n v="2.7000000000000001E-3"/>
    <n v="0"/>
    <n v="0"/>
    <n v="0"/>
    <n v="45"/>
    <n v="0.05"/>
    <n v="0"/>
    <n v="0"/>
    <n v="0.61890000000000001"/>
    <n v="626"/>
    <n v="0"/>
  </r>
  <r>
    <x v="0"/>
    <x v="0"/>
    <s v="SPXW"/>
    <x v="0"/>
    <x v="181"/>
    <s v="p"/>
    <n v="0.6"/>
    <n v="2.9"/>
    <n v="0.03"/>
    <n v="0.03"/>
    <n v="11328"/>
    <n v="0"/>
    <n v="0"/>
    <n v="433"/>
    <n v="0.05"/>
    <n v="0"/>
    <n v="0"/>
    <n v="0"/>
    <n v="0"/>
    <n v="1.0237000000000001"/>
    <n v="-2.3E-3"/>
    <n v="2.0000000000000001E-4"/>
    <n v="-2.5000000000000001E-2"/>
    <n v="2.8E-3"/>
    <n v="0"/>
    <n v="0"/>
    <n v="0"/>
    <n v="44"/>
    <n v="0.05"/>
    <n v="0"/>
    <n v="0"/>
    <n v="0.64339999999999997"/>
    <n v="1703"/>
    <n v="0"/>
  </r>
  <r>
    <x v="0"/>
    <x v="0"/>
    <s v="SPXW"/>
    <x v="0"/>
    <x v="182"/>
    <s v="p"/>
    <n v="0.65"/>
    <n v="3.8"/>
    <n v="0.02"/>
    <n v="0.05"/>
    <n v="11449"/>
    <n v="0"/>
    <n v="0"/>
    <n v="385"/>
    <n v="0.05"/>
    <n v="0"/>
    <n v="0"/>
    <n v="0"/>
    <n v="0"/>
    <n v="0.98140000000000005"/>
    <n v="-2.3999999999999998E-3"/>
    <n v="2.0000000000000001E-4"/>
    <n v="-2.5000000000000001E-2"/>
    <n v="2.8999999999999998E-3"/>
    <n v="0"/>
    <n v="0"/>
    <n v="0"/>
    <n v="30"/>
    <n v="0.05"/>
    <n v="0"/>
    <n v="0"/>
    <n v="0.71519999999999995"/>
    <n v="741"/>
    <n v="0"/>
  </r>
  <r>
    <x v="0"/>
    <x v="0"/>
    <s v="SPXW"/>
    <x v="0"/>
    <x v="183"/>
    <s v="p"/>
    <n v="0.7"/>
    <n v="3.6"/>
    <n v="0.03"/>
    <n v="0.03"/>
    <n v="23247"/>
    <n v="0"/>
    <n v="0"/>
    <n v="392"/>
    <n v="0.05"/>
    <n v="0"/>
    <n v="0"/>
    <n v="0"/>
    <n v="0"/>
    <n v="0.93899999999999995"/>
    <n v="-2.3999999999999998E-3"/>
    <n v="2.0000000000000001E-4"/>
    <n v="-2.5000000000000001E-2"/>
    <n v="3.0000000000000001E-3"/>
    <n v="0"/>
    <n v="0"/>
    <n v="0"/>
    <n v="90"/>
    <n v="0.05"/>
    <n v="0"/>
    <n v="0"/>
    <n v="0.87460000000000004"/>
    <n v="4465"/>
    <n v="0"/>
  </r>
  <r>
    <x v="0"/>
    <x v="0"/>
    <s v="SPXW"/>
    <x v="0"/>
    <x v="184"/>
    <s v="p"/>
    <n v="0.7"/>
    <n v="4.17"/>
    <n v="0.03"/>
    <n v="0.03"/>
    <n v="16011"/>
    <n v="0"/>
    <n v="0"/>
    <n v="507"/>
    <n v="0.05"/>
    <n v="0"/>
    <n v="0"/>
    <n v="0"/>
    <n v="0"/>
    <n v="0.89639999999999997"/>
    <n v="-2.5999999999999999E-3"/>
    <n v="2.0000000000000001E-4"/>
    <n v="-2.5000000000000001E-2"/>
    <n v="3.0999999999999999E-3"/>
    <n v="0"/>
    <n v="0"/>
    <n v="0"/>
    <n v="109"/>
    <n v="0.05"/>
    <n v="0"/>
    <n v="0"/>
    <n v="0.94769999999999999"/>
    <n v="853"/>
    <n v="0"/>
  </r>
  <r>
    <x v="0"/>
    <x v="0"/>
    <s v="SPXW"/>
    <x v="0"/>
    <x v="185"/>
    <s v="p"/>
    <n v="0.85"/>
    <n v="5"/>
    <n v="0.03"/>
    <n v="0.03"/>
    <n v="19338"/>
    <n v="0"/>
    <n v="0"/>
    <n v="439"/>
    <n v="0.05"/>
    <n v="0"/>
    <n v="0"/>
    <n v="0"/>
    <n v="0"/>
    <n v="0.85370000000000001"/>
    <n v="-2.7000000000000001E-3"/>
    <n v="2.9999999999999997E-4"/>
    <n v="-2.5000000000000001E-2"/>
    <n v="3.2000000000000002E-3"/>
    <n v="0"/>
    <n v="0"/>
    <n v="0"/>
    <n v="67"/>
    <n v="0.05"/>
    <n v="0"/>
    <n v="0"/>
    <n v="1.0761000000000001"/>
    <n v="1515"/>
    <n v="0"/>
  </r>
  <r>
    <x v="0"/>
    <x v="0"/>
    <s v="SPXW"/>
    <x v="0"/>
    <x v="186"/>
    <s v="p"/>
    <n v="0.88"/>
    <n v="5.4"/>
    <n v="0.03"/>
    <n v="0.03"/>
    <n v="21428"/>
    <n v="0"/>
    <n v="0"/>
    <n v="344"/>
    <n v="0.05"/>
    <n v="0"/>
    <n v="0"/>
    <n v="0"/>
    <n v="0"/>
    <n v="0.81089999999999995"/>
    <n v="-2.8E-3"/>
    <n v="2.9999999999999997E-4"/>
    <n v="-2.5000000000000001E-2"/>
    <n v="3.3999999999999998E-3"/>
    <n v="0"/>
    <n v="0"/>
    <n v="0"/>
    <n v="18"/>
    <n v="0.05"/>
    <n v="0"/>
    <n v="0"/>
    <n v="1.1682999999999999"/>
    <n v="1514"/>
    <n v="0"/>
  </r>
  <r>
    <x v="0"/>
    <x v="0"/>
    <s v="SPXW"/>
    <x v="0"/>
    <x v="187"/>
    <s v="p"/>
    <n v="0.97"/>
    <n v="5.8"/>
    <n v="0.03"/>
    <n v="0.03"/>
    <n v="27375"/>
    <n v="0"/>
    <n v="0"/>
    <n v="465"/>
    <n v="0.05"/>
    <n v="0"/>
    <n v="0"/>
    <n v="0"/>
    <n v="0"/>
    <n v="0.76790000000000003"/>
    <n v="-2.8999999999999998E-3"/>
    <n v="2.9999999999999997E-4"/>
    <n v="-2.5000000000000001E-2"/>
    <n v="3.5000000000000001E-3"/>
    <n v="0"/>
    <n v="0"/>
    <n v="0"/>
    <n v="163"/>
    <n v="0.05"/>
    <n v="0"/>
    <n v="0"/>
    <n v="1.2784"/>
    <n v="2318"/>
    <n v="0"/>
  </r>
  <r>
    <x v="0"/>
    <x v="0"/>
    <s v="SPXW"/>
    <x v="0"/>
    <x v="188"/>
    <s v="p"/>
    <n v="1.02"/>
    <n v="7"/>
    <n v="0.03"/>
    <n v="0.03"/>
    <n v="25706"/>
    <n v="0"/>
    <n v="0"/>
    <n v="428"/>
    <n v="0.05"/>
    <n v="0"/>
    <n v="0"/>
    <n v="0"/>
    <n v="0"/>
    <n v="0.72470000000000001"/>
    <n v="-3.0999999999999999E-3"/>
    <n v="2.9999999999999997E-4"/>
    <n v="-2.5000000000000001E-2"/>
    <n v="3.7000000000000002E-3"/>
    <n v="0"/>
    <n v="0"/>
    <n v="0"/>
    <n v="95"/>
    <n v="0.05"/>
    <n v="0"/>
    <n v="0"/>
    <n v="1.4236"/>
    <n v="4137"/>
    <n v="0"/>
  </r>
  <r>
    <x v="0"/>
    <x v="0"/>
    <s v="SPXW"/>
    <x v="0"/>
    <x v="189"/>
    <s v="p"/>
    <n v="1.23"/>
    <n v="6.81"/>
    <n v="0.03"/>
    <n v="0.03"/>
    <n v="32829"/>
    <n v="0"/>
    <n v="0"/>
    <n v="390"/>
    <n v="0.05"/>
    <n v="0"/>
    <n v="0"/>
    <n v="0"/>
    <n v="0"/>
    <n v="0.68130000000000002"/>
    <n v="-3.3E-3"/>
    <n v="4.0000000000000002E-4"/>
    <n v="-2.5000000000000001E-2"/>
    <n v="3.8999999999999998E-3"/>
    <n v="0"/>
    <n v="0"/>
    <n v="0"/>
    <n v="63"/>
    <n v="0.05"/>
    <n v="0"/>
    <n v="0"/>
    <n v="1.5276000000000001"/>
    <n v="2254"/>
    <n v="0"/>
  </r>
  <r>
    <x v="0"/>
    <x v="0"/>
    <s v="SPXW"/>
    <x v="0"/>
    <x v="190"/>
    <s v="p"/>
    <n v="1.4"/>
    <n v="8"/>
    <n v="0.03"/>
    <n v="0.03"/>
    <n v="29522"/>
    <n v="0"/>
    <n v="0"/>
    <n v="307"/>
    <n v="0.05"/>
    <n v="0"/>
    <n v="0"/>
    <n v="0"/>
    <n v="0"/>
    <n v="0.63759999999999994"/>
    <n v="-3.5000000000000001E-3"/>
    <n v="4.0000000000000002E-4"/>
    <n v="-2.5000000000000001E-2"/>
    <n v="4.1999999999999997E-3"/>
    <n v="0"/>
    <n v="0"/>
    <n v="0"/>
    <n v="52"/>
    <n v="0.05"/>
    <n v="0"/>
    <n v="0"/>
    <n v="1.7767999999999999"/>
    <n v="1199"/>
    <n v="0"/>
  </r>
  <r>
    <x v="0"/>
    <x v="0"/>
    <s v="SPXW"/>
    <x v="0"/>
    <x v="191"/>
    <s v="p"/>
    <n v="1.5"/>
    <n v="8.9"/>
    <n v="0.03"/>
    <n v="0.03"/>
    <n v="36164"/>
    <n v="0"/>
    <n v="0"/>
    <n v="205"/>
    <n v="0.05"/>
    <n v="0"/>
    <n v="0"/>
    <n v="0"/>
    <n v="0"/>
    <n v="0.59379999999999999"/>
    <n v="-3.7000000000000002E-3"/>
    <n v="5.0000000000000001E-4"/>
    <n v="-2.5000000000000001E-2"/>
    <n v="4.4000000000000003E-3"/>
    <n v="0"/>
    <n v="0"/>
    <n v="0"/>
    <n v="93"/>
    <n v="0.05"/>
    <n v="0"/>
    <n v="0"/>
    <n v="2.0371999999999999"/>
    <n v="1314"/>
    <n v="0"/>
  </r>
  <r>
    <x v="0"/>
    <x v="0"/>
    <s v="SPXW"/>
    <x v="0"/>
    <x v="192"/>
    <s v="p"/>
    <n v="1.75"/>
    <n v="10"/>
    <n v="0.02"/>
    <n v="0.03"/>
    <n v="36353"/>
    <n v="0"/>
    <n v="0"/>
    <n v="296"/>
    <n v="0.05"/>
    <n v="0"/>
    <n v="0"/>
    <n v="0"/>
    <n v="0"/>
    <n v="0.54959999999999998"/>
    <n v="-4.0000000000000001E-3"/>
    <n v="5.9999999999999995E-4"/>
    <n v="-2.5000000000000001E-2"/>
    <n v="4.7000000000000002E-3"/>
    <n v="0"/>
    <n v="0"/>
    <n v="0"/>
    <n v="205"/>
    <n v="0.05"/>
    <n v="0"/>
    <n v="0"/>
    <n v="2.044"/>
    <n v="1238"/>
    <n v="0"/>
  </r>
  <r>
    <x v="0"/>
    <x v="0"/>
    <s v="SPXW"/>
    <x v="0"/>
    <x v="193"/>
    <s v="p"/>
    <n v="2"/>
    <n v="11"/>
    <n v="0.03"/>
    <n v="0.03"/>
    <n v="62327"/>
    <n v="0"/>
    <n v="0"/>
    <n v="114"/>
    <n v="0.05"/>
    <n v="0"/>
    <n v="0"/>
    <n v="0"/>
    <n v="0"/>
    <n v="0.50509999999999999"/>
    <n v="-4.3E-3"/>
    <n v="6.9999999999999999E-4"/>
    <n v="-2.5000000000000001E-2"/>
    <n v="5.1000000000000004E-3"/>
    <n v="0"/>
    <n v="0"/>
    <n v="0"/>
    <n v="1097"/>
    <n v="0.05"/>
    <n v="0"/>
    <n v="0"/>
    <n v="2.4415"/>
    <n v="6764"/>
    <n v="0"/>
  </r>
  <r>
    <x v="0"/>
    <x v="0"/>
    <s v="SPXW"/>
    <x v="0"/>
    <x v="194"/>
    <s v="p"/>
    <n v="2.25"/>
    <n v="12.1"/>
    <n v="0.01"/>
    <n v="0.05"/>
    <n v="36672"/>
    <n v="0"/>
    <n v="0"/>
    <n v="135"/>
    <n v="0.05"/>
    <n v="0"/>
    <n v="0"/>
    <n v="0"/>
    <n v="0"/>
    <n v="0.46039999999999998"/>
    <n v="-4.7000000000000002E-3"/>
    <n v="8.0000000000000004E-4"/>
    <n v="-2.5000000000000001E-2"/>
    <n v="5.4999999999999997E-3"/>
    <n v="0"/>
    <n v="0"/>
    <n v="0"/>
    <n v="257"/>
    <n v="0.05"/>
    <n v="0"/>
    <n v="0"/>
    <n v="2.5731000000000002"/>
    <n v="567"/>
    <n v="0"/>
  </r>
  <r>
    <x v="0"/>
    <x v="0"/>
    <s v="SPXW"/>
    <x v="0"/>
    <x v="195"/>
    <s v="p"/>
    <n v="2.5499999999999998"/>
    <n v="13.7"/>
    <n v="0.03"/>
    <n v="0.03"/>
    <n v="61565"/>
    <n v="77"/>
    <n v="0.05"/>
    <n v="424"/>
    <n v="0.1"/>
    <n v="0"/>
    <n v="0"/>
    <n v="0"/>
    <n v="0"/>
    <n v="0.47349999999999998"/>
    <n v="-1.21E-2"/>
    <n v="1.6999999999999999E-3"/>
    <n v="-7.4999999999999997E-2"/>
    <n v="1.2699999999999999E-2"/>
    <n v="0"/>
    <n v="0"/>
    <n v="0"/>
    <n v="297"/>
    <n v="0.05"/>
    <n v="0"/>
    <n v="0"/>
    <n v="2.8429000000000002"/>
    <n v="2081"/>
    <n v="0"/>
  </r>
  <r>
    <x v="0"/>
    <x v="0"/>
    <s v="SPXW"/>
    <x v="0"/>
    <x v="196"/>
    <s v="p"/>
    <n v="3"/>
    <n v="15.9"/>
    <n v="0.03"/>
    <n v="0.03"/>
    <n v="52233"/>
    <n v="594"/>
    <n v="0.05"/>
    <n v="360"/>
    <n v="0.1"/>
    <n v="0"/>
    <n v="0"/>
    <n v="0"/>
    <n v="0"/>
    <n v="0.42270000000000002"/>
    <n v="-1.34E-2"/>
    <n v="2.0999999999999999E-3"/>
    <n v="-7.4999999999999997E-2"/>
    <n v="1.3899999999999999E-2"/>
    <n v="0"/>
    <n v="0"/>
    <n v="0"/>
    <n v="387"/>
    <n v="0.05"/>
    <n v="0"/>
    <n v="0"/>
    <n v="3.0537999999999998"/>
    <n v="1045"/>
    <n v="0"/>
  </r>
  <r>
    <x v="0"/>
    <x v="0"/>
    <s v="SPXW"/>
    <x v="0"/>
    <x v="197"/>
    <s v="p"/>
    <n v="3.4"/>
    <n v="16.93"/>
    <n v="0.03"/>
    <n v="0.03"/>
    <n v="66851"/>
    <n v="532"/>
    <n v="0.05"/>
    <n v="28"/>
    <n v="0.1"/>
    <n v="0"/>
    <n v="0"/>
    <n v="0"/>
    <n v="0"/>
    <n v="0.37159999999999999"/>
    <n v="-1.4999999999999999E-2"/>
    <n v="2.7000000000000001E-3"/>
    <n v="-7.4999999999999997E-2"/>
    <n v="1.55E-2"/>
    <n v="0"/>
    <n v="0"/>
    <n v="0"/>
    <n v="253"/>
    <n v="0.05"/>
    <n v="0"/>
    <n v="0"/>
    <n v="3.6427999999999998"/>
    <n v="1595"/>
    <n v="0"/>
  </r>
  <r>
    <x v="0"/>
    <x v="0"/>
    <s v="SPXW"/>
    <x v="0"/>
    <x v="198"/>
    <s v="p"/>
    <n v="3.7"/>
    <n v="19"/>
    <n v="0.03"/>
    <n v="0.03"/>
    <n v="71571"/>
    <n v="334"/>
    <n v="0.1"/>
    <n v="295"/>
    <n v="0.15"/>
    <n v="0"/>
    <n v="0"/>
    <n v="0"/>
    <n v="0"/>
    <n v="0.34520000000000001"/>
    <n v="-2.5100000000000001E-2"/>
    <n v="4.4000000000000003E-3"/>
    <n v="-0.125"/>
    <n v="2.3800000000000002E-2"/>
    <n v="-1E-4"/>
    <n v="0"/>
    <n v="0"/>
    <n v="243"/>
    <n v="0.05"/>
    <n v="0"/>
    <n v="0"/>
    <n v="3.4586000000000001"/>
    <n v="4782"/>
    <n v="0"/>
  </r>
  <r>
    <x v="0"/>
    <x v="0"/>
    <s v="SPXW"/>
    <x v="0"/>
    <x v="199"/>
    <s v="p"/>
    <n v="4.22"/>
    <n v="21.3"/>
    <n v="0.03"/>
    <n v="0.03"/>
    <n v="87395"/>
    <n v="545"/>
    <n v="0.1"/>
    <n v="6"/>
    <n v="0.15"/>
    <n v="0"/>
    <n v="0"/>
    <n v="0"/>
    <n v="0"/>
    <n v="0.28870000000000001"/>
    <n v="-2.9399999999999999E-2"/>
    <n v="6.0000000000000001E-3"/>
    <n v="-0.125"/>
    <n v="2.7300000000000001E-2"/>
    <n v="-1E-4"/>
    <n v="0"/>
    <n v="0"/>
    <n v="244"/>
    <n v="0.05"/>
    <n v="0"/>
    <n v="0"/>
    <n v="4.4000000000000004"/>
    <n v="1897"/>
    <n v="0"/>
  </r>
  <r>
    <x v="0"/>
    <x v="0"/>
    <s v="SPXW"/>
    <x v="0"/>
    <x v="200"/>
    <s v="p"/>
    <n v="5"/>
    <n v="23.9"/>
    <n v="0.03"/>
    <n v="0.05"/>
    <n v="82616"/>
    <n v="150"/>
    <n v="0.2"/>
    <n v="199"/>
    <n v="0.25"/>
    <n v="0"/>
    <n v="0"/>
    <n v="0"/>
    <n v="0"/>
    <n v="0.2515"/>
    <n v="-4.9700000000000001E-2"/>
    <n v="1.06E-2"/>
    <n v="-0.2"/>
    <n v="4.1700000000000001E-2"/>
    <n v="-1E-4"/>
    <n v="0"/>
    <n v="0"/>
    <n v="235"/>
    <n v="0.05"/>
    <n v="0"/>
    <n v="0"/>
    <n v="4.4531000000000001"/>
    <n v="1184"/>
    <n v="0"/>
  </r>
  <r>
    <x v="0"/>
    <x v="0"/>
    <s v="SPXW"/>
    <x v="0"/>
    <x v="201"/>
    <s v="p"/>
    <n v="5.7"/>
    <n v="26.7"/>
    <n v="0.03"/>
    <n v="0.03"/>
    <n v="115449"/>
    <n v="205"/>
    <n v="0.35"/>
    <n v="223"/>
    <n v="0.45"/>
    <n v="0"/>
    <n v="0"/>
    <n v="0"/>
    <n v="0"/>
    <n v="0.21740000000000001"/>
    <n v="-9.5600000000000004E-2"/>
    <n v="2.0299999999999999E-2"/>
    <n v="-0.375"/>
    <n v="6.8000000000000005E-2"/>
    <n v="-2.0000000000000001E-4"/>
    <n v="0"/>
    <n v="0"/>
    <n v="284"/>
    <n v="0.05"/>
    <n v="0"/>
    <n v="0"/>
    <n v="4.9329000000000001"/>
    <n v="2388"/>
    <n v="0"/>
  </r>
  <r>
    <x v="0"/>
    <x v="0"/>
    <s v="SPXW"/>
    <x v="0"/>
    <x v="202"/>
    <s v="p"/>
    <n v="6.43"/>
    <n v="29.6"/>
    <n v="0.02"/>
    <n v="0.1"/>
    <n v="115053"/>
    <n v="92"/>
    <n v="0.95"/>
    <n v="30"/>
    <n v="1"/>
    <n v="0"/>
    <n v="0"/>
    <n v="0"/>
    <n v="0"/>
    <n v="0.1933"/>
    <n v="-0.2127"/>
    <n v="3.9E-2"/>
    <n v="-0.9"/>
    <n v="0.1137"/>
    <n v="-4.0000000000000002E-4"/>
    <n v="0"/>
    <n v="0"/>
    <n v="11"/>
    <n v="0.05"/>
    <n v="0"/>
    <n v="0"/>
    <n v="4.8551000000000002"/>
    <n v="1103"/>
    <n v="0"/>
  </r>
  <r>
    <x v="0"/>
    <x v="0"/>
    <s v="SPXW"/>
    <x v="0"/>
    <x v="203"/>
    <s v="p"/>
    <n v="7.5"/>
    <n v="34"/>
    <n v="0.05"/>
    <n v="0.05"/>
    <n v="161951"/>
    <n v="37"/>
    <n v="2.5"/>
    <n v="6"/>
    <n v="2.6"/>
    <n v="0"/>
    <n v="0"/>
    <n v="0"/>
    <n v="0"/>
    <n v="0.1847"/>
    <n v="-0.44819999999999999"/>
    <n v="5.57E-2"/>
    <n v="-2.4"/>
    <n v="0.1525"/>
    <n v="-8.9999999999999998E-4"/>
    <n v="1"/>
    <n v="0.1"/>
    <n v="2"/>
    <n v="0.15"/>
    <n v="0"/>
    <n v="0"/>
    <n v="6.1753999999999998"/>
    <n v="5199"/>
    <n v="0"/>
  </r>
  <r>
    <x v="0"/>
    <x v="0"/>
    <s v="SPXW"/>
    <x v="0"/>
    <x v="204"/>
    <s v="p"/>
    <n v="8.5500000000000007"/>
    <n v="37.049999999999997"/>
    <n v="1.5"/>
    <n v="3.5"/>
    <n v="63939"/>
    <n v="19"/>
    <n v="5.6"/>
    <n v="4"/>
    <n v="5.8"/>
    <n v="0"/>
    <n v="0"/>
    <n v="0"/>
    <n v="0"/>
    <n v="0.1938"/>
    <n v="-0.70740000000000003"/>
    <n v="4.6100000000000002E-2"/>
    <n v="-1.3728"/>
    <n v="0.13339999999999999"/>
    <n v="-1.5E-3"/>
    <n v="1"/>
    <n v="3.5"/>
    <n v="5"/>
    <n v="4.9000000000000004"/>
    <n v="0"/>
    <n v="0"/>
    <n v="7.6535000000000002"/>
    <n v="750"/>
    <n v="0"/>
  </r>
  <r>
    <x v="0"/>
    <x v="0"/>
    <s v="SPXW"/>
    <x v="0"/>
    <x v="205"/>
    <s v="p"/>
    <n v="10"/>
    <n v="39.9"/>
    <n v="1.95"/>
    <n v="8.6199999999999992"/>
    <n v="59869"/>
    <n v="15"/>
    <n v="9.8000000000000007"/>
    <n v="6"/>
    <n v="10.199999999999999"/>
    <n v="0"/>
    <n v="0"/>
    <n v="0"/>
    <n v="0"/>
    <n v="0.23200000000000001"/>
    <n v="-0.84489999999999998"/>
    <n v="2.6700000000000002E-2"/>
    <n v="-0.7228"/>
    <n v="9.3899999999999997E-2"/>
    <n v="-1.6999999999999999E-3"/>
    <n v="15"/>
    <n v="8.4"/>
    <n v="15"/>
    <n v="9.6"/>
    <n v="0"/>
    <n v="0"/>
    <n v="9.2528000000000006"/>
    <n v="832"/>
    <n v="0"/>
  </r>
  <r>
    <x v="0"/>
    <x v="0"/>
    <s v="SPXW"/>
    <x v="0"/>
    <x v="206"/>
    <s v="p"/>
    <n v="11.7"/>
    <n v="45"/>
    <n v="2.35"/>
    <n v="14.1"/>
    <n v="36092"/>
    <n v="15"/>
    <n v="14.6"/>
    <n v="1"/>
    <n v="15"/>
    <n v="0"/>
    <n v="0"/>
    <n v="0"/>
    <n v="0"/>
    <n v="0.27810000000000001"/>
    <n v="-0.90539999999999998"/>
    <n v="1.5699999999999999E-2"/>
    <n v="-0.4728"/>
    <n v="6.6900000000000001E-2"/>
    <n v="-1.9E-3"/>
    <n v="15"/>
    <n v="13.3"/>
    <n v="5"/>
    <n v="14.7"/>
    <n v="0"/>
    <n v="0"/>
    <n v="9.2225000000000001"/>
    <n v="575"/>
    <n v="0"/>
  </r>
  <r>
    <x v="0"/>
    <x v="0"/>
    <s v="SPXW"/>
    <x v="0"/>
    <x v="207"/>
    <s v="p"/>
    <n v="13.2"/>
    <n v="49.8"/>
    <n v="2.85"/>
    <n v="18.8"/>
    <n v="40922"/>
    <n v="15"/>
    <n v="19.600000000000001"/>
    <n v="15"/>
    <n v="20.100000000000001"/>
    <n v="0"/>
    <n v="0"/>
    <n v="0"/>
    <n v="0"/>
    <n v="0.33989999999999998"/>
    <n v="-0.92720000000000002"/>
    <n v="1.06E-2"/>
    <n v="-0.42280000000000001"/>
    <n v="5.5E-2"/>
    <n v="-1.9E-3"/>
    <n v="15"/>
    <n v="18.3"/>
    <n v="5"/>
    <n v="19.600000000000001"/>
    <n v="0"/>
    <n v="0"/>
    <n v="10.690099999999999"/>
    <n v="827"/>
    <n v="0"/>
  </r>
  <r>
    <x v="0"/>
    <x v="0"/>
    <s v="SPXW"/>
    <x v="0"/>
    <x v="208"/>
    <s v="p"/>
    <n v="15.29"/>
    <n v="50"/>
    <n v="3.5"/>
    <n v="24.2"/>
    <n v="41901"/>
    <n v="15"/>
    <n v="24.5"/>
    <n v="15"/>
    <n v="25"/>
    <n v="0"/>
    <n v="0"/>
    <n v="0"/>
    <n v="0"/>
    <n v="0.39600000000000002"/>
    <n v="-0.9425"/>
    <n v="7.6E-3"/>
    <n v="-0.37280000000000002"/>
    <n v="4.58E-2"/>
    <n v="-1.9E-3"/>
    <n v="20"/>
    <n v="23.3"/>
    <n v="5"/>
    <n v="24.7"/>
    <n v="0"/>
    <n v="0"/>
    <n v="12.215999999999999"/>
    <n v="1437"/>
    <n v="0"/>
  </r>
  <r>
    <x v="0"/>
    <x v="0"/>
    <s v="SPXW"/>
    <x v="0"/>
    <x v="209"/>
    <s v="p"/>
    <n v="17.760000000000002"/>
    <n v="58.12"/>
    <n v="4.4000000000000004"/>
    <n v="28.66"/>
    <n v="37127"/>
    <n v="15"/>
    <n v="29.5"/>
    <n v="1"/>
    <n v="29.9"/>
    <n v="0"/>
    <n v="0"/>
    <n v="0"/>
    <n v="0"/>
    <n v="0.4597"/>
    <n v="-0.94940000000000002"/>
    <n v="5.8999999999999999E-3"/>
    <n v="-0.37280000000000002"/>
    <n v="4.1300000000000003E-2"/>
    <n v="-2E-3"/>
    <n v="5"/>
    <n v="28.4"/>
    <n v="10"/>
    <n v="29.8"/>
    <n v="0"/>
    <n v="0"/>
    <n v="13.322800000000001"/>
    <n v="1293"/>
    <n v="0"/>
  </r>
  <r>
    <x v="0"/>
    <x v="0"/>
    <s v="SPXW"/>
    <x v="0"/>
    <x v="210"/>
    <s v="p"/>
    <n v="20.8"/>
    <n v="59.95"/>
    <n v="5.6"/>
    <n v="33.799999999999997"/>
    <n v="24434"/>
    <n v="15"/>
    <n v="34.5"/>
    <n v="15"/>
    <n v="35"/>
    <n v="0"/>
    <n v="0"/>
    <n v="0"/>
    <n v="0"/>
    <n v="0.52190000000000003"/>
    <n v="-0.9546"/>
    <n v="4.7999999999999996E-3"/>
    <n v="-0.37280000000000002"/>
    <n v="3.7699999999999997E-2"/>
    <n v="-2E-3"/>
    <n v="15"/>
    <n v="33.299999999999997"/>
    <n v="6"/>
    <n v="35.200000000000003"/>
    <n v="0"/>
    <n v="0"/>
    <n v="13.9817"/>
    <n v="910"/>
    <n v="0"/>
  </r>
  <r>
    <x v="0"/>
    <x v="0"/>
    <s v="SPXW"/>
    <x v="0"/>
    <x v="211"/>
    <s v="p"/>
    <n v="24.1"/>
    <n v="61.49"/>
    <n v="7.1"/>
    <n v="39.01"/>
    <n v="20064"/>
    <n v="15"/>
    <n v="39.5"/>
    <n v="15"/>
    <n v="40"/>
    <n v="0"/>
    <n v="0"/>
    <n v="0"/>
    <n v="0"/>
    <n v="0.58279999999999998"/>
    <n v="-0.9587"/>
    <n v="3.8999999999999998E-3"/>
    <n v="-0.37280000000000002"/>
    <n v="3.49E-2"/>
    <n v="-2E-3"/>
    <n v="15"/>
    <n v="38.299999999999997"/>
    <n v="20"/>
    <n v="40.299999999999997"/>
    <n v="0"/>
    <n v="0"/>
    <n v="15.090400000000001"/>
    <n v="852"/>
    <n v="0"/>
  </r>
  <r>
    <x v="0"/>
    <x v="0"/>
    <s v="SPXW"/>
    <x v="0"/>
    <x v="212"/>
    <s v="p"/>
    <n v="26.6"/>
    <n v="69.56"/>
    <n v="9.3000000000000007"/>
    <n v="43.69"/>
    <n v="8420"/>
    <n v="5"/>
    <n v="43.9"/>
    <n v="1"/>
    <n v="45.4"/>
    <n v="0"/>
    <n v="0"/>
    <n v="0"/>
    <n v="0"/>
    <n v="0.62619999999999998"/>
    <n v="-0.9657"/>
    <n v="3.2000000000000002E-3"/>
    <n v="-0.32279999999999998"/>
    <n v="0.03"/>
    <n v="-2E-3"/>
    <n v="15"/>
    <n v="43.3"/>
    <n v="20"/>
    <n v="45.3"/>
    <n v="0"/>
    <n v="0"/>
    <n v="18.1175"/>
    <n v="888"/>
    <n v="0"/>
  </r>
  <r>
    <x v="0"/>
    <x v="0"/>
    <s v="SPXW"/>
    <x v="0"/>
    <x v="213"/>
    <s v="p"/>
    <n v="31.75"/>
    <n v="70.83"/>
    <n v="11.97"/>
    <n v="50.02"/>
    <n v="9248"/>
    <n v="15"/>
    <n v="48.8"/>
    <n v="5"/>
    <n v="50.3"/>
    <n v="0"/>
    <n v="0"/>
    <n v="0"/>
    <n v="0"/>
    <n v="0.68400000000000005"/>
    <n v="-0.96830000000000005"/>
    <n v="2.7000000000000001E-3"/>
    <n v="-0.32279999999999998"/>
    <n v="2.81E-2"/>
    <n v="-2E-3"/>
    <n v="15"/>
    <n v="48.3"/>
    <n v="15"/>
    <n v="50.3"/>
    <n v="0"/>
    <n v="0"/>
    <n v="32.802100000000003"/>
    <n v="1204"/>
    <n v="0"/>
  </r>
  <r>
    <x v="0"/>
    <x v="0"/>
    <s v="SPXW"/>
    <x v="0"/>
    <x v="214"/>
    <s v="p"/>
    <n v="34.700000000000003"/>
    <n v="79.37"/>
    <n v="15.2"/>
    <n v="54.5"/>
    <n v="1720"/>
    <n v="10"/>
    <n v="53.8"/>
    <n v="5"/>
    <n v="55.4"/>
    <n v="0"/>
    <n v="0"/>
    <n v="0"/>
    <n v="0"/>
    <n v="0.72070000000000001"/>
    <n v="-0.9738"/>
    <n v="2.2000000000000001E-3"/>
    <n v="-0.27279999999999999"/>
    <n v="2.3900000000000001E-2"/>
    <n v="-2E-3"/>
    <n v="15"/>
    <n v="53.3"/>
    <n v="15"/>
    <n v="55.3"/>
    <n v="0"/>
    <n v="0"/>
    <n v="31.6065"/>
    <n v="451"/>
    <n v="0"/>
  </r>
  <r>
    <x v="0"/>
    <x v="0"/>
    <s v="SPXW"/>
    <x v="0"/>
    <x v="215"/>
    <s v="p"/>
    <n v="41.7"/>
    <n v="84"/>
    <n v="18.95"/>
    <n v="61.95"/>
    <n v="1449"/>
    <n v="5"/>
    <n v="58.9"/>
    <n v="5"/>
    <n v="60.2"/>
    <n v="0"/>
    <n v="0"/>
    <n v="0"/>
    <n v="0"/>
    <n v="0.79749999999999999"/>
    <n v="-0.97219999999999995"/>
    <n v="2.0999999999999999E-3"/>
    <n v="-0.32279999999999998"/>
    <n v="2.5100000000000001E-2"/>
    <n v="-2E-3"/>
    <n v="15"/>
    <n v="58.3"/>
    <n v="15"/>
    <n v="60.3"/>
    <n v="0"/>
    <n v="0"/>
    <n v="36.072200000000002"/>
    <n v="395"/>
    <n v="0"/>
  </r>
  <r>
    <x v="0"/>
    <x v="0"/>
    <s v="SPXW"/>
    <x v="0"/>
    <x v="216"/>
    <s v="p"/>
    <n v="46.94"/>
    <n v="85.7"/>
    <n v="23.34"/>
    <n v="66.5"/>
    <n v="1220"/>
    <n v="5"/>
    <n v="63.9"/>
    <n v="5"/>
    <n v="65.2"/>
    <n v="0"/>
    <n v="0"/>
    <n v="0"/>
    <n v="0"/>
    <n v="0.87370000000000003"/>
    <n v="-0.97089999999999999"/>
    <n v="2E-3"/>
    <n v="-0.37280000000000002"/>
    <n v="2.5999999999999999E-2"/>
    <n v="-2E-3"/>
    <n v="15"/>
    <n v="63.3"/>
    <n v="15"/>
    <n v="65.3"/>
    <n v="0"/>
    <n v="0"/>
    <n v="50.449599999999997"/>
    <n v="262"/>
    <n v="0"/>
  </r>
  <r>
    <x v="0"/>
    <x v="0"/>
    <s v="SPXW"/>
    <x v="0"/>
    <x v="217"/>
    <s v="p"/>
    <n v="47.8"/>
    <n v="90.65"/>
    <n v="27.5"/>
    <n v="71.849999999999994"/>
    <n v="1347"/>
    <n v="16"/>
    <n v="68.8"/>
    <n v="5"/>
    <n v="70.3"/>
    <n v="0"/>
    <n v="0"/>
    <n v="0"/>
    <n v="0"/>
    <n v="0.94969999999999999"/>
    <n v="-0.9698"/>
    <n v="1.9E-3"/>
    <n v="-0.42280000000000001"/>
    <n v="2.6700000000000002E-2"/>
    <n v="-2E-3"/>
    <n v="15"/>
    <n v="68.3"/>
    <n v="15"/>
    <n v="70.3"/>
    <n v="0"/>
    <n v="0"/>
    <n v="52.893300000000004"/>
    <n v="367"/>
    <n v="0"/>
  </r>
  <r>
    <x v="0"/>
    <x v="0"/>
    <s v="SPXW"/>
    <x v="0"/>
    <x v="218"/>
    <s v="p"/>
    <n v="54.14"/>
    <n v="95"/>
    <n v="32.85"/>
    <n v="75.23"/>
    <n v="436"/>
    <n v="15"/>
    <n v="73.8"/>
    <n v="5"/>
    <n v="75.3"/>
    <n v="0"/>
    <n v="0"/>
    <n v="0"/>
    <n v="0"/>
    <n v="0.98550000000000004"/>
    <n v="-0.9738"/>
    <n v="1.6000000000000001E-3"/>
    <n v="-0.37280000000000002"/>
    <n v="2.3800000000000002E-2"/>
    <n v="-2E-3"/>
    <n v="15"/>
    <n v="73.3"/>
    <n v="15"/>
    <n v="75.3"/>
    <n v="0"/>
    <n v="0"/>
    <n v="47.590600000000002"/>
    <n v="220"/>
    <n v="0"/>
  </r>
  <r>
    <x v="0"/>
    <x v="0"/>
    <s v="SPXW"/>
    <x v="0"/>
    <x v="219"/>
    <s v="p"/>
    <n v="58.84"/>
    <n v="96.8"/>
    <n v="37.85"/>
    <n v="82.13"/>
    <n v="238"/>
    <n v="15"/>
    <n v="78.8"/>
    <n v="5"/>
    <n v="80.3"/>
    <n v="0"/>
    <n v="0"/>
    <n v="0"/>
    <n v="0"/>
    <n v="1.0621"/>
    <n v="-0.97260000000000002"/>
    <n v="1.5E-3"/>
    <n v="-0.42280000000000001"/>
    <n v="2.46E-2"/>
    <n v="-2E-3"/>
    <n v="15"/>
    <n v="78.3"/>
    <n v="15"/>
    <n v="80.3"/>
    <n v="0"/>
    <n v="0"/>
    <n v="51.981499999999997"/>
    <n v="75"/>
    <n v="0"/>
  </r>
  <r>
    <x v="0"/>
    <x v="0"/>
    <s v="SPXW"/>
    <x v="0"/>
    <x v="220"/>
    <s v="p"/>
    <n v="62.03"/>
    <n v="98.8"/>
    <n v="42.7"/>
    <n v="87"/>
    <n v="163"/>
    <n v="5"/>
    <n v="83.9"/>
    <n v="5"/>
    <n v="85.3"/>
    <n v="0"/>
    <n v="0"/>
    <n v="0"/>
    <n v="0"/>
    <n v="1.0710999999999999"/>
    <n v="-0.97850000000000004"/>
    <n v="1.2999999999999999E-3"/>
    <n v="-0.32279999999999998"/>
    <n v="2.01E-2"/>
    <n v="-2E-3"/>
    <n v="15"/>
    <n v="83.3"/>
    <n v="15"/>
    <n v="85.3"/>
    <n v="0"/>
    <n v="0"/>
    <n v="56.479900000000001"/>
    <n v="45"/>
    <n v="0"/>
  </r>
  <r>
    <x v="0"/>
    <x v="0"/>
    <s v="SPXW"/>
    <x v="0"/>
    <x v="221"/>
    <s v="p"/>
    <n v="69.73"/>
    <n v="99.52"/>
    <n v="47.48"/>
    <n v="93.15"/>
    <n v="99"/>
    <n v="5"/>
    <n v="88.9"/>
    <n v="5"/>
    <n v="90.3"/>
    <n v="0"/>
    <n v="0"/>
    <n v="0"/>
    <n v="0"/>
    <n v="1.0967"/>
    <n v="-0.9819"/>
    <n v="1.1000000000000001E-3"/>
    <n v="-0.27279999999999999"/>
    <n v="1.7399999999999999E-2"/>
    <n v="-2E-3"/>
    <n v="15"/>
    <n v="88.3"/>
    <n v="15"/>
    <n v="90.3"/>
    <n v="0"/>
    <n v="0"/>
    <n v="65.793000000000006"/>
    <n v="54"/>
    <n v="0"/>
  </r>
  <r>
    <x v="0"/>
    <x v="0"/>
    <s v="SPXW"/>
    <x v="0"/>
    <x v="222"/>
    <s v="p"/>
    <n v="72.73"/>
    <n v="113.08"/>
    <n v="52"/>
    <n v="91.8"/>
    <n v="121"/>
    <n v="5"/>
    <n v="93.9"/>
    <n v="5"/>
    <n v="95.3"/>
    <n v="0"/>
    <n v="0"/>
    <n v="0"/>
    <n v="0"/>
    <n v="1.1775"/>
    <n v="-0.98029999999999995"/>
    <n v="1.1000000000000001E-3"/>
    <n v="-0.32279999999999998"/>
    <n v="1.8700000000000001E-2"/>
    <n v="-2E-3"/>
    <n v="15"/>
    <n v="93.3"/>
    <n v="15"/>
    <n v="95.3"/>
    <n v="0"/>
    <n v="0"/>
    <n v="68.776799999999994"/>
    <n v="236"/>
    <n v="0"/>
  </r>
  <r>
    <x v="0"/>
    <x v="0"/>
    <s v="SPXW"/>
    <x v="0"/>
    <x v="223"/>
    <s v="p"/>
    <n v="79.430000000000007"/>
    <n v="121.4"/>
    <n v="56.5"/>
    <n v="102.32"/>
    <n v="278"/>
    <n v="6"/>
    <n v="98.9"/>
    <n v="5"/>
    <n v="100.3"/>
    <n v="0"/>
    <n v="0"/>
    <n v="0"/>
    <n v="0"/>
    <n v="1.2301"/>
    <n v="-0.98099999999999998"/>
    <n v="1E-3"/>
    <n v="-0.32279999999999998"/>
    <n v="1.8100000000000002E-2"/>
    <n v="-2E-3"/>
    <n v="15"/>
    <n v="98.3"/>
    <n v="15"/>
    <n v="100.3"/>
    <n v="0"/>
    <n v="0"/>
    <n v="79.710400000000007"/>
    <n v="2636"/>
    <n v="0"/>
  </r>
  <r>
    <x v="0"/>
    <x v="0"/>
    <s v="SPXW"/>
    <x v="0"/>
    <x v="224"/>
    <s v="p"/>
    <n v="87.74"/>
    <n v="117"/>
    <n v="62.1"/>
    <n v="95.2"/>
    <n v="34"/>
    <n v="11"/>
    <n v="103.8"/>
    <n v="6"/>
    <n v="105.5"/>
    <n v="0"/>
    <n v="0"/>
    <n v="0"/>
    <n v="0"/>
    <n v="1.3357000000000001"/>
    <n v="-0.97760000000000002"/>
    <n v="1E-3"/>
    <n v="-0.42280000000000001"/>
    <n v="2.07E-2"/>
    <n v="-2E-3"/>
    <n v="15"/>
    <n v="103.3"/>
    <n v="15"/>
    <n v="105.3"/>
    <n v="0"/>
    <n v="0"/>
    <n v="76.575599999999994"/>
    <n v="53"/>
    <n v="0"/>
  </r>
  <r>
    <x v="0"/>
    <x v="0"/>
    <s v="SPXW"/>
    <x v="0"/>
    <x v="225"/>
    <s v="p"/>
    <n v="87"/>
    <n v="113.9"/>
    <n v="67.3"/>
    <n v="101.28"/>
    <n v="33"/>
    <n v="11"/>
    <n v="108.8"/>
    <n v="6"/>
    <n v="110.5"/>
    <n v="0"/>
    <n v="0"/>
    <n v="0"/>
    <n v="0"/>
    <n v="1.3893"/>
    <n v="-0.97829999999999995"/>
    <n v="1E-3"/>
    <n v="-0.42280000000000001"/>
    <n v="2.01E-2"/>
    <n v="-2E-3"/>
    <n v="15"/>
    <n v="108.3"/>
    <n v="15"/>
    <n v="110.3"/>
    <n v="0"/>
    <n v="0"/>
    <n v="91.053299999999993"/>
    <n v="41"/>
    <n v="0"/>
  </r>
  <r>
    <x v="0"/>
    <x v="0"/>
    <s v="SPXW"/>
    <x v="0"/>
    <x v="226"/>
    <s v="p"/>
    <n v="74.83"/>
    <n v="118"/>
    <n v="74.83"/>
    <n v="113.45"/>
    <n v="3"/>
    <n v="11"/>
    <n v="113.8"/>
    <n v="6"/>
    <n v="115.5"/>
    <n v="0"/>
    <n v="0"/>
    <n v="0"/>
    <n v="0"/>
    <n v="1.4424999999999999"/>
    <n v="-0.97899999999999998"/>
    <n v="8.9999999999999998E-4"/>
    <n v="-0.42280000000000001"/>
    <n v="1.9599999999999999E-2"/>
    <n v="-2E-3"/>
    <n v="15"/>
    <n v="113.3"/>
    <n v="15"/>
    <n v="115.3"/>
    <n v="0"/>
    <n v="0"/>
    <n v="102.0933"/>
    <n v="23"/>
    <n v="0"/>
  </r>
  <r>
    <x v="0"/>
    <x v="0"/>
    <s v="SPXW"/>
    <x v="0"/>
    <x v="227"/>
    <s v="p"/>
    <n v="93.11"/>
    <n v="131.05000000000001"/>
    <n v="93.11"/>
    <n v="111.1"/>
    <n v="18"/>
    <n v="11"/>
    <n v="118.8"/>
    <n v="6"/>
    <n v="120.5"/>
    <n v="0"/>
    <n v="0"/>
    <n v="0"/>
    <n v="0"/>
    <n v="1.4955000000000001"/>
    <n v="-0.97970000000000002"/>
    <n v="8.9999999999999998E-4"/>
    <n v="-0.42280000000000001"/>
    <n v="1.9E-2"/>
    <n v="-2E-3"/>
    <n v="15"/>
    <n v="118.3"/>
    <n v="15"/>
    <n v="120.3"/>
    <n v="0"/>
    <n v="0"/>
    <n v="111.92440000000001"/>
    <n v="54"/>
    <n v="0"/>
  </r>
  <r>
    <x v="0"/>
    <x v="0"/>
    <s v="SPXW"/>
    <x v="0"/>
    <x v="228"/>
    <s v="p"/>
    <n v="121.84"/>
    <n v="124.08"/>
    <n v="121.39"/>
    <n v="121.39"/>
    <n v="4"/>
    <n v="11"/>
    <n v="123.8"/>
    <n v="6"/>
    <n v="125.5"/>
    <n v="0"/>
    <n v="0"/>
    <n v="0"/>
    <n v="0"/>
    <n v="1.5482"/>
    <n v="-0.98029999999999995"/>
    <n v="8.0000000000000004E-4"/>
    <n v="-0.42280000000000001"/>
    <n v="1.8499999999999999E-2"/>
    <n v="-2E-3"/>
    <n v="15"/>
    <n v="123.3"/>
    <n v="15"/>
    <n v="125.3"/>
    <n v="0"/>
    <n v="0"/>
    <n v="122.175"/>
    <n v="13"/>
    <n v="0"/>
  </r>
  <r>
    <x v="0"/>
    <x v="0"/>
    <s v="SPXW"/>
    <x v="0"/>
    <x v="229"/>
    <s v="p"/>
    <n v="112.4"/>
    <n v="129.31"/>
    <n v="89.2"/>
    <n v="127.51"/>
    <n v="17"/>
    <n v="11"/>
    <n v="128.80000000000001"/>
    <n v="6"/>
    <n v="130.5"/>
    <n v="0"/>
    <n v="0"/>
    <n v="0"/>
    <n v="0"/>
    <n v="1.6006"/>
    <n v="-0.98089999999999999"/>
    <n v="8.0000000000000004E-4"/>
    <n v="-0.42280000000000001"/>
    <n v="1.8100000000000002E-2"/>
    <n v="-2E-3"/>
    <n v="15"/>
    <n v="128.30000000000001"/>
    <n v="15"/>
    <n v="130.30000000000001"/>
    <n v="0"/>
    <n v="0"/>
    <n v="108.4224"/>
    <n v="49"/>
    <n v="0"/>
  </r>
  <r>
    <x v="0"/>
    <x v="0"/>
    <s v="SPXW"/>
    <x v="0"/>
    <x v="230"/>
    <s v="p"/>
    <n v="110.71"/>
    <n v="110.71"/>
    <n v="96.6"/>
    <n v="98.8"/>
    <n v="14"/>
    <n v="11"/>
    <n v="133.69999999999999"/>
    <n v="6"/>
    <n v="135.5"/>
    <n v="0"/>
    <n v="0"/>
    <n v="0"/>
    <n v="0"/>
    <n v="1.6229"/>
    <n v="-0.98309999999999997"/>
    <n v="6.9999999999999999E-4"/>
    <n v="-0.37280000000000002"/>
    <n v="1.6299999999999999E-2"/>
    <n v="-2E-3"/>
    <n v="15"/>
    <n v="133.30000000000001"/>
    <n v="15"/>
    <n v="135.30000000000001"/>
    <n v="0"/>
    <n v="0"/>
    <n v="99.558599999999998"/>
    <n v="19"/>
    <n v="0"/>
  </r>
  <r>
    <x v="0"/>
    <x v="0"/>
    <s v="SPXW"/>
    <x v="0"/>
    <x v="231"/>
    <s v="p"/>
    <n v="101.6"/>
    <n v="137.76"/>
    <n v="101.6"/>
    <n v="137.76"/>
    <n v="4"/>
    <n v="11"/>
    <n v="138.69999999999999"/>
    <n v="6"/>
    <n v="140.5"/>
    <n v="0"/>
    <n v="0"/>
    <n v="0"/>
    <n v="0"/>
    <n v="1.6740999999999999"/>
    <n v="-0.98350000000000004"/>
    <n v="5.9999999999999995E-4"/>
    <n v="-0.37280000000000002"/>
    <n v="1.5900000000000001E-2"/>
    <n v="-2E-3"/>
    <n v="15"/>
    <n v="138.30000000000001"/>
    <n v="15"/>
    <n v="140.30000000000001"/>
    <n v="0"/>
    <n v="0"/>
    <n v="114.49"/>
    <n v="16"/>
    <n v="0"/>
  </r>
  <r>
    <x v="0"/>
    <x v="0"/>
    <s v="SPXW"/>
    <x v="0"/>
    <x v="232"/>
    <s v="p"/>
    <n v="152.18"/>
    <n v="152.18"/>
    <n v="137.09"/>
    <n v="137.09"/>
    <n v="2"/>
    <n v="11"/>
    <n v="143.69999999999999"/>
    <n v="6"/>
    <n v="145.5"/>
    <n v="0"/>
    <n v="0"/>
    <n v="0"/>
    <n v="0"/>
    <n v="1.7250000000000001"/>
    <n v="-0.98399999999999999"/>
    <n v="5.9999999999999995E-4"/>
    <n v="-0.37280000000000002"/>
    <n v="1.55E-2"/>
    <n v="-2E-3"/>
    <n v="15"/>
    <n v="143.30000000000001"/>
    <n v="15"/>
    <n v="145.30000000000001"/>
    <n v="0"/>
    <n v="0"/>
    <n v="144.63499999999999"/>
    <n v="53"/>
    <n v="0"/>
  </r>
  <r>
    <x v="0"/>
    <x v="0"/>
    <s v="SPXW"/>
    <x v="0"/>
    <x v="233"/>
    <s v="p"/>
    <n v="123.03"/>
    <n v="155.09"/>
    <n v="107.82"/>
    <n v="151.34"/>
    <n v="25"/>
    <n v="11"/>
    <n v="148.69999999999999"/>
    <n v="6"/>
    <n v="150.5"/>
    <n v="0"/>
    <n v="0"/>
    <n v="0"/>
    <n v="0"/>
    <n v="1.7757000000000001"/>
    <n v="-0.98440000000000005"/>
    <n v="5.9999999999999995E-4"/>
    <n v="-0.37280000000000002"/>
    <n v="1.52E-2"/>
    <n v="-2E-3"/>
    <n v="15"/>
    <n v="148.30000000000001"/>
    <n v="15"/>
    <n v="150.30000000000001"/>
    <n v="0"/>
    <n v="0"/>
    <n v="138.9684"/>
    <n v="26"/>
    <n v="0"/>
  </r>
  <r>
    <x v="0"/>
    <x v="0"/>
    <s v="SPXW"/>
    <x v="0"/>
    <x v="234"/>
    <s v="p"/>
    <n v="149.88"/>
    <n v="149.88"/>
    <n v="149.88"/>
    <n v="149.88"/>
    <n v="2"/>
    <n v="11"/>
    <n v="153.69999999999999"/>
    <n v="6"/>
    <n v="155.5"/>
    <n v="0"/>
    <n v="0"/>
    <n v="0"/>
    <n v="0"/>
    <n v="1.8262"/>
    <n v="-0.98480000000000001"/>
    <n v="5.9999999999999995E-4"/>
    <n v="-0.37280000000000002"/>
    <n v="1.49E-2"/>
    <n v="-2E-3"/>
    <n v="15"/>
    <n v="153.30000000000001"/>
    <n v="15"/>
    <n v="155.30000000000001"/>
    <n v="0"/>
    <n v="0"/>
    <n v="149.88"/>
    <n v="0"/>
    <n v="0"/>
  </r>
  <r>
    <x v="0"/>
    <x v="0"/>
    <s v="SPXW"/>
    <x v="0"/>
    <x v="235"/>
    <s v="p"/>
    <n v="140.78"/>
    <n v="171.72"/>
    <n v="125.4"/>
    <n v="150.01"/>
    <n v="4"/>
    <n v="11"/>
    <n v="158.69999999999999"/>
    <n v="6"/>
    <n v="160.5"/>
    <n v="0"/>
    <n v="0"/>
    <n v="0"/>
    <n v="0"/>
    <n v="1.8765000000000001"/>
    <n v="-0.98509999999999998"/>
    <n v="5.0000000000000001E-4"/>
    <n v="-0.37280000000000002"/>
    <n v="1.4500000000000001E-2"/>
    <n v="-2E-3"/>
    <n v="15"/>
    <n v="158.30000000000001"/>
    <n v="15"/>
    <n v="160.30000000000001"/>
    <n v="0"/>
    <n v="0"/>
    <n v="146.97749999999999"/>
    <n v="4"/>
    <n v="0"/>
  </r>
  <r>
    <x v="0"/>
    <x v="0"/>
    <s v="SPXW"/>
    <x v="0"/>
    <x v="236"/>
    <s v="p"/>
    <n v="0"/>
    <n v="0"/>
    <n v="0"/>
    <n v="0"/>
    <n v="0"/>
    <n v="5"/>
    <n v="161"/>
    <n v="5"/>
    <n v="168.1"/>
    <n v="0"/>
    <n v="0"/>
    <n v="0"/>
    <n v="0"/>
    <n v="2.0051999999999999"/>
    <n v="-0.98180000000000001"/>
    <n v="5.9999999999999995E-4"/>
    <n v="-0.50290000000000001"/>
    <n v="1.7399999999999999E-2"/>
    <n v="-2E-3"/>
    <n v="15"/>
    <n v="163.30000000000001"/>
    <n v="15"/>
    <n v="165.3"/>
    <n v="0"/>
    <n v="0"/>
    <n v="0"/>
    <n v="1"/>
    <n v="0"/>
  </r>
  <r>
    <x v="0"/>
    <x v="0"/>
    <s v="SPXW"/>
    <x v="0"/>
    <x v="237"/>
    <s v="p"/>
    <n v="130.07"/>
    <n v="130.07"/>
    <n v="130.07"/>
    <n v="130.07"/>
    <n v="1"/>
    <n v="4"/>
    <n v="166.2"/>
    <n v="4"/>
    <n v="172.9"/>
    <n v="0"/>
    <n v="0"/>
    <n v="0"/>
    <n v="0"/>
    <n v="2.0566"/>
    <n v="-0.98219999999999996"/>
    <n v="5.9999999999999995E-4"/>
    <n v="-0.50290000000000001"/>
    <n v="1.7000000000000001E-2"/>
    <n v="-2E-3"/>
    <n v="15"/>
    <n v="168.3"/>
    <n v="15"/>
    <n v="170.3"/>
    <n v="0"/>
    <n v="0"/>
    <n v="130.07"/>
    <n v="9"/>
    <n v="0"/>
  </r>
  <r>
    <x v="0"/>
    <x v="0"/>
    <s v="SPXW"/>
    <x v="0"/>
    <x v="238"/>
    <s v="p"/>
    <n v="0"/>
    <n v="0"/>
    <n v="0"/>
    <n v="0"/>
    <n v="0"/>
    <n v="4"/>
    <n v="171.2"/>
    <n v="4"/>
    <n v="177.9"/>
    <n v="0"/>
    <n v="0"/>
    <n v="0"/>
    <n v="0"/>
    <n v="2.1078000000000001"/>
    <n v="-0.98250000000000004"/>
    <n v="5.0000000000000001E-4"/>
    <n v="-0.50290000000000001"/>
    <n v="1.67E-2"/>
    <n v="-2E-3"/>
    <n v="15"/>
    <n v="173.3"/>
    <n v="15"/>
    <n v="175.3"/>
    <n v="0"/>
    <n v="0"/>
    <n v="0"/>
    <n v="10"/>
    <n v="0"/>
  </r>
  <r>
    <x v="0"/>
    <x v="0"/>
    <s v="SPXW"/>
    <x v="0"/>
    <x v="239"/>
    <s v="p"/>
    <n v="180"/>
    <n v="180"/>
    <n v="177"/>
    <n v="177"/>
    <n v="4"/>
    <n v="4"/>
    <n v="176"/>
    <n v="4"/>
    <n v="183.1"/>
    <n v="0"/>
    <n v="0"/>
    <n v="0"/>
    <n v="0"/>
    <n v="2.1589"/>
    <n v="-0.9829"/>
    <n v="5.0000000000000001E-4"/>
    <n v="-0.50290000000000001"/>
    <n v="1.6400000000000001E-2"/>
    <n v="-2E-3"/>
    <n v="15"/>
    <n v="178.3"/>
    <n v="15"/>
    <n v="180.3"/>
    <n v="0"/>
    <n v="0"/>
    <n v="179.25"/>
    <n v="72"/>
    <n v="0"/>
  </r>
  <r>
    <x v="0"/>
    <x v="0"/>
    <s v="SPXW"/>
    <x v="0"/>
    <x v="240"/>
    <s v="p"/>
    <n v="151.37"/>
    <n v="152.36000000000001"/>
    <n v="150.08000000000001"/>
    <n v="150.08000000000001"/>
    <n v="16"/>
    <n v="4"/>
    <n v="181.2"/>
    <n v="4"/>
    <n v="187.9"/>
    <n v="0"/>
    <n v="0"/>
    <n v="0"/>
    <n v="0"/>
    <n v="2.2097000000000002"/>
    <n v="-0.98319999999999996"/>
    <n v="5.0000000000000001E-4"/>
    <n v="-0.50290000000000001"/>
    <n v="1.61E-2"/>
    <n v="-2E-3"/>
    <n v="15"/>
    <n v="183.3"/>
    <n v="15"/>
    <n v="185.3"/>
    <n v="0"/>
    <n v="0"/>
    <n v="151.5213"/>
    <n v="68"/>
    <n v="0"/>
  </r>
  <r>
    <x v="0"/>
    <x v="0"/>
    <s v="SPXW"/>
    <x v="0"/>
    <x v="241"/>
    <s v="p"/>
    <n v="0"/>
    <n v="0"/>
    <n v="0"/>
    <n v="0"/>
    <n v="0"/>
    <n v="4"/>
    <n v="186.2"/>
    <n v="4"/>
    <n v="192.9"/>
    <n v="0"/>
    <n v="0"/>
    <n v="0"/>
    <n v="0"/>
    <n v="2.2603"/>
    <n v="-0.98360000000000003"/>
    <n v="5.0000000000000001E-4"/>
    <n v="-0.50290000000000001"/>
    <n v="1.5900000000000001E-2"/>
    <n v="-2E-3"/>
    <n v="15"/>
    <n v="188.3"/>
    <n v="15"/>
    <n v="190.3"/>
    <n v="0"/>
    <n v="0"/>
    <n v="0"/>
    <n v="0"/>
    <n v="0"/>
  </r>
  <r>
    <x v="0"/>
    <x v="0"/>
    <s v="SPXW"/>
    <x v="0"/>
    <x v="242"/>
    <s v="p"/>
    <n v="0"/>
    <n v="0"/>
    <n v="0"/>
    <n v="0"/>
    <n v="0"/>
    <n v="4"/>
    <n v="191"/>
    <n v="4"/>
    <n v="198.1"/>
    <n v="0"/>
    <n v="0"/>
    <n v="0"/>
    <n v="0"/>
    <n v="2.3107000000000002"/>
    <n v="-0.9839"/>
    <n v="5.0000000000000001E-4"/>
    <n v="-0.50290000000000001"/>
    <n v="1.5599999999999999E-2"/>
    <n v="-2E-3"/>
    <n v="15"/>
    <n v="193.3"/>
    <n v="15"/>
    <n v="195.3"/>
    <n v="0"/>
    <n v="0"/>
    <n v="0"/>
    <n v="1"/>
    <n v="0"/>
  </r>
  <r>
    <x v="0"/>
    <x v="0"/>
    <s v="SPXW"/>
    <x v="0"/>
    <x v="243"/>
    <s v="p"/>
    <n v="157.97"/>
    <n v="209.44"/>
    <n v="157.97"/>
    <n v="209.44"/>
    <n v="20"/>
    <n v="15"/>
    <n v="195.5"/>
    <n v="4"/>
    <n v="203.2"/>
    <n v="0"/>
    <n v="0"/>
    <n v="0"/>
    <n v="0"/>
    <n v="2.2063000000000001"/>
    <n v="-0.98929999999999996"/>
    <n v="2.9999999999999997E-4"/>
    <n v="-0.3029"/>
    <n v="1.09E-2"/>
    <n v="-2.0999999999999999E-3"/>
    <n v="6"/>
    <n v="192.3"/>
    <n v="6"/>
    <n v="202.8"/>
    <n v="0"/>
    <n v="0"/>
    <n v="189.92400000000001"/>
    <n v="20"/>
    <n v="0"/>
  </r>
  <r>
    <x v="0"/>
    <x v="0"/>
    <s v="SPXW"/>
    <x v="0"/>
    <x v="244"/>
    <s v="p"/>
    <n v="0"/>
    <n v="0"/>
    <n v="0"/>
    <n v="0"/>
    <n v="0"/>
    <n v="4"/>
    <n v="197.3"/>
    <n v="4"/>
    <n v="211.4"/>
    <n v="0"/>
    <n v="0"/>
    <n v="0"/>
    <n v="0"/>
    <n v="2.2538999999999998"/>
    <n v="-0.98950000000000005"/>
    <n v="2.9999999999999997E-4"/>
    <n v="-0.3029"/>
    <n v="1.0800000000000001E-2"/>
    <n v="-2.0999999999999999E-3"/>
    <n v="6"/>
    <n v="197.3"/>
    <n v="6"/>
    <n v="210.8"/>
    <n v="0"/>
    <n v="0"/>
    <n v="0"/>
    <n v="0"/>
    <n v="0"/>
  </r>
  <r>
    <x v="0"/>
    <x v="0"/>
    <s v="SPXW"/>
    <x v="0"/>
    <x v="245"/>
    <s v="p"/>
    <n v="0"/>
    <n v="0"/>
    <n v="0"/>
    <n v="0"/>
    <n v="0"/>
    <n v="4"/>
    <n v="203.1"/>
    <n v="4"/>
    <n v="215.9"/>
    <n v="0"/>
    <n v="0"/>
    <n v="0"/>
    <n v="0"/>
    <n v="2.4258000000000002"/>
    <n v="-0.9859"/>
    <n v="4.0000000000000002E-4"/>
    <n v="-0.45290000000000002"/>
    <n v="1.38E-2"/>
    <n v="-2E-3"/>
    <n v="6"/>
    <n v="202.3"/>
    <n v="6"/>
    <n v="215.8"/>
    <n v="0"/>
    <n v="0"/>
    <n v="0"/>
    <n v="0"/>
    <n v="0"/>
  </r>
  <r>
    <x v="0"/>
    <x v="0"/>
    <s v="SPXW"/>
    <x v="0"/>
    <x v="246"/>
    <s v="p"/>
    <n v="0"/>
    <n v="0"/>
    <n v="0"/>
    <n v="0"/>
    <n v="0"/>
    <n v="4"/>
    <n v="207.3"/>
    <n v="4"/>
    <n v="220.8"/>
    <n v="0"/>
    <n v="0"/>
    <n v="0"/>
    <n v="0"/>
    <n v="1.5521"/>
    <n v="-0.99980000000000002"/>
    <n v="0"/>
    <n v="-2.8999999999999998E-3"/>
    <n v="2.9999999999999997E-4"/>
    <n v="-2.0999999999999999E-3"/>
    <n v="6"/>
    <n v="207.3"/>
    <n v="6"/>
    <n v="220.8"/>
    <n v="0"/>
    <n v="0"/>
    <n v="0"/>
    <n v="0"/>
    <n v="0"/>
  </r>
  <r>
    <x v="0"/>
    <x v="0"/>
    <s v="SPXW"/>
    <x v="0"/>
    <x v="247"/>
    <s v="p"/>
    <n v="0"/>
    <n v="0"/>
    <n v="0"/>
    <n v="0"/>
    <n v="0"/>
    <n v="4"/>
    <n v="209.1"/>
    <n v="4"/>
    <n v="228.8"/>
    <n v="0"/>
    <n v="0"/>
    <n v="0"/>
    <n v="0"/>
    <n v="4.5975999999999999"/>
    <n v="-0.88570000000000004"/>
    <n v="1.1000000000000001E-3"/>
    <n v="0"/>
    <n v="7.4800000000000005E-2"/>
    <n v="-1.8E-3"/>
    <n v="6"/>
    <n v="208.9"/>
    <n v="6"/>
    <n v="229.2"/>
    <n v="0"/>
    <n v="0"/>
    <n v="0"/>
    <n v="0"/>
    <n v="0"/>
  </r>
  <r>
    <x v="0"/>
    <x v="0"/>
    <s v="SPXW"/>
    <x v="0"/>
    <x v="248"/>
    <s v="p"/>
    <n v="0"/>
    <n v="0"/>
    <n v="0"/>
    <n v="0"/>
    <n v="0"/>
    <n v="4"/>
    <n v="213.8"/>
    <n v="4"/>
    <n v="233.9"/>
    <n v="0"/>
    <n v="0"/>
    <n v="0"/>
    <n v="0"/>
    <n v="4.6844999999999999"/>
    <n v="-0.88649999999999995"/>
    <n v="1.1000000000000001E-3"/>
    <n v="0"/>
    <n v="7.4399999999999994E-2"/>
    <n v="-1.8E-3"/>
    <n v="6"/>
    <n v="213.9"/>
    <n v="6"/>
    <n v="234.2"/>
    <n v="0"/>
    <n v="0"/>
    <n v="0"/>
    <n v="0"/>
    <n v="0"/>
  </r>
  <r>
    <x v="0"/>
    <x v="0"/>
    <s v="SPXW"/>
    <x v="0"/>
    <x v="249"/>
    <s v="p"/>
    <n v="0"/>
    <n v="0"/>
    <n v="0"/>
    <n v="0"/>
    <n v="0"/>
    <n v="4"/>
    <n v="219.5"/>
    <n v="4"/>
    <n v="239.9"/>
    <n v="0"/>
    <n v="0"/>
    <n v="0"/>
    <n v="0"/>
    <n v="2.7582"/>
    <n v="-0.98260000000000003"/>
    <n v="4.0000000000000002E-4"/>
    <n v="-0.65290000000000004"/>
    <n v="1.66E-2"/>
    <n v="-2E-3"/>
    <n v="6"/>
    <n v="218.9"/>
    <n v="6"/>
    <n v="239.2"/>
    <n v="0"/>
    <n v="0"/>
    <n v="0"/>
    <n v="0"/>
    <n v="0"/>
  </r>
  <r>
    <x v="0"/>
    <x v="0"/>
    <s v="SPXW"/>
    <x v="0"/>
    <x v="250"/>
    <s v="p"/>
    <n v="0"/>
    <n v="0"/>
    <n v="0"/>
    <n v="0"/>
    <n v="0"/>
    <n v="4"/>
    <n v="223.8"/>
    <n v="4"/>
    <n v="243.9"/>
    <n v="0"/>
    <n v="0"/>
    <n v="0"/>
    <n v="0"/>
    <n v="4.8305999999999996"/>
    <n v="-0.88929999999999998"/>
    <n v="1E-3"/>
    <n v="0"/>
    <n v="7.3099999999999998E-2"/>
    <n v="-1.8E-3"/>
    <n v="6"/>
    <n v="223.9"/>
    <n v="6"/>
    <n v="244.2"/>
    <n v="0"/>
    <n v="0"/>
    <n v="0"/>
    <n v="0"/>
    <n v="0"/>
  </r>
  <r>
    <x v="0"/>
    <x v="0"/>
    <s v="SPXW"/>
    <x v="0"/>
    <x v="251"/>
    <s v="p"/>
    <n v="0"/>
    <n v="0"/>
    <n v="0"/>
    <n v="0"/>
    <n v="0"/>
    <n v="4"/>
    <n v="229.7"/>
    <n v="4"/>
    <n v="250"/>
    <n v="0"/>
    <n v="0"/>
    <n v="0"/>
    <n v="0"/>
    <n v="2.9466000000000001"/>
    <n v="-0.98029999999999995"/>
    <n v="4.0000000000000002E-4"/>
    <n v="-0.80289999999999995"/>
    <n v="1.84E-2"/>
    <n v="-2E-3"/>
    <n v="6"/>
    <n v="228.9"/>
    <n v="6"/>
    <n v="249.2"/>
    <n v="0"/>
    <n v="0"/>
    <n v="0"/>
    <n v="0"/>
    <n v="0"/>
  </r>
  <r>
    <x v="0"/>
    <x v="0"/>
    <s v="SPXW"/>
    <x v="0"/>
    <x v="252"/>
    <s v="p"/>
    <n v="0"/>
    <n v="0"/>
    <n v="0"/>
    <n v="0"/>
    <n v="0"/>
    <n v="4"/>
    <n v="234.5"/>
    <n v="4"/>
    <n v="255.2"/>
    <n v="0"/>
    <n v="0"/>
    <n v="0"/>
    <n v="0"/>
    <n v="2.9980000000000002"/>
    <n v="-0.98060000000000003"/>
    <n v="4.0000000000000002E-4"/>
    <n v="-0.80289999999999995"/>
    <n v="1.8200000000000001E-2"/>
    <n v="-2E-3"/>
    <n v="6"/>
    <n v="233.9"/>
    <n v="6"/>
    <n v="254.2"/>
    <n v="0"/>
    <n v="0"/>
    <n v="0"/>
    <n v="0"/>
    <n v="0"/>
  </r>
  <r>
    <x v="0"/>
    <x v="0"/>
    <s v="SPXW"/>
    <x v="0"/>
    <x v="253"/>
    <s v="p"/>
    <n v="227.49"/>
    <n v="227.49"/>
    <n v="227.49"/>
    <n v="227.49"/>
    <n v="1"/>
    <n v="4"/>
    <n v="238.8"/>
    <n v="4"/>
    <n v="258.89999999999998"/>
    <n v="0"/>
    <n v="0"/>
    <n v="0"/>
    <n v="0"/>
    <n v="5.0473999999999997"/>
    <n v="-0.89319999999999999"/>
    <n v="1E-3"/>
    <n v="0"/>
    <n v="7.1199999999999999E-2"/>
    <n v="-1.9E-3"/>
    <n v="5"/>
    <n v="238.9"/>
    <n v="5"/>
    <n v="259.2"/>
    <n v="0"/>
    <n v="0"/>
    <n v="227.49"/>
    <n v="2"/>
    <n v="0"/>
  </r>
  <r>
    <x v="0"/>
    <x v="0"/>
    <s v="SPXW"/>
    <x v="0"/>
    <x v="254"/>
    <s v="p"/>
    <n v="0"/>
    <n v="0"/>
    <n v="0"/>
    <n v="0"/>
    <n v="0"/>
    <n v="4"/>
    <n v="249.4"/>
    <n v="4"/>
    <n v="269.3"/>
    <n v="0"/>
    <n v="0"/>
    <n v="0"/>
    <n v="0"/>
    <n v="2.7677"/>
    <n v="-0.99129999999999996"/>
    <n v="2.0000000000000001E-4"/>
    <n v="-0.3029"/>
    <n v="9.1000000000000004E-3"/>
    <n v="-2.0999999999999999E-3"/>
    <n v="5"/>
    <n v="248.9"/>
    <n v="5"/>
    <n v="269.2"/>
    <n v="0"/>
    <n v="0"/>
    <n v="0"/>
    <n v="0"/>
    <n v="0"/>
  </r>
  <r>
    <x v="0"/>
    <x v="0"/>
    <s v="SPXW"/>
    <x v="0"/>
    <x v="255"/>
    <s v="p"/>
    <n v="0"/>
    <n v="0"/>
    <n v="0"/>
    <n v="0"/>
    <n v="0"/>
    <n v="4"/>
    <n v="259.7"/>
    <n v="4"/>
    <n v="278.8"/>
    <n v="0"/>
    <n v="0"/>
    <n v="0"/>
    <n v="0"/>
    <n v="2.7294"/>
    <n v="-0.99380000000000002"/>
    <n v="2.0000000000000001E-4"/>
    <n v="-0.2029"/>
    <n v="6.7000000000000002E-3"/>
    <n v="-2.0999999999999999E-3"/>
    <n v="5"/>
    <n v="258.89999999999998"/>
    <n v="5"/>
    <n v="279.2"/>
    <n v="0"/>
    <n v="0"/>
    <n v="0"/>
    <n v="0"/>
    <n v="0"/>
  </r>
  <r>
    <x v="0"/>
    <x v="0"/>
    <s v="SPXW"/>
    <x v="0"/>
    <x v="256"/>
    <s v="p"/>
    <n v="0"/>
    <n v="0"/>
    <n v="0"/>
    <n v="0"/>
    <n v="0"/>
    <n v="4"/>
    <n v="264.7"/>
    <n v="4"/>
    <n v="283.89999999999998"/>
    <n v="0"/>
    <n v="0"/>
    <n v="0"/>
    <n v="0"/>
    <n v="2.8439000000000001"/>
    <n v="-0.99270000000000003"/>
    <n v="2.0000000000000001E-4"/>
    <n v="-0.25290000000000001"/>
    <n v="7.7000000000000002E-3"/>
    <n v="-2.0999999999999999E-3"/>
    <n v="5"/>
    <n v="263.89999999999998"/>
    <n v="5"/>
    <n v="284.2"/>
    <n v="0"/>
    <n v="0"/>
    <n v="0"/>
    <n v="0"/>
    <n v="0"/>
  </r>
  <r>
    <x v="0"/>
    <x v="0"/>
    <s v="SPXW"/>
    <x v="0"/>
    <x v="257"/>
    <s v="p"/>
    <n v="0"/>
    <n v="0"/>
    <n v="0"/>
    <n v="0"/>
    <n v="0"/>
    <n v="4"/>
    <n v="269.60000000000002"/>
    <n v="4"/>
    <n v="288.8"/>
    <n v="0"/>
    <n v="0"/>
    <n v="0"/>
    <n v="0"/>
    <n v="2.7319"/>
    <n v="-0.99519999999999997"/>
    <n v="1E-4"/>
    <n v="-0.15290000000000001"/>
    <n v="5.3E-3"/>
    <n v="-2.0999999999999999E-3"/>
    <n v="5"/>
    <n v="268.89999999999998"/>
    <n v="5"/>
    <n v="289.2"/>
    <n v="0"/>
    <n v="0"/>
    <n v="0"/>
    <n v="0"/>
    <n v="0"/>
  </r>
  <r>
    <x v="0"/>
    <x v="0"/>
    <s v="SPXW"/>
    <x v="0"/>
    <x v="258"/>
    <s v="p"/>
    <n v="0"/>
    <n v="0"/>
    <n v="0"/>
    <n v="0"/>
    <n v="0"/>
    <n v="4"/>
    <n v="279"/>
    <n v="4"/>
    <n v="300.5"/>
    <n v="0"/>
    <n v="0"/>
    <n v="0"/>
    <n v="0"/>
    <n v="3.3896000000000002"/>
    <n v="-0.98450000000000004"/>
    <n v="2.9999999999999997E-4"/>
    <n v="-0.70289999999999997"/>
    <n v="1.4999999999999999E-2"/>
    <n v="-2E-3"/>
    <n v="5"/>
    <n v="278.89999999999998"/>
    <n v="5"/>
    <n v="299.2"/>
    <n v="0"/>
    <n v="0"/>
    <n v="0"/>
    <n v="0"/>
    <n v="0"/>
  </r>
  <r>
    <x v="0"/>
    <x v="0"/>
    <s v="SPXW"/>
    <x v="0"/>
    <x v="259"/>
    <s v="p"/>
    <n v="295.39999999999998"/>
    <n v="295.39999999999998"/>
    <n v="295.39999999999998"/>
    <n v="295.39999999999998"/>
    <n v="1"/>
    <n v="4"/>
    <n v="289.7"/>
    <n v="4"/>
    <n v="308.60000000000002"/>
    <n v="0"/>
    <n v="0"/>
    <n v="0"/>
    <n v="0"/>
    <n v="2.7877999999999998"/>
    <n v="-0.99670000000000003"/>
    <n v="1E-4"/>
    <n v="-0.10290000000000001"/>
    <n v="3.8E-3"/>
    <n v="-2.0999999999999999E-3"/>
    <n v="5"/>
    <n v="288.89999999999998"/>
    <n v="5"/>
    <n v="309.2"/>
    <n v="0"/>
    <n v="0"/>
    <n v="295.39999999999998"/>
    <n v="2"/>
    <n v="0"/>
  </r>
  <r>
    <x v="0"/>
    <x v="0"/>
    <s v="SPXW"/>
    <x v="0"/>
    <x v="260"/>
    <s v="p"/>
    <n v="0"/>
    <n v="0"/>
    <n v="0"/>
    <n v="0"/>
    <n v="0"/>
    <n v="4"/>
    <n v="299.39999999999998"/>
    <n v="4"/>
    <n v="320.5"/>
    <n v="0"/>
    <n v="0"/>
    <n v="0"/>
    <n v="0"/>
    <n v="3.7147999999999999"/>
    <n v="-0.98219999999999996"/>
    <n v="2.9999999999999997E-4"/>
    <n v="-0.90290000000000004"/>
    <n v="1.6899999999999998E-2"/>
    <n v="-2E-3"/>
    <n v="5"/>
    <n v="298.89999999999998"/>
    <n v="5"/>
    <n v="319.2"/>
    <n v="0"/>
    <n v="0"/>
    <n v="0"/>
    <n v="0"/>
    <n v="0"/>
  </r>
  <r>
    <x v="0"/>
    <x v="0"/>
    <s v="SPXW"/>
    <x v="0"/>
    <x v="261"/>
    <s v="p"/>
    <n v="0"/>
    <n v="0"/>
    <n v="0"/>
    <n v="0"/>
    <n v="0"/>
    <n v="4"/>
    <n v="309.39999999999998"/>
    <n v="4"/>
    <n v="330"/>
    <n v="0"/>
    <n v="0"/>
    <n v="0"/>
    <n v="0"/>
    <n v="3.6467000000000001"/>
    <n v="-0.98640000000000005"/>
    <n v="2.9999999999999997E-4"/>
    <n v="-0.65290000000000004"/>
    <n v="1.34E-2"/>
    <n v="-2E-3"/>
    <n v="5"/>
    <n v="308.89999999999998"/>
    <n v="5"/>
    <n v="329.2"/>
    <n v="0"/>
    <n v="0"/>
    <n v="0"/>
    <n v="0"/>
    <n v="0"/>
  </r>
  <r>
    <x v="0"/>
    <x v="0"/>
    <s v="SPXW"/>
    <x v="0"/>
    <x v="262"/>
    <s v="p"/>
    <n v="0"/>
    <n v="0"/>
    <n v="0"/>
    <n v="0"/>
    <n v="0"/>
    <n v="4"/>
    <n v="314.7"/>
    <n v="4"/>
    <n v="333.1"/>
    <n v="0"/>
    <n v="0"/>
    <n v="0"/>
    <n v="0"/>
    <n v="5.9664999999999999"/>
    <n v="-0.91320000000000001"/>
    <n v="6.9999999999999999E-4"/>
    <n v="0"/>
    <n v="6.1100000000000002E-2"/>
    <n v="-1.9E-3"/>
    <n v="5"/>
    <n v="313.89999999999998"/>
    <n v="5"/>
    <n v="334.2"/>
    <n v="0"/>
    <n v="0"/>
    <n v="0"/>
    <n v="0"/>
    <n v="0"/>
  </r>
  <r>
    <x v="0"/>
    <x v="0"/>
    <s v="SPXW"/>
    <x v="0"/>
    <x v="263"/>
    <s v="p"/>
    <n v="327.17"/>
    <n v="327.17"/>
    <n v="327.17"/>
    <n v="327.17"/>
    <n v="1"/>
    <n v="4"/>
    <n v="338.8"/>
    <n v="4"/>
    <n v="357.9"/>
    <n v="0"/>
    <n v="0"/>
    <n v="0"/>
    <n v="0"/>
    <n v="6.2657999999999996"/>
    <n v="-0.91820000000000002"/>
    <n v="5.9999999999999995E-4"/>
    <n v="0"/>
    <n v="5.8500000000000003E-2"/>
    <n v="-1.9E-3"/>
    <n v="5"/>
    <n v="338.9"/>
    <n v="5"/>
    <n v="359.2"/>
    <n v="0"/>
    <n v="0"/>
    <n v="327.17"/>
    <n v="1"/>
    <n v="0"/>
  </r>
  <r>
    <x v="0"/>
    <x v="0"/>
    <s v="SPXW"/>
    <x v="0"/>
    <x v="264"/>
    <s v="p"/>
    <n v="0"/>
    <n v="0"/>
    <n v="0"/>
    <n v="0"/>
    <n v="0"/>
    <n v="4"/>
    <n v="364.6"/>
    <n v="4"/>
    <n v="383.9"/>
    <n v="0"/>
    <n v="0"/>
    <n v="0"/>
    <n v="0"/>
    <n v="3.6349"/>
    <n v="-0.99519999999999997"/>
    <n v="1E-4"/>
    <n v="-0.2029"/>
    <n v="5.3E-3"/>
    <n v="-2.0999999999999999E-3"/>
    <n v="5"/>
    <n v="363.9"/>
    <n v="5"/>
    <n v="384.2"/>
    <n v="0"/>
    <n v="0"/>
    <n v="0"/>
    <n v="0"/>
    <n v="0"/>
  </r>
  <r>
    <x v="0"/>
    <x v="0"/>
    <s v="SPXW"/>
    <x v="0"/>
    <x v="265"/>
    <s v="p"/>
    <n v="0"/>
    <n v="0"/>
    <n v="0"/>
    <n v="0"/>
    <n v="0"/>
    <n v="4"/>
    <n v="388.8"/>
    <n v="4"/>
    <n v="407.4"/>
    <n v="0"/>
    <n v="0"/>
    <n v="0"/>
    <n v="0"/>
    <n v="6.8235000000000001"/>
    <n v="-0.92749999999999999"/>
    <n v="5.0000000000000001E-4"/>
    <n v="0"/>
    <n v="5.33E-2"/>
    <n v="-1.9E-3"/>
    <n v="5"/>
    <n v="388.9"/>
    <n v="5"/>
    <n v="409.2"/>
    <n v="0"/>
    <n v="0"/>
    <n v="0"/>
    <n v="1"/>
    <n v="0"/>
  </r>
  <r>
    <x v="0"/>
    <x v="0"/>
    <s v="SPXW"/>
    <x v="0"/>
    <x v="266"/>
    <s v="p"/>
    <n v="0"/>
    <n v="0"/>
    <n v="0"/>
    <n v="0"/>
    <n v="0"/>
    <n v="4"/>
    <n v="414.7"/>
    <n v="4"/>
    <n v="432.8"/>
    <n v="0"/>
    <n v="0"/>
    <n v="0"/>
    <n v="0"/>
    <n v="7.2157999999999998"/>
    <n v="-0.92800000000000005"/>
    <n v="5.0000000000000001E-4"/>
    <n v="0"/>
    <n v="5.2999999999999999E-2"/>
    <n v="-1.9E-3"/>
    <n v="5"/>
    <n v="413.9"/>
    <n v="5"/>
    <n v="434.2"/>
    <n v="0"/>
    <n v="0"/>
    <n v="0"/>
    <n v="0"/>
    <n v="0"/>
  </r>
  <r>
    <x v="0"/>
    <x v="0"/>
    <s v="SPXW"/>
    <x v="0"/>
    <x v="267"/>
    <s v="p"/>
    <n v="0"/>
    <n v="0"/>
    <n v="0"/>
    <n v="0"/>
    <n v="0"/>
    <n v="4"/>
    <n v="439.7"/>
    <n v="4"/>
    <n v="457.8"/>
    <n v="0"/>
    <n v="0"/>
    <n v="0"/>
    <n v="0"/>
    <n v="7.5298999999999996"/>
    <n v="-0.93049999999999999"/>
    <n v="5.0000000000000001E-4"/>
    <n v="0"/>
    <n v="5.16E-2"/>
    <n v="-1.9E-3"/>
    <n v="5"/>
    <n v="438.9"/>
    <n v="5"/>
    <n v="459.2"/>
    <n v="0"/>
    <n v="0"/>
    <n v="0"/>
    <n v="0"/>
    <n v="0"/>
  </r>
  <r>
    <x v="0"/>
    <x v="0"/>
    <s v="SPXW"/>
    <x v="0"/>
    <x v="268"/>
    <s v="p"/>
    <n v="0"/>
    <n v="0"/>
    <n v="0"/>
    <n v="0"/>
    <n v="0"/>
    <n v="4"/>
    <n v="464.7"/>
    <n v="4"/>
    <n v="485.5"/>
    <n v="0"/>
    <n v="0"/>
    <n v="0"/>
    <n v="0"/>
    <n v="5.4229000000000003"/>
    <n v="-0.98540000000000005"/>
    <n v="2.0000000000000001E-4"/>
    <n v="-1.0528999999999999"/>
    <n v="1.4200000000000001E-2"/>
    <n v="-2E-3"/>
    <n v="5"/>
    <n v="463.9"/>
    <n v="5"/>
    <n v="484.2"/>
    <n v="0"/>
    <n v="0"/>
    <n v="0"/>
    <n v="0"/>
    <n v="0"/>
  </r>
  <r>
    <x v="0"/>
    <x v="0"/>
    <s v="SPXW"/>
    <x v="0"/>
    <x v="269"/>
    <s v="p"/>
    <n v="0"/>
    <n v="0"/>
    <n v="0"/>
    <n v="0"/>
    <n v="0"/>
    <n v="4"/>
    <n v="489.7"/>
    <n v="4"/>
    <n v="508.9"/>
    <n v="0"/>
    <n v="0"/>
    <n v="0"/>
    <n v="0"/>
    <n v="4.7752999999999997"/>
    <n v="-0.99539999999999995"/>
    <n v="1E-4"/>
    <n v="-0.25290000000000001"/>
    <n v="5.1000000000000004E-3"/>
    <n v="-2.0999999999999999E-3"/>
    <n v="5"/>
    <n v="488.9"/>
    <n v="5"/>
    <n v="509.2"/>
    <n v="0"/>
    <n v="0"/>
    <n v="0"/>
    <n v="0"/>
    <n v="0"/>
  </r>
  <r>
    <x v="0"/>
    <x v="0"/>
    <s v="SPXW"/>
    <x v="0"/>
    <x v="270"/>
    <s v="p"/>
    <n v="0"/>
    <n v="0"/>
    <n v="0"/>
    <n v="0"/>
    <n v="0"/>
    <n v="4"/>
    <n v="514.4"/>
    <n v="4"/>
    <n v="535.5"/>
    <n v="0"/>
    <n v="0"/>
    <n v="0"/>
    <n v="0"/>
    <n v="5.7759999999999998"/>
    <n v="-0.9879"/>
    <n v="1E-4"/>
    <n v="-0.90290000000000004"/>
    <n v="1.21E-2"/>
    <n v="-2E-3"/>
    <n v="5"/>
    <n v="513.9"/>
    <n v="5"/>
    <n v="534.20000000000005"/>
    <n v="0"/>
    <n v="0"/>
    <n v="0"/>
    <n v="0"/>
    <n v="0"/>
  </r>
  <r>
    <x v="0"/>
    <x v="0"/>
    <s v="SPXW"/>
    <x v="0"/>
    <x v="271"/>
    <s v="p"/>
    <n v="574.4"/>
    <n v="574.4"/>
    <n v="574.4"/>
    <n v="574.4"/>
    <n v="30"/>
    <n v="4"/>
    <n v="589.6"/>
    <n v="4"/>
    <n v="608.9"/>
    <n v="0"/>
    <n v="0"/>
    <n v="0"/>
    <n v="0"/>
    <n v="5.4665999999999997"/>
    <n v="-0.99670000000000003"/>
    <n v="1E-4"/>
    <n v="-0.2029"/>
    <n v="3.8E-3"/>
    <n v="-2.0999999999999999E-3"/>
    <n v="5"/>
    <n v="588.9"/>
    <n v="5"/>
    <n v="609.20000000000005"/>
    <n v="0"/>
    <n v="0"/>
    <n v="574.4"/>
    <n v="0"/>
    <n v="0"/>
  </r>
  <r>
    <x v="0"/>
    <x v="0"/>
    <s v="SPXW"/>
    <x v="0"/>
    <x v="272"/>
    <s v="p"/>
    <n v="672.16"/>
    <n v="674.64"/>
    <n v="672.15"/>
    <n v="672.15"/>
    <n v="4"/>
    <n v="4"/>
    <n v="689.5"/>
    <n v="4"/>
    <n v="710.2"/>
    <n v="0"/>
    <n v="0"/>
    <n v="0"/>
    <n v="0"/>
    <n v="7.2232000000000003"/>
    <n v="-0.99139999999999995"/>
    <n v="1E-4"/>
    <n v="-0.77280000000000004"/>
    <n v="8.8999999999999999E-3"/>
    <n v="-2E-3"/>
    <n v="5"/>
    <n v="688.9"/>
    <n v="5"/>
    <n v="709.2"/>
    <n v="0"/>
    <n v="0"/>
    <n v="672.77750000000003"/>
    <n v="0"/>
    <n v="0"/>
  </r>
  <r>
    <x v="0"/>
    <x v="0"/>
    <s v="SPXW"/>
    <x v="0"/>
    <x v="273"/>
    <s v="p"/>
    <n v="0"/>
    <n v="0"/>
    <n v="0"/>
    <n v="0"/>
    <n v="0"/>
    <n v="4"/>
    <n v="789.7"/>
    <n v="4"/>
    <n v="809"/>
    <n v="0"/>
    <n v="0"/>
    <n v="0"/>
    <n v="0"/>
    <n v="7.2797000000000001"/>
    <n v="-0.99629999999999996"/>
    <n v="0"/>
    <n v="-0.3029"/>
    <n v="4.1999999999999997E-3"/>
    <n v="-2.0999999999999999E-3"/>
    <n v="5"/>
    <n v="788.9"/>
    <n v="5"/>
    <n v="809.2"/>
    <n v="0"/>
    <n v="0"/>
    <n v="0"/>
    <n v="1"/>
    <n v="0"/>
  </r>
  <r>
    <x v="0"/>
    <x v="0"/>
    <s v="SPXW"/>
    <x v="0"/>
    <x v="274"/>
    <s v="p"/>
    <n v="0"/>
    <n v="0"/>
    <n v="0"/>
    <n v="0"/>
    <n v="0"/>
    <n v="4"/>
    <n v="989.7"/>
    <n v="4"/>
    <n v="1009"/>
    <n v="0"/>
    <n v="0"/>
    <n v="0"/>
    <n v="0"/>
    <n v="0"/>
    <n v="0"/>
    <n v="0"/>
    <n v="0"/>
    <n v="0"/>
    <n v="0"/>
    <n v="5"/>
    <n v="988.9"/>
    <n v="5"/>
    <n v="1009.2"/>
    <n v="0"/>
    <n v="0"/>
    <n v="0"/>
    <n v="0"/>
    <n v="0"/>
  </r>
  <r>
    <x v="0"/>
    <x v="0"/>
    <s v="SPXW"/>
    <x v="0"/>
    <x v="275"/>
    <s v="p"/>
    <n v="0"/>
    <n v="0"/>
    <n v="0"/>
    <n v="0"/>
    <n v="0"/>
    <n v="4"/>
    <n v="1189.7"/>
    <n v="4"/>
    <n v="1209"/>
    <n v="0"/>
    <n v="0"/>
    <n v="0"/>
    <n v="0"/>
    <n v="0"/>
    <n v="0"/>
    <n v="0"/>
    <n v="0"/>
    <n v="0"/>
    <n v="0"/>
    <n v="5"/>
    <n v="1188.9000000000001"/>
    <n v="5"/>
    <n v="1209.2"/>
    <n v="0"/>
    <n v="0"/>
    <n v="0"/>
    <n v="0"/>
    <n v="0"/>
  </r>
  <r>
    <x v="0"/>
    <x v="0"/>
    <s v="SPXW"/>
    <x v="0"/>
    <x v="276"/>
    <s v="p"/>
    <n v="0"/>
    <n v="0"/>
    <n v="0"/>
    <n v="0"/>
    <n v="0"/>
    <n v="4"/>
    <n v="1389.6"/>
    <n v="4"/>
    <n v="1408.6"/>
    <n v="0"/>
    <n v="0"/>
    <n v="0"/>
    <n v="0"/>
    <n v="0"/>
    <n v="0"/>
    <n v="0"/>
    <n v="0"/>
    <n v="0"/>
    <n v="0"/>
    <n v="5"/>
    <n v="1388.9"/>
    <n v="5"/>
    <n v="1409.2"/>
    <n v="0"/>
    <n v="0"/>
    <n v="0"/>
    <n v="0"/>
    <n v="0"/>
  </r>
  <r>
    <x v="0"/>
    <x v="0"/>
    <s v="SPXW"/>
    <x v="0"/>
    <x v="277"/>
    <s v="p"/>
    <n v="1578.18"/>
    <n v="1578.18"/>
    <n v="1569.14"/>
    <n v="1572.1"/>
    <n v="35"/>
    <n v="4"/>
    <n v="1589.7"/>
    <n v="4"/>
    <n v="1609.7"/>
    <n v="0"/>
    <n v="0"/>
    <n v="0"/>
    <n v="0"/>
    <n v="0"/>
    <n v="0"/>
    <n v="0"/>
    <n v="0"/>
    <n v="0"/>
    <n v="0"/>
    <n v="5"/>
    <n v="1588.9"/>
    <n v="5"/>
    <n v="1609.2"/>
    <n v="0"/>
    <n v="0"/>
    <n v="1574.1183000000001"/>
    <n v="1"/>
    <n v="0"/>
  </r>
  <r>
    <x v="0"/>
    <x v="0"/>
    <s v="SPXW"/>
    <x v="0"/>
    <x v="278"/>
    <s v="p"/>
    <n v="0"/>
    <n v="0"/>
    <n v="0"/>
    <n v="0"/>
    <n v="0"/>
    <n v="4"/>
    <n v="1789.7"/>
    <n v="4"/>
    <n v="1808.9"/>
    <n v="0"/>
    <n v="0"/>
    <n v="0"/>
    <n v="0"/>
    <n v="0"/>
    <n v="0"/>
    <n v="0"/>
    <n v="0"/>
    <n v="0"/>
    <n v="0"/>
    <n v="6"/>
    <n v="1788.9"/>
    <n v="6"/>
    <n v="1809.2"/>
    <n v="0"/>
    <n v="0"/>
    <n v="0"/>
    <n v="0"/>
    <n v="0"/>
  </r>
  <r>
    <x v="0"/>
    <x v="0"/>
    <s v="SPXW"/>
    <x v="0"/>
    <x v="279"/>
    <s v="p"/>
    <n v="0"/>
    <n v="0"/>
    <n v="0"/>
    <n v="0"/>
    <n v="0"/>
    <n v="5"/>
    <n v="1989.7"/>
    <n v="5"/>
    <n v="2007.8"/>
    <n v="0"/>
    <n v="0"/>
    <n v="0"/>
    <n v="0"/>
    <n v="0"/>
    <n v="0"/>
    <n v="0"/>
    <n v="0"/>
    <n v="0"/>
    <n v="0"/>
    <n v="6"/>
    <n v="1988.9"/>
    <n v="6"/>
    <n v="2009.2"/>
    <n v="0"/>
    <n v="0"/>
    <n v="0"/>
    <n v="0"/>
    <n v="0"/>
  </r>
  <r>
    <x v="0"/>
    <x v="0"/>
    <s v="SPXW"/>
    <x v="0"/>
    <x v="280"/>
    <s v="p"/>
    <n v="2166.8000000000002"/>
    <n v="2166.8000000000002"/>
    <n v="2166.8000000000002"/>
    <n v="2166.8000000000002"/>
    <n v="1"/>
    <n v="5"/>
    <n v="2190"/>
    <n v="5"/>
    <n v="2209.8000000000002"/>
    <n v="0"/>
    <n v="0"/>
    <n v="0"/>
    <n v="0"/>
    <n v="0"/>
    <n v="0"/>
    <n v="0"/>
    <n v="0"/>
    <n v="0"/>
    <n v="0"/>
    <n v="6"/>
    <n v="2188.9"/>
    <n v="6"/>
    <n v="2209.1999999999998"/>
    <n v="0"/>
    <n v="0"/>
    <n v="2166.8000000000002"/>
    <n v="0"/>
    <n v="0"/>
  </r>
  <r>
    <x v="0"/>
    <x v="0"/>
    <s v="SPXW"/>
    <x v="1"/>
    <x v="0"/>
    <s v="p"/>
    <n v="0"/>
    <n v="0"/>
    <n v="0"/>
    <n v="0"/>
    <n v="0"/>
    <n v="0"/>
    <n v="0"/>
    <n v="1414"/>
    <n v="0.05"/>
    <n v="0"/>
    <n v="0"/>
    <n v="0"/>
    <n v="0"/>
    <n v="5.2165999999999997"/>
    <n v="-1E-4"/>
    <n v="0"/>
    <n v="-2.4899999999999999E-2"/>
    <n v="8.0000000000000004E-4"/>
    <n v="0"/>
    <n v="0"/>
    <n v="0"/>
    <n v="1367"/>
    <n v="0.05"/>
    <n v="0"/>
    <n v="0"/>
    <n v="0"/>
    <n v="1"/>
    <n v="0"/>
  </r>
  <r>
    <x v="0"/>
    <x v="0"/>
    <s v="SPXW"/>
    <x v="1"/>
    <x v="1"/>
    <s v="p"/>
    <n v="0"/>
    <n v="0"/>
    <n v="0"/>
    <n v="0"/>
    <n v="0"/>
    <n v="0"/>
    <n v="0"/>
    <n v="1392"/>
    <n v="0.05"/>
    <n v="0"/>
    <n v="0"/>
    <n v="0"/>
    <n v="0"/>
    <n v="4.8472999999999997"/>
    <n v="-1E-4"/>
    <n v="0"/>
    <n v="-2.4899999999999999E-2"/>
    <n v="8.9999999999999998E-4"/>
    <n v="0"/>
    <n v="0"/>
    <n v="0"/>
    <n v="1351"/>
    <n v="0.05"/>
    <n v="0"/>
    <n v="0"/>
    <n v="0"/>
    <n v="2"/>
    <n v="0"/>
  </r>
  <r>
    <x v="0"/>
    <x v="0"/>
    <s v="SPXW"/>
    <x v="1"/>
    <x v="2"/>
    <s v="p"/>
    <n v="0"/>
    <n v="0"/>
    <n v="0"/>
    <n v="0"/>
    <n v="0"/>
    <n v="0"/>
    <n v="0"/>
    <n v="1423"/>
    <n v="0.05"/>
    <n v="0"/>
    <n v="0"/>
    <n v="0"/>
    <n v="0"/>
    <n v="4.5038999999999998"/>
    <n v="-1E-4"/>
    <n v="0"/>
    <n v="-2.4899999999999999E-2"/>
    <n v="1E-3"/>
    <n v="0"/>
    <n v="0"/>
    <n v="0"/>
    <n v="1380"/>
    <n v="0.05"/>
    <n v="0"/>
    <n v="0"/>
    <n v="0"/>
    <n v="1"/>
    <n v="0"/>
  </r>
  <r>
    <x v="0"/>
    <x v="0"/>
    <s v="SPXW"/>
    <x v="1"/>
    <x v="3"/>
    <s v="p"/>
    <n v="0"/>
    <n v="0"/>
    <n v="0"/>
    <n v="0"/>
    <n v="0"/>
    <n v="0"/>
    <n v="0"/>
    <n v="1416"/>
    <n v="0.05"/>
    <n v="0"/>
    <n v="0"/>
    <n v="0"/>
    <n v="0"/>
    <n v="4.1826999999999996"/>
    <n v="-1E-4"/>
    <n v="0"/>
    <n v="-2.4899999999999999E-2"/>
    <n v="1E-3"/>
    <n v="0"/>
    <n v="0"/>
    <n v="0"/>
    <n v="1377"/>
    <n v="0.05"/>
    <n v="0"/>
    <n v="0"/>
    <n v="0"/>
    <n v="36"/>
    <n v="0"/>
  </r>
  <r>
    <x v="0"/>
    <x v="0"/>
    <s v="SPXW"/>
    <x v="1"/>
    <x v="4"/>
    <s v="p"/>
    <n v="0"/>
    <n v="0"/>
    <n v="0"/>
    <n v="0"/>
    <n v="0"/>
    <n v="0"/>
    <n v="0"/>
    <n v="1416"/>
    <n v="0.05"/>
    <n v="0"/>
    <n v="0"/>
    <n v="0"/>
    <n v="0"/>
    <n v="3.8809"/>
    <n v="-1E-4"/>
    <n v="0"/>
    <n v="-2.4899999999999999E-2"/>
    <n v="1.1000000000000001E-3"/>
    <n v="0"/>
    <n v="0"/>
    <n v="0"/>
    <n v="1371"/>
    <n v="0.05"/>
    <n v="0"/>
    <n v="0"/>
    <n v="0"/>
    <n v="6"/>
    <n v="0"/>
  </r>
  <r>
    <x v="0"/>
    <x v="0"/>
    <s v="SPXW"/>
    <x v="1"/>
    <x v="5"/>
    <s v="p"/>
    <n v="0"/>
    <n v="0"/>
    <n v="0"/>
    <n v="0"/>
    <n v="0"/>
    <n v="0"/>
    <n v="0"/>
    <n v="1406"/>
    <n v="0.05"/>
    <n v="0"/>
    <n v="0"/>
    <n v="0"/>
    <n v="0"/>
    <n v="3.5960000000000001"/>
    <n v="-1E-4"/>
    <n v="0"/>
    <n v="-2.4899999999999999E-2"/>
    <n v="1.1999999999999999E-3"/>
    <n v="0"/>
    <n v="0"/>
    <n v="0"/>
    <n v="1365"/>
    <n v="0.05"/>
    <n v="0"/>
    <n v="0"/>
    <n v="0"/>
    <n v="172"/>
    <n v="0"/>
  </r>
  <r>
    <x v="0"/>
    <x v="0"/>
    <s v="SPXW"/>
    <x v="1"/>
    <x v="6"/>
    <s v="p"/>
    <n v="0"/>
    <n v="0"/>
    <n v="0"/>
    <n v="0"/>
    <n v="0"/>
    <n v="0"/>
    <n v="0"/>
    <n v="1400"/>
    <n v="0.05"/>
    <n v="0"/>
    <n v="0"/>
    <n v="0"/>
    <n v="0"/>
    <n v="3.3262999999999998"/>
    <n v="-1E-4"/>
    <n v="0"/>
    <n v="-2.4899999999999999E-2"/>
    <n v="1.2999999999999999E-3"/>
    <n v="0"/>
    <n v="0"/>
    <n v="0"/>
    <n v="1358"/>
    <n v="0.05"/>
    <n v="0"/>
    <n v="0"/>
    <n v="0"/>
    <n v="39"/>
    <n v="0"/>
  </r>
  <r>
    <x v="0"/>
    <x v="0"/>
    <s v="SPXW"/>
    <x v="1"/>
    <x v="7"/>
    <s v="p"/>
    <n v="0"/>
    <n v="0"/>
    <n v="0"/>
    <n v="0"/>
    <n v="0"/>
    <n v="0"/>
    <n v="0"/>
    <n v="1393"/>
    <n v="0.05"/>
    <n v="0"/>
    <n v="0"/>
    <n v="0"/>
    <n v="0"/>
    <n v="3.0701000000000001"/>
    <n v="-1E-4"/>
    <n v="0"/>
    <n v="-2.4899999999999999E-2"/>
    <n v="1.4E-3"/>
    <n v="0"/>
    <n v="0"/>
    <n v="0"/>
    <n v="1349"/>
    <n v="0.05"/>
    <n v="0"/>
    <n v="0"/>
    <n v="0"/>
    <n v="53"/>
    <n v="0"/>
  </r>
  <r>
    <x v="0"/>
    <x v="0"/>
    <s v="SPXW"/>
    <x v="1"/>
    <x v="8"/>
    <s v="p"/>
    <n v="0"/>
    <n v="0"/>
    <n v="0"/>
    <n v="0"/>
    <n v="0"/>
    <n v="0"/>
    <n v="0"/>
    <n v="1383"/>
    <n v="0.05"/>
    <n v="0"/>
    <n v="0"/>
    <n v="0"/>
    <n v="0"/>
    <n v="2.8260000000000001"/>
    <n v="-1E-4"/>
    <n v="0"/>
    <n v="-2.4899999999999999E-2"/>
    <n v="1.5E-3"/>
    <n v="0"/>
    <n v="0"/>
    <n v="0"/>
    <n v="1338"/>
    <n v="0.05"/>
    <n v="0"/>
    <n v="0"/>
    <n v="0"/>
    <n v="115"/>
    <n v="0"/>
  </r>
  <r>
    <x v="0"/>
    <x v="0"/>
    <s v="SPXW"/>
    <x v="1"/>
    <x v="9"/>
    <s v="p"/>
    <n v="0"/>
    <n v="0"/>
    <n v="0"/>
    <n v="0"/>
    <n v="0"/>
    <n v="0"/>
    <n v="0"/>
    <n v="1370"/>
    <n v="0.05"/>
    <n v="0"/>
    <n v="0"/>
    <n v="0"/>
    <n v="0"/>
    <n v="2.5926999999999998"/>
    <n v="-1E-4"/>
    <n v="0"/>
    <n v="-2.4899999999999999E-2"/>
    <n v="1.6000000000000001E-3"/>
    <n v="0"/>
    <n v="0"/>
    <n v="0"/>
    <n v="1329"/>
    <n v="0.05"/>
    <n v="0"/>
    <n v="0"/>
    <n v="0"/>
    <n v="752"/>
    <n v="0"/>
  </r>
  <r>
    <x v="0"/>
    <x v="0"/>
    <s v="SPXW"/>
    <x v="1"/>
    <x v="10"/>
    <s v="p"/>
    <n v="0"/>
    <n v="0"/>
    <n v="0"/>
    <n v="0"/>
    <n v="0"/>
    <n v="0"/>
    <n v="0"/>
    <n v="678"/>
    <n v="0.05"/>
    <n v="0"/>
    <n v="0"/>
    <n v="0"/>
    <n v="0"/>
    <n v="2.3693"/>
    <n v="-1E-4"/>
    <n v="0"/>
    <n v="-2.4899999999999999E-2"/>
    <n v="1.8E-3"/>
    <n v="0"/>
    <n v="0"/>
    <n v="0"/>
    <n v="476"/>
    <n v="0.05"/>
    <n v="0"/>
    <n v="0"/>
    <n v="0"/>
    <n v="262"/>
    <n v="0"/>
  </r>
  <r>
    <x v="0"/>
    <x v="0"/>
    <s v="SPXW"/>
    <x v="1"/>
    <x v="11"/>
    <s v="p"/>
    <n v="0"/>
    <n v="0"/>
    <n v="0"/>
    <n v="0"/>
    <n v="0"/>
    <n v="0"/>
    <n v="0"/>
    <n v="644"/>
    <n v="0.05"/>
    <n v="0"/>
    <n v="0"/>
    <n v="0"/>
    <n v="0"/>
    <n v="2.1547999999999998"/>
    <n v="-1E-4"/>
    <n v="0"/>
    <n v="-2.4899999999999999E-2"/>
    <n v="1.9E-3"/>
    <n v="0"/>
    <n v="0"/>
    <n v="0"/>
    <n v="486"/>
    <n v="0.05"/>
    <n v="0"/>
    <n v="0"/>
    <n v="0"/>
    <n v="130"/>
    <n v="0"/>
  </r>
  <r>
    <x v="0"/>
    <x v="0"/>
    <s v="SPXW"/>
    <x v="1"/>
    <x v="12"/>
    <s v="p"/>
    <n v="0"/>
    <n v="0"/>
    <n v="0"/>
    <n v="0"/>
    <n v="0"/>
    <n v="0"/>
    <n v="0"/>
    <n v="650"/>
    <n v="0.05"/>
    <n v="0"/>
    <n v="0"/>
    <n v="0"/>
    <n v="0"/>
    <n v="1.9482999999999999"/>
    <n v="-2.0000000000000001E-4"/>
    <n v="0"/>
    <n v="-2.4899999999999999E-2"/>
    <n v="2.0999999999999999E-3"/>
    <n v="0"/>
    <n v="0"/>
    <n v="0"/>
    <n v="493"/>
    <n v="0.05"/>
    <n v="0"/>
    <n v="0"/>
    <n v="0"/>
    <n v="349"/>
    <n v="0"/>
  </r>
  <r>
    <x v="0"/>
    <x v="0"/>
    <s v="SPXW"/>
    <x v="1"/>
    <x v="14"/>
    <s v="p"/>
    <n v="0"/>
    <n v="0"/>
    <n v="0"/>
    <n v="0"/>
    <n v="0"/>
    <n v="0"/>
    <n v="0"/>
    <n v="600"/>
    <n v="0.05"/>
    <n v="0"/>
    <n v="0"/>
    <n v="0"/>
    <n v="0"/>
    <n v="1.7493000000000001"/>
    <n v="-2.0000000000000001E-4"/>
    <n v="0"/>
    <n v="-2.4899999999999999E-2"/>
    <n v="2.3E-3"/>
    <n v="0"/>
    <n v="0"/>
    <n v="0"/>
    <n v="514"/>
    <n v="0.05"/>
    <n v="0"/>
    <n v="0"/>
    <n v="0"/>
    <n v="1082"/>
    <n v="0"/>
  </r>
  <r>
    <x v="0"/>
    <x v="0"/>
    <s v="SPXW"/>
    <x v="1"/>
    <x v="15"/>
    <s v="p"/>
    <n v="0"/>
    <n v="0"/>
    <n v="0"/>
    <n v="0"/>
    <n v="0"/>
    <n v="0"/>
    <n v="0"/>
    <n v="580"/>
    <n v="0.05"/>
    <n v="0"/>
    <n v="0"/>
    <n v="0"/>
    <n v="0"/>
    <n v="1.6523000000000001"/>
    <n v="-2.0000000000000001E-4"/>
    <n v="0"/>
    <n v="-2.4899999999999999E-2"/>
    <n v="2.5000000000000001E-3"/>
    <n v="0"/>
    <n v="0"/>
    <n v="0"/>
    <n v="501"/>
    <n v="0.05"/>
    <n v="0"/>
    <n v="0"/>
    <n v="0"/>
    <n v="434"/>
    <n v="0"/>
  </r>
  <r>
    <x v="0"/>
    <x v="0"/>
    <s v="SPXW"/>
    <x v="1"/>
    <x v="16"/>
    <s v="p"/>
    <n v="0"/>
    <n v="0"/>
    <n v="0"/>
    <n v="0"/>
    <n v="0"/>
    <n v="0"/>
    <n v="0"/>
    <n v="553"/>
    <n v="0.05"/>
    <n v="0"/>
    <n v="0"/>
    <n v="0"/>
    <n v="0"/>
    <n v="1.5569"/>
    <n v="-2.0000000000000001E-4"/>
    <n v="0"/>
    <n v="-2.4899999999999999E-2"/>
    <n v="2.5999999999999999E-3"/>
    <n v="0"/>
    <n v="0"/>
    <n v="0"/>
    <n v="518"/>
    <n v="0.05"/>
    <n v="0"/>
    <n v="0"/>
    <n v="0"/>
    <n v="4255"/>
    <n v="0"/>
  </r>
  <r>
    <x v="0"/>
    <x v="0"/>
    <s v="SPXW"/>
    <x v="1"/>
    <x v="18"/>
    <s v="p"/>
    <n v="0"/>
    <n v="0"/>
    <n v="0"/>
    <n v="0"/>
    <n v="0"/>
    <n v="0"/>
    <n v="0"/>
    <n v="611"/>
    <n v="0.05"/>
    <n v="0"/>
    <n v="0"/>
    <n v="0"/>
    <n v="0"/>
    <n v="1.4630000000000001"/>
    <n v="-2.0000000000000001E-4"/>
    <n v="0"/>
    <n v="-2.4899999999999999E-2"/>
    <n v="2.7000000000000001E-3"/>
    <n v="0"/>
    <n v="0"/>
    <n v="0"/>
    <n v="527"/>
    <n v="0.05"/>
    <n v="0"/>
    <n v="0"/>
    <n v="0"/>
    <n v="620"/>
    <n v="0"/>
  </r>
  <r>
    <x v="0"/>
    <x v="0"/>
    <s v="SPXW"/>
    <x v="1"/>
    <x v="22"/>
    <s v="p"/>
    <n v="0"/>
    <n v="0"/>
    <n v="0"/>
    <n v="0"/>
    <n v="0"/>
    <n v="0"/>
    <n v="0"/>
    <n v="585"/>
    <n v="0.05"/>
    <n v="0"/>
    <n v="0"/>
    <n v="0"/>
    <n v="0"/>
    <n v="1.3706"/>
    <n v="-2.0000000000000001E-4"/>
    <n v="0"/>
    <n v="-2.4899999999999999E-2"/>
    <n v="2.8999999999999998E-3"/>
    <n v="0"/>
    <n v="0"/>
    <n v="0"/>
    <n v="506"/>
    <n v="0.05"/>
    <n v="0"/>
    <n v="0"/>
    <n v="0"/>
    <n v="4140"/>
    <n v="0"/>
  </r>
  <r>
    <x v="0"/>
    <x v="0"/>
    <s v="SPXW"/>
    <x v="1"/>
    <x v="23"/>
    <s v="p"/>
    <n v="0"/>
    <n v="0"/>
    <n v="0"/>
    <n v="0"/>
    <n v="0"/>
    <n v="0"/>
    <n v="0"/>
    <n v="628"/>
    <n v="0.05"/>
    <n v="0"/>
    <n v="0"/>
    <n v="0"/>
    <n v="0"/>
    <n v="1.3476999999999999"/>
    <n v="-2.0000000000000001E-4"/>
    <n v="0"/>
    <n v="-2.4899999999999999E-2"/>
    <n v="3.0000000000000001E-3"/>
    <n v="0"/>
    <n v="0"/>
    <n v="0"/>
    <n v="513"/>
    <n v="0.05"/>
    <n v="0"/>
    <n v="0"/>
    <n v="0"/>
    <n v="17"/>
    <n v="0"/>
  </r>
  <r>
    <x v="0"/>
    <x v="0"/>
    <s v="SPXW"/>
    <x v="1"/>
    <x v="24"/>
    <s v="p"/>
    <n v="0"/>
    <n v="0"/>
    <n v="0"/>
    <n v="0"/>
    <n v="0"/>
    <n v="0"/>
    <n v="0"/>
    <n v="621"/>
    <n v="0.05"/>
    <n v="0"/>
    <n v="0"/>
    <n v="0"/>
    <n v="0"/>
    <n v="1.3248"/>
    <n v="-2.0000000000000001E-4"/>
    <n v="0"/>
    <n v="-2.4899999999999999E-2"/>
    <n v="3.0000000000000001E-3"/>
    <n v="0"/>
    <n v="0"/>
    <n v="0"/>
    <n v="519"/>
    <n v="0.05"/>
    <n v="0"/>
    <n v="0"/>
    <n v="0"/>
    <n v="79"/>
    <n v="0"/>
  </r>
  <r>
    <x v="0"/>
    <x v="0"/>
    <s v="SPXW"/>
    <x v="1"/>
    <x v="25"/>
    <s v="p"/>
    <n v="0"/>
    <n v="0"/>
    <n v="0"/>
    <n v="0"/>
    <n v="0"/>
    <n v="0"/>
    <n v="0"/>
    <n v="615"/>
    <n v="0.05"/>
    <n v="0"/>
    <n v="0"/>
    <n v="0"/>
    <n v="0"/>
    <n v="1.3021"/>
    <n v="-2.0000000000000001E-4"/>
    <n v="0"/>
    <n v="-2.4899999999999999E-2"/>
    <n v="3.0999999999999999E-3"/>
    <n v="0"/>
    <n v="0"/>
    <n v="0"/>
    <n v="526"/>
    <n v="0.05"/>
    <n v="0"/>
    <n v="0"/>
    <n v="0"/>
    <n v="18"/>
    <n v="0"/>
  </r>
  <r>
    <x v="0"/>
    <x v="0"/>
    <s v="SPXW"/>
    <x v="1"/>
    <x v="26"/>
    <s v="p"/>
    <n v="0"/>
    <n v="0"/>
    <n v="0"/>
    <n v="0"/>
    <n v="0"/>
    <n v="0"/>
    <n v="0"/>
    <n v="741"/>
    <n v="0.05"/>
    <n v="0"/>
    <n v="0"/>
    <n v="0"/>
    <n v="0"/>
    <n v="1.2795000000000001"/>
    <n v="-2.0000000000000001E-4"/>
    <n v="0"/>
    <n v="-2.4899999999999999E-2"/>
    <n v="3.0999999999999999E-3"/>
    <n v="0"/>
    <n v="0"/>
    <n v="0"/>
    <n v="640"/>
    <n v="0.05"/>
    <n v="0"/>
    <n v="0"/>
    <n v="0"/>
    <n v="225"/>
    <n v="0"/>
  </r>
  <r>
    <x v="0"/>
    <x v="0"/>
    <s v="SPXW"/>
    <x v="1"/>
    <x v="27"/>
    <s v="p"/>
    <n v="0"/>
    <n v="0"/>
    <n v="0"/>
    <n v="0"/>
    <n v="0"/>
    <n v="0"/>
    <n v="0"/>
    <n v="590"/>
    <n v="0.05"/>
    <n v="0"/>
    <n v="0"/>
    <n v="0"/>
    <n v="0"/>
    <n v="1.2568999999999999"/>
    <n v="-2.0000000000000001E-4"/>
    <n v="0"/>
    <n v="-2.4899999999999999E-2"/>
    <n v="3.2000000000000002E-3"/>
    <n v="0"/>
    <n v="0"/>
    <n v="0"/>
    <n v="519"/>
    <n v="0.05"/>
    <n v="0"/>
    <n v="0"/>
    <n v="0"/>
    <n v="72"/>
    <n v="0"/>
  </r>
  <r>
    <x v="0"/>
    <x v="0"/>
    <s v="SPXW"/>
    <x v="1"/>
    <x v="28"/>
    <s v="p"/>
    <n v="0"/>
    <n v="0"/>
    <n v="0"/>
    <n v="0"/>
    <n v="0"/>
    <n v="0"/>
    <n v="0"/>
    <n v="617"/>
    <n v="0.05"/>
    <n v="0"/>
    <n v="0"/>
    <n v="0"/>
    <n v="0"/>
    <n v="1.2343999999999999"/>
    <n v="-2.0000000000000001E-4"/>
    <n v="0"/>
    <n v="-2.4899999999999999E-2"/>
    <n v="3.2000000000000002E-3"/>
    <n v="0"/>
    <n v="0"/>
    <n v="0"/>
    <n v="492"/>
    <n v="0.05"/>
    <n v="0"/>
    <n v="0"/>
    <n v="0"/>
    <n v="75"/>
    <n v="0"/>
  </r>
  <r>
    <x v="0"/>
    <x v="0"/>
    <s v="SPXW"/>
    <x v="1"/>
    <x v="29"/>
    <s v="p"/>
    <n v="0"/>
    <n v="0"/>
    <n v="0"/>
    <n v="0"/>
    <n v="0"/>
    <n v="0"/>
    <n v="0"/>
    <n v="587"/>
    <n v="0.05"/>
    <n v="0"/>
    <n v="0"/>
    <n v="0"/>
    <n v="0"/>
    <n v="1.212"/>
    <n v="-2.0000000000000001E-4"/>
    <n v="0"/>
    <n v="-2.4899999999999999E-2"/>
    <n v="3.3E-3"/>
    <n v="0"/>
    <n v="0"/>
    <n v="0"/>
    <n v="451"/>
    <n v="0.05"/>
    <n v="0"/>
    <n v="0"/>
    <n v="0"/>
    <n v="23"/>
    <n v="0"/>
  </r>
  <r>
    <x v="0"/>
    <x v="0"/>
    <s v="SPXW"/>
    <x v="1"/>
    <x v="30"/>
    <s v="p"/>
    <n v="0"/>
    <n v="0"/>
    <n v="0"/>
    <n v="0"/>
    <n v="0"/>
    <n v="0"/>
    <n v="0"/>
    <n v="762"/>
    <n v="0.05"/>
    <n v="0"/>
    <n v="0"/>
    <n v="0"/>
    <n v="0"/>
    <n v="1.1897"/>
    <n v="-2.0000000000000001E-4"/>
    <n v="0"/>
    <n v="-2.4899999999999999E-2"/>
    <n v="3.3E-3"/>
    <n v="0"/>
    <n v="0"/>
    <n v="0"/>
    <n v="614"/>
    <n v="0.05"/>
    <n v="0"/>
    <n v="0"/>
    <n v="0"/>
    <n v="277"/>
    <n v="0"/>
  </r>
  <r>
    <x v="0"/>
    <x v="0"/>
    <s v="SPXW"/>
    <x v="1"/>
    <x v="31"/>
    <s v="p"/>
    <n v="0"/>
    <n v="0"/>
    <n v="0"/>
    <n v="0"/>
    <n v="0"/>
    <n v="0"/>
    <n v="0"/>
    <n v="1053"/>
    <n v="0.05"/>
    <n v="0"/>
    <n v="0"/>
    <n v="0"/>
    <n v="0"/>
    <n v="1.1674"/>
    <n v="-2.0000000000000001E-4"/>
    <n v="0"/>
    <n v="-2.4899999999999999E-2"/>
    <n v="3.3999999999999998E-3"/>
    <n v="-1E-4"/>
    <n v="0"/>
    <n v="0"/>
    <n v="458"/>
    <n v="0.05"/>
    <n v="0"/>
    <n v="0"/>
    <n v="0"/>
    <n v="93"/>
    <n v="0"/>
  </r>
  <r>
    <x v="0"/>
    <x v="0"/>
    <s v="SPXW"/>
    <x v="1"/>
    <x v="32"/>
    <s v="p"/>
    <n v="0"/>
    <n v="0"/>
    <n v="0"/>
    <n v="0"/>
    <n v="0"/>
    <n v="0"/>
    <n v="0"/>
    <n v="1057"/>
    <n v="0.05"/>
    <n v="0"/>
    <n v="0"/>
    <n v="0"/>
    <n v="0"/>
    <n v="1.1453"/>
    <n v="-2.9999999999999997E-4"/>
    <n v="0"/>
    <n v="-2.4899999999999999E-2"/>
    <n v="3.5000000000000001E-3"/>
    <n v="-1E-4"/>
    <n v="0"/>
    <n v="0"/>
    <n v="475"/>
    <n v="0.05"/>
    <n v="0"/>
    <n v="0"/>
    <n v="0"/>
    <n v="230"/>
    <n v="0"/>
  </r>
  <r>
    <x v="0"/>
    <x v="0"/>
    <s v="SPXW"/>
    <x v="1"/>
    <x v="33"/>
    <s v="p"/>
    <n v="0"/>
    <n v="0"/>
    <n v="0"/>
    <n v="0"/>
    <n v="0"/>
    <n v="0"/>
    <n v="0"/>
    <n v="1032"/>
    <n v="0.05"/>
    <n v="0"/>
    <n v="0"/>
    <n v="0"/>
    <n v="0"/>
    <n v="1.1231"/>
    <n v="-2.9999999999999997E-4"/>
    <n v="0"/>
    <n v="-2.4899999999999999E-2"/>
    <n v="3.5000000000000001E-3"/>
    <n v="-1E-4"/>
    <n v="0"/>
    <n v="0"/>
    <n v="440"/>
    <n v="0.05"/>
    <n v="0"/>
    <n v="0"/>
    <n v="0"/>
    <n v="117"/>
    <n v="0"/>
  </r>
  <r>
    <x v="0"/>
    <x v="0"/>
    <s v="SPXW"/>
    <x v="1"/>
    <x v="34"/>
    <s v="p"/>
    <n v="0.05"/>
    <n v="0.05"/>
    <n v="0.05"/>
    <n v="0.05"/>
    <n v="51"/>
    <n v="0"/>
    <n v="0"/>
    <n v="1645"/>
    <n v="0.05"/>
    <n v="0"/>
    <n v="0"/>
    <n v="0"/>
    <n v="0"/>
    <n v="1.1011"/>
    <n v="-2.9999999999999997E-4"/>
    <n v="0"/>
    <n v="-2.4899999999999999E-2"/>
    <n v="3.5999999999999999E-3"/>
    <n v="-1E-4"/>
    <n v="0"/>
    <n v="0"/>
    <n v="1016"/>
    <n v="0.05"/>
    <n v="0"/>
    <n v="0"/>
    <n v="0.05"/>
    <n v="3129"/>
    <n v="0"/>
  </r>
  <r>
    <x v="0"/>
    <x v="0"/>
    <s v="SPXW"/>
    <x v="1"/>
    <x v="35"/>
    <s v="p"/>
    <n v="0"/>
    <n v="0"/>
    <n v="0"/>
    <n v="0"/>
    <n v="0"/>
    <n v="0"/>
    <n v="0"/>
    <n v="446"/>
    <n v="0.05"/>
    <n v="0"/>
    <n v="0"/>
    <n v="0"/>
    <n v="0"/>
    <n v="1.0790999999999999"/>
    <n v="-2.9999999999999997E-4"/>
    <n v="0"/>
    <n v="-2.4899999999999999E-2"/>
    <n v="3.7000000000000002E-3"/>
    <n v="-1E-4"/>
    <n v="0"/>
    <n v="0"/>
    <n v="410"/>
    <n v="0.05"/>
    <n v="0"/>
    <n v="0"/>
    <n v="0"/>
    <n v="2016"/>
    <n v="0"/>
  </r>
  <r>
    <x v="0"/>
    <x v="0"/>
    <s v="SPXW"/>
    <x v="1"/>
    <x v="36"/>
    <s v="p"/>
    <n v="0"/>
    <n v="0"/>
    <n v="0"/>
    <n v="0"/>
    <n v="0"/>
    <n v="0"/>
    <n v="0"/>
    <n v="462"/>
    <n v="0.05"/>
    <n v="0"/>
    <n v="0"/>
    <n v="0"/>
    <n v="0"/>
    <n v="1.0572999999999999"/>
    <n v="-2.9999999999999997E-4"/>
    <n v="0"/>
    <n v="-2.4899999999999999E-2"/>
    <n v="3.7000000000000002E-3"/>
    <n v="-1E-4"/>
    <n v="0"/>
    <n v="0"/>
    <n v="303"/>
    <n v="0.05"/>
    <n v="0"/>
    <n v="0"/>
    <n v="0"/>
    <n v="112"/>
    <n v="0"/>
  </r>
  <r>
    <x v="0"/>
    <x v="0"/>
    <s v="SPXW"/>
    <x v="1"/>
    <x v="37"/>
    <s v="p"/>
    <n v="0.05"/>
    <n v="0.05"/>
    <n v="0.05"/>
    <n v="0.05"/>
    <n v="18"/>
    <n v="0"/>
    <n v="0"/>
    <n v="427"/>
    <n v="0.05"/>
    <n v="0"/>
    <n v="0"/>
    <n v="0"/>
    <n v="0"/>
    <n v="1.0354000000000001"/>
    <n v="-2.9999999999999997E-4"/>
    <n v="0"/>
    <n v="-2.4899999999999999E-2"/>
    <n v="3.8E-3"/>
    <n v="-1E-4"/>
    <n v="0"/>
    <n v="0"/>
    <n v="236"/>
    <n v="0.05"/>
    <n v="0"/>
    <n v="0"/>
    <n v="0.05"/>
    <n v="164"/>
    <n v="0"/>
  </r>
  <r>
    <x v="0"/>
    <x v="0"/>
    <s v="SPXW"/>
    <x v="1"/>
    <x v="38"/>
    <s v="p"/>
    <n v="0.03"/>
    <n v="0.03"/>
    <n v="0.03"/>
    <n v="0.03"/>
    <n v="7"/>
    <n v="0"/>
    <n v="0"/>
    <n v="1370"/>
    <n v="0.05"/>
    <n v="0"/>
    <n v="0"/>
    <n v="0"/>
    <n v="0"/>
    <n v="1.0137"/>
    <n v="-2.9999999999999997E-4"/>
    <n v="0"/>
    <n v="-2.4899999999999999E-2"/>
    <n v="3.8999999999999998E-3"/>
    <n v="-1E-4"/>
    <n v="0"/>
    <n v="0"/>
    <n v="1124"/>
    <n v="0.05"/>
    <n v="0"/>
    <n v="0"/>
    <n v="0.03"/>
    <n v="1260"/>
    <n v="0"/>
  </r>
  <r>
    <x v="0"/>
    <x v="0"/>
    <s v="SPXW"/>
    <x v="1"/>
    <x v="39"/>
    <s v="p"/>
    <n v="0"/>
    <n v="0"/>
    <n v="0"/>
    <n v="0"/>
    <n v="0"/>
    <n v="0"/>
    <n v="0"/>
    <n v="417"/>
    <n v="0.05"/>
    <n v="0"/>
    <n v="0"/>
    <n v="0"/>
    <n v="0"/>
    <n v="0.99199999999999999"/>
    <n v="-2.9999999999999997E-4"/>
    <n v="0"/>
    <n v="-2.4899999999999999E-2"/>
    <n v="4.0000000000000001E-3"/>
    <n v="-1E-4"/>
    <n v="0"/>
    <n v="0"/>
    <n v="233"/>
    <n v="0.05"/>
    <n v="0"/>
    <n v="0"/>
    <n v="0"/>
    <n v="415"/>
    <n v="0"/>
  </r>
  <r>
    <x v="0"/>
    <x v="0"/>
    <s v="SPXW"/>
    <x v="1"/>
    <x v="40"/>
    <s v="p"/>
    <n v="0"/>
    <n v="0"/>
    <n v="0"/>
    <n v="0"/>
    <n v="0"/>
    <n v="0"/>
    <n v="0"/>
    <n v="559"/>
    <n v="0.05"/>
    <n v="0"/>
    <n v="0"/>
    <n v="0"/>
    <n v="0"/>
    <n v="0.97040000000000004"/>
    <n v="-2.9999999999999997E-4"/>
    <n v="0"/>
    <n v="-2.4899999999999999E-2"/>
    <n v="4.0000000000000001E-3"/>
    <n v="-1E-4"/>
    <n v="0"/>
    <n v="0"/>
    <n v="347"/>
    <n v="0.05"/>
    <n v="0"/>
    <n v="0"/>
    <n v="0"/>
    <n v="580"/>
    <n v="0"/>
  </r>
  <r>
    <x v="0"/>
    <x v="0"/>
    <s v="SPXW"/>
    <x v="1"/>
    <x v="41"/>
    <s v="p"/>
    <n v="0"/>
    <n v="0"/>
    <n v="0"/>
    <n v="0"/>
    <n v="0"/>
    <n v="0"/>
    <n v="0"/>
    <n v="463"/>
    <n v="0.05"/>
    <n v="0"/>
    <n v="0"/>
    <n v="0"/>
    <n v="0"/>
    <n v="0.94879999999999998"/>
    <n v="-2.9999999999999997E-4"/>
    <n v="0"/>
    <n v="-2.4899999999999999E-2"/>
    <n v="4.1000000000000003E-3"/>
    <n v="-1E-4"/>
    <n v="0"/>
    <n v="0"/>
    <n v="190"/>
    <n v="0.05"/>
    <n v="0"/>
    <n v="0"/>
    <n v="0"/>
    <n v="386"/>
    <n v="0"/>
  </r>
  <r>
    <x v="0"/>
    <x v="0"/>
    <s v="SPXW"/>
    <x v="1"/>
    <x v="42"/>
    <s v="p"/>
    <n v="0.05"/>
    <n v="0.05"/>
    <n v="0.03"/>
    <n v="0.03"/>
    <n v="289"/>
    <n v="0"/>
    <n v="0"/>
    <n v="1167"/>
    <n v="0.05"/>
    <n v="0"/>
    <n v="0"/>
    <n v="0"/>
    <n v="0"/>
    <n v="0.92730000000000001"/>
    <n v="-2.9999999999999997E-4"/>
    <n v="0"/>
    <n v="-2.4899999999999999E-2"/>
    <n v="4.1999999999999997E-3"/>
    <n v="-1E-4"/>
    <n v="0"/>
    <n v="0"/>
    <n v="705"/>
    <n v="0.05"/>
    <n v="0"/>
    <n v="0"/>
    <n v="4.99E-2"/>
    <n v="320"/>
    <n v="0"/>
  </r>
  <r>
    <x v="0"/>
    <x v="0"/>
    <s v="SPXW"/>
    <x v="1"/>
    <x v="43"/>
    <s v="p"/>
    <n v="0.05"/>
    <n v="0.05"/>
    <n v="0.05"/>
    <n v="0.05"/>
    <n v="2"/>
    <n v="0"/>
    <n v="0"/>
    <n v="533"/>
    <n v="0.05"/>
    <n v="0"/>
    <n v="0"/>
    <n v="0"/>
    <n v="0"/>
    <n v="0.90590000000000004"/>
    <n v="-2.9999999999999997E-4"/>
    <n v="0"/>
    <n v="-2.4899999999999999E-2"/>
    <n v="4.3E-3"/>
    <n v="-1E-4"/>
    <n v="0"/>
    <n v="0"/>
    <n v="77"/>
    <n v="0.05"/>
    <n v="0"/>
    <n v="0"/>
    <n v="0.05"/>
    <n v="268"/>
    <n v="0"/>
  </r>
  <r>
    <x v="0"/>
    <x v="0"/>
    <s v="SPXW"/>
    <x v="1"/>
    <x v="44"/>
    <s v="p"/>
    <n v="0.05"/>
    <n v="0.05"/>
    <n v="0.05"/>
    <n v="0.05"/>
    <n v="41"/>
    <n v="0"/>
    <n v="0"/>
    <n v="231"/>
    <n v="0.05"/>
    <n v="0"/>
    <n v="0"/>
    <n v="0"/>
    <n v="0"/>
    <n v="0.88449999999999995"/>
    <n v="-2.9999999999999997E-4"/>
    <n v="0"/>
    <n v="-2.4899999999999999E-2"/>
    <n v="4.4000000000000003E-3"/>
    <n v="-1E-4"/>
    <n v="0"/>
    <n v="0"/>
    <n v="73"/>
    <n v="0.05"/>
    <n v="0"/>
    <n v="0"/>
    <n v="0.05"/>
    <n v="286"/>
    <n v="0"/>
  </r>
  <r>
    <x v="0"/>
    <x v="0"/>
    <s v="SPXW"/>
    <x v="1"/>
    <x v="45"/>
    <s v="p"/>
    <n v="0.05"/>
    <n v="0.05"/>
    <n v="0.05"/>
    <n v="0.05"/>
    <n v="4"/>
    <n v="0"/>
    <n v="0"/>
    <n v="226"/>
    <n v="0.05"/>
    <n v="0"/>
    <n v="0"/>
    <n v="0"/>
    <n v="0"/>
    <n v="0.86319999999999997"/>
    <n v="-2.9999999999999997E-4"/>
    <n v="0"/>
    <n v="-2.4899999999999999E-2"/>
    <n v="4.4999999999999997E-3"/>
    <n v="-1E-4"/>
    <n v="0"/>
    <n v="0"/>
    <n v="78"/>
    <n v="0.05"/>
    <n v="0"/>
    <n v="0"/>
    <n v="0.05"/>
    <n v="581"/>
    <n v="0"/>
  </r>
  <r>
    <x v="0"/>
    <x v="0"/>
    <s v="SPXW"/>
    <x v="1"/>
    <x v="46"/>
    <s v="p"/>
    <n v="0.05"/>
    <n v="0.05"/>
    <n v="0.03"/>
    <n v="0.03"/>
    <n v="151"/>
    <n v="0"/>
    <n v="0"/>
    <n v="208"/>
    <n v="0.05"/>
    <n v="0"/>
    <n v="0"/>
    <n v="0"/>
    <n v="0"/>
    <n v="0.84189999999999998"/>
    <n v="-2.9999999999999997E-4"/>
    <n v="0"/>
    <n v="-2.4899999999999999E-2"/>
    <n v="4.5999999999999999E-3"/>
    <n v="-1E-4"/>
    <n v="0"/>
    <n v="0"/>
    <n v="81"/>
    <n v="0.05"/>
    <n v="0"/>
    <n v="0"/>
    <n v="4.8800000000000003E-2"/>
    <n v="346"/>
    <n v="0"/>
  </r>
  <r>
    <x v="0"/>
    <x v="0"/>
    <s v="SPXW"/>
    <x v="1"/>
    <x v="47"/>
    <s v="p"/>
    <n v="0.05"/>
    <n v="0.05"/>
    <n v="0.03"/>
    <n v="0.03"/>
    <n v="16"/>
    <n v="0"/>
    <n v="0"/>
    <n v="232"/>
    <n v="0.05"/>
    <n v="0"/>
    <n v="0"/>
    <n v="0"/>
    <n v="0"/>
    <n v="0.82069999999999999"/>
    <n v="-2.9999999999999997E-4"/>
    <n v="0"/>
    <n v="-2.4899999999999999E-2"/>
    <n v="4.7000000000000002E-3"/>
    <n v="-1E-4"/>
    <n v="0"/>
    <n v="0"/>
    <n v="68"/>
    <n v="0.05"/>
    <n v="0"/>
    <n v="0"/>
    <n v="3.3799999999999997E-2"/>
    <n v="25"/>
    <n v="0"/>
  </r>
  <r>
    <x v="0"/>
    <x v="0"/>
    <s v="SPXW"/>
    <x v="1"/>
    <x v="50"/>
    <s v="p"/>
    <n v="0.05"/>
    <n v="0.05"/>
    <n v="0.05"/>
    <n v="0.05"/>
    <n v="209"/>
    <n v="0"/>
    <n v="0"/>
    <n v="191"/>
    <n v="0.05"/>
    <n v="0"/>
    <n v="0"/>
    <n v="0"/>
    <n v="0"/>
    <n v="0.79959999999999998"/>
    <n v="-4.0000000000000002E-4"/>
    <n v="0"/>
    <n v="-2.4899999999999999E-2"/>
    <n v="4.7999999999999996E-3"/>
    <n v="-1E-4"/>
    <n v="0"/>
    <n v="0"/>
    <n v="94"/>
    <n v="0.05"/>
    <n v="0"/>
    <n v="0"/>
    <n v="0.05"/>
    <n v="313"/>
    <n v="0"/>
  </r>
  <r>
    <x v="0"/>
    <x v="0"/>
    <s v="SPXW"/>
    <x v="1"/>
    <x v="53"/>
    <s v="p"/>
    <n v="0.05"/>
    <n v="0.05"/>
    <n v="0.05"/>
    <n v="0.05"/>
    <n v="83"/>
    <n v="0"/>
    <n v="0"/>
    <n v="145"/>
    <n v="0.05"/>
    <n v="0"/>
    <n v="0"/>
    <n v="0"/>
    <n v="0"/>
    <n v="0.77849999999999997"/>
    <n v="-4.0000000000000002E-4"/>
    <n v="0"/>
    <n v="-2.4899999999999999E-2"/>
    <n v="5.0000000000000001E-3"/>
    <n v="-1E-4"/>
    <n v="0"/>
    <n v="0"/>
    <n v="273"/>
    <n v="0.1"/>
    <n v="0"/>
    <n v="0"/>
    <n v="0.05"/>
    <n v="92"/>
    <n v="0"/>
  </r>
  <r>
    <x v="0"/>
    <x v="0"/>
    <s v="SPXW"/>
    <x v="1"/>
    <x v="56"/>
    <s v="p"/>
    <n v="0.05"/>
    <n v="0.05"/>
    <n v="0.05"/>
    <n v="0.05"/>
    <n v="80"/>
    <n v="0"/>
    <n v="0"/>
    <n v="137"/>
    <n v="0.05"/>
    <n v="0"/>
    <n v="0"/>
    <n v="0"/>
    <n v="0"/>
    <n v="0.75739999999999996"/>
    <n v="-4.0000000000000002E-4"/>
    <n v="0"/>
    <n v="-2.4899999999999999E-2"/>
    <n v="5.1000000000000004E-3"/>
    <n v="-1E-4"/>
    <n v="0"/>
    <n v="0"/>
    <n v="6"/>
    <n v="0.05"/>
    <n v="0"/>
    <n v="0"/>
    <n v="0.05"/>
    <n v="767"/>
    <n v="0"/>
  </r>
  <r>
    <x v="0"/>
    <x v="0"/>
    <s v="SPXW"/>
    <x v="1"/>
    <x v="59"/>
    <s v="p"/>
    <n v="0.05"/>
    <n v="0.05"/>
    <n v="0.05"/>
    <n v="0.05"/>
    <n v="48"/>
    <n v="0"/>
    <n v="0"/>
    <n v="128"/>
    <n v="0.05"/>
    <n v="0"/>
    <n v="0"/>
    <n v="0"/>
    <n v="0"/>
    <n v="0.73650000000000004"/>
    <n v="-4.0000000000000002E-4"/>
    <n v="0"/>
    <n v="-2.4899999999999999E-2"/>
    <n v="5.1999999999999998E-3"/>
    <n v="-1E-4"/>
    <n v="0"/>
    <n v="0"/>
    <n v="1"/>
    <n v="0.05"/>
    <n v="0"/>
    <n v="0"/>
    <n v="0.05"/>
    <n v="122"/>
    <n v="0"/>
  </r>
  <r>
    <x v="0"/>
    <x v="0"/>
    <s v="SPXW"/>
    <x v="1"/>
    <x v="62"/>
    <s v="p"/>
    <n v="0.05"/>
    <n v="0.05"/>
    <n v="0.05"/>
    <n v="0.05"/>
    <n v="8"/>
    <n v="0"/>
    <n v="0"/>
    <n v="125"/>
    <n v="0.05"/>
    <n v="0"/>
    <n v="0"/>
    <n v="0"/>
    <n v="0"/>
    <n v="0.71550000000000002"/>
    <n v="-4.0000000000000002E-4"/>
    <n v="0"/>
    <n v="-2.4899999999999999E-2"/>
    <n v="5.4000000000000003E-3"/>
    <n v="-1E-4"/>
    <n v="0"/>
    <n v="0"/>
    <n v="284"/>
    <n v="0.1"/>
    <n v="0"/>
    <n v="0"/>
    <n v="0.05"/>
    <n v="391"/>
    <n v="0"/>
  </r>
  <r>
    <x v="0"/>
    <x v="0"/>
    <s v="SPXW"/>
    <x v="1"/>
    <x v="63"/>
    <s v="p"/>
    <n v="0.03"/>
    <n v="0.1"/>
    <n v="0.03"/>
    <n v="0.05"/>
    <n v="126"/>
    <n v="0"/>
    <n v="0"/>
    <n v="62"/>
    <n v="0.05"/>
    <n v="0"/>
    <n v="0"/>
    <n v="0"/>
    <n v="0"/>
    <n v="0.70720000000000005"/>
    <n v="-4.0000000000000002E-4"/>
    <n v="0"/>
    <n v="-2.4899999999999999E-2"/>
    <n v="5.4000000000000003E-3"/>
    <n v="-1E-4"/>
    <n v="0"/>
    <n v="0"/>
    <n v="290"/>
    <n v="0.1"/>
    <n v="0"/>
    <n v="0"/>
    <n v="6.6299999999999998E-2"/>
    <n v="45"/>
    <n v="0"/>
  </r>
  <r>
    <x v="0"/>
    <x v="0"/>
    <s v="SPXW"/>
    <x v="1"/>
    <x v="64"/>
    <s v="p"/>
    <n v="0.05"/>
    <n v="0.05"/>
    <n v="0.03"/>
    <n v="0.03"/>
    <n v="12"/>
    <n v="0"/>
    <n v="0"/>
    <n v="62"/>
    <n v="0.05"/>
    <n v="0"/>
    <n v="0"/>
    <n v="0"/>
    <n v="0"/>
    <n v="0.69879999999999998"/>
    <n v="-4.0000000000000002E-4"/>
    <n v="0"/>
    <n v="-2.4899999999999999E-2"/>
    <n v="5.4999999999999997E-3"/>
    <n v="-1E-4"/>
    <n v="0"/>
    <n v="0"/>
    <n v="287"/>
    <n v="0.1"/>
    <n v="0"/>
    <n v="0"/>
    <n v="4.6699999999999998E-2"/>
    <n v="46"/>
    <n v="0"/>
  </r>
  <r>
    <x v="0"/>
    <x v="0"/>
    <s v="SPXW"/>
    <x v="1"/>
    <x v="65"/>
    <s v="p"/>
    <n v="0.05"/>
    <n v="0.05"/>
    <n v="0.04"/>
    <n v="0.05"/>
    <n v="324"/>
    <n v="0"/>
    <n v="0"/>
    <n v="62"/>
    <n v="0.05"/>
    <n v="0"/>
    <n v="0"/>
    <n v="0"/>
    <n v="0"/>
    <n v="0.6946"/>
    <n v="-4.0000000000000002E-4"/>
    <n v="0"/>
    <n v="-2.4899999999999999E-2"/>
    <n v="5.4999999999999997E-3"/>
    <n v="-1E-4"/>
    <n v="0"/>
    <n v="0"/>
    <n v="285"/>
    <n v="0.1"/>
    <n v="0"/>
    <n v="0"/>
    <n v="4.9799999999999997E-2"/>
    <n v="525"/>
    <n v="0"/>
  </r>
  <r>
    <x v="0"/>
    <x v="0"/>
    <s v="SPXW"/>
    <x v="1"/>
    <x v="66"/>
    <s v="p"/>
    <n v="0.05"/>
    <n v="0.05"/>
    <n v="0.03"/>
    <n v="0.05"/>
    <n v="37"/>
    <n v="0"/>
    <n v="0"/>
    <n v="67"/>
    <n v="0.05"/>
    <n v="0"/>
    <n v="0"/>
    <n v="0"/>
    <n v="0"/>
    <n v="0.7268"/>
    <n v="-6.9999999999999999E-4"/>
    <n v="0"/>
    <n v="-4.99E-2"/>
    <n v="9.5999999999999992E-3"/>
    <n v="-1E-4"/>
    <n v="0"/>
    <n v="0"/>
    <n v="282"/>
    <n v="0.1"/>
    <n v="0"/>
    <n v="0"/>
    <n v="4.9500000000000002E-2"/>
    <n v="12"/>
    <n v="0"/>
  </r>
  <r>
    <x v="0"/>
    <x v="0"/>
    <s v="SPXW"/>
    <x v="1"/>
    <x v="67"/>
    <s v="p"/>
    <n v="0.05"/>
    <n v="0.05"/>
    <n v="0.05"/>
    <n v="0.05"/>
    <n v="204"/>
    <n v="0"/>
    <n v="0"/>
    <n v="67"/>
    <n v="0.05"/>
    <n v="0"/>
    <n v="0"/>
    <n v="0"/>
    <n v="0"/>
    <n v="0.71809999999999996"/>
    <n v="-6.9999999999999999E-4"/>
    <n v="0"/>
    <n v="-4.99E-2"/>
    <n v="9.7000000000000003E-3"/>
    <n v="-1E-4"/>
    <n v="0"/>
    <n v="0"/>
    <n v="279"/>
    <n v="0.1"/>
    <n v="0"/>
    <n v="0"/>
    <n v="0.05"/>
    <n v="501"/>
    <n v="0"/>
  </r>
  <r>
    <x v="0"/>
    <x v="0"/>
    <s v="SPXW"/>
    <x v="1"/>
    <x v="68"/>
    <s v="p"/>
    <n v="0.05"/>
    <n v="0.1"/>
    <n v="0.05"/>
    <n v="0.05"/>
    <n v="52"/>
    <n v="0"/>
    <n v="0"/>
    <n v="513"/>
    <n v="0.1"/>
    <n v="0"/>
    <n v="0"/>
    <n v="0"/>
    <n v="0"/>
    <n v="0.70930000000000004"/>
    <n v="-6.9999999999999999E-4"/>
    <n v="0"/>
    <n v="-4.99E-2"/>
    <n v="9.7999999999999997E-3"/>
    <n v="-1E-4"/>
    <n v="0"/>
    <n v="0"/>
    <n v="201"/>
    <n v="0.05"/>
    <n v="0"/>
    <n v="0"/>
    <n v="5.4800000000000001E-2"/>
    <n v="708"/>
    <n v="0"/>
  </r>
  <r>
    <x v="0"/>
    <x v="0"/>
    <s v="SPXW"/>
    <x v="1"/>
    <x v="69"/>
    <s v="p"/>
    <n v="0.05"/>
    <n v="0.05"/>
    <n v="0.05"/>
    <n v="0.05"/>
    <n v="116"/>
    <n v="0"/>
    <n v="0"/>
    <n v="488"/>
    <n v="0.1"/>
    <n v="0"/>
    <n v="0"/>
    <n v="0"/>
    <n v="0"/>
    <n v="0.7006"/>
    <n v="-8.0000000000000004E-4"/>
    <n v="0"/>
    <n v="-4.99E-2"/>
    <n v="9.9000000000000008E-3"/>
    <n v="-1E-4"/>
    <n v="0"/>
    <n v="0"/>
    <n v="286"/>
    <n v="0.1"/>
    <n v="0"/>
    <n v="0"/>
    <n v="0.05"/>
    <n v="9"/>
    <n v="0"/>
  </r>
  <r>
    <x v="0"/>
    <x v="0"/>
    <s v="SPXW"/>
    <x v="1"/>
    <x v="70"/>
    <s v="p"/>
    <n v="0.05"/>
    <n v="0.05"/>
    <n v="0.05"/>
    <n v="0.05"/>
    <n v="23"/>
    <n v="0"/>
    <n v="0"/>
    <n v="484"/>
    <n v="0.1"/>
    <n v="0"/>
    <n v="0"/>
    <n v="0"/>
    <n v="0"/>
    <n v="0.69189999999999996"/>
    <n v="-8.0000000000000004E-4"/>
    <n v="0"/>
    <n v="-4.99E-2"/>
    <n v="0.01"/>
    <n v="-1E-4"/>
    <n v="0"/>
    <n v="0"/>
    <n v="282"/>
    <n v="0.1"/>
    <n v="0"/>
    <n v="0"/>
    <n v="0.05"/>
    <n v="54"/>
    <n v="0"/>
  </r>
  <r>
    <x v="0"/>
    <x v="0"/>
    <s v="SPXW"/>
    <x v="1"/>
    <x v="71"/>
    <s v="p"/>
    <n v="0.05"/>
    <n v="0.1"/>
    <n v="0.05"/>
    <n v="0.1"/>
    <n v="67"/>
    <n v="0"/>
    <n v="0"/>
    <n v="489"/>
    <n v="0.1"/>
    <n v="0"/>
    <n v="0"/>
    <n v="0"/>
    <n v="0"/>
    <n v="0.6875"/>
    <n v="-8.0000000000000004E-4"/>
    <n v="0"/>
    <n v="-4.99E-2"/>
    <n v="1.01E-2"/>
    <n v="-1E-4"/>
    <n v="0"/>
    <n v="0"/>
    <n v="280"/>
    <n v="0.1"/>
    <n v="0"/>
    <n v="0"/>
    <n v="5.0700000000000002E-2"/>
    <n v="289"/>
    <n v="0"/>
  </r>
  <r>
    <x v="0"/>
    <x v="0"/>
    <s v="SPXW"/>
    <x v="1"/>
    <x v="72"/>
    <s v="p"/>
    <n v="0.05"/>
    <n v="0.05"/>
    <n v="0.05"/>
    <n v="0.05"/>
    <n v="13"/>
    <n v="0"/>
    <n v="0"/>
    <n v="479"/>
    <n v="0.1"/>
    <n v="0"/>
    <n v="0"/>
    <n v="0"/>
    <n v="0"/>
    <n v="0.68320000000000003"/>
    <n v="-8.0000000000000004E-4"/>
    <n v="0"/>
    <n v="-4.99E-2"/>
    <n v="1.01E-2"/>
    <n v="-1E-4"/>
    <n v="0"/>
    <n v="0"/>
    <n v="278"/>
    <n v="0.1"/>
    <n v="0"/>
    <n v="0"/>
    <n v="0.05"/>
    <n v="15"/>
    <n v="0"/>
  </r>
  <r>
    <x v="0"/>
    <x v="0"/>
    <s v="SPXW"/>
    <x v="1"/>
    <x v="73"/>
    <s v="p"/>
    <n v="0"/>
    <n v="0"/>
    <n v="0"/>
    <n v="0"/>
    <n v="0"/>
    <n v="0"/>
    <n v="0"/>
    <n v="475"/>
    <n v="0.1"/>
    <n v="0"/>
    <n v="0"/>
    <n v="0"/>
    <n v="0"/>
    <n v="0.67449999999999999"/>
    <n v="-8.0000000000000004E-4"/>
    <n v="0"/>
    <n v="-4.99E-2"/>
    <n v="1.03E-2"/>
    <n v="-2.0000000000000001E-4"/>
    <n v="0"/>
    <n v="0"/>
    <n v="274"/>
    <n v="0.1"/>
    <n v="0"/>
    <n v="0"/>
    <n v="0"/>
    <n v="118"/>
    <n v="0"/>
  </r>
  <r>
    <x v="0"/>
    <x v="0"/>
    <s v="SPXW"/>
    <x v="1"/>
    <x v="74"/>
    <s v="p"/>
    <n v="0.05"/>
    <n v="0.1"/>
    <n v="0.05"/>
    <n v="0.1"/>
    <n v="55"/>
    <n v="0"/>
    <n v="0"/>
    <n v="477"/>
    <n v="0.1"/>
    <n v="0"/>
    <n v="0"/>
    <n v="0"/>
    <n v="0"/>
    <n v="0.66600000000000004"/>
    <n v="-8.0000000000000004E-4"/>
    <n v="0"/>
    <n v="-4.99E-2"/>
    <n v="1.04E-2"/>
    <n v="-2.0000000000000001E-4"/>
    <n v="0"/>
    <n v="0"/>
    <n v="279"/>
    <n v="0.1"/>
    <n v="0"/>
    <n v="0"/>
    <n v="5.5500000000000001E-2"/>
    <n v="995"/>
    <n v="0"/>
  </r>
  <r>
    <x v="0"/>
    <x v="0"/>
    <s v="SPXW"/>
    <x v="1"/>
    <x v="75"/>
    <s v="p"/>
    <n v="0"/>
    <n v="0"/>
    <n v="0"/>
    <n v="0"/>
    <n v="0"/>
    <n v="0"/>
    <n v="0"/>
    <n v="460"/>
    <n v="0.1"/>
    <n v="0"/>
    <n v="0"/>
    <n v="0"/>
    <n v="0"/>
    <n v="0.65710000000000002"/>
    <n v="-8.0000000000000004E-4"/>
    <n v="0"/>
    <n v="-4.99E-2"/>
    <n v="1.0500000000000001E-2"/>
    <n v="-2.0000000000000001E-4"/>
    <n v="0"/>
    <n v="0"/>
    <n v="275"/>
    <n v="0.1"/>
    <n v="0"/>
    <n v="0"/>
    <n v="0"/>
    <n v="19"/>
    <n v="0"/>
  </r>
  <r>
    <x v="0"/>
    <x v="0"/>
    <s v="SPXW"/>
    <x v="1"/>
    <x v="76"/>
    <s v="p"/>
    <n v="0.11"/>
    <n v="0.11"/>
    <n v="0.11"/>
    <n v="0.11"/>
    <n v="30"/>
    <n v="0"/>
    <n v="0"/>
    <n v="445"/>
    <n v="0.1"/>
    <n v="0"/>
    <n v="0"/>
    <n v="0"/>
    <n v="0"/>
    <n v="0.64849999999999997"/>
    <n v="-8.0000000000000004E-4"/>
    <n v="0"/>
    <n v="-4.99E-2"/>
    <n v="1.06E-2"/>
    <n v="-2.0000000000000001E-4"/>
    <n v="0"/>
    <n v="0"/>
    <n v="292"/>
    <n v="0.1"/>
    <n v="0"/>
    <n v="0"/>
    <n v="0.11"/>
    <n v="45"/>
    <n v="0"/>
  </r>
  <r>
    <x v="0"/>
    <x v="0"/>
    <s v="SPXW"/>
    <x v="1"/>
    <x v="77"/>
    <s v="p"/>
    <n v="0"/>
    <n v="0"/>
    <n v="0"/>
    <n v="0"/>
    <n v="0"/>
    <n v="0"/>
    <n v="0"/>
    <n v="444"/>
    <n v="0.1"/>
    <n v="0"/>
    <n v="0"/>
    <n v="0"/>
    <n v="0"/>
    <n v="0.64410000000000001"/>
    <n v="-8.0000000000000004E-4"/>
    <n v="0"/>
    <n v="-4.99E-2"/>
    <n v="1.0699999999999999E-2"/>
    <n v="-2.0000000000000001E-4"/>
    <n v="0"/>
    <n v="0"/>
    <n v="289"/>
    <n v="0.1"/>
    <n v="0"/>
    <n v="0"/>
    <n v="0"/>
    <n v="411"/>
    <n v="0"/>
  </r>
  <r>
    <x v="0"/>
    <x v="0"/>
    <s v="SPXW"/>
    <x v="1"/>
    <x v="78"/>
    <s v="p"/>
    <n v="0"/>
    <n v="0"/>
    <n v="0"/>
    <n v="0"/>
    <n v="0"/>
    <n v="0"/>
    <n v="0"/>
    <n v="426"/>
    <n v="0.1"/>
    <n v="0"/>
    <n v="0"/>
    <n v="0"/>
    <n v="0"/>
    <n v="0.63980000000000004"/>
    <n v="-8.0000000000000004E-4"/>
    <n v="0"/>
    <n v="-4.99E-2"/>
    <n v="1.0800000000000001E-2"/>
    <n v="-2.0000000000000001E-4"/>
    <n v="0"/>
    <n v="0"/>
    <n v="287"/>
    <n v="0.1"/>
    <n v="0"/>
    <n v="0"/>
    <n v="0"/>
    <n v="32"/>
    <n v="0"/>
  </r>
  <r>
    <x v="0"/>
    <x v="0"/>
    <s v="SPXW"/>
    <x v="1"/>
    <x v="79"/>
    <s v="p"/>
    <n v="0.05"/>
    <n v="0.05"/>
    <n v="0.05"/>
    <n v="0.05"/>
    <n v="13"/>
    <n v="0"/>
    <n v="0"/>
    <n v="408"/>
    <n v="0.1"/>
    <n v="0"/>
    <n v="0"/>
    <n v="0"/>
    <n v="0"/>
    <n v="0.63119999999999998"/>
    <n v="-8.0000000000000004E-4"/>
    <n v="0"/>
    <n v="-4.99E-2"/>
    <n v="1.09E-2"/>
    <n v="-2.0000000000000001E-4"/>
    <n v="0"/>
    <n v="0"/>
    <n v="298"/>
    <n v="0.1"/>
    <n v="0"/>
    <n v="0"/>
    <n v="0.05"/>
    <n v="9"/>
    <n v="0"/>
  </r>
  <r>
    <x v="0"/>
    <x v="0"/>
    <s v="SPXW"/>
    <x v="1"/>
    <x v="80"/>
    <s v="p"/>
    <n v="0.05"/>
    <n v="0.12"/>
    <n v="0.05"/>
    <n v="0.1"/>
    <n v="77"/>
    <n v="0"/>
    <n v="0"/>
    <n v="410"/>
    <n v="0.1"/>
    <n v="0"/>
    <n v="0"/>
    <n v="0"/>
    <n v="0"/>
    <n v="0.62250000000000005"/>
    <n v="-8.0000000000000004E-4"/>
    <n v="0"/>
    <n v="-4.99E-2"/>
    <n v="1.0999999999999999E-2"/>
    <n v="-2.0000000000000001E-4"/>
    <n v="0"/>
    <n v="0"/>
    <n v="50"/>
    <n v="0.05"/>
    <n v="0"/>
    <n v="0"/>
    <n v="9.9000000000000005E-2"/>
    <n v="424"/>
    <n v="0"/>
  </r>
  <r>
    <x v="0"/>
    <x v="0"/>
    <s v="SPXW"/>
    <x v="1"/>
    <x v="81"/>
    <s v="p"/>
    <n v="0.1"/>
    <n v="0.1"/>
    <n v="0.1"/>
    <n v="0.1"/>
    <n v="3"/>
    <n v="0"/>
    <n v="0"/>
    <n v="412"/>
    <n v="0.1"/>
    <n v="0"/>
    <n v="0"/>
    <n v="0"/>
    <n v="0"/>
    <n v="0.6139"/>
    <n v="-8.9999999999999998E-4"/>
    <n v="0"/>
    <n v="-4.99E-2"/>
    <n v="1.12E-2"/>
    <n v="-2.0000000000000001E-4"/>
    <n v="0"/>
    <n v="0"/>
    <n v="297"/>
    <n v="0.1"/>
    <n v="0"/>
    <n v="0"/>
    <n v="0.1"/>
    <n v="39"/>
    <n v="0"/>
  </r>
  <r>
    <x v="0"/>
    <x v="0"/>
    <s v="SPXW"/>
    <x v="1"/>
    <x v="82"/>
    <s v="p"/>
    <n v="0"/>
    <n v="0"/>
    <n v="0"/>
    <n v="0"/>
    <n v="0"/>
    <n v="0"/>
    <n v="0"/>
    <n v="421"/>
    <n v="0.1"/>
    <n v="0"/>
    <n v="0"/>
    <n v="0"/>
    <n v="0"/>
    <n v="0.60519999999999996"/>
    <n v="-8.9999999999999998E-4"/>
    <n v="0"/>
    <n v="-4.99E-2"/>
    <n v="1.1299999999999999E-2"/>
    <n v="-2.0000000000000001E-4"/>
    <n v="0"/>
    <n v="0"/>
    <n v="293"/>
    <n v="0.1"/>
    <n v="0"/>
    <n v="0"/>
    <n v="0"/>
    <n v="57"/>
    <n v="0"/>
  </r>
  <r>
    <x v="0"/>
    <x v="0"/>
    <s v="SPXW"/>
    <x v="1"/>
    <x v="83"/>
    <s v="p"/>
    <n v="0.1"/>
    <n v="0.1"/>
    <n v="0.05"/>
    <n v="0.05"/>
    <n v="2"/>
    <n v="0"/>
    <n v="0"/>
    <n v="436"/>
    <n v="0.1"/>
    <n v="0"/>
    <n v="0"/>
    <n v="0"/>
    <n v="0"/>
    <n v="0.60089999999999999"/>
    <n v="-8.9999999999999998E-4"/>
    <n v="0"/>
    <n v="-4.99E-2"/>
    <n v="1.14E-2"/>
    <n v="-2.0000000000000001E-4"/>
    <n v="0"/>
    <n v="0"/>
    <n v="289"/>
    <n v="0.1"/>
    <n v="0"/>
    <n v="0"/>
    <n v="7.4999999999999997E-2"/>
    <n v="46"/>
    <n v="0"/>
  </r>
  <r>
    <x v="0"/>
    <x v="0"/>
    <s v="SPXW"/>
    <x v="1"/>
    <x v="84"/>
    <s v="p"/>
    <n v="0.05"/>
    <n v="0.1"/>
    <n v="0.05"/>
    <n v="0.05"/>
    <n v="22"/>
    <n v="0"/>
    <n v="0"/>
    <n v="430"/>
    <n v="0.1"/>
    <n v="0"/>
    <n v="0"/>
    <n v="0"/>
    <n v="0"/>
    <n v="0.59660000000000002"/>
    <n v="-8.9999999999999998E-4"/>
    <n v="0"/>
    <n v="-4.99E-2"/>
    <n v="1.15E-2"/>
    <n v="-2.0000000000000001E-4"/>
    <n v="0"/>
    <n v="0"/>
    <n v="184"/>
    <n v="0.1"/>
    <n v="0"/>
    <n v="0"/>
    <n v="5.2299999999999999E-2"/>
    <n v="54"/>
    <n v="0"/>
  </r>
  <r>
    <x v="0"/>
    <x v="0"/>
    <s v="SPXW"/>
    <x v="1"/>
    <x v="85"/>
    <s v="p"/>
    <n v="0.05"/>
    <n v="0.05"/>
    <n v="0.05"/>
    <n v="0.05"/>
    <n v="4"/>
    <n v="0"/>
    <n v="0"/>
    <n v="432"/>
    <n v="0.1"/>
    <n v="0"/>
    <n v="0"/>
    <n v="0"/>
    <n v="0"/>
    <n v="0.58799999999999997"/>
    <n v="-8.9999999999999998E-4"/>
    <n v="0"/>
    <n v="-4.99E-2"/>
    <n v="1.17E-2"/>
    <n v="-2.0000000000000001E-4"/>
    <n v="0"/>
    <n v="0"/>
    <n v="193"/>
    <n v="0.1"/>
    <n v="0"/>
    <n v="0"/>
    <n v="0.05"/>
    <n v="37"/>
    <n v="0"/>
  </r>
  <r>
    <x v="0"/>
    <x v="0"/>
    <s v="SPXW"/>
    <x v="1"/>
    <x v="86"/>
    <s v="p"/>
    <n v="0.1"/>
    <n v="0.15"/>
    <n v="0.05"/>
    <n v="0.05"/>
    <n v="12"/>
    <n v="0"/>
    <n v="0"/>
    <n v="434"/>
    <n v="0.1"/>
    <n v="0"/>
    <n v="0"/>
    <n v="0"/>
    <n v="0"/>
    <n v="0.57930000000000004"/>
    <n v="-8.9999999999999998E-4"/>
    <n v="0"/>
    <n v="-4.99E-2"/>
    <n v="1.18E-2"/>
    <n v="-2.0000000000000001E-4"/>
    <n v="0"/>
    <n v="0"/>
    <n v="192"/>
    <n v="0.1"/>
    <n v="0"/>
    <n v="0"/>
    <n v="8.3299999999999999E-2"/>
    <n v="269"/>
    <n v="0"/>
  </r>
  <r>
    <x v="0"/>
    <x v="0"/>
    <s v="SPXW"/>
    <x v="1"/>
    <x v="87"/>
    <s v="p"/>
    <n v="0.1"/>
    <n v="0.15"/>
    <n v="0.05"/>
    <n v="0.05"/>
    <n v="34"/>
    <n v="0"/>
    <n v="0"/>
    <n v="420"/>
    <n v="0.1"/>
    <n v="0"/>
    <n v="0"/>
    <n v="0"/>
    <n v="0"/>
    <n v="0.57069999999999999"/>
    <n v="-8.9999999999999998E-4"/>
    <n v="0"/>
    <n v="-4.99E-2"/>
    <n v="1.2E-2"/>
    <n v="-2.0000000000000001E-4"/>
    <n v="0"/>
    <n v="0"/>
    <n v="188"/>
    <n v="0.1"/>
    <n v="0"/>
    <n v="0"/>
    <n v="9.2600000000000002E-2"/>
    <n v="150"/>
    <n v="0"/>
  </r>
  <r>
    <x v="0"/>
    <x v="0"/>
    <s v="SPXW"/>
    <x v="1"/>
    <x v="88"/>
    <s v="p"/>
    <n v="7.0000000000000007E-2"/>
    <n v="7.0000000000000007E-2"/>
    <n v="7.0000000000000007E-2"/>
    <n v="7.0000000000000007E-2"/>
    <n v="2"/>
    <n v="0"/>
    <n v="0"/>
    <n v="450"/>
    <n v="0.1"/>
    <n v="0"/>
    <n v="0"/>
    <n v="0"/>
    <n v="0"/>
    <n v="0.56210000000000004"/>
    <n v="-8.9999999999999998E-4"/>
    <n v="0"/>
    <n v="-4.99E-2"/>
    <n v="1.2200000000000001E-2"/>
    <n v="-2.0000000000000001E-4"/>
    <n v="0"/>
    <n v="0"/>
    <n v="187"/>
    <n v="0.1"/>
    <n v="0"/>
    <n v="0"/>
    <n v="7.0000000000000007E-2"/>
    <n v="40"/>
    <n v="0"/>
  </r>
  <r>
    <x v="0"/>
    <x v="0"/>
    <s v="SPXW"/>
    <x v="1"/>
    <x v="89"/>
    <s v="p"/>
    <n v="0.1"/>
    <n v="0.1"/>
    <n v="0.05"/>
    <n v="0.05"/>
    <n v="5"/>
    <n v="0"/>
    <n v="0"/>
    <n v="468"/>
    <n v="0.1"/>
    <n v="0"/>
    <n v="0"/>
    <n v="0"/>
    <n v="0"/>
    <n v="0.55779999999999996"/>
    <n v="-8.9999999999999998E-4"/>
    <n v="0"/>
    <n v="-4.99E-2"/>
    <n v="1.2200000000000001E-2"/>
    <n v="-2.0000000000000001E-4"/>
    <n v="0"/>
    <n v="0"/>
    <n v="186"/>
    <n v="0.1"/>
    <n v="0"/>
    <n v="0"/>
    <n v="6.8000000000000005E-2"/>
    <n v="222"/>
    <n v="0"/>
  </r>
  <r>
    <x v="0"/>
    <x v="0"/>
    <s v="SPXW"/>
    <x v="1"/>
    <x v="90"/>
    <s v="p"/>
    <n v="0.05"/>
    <n v="0.05"/>
    <n v="0.05"/>
    <n v="0.05"/>
    <n v="53"/>
    <n v="0"/>
    <n v="0"/>
    <n v="449"/>
    <n v="0.1"/>
    <n v="0"/>
    <n v="0"/>
    <n v="0"/>
    <n v="0"/>
    <n v="0.55349999999999999"/>
    <n v="-8.9999999999999998E-4"/>
    <n v="0"/>
    <n v="-4.99E-2"/>
    <n v="1.23E-2"/>
    <n v="-2.0000000000000001E-4"/>
    <n v="0"/>
    <n v="0"/>
    <n v="184"/>
    <n v="0.1"/>
    <n v="0"/>
    <n v="0"/>
    <n v="0.05"/>
    <n v="177"/>
    <n v="0"/>
  </r>
  <r>
    <x v="0"/>
    <x v="0"/>
    <s v="SPXW"/>
    <x v="1"/>
    <x v="91"/>
    <s v="p"/>
    <n v="0.1"/>
    <n v="0.1"/>
    <n v="0.05"/>
    <n v="0.05"/>
    <n v="5"/>
    <n v="65"/>
    <n v="0.05"/>
    <n v="440"/>
    <n v="0.1"/>
    <n v="0"/>
    <n v="0"/>
    <n v="0"/>
    <n v="0"/>
    <n v="0.54490000000000005"/>
    <n v="-1E-3"/>
    <n v="0"/>
    <n v="-4.99E-2"/>
    <n v="1.2500000000000001E-2"/>
    <n v="-2.0000000000000001E-4"/>
    <n v="0"/>
    <n v="0"/>
    <n v="181"/>
    <n v="0.1"/>
    <n v="0"/>
    <n v="0"/>
    <n v="0.08"/>
    <n v="110"/>
    <n v="0"/>
  </r>
  <r>
    <x v="0"/>
    <x v="0"/>
    <s v="SPXW"/>
    <x v="1"/>
    <x v="92"/>
    <s v="p"/>
    <n v="7.0000000000000007E-2"/>
    <n v="0.19"/>
    <n v="0.05"/>
    <n v="0.05"/>
    <n v="217"/>
    <n v="69"/>
    <n v="0.05"/>
    <n v="534"/>
    <n v="0.1"/>
    <n v="0"/>
    <n v="0"/>
    <n v="0"/>
    <n v="0"/>
    <n v="0.55459999999999998"/>
    <n v="-1.4E-3"/>
    <n v="0"/>
    <n v="-7.4800000000000005E-2"/>
    <n v="1.7299999999999999E-2"/>
    <n v="-2.9999999999999997E-4"/>
    <n v="1"/>
    <n v="0.05"/>
    <n v="180"/>
    <n v="0.1"/>
    <n v="0"/>
    <n v="0"/>
    <n v="9.2499999999999999E-2"/>
    <n v="564"/>
    <n v="0"/>
  </r>
  <r>
    <x v="0"/>
    <x v="0"/>
    <s v="SPXW"/>
    <x v="1"/>
    <x v="93"/>
    <s v="p"/>
    <n v="0.05"/>
    <n v="0.15"/>
    <n v="0.05"/>
    <n v="0.05"/>
    <n v="90"/>
    <n v="73"/>
    <n v="0.05"/>
    <n v="505"/>
    <n v="0.1"/>
    <n v="0"/>
    <n v="0"/>
    <n v="0"/>
    <n v="0"/>
    <n v="0.54569999999999996"/>
    <n v="-1.4E-3"/>
    <n v="0"/>
    <n v="-7.4800000000000005E-2"/>
    <n v="1.7500000000000002E-2"/>
    <n v="-2.9999999999999997E-4"/>
    <n v="1"/>
    <n v="0.05"/>
    <n v="187"/>
    <n v="0.1"/>
    <n v="0"/>
    <n v="0"/>
    <n v="5.2200000000000003E-2"/>
    <n v="287"/>
    <n v="0"/>
  </r>
  <r>
    <x v="0"/>
    <x v="0"/>
    <s v="SPXW"/>
    <x v="1"/>
    <x v="94"/>
    <s v="p"/>
    <n v="0.2"/>
    <n v="0.2"/>
    <n v="0.05"/>
    <n v="0.05"/>
    <n v="173"/>
    <n v="78"/>
    <n v="0.05"/>
    <n v="499"/>
    <n v="0.1"/>
    <n v="0"/>
    <n v="0"/>
    <n v="0"/>
    <n v="0"/>
    <n v="0.53690000000000004"/>
    <n v="-1.4E-3"/>
    <n v="0"/>
    <n v="-7.4800000000000005E-2"/>
    <n v="1.78E-2"/>
    <n v="-2.9999999999999997E-4"/>
    <n v="1"/>
    <n v="0.05"/>
    <n v="197"/>
    <n v="0.1"/>
    <n v="0"/>
    <n v="0"/>
    <n v="6.8500000000000005E-2"/>
    <n v="16"/>
    <n v="0"/>
  </r>
  <r>
    <x v="0"/>
    <x v="0"/>
    <s v="SPXW"/>
    <x v="1"/>
    <x v="95"/>
    <s v="p"/>
    <n v="0.1"/>
    <n v="0.15"/>
    <n v="0.05"/>
    <n v="0.05"/>
    <n v="96"/>
    <n v="48"/>
    <n v="0.05"/>
    <n v="513"/>
    <n v="0.1"/>
    <n v="0"/>
    <n v="0"/>
    <n v="0"/>
    <n v="0"/>
    <n v="0.53220000000000001"/>
    <n v="-1.4E-3"/>
    <n v="0"/>
    <n v="-7.4800000000000005E-2"/>
    <n v="1.7899999999999999E-2"/>
    <n v="-2.9999999999999997E-4"/>
    <n v="1"/>
    <n v="0.05"/>
    <n v="196"/>
    <n v="0.1"/>
    <n v="0"/>
    <n v="0"/>
    <n v="7.0900000000000005E-2"/>
    <n v="152"/>
    <n v="0"/>
  </r>
  <r>
    <x v="0"/>
    <x v="0"/>
    <s v="SPXW"/>
    <x v="1"/>
    <x v="96"/>
    <s v="p"/>
    <n v="0.1"/>
    <n v="0.15"/>
    <n v="0.05"/>
    <n v="7.0000000000000007E-2"/>
    <n v="25"/>
    <n v="50"/>
    <n v="0.05"/>
    <n v="491"/>
    <n v="0.1"/>
    <n v="0"/>
    <n v="0"/>
    <n v="0"/>
    <n v="0"/>
    <n v="0.5282"/>
    <n v="-1.4E-3"/>
    <n v="0"/>
    <n v="-7.4800000000000005E-2"/>
    <n v="1.8100000000000002E-2"/>
    <n v="-2.9999999999999997E-4"/>
    <n v="0"/>
    <n v="0"/>
    <n v="194"/>
    <n v="0.1"/>
    <n v="0"/>
    <n v="0"/>
    <n v="6.88E-2"/>
    <n v="2860"/>
    <n v="0"/>
  </r>
  <r>
    <x v="0"/>
    <x v="0"/>
    <s v="SPXW"/>
    <x v="1"/>
    <x v="97"/>
    <s v="p"/>
    <n v="0.05"/>
    <n v="0.05"/>
    <n v="0.05"/>
    <n v="0.05"/>
    <n v="62"/>
    <n v="51"/>
    <n v="0.05"/>
    <n v="486"/>
    <n v="0.1"/>
    <n v="0"/>
    <n v="0"/>
    <n v="0"/>
    <n v="0"/>
    <n v="0.51890000000000003"/>
    <n v="-1.4E-3"/>
    <n v="0"/>
    <n v="-7.4800000000000005E-2"/>
    <n v="1.84E-2"/>
    <n v="-2.9999999999999997E-4"/>
    <n v="0"/>
    <n v="0"/>
    <n v="191"/>
    <n v="0.1"/>
    <n v="0"/>
    <n v="0"/>
    <n v="0.05"/>
    <n v="54"/>
    <n v="0"/>
  </r>
  <r>
    <x v="0"/>
    <x v="0"/>
    <s v="SPXW"/>
    <x v="1"/>
    <x v="98"/>
    <s v="p"/>
    <n v="0.1"/>
    <n v="0.2"/>
    <n v="0.05"/>
    <n v="0.05"/>
    <n v="158"/>
    <n v="47"/>
    <n v="0.05"/>
    <n v="427"/>
    <n v="0.1"/>
    <n v="0"/>
    <n v="0"/>
    <n v="0"/>
    <n v="0"/>
    <n v="0.51"/>
    <n v="-1.5E-3"/>
    <n v="0"/>
    <n v="-7.4800000000000005E-2"/>
    <n v="1.8700000000000001E-2"/>
    <n v="-2.9999999999999997E-4"/>
    <n v="0"/>
    <n v="0"/>
    <n v="187"/>
    <n v="0.1"/>
    <n v="0"/>
    <n v="0"/>
    <n v="0.11749999999999999"/>
    <n v="419"/>
    <n v="0"/>
  </r>
  <r>
    <x v="0"/>
    <x v="0"/>
    <s v="SPXW"/>
    <x v="1"/>
    <x v="99"/>
    <s v="p"/>
    <n v="0.1"/>
    <n v="0.1"/>
    <n v="0.05"/>
    <n v="0.05"/>
    <n v="12"/>
    <n v="48"/>
    <n v="0.05"/>
    <n v="404"/>
    <n v="0.1"/>
    <n v="0"/>
    <n v="0"/>
    <n v="0"/>
    <n v="0"/>
    <n v="0.50170000000000003"/>
    <n v="-1.5E-3"/>
    <n v="0"/>
    <n v="-7.4800000000000005E-2"/>
    <n v="1.89E-2"/>
    <n v="-2.9999999999999997E-4"/>
    <n v="0"/>
    <n v="0"/>
    <n v="184"/>
    <n v="0.1"/>
    <n v="0"/>
    <n v="0"/>
    <n v="7.4999999999999997E-2"/>
    <n v="744"/>
    <n v="0"/>
  </r>
  <r>
    <x v="0"/>
    <x v="0"/>
    <s v="SPXW"/>
    <x v="1"/>
    <x v="100"/>
    <s v="p"/>
    <n v="0.1"/>
    <n v="0.15"/>
    <n v="0.05"/>
    <n v="0.05"/>
    <n v="43"/>
    <n v="140"/>
    <n v="0.05"/>
    <n v="390"/>
    <n v="0.1"/>
    <n v="0"/>
    <n v="0"/>
    <n v="0"/>
    <n v="0"/>
    <n v="0.4929"/>
    <n v="-1.5E-3"/>
    <n v="0"/>
    <n v="-7.4800000000000005E-2"/>
    <n v="1.9300000000000001E-2"/>
    <n v="-2.9999999999999997E-4"/>
    <n v="19"/>
    <n v="0.05"/>
    <n v="139"/>
    <n v="0.1"/>
    <n v="0"/>
    <n v="0"/>
    <n v="0.12089999999999999"/>
    <n v="41"/>
    <n v="0"/>
  </r>
  <r>
    <x v="0"/>
    <x v="0"/>
    <s v="SPXW"/>
    <x v="1"/>
    <x v="101"/>
    <s v="p"/>
    <n v="0.1"/>
    <n v="0.15"/>
    <n v="0.05"/>
    <n v="0.15"/>
    <n v="63"/>
    <n v="135"/>
    <n v="0.05"/>
    <n v="369"/>
    <n v="0.1"/>
    <n v="0"/>
    <n v="0"/>
    <n v="0"/>
    <n v="0"/>
    <n v="0.48799999999999999"/>
    <n v="-1.5E-3"/>
    <n v="0"/>
    <n v="-7.4800000000000005E-2"/>
    <n v="1.9400000000000001E-2"/>
    <n v="-2.9999999999999997E-4"/>
    <n v="1"/>
    <n v="0.05"/>
    <n v="138"/>
    <n v="0.1"/>
    <n v="0"/>
    <n v="0"/>
    <n v="0.13020000000000001"/>
    <n v="617"/>
    <n v="0"/>
  </r>
  <r>
    <x v="0"/>
    <x v="0"/>
    <s v="SPXW"/>
    <x v="1"/>
    <x v="102"/>
    <s v="p"/>
    <n v="0.1"/>
    <n v="0.2"/>
    <n v="0.05"/>
    <n v="0.05"/>
    <n v="38"/>
    <n v="156"/>
    <n v="0.05"/>
    <n v="348"/>
    <n v="0.1"/>
    <n v="0"/>
    <n v="0"/>
    <n v="0"/>
    <n v="0"/>
    <n v="0.48399999999999999"/>
    <n v="-1.5E-3"/>
    <n v="0"/>
    <n v="-7.4800000000000005E-2"/>
    <n v="1.9599999999999999E-2"/>
    <n v="-2.9999999999999997E-4"/>
    <n v="46"/>
    <n v="0.05"/>
    <n v="139"/>
    <n v="0.1"/>
    <n v="0"/>
    <n v="0"/>
    <n v="0.1197"/>
    <n v="230"/>
    <n v="0"/>
  </r>
  <r>
    <x v="0"/>
    <x v="0"/>
    <s v="SPXW"/>
    <x v="1"/>
    <x v="103"/>
    <s v="p"/>
    <n v="0.2"/>
    <n v="0.2"/>
    <n v="7.0000000000000007E-2"/>
    <n v="7.0000000000000007E-2"/>
    <n v="67"/>
    <n v="184"/>
    <n v="0.05"/>
    <n v="266"/>
    <n v="0.1"/>
    <n v="0"/>
    <n v="0"/>
    <n v="0"/>
    <n v="0"/>
    <n v="0.47520000000000001"/>
    <n v="-1.6000000000000001E-3"/>
    <n v="0"/>
    <n v="-7.4800000000000005E-2"/>
    <n v="1.9900000000000001E-2"/>
    <n v="-2.9999999999999997E-4"/>
    <n v="48"/>
    <n v="0.05"/>
    <n v="24"/>
    <n v="0.1"/>
    <n v="0"/>
    <n v="0"/>
    <n v="0.18010000000000001"/>
    <n v="226"/>
    <n v="0"/>
  </r>
  <r>
    <x v="0"/>
    <x v="0"/>
    <s v="SPXW"/>
    <x v="1"/>
    <x v="104"/>
    <s v="p"/>
    <n v="0.1"/>
    <n v="0.3"/>
    <n v="7.0000000000000007E-2"/>
    <n v="0.1"/>
    <n v="208"/>
    <n v="460"/>
    <n v="0.05"/>
    <n v="278"/>
    <n v="0.1"/>
    <n v="0"/>
    <n v="0"/>
    <n v="0"/>
    <n v="0"/>
    <n v="0.46639999999999998"/>
    <n v="-1.6000000000000001E-3"/>
    <n v="0"/>
    <n v="-7.4800000000000005E-2"/>
    <n v="2.0299999999999999E-2"/>
    <n v="-2.9999999999999997E-4"/>
    <n v="77"/>
    <n v="0.05"/>
    <n v="5"/>
    <n v="0.1"/>
    <n v="0"/>
    <n v="0"/>
    <n v="0.1178"/>
    <n v="839"/>
    <n v="0"/>
  </r>
  <r>
    <x v="0"/>
    <x v="0"/>
    <s v="SPXW"/>
    <x v="1"/>
    <x v="105"/>
    <s v="p"/>
    <n v="0.15"/>
    <n v="0.15"/>
    <n v="0.1"/>
    <n v="0.1"/>
    <n v="206"/>
    <n v="450"/>
    <n v="0.05"/>
    <n v="138"/>
    <n v="0.1"/>
    <n v="0"/>
    <n v="0"/>
    <n v="0"/>
    <n v="0"/>
    <n v="0.45700000000000002"/>
    <n v="-1.6000000000000001E-3"/>
    <n v="0"/>
    <n v="-7.4800000000000005E-2"/>
    <n v="2.07E-2"/>
    <n v="-2.9999999999999997E-4"/>
    <n v="51"/>
    <n v="0.05"/>
    <n v="258"/>
    <n v="0.15"/>
    <n v="0"/>
    <n v="0"/>
    <n v="0.10050000000000001"/>
    <n v="269"/>
    <n v="0"/>
  </r>
  <r>
    <x v="0"/>
    <x v="0"/>
    <s v="SPXW"/>
    <x v="1"/>
    <x v="106"/>
    <s v="p"/>
    <n v="0.1"/>
    <n v="0.25"/>
    <n v="0.1"/>
    <n v="0.1"/>
    <n v="194"/>
    <n v="389"/>
    <n v="0.05"/>
    <n v="109"/>
    <n v="0.1"/>
    <n v="0"/>
    <n v="0"/>
    <n v="0"/>
    <n v="0"/>
    <n v="0.4526"/>
    <n v="-1.6000000000000001E-3"/>
    <n v="0"/>
    <n v="-7.4800000000000005E-2"/>
    <n v="2.0799999999999999E-2"/>
    <n v="-2.9999999999999997E-4"/>
    <n v="51"/>
    <n v="0.05"/>
    <n v="256"/>
    <n v="0.15"/>
    <n v="0"/>
    <n v="0"/>
    <n v="0.17760000000000001"/>
    <n v="181"/>
    <n v="0"/>
  </r>
  <r>
    <x v="0"/>
    <x v="0"/>
    <s v="SPXW"/>
    <x v="1"/>
    <x v="107"/>
    <s v="p"/>
    <n v="0.1"/>
    <n v="0.25"/>
    <n v="0.05"/>
    <n v="0.05"/>
    <n v="102"/>
    <n v="421"/>
    <n v="0.05"/>
    <n v="107"/>
    <n v="0.1"/>
    <n v="0"/>
    <n v="0"/>
    <n v="0"/>
    <n v="0"/>
    <n v="0.44869999999999999"/>
    <n v="-1.6000000000000001E-3"/>
    <n v="0"/>
    <n v="-7.4800000000000005E-2"/>
    <n v="2.1000000000000001E-2"/>
    <n v="-2.9999999999999997E-4"/>
    <n v="92"/>
    <n v="0.05"/>
    <n v="253"/>
    <n v="0.15"/>
    <n v="0"/>
    <n v="0"/>
    <n v="0.1532"/>
    <n v="72"/>
    <n v="0"/>
  </r>
  <r>
    <x v="0"/>
    <x v="0"/>
    <s v="SPXW"/>
    <x v="1"/>
    <x v="108"/>
    <s v="p"/>
    <n v="0.1"/>
    <n v="0.15"/>
    <n v="7.0000000000000007E-2"/>
    <n v="0.1"/>
    <n v="56"/>
    <n v="423"/>
    <n v="0.05"/>
    <n v="100"/>
    <n v="0.1"/>
    <n v="0"/>
    <n v="0"/>
    <n v="0"/>
    <n v="0"/>
    <n v="0.44429999999999997"/>
    <n v="-1.6999999999999999E-3"/>
    <n v="0"/>
    <n v="-7.4800000000000005E-2"/>
    <n v="2.12E-2"/>
    <n v="-2.9999999999999997E-4"/>
    <n v="93"/>
    <n v="0.05"/>
    <n v="250"/>
    <n v="0.15"/>
    <n v="0"/>
    <n v="0"/>
    <n v="8.2100000000000006E-2"/>
    <n v="124"/>
    <n v="0"/>
  </r>
  <r>
    <x v="0"/>
    <x v="0"/>
    <s v="SPXW"/>
    <x v="1"/>
    <x v="109"/>
    <s v="p"/>
    <n v="0.25"/>
    <n v="0.25"/>
    <n v="7.0000000000000007E-2"/>
    <n v="0.1"/>
    <n v="48"/>
    <n v="446"/>
    <n v="0.05"/>
    <n v="80"/>
    <n v="0.1"/>
    <n v="0"/>
    <n v="0"/>
    <n v="0"/>
    <n v="0"/>
    <n v="0.43990000000000001"/>
    <n v="-1.6999999999999999E-3"/>
    <n v="0"/>
    <n v="-7.4800000000000005E-2"/>
    <n v="2.1399999999999999E-2"/>
    <n v="-2.9999999999999997E-4"/>
    <n v="90"/>
    <n v="0.05"/>
    <n v="247"/>
    <n v="0.15"/>
    <n v="0"/>
    <n v="0"/>
    <n v="0.1285"/>
    <n v="64"/>
    <n v="0"/>
  </r>
  <r>
    <x v="0"/>
    <x v="0"/>
    <s v="SPXW"/>
    <x v="1"/>
    <x v="110"/>
    <s v="p"/>
    <n v="0.1"/>
    <n v="0.22"/>
    <n v="7.0000000000000007E-2"/>
    <n v="7.0000000000000007E-2"/>
    <n v="51"/>
    <n v="471"/>
    <n v="0.05"/>
    <n v="56"/>
    <n v="0.1"/>
    <n v="0"/>
    <n v="0"/>
    <n v="0"/>
    <n v="0"/>
    <n v="0.4355"/>
    <n v="-1.6999999999999999E-3"/>
    <n v="0"/>
    <n v="-7.4800000000000005E-2"/>
    <n v="2.1600000000000001E-2"/>
    <n v="-2.9999999999999997E-4"/>
    <n v="89"/>
    <n v="0.05"/>
    <n v="245"/>
    <n v="0.15"/>
    <n v="0"/>
    <n v="0"/>
    <n v="0.13120000000000001"/>
    <n v="9"/>
    <n v="0"/>
  </r>
  <r>
    <x v="0"/>
    <x v="0"/>
    <s v="SPXW"/>
    <x v="1"/>
    <x v="111"/>
    <s v="p"/>
    <n v="0.12"/>
    <n v="0.12"/>
    <n v="0.12"/>
    <n v="0.12"/>
    <n v="4"/>
    <n v="392"/>
    <n v="0.05"/>
    <n v="43"/>
    <n v="0.1"/>
    <n v="0"/>
    <n v="0"/>
    <n v="0"/>
    <n v="0"/>
    <n v="0.43049999999999999"/>
    <n v="-1.6999999999999999E-3"/>
    <n v="0"/>
    <n v="-7.4800000000000005E-2"/>
    <n v="2.18E-2"/>
    <n v="-2.9999999999999997E-4"/>
    <n v="89"/>
    <n v="0.05"/>
    <n v="258"/>
    <n v="0.15"/>
    <n v="0"/>
    <n v="0"/>
    <n v="0.12"/>
    <n v="139"/>
    <n v="0"/>
  </r>
  <r>
    <x v="0"/>
    <x v="0"/>
    <s v="SPXW"/>
    <x v="1"/>
    <x v="112"/>
    <s v="p"/>
    <n v="0.1"/>
    <n v="0.25"/>
    <n v="0.1"/>
    <n v="0.1"/>
    <n v="52"/>
    <n v="418"/>
    <n v="0.05"/>
    <n v="41"/>
    <n v="0.1"/>
    <n v="0"/>
    <n v="0"/>
    <n v="0"/>
    <n v="0"/>
    <n v="0.42659999999999998"/>
    <n v="-1.6999999999999999E-3"/>
    <n v="0"/>
    <n v="-7.4800000000000005E-2"/>
    <n v="2.1999999999999999E-2"/>
    <n v="-2.9999999999999997E-4"/>
    <n v="90"/>
    <n v="0.05"/>
    <n v="254"/>
    <n v="0.15"/>
    <n v="0"/>
    <n v="0"/>
    <n v="0.17879999999999999"/>
    <n v="6"/>
    <n v="0"/>
  </r>
  <r>
    <x v="0"/>
    <x v="0"/>
    <s v="SPXW"/>
    <x v="1"/>
    <x v="113"/>
    <s v="p"/>
    <n v="0.15"/>
    <n v="0.3"/>
    <n v="7.0000000000000007E-2"/>
    <n v="0.1"/>
    <n v="547"/>
    <n v="491"/>
    <n v="0.05"/>
    <n v="9"/>
    <n v="0.1"/>
    <n v="0"/>
    <n v="0"/>
    <n v="0"/>
    <n v="0"/>
    <n v="0.42170000000000002"/>
    <n v="-1.6999999999999999E-3"/>
    <n v="0"/>
    <n v="-7.4800000000000005E-2"/>
    <n v="2.23E-2"/>
    <n v="-2.9999999999999997E-4"/>
    <n v="120"/>
    <n v="0.05"/>
    <n v="5"/>
    <n v="0.1"/>
    <n v="0"/>
    <n v="0"/>
    <n v="0.14199999999999999"/>
    <n v="586"/>
    <n v="0"/>
  </r>
  <r>
    <x v="0"/>
    <x v="0"/>
    <s v="SPXW"/>
    <x v="1"/>
    <x v="114"/>
    <s v="p"/>
    <n v="0.3"/>
    <n v="0.3"/>
    <n v="0.05"/>
    <n v="0.05"/>
    <n v="44"/>
    <n v="435"/>
    <n v="0.05"/>
    <n v="597"/>
    <n v="0.15"/>
    <n v="0"/>
    <n v="0"/>
    <n v="0"/>
    <n v="0"/>
    <n v="0.42880000000000001"/>
    <n v="-2.2000000000000001E-3"/>
    <n v="0"/>
    <n v="-9.98E-2"/>
    <n v="2.7799999999999998E-2"/>
    <n v="-4.0000000000000002E-4"/>
    <n v="91"/>
    <n v="0.05"/>
    <n v="255"/>
    <n v="0.15"/>
    <n v="0"/>
    <n v="0"/>
    <n v="0.27160000000000001"/>
    <n v="134"/>
    <n v="0"/>
  </r>
  <r>
    <x v="0"/>
    <x v="0"/>
    <s v="SPXW"/>
    <x v="1"/>
    <x v="115"/>
    <s v="p"/>
    <n v="0.12"/>
    <n v="0.3"/>
    <n v="0.1"/>
    <n v="0.1"/>
    <n v="59"/>
    <n v="421"/>
    <n v="0.05"/>
    <n v="569"/>
    <n v="0.15"/>
    <n v="0"/>
    <n v="0"/>
    <n v="0"/>
    <n v="0"/>
    <n v="0.42430000000000001"/>
    <n v="-2.3E-3"/>
    <n v="0"/>
    <n v="-9.98E-2"/>
    <n v="2.8000000000000001E-2"/>
    <n v="-4.0000000000000002E-4"/>
    <n v="93"/>
    <n v="0.05"/>
    <n v="196"/>
    <n v="0.15"/>
    <n v="0"/>
    <n v="0"/>
    <n v="0.22539999999999999"/>
    <n v="307"/>
    <n v="0"/>
  </r>
  <r>
    <x v="0"/>
    <x v="0"/>
    <s v="SPXW"/>
    <x v="1"/>
    <x v="116"/>
    <s v="p"/>
    <n v="0.3"/>
    <n v="0.3"/>
    <n v="0.1"/>
    <n v="0.1"/>
    <n v="321"/>
    <n v="414"/>
    <n v="0.05"/>
    <n v="551"/>
    <n v="0.15"/>
    <n v="0"/>
    <n v="0"/>
    <n v="0"/>
    <n v="0"/>
    <n v="0.41980000000000001"/>
    <n v="-2.3E-3"/>
    <n v="0"/>
    <n v="-9.98E-2"/>
    <n v="2.8299999999999999E-2"/>
    <n v="-4.0000000000000002E-4"/>
    <n v="93"/>
    <n v="0.05"/>
    <n v="194"/>
    <n v="0.15"/>
    <n v="0"/>
    <n v="0"/>
    <n v="0.1147"/>
    <n v="35"/>
    <n v="0"/>
  </r>
  <r>
    <x v="0"/>
    <x v="0"/>
    <s v="SPXW"/>
    <x v="1"/>
    <x v="117"/>
    <s v="p"/>
    <n v="0.15"/>
    <n v="0.3"/>
    <n v="0.15"/>
    <n v="0.25"/>
    <n v="33"/>
    <n v="425"/>
    <n v="0.05"/>
    <n v="550"/>
    <n v="0.15"/>
    <n v="0"/>
    <n v="0"/>
    <n v="0"/>
    <n v="0"/>
    <n v="0.41520000000000001"/>
    <n v="-2.3E-3"/>
    <n v="1E-4"/>
    <n v="-9.98E-2"/>
    <n v="2.86E-2"/>
    <n v="-4.0000000000000002E-4"/>
    <n v="191"/>
    <n v="0.05"/>
    <n v="196"/>
    <n v="0.15"/>
    <n v="0"/>
    <n v="0"/>
    <n v="0.2409"/>
    <n v="202"/>
    <n v="0"/>
  </r>
  <r>
    <x v="0"/>
    <x v="0"/>
    <s v="SPXW"/>
    <x v="1"/>
    <x v="118"/>
    <s v="p"/>
    <n v="0.15"/>
    <n v="0.25"/>
    <n v="0.05"/>
    <n v="0.1"/>
    <n v="281"/>
    <n v="459"/>
    <n v="0.05"/>
    <n v="14"/>
    <n v="0.1"/>
    <n v="0"/>
    <n v="0"/>
    <n v="0"/>
    <n v="0"/>
    <n v="0.39960000000000001"/>
    <n v="-1.8E-3"/>
    <n v="0"/>
    <n v="-7.4800000000000005E-2"/>
    <n v="2.3400000000000001E-2"/>
    <n v="-4.0000000000000002E-4"/>
    <n v="241"/>
    <n v="0.05"/>
    <n v="194"/>
    <n v="0.15"/>
    <n v="0"/>
    <n v="0"/>
    <n v="0.14760000000000001"/>
    <n v="682"/>
    <n v="0"/>
  </r>
  <r>
    <x v="0"/>
    <x v="0"/>
    <s v="SPXW"/>
    <x v="1"/>
    <x v="119"/>
    <s v="p"/>
    <n v="0.12"/>
    <n v="0.3"/>
    <n v="0.12"/>
    <n v="0.3"/>
    <n v="15"/>
    <n v="426"/>
    <n v="0.05"/>
    <n v="568"/>
    <n v="0.15"/>
    <n v="0"/>
    <n v="0"/>
    <n v="0"/>
    <n v="0"/>
    <n v="0.40620000000000001"/>
    <n v="-2.3E-3"/>
    <n v="1E-4"/>
    <n v="-9.98E-2"/>
    <n v="2.92E-2"/>
    <n v="-5.0000000000000001E-4"/>
    <n v="216"/>
    <n v="0.05"/>
    <n v="195"/>
    <n v="0.15"/>
    <n v="0"/>
    <n v="0"/>
    <n v="0.24"/>
    <n v="160"/>
    <n v="0"/>
  </r>
  <r>
    <x v="0"/>
    <x v="0"/>
    <s v="SPXW"/>
    <x v="1"/>
    <x v="120"/>
    <s v="p"/>
    <n v="0.15"/>
    <n v="0.35"/>
    <n v="0.1"/>
    <n v="0.1"/>
    <n v="40"/>
    <n v="437"/>
    <n v="0.05"/>
    <n v="559"/>
    <n v="0.15"/>
    <n v="0"/>
    <n v="0"/>
    <n v="0"/>
    <n v="0"/>
    <n v="0.4017"/>
    <n v="-2.3999999999999998E-3"/>
    <n v="1E-4"/>
    <n v="-9.98E-2"/>
    <n v="2.9499999999999998E-2"/>
    <n v="-5.0000000000000001E-4"/>
    <n v="218"/>
    <n v="0.05"/>
    <n v="191"/>
    <n v="0.15"/>
    <n v="0"/>
    <n v="0"/>
    <n v="0.247"/>
    <n v="131"/>
    <n v="0"/>
  </r>
  <r>
    <x v="0"/>
    <x v="0"/>
    <s v="SPXW"/>
    <x v="1"/>
    <x v="121"/>
    <s v="p"/>
    <n v="0.15"/>
    <n v="0.35"/>
    <n v="0.1"/>
    <n v="0.1"/>
    <n v="54"/>
    <n v="460"/>
    <n v="0.05"/>
    <n v="557"/>
    <n v="0.15"/>
    <n v="0"/>
    <n v="0"/>
    <n v="0"/>
    <n v="0"/>
    <n v="0.3972"/>
    <n v="-2.3999999999999998E-3"/>
    <n v="1E-4"/>
    <n v="-9.98E-2"/>
    <n v="2.98E-2"/>
    <n v="-5.0000000000000001E-4"/>
    <n v="292"/>
    <n v="0.05"/>
    <n v="187"/>
    <n v="0.15"/>
    <n v="0"/>
    <n v="0"/>
    <n v="0.27479999999999999"/>
    <n v="154"/>
    <n v="0"/>
  </r>
  <r>
    <x v="0"/>
    <x v="0"/>
    <s v="SPXW"/>
    <x v="1"/>
    <x v="122"/>
    <s v="p"/>
    <n v="0.15"/>
    <n v="0.3"/>
    <n v="0.15"/>
    <n v="0.3"/>
    <n v="106"/>
    <n v="446"/>
    <n v="0.05"/>
    <n v="562"/>
    <n v="0.15"/>
    <n v="0"/>
    <n v="0"/>
    <n v="0"/>
    <n v="0"/>
    <n v="0.39269999999999999"/>
    <n v="-2.3999999999999998E-3"/>
    <n v="1E-4"/>
    <n v="-9.98E-2"/>
    <n v="3.0099999999999998E-2"/>
    <n v="-5.0000000000000001E-4"/>
    <n v="394"/>
    <n v="0.05"/>
    <n v="189"/>
    <n v="0.15"/>
    <n v="0"/>
    <n v="0"/>
    <n v="0.2321"/>
    <n v="112"/>
    <n v="0"/>
  </r>
  <r>
    <x v="0"/>
    <x v="0"/>
    <s v="SPXW"/>
    <x v="1"/>
    <x v="123"/>
    <s v="p"/>
    <n v="0.15"/>
    <n v="0.35"/>
    <n v="0.05"/>
    <n v="0.1"/>
    <n v="723"/>
    <n v="33"/>
    <n v="0.1"/>
    <n v="504"/>
    <n v="0.15"/>
    <n v="0"/>
    <n v="0"/>
    <n v="0"/>
    <n v="0"/>
    <n v="0.38790000000000002"/>
    <n v="-2.3999999999999998E-3"/>
    <n v="1E-4"/>
    <n v="-9.98E-2"/>
    <n v="3.04E-2"/>
    <n v="-5.0000000000000001E-4"/>
    <n v="376"/>
    <n v="0.05"/>
    <n v="4"/>
    <n v="0.1"/>
    <n v="0"/>
    <n v="0"/>
    <n v="0.16650000000000001"/>
    <n v="5964"/>
    <n v="0"/>
  </r>
  <r>
    <x v="0"/>
    <x v="0"/>
    <s v="SPXW"/>
    <x v="1"/>
    <x v="124"/>
    <s v="p"/>
    <n v="0.15"/>
    <n v="0.15"/>
    <n v="0.13"/>
    <n v="0.13"/>
    <n v="55"/>
    <n v="37"/>
    <n v="0.1"/>
    <n v="454"/>
    <n v="0.15"/>
    <n v="0"/>
    <n v="0"/>
    <n v="0"/>
    <n v="0"/>
    <n v="0.39169999999999999"/>
    <n v="-3.0000000000000001E-3"/>
    <n v="1E-4"/>
    <n v="-0.12470000000000001"/>
    <n v="3.61E-2"/>
    <n v="-5.9999999999999995E-4"/>
    <n v="368"/>
    <n v="0.05"/>
    <n v="172"/>
    <n v="0.15"/>
    <n v="0"/>
    <n v="0"/>
    <n v="0.13619999999999999"/>
    <n v="336"/>
    <n v="0"/>
  </r>
  <r>
    <x v="0"/>
    <x v="0"/>
    <s v="SPXW"/>
    <x v="1"/>
    <x v="125"/>
    <s v="p"/>
    <n v="0.15"/>
    <n v="0.4"/>
    <n v="0.1"/>
    <n v="0.15"/>
    <n v="133"/>
    <n v="41"/>
    <n v="0.1"/>
    <n v="389"/>
    <n v="0.15"/>
    <n v="0"/>
    <n v="0"/>
    <n v="0"/>
    <n v="0"/>
    <n v="0.3871"/>
    <n v="-3.0000000000000001E-3"/>
    <n v="1E-4"/>
    <n v="-0.12470000000000001"/>
    <n v="3.6499999999999998E-2"/>
    <n v="-5.9999999999999995E-4"/>
    <n v="411"/>
    <n v="0.05"/>
    <n v="176"/>
    <n v="0.15"/>
    <n v="0"/>
    <n v="0"/>
    <n v="0.21199999999999999"/>
    <n v="404"/>
    <n v="0"/>
  </r>
  <r>
    <x v="0"/>
    <x v="0"/>
    <s v="SPXW"/>
    <x v="1"/>
    <x v="126"/>
    <s v="p"/>
    <n v="0.15"/>
    <n v="0.35"/>
    <n v="0.1"/>
    <n v="0.1"/>
    <n v="53"/>
    <n v="45"/>
    <n v="0.1"/>
    <n v="347"/>
    <n v="0.15"/>
    <n v="0"/>
    <n v="0"/>
    <n v="0"/>
    <n v="0"/>
    <n v="0.38250000000000001"/>
    <n v="-3.0000000000000001E-3"/>
    <n v="1E-4"/>
    <n v="-0.12470000000000001"/>
    <n v="3.6900000000000002E-2"/>
    <n v="-5.9999999999999995E-4"/>
    <n v="340"/>
    <n v="0.05"/>
    <n v="171"/>
    <n v="0.15"/>
    <n v="0"/>
    <n v="0"/>
    <n v="0.29530000000000001"/>
    <n v="164"/>
    <n v="0"/>
  </r>
  <r>
    <x v="0"/>
    <x v="0"/>
    <s v="SPXW"/>
    <x v="1"/>
    <x v="127"/>
    <s v="p"/>
    <n v="0.15"/>
    <n v="0.35"/>
    <n v="0.1"/>
    <n v="0.1"/>
    <n v="93"/>
    <n v="45"/>
    <n v="0.1"/>
    <n v="345"/>
    <n v="0.15"/>
    <n v="0"/>
    <n v="0"/>
    <n v="0"/>
    <n v="0"/>
    <n v="0.37790000000000001"/>
    <n v="-3.0999999999999999E-3"/>
    <n v="1E-4"/>
    <n v="-0.12470000000000001"/>
    <n v="3.73E-2"/>
    <n v="-5.9999999999999995E-4"/>
    <n v="367"/>
    <n v="0.05"/>
    <n v="168"/>
    <n v="0.15"/>
    <n v="0"/>
    <n v="0"/>
    <n v="0.30399999999999999"/>
    <n v="247"/>
    <n v="0"/>
  </r>
  <r>
    <x v="0"/>
    <x v="0"/>
    <s v="SPXW"/>
    <x v="1"/>
    <x v="128"/>
    <s v="p"/>
    <n v="0.2"/>
    <n v="0.5"/>
    <n v="0.1"/>
    <n v="0.1"/>
    <n v="45"/>
    <n v="49"/>
    <n v="0.1"/>
    <n v="336"/>
    <n v="0.15"/>
    <n v="0"/>
    <n v="0"/>
    <n v="0"/>
    <n v="0"/>
    <n v="0.37330000000000002"/>
    <n v="-3.0999999999999999E-3"/>
    <n v="1E-4"/>
    <n v="-0.12470000000000001"/>
    <n v="3.78E-2"/>
    <n v="-5.9999999999999995E-4"/>
    <n v="371"/>
    <n v="0.05"/>
    <n v="168"/>
    <n v="0.15"/>
    <n v="0"/>
    <n v="0"/>
    <n v="0.2702"/>
    <n v="436"/>
    <n v="0"/>
  </r>
  <r>
    <x v="0"/>
    <x v="0"/>
    <s v="SPXW"/>
    <x v="1"/>
    <x v="129"/>
    <s v="p"/>
    <n v="0.38"/>
    <n v="0.5"/>
    <n v="0.1"/>
    <n v="0.1"/>
    <n v="49"/>
    <n v="142"/>
    <n v="0.1"/>
    <n v="329"/>
    <n v="0.15"/>
    <n v="0"/>
    <n v="0"/>
    <n v="0"/>
    <n v="0"/>
    <n v="0.36840000000000001"/>
    <n v="-3.0999999999999999E-3"/>
    <n v="1E-4"/>
    <n v="-0.12470000000000001"/>
    <n v="3.8199999999999998E-2"/>
    <n v="-5.9999999999999995E-4"/>
    <n v="370"/>
    <n v="0.05"/>
    <n v="180"/>
    <n v="0.15"/>
    <n v="0"/>
    <n v="0"/>
    <n v="0.34710000000000002"/>
    <n v="181"/>
    <n v="0"/>
  </r>
  <r>
    <x v="0"/>
    <x v="0"/>
    <s v="SPXW"/>
    <x v="1"/>
    <x v="130"/>
    <s v="p"/>
    <n v="0.35"/>
    <n v="0.35"/>
    <n v="0.15"/>
    <n v="0.15"/>
    <n v="14"/>
    <n v="139"/>
    <n v="0.1"/>
    <n v="252"/>
    <n v="0.15"/>
    <n v="0"/>
    <n v="0"/>
    <n v="0"/>
    <n v="0"/>
    <n v="0.36430000000000001"/>
    <n v="-3.2000000000000002E-3"/>
    <n v="1E-4"/>
    <n v="-0.12470000000000001"/>
    <n v="3.8600000000000002E-2"/>
    <n v="-5.9999999999999995E-4"/>
    <n v="353"/>
    <n v="0.05"/>
    <n v="151"/>
    <n v="0.15"/>
    <n v="0"/>
    <n v="0"/>
    <n v="0.32140000000000002"/>
    <n v="246"/>
    <n v="0"/>
  </r>
  <r>
    <x v="0"/>
    <x v="0"/>
    <s v="SPXW"/>
    <x v="1"/>
    <x v="131"/>
    <s v="p"/>
    <n v="0.25"/>
    <n v="0.37"/>
    <n v="0.1"/>
    <n v="0.1"/>
    <n v="62"/>
    <n v="160"/>
    <n v="0.1"/>
    <n v="200"/>
    <n v="0.15"/>
    <n v="0"/>
    <n v="0"/>
    <n v="0"/>
    <n v="0"/>
    <n v="0.35970000000000002"/>
    <n v="-3.2000000000000002E-3"/>
    <n v="1E-4"/>
    <n v="-0.12470000000000001"/>
    <n v="3.9100000000000003E-2"/>
    <n v="-5.9999999999999995E-4"/>
    <n v="352"/>
    <n v="0.05"/>
    <n v="150"/>
    <n v="0.15"/>
    <n v="0"/>
    <n v="0"/>
    <n v="0.16950000000000001"/>
    <n v="180"/>
    <n v="0"/>
  </r>
  <r>
    <x v="0"/>
    <x v="0"/>
    <s v="SPXW"/>
    <x v="1"/>
    <x v="132"/>
    <s v="p"/>
    <n v="0.2"/>
    <n v="0.35"/>
    <n v="0.1"/>
    <n v="0.1"/>
    <n v="19"/>
    <n v="253"/>
    <n v="0.1"/>
    <n v="79"/>
    <n v="0.15"/>
    <n v="0"/>
    <n v="0"/>
    <n v="0"/>
    <n v="0"/>
    <n v="0.35499999999999998"/>
    <n v="-3.2000000000000002E-3"/>
    <n v="1E-4"/>
    <n v="-0.12470000000000001"/>
    <n v="3.95E-2"/>
    <n v="-5.9999999999999995E-4"/>
    <n v="316"/>
    <n v="0.05"/>
    <n v="99"/>
    <n v="0.15"/>
    <n v="0"/>
    <n v="0"/>
    <n v="0.21160000000000001"/>
    <n v="167"/>
    <n v="0"/>
  </r>
  <r>
    <x v="0"/>
    <x v="0"/>
    <s v="SPXW"/>
    <x v="1"/>
    <x v="133"/>
    <s v="p"/>
    <n v="0.2"/>
    <n v="0.5"/>
    <n v="0.1"/>
    <n v="0.1"/>
    <n v="504"/>
    <n v="436"/>
    <n v="0.1"/>
    <n v="140"/>
    <n v="0.15"/>
    <n v="0"/>
    <n v="0"/>
    <n v="0"/>
    <n v="0"/>
    <n v="0.35039999999999999"/>
    <n v="-3.3E-3"/>
    <n v="1E-4"/>
    <n v="-0.12470000000000001"/>
    <n v="0.04"/>
    <n v="-5.9999999999999995E-4"/>
    <n v="290"/>
    <n v="0.05"/>
    <n v="71"/>
    <n v="0.15"/>
    <n v="0"/>
    <n v="0"/>
    <n v="0.217"/>
    <n v="894"/>
    <n v="0"/>
  </r>
  <r>
    <x v="0"/>
    <x v="0"/>
    <s v="SPXW"/>
    <x v="1"/>
    <x v="134"/>
    <s v="p"/>
    <n v="0.25"/>
    <n v="0.5"/>
    <n v="0.12"/>
    <n v="0.12"/>
    <n v="56"/>
    <n v="397"/>
    <n v="0.1"/>
    <n v="66"/>
    <n v="0.15"/>
    <n v="0"/>
    <n v="0"/>
    <n v="0"/>
    <n v="0"/>
    <n v="0.34549999999999997"/>
    <n v="-3.3E-3"/>
    <n v="1E-4"/>
    <n v="-0.12470000000000001"/>
    <n v="4.0500000000000001E-2"/>
    <n v="-5.9999999999999995E-4"/>
    <n v="272"/>
    <n v="0.05"/>
    <n v="71"/>
    <n v="0.15"/>
    <n v="0"/>
    <n v="0"/>
    <n v="0.34410000000000002"/>
    <n v="304"/>
    <n v="0"/>
  </r>
  <r>
    <x v="0"/>
    <x v="0"/>
    <s v="SPXW"/>
    <x v="1"/>
    <x v="135"/>
    <s v="p"/>
    <n v="0.25"/>
    <n v="0.6"/>
    <n v="0.1"/>
    <n v="0.1"/>
    <n v="189"/>
    <n v="451"/>
    <n v="0.1"/>
    <n v="514"/>
    <n v="0.2"/>
    <n v="0"/>
    <n v="0"/>
    <n v="0"/>
    <n v="0"/>
    <n v="0.34749999999999998"/>
    <n v="-3.8999999999999998E-3"/>
    <n v="1E-4"/>
    <n v="-0.14960000000000001"/>
    <n v="4.6600000000000003E-2"/>
    <n v="-8.0000000000000004E-4"/>
    <n v="275"/>
    <n v="0.05"/>
    <n v="72"/>
    <n v="0.15"/>
    <n v="0"/>
    <n v="0"/>
    <n v="0.316"/>
    <n v="225"/>
    <n v="0"/>
  </r>
  <r>
    <x v="0"/>
    <x v="0"/>
    <s v="SPXW"/>
    <x v="1"/>
    <x v="136"/>
    <s v="p"/>
    <n v="0.27"/>
    <n v="0.6"/>
    <n v="0.12"/>
    <n v="0.12"/>
    <n v="73"/>
    <n v="383"/>
    <n v="0.1"/>
    <n v="539"/>
    <n v="0.2"/>
    <n v="0"/>
    <n v="0"/>
    <n v="0"/>
    <n v="0"/>
    <n v="0.34279999999999999"/>
    <n v="-4.0000000000000001E-3"/>
    <n v="1E-4"/>
    <n v="-0.14960000000000001"/>
    <n v="4.7199999999999999E-2"/>
    <n v="-8.0000000000000004E-4"/>
    <n v="273"/>
    <n v="0.05"/>
    <n v="72"/>
    <n v="0.15"/>
    <n v="0"/>
    <n v="0"/>
    <n v="0.42770000000000002"/>
    <n v="261"/>
    <n v="0"/>
  </r>
  <r>
    <x v="0"/>
    <x v="0"/>
    <s v="SPXW"/>
    <x v="1"/>
    <x v="137"/>
    <s v="p"/>
    <n v="0.27"/>
    <n v="0.6"/>
    <n v="0.15"/>
    <n v="0.15"/>
    <n v="193"/>
    <n v="381"/>
    <n v="0.1"/>
    <n v="557"/>
    <n v="0.2"/>
    <n v="0"/>
    <n v="0"/>
    <n v="0"/>
    <n v="0"/>
    <n v="0.33810000000000001"/>
    <n v="-4.0000000000000001E-3"/>
    <n v="1E-4"/>
    <n v="-0.14960000000000001"/>
    <n v="4.7800000000000002E-2"/>
    <n v="-8.0000000000000004E-4"/>
    <n v="272"/>
    <n v="0.05"/>
    <n v="72"/>
    <n v="0.15"/>
    <n v="0"/>
    <n v="0"/>
    <n v="0.40749999999999997"/>
    <n v="193"/>
    <n v="0"/>
  </r>
  <r>
    <x v="0"/>
    <x v="0"/>
    <s v="SPXW"/>
    <x v="1"/>
    <x v="138"/>
    <s v="p"/>
    <n v="0.25"/>
    <n v="0.65"/>
    <n v="0.1"/>
    <n v="0.1"/>
    <n v="349"/>
    <n v="436"/>
    <n v="0.1"/>
    <n v="555"/>
    <n v="0.2"/>
    <n v="0"/>
    <n v="0"/>
    <n v="0"/>
    <n v="0"/>
    <n v="0.33339999999999997"/>
    <n v="-4.1000000000000003E-3"/>
    <n v="1E-4"/>
    <n v="-0.14960000000000001"/>
    <n v="4.8399999999999999E-2"/>
    <n v="-8.0000000000000004E-4"/>
    <n v="40"/>
    <n v="0.1"/>
    <n v="73"/>
    <n v="0.15"/>
    <n v="0"/>
    <n v="0"/>
    <n v="0.24740000000000001"/>
    <n v="467"/>
    <n v="0"/>
  </r>
  <r>
    <x v="0"/>
    <x v="0"/>
    <s v="SPXW"/>
    <x v="1"/>
    <x v="139"/>
    <s v="p"/>
    <n v="0.22"/>
    <n v="0.55000000000000004"/>
    <n v="0.1"/>
    <n v="0.1"/>
    <n v="109"/>
    <n v="436"/>
    <n v="0.1"/>
    <n v="520"/>
    <n v="0.2"/>
    <n v="0"/>
    <n v="0"/>
    <n v="0"/>
    <n v="0"/>
    <n v="0.32869999999999999"/>
    <n v="-4.1000000000000003E-3"/>
    <n v="1E-4"/>
    <n v="-0.14960000000000001"/>
    <n v="4.9000000000000002E-2"/>
    <n v="-8.0000000000000004E-4"/>
    <n v="41"/>
    <n v="0.1"/>
    <n v="49"/>
    <n v="0.15"/>
    <n v="0"/>
    <n v="0"/>
    <n v="0.37869999999999998"/>
    <n v="278"/>
    <n v="0"/>
  </r>
  <r>
    <x v="0"/>
    <x v="0"/>
    <s v="SPXW"/>
    <x v="1"/>
    <x v="140"/>
    <s v="p"/>
    <n v="0.24"/>
    <n v="0.7"/>
    <n v="0.05"/>
    <n v="0.1"/>
    <n v="246"/>
    <n v="502"/>
    <n v="0.1"/>
    <n v="495"/>
    <n v="0.2"/>
    <n v="0"/>
    <n v="0"/>
    <n v="0"/>
    <n v="0"/>
    <n v="0.32350000000000001"/>
    <n v="-4.1999999999999997E-3"/>
    <n v="1E-4"/>
    <n v="-0.14960000000000001"/>
    <n v="4.9700000000000001E-2"/>
    <n v="-8.0000000000000004E-4"/>
    <n v="41"/>
    <n v="0.1"/>
    <n v="50"/>
    <n v="0.15"/>
    <n v="0"/>
    <n v="0"/>
    <n v="0.33760000000000001"/>
    <n v="240"/>
    <n v="0"/>
  </r>
  <r>
    <x v="0"/>
    <x v="0"/>
    <s v="SPXW"/>
    <x v="1"/>
    <x v="141"/>
    <s v="p"/>
    <n v="0.25"/>
    <n v="0.75"/>
    <n v="0.15"/>
    <n v="0.15"/>
    <n v="1189"/>
    <n v="30"/>
    <n v="0.15"/>
    <n v="352"/>
    <n v="0.2"/>
    <n v="0"/>
    <n v="0"/>
    <n v="0"/>
    <n v="0"/>
    <n v="0.32440000000000002"/>
    <n v="-4.7999999999999996E-3"/>
    <n v="1E-4"/>
    <n v="-0.17460000000000001"/>
    <n v="5.6000000000000001E-2"/>
    <n v="-8.9999999999999998E-4"/>
    <n v="42"/>
    <n v="0.1"/>
    <n v="99"/>
    <n v="0.15"/>
    <n v="0"/>
    <n v="0"/>
    <n v="0.27510000000000001"/>
    <n v="215"/>
    <n v="0"/>
  </r>
  <r>
    <x v="0"/>
    <x v="0"/>
    <s v="SPXW"/>
    <x v="1"/>
    <x v="142"/>
    <s v="p"/>
    <n v="0.3"/>
    <n v="0.95"/>
    <n v="0.1"/>
    <n v="0.1"/>
    <n v="101"/>
    <n v="31"/>
    <n v="0.15"/>
    <n v="340"/>
    <n v="0.2"/>
    <n v="0"/>
    <n v="0"/>
    <n v="0"/>
    <n v="0"/>
    <n v="0.3196"/>
    <n v="-4.7999999999999996E-3"/>
    <n v="1E-4"/>
    <n v="-0.17460000000000001"/>
    <n v="5.6800000000000003E-2"/>
    <n v="-8.9999999999999998E-4"/>
    <n v="72"/>
    <n v="0.1"/>
    <n v="69"/>
    <n v="0.15"/>
    <n v="0"/>
    <n v="0"/>
    <n v="0.39190000000000003"/>
    <n v="264"/>
    <n v="0"/>
  </r>
  <r>
    <x v="0"/>
    <x v="0"/>
    <s v="SPXW"/>
    <x v="1"/>
    <x v="143"/>
    <s v="p"/>
    <n v="0.32"/>
    <n v="0.8"/>
    <n v="0.1"/>
    <n v="0.1"/>
    <n v="16559"/>
    <n v="51"/>
    <n v="0.15"/>
    <n v="338"/>
    <n v="0.2"/>
    <n v="0"/>
    <n v="0"/>
    <n v="0"/>
    <n v="0"/>
    <n v="0.31480000000000002"/>
    <n v="-4.8999999999999998E-3"/>
    <n v="1E-4"/>
    <n v="-0.17460000000000001"/>
    <n v="5.7599999999999998E-2"/>
    <n v="-8.9999999999999998E-4"/>
    <n v="74"/>
    <n v="0.1"/>
    <n v="51"/>
    <n v="0.15"/>
    <n v="0"/>
    <n v="0"/>
    <n v="0.32700000000000001"/>
    <n v="909"/>
    <n v="0"/>
  </r>
  <r>
    <x v="0"/>
    <x v="0"/>
    <s v="SPXW"/>
    <x v="1"/>
    <x v="144"/>
    <s v="p"/>
    <n v="0.32"/>
    <n v="0.65"/>
    <n v="0.15"/>
    <n v="0.15"/>
    <n v="79"/>
    <n v="91"/>
    <n v="0.15"/>
    <n v="174"/>
    <n v="0.2"/>
    <n v="0"/>
    <n v="0"/>
    <n v="0"/>
    <n v="0"/>
    <n v="0.31030000000000002"/>
    <n v="-5.0000000000000001E-3"/>
    <n v="1E-4"/>
    <n v="-0.17460000000000001"/>
    <n v="5.8299999999999998E-2"/>
    <n v="-1E-3"/>
    <n v="109"/>
    <n v="0.1"/>
    <n v="173"/>
    <n v="0.2"/>
    <n v="0"/>
    <n v="0"/>
    <n v="0.41249999999999998"/>
    <n v="328"/>
    <n v="0"/>
  </r>
  <r>
    <x v="0"/>
    <x v="0"/>
    <s v="SPXW"/>
    <x v="1"/>
    <x v="145"/>
    <s v="p"/>
    <n v="0.32"/>
    <n v="0.7"/>
    <n v="0.1"/>
    <n v="0.15"/>
    <n v="3349"/>
    <n v="116"/>
    <n v="0.15"/>
    <n v="131"/>
    <n v="0.2"/>
    <n v="0"/>
    <n v="0"/>
    <n v="0"/>
    <n v="0"/>
    <n v="0.30549999999999999"/>
    <n v="-5.0000000000000001E-3"/>
    <n v="1E-4"/>
    <n v="-0.17460000000000001"/>
    <n v="5.91E-2"/>
    <n v="-1E-3"/>
    <n v="118"/>
    <n v="0.1"/>
    <n v="404"/>
    <n v="0.15"/>
    <n v="0"/>
    <n v="0"/>
    <n v="0.246"/>
    <n v="405"/>
    <n v="0"/>
  </r>
  <r>
    <x v="0"/>
    <x v="0"/>
    <s v="SPXW"/>
    <x v="1"/>
    <x v="146"/>
    <s v="p"/>
    <n v="0.37"/>
    <n v="0.67"/>
    <n v="0.15"/>
    <n v="0.15"/>
    <n v="181"/>
    <n v="264"/>
    <n v="0.15"/>
    <n v="88"/>
    <n v="0.2"/>
    <n v="0"/>
    <n v="0"/>
    <n v="0"/>
    <n v="0"/>
    <n v="0.30070000000000002"/>
    <n v="-5.1000000000000004E-3"/>
    <n v="1E-4"/>
    <n v="-0.17460000000000001"/>
    <n v="0.06"/>
    <n v="-1E-3"/>
    <n v="180"/>
    <n v="0.1"/>
    <n v="169"/>
    <n v="0.2"/>
    <n v="0"/>
    <n v="0"/>
    <n v="0.3967"/>
    <n v="2225"/>
    <n v="0"/>
  </r>
  <r>
    <x v="0"/>
    <x v="0"/>
    <s v="SPXW"/>
    <x v="1"/>
    <x v="147"/>
    <s v="p"/>
    <n v="0.28000000000000003"/>
    <n v="0.95"/>
    <n v="0.1"/>
    <n v="0.1"/>
    <n v="148"/>
    <n v="447"/>
    <n v="0.15"/>
    <n v="499"/>
    <n v="0.25"/>
    <n v="0"/>
    <n v="0"/>
    <n v="0"/>
    <n v="0"/>
    <n v="0.29970000000000002"/>
    <n v="-5.7999999999999996E-3"/>
    <n v="1E-4"/>
    <n v="-0.19939999999999999"/>
    <n v="6.6900000000000001E-2"/>
    <n v="-1.1000000000000001E-3"/>
    <n v="250"/>
    <n v="0.1"/>
    <n v="171"/>
    <n v="0.2"/>
    <n v="0"/>
    <n v="0"/>
    <n v="0.36890000000000001"/>
    <n v="603"/>
    <n v="0"/>
  </r>
  <r>
    <x v="0"/>
    <x v="0"/>
    <s v="SPXW"/>
    <x v="1"/>
    <x v="148"/>
    <s v="p"/>
    <n v="0.35"/>
    <n v="0.91"/>
    <n v="0.15"/>
    <n v="0.15"/>
    <n v="8358"/>
    <n v="541"/>
    <n v="0.15"/>
    <n v="483"/>
    <n v="0.25"/>
    <n v="0"/>
    <n v="0"/>
    <n v="0"/>
    <n v="0"/>
    <n v="0.2949"/>
    <n v="-5.8999999999999999E-3"/>
    <n v="2.0000000000000001E-4"/>
    <n v="-0.19950000000000001"/>
    <n v="6.7799999999999999E-2"/>
    <n v="-1.1000000000000001E-3"/>
    <n v="259"/>
    <n v="0.1"/>
    <n v="175"/>
    <n v="0.2"/>
    <n v="0"/>
    <n v="0"/>
    <n v="0.30059999999999998"/>
    <n v="739"/>
    <n v="0"/>
  </r>
  <r>
    <x v="0"/>
    <x v="0"/>
    <s v="SPXW"/>
    <x v="1"/>
    <x v="149"/>
    <s v="p"/>
    <n v="0.41"/>
    <n v="0.8"/>
    <n v="0.15"/>
    <n v="0.15"/>
    <n v="152"/>
    <n v="511"/>
    <n v="0.15"/>
    <n v="485"/>
    <n v="0.25"/>
    <n v="0"/>
    <n v="0"/>
    <n v="0"/>
    <n v="0"/>
    <n v="0.29060000000000002"/>
    <n v="-6.0000000000000001E-3"/>
    <n v="2.0000000000000001E-4"/>
    <n v="-0.19950000000000001"/>
    <n v="6.8699999999999997E-2"/>
    <n v="-1.1000000000000001E-3"/>
    <n v="273"/>
    <n v="0.1"/>
    <n v="114"/>
    <n v="0.2"/>
    <n v="0"/>
    <n v="0"/>
    <n v="0.39700000000000002"/>
    <n v="193"/>
    <n v="0"/>
  </r>
  <r>
    <x v="0"/>
    <x v="0"/>
    <s v="SPXW"/>
    <x v="1"/>
    <x v="150"/>
    <s v="p"/>
    <n v="0.35"/>
    <n v="0.7"/>
    <n v="0.12"/>
    <n v="0.15"/>
    <n v="3244"/>
    <n v="545"/>
    <n v="0.15"/>
    <n v="361"/>
    <n v="0.25"/>
    <n v="0"/>
    <n v="0"/>
    <n v="0"/>
    <n v="0"/>
    <n v="0.28520000000000001"/>
    <n v="-6.1000000000000004E-3"/>
    <n v="2.0000000000000001E-4"/>
    <n v="-0.19950000000000001"/>
    <n v="6.9900000000000004E-2"/>
    <n v="-1.1999999999999999E-3"/>
    <n v="361"/>
    <n v="0.1"/>
    <n v="110"/>
    <n v="0.2"/>
    <n v="0"/>
    <n v="0"/>
    <n v="0.31080000000000002"/>
    <n v="167"/>
    <n v="0"/>
  </r>
  <r>
    <x v="0"/>
    <x v="0"/>
    <s v="SPXW"/>
    <x v="1"/>
    <x v="151"/>
    <s v="p"/>
    <n v="0.4"/>
    <n v="0.75"/>
    <n v="0.12"/>
    <n v="0.16"/>
    <n v="1905"/>
    <n v="57"/>
    <n v="0.2"/>
    <n v="318"/>
    <n v="0.25"/>
    <n v="0"/>
    <n v="0"/>
    <n v="0"/>
    <n v="0"/>
    <n v="0.28439999999999999"/>
    <n v="-6.7999999999999996E-3"/>
    <n v="2.0000000000000001E-4"/>
    <n v="-0.22450000000000001"/>
    <n v="7.6700000000000004E-2"/>
    <n v="-1.2999999999999999E-3"/>
    <n v="405"/>
    <n v="0.1"/>
    <n v="49"/>
    <n v="0.2"/>
    <n v="0"/>
    <n v="0"/>
    <n v="0.1817"/>
    <n v="510"/>
    <n v="0"/>
  </r>
  <r>
    <x v="0"/>
    <x v="0"/>
    <s v="SPXW"/>
    <x v="1"/>
    <x v="152"/>
    <s v="p"/>
    <n v="0.45"/>
    <n v="0.9"/>
    <n v="0.15"/>
    <n v="0.2"/>
    <n v="283"/>
    <n v="50"/>
    <n v="0.2"/>
    <n v="194"/>
    <n v="0.25"/>
    <n v="0"/>
    <n v="0"/>
    <n v="0"/>
    <n v="0"/>
    <n v="0.2797"/>
    <n v="-6.8999999999999999E-3"/>
    <n v="2.0000000000000001E-4"/>
    <n v="-0.22450000000000001"/>
    <n v="7.7799999999999994E-2"/>
    <n v="-1.2999999999999999E-3"/>
    <n v="364"/>
    <n v="0.1"/>
    <n v="49"/>
    <n v="0.2"/>
    <n v="0"/>
    <n v="0"/>
    <n v="0.30220000000000002"/>
    <n v="80"/>
    <n v="0"/>
  </r>
  <r>
    <x v="0"/>
    <x v="0"/>
    <s v="SPXW"/>
    <x v="1"/>
    <x v="153"/>
    <s v="p"/>
    <n v="0.46"/>
    <n v="1.2"/>
    <n v="0.15"/>
    <n v="0.15"/>
    <n v="1264"/>
    <n v="121"/>
    <n v="0.2"/>
    <n v="91"/>
    <n v="0.25"/>
    <n v="0"/>
    <n v="0"/>
    <n v="0"/>
    <n v="0"/>
    <n v="0.27479999999999999"/>
    <n v="-7.0000000000000001E-3"/>
    <n v="2.0000000000000001E-4"/>
    <n v="-0.22450000000000001"/>
    <n v="7.9000000000000001E-2"/>
    <n v="-1.2999999999999999E-3"/>
    <n v="402"/>
    <n v="0.1"/>
    <n v="49"/>
    <n v="0.2"/>
    <n v="0"/>
    <n v="0"/>
    <n v="0.45879999999999999"/>
    <n v="758"/>
    <n v="0"/>
  </r>
  <r>
    <x v="0"/>
    <x v="0"/>
    <s v="SPXW"/>
    <x v="1"/>
    <x v="154"/>
    <s v="p"/>
    <n v="0.44"/>
    <n v="1.1499999999999999"/>
    <n v="0.12"/>
    <n v="0.2"/>
    <n v="166"/>
    <n v="351"/>
    <n v="0.2"/>
    <n v="489"/>
    <n v="0.3"/>
    <n v="0"/>
    <n v="0"/>
    <n v="0"/>
    <n v="0"/>
    <n v="0.2732"/>
    <n v="-7.7000000000000002E-3"/>
    <n v="2.0000000000000001E-4"/>
    <n v="-0.24940000000000001"/>
    <n v="8.6099999999999996E-2"/>
    <n v="-1.5E-3"/>
    <n v="81"/>
    <n v="0.15"/>
    <n v="183"/>
    <n v="0.25"/>
    <n v="0"/>
    <n v="0"/>
    <n v="0.4415"/>
    <n v="341"/>
    <n v="0"/>
  </r>
  <r>
    <x v="0"/>
    <x v="0"/>
    <s v="SPXW"/>
    <x v="1"/>
    <x v="155"/>
    <s v="p"/>
    <n v="0.35"/>
    <n v="1.25"/>
    <n v="0.15"/>
    <n v="0.17"/>
    <n v="480"/>
    <n v="455"/>
    <n v="0.2"/>
    <n v="475"/>
    <n v="0.3"/>
    <n v="0"/>
    <n v="0"/>
    <n v="0"/>
    <n v="0"/>
    <n v="0.26819999999999999"/>
    <n v="-7.7999999999999996E-3"/>
    <n v="2.0000000000000001E-4"/>
    <n v="-0.24940000000000001"/>
    <n v="8.7499999999999994E-2"/>
    <n v="-1.5E-3"/>
    <n v="109"/>
    <n v="0.15"/>
    <n v="182"/>
    <n v="0.25"/>
    <n v="0"/>
    <n v="0"/>
    <n v="0.71430000000000005"/>
    <n v="264"/>
    <n v="0"/>
  </r>
  <r>
    <x v="0"/>
    <x v="0"/>
    <s v="SPXW"/>
    <x v="1"/>
    <x v="156"/>
    <s v="p"/>
    <n v="0.55000000000000004"/>
    <n v="1.1499999999999999"/>
    <n v="0.15"/>
    <n v="0.15"/>
    <n v="542"/>
    <n v="334"/>
    <n v="0.2"/>
    <n v="333"/>
    <n v="0.3"/>
    <n v="0"/>
    <n v="0"/>
    <n v="0"/>
    <n v="0"/>
    <n v="0.26300000000000001"/>
    <n v="-8.0000000000000002E-3"/>
    <n v="2.0000000000000001E-4"/>
    <n v="-0.24940000000000001"/>
    <n v="8.9099999999999999E-2"/>
    <n v="-1.5E-3"/>
    <n v="130"/>
    <n v="0.15"/>
    <n v="156"/>
    <n v="0.25"/>
    <n v="0"/>
    <n v="0"/>
    <n v="0.69740000000000002"/>
    <n v="169"/>
    <n v="0"/>
  </r>
  <r>
    <x v="0"/>
    <x v="0"/>
    <s v="SPXW"/>
    <x v="1"/>
    <x v="157"/>
    <s v="p"/>
    <n v="0.5"/>
    <n v="1.24"/>
    <n v="0.1"/>
    <n v="0.17"/>
    <n v="1677"/>
    <n v="65"/>
    <n v="0.25"/>
    <n v="113"/>
    <n v="0.3"/>
    <n v="0"/>
    <n v="0"/>
    <n v="0"/>
    <n v="0"/>
    <n v="0.26119999999999999"/>
    <n v="-8.6999999999999994E-3"/>
    <n v="2.0000000000000001E-4"/>
    <n v="-0.27429999999999999"/>
    <n v="9.6500000000000002E-2"/>
    <n v="-1.6999999999999999E-3"/>
    <n v="223"/>
    <n v="0.15"/>
    <n v="109"/>
    <n v="0.25"/>
    <n v="0"/>
    <n v="0"/>
    <n v="0.3392"/>
    <n v="399"/>
    <n v="0"/>
  </r>
  <r>
    <x v="0"/>
    <x v="0"/>
    <s v="SPXW"/>
    <x v="1"/>
    <x v="158"/>
    <s v="p"/>
    <n v="0.6"/>
    <n v="2.79"/>
    <n v="0.19"/>
    <n v="0.2"/>
    <n v="1136"/>
    <n v="214"/>
    <n v="0.25"/>
    <n v="92"/>
    <n v="0.3"/>
    <n v="0"/>
    <n v="0"/>
    <n v="0"/>
    <n v="0"/>
    <n v="0.25619999999999998"/>
    <n v="-8.8999999999999999E-3"/>
    <n v="2.9999999999999997E-4"/>
    <n v="-0.27429999999999999"/>
    <n v="9.8100000000000007E-2"/>
    <n v="-1.6999999999999999E-3"/>
    <n v="252"/>
    <n v="0.15"/>
    <n v="43"/>
    <n v="0.25"/>
    <n v="0"/>
    <n v="0"/>
    <n v="0.49830000000000002"/>
    <n v="642"/>
    <n v="0"/>
  </r>
  <r>
    <x v="0"/>
    <x v="0"/>
    <s v="SPXW"/>
    <x v="1"/>
    <x v="159"/>
    <s v="p"/>
    <n v="0.65"/>
    <n v="1.6"/>
    <n v="0.15"/>
    <n v="0.2"/>
    <n v="567"/>
    <n v="432"/>
    <n v="0.25"/>
    <n v="467"/>
    <n v="0.35"/>
    <n v="0"/>
    <n v="0"/>
    <n v="0"/>
    <n v="0"/>
    <n v="0.25380000000000003"/>
    <n v="-9.7000000000000003E-3"/>
    <n v="2.9999999999999997E-4"/>
    <n v="-0.29930000000000001"/>
    <n v="0.1057"/>
    <n v="-1.9E-3"/>
    <n v="449"/>
    <n v="0.15"/>
    <n v="176"/>
    <n v="0.3"/>
    <n v="0"/>
    <n v="0"/>
    <n v="0.59509999999999996"/>
    <n v="1327"/>
    <n v="0"/>
  </r>
  <r>
    <x v="0"/>
    <x v="0"/>
    <s v="SPXW"/>
    <x v="1"/>
    <x v="160"/>
    <s v="p"/>
    <n v="0.65"/>
    <n v="2"/>
    <n v="0.2"/>
    <n v="0.25"/>
    <n v="455"/>
    <n v="346"/>
    <n v="0.25"/>
    <n v="184"/>
    <n v="0.35"/>
    <n v="0"/>
    <n v="0"/>
    <n v="0"/>
    <n v="0"/>
    <n v="0.24840000000000001"/>
    <n v="-9.9000000000000008E-3"/>
    <n v="2.9999999999999997E-4"/>
    <n v="-0.29920000000000002"/>
    <n v="0.1077"/>
    <n v="-1.9E-3"/>
    <n v="101"/>
    <n v="0.2"/>
    <n v="164"/>
    <n v="0.3"/>
    <n v="0"/>
    <n v="0"/>
    <n v="0.59930000000000005"/>
    <n v="104"/>
    <n v="0"/>
  </r>
  <r>
    <x v="0"/>
    <x v="0"/>
    <s v="SPXW"/>
    <x v="1"/>
    <x v="161"/>
    <s v="p"/>
    <n v="0.7"/>
    <n v="1.8"/>
    <n v="0.15"/>
    <n v="0.25"/>
    <n v="7927"/>
    <n v="73"/>
    <n v="0.3"/>
    <n v="23"/>
    <n v="0.35"/>
    <n v="0"/>
    <n v="0"/>
    <n v="0"/>
    <n v="0"/>
    <n v="0.24579999999999999"/>
    <n v="-1.0699999999999999E-2"/>
    <n v="2.9999999999999997E-4"/>
    <n v="-0.32419999999999999"/>
    <n v="0.1154"/>
    <n v="-2.0999999999999999E-3"/>
    <n v="135"/>
    <n v="0.2"/>
    <n v="130"/>
    <n v="0.3"/>
    <n v="0"/>
    <n v="0"/>
    <n v="0.49480000000000002"/>
    <n v="6235"/>
    <n v="0"/>
  </r>
  <r>
    <x v="0"/>
    <x v="0"/>
    <s v="SPXW"/>
    <x v="1"/>
    <x v="162"/>
    <s v="p"/>
    <n v="0.82"/>
    <n v="3.79"/>
    <n v="0.2"/>
    <n v="0.25"/>
    <n v="686"/>
    <n v="352"/>
    <n v="0.3"/>
    <n v="411"/>
    <n v="0.4"/>
    <n v="0"/>
    <n v="0"/>
    <n v="0"/>
    <n v="0"/>
    <n v="0.2432"/>
    <n v="-1.15E-2"/>
    <n v="2.9999999999999997E-4"/>
    <n v="-0.34910000000000002"/>
    <n v="0.123"/>
    <n v="-2.2000000000000001E-3"/>
    <n v="225"/>
    <n v="0.2"/>
    <n v="169"/>
    <n v="0.35"/>
    <n v="0"/>
    <n v="0"/>
    <n v="0.70230000000000004"/>
    <n v="260"/>
    <n v="0"/>
  </r>
  <r>
    <x v="0"/>
    <x v="0"/>
    <s v="SPXW"/>
    <x v="1"/>
    <x v="163"/>
    <s v="p"/>
    <n v="0.76"/>
    <n v="2.5499999999999998"/>
    <n v="0.2"/>
    <n v="0.28000000000000003"/>
    <n v="24628"/>
    <n v="34"/>
    <n v="0.35"/>
    <n v="144"/>
    <n v="0.4"/>
    <n v="0"/>
    <n v="0"/>
    <n v="0"/>
    <n v="0"/>
    <n v="0.24"/>
    <n v="-1.24E-2"/>
    <n v="4.0000000000000002E-4"/>
    <n v="-0.37409999999999999"/>
    <n v="0.13100000000000001"/>
    <n v="-2.3999999999999998E-3"/>
    <n v="86"/>
    <n v="0.25"/>
    <n v="208"/>
    <n v="0.3"/>
    <n v="0"/>
    <n v="0"/>
    <n v="0.68669999999999998"/>
    <n v="12078"/>
    <n v="0"/>
  </r>
  <r>
    <x v="0"/>
    <x v="0"/>
    <s v="SPXW"/>
    <x v="1"/>
    <x v="164"/>
    <s v="p"/>
    <n v="0.87"/>
    <n v="2.65"/>
    <n v="0.2"/>
    <n v="0.3"/>
    <n v="1244"/>
    <n v="256"/>
    <n v="0.35"/>
    <n v="430"/>
    <n v="0.45"/>
    <n v="0"/>
    <n v="0"/>
    <n v="0"/>
    <n v="0"/>
    <n v="0.23669999999999999"/>
    <n v="-1.3299999999999999E-2"/>
    <n v="4.0000000000000002E-4"/>
    <n v="-0.39900000000000002"/>
    <n v="0.1391"/>
    <n v="-2.5999999999999999E-3"/>
    <n v="208"/>
    <n v="0.25"/>
    <n v="82"/>
    <n v="0.35"/>
    <n v="0"/>
    <n v="0"/>
    <n v="0.56120000000000003"/>
    <n v="239"/>
    <n v="0"/>
  </r>
  <r>
    <x v="0"/>
    <x v="0"/>
    <s v="SPXW"/>
    <x v="1"/>
    <x v="165"/>
    <s v="p"/>
    <n v="0.9"/>
    <n v="3.05"/>
    <n v="0.2"/>
    <n v="0.32"/>
    <n v="3808"/>
    <n v="46"/>
    <n v="0.4"/>
    <n v="26"/>
    <n v="0.45"/>
    <n v="0"/>
    <n v="0"/>
    <n v="0"/>
    <n v="0"/>
    <n v="0.23330000000000001"/>
    <n v="-1.4200000000000001E-2"/>
    <n v="4.0000000000000002E-4"/>
    <n v="-0.42399999999999999"/>
    <n v="0.1474"/>
    <n v="-2.7000000000000001E-3"/>
    <n v="25"/>
    <n v="0.3"/>
    <n v="163"/>
    <n v="0.4"/>
    <n v="0"/>
    <n v="0"/>
    <n v="0.62739999999999996"/>
    <n v="189"/>
    <n v="0"/>
  </r>
  <r>
    <x v="0"/>
    <x v="0"/>
    <s v="SPXW"/>
    <x v="1"/>
    <x v="166"/>
    <s v="p"/>
    <n v="1.02"/>
    <n v="3.55"/>
    <n v="0.25"/>
    <n v="0.35"/>
    <n v="1095"/>
    <n v="369"/>
    <n v="0.4"/>
    <n v="201"/>
    <n v="0.5"/>
    <n v="0"/>
    <n v="0"/>
    <n v="0"/>
    <n v="0"/>
    <n v="0.2296"/>
    <n v="-1.52E-2"/>
    <n v="4.0000000000000002E-4"/>
    <n v="-0.44879999999999998"/>
    <n v="0.15579999999999999"/>
    <n v="-2.8999999999999998E-3"/>
    <n v="121"/>
    <n v="0.3"/>
    <n v="48"/>
    <n v="0.4"/>
    <n v="0"/>
    <n v="0"/>
    <n v="0.66600000000000004"/>
    <n v="262"/>
    <n v="0"/>
  </r>
  <r>
    <x v="0"/>
    <x v="0"/>
    <s v="SPXW"/>
    <x v="1"/>
    <x v="167"/>
    <s v="p"/>
    <n v="1.1000000000000001"/>
    <n v="3.75"/>
    <n v="0.25"/>
    <n v="0.4"/>
    <n v="2897"/>
    <n v="190"/>
    <n v="0.45"/>
    <n v="178"/>
    <n v="0.5"/>
    <n v="0"/>
    <n v="0"/>
    <n v="0"/>
    <n v="0"/>
    <n v="0.2263"/>
    <n v="-1.61E-2"/>
    <n v="5.0000000000000001E-4"/>
    <n v="-0.4738"/>
    <n v="0.1641"/>
    <n v="-3.0999999999999999E-3"/>
    <n v="540"/>
    <n v="0.35"/>
    <n v="393"/>
    <n v="0.4"/>
    <n v="0"/>
    <n v="0"/>
    <n v="0.6643"/>
    <n v="568"/>
    <n v="0"/>
  </r>
  <r>
    <x v="0"/>
    <x v="0"/>
    <s v="SPXW"/>
    <x v="1"/>
    <x v="168"/>
    <s v="p"/>
    <n v="1.07"/>
    <n v="4.87"/>
    <n v="0.25"/>
    <n v="0.43"/>
    <n v="9702"/>
    <n v="43"/>
    <n v="0.5"/>
    <n v="400"/>
    <n v="0.6"/>
    <n v="0"/>
    <n v="0"/>
    <n v="0"/>
    <n v="0"/>
    <n v="0.22409999999999999"/>
    <n v="-1.77E-2"/>
    <n v="5.0000000000000001E-4"/>
    <n v="-0.52370000000000005"/>
    <n v="0.17780000000000001"/>
    <n v="-3.3999999999999998E-3"/>
    <n v="205"/>
    <n v="0.35"/>
    <n v="161"/>
    <n v="0.5"/>
    <n v="0"/>
    <n v="0"/>
    <n v="0.75280000000000002"/>
    <n v="739"/>
    <n v="0"/>
  </r>
  <r>
    <x v="0"/>
    <x v="0"/>
    <s v="SPXW"/>
    <x v="1"/>
    <x v="169"/>
    <s v="p"/>
    <n v="1.18"/>
    <n v="4"/>
    <n v="0.35"/>
    <n v="0.51"/>
    <n v="1423"/>
    <n v="51"/>
    <n v="0.55000000000000004"/>
    <n v="21"/>
    <n v="0.6"/>
    <n v="0"/>
    <n v="0"/>
    <n v="0"/>
    <n v="0"/>
    <n v="0.2213"/>
    <n v="-1.9400000000000001E-2"/>
    <n v="5.9999999999999995E-4"/>
    <n v="-0.5736"/>
    <n v="0.1918"/>
    <n v="-3.8E-3"/>
    <n v="1"/>
    <n v="0.45"/>
    <n v="160"/>
    <n v="0.55000000000000004"/>
    <n v="0"/>
    <n v="0"/>
    <n v="1.0219"/>
    <n v="364"/>
    <n v="0"/>
  </r>
  <r>
    <x v="0"/>
    <x v="0"/>
    <s v="SPXW"/>
    <x v="1"/>
    <x v="170"/>
    <s v="p"/>
    <n v="1.3"/>
    <n v="3.6"/>
    <n v="0.35"/>
    <n v="0.48"/>
    <n v="4900"/>
    <n v="62"/>
    <n v="0.6"/>
    <n v="350"/>
    <n v="0.7"/>
    <n v="0"/>
    <n v="0"/>
    <n v="0"/>
    <n v="0"/>
    <n v="0.2185"/>
    <n v="-2.12E-2"/>
    <n v="5.9999999999999995E-4"/>
    <n v="-0.62350000000000005"/>
    <n v="0.2059"/>
    <n v="-4.1000000000000003E-3"/>
    <n v="140"/>
    <n v="0.45"/>
    <n v="152"/>
    <n v="0.6"/>
    <n v="0"/>
    <n v="0"/>
    <n v="0.78380000000000005"/>
    <n v="350"/>
    <n v="0"/>
  </r>
  <r>
    <x v="0"/>
    <x v="0"/>
    <s v="SPXW"/>
    <x v="1"/>
    <x v="171"/>
    <s v="p"/>
    <n v="1.37"/>
    <n v="6.34"/>
    <n v="0.45"/>
    <n v="0.56000000000000005"/>
    <n v="3370"/>
    <n v="101"/>
    <n v="0.65"/>
    <n v="264"/>
    <n v="0.75"/>
    <n v="0"/>
    <n v="0"/>
    <n v="0"/>
    <n v="0"/>
    <n v="0.21659999999999999"/>
    <n v="-2.35E-2"/>
    <n v="6.9999999999999999E-4"/>
    <n v="-0.69820000000000004"/>
    <n v="0.22500000000000001"/>
    <n v="-4.5999999999999999E-3"/>
    <n v="146"/>
    <n v="0.5"/>
    <n v="138"/>
    <n v="0.65"/>
    <n v="0"/>
    <n v="0"/>
    <n v="0.94389999999999996"/>
    <n v="527"/>
    <n v="0"/>
  </r>
  <r>
    <x v="0"/>
    <x v="0"/>
    <s v="SPXW"/>
    <x v="1"/>
    <x v="172"/>
    <s v="p"/>
    <n v="1.44"/>
    <n v="5.4"/>
    <n v="0.5"/>
    <n v="0.7"/>
    <n v="1623"/>
    <n v="240"/>
    <n v="0.7"/>
    <n v="47"/>
    <n v="0.8"/>
    <n v="0"/>
    <n v="0"/>
    <n v="0"/>
    <n v="0"/>
    <n v="0.21310000000000001"/>
    <n v="-2.5399999999999999E-2"/>
    <n v="6.9999999999999999E-4"/>
    <n v="-0.74809999999999999"/>
    <n v="0.2392"/>
    <n v="-4.8999999999999998E-3"/>
    <n v="56"/>
    <n v="0.6"/>
    <n v="131"/>
    <n v="0.75"/>
    <n v="0"/>
    <n v="0"/>
    <n v="2.0036999999999998"/>
    <n v="528"/>
    <n v="0"/>
  </r>
  <r>
    <x v="0"/>
    <x v="0"/>
    <s v="SPXW"/>
    <x v="1"/>
    <x v="173"/>
    <s v="p"/>
    <n v="1.59"/>
    <n v="5.5"/>
    <n v="0.55000000000000004"/>
    <n v="0.7"/>
    <n v="6072"/>
    <n v="110"/>
    <n v="0.8"/>
    <n v="100"/>
    <n v="0.9"/>
    <n v="0"/>
    <n v="0"/>
    <n v="0"/>
    <n v="0"/>
    <n v="0.21190000000000001"/>
    <n v="-2.8400000000000002E-2"/>
    <n v="8.0000000000000004E-4"/>
    <n v="-0.84789999999999999"/>
    <n v="0.26219999999999999"/>
    <n v="-5.4999999999999997E-3"/>
    <n v="9"/>
    <n v="0.7"/>
    <n v="117"/>
    <n v="0.8"/>
    <n v="0"/>
    <n v="0"/>
    <n v="1.6697"/>
    <n v="2032"/>
    <n v="0"/>
  </r>
  <r>
    <x v="0"/>
    <x v="0"/>
    <s v="SPXW"/>
    <x v="1"/>
    <x v="174"/>
    <s v="p"/>
    <n v="1.67"/>
    <n v="4.97"/>
    <n v="0.65"/>
    <n v="0.85"/>
    <n v="1508"/>
    <n v="56"/>
    <n v="0.9"/>
    <n v="174"/>
    <n v="1"/>
    <n v="0"/>
    <n v="0"/>
    <n v="0"/>
    <n v="0"/>
    <n v="0.2099"/>
    <n v="-3.1600000000000003E-2"/>
    <n v="8.9999999999999998E-4"/>
    <n v="-0.94769999999999999"/>
    <n v="0.28539999999999999"/>
    <n v="-6.1000000000000004E-3"/>
    <n v="2"/>
    <n v="0.8"/>
    <n v="1"/>
    <n v="0.85"/>
    <n v="0"/>
    <n v="0"/>
    <n v="1.7491000000000001"/>
    <n v="491"/>
    <n v="0"/>
  </r>
  <r>
    <x v="0"/>
    <x v="0"/>
    <s v="SPXW"/>
    <x v="1"/>
    <x v="175"/>
    <s v="p"/>
    <n v="1.91"/>
    <n v="5.8"/>
    <n v="0.75"/>
    <n v="0.95"/>
    <n v="2112"/>
    <n v="146"/>
    <n v="1"/>
    <n v="145"/>
    <n v="1.1000000000000001"/>
    <n v="0"/>
    <n v="0"/>
    <n v="0"/>
    <n v="0"/>
    <n v="0.20730000000000001"/>
    <n v="-3.4799999999999998E-2"/>
    <n v="1E-3"/>
    <n v="-1.0475000000000001"/>
    <n v="0.30890000000000001"/>
    <n v="-6.7999999999999996E-3"/>
    <n v="91"/>
    <n v="0.85"/>
    <n v="54"/>
    <n v="1"/>
    <n v="0"/>
    <n v="0"/>
    <n v="2.105"/>
    <n v="395"/>
    <n v="0"/>
  </r>
  <r>
    <x v="0"/>
    <x v="0"/>
    <s v="SPXW"/>
    <x v="1"/>
    <x v="176"/>
    <s v="p"/>
    <n v="1.97"/>
    <n v="8.3800000000000008"/>
    <n v="0.9"/>
    <n v="1.05"/>
    <n v="2317"/>
    <n v="61"/>
    <n v="1.1499999999999999"/>
    <n v="1"/>
    <n v="1.2"/>
    <n v="0"/>
    <n v="0"/>
    <n v="0"/>
    <n v="0"/>
    <n v="0.20449999999999999"/>
    <n v="-3.8100000000000002E-2"/>
    <n v="1.1000000000000001E-3"/>
    <n v="-1.1472"/>
    <n v="0.33200000000000002"/>
    <n v="-7.4000000000000003E-3"/>
    <n v="54"/>
    <n v="1"/>
    <n v="18"/>
    <n v="1.1000000000000001"/>
    <n v="0"/>
    <n v="0"/>
    <n v="2.0990000000000002"/>
    <n v="223"/>
    <n v="0"/>
  </r>
  <r>
    <x v="0"/>
    <x v="0"/>
    <s v="SPXW"/>
    <x v="1"/>
    <x v="177"/>
    <s v="p"/>
    <n v="2.15"/>
    <n v="9.0299999999999994"/>
    <n v="1"/>
    <n v="1.19"/>
    <n v="2092"/>
    <n v="115"/>
    <n v="1.25"/>
    <n v="71"/>
    <n v="1.35"/>
    <n v="0"/>
    <n v="0"/>
    <n v="0"/>
    <n v="0"/>
    <n v="0.20319999999999999"/>
    <n v="-4.2500000000000003E-2"/>
    <n v="1.1999999999999999E-3"/>
    <n v="-1.2968"/>
    <n v="0.3619"/>
    <n v="-8.3000000000000001E-3"/>
    <n v="14"/>
    <n v="1.1499999999999999"/>
    <n v="100"/>
    <n v="1.3"/>
    <n v="0"/>
    <n v="0"/>
    <n v="2.5676999999999999"/>
    <n v="375"/>
    <n v="0"/>
  </r>
  <r>
    <x v="0"/>
    <x v="0"/>
    <s v="SPXW"/>
    <x v="1"/>
    <x v="178"/>
    <s v="p"/>
    <n v="2.3199999999999998"/>
    <n v="7.52"/>
    <n v="1.05"/>
    <n v="1.33"/>
    <n v="5237"/>
    <n v="55"/>
    <n v="1.45"/>
    <n v="244"/>
    <n v="1.55"/>
    <n v="0"/>
    <n v="0"/>
    <n v="0"/>
    <n v="0"/>
    <n v="0.20069999999999999"/>
    <n v="-4.7199999999999999E-2"/>
    <n v="1.2999999999999999E-3"/>
    <n v="-1.4466000000000001"/>
    <n v="0.39269999999999999"/>
    <n v="-9.1999999999999998E-3"/>
    <n v="40"/>
    <n v="1.3"/>
    <n v="90"/>
    <n v="1.45"/>
    <n v="0"/>
    <n v="0"/>
    <n v="2.5510999999999999"/>
    <n v="1125"/>
    <n v="0"/>
  </r>
  <r>
    <x v="0"/>
    <x v="0"/>
    <s v="SPXW"/>
    <x v="1"/>
    <x v="179"/>
    <s v="p"/>
    <n v="2.4900000000000002"/>
    <n v="7.8"/>
    <n v="1.1499999999999999"/>
    <n v="1.5"/>
    <n v="3136"/>
    <n v="42"/>
    <n v="1.6"/>
    <n v="85"/>
    <n v="1.7"/>
    <n v="0"/>
    <n v="0"/>
    <n v="0"/>
    <n v="0"/>
    <n v="0.19969999999999999"/>
    <n v="-5.2900000000000003E-2"/>
    <n v="1.4E-3"/>
    <n v="-1.6459999999999999"/>
    <n v="0.42920000000000003"/>
    <n v="-1.04E-2"/>
    <n v="62"/>
    <n v="1.45"/>
    <n v="22"/>
    <n v="1.6"/>
    <n v="0"/>
    <n v="0"/>
    <n v="2.4350000000000001"/>
    <n v="372"/>
    <n v="0"/>
  </r>
  <r>
    <x v="0"/>
    <x v="0"/>
    <s v="SPXW"/>
    <x v="1"/>
    <x v="180"/>
    <s v="p"/>
    <n v="2.71"/>
    <n v="9.5"/>
    <n v="1.22"/>
    <n v="1.7"/>
    <n v="1848"/>
    <n v="85"/>
    <n v="1.8"/>
    <n v="31"/>
    <n v="1.9"/>
    <n v="0"/>
    <n v="0"/>
    <n v="0"/>
    <n v="0"/>
    <n v="0.1978"/>
    <n v="-5.8799999999999998E-2"/>
    <n v="1.6000000000000001E-3"/>
    <n v="-1.8454999999999999"/>
    <n v="0.46489999999999998"/>
    <n v="-1.15E-2"/>
    <n v="66"/>
    <n v="1.65"/>
    <n v="1"/>
    <n v="1.75"/>
    <n v="0"/>
    <n v="0"/>
    <n v="2.6217000000000001"/>
    <n v="185"/>
    <n v="0"/>
  </r>
  <r>
    <x v="0"/>
    <x v="0"/>
    <s v="SPXW"/>
    <x v="1"/>
    <x v="181"/>
    <s v="p"/>
    <n v="3.02"/>
    <n v="10"/>
    <n v="1.35"/>
    <n v="1.93"/>
    <n v="2667"/>
    <n v="58"/>
    <n v="2.0499999999999998"/>
    <n v="78"/>
    <n v="2.15"/>
    <n v="0"/>
    <n v="0"/>
    <n v="0"/>
    <n v="0"/>
    <n v="0.1961"/>
    <n v="-6.59E-2"/>
    <n v="1.6999999999999999E-3"/>
    <n v="-2.0949"/>
    <n v="0.50649999999999995"/>
    <n v="-1.29E-2"/>
    <n v="9"/>
    <n v="1.9"/>
    <n v="64"/>
    <n v="2.0499999999999998"/>
    <n v="0"/>
    <n v="0"/>
    <n v="3.0838999999999999"/>
    <n v="416"/>
    <n v="0"/>
  </r>
  <r>
    <x v="0"/>
    <x v="0"/>
    <s v="SPXW"/>
    <x v="1"/>
    <x v="182"/>
    <s v="p"/>
    <n v="3.26"/>
    <n v="11.62"/>
    <n v="1.42"/>
    <n v="2.2000000000000002"/>
    <n v="2885"/>
    <n v="112"/>
    <n v="2.2999999999999998"/>
    <n v="59"/>
    <n v="2.4"/>
    <n v="0"/>
    <n v="0"/>
    <n v="0"/>
    <n v="0"/>
    <n v="0.19409999999999999"/>
    <n v="-7.2999999999999995E-2"/>
    <n v="1.9E-3"/>
    <n v="-2.3443999999999998"/>
    <n v="0.5474"/>
    <n v="-1.43E-2"/>
    <n v="26"/>
    <n v="2.15"/>
    <n v="51"/>
    <n v="2.2999999999999998"/>
    <n v="0"/>
    <n v="0"/>
    <n v="3.2968000000000002"/>
    <n v="271"/>
    <n v="0"/>
  </r>
  <r>
    <x v="0"/>
    <x v="0"/>
    <s v="SPXW"/>
    <x v="1"/>
    <x v="183"/>
    <s v="p"/>
    <n v="3.37"/>
    <n v="12"/>
    <n v="1.5"/>
    <n v="2.5"/>
    <n v="8136"/>
    <n v="39"/>
    <n v="2.6"/>
    <n v="70"/>
    <n v="2.7"/>
    <n v="0"/>
    <n v="0"/>
    <n v="0"/>
    <n v="0"/>
    <n v="0.1925"/>
    <n v="-8.1299999999999997E-2"/>
    <n v="2.0999999999999999E-3"/>
    <n v="-2.6436000000000002"/>
    <n v="0.59209999999999996"/>
    <n v="-1.6E-2"/>
    <n v="5"/>
    <n v="2.4500000000000002"/>
    <n v="73"/>
    <n v="2.6"/>
    <n v="0"/>
    <n v="0"/>
    <n v="3.8256000000000001"/>
    <n v="1023"/>
    <n v="0"/>
  </r>
  <r>
    <x v="0"/>
    <x v="0"/>
    <s v="SPXW"/>
    <x v="1"/>
    <x v="184"/>
    <s v="p"/>
    <n v="4.05"/>
    <n v="12.86"/>
    <n v="1.61"/>
    <n v="2.81"/>
    <n v="3195"/>
    <n v="36"/>
    <n v="2.95"/>
    <n v="128"/>
    <n v="3.1"/>
    <n v="0"/>
    <n v="0"/>
    <n v="0"/>
    <n v="0"/>
    <n v="0.1903"/>
    <n v="-8.9700000000000002E-2"/>
    <n v="2.2000000000000001E-3"/>
    <n v="-2.9428999999999998"/>
    <n v="0.63560000000000005"/>
    <n v="-1.7600000000000001E-2"/>
    <n v="24"/>
    <n v="2.75"/>
    <n v="28"/>
    <n v="2.9"/>
    <n v="0"/>
    <n v="0"/>
    <n v="4.0153999999999996"/>
    <n v="397"/>
    <n v="0"/>
  </r>
  <r>
    <x v="0"/>
    <x v="0"/>
    <s v="SPXW"/>
    <x v="1"/>
    <x v="185"/>
    <s v="p"/>
    <n v="4"/>
    <n v="14.25"/>
    <n v="1.77"/>
    <n v="3.1"/>
    <n v="4350"/>
    <n v="54"/>
    <n v="3.3"/>
    <n v="64"/>
    <n v="3.4"/>
    <n v="0"/>
    <n v="0"/>
    <n v="0"/>
    <n v="0"/>
    <n v="0.1883"/>
    <n v="-9.9299999999999999E-2"/>
    <n v="2.3999999999999998E-3"/>
    <n v="-3.2919999999999998"/>
    <n v="0.68340000000000001"/>
    <n v="-1.95E-2"/>
    <n v="23"/>
    <n v="3.1"/>
    <n v="73"/>
    <n v="3.3"/>
    <n v="0"/>
    <n v="0"/>
    <n v="4.6936999999999998"/>
    <n v="433"/>
    <n v="0"/>
  </r>
  <r>
    <x v="0"/>
    <x v="0"/>
    <s v="SPXW"/>
    <x v="1"/>
    <x v="186"/>
    <s v="p"/>
    <n v="4.5"/>
    <n v="14.2"/>
    <n v="1.9"/>
    <n v="3.5"/>
    <n v="1966"/>
    <n v="58"/>
    <n v="3.7"/>
    <n v="116"/>
    <n v="3.9"/>
    <n v="0"/>
    <n v="0"/>
    <n v="0"/>
    <n v="0"/>
    <n v="0.18720000000000001"/>
    <n v="-0.1108"/>
    <n v="2.7000000000000001E-3"/>
    <n v="-3.7410999999999999"/>
    <n v="0.73799999999999999"/>
    <n v="-2.18E-2"/>
    <n v="16"/>
    <n v="3.5"/>
    <n v="64"/>
    <n v="3.7"/>
    <n v="0"/>
    <n v="0"/>
    <n v="4.5091999999999999"/>
    <n v="223"/>
    <n v="0"/>
  </r>
  <r>
    <x v="0"/>
    <x v="0"/>
    <s v="SPXW"/>
    <x v="1"/>
    <x v="187"/>
    <s v="p"/>
    <n v="4.72"/>
    <n v="15.52"/>
    <n v="2.04"/>
    <n v="3.9"/>
    <n v="11468"/>
    <n v="111"/>
    <n v="4.0999999999999996"/>
    <n v="78"/>
    <n v="4.3"/>
    <n v="0"/>
    <n v="0"/>
    <n v="0"/>
    <n v="0"/>
    <n v="0.18540000000000001"/>
    <n v="-0.1225"/>
    <n v="2.8999999999999998E-3"/>
    <n v="-4.1898999999999997"/>
    <n v="0.78969999999999996"/>
    <n v="-2.41E-2"/>
    <n v="48"/>
    <n v="3.9"/>
    <n v="32"/>
    <n v="4.0999999999999996"/>
    <n v="0"/>
    <n v="0"/>
    <n v="4.7973999999999997"/>
    <n v="370"/>
    <n v="0"/>
  </r>
  <r>
    <x v="0"/>
    <x v="0"/>
    <s v="SPXW"/>
    <x v="1"/>
    <x v="188"/>
    <s v="p"/>
    <n v="5.21"/>
    <n v="17.86"/>
    <n v="2.19"/>
    <n v="4.5"/>
    <n v="11986"/>
    <n v="90"/>
    <n v="4.5999999999999996"/>
    <n v="71"/>
    <n v="4.8"/>
    <n v="0"/>
    <n v="0"/>
    <n v="0"/>
    <n v="0"/>
    <n v="0.18340000000000001"/>
    <n v="-0.13519999999999999"/>
    <n v="3.0999999999999999E-3"/>
    <n v="-4.6889000000000003"/>
    <n v="0.84430000000000005"/>
    <n v="-2.6700000000000002E-2"/>
    <n v="19"/>
    <n v="4.4000000000000004"/>
    <n v="46"/>
    <n v="4.5999999999999996"/>
    <n v="0"/>
    <n v="0"/>
    <n v="5.0941000000000001"/>
    <n v="782"/>
    <n v="0"/>
  </r>
  <r>
    <x v="0"/>
    <x v="0"/>
    <s v="SPXW"/>
    <x v="1"/>
    <x v="189"/>
    <s v="p"/>
    <n v="5.47"/>
    <n v="15.9"/>
    <n v="2.37"/>
    <n v="5"/>
    <n v="3438"/>
    <n v="48"/>
    <n v="5.2"/>
    <n v="98"/>
    <n v="5.4"/>
    <n v="0"/>
    <n v="0"/>
    <n v="0"/>
    <n v="0"/>
    <n v="0.18099999999999999"/>
    <n v="-0.1482"/>
    <n v="3.3999999999999998E-3"/>
    <n v="-5.1874000000000002"/>
    <n v="0.89680000000000004"/>
    <n v="-2.93E-2"/>
    <n v="44"/>
    <n v="4.9000000000000004"/>
    <n v="13"/>
    <n v="5.0999999999999996"/>
    <n v="0"/>
    <n v="0"/>
    <n v="5.8063000000000002"/>
    <n v="332"/>
    <n v="0"/>
  </r>
  <r>
    <x v="0"/>
    <x v="0"/>
    <s v="SPXW"/>
    <x v="1"/>
    <x v="190"/>
    <s v="p"/>
    <n v="5.9"/>
    <n v="16.899999999999999"/>
    <n v="2.59"/>
    <n v="5.59"/>
    <n v="3119"/>
    <n v="43"/>
    <n v="5.8"/>
    <n v="96"/>
    <n v="6"/>
    <n v="0"/>
    <n v="0"/>
    <n v="0"/>
    <n v="0"/>
    <n v="0.1789"/>
    <n v="-0.16320000000000001"/>
    <n v="3.5999999999999999E-3"/>
    <n v="-5.7862999999999998"/>
    <n v="0.95250000000000001"/>
    <n v="-3.2199999999999999E-2"/>
    <n v="28"/>
    <n v="5.5"/>
    <n v="13"/>
    <n v="5.7"/>
    <n v="0"/>
    <n v="0"/>
    <n v="6.4808000000000003"/>
    <n v="623"/>
    <n v="0"/>
  </r>
  <r>
    <x v="0"/>
    <x v="0"/>
    <s v="SPXW"/>
    <x v="1"/>
    <x v="191"/>
    <s v="p"/>
    <n v="6.44"/>
    <n v="18.64"/>
    <n v="2.75"/>
    <n v="6.17"/>
    <n v="2656"/>
    <n v="57"/>
    <n v="6.4"/>
    <n v="46"/>
    <n v="6.6"/>
    <n v="0"/>
    <n v="0"/>
    <n v="0"/>
    <n v="0"/>
    <n v="0.1772"/>
    <n v="-0.17979999999999999"/>
    <n v="3.8999999999999998E-3"/>
    <n v="-6.4843999999999999"/>
    <n v="1.0115000000000001"/>
    <n v="-3.56E-2"/>
    <n v="46"/>
    <n v="6.1"/>
    <n v="12"/>
    <n v="6.3"/>
    <n v="0"/>
    <n v="0"/>
    <n v="7.8365999999999998"/>
    <n v="568"/>
    <n v="0"/>
  </r>
  <r>
    <x v="0"/>
    <x v="0"/>
    <s v="SPXW"/>
    <x v="1"/>
    <x v="192"/>
    <s v="p"/>
    <n v="7.1"/>
    <n v="22.08"/>
    <n v="2.99"/>
    <n v="6.84"/>
    <n v="3474"/>
    <n v="65"/>
    <n v="7.1"/>
    <n v="20"/>
    <n v="7.3"/>
    <n v="0"/>
    <n v="0"/>
    <n v="0"/>
    <n v="0"/>
    <n v="0.17480000000000001"/>
    <n v="-0.1968"/>
    <n v="4.1999999999999997E-3"/>
    <n v="-7.1829000000000001"/>
    <n v="1.0674999999999999"/>
    <n v="-3.9E-2"/>
    <n v="48"/>
    <n v="6.8"/>
    <n v="43"/>
    <n v="7.1"/>
    <n v="0"/>
    <n v="0"/>
    <n v="8.4733999999999998"/>
    <n v="325"/>
    <n v="0"/>
  </r>
  <r>
    <x v="0"/>
    <x v="0"/>
    <s v="SPXW"/>
    <x v="1"/>
    <x v="193"/>
    <s v="p"/>
    <n v="7.76"/>
    <n v="22.58"/>
    <n v="3.2"/>
    <n v="7.6"/>
    <n v="8525"/>
    <n v="70"/>
    <n v="7.9"/>
    <n v="34"/>
    <n v="8.1"/>
    <n v="0"/>
    <n v="0"/>
    <n v="0"/>
    <n v="0"/>
    <n v="0.1721"/>
    <n v="-0.215"/>
    <n v="4.4999999999999997E-3"/>
    <n v="-7.9311999999999996"/>
    <n v="1.1220000000000001"/>
    <n v="-4.2599999999999999E-2"/>
    <n v="36"/>
    <n v="7.6"/>
    <n v="42"/>
    <n v="7.9"/>
    <n v="0"/>
    <n v="0"/>
    <n v="9.2484000000000002"/>
    <n v="1003"/>
    <n v="0"/>
  </r>
  <r>
    <x v="0"/>
    <x v="0"/>
    <s v="SPXW"/>
    <x v="1"/>
    <x v="194"/>
    <s v="p"/>
    <n v="8.9"/>
    <n v="23.83"/>
    <n v="3.21"/>
    <n v="8.5"/>
    <n v="4161"/>
    <n v="39"/>
    <n v="8.8000000000000007"/>
    <n v="73"/>
    <n v="9"/>
    <n v="0"/>
    <n v="0"/>
    <n v="0"/>
    <n v="0"/>
    <n v="0.1696"/>
    <n v="-0.2349"/>
    <n v="4.7999999999999996E-3"/>
    <n v="-8.7790999999999997"/>
    <n v="1.1779999999999999"/>
    <n v="-4.6600000000000003E-2"/>
    <n v="17"/>
    <n v="8.5"/>
    <n v="11"/>
    <n v="8.6999999999999993"/>
    <n v="0"/>
    <n v="0"/>
    <n v="9.8378999999999994"/>
    <n v="301"/>
    <n v="0"/>
  </r>
  <r>
    <x v="0"/>
    <x v="0"/>
    <s v="SPXW"/>
    <x v="1"/>
    <x v="195"/>
    <s v="p"/>
    <n v="8.8699999999999992"/>
    <n v="25.8"/>
    <n v="3.76"/>
    <n v="9.4"/>
    <n v="4087"/>
    <n v="43"/>
    <n v="9.6999999999999993"/>
    <n v="39"/>
    <n v="9.9"/>
    <n v="0"/>
    <n v="0"/>
    <n v="0"/>
    <n v="0"/>
    <n v="0.1668"/>
    <n v="-0.25600000000000001"/>
    <n v="5.1000000000000004E-3"/>
    <n v="-9.6769999999999996"/>
    <n v="1.2313000000000001"/>
    <n v="-5.0799999999999998E-2"/>
    <n v="34"/>
    <n v="9.4"/>
    <n v="35"/>
    <n v="9.6999999999999993"/>
    <n v="0"/>
    <n v="0"/>
    <n v="10.946300000000001"/>
    <n v="410"/>
    <n v="0"/>
  </r>
  <r>
    <x v="0"/>
    <x v="0"/>
    <s v="SPXW"/>
    <x v="1"/>
    <x v="196"/>
    <s v="p"/>
    <n v="10.61"/>
    <n v="27.23"/>
    <n v="3.86"/>
    <n v="10.9"/>
    <n v="2562"/>
    <n v="50"/>
    <n v="10.7"/>
    <n v="30"/>
    <n v="10.9"/>
    <n v="0"/>
    <n v="0"/>
    <n v="0"/>
    <n v="0"/>
    <n v="0.16400000000000001"/>
    <n v="-0.27879999999999999"/>
    <n v="5.4000000000000003E-3"/>
    <n v="-10.6746"/>
    <n v="1.2829999999999999"/>
    <n v="-5.5300000000000002E-2"/>
    <n v="16"/>
    <n v="10.5"/>
    <n v="10"/>
    <n v="10.7"/>
    <n v="0"/>
    <n v="0"/>
    <n v="11.547000000000001"/>
    <n v="299"/>
    <n v="0"/>
  </r>
  <r>
    <x v="0"/>
    <x v="0"/>
    <s v="SPXW"/>
    <x v="1"/>
    <x v="197"/>
    <s v="p"/>
    <n v="10.37"/>
    <n v="30.2"/>
    <n v="4.45"/>
    <n v="11.75"/>
    <n v="3038"/>
    <n v="46"/>
    <n v="11.8"/>
    <n v="28"/>
    <n v="12"/>
    <n v="0"/>
    <n v="0"/>
    <n v="0"/>
    <n v="0"/>
    <n v="0.16120000000000001"/>
    <n v="-0.3034"/>
    <n v="5.7000000000000002E-3"/>
    <n v="-11.7723"/>
    <n v="1.3329"/>
    <n v="-6.0299999999999999E-2"/>
    <n v="33"/>
    <n v="11.6"/>
    <n v="28"/>
    <n v="11.9"/>
    <n v="0"/>
    <n v="0"/>
    <n v="12.4901"/>
    <n v="464"/>
    <n v="0"/>
  </r>
  <r>
    <x v="0"/>
    <x v="0"/>
    <s v="SPXW"/>
    <x v="1"/>
    <x v="198"/>
    <s v="p"/>
    <n v="11.54"/>
    <n v="31.2"/>
    <n v="4.8"/>
    <n v="13"/>
    <n v="4478"/>
    <n v="47"/>
    <n v="13"/>
    <n v="26"/>
    <n v="13.2"/>
    <n v="0"/>
    <n v="0"/>
    <n v="0"/>
    <n v="0"/>
    <n v="0.1583"/>
    <n v="-0.32969999999999999"/>
    <n v="6.0000000000000001E-3"/>
    <n v="-12.969099999999999"/>
    <n v="1.3781000000000001"/>
    <n v="-6.5500000000000003E-2"/>
    <n v="20"/>
    <n v="12.9"/>
    <n v="30"/>
    <n v="13.2"/>
    <n v="0"/>
    <n v="0"/>
    <n v="14.0829"/>
    <n v="534"/>
    <n v="0"/>
  </r>
  <r>
    <x v="0"/>
    <x v="0"/>
    <s v="SPXW"/>
    <x v="1"/>
    <x v="199"/>
    <s v="p"/>
    <n v="13.3"/>
    <n v="31.1"/>
    <n v="5.37"/>
    <n v="14.2"/>
    <n v="3510"/>
    <n v="43"/>
    <n v="14.3"/>
    <n v="6"/>
    <n v="14.5"/>
    <n v="0"/>
    <n v="0"/>
    <n v="0"/>
    <n v="0"/>
    <n v="0.1552"/>
    <n v="-0.35770000000000002"/>
    <n v="6.3E-3"/>
    <n v="-14.2661"/>
    <n v="1.4193"/>
    <n v="-7.1099999999999997E-2"/>
    <n v="10"/>
    <n v="14.3"/>
    <n v="8"/>
    <n v="14.5"/>
    <n v="0"/>
    <n v="0"/>
    <n v="15.882300000000001"/>
    <n v="479"/>
    <n v="0"/>
  </r>
  <r>
    <x v="0"/>
    <x v="0"/>
    <s v="SPXW"/>
    <x v="1"/>
    <x v="200"/>
    <s v="p"/>
    <n v="13.4"/>
    <n v="33.340000000000003"/>
    <n v="5.8"/>
    <n v="16"/>
    <n v="2405"/>
    <n v="11"/>
    <n v="15.8"/>
    <n v="26"/>
    <n v="16"/>
    <n v="0"/>
    <n v="0"/>
    <n v="0"/>
    <n v="0"/>
    <n v="0.15260000000000001"/>
    <n v="-0.38790000000000002"/>
    <n v="6.6E-3"/>
    <n v="-15.7615"/>
    <n v="1.4548000000000001"/>
    <n v="-7.7200000000000005E-2"/>
    <n v="9"/>
    <n v="15.8"/>
    <n v="28"/>
    <n v="16.100000000000001"/>
    <n v="0"/>
    <n v="0"/>
    <n v="17.3675"/>
    <n v="135"/>
    <n v="0"/>
  </r>
  <r>
    <x v="0"/>
    <x v="0"/>
    <s v="SPXW"/>
    <x v="1"/>
    <x v="201"/>
    <s v="p"/>
    <n v="14.7"/>
    <n v="35.9"/>
    <n v="6.41"/>
    <n v="17.399999999999999"/>
    <n v="3252"/>
    <n v="11"/>
    <n v="17.399999999999999"/>
    <n v="25"/>
    <n v="17.600000000000001"/>
    <n v="0"/>
    <n v="0"/>
    <n v="0"/>
    <n v="0"/>
    <n v="0.14899999999999999"/>
    <n v="-0.41949999999999998"/>
    <n v="6.8999999999999999E-3"/>
    <n v="-17.2376"/>
    <n v="1.4824999999999999"/>
    <n v="-8.3500000000000005E-2"/>
    <n v="9"/>
    <n v="17.5"/>
    <n v="8"/>
    <n v="17.7"/>
    <n v="0"/>
    <n v="0"/>
    <n v="19.1541"/>
    <n v="381"/>
    <n v="0"/>
  </r>
  <r>
    <x v="0"/>
    <x v="0"/>
    <s v="SPXW"/>
    <x v="1"/>
    <x v="202"/>
    <s v="p"/>
    <n v="16.47"/>
    <n v="41.99"/>
    <n v="7"/>
    <n v="19.3"/>
    <n v="3613"/>
    <n v="20"/>
    <n v="19.100000000000001"/>
    <n v="21"/>
    <n v="19.3"/>
    <n v="0"/>
    <n v="0"/>
    <n v="0"/>
    <n v="0"/>
    <n v="0.14630000000000001"/>
    <n v="-0.45340000000000003"/>
    <n v="7.1000000000000004E-3"/>
    <n v="-18.8172"/>
    <n v="1.5022"/>
    <n v="-9.0300000000000005E-2"/>
    <n v="8"/>
    <n v="19.3"/>
    <n v="17"/>
    <n v="19.600000000000001"/>
    <n v="0"/>
    <n v="0"/>
    <n v="20.6175"/>
    <n v="337"/>
    <n v="0"/>
  </r>
  <r>
    <x v="0"/>
    <x v="0"/>
    <s v="SPXW"/>
    <x v="1"/>
    <x v="203"/>
    <s v="p"/>
    <n v="17.32"/>
    <n v="43.18"/>
    <n v="7.7"/>
    <n v="21.05"/>
    <n v="10466"/>
    <n v="20"/>
    <n v="21"/>
    <n v="14"/>
    <n v="21.2"/>
    <n v="0"/>
    <n v="0"/>
    <n v="0"/>
    <n v="0"/>
    <n v="0.14319999999999999"/>
    <n v="-0.4889"/>
    <n v="7.3000000000000001E-3"/>
    <n v="-19.6051"/>
    <n v="1.5113000000000001"/>
    <n v="-9.7299999999999998E-2"/>
    <n v="11"/>
    <n v="21.3"/>
    <n v="10"/>
    <n v="21.6"/>
    <n v="0"/>
    <n v="0"/>
    <n v="20.851800000000001"/>
    <n v="2027"/>
    <n v="0"/>
  </r>
  <r>
    <x v="0"/>
    <x v="0"/>
    <s v="SPXW"/>
    <x v="1"/>
    <x v="204"/>
    <s v="p"/>
    <n v="19.399999999999999"/>
    <n v="42.4"/>
    <n v="8.5"/>
    <n v="23.5"/>
    <n v="2155"/>
    <n v="10"/>
    <n v="23.1"/>
    <n v="13"/>
    <n v="23.3"/>
    <n v="0"/>
    <n v="0"/>
    <n v="0"/>
    <n v="0"/>
    <n v="0.1396"/>
    <n v="-0.52610000000000001"/>
    <n v="7.4999999999999997E-3"/>
    <n v="-18.6815"/>
    <n v="1.5088999999999999"/>
    <n v="-0.1048"/>
    <n v="8"/>
    <n v="23.6"/>
    <n v="7"/>
    <n v="23.8"/>
    <n v="0"/>
    <n v="0"/>
    <n v="23.151700000000002"/>
    <n v="153"/>
    <n v="0"/>
  </r>
  <r>
    <x v="0"/>
    <x v="0"/>
    <s v="SPXW"/>
    <x v="1"/>
    <x v="205"/>
    <s v="p"/>
    <n v="21.77"/>
    <n v="45.3"/>
    <n v="9.48"/>
    <n v="26.8"/>
    <n v="2496"/>
    <n v="11"/>
    <n v="25.4"/>
    <n v="5"/>
    <n v="25.6"/>
    <n v="0"/>
    <n v="0"/>
    <n v="0"/>
    <n v="0"/>
    <n v="0.1366"/>
    <n v="-0.56469999999999998"/>
    <n v="7.6E-3"/>
    <n v="-16.521699999999999"/>
    <n v="1.4932000000000001"/>
    <n v="-0.1125"/>
    <n v="7"/>
    <n v="26"/>
    <n v="9"/>
    <n v="26.3"/>
    <n v="0"/>
    <n v="0"/>
    <n v="23.300699999999999"/>
    <n v="455"/>
    <n v="0"/>
  </r>
  <r>
    <x v="0"/>
    <x v="0"/>
    <s v="SPXW"/>
    <x v="1"/>
    <x v="206"/>
    <s v="p"/>
    <n v="22.94"/>
    <n v="48.8"/>
    <n v="10.5"/>
    <n v="30.18"/>
    <n v="1556"/>
    <n v="18"/>
    <n v="27.9"/>
    <n v="12"/>
    <n v="28.2"/>
    <n v="0"/>
    <n v="0"/>
    <n v="0"/>
    <n v="0"/>
    <n v="0.13400000000000001"/>
    <n v="-0.60399999999999998"/>
    <n v="7.6E-3"/>
    <n v="-14.130599999999999"/>
    <n v="1.4632000000000001"/>
    <n v="-0.12039999999999999"/>
    <n v="6"/>
    <n v="28.6"/>
    <n v="6"/>
    <n v="28.9"/>
    <n v="0"/>
    <n v="0"/>
    <n v="26.406700000000001"/>
    <n v="110"/>
    <n v="0"/>
  </r>
  <r>
    <x v="0"/>
    <x v="0"/>
    <s v="SPXW"/>
    <x v="1"/>
    <x v="207"/>
    <s v="p"/>
    <n v="24"/>
    <n v="52"/>
    <n v="11.4"/>
    <n v="32.450000000000003"/>
    <n v="2513"/>
    <n v="15"/>
    <n v="30.6"/>
    <n v="10"/>
    <n v="30.9"/>
    <n v="0"/>
    <n v="0"/>
    <n v="0"/>
    <n v="0"/>
    <n v="0.1313"/>
    <n v="-0.64390000000000003"/>
    <n v="7.4999999999999997E-3"/>
    <n v="-11.887499999999999"/>
    <n v="1.4181999999999999"/>
    <n v="-0.12839999999999999"/>
    <n v="4"/>
    <n v="31.5"/>
    <n v="6"/>
    <n v="31.8"/>
    <n v="0"/>
    <n v="0"/>
    <n v="26.054500000000001"/>
    <n v="283"/>
    <n v="0"/>
  </r>
  <r>
    <x v="0"/>
    <x v="0"/>
    <s v="SPXW"/>
    <x v="1"/>
    <x v="208"/>
    <s v="p"/>
    <n v="26.63"/>
    <n v="54.3"/>
    <n v="12.86"/>
    <n v="34.29"/>
    <n v="1789"/>
    <n v="4"/>
    <n v="33.6"/>
    <n v="2"/>
    <n v="33.9"/>
    <n v="0"/>
    <n v="0"/>
    <n v="0"/>
    <n v="0"/>
    <n v="0.12889999999999999"/>
    <n v="-0.6835"/>
    <n v="7.3000000000000001E-3"/>
    <n v="-9.8919999999999995"/>
    <n v="1.3587"/>
    <n v="-0.1363"/>
    <n v="15"/>
    <n v="34.1"/>
    <n v="3"/>
    <n v="35.1"/>
    <n v="0"/>
    <n v="0"/>
    <n v="27.44"/>
    <n v="205"/>
    <n v="0"/>
  </r>
  <r>
    <x v="0"/>
    <x v="0"/>
    <s v="SPXW"/>
    <x v="1"/>
    <x v="209"/>
    <s v="p"/>
    <n v="27.5"/>
    <n v="58.43"/>
    <n v="14.34"/>
    <n v="37.630000000000003"/>
    <n v="2080"/>
    <n v="26"/>
    <n v="36.299999999999997"/>
    <n v="7"/>
    <n v="37.4"/>
    <n v="0"/>
    <n v="0"/>
    <n v="0"/>
    <n v="0"/>
    <n v="0.126"/>
    <n v="-0.72319999999999995"/>
    <n v="7.0000000000000001E-3"/>
    <n v="-8.0466999999999995"/>
    <n v="1.2824"/>
    <n v="-0.14430000000000001"/>
    <n v="13"/>
    <n v="37.4"/>
    <n v="3"/>
    <n v="38.4"/>
    <n v="0"/>
    <n v="0"/>
    <n v="28.671199999999999"/>
    <n v="216"/>
    <n v="0"/>
  </r>
  <r>
    <x v="0"/>
    <x v="0"/>
    <s v="SPXW"/>
    <x v="1"/>
    <x v="210"/>
    <s v="p"/>
    <n v="30.31"/>
    <n v="59.29"/>
    <n v="16"/>
    <n v="43.12"/>
    <n v="1039"/>
    <n v="1"/>
    <n v="39.700000000000003"/>
    <n v="11"/>
    <n v="41"/>
    <n v="0"/>
    <n v="0"/>
    <n v="0"/>
    <n v="0"/>
    <n v="0.1246"/>
    <n v="-0.75929999999999997"/>
    <n v="6.6E-3"/>
    <n v="-6.6"/>
    <n v="1.1991000000000001"/>
    <n v="-0.1515"/>
    <n v="3"/>
    <n v="41"/>
    <n v="3"/>
    <n v="42"/>
    <n v="0"/>
    <n v="0"/>
    <n v="26.773900000000001"/>
    <n v="146"/>
    <n v="0"/>
  </r>
  <r>
    <x v="0"/>
    <x v="0"/>
    <s v="SPXW"/>
    <x v="1"/>
    <x v="211"/>
    <s v="p"/>
    <n v="34.17"/>
    <n v="66.66"/>
    <n v="17.7"/>
    <n v="46.7"/>
    <n v="1322"/>
    <n v="11"/>
    <n v="43.4"/>
    <n v="6"/>
    <n v="44.7"/>
    <n v="0"/>
    <n v="0"/>
    <n v="0"/>
    <n v="0"/>
    <n v="0.1232"/>
    <n v="-0.79320000000000002"/>
    <n v="6.1000000000000004E-3"/>
    <n v="-5.3531000000000004"/>
    <n v="1.1059000000000001"/>
    <n v="-0.15820000000000001"/>
    <n v="7"/>
    <n v="42.6"/>
    <n v="7"/>
    <n v="47.6"/>
    <n v="0"/>
    <n v="0"/>
    <n v="28.220400000000001"/>
    <n v="247"/>
    <n v="0"/>
  </r>
  <r>
    <x v="0"/>
    <x v="0"/>
    <s v="SPXW"/>
    <x v="1"/>
    <x v="212"/>
    <s v="p"/>
    <n v="35.51"/>
    <n v="76.040000000000006"/>
    <n v="19.899999999999999"/>
    <n v="51.29"/>
    <n v="506"/>
    <n v="6"/>
    <n v="47.4"/>
    <n v="6"/>
    <n v="48.6"/>
    <n v="0"/>
    <n v="0"/>
    <n v="0"/>
    <n v="0"/>
    <n v="0.1222"/>
    <n v="-0.82420000000000004"/>
    <n v="5.5999999999999999E-3"/>
    <n v="-4.3056000000000001"/>
    <n v="1.0078"/>
    <n v="-0.16450000000000001"/>
    <n v="7"/>
    <n v="46.7"/>
    <n v="7"/>
    <n v="51.7"/>
    <n v="0"/>
    <n v="0"/>
    <n v="34.845700000000001"/>
    <n v="104"/>
    <n v="0"/>
  </r>
  <r>
    <x v="0"/>
    <x v="0"/>
    <s v="SPXW"/>
    <x v="1"/>
    <x v="213"/>
    <s v="p"/>
    <n v="43.6"/>
    <n v="75"/>
    <n v="22.38"/>
    <n v="55.44"/>
    <n v="5218"/>
    <n v="1"/>
    <n v="51.4"/>
    <n v="6"/>
    <n v="52.8"/>
    <n v="0"/>
    <n v="0"/>
    <n v="0"/>
    <n v="0"/>
    <n v="0.12039999999999999"/>
    <n v="-0.85389999999999999"/>
    <n v="5.0000000000000001E-3"/>
    <n v="-3.3578000000000001"/>
    <n v="0.90090000000000003"/>
    <n v="-0.1704"/>
    <n v="7"/>
    <n v="50.9"/>
    <n v="7"/>
    <n v="55.6"/>
    <n v="0"/>
    <n v="0"/>
    <n v="44.890900000000002"/>
    <n v="340"/>
    <n v="0"/>
  </r>
  <r>
    <x v="0"/>
    <x v="0"/>
    <s v="SPXW"/>
    <x v="1"/>
    <x v="214"/>
    <s v="p"/>
    <n v="40.049999999999997"/>
    <n v="72.3"/>
    <n v="24.9"/>
    <n v="59.82"/>
    <n v="302"/>
    <n v="1"/>
    <n v="55.7"/>
    <n v="6"/>
    <n v="57.1"/>
    <n v="0"/>
    <n v="0"/>
    <n v="0"/>
    <n v="0"/>
    <n v="0.11990000000000001"/>
    <n v="-0.87839999999999996"/>
    <n v="4.4000000000000003E-3"/>
    <n v="-2.6595"/>
    <n v="0.80049999999999999"/>
    <n v="-0.17519999999999999"/>
    <n v="7"/>
    <n v="55.2"/>
    <n v="7"/>
    <n v="60"/>
    <n v="0"/>
    <n v="0"/>
    <n v="42.938299999999998"/>
    <n v="130"/>
    <n v="0"/>
  </r>
  <r>
    <x v="0"/>
    <x v="0"/>
    <s v="SPXW"/>
    <x v="1"/>
    <x v="215"/>
    <s v="p"/>
    <n v="46.49"/>
    <n v="72.290000000000006"/>
    <n v="27.8"/>
    <n v="57.85"/>
    <n v="265"/>
    <n v="6"/>
    <n v="60.2"/>
    <n v="6"/>
    <n v="61.5"/>
    <n v="0"/>
    <n v="0"/>
    <n v="0"/>
    <n v="0"/>
    <n v="0.1205"/>
    <n v="-0.89780000000000004"/>
    <n v="3.8999999999999998E-3"/>
    <n v="-2.1606000000000001"/>
    <n v="0.71319999999999995"/>
    <n v="-0.17910000000000001"/>
    <n v="7"/>
    <n v="59.9"/>
    <n v="7"/>
    <n v="64.5"/>
    <n v="0"/>
    <n v="0"/>
    <n v="37.994199999999999"/>
    <n v="88"/>
    <n v="0"/>
  </r>
  <r>
    <x v="0"/>
    <x v="0"/>
    <s v="SPXW"/>
    <x v="1"/>
    <x v="216"/>
    <s v="p"/>
    <n v="49.87"/>
    <n v="77.959999999999994"/>
    <n v="30.8"/>
    <n v="67.260000000000005"/>
    <n v="72"/>
    <n v="1"/>
    <n v="64.599999999999994"/>
    <n v="6"/>
    <n v="66.099999999999994"/>
    <n v="0"/>
    <n v="0"/>
    <n v="0"/>
    <n v="0"/>
    <n v="0.11890000000000001"/>
    <n v="-0.91879999999999995"/>
    <n v="3.3E-3"/>
    <n v="-1.6120000000000001"/>
    <n v="0.60899999999999999"/>
    <n v="-0.1832"/>
    <n v="7"/>
    <n v="64.3"/>
    <n v="7"/>
    <n v="69.099999999999994"/>
    <n v="0"/>
    <n v="0"/>
    <n v="53.903300000000002"/>
    <n v="138"/>
    <n v="0"/>
  </r>
  <r>
    <x v="0"/>
    <x v="0"/>
    <s v="SPXW"/>
    <x v="1"/>
    <x v="217"/>
    <s v="p"/>
    <n v="53.57"/>
    <n v="87.87"/>
    <n v="34.880000000000003"/>
    <n v="73.64"/>
    <n v="197"/>
    <n v="1"/>
    <n v="69.3"/>
    <n v="10"/>
    <n v="70.8"/>
    <n v="0"/>
    <n v="0"/>
    <n v="0"/>
    <n v="0"/>
    <n v="0.12"/>
    <n v="-0.93210000000000004"/>
    <n v="2.8999999999999998E-3"/>
    <n v="-1.3127"/>
    <n v="0.53580000000000005"/>
    <n v="-0.18590000000000001"/>
    <n v="7"/>
    <n v="69.099999999999994"/>
    <n v="7"/>
    <n v="73.8"/>
    <n v="0"/>
    <n v="0"/>
    <n v="63.777000000000001"/>
    <n v="74"/>
    <n v="0"/>
  </r>
  <r>
    <x v="0"/>
    <x v="0"/>
    <s v="SPXW"/>
    <x v="1"/>
    <x v="218"/>
    <s v="p"/>
    <n v="57.47"/>
    <n v="92.18"/>
    <n v="37.799999999999997"/>
    <n v="76.8"/>
    <n v="111"/>
    <n v="6"/>
    <n v="74.099999999999994"/>
    <n v="6"/>
    <n v="75.5"/>
    <n v="0"/>
    <n v="0"/>
    <n v="0"/>
    <n v="0"/>
    <n v="0.12239999999999999"/>
    <n v="-0.94169999999999998"/>
    <n v="2.5000000000000001E-3"/>
    <n v="-1.1132"/>
    <n v="0.4783"/>
    <n v="-0.18779999999999999"/>
    <n v="7"/>
    <n v="74"/>
    <n v="7"/>
    <n v="78.599999999999994"/>
    <n v="0"/>
    <n v="0"/>
    <n v="57.902500000000003"/>
    <n v="72"/>
    <n v="0"/>
  </r>
  <r>
    <x v="0"/>
    <x v="0"/>
    <s v="SPXW"/>
    <x v="1"/>
    <x v="219"/>
    <s v="p"/>
    <n v="62.2"/>
    <n v="81.47"/>
    <n v="41.92"/>
    <n v="81.47"/>
    <n v="65"/>
    <n v="1"/>
    <n v="78.8"/>
    <n v="6"/>
    <n v="80.3"/>
    <n v="0"/>
    <n v="0"/>
    <n v="0"/>
    <n v="0"/>
    <n v="0.1211"/>
    <n v="-0.95489999999999997"/>
    <n v="2.0999999999999999E-3"/>
    <n v="-0.81389999999999996"/>
    <n v="0.39629999999999999"/>
    <n v="-0.19040000000000001"/>
    <n v="7"/>
    <n v="78.7"/>
    <n v="7"/>
    <n v="83.4"/>
    <n v="0"/>
    <n v="0"/>
    <n v="48.253999999999998"/>
    <n v="89"/>
    <n v="0"/>
  </r>
  <r>
    <x v="0"/>
    <x v="0"/>
    <s v="SPXW"/>
    <x v="1"/>
    <x v="220"/>
    <s v="p"/>
    <n v="61.06"/>
    <n v="90.32"/>
    <n v="48.71"/>
    <n v="83.65"/>
    <n v="70"/>
    <n v="1"/>
    <n v="83.6"/>
    <n v="7"/>
    <n v="85.5"/>
    <n v="0"/>
    <n v="0"/>
    <n v="0"/>
    <n v="0"/>
    <n v="0.1235"/>
    <n v="-0.96120000000000005"/>
    <n v="1.8E-3"/>
    <n v="-0.69420000000000004"/>
    <n v="0.35270000000000001"/>
    <n v="-0.19159999999999999"/>
    <n v="7"/>
    <n v="83.6"/>
    <n v="7"/>
    <n v="88.4"/>
    <n v="0"/>
    <n v="0"/>
    <n v="75.952699999999993"/>
    <n v="19"/>
    <n v="0"/>
  </r>
  <r>
    <x v="0"/>
    <x v="0"/>
    <s v="SPXW"/>
    <x v="1"/>
    <x v="221"/>
    <s v="p"/>
    <n v="51.59"/>
    <n v="95.17"/>
    <n v="49.5"/>
    <n v="90.13"/>
    <n v="71"/>
    <n v="5"/>
    <n v="88.4"/>
    <n v="1"/>
    <n v="90.2"/>
    <n v="0"/>
    <n v="0"/>
    <n v="0"/>
    <n v="0"/>
    <n v="0.1231"/>
    <n v="-0.9698"/>
    <n v="1.5E-3"/>
    <n v="-0.51459999999999995"/>
    <n v="0.29120000000000001"/>
    <n v="-0.1933"/>
    <n v="6"/>
    <n v="88.5"/>
    <n v="6"/>
    <n v="93.5"/>
    <n v="0"/>
    <n v="0"/>
    <n v="86.761099999999999"/>
    <n v="13"/>
    <n v="0"/>
  </r>
  <r>
    <x v="0"/>
    <x v="0"/>
    <s v="SPXW"/>
    <x v="1"/>
    <x v="222"/>
    <s v="p"/>
    <n v="74.16"/>
    <n v="97.08"/>
    <n v="55.9"/>
    <n v="85.19"/>
    <n v="26"/>
    <n v="1"/>
    <n v="93.5"/>
    <n v="6"/>
    <n v="95.4"/>
    <n v="0"/>
    <n v="0"/>
    <n v="0"/>
    <n v="0"/>
    <n v="0.13150000000000001"/>
    <n v="-0.96819999999999995"/>
    <n v="1.4E-3"/>
    <n v="-0.58450000000000002"/>
    <n v="0.30080000000000001"/>
    <n v="-0.193"/>
    <n v="6"/>
    <n v="93.3"/>
    <n v="6"/>
    <n v="98.2"/>
    <n v="0"/>
    <n v="0"/>
    <n v="84.202699999999993"/>
    <n v="9"/>
    <n v="0"/>
  </r>
  <r>
    <x v="0"/>
    <x v="0"/>
    <s v="SPXW"/>
    <x v="1"/>
    <x v="223"/>
    <s v="p"/>
    <n v="78.819999999999993"/>
    <n v="111.3"/>
    <n v="58.63"/>
    <n v="99.95"/>
    <n v="61"/>
    <n v="1"/>
    <n v="98.4"/>
    <n v="1"/>
    <n v="102.8"/>
    <n v="0"/>
    <n v="0"/>
    <n v="0"/>
    <n v="0"/>
    <n v="0.1336"/>
    <n v="-0.97270000000000001"/>
    <n v="1.1999999999999999E-3"/>
    <n v="-0.49469999999999997"/>
    <n v="0.26590000000000003"/>
    <n v="-0.19389999999999999"/>
    <n v="6"/>
    <n v="98.4"/>
    <n v="6"/>
    <n v="103.4"/>
    <n v="0"/>
    <n v="0"/>
    <n v="92.264300000000006"/>
    <n v="86"/>
    <n v="0"/>
  </r>
  <r>
    <x v="0"/>
    <x v="0"/>
    <s v="SPXW"/>
    <x v="1"/>
    <x v="224"/>
    <s v="p"/>
    <n v="84.31"/>
    <n v="102.5"/>
    <n v="73.489999999999995"/>
    <n v="102.5"/>
    <n v="17"/>
    <n v="1"/>
    <n v="100.7"/>
    <n v="1"/>
    <n v="107.6"/>
    <n v="0"/>
    <n v="0"/>
    <n v="0"/>
    <n v="0"/>
    <n v="0.13789999999999999"/>
    <n v="-0.9748"/>
    <n v="1.1000000000000001E-3"/>
    <n v="-0.46479999999999999"/>
    <n v="0.24879999999999999"/>
    <n v="-0.1943"/>
    <n v="1"/>
    <n v="101.6"/>
    <n v="1"/>
    <n v="111.5"/>
    <n v="0"/>
    <n v="0"/>
    <n v="99.723500000000001"/>
    <n v="9"/>
    <n v="0"/>
  </r>
  <r>
    <x v="0"/>
    <x v="0"/>
    <s v="SPXW"/>
    <x v="1"/>
    <x v="225"/>
    <s v="p"/>
    <n v="103.41"/>
    <n v="103.41"/>
    <n v="100.52"/>
    <n v="100.52"/>
    <n v="4"/>
    <n v="1"/>
    <n v="105.9"/>
    <n v="1"/>
    <n v="112.7"/>
    <n v="0"/>
    <n v="0"/>
    <n v="0"/>
    <n v="0"/>
    <n v="0.15110000000000001"/>
    <n v="-0.96930000000000005"/>
    <n v="1.1999999999999999E-3"/>
    <n v="-0.64429999999999998"/>
    <n v="0.28799999999999998"/>
    <n v="-0.19320000000000001"/>
    <n v="1"/>
    <n v="104"/>
    <n v="1"/>
    <n v="118.4"/>
    <n v="0"/>
    <n v="0"/>
    <n v="101.24250000000001"/>
    <n v="73"/>
    <n v="0"/>
  </r>
  <r>
    <x v="0"/>
    <x v="0"/>
    <s v="SPXW"/>
    <x v="1"/>
    <x v="226"/>
    <s v="p"/>
    <n v="81.7"/>
    <n v="110.11"/>
    <n v="75"/>
    <n v="110.11"/>
    <n v="162"/>
    <n v="1"/>
    <n v="110.9"/>
    <n v="1"/>
    <n v="117.9"/>
    <n v="0"/>
    <n v="0"/>
    <n v="0"/>
    <n v="0"/>
    <n v="0.16070000000000001"/>
    <n v="-0.96699999999999997"/>
    <n v="1.1999999999999999E-3"/>
    <n v="-0.74409999999999998"/>
    <n v="0.30249999999999999"/>
    <n v="-0.1928"/>
    <n v="1"/>
    <n v="108.9"/>
    <n v="1"/>
    <n v="123.9"/>
    <n v="0"/>
    <n v="0"/>
    <n v="86.419899999999998"/>
    <n v="2"/>
    <n v="0"/>
  </r>
  <r>
    <x v="0"/>
    <x v="0"/>
    <s v="SPXW"/>
    <x v="1"/>
    <x v="227"/>
    <s v="p"/>
    <n v="90.8"/>
    <n v="130.65"/>
    <n v="90.8"/>
    <n v="119.16"/>
    <n v="16"/>
    <n v="1"/>
    <n v="115.6"/>
    <n v="1"/>
    <n v="122.8"/>
    <n v="0"/>
    <n v="0"/>
    <n v="0"/>
    <n v="0"/>
    <n v="0.1583"/>
    <n v="-0.97440000000000004"/>
    <n v="1E-3"/>
    <n v="-0.54459999999999997"/>
    <n v="0.24829999999999999"/>
    <n v="-0.19420000000000001"/>
    <n v="1"/>
    <n v="113.9"/>
    <n v="1"/>
    <n v="128.4"/>
    <n v="0"/>
    <n v="0"/>
    <n v="120.60250000000001"/>
    <n v="0"/>
    <n v="0"/>
  </r>
  <r>
    <x v="0"/>
    <x v="0"/>
    <s v="SPXW"/>
    <x v="1"/>
    <x v="228"/>
    <s v="p"/>
    <n v="102.76"/>
    <n v="122.51"/>
    <n v="87.72"/>
    <n v="122.51"/>
    <n v="3"/>
    <n v="1"/>
    <n v="120.8"/>
    <n v="1"/>
    <n v="127.6"/>
    <n v="0"/>
    <n v="0"/>
    <n v="0"/>
    <n v="0"/>
    <n v="0.1638"/>
    <n v="-0.97509999999999997"/>
    <n v="8.9999999999999998E-4"/>
    <n v="-0.54459999999999997"/>
    <n v="0.24179999999999999"/>
    <n v="-0.19439999999999999"/>
    <n v="1"/>
    <n v="118.9"/>
    <n v="3"/>
    <n v="134"/>
    <n v="0"/>
    <n v="0"/>
    <n v="104.33"/>
    <n v="7"/>
    <n v="0"/>
  </r>
  <r>
    <x v="0"/>
    <x v="0"/>
    <s v="SPXW"/>
    <x v="1"/>
    <x v="229"/>
    <s v="p"/>
    <n v="127.46"/>
    <n v="127.46"/>
    <n v="126.88"/>
    <n v="126.88"/>
    <n v="2"/>
    <n v="1"/>
    <n v="125.8"/>
    <n v="1"/>
    <n v="132.80000000000001"/>
    <n v="0"/>
    <n v="0"/>
    <n v="0"/>
    <n v="0"/>
    <n v="0.1739"/>
    <n v="-0.97270000000000001"/>
    <n v="1E-3"/>
    <n v="-0.64439999999999997"/>
    <n v="0.25850000000000001"/>
    <n v="-0.19389999999999999"/>
    <n v="1"/>
    <n v="123.9"/>
    <n v="1"/>
    <n v="138.9"/>
    <n v="0"/>
    <n v="0"/>
    <n v="127.17"/>
    <n v="1"/>
    <n v="0"/>
  </r>
  <r>
    <x v="0"/>
    <x v="0"/>
    <s v="SPXW"/>
    <x v="1"/>
    <x v="230"/>
    <s v="p"/>
    <n v="97.6"/>
    <n v="99.2"/>
    <n v="97.6"/>
    <n v="99.2"/>
    <n v="12"/>
    <n v="1"/>
    <n v="130.6"/>
    <n v="1"/>
    <n v="137.9"/>
    <n v="0"/>
    <n v="0"/>
    <n v="0"/>
    <n v="0"/>
    <n v="0.1772"/>
    <n v="-0.97489999999999999"/>
    <n v="8.9999999999999998E-4"/>
    <n v="-0.59450000000000003"/>
    <n v="0.24129999999999999"/>
    <n v="-0.1943"/>
    <n v="1"/>
    <n v="128.9"/>
    <n v="1"/>
    <n v="143.9"/>
    <n v="0"/>
    <n v="0"/>
    <n v="98.4"/>
    <n v="12"/>
    <n v="0"/>
  </r>
  <r>
    <x v="0"/>
    <x v="0"/>
    <s v="SPXW"/>
    <x v="1"/>
    <x v="231"/>
    <s v="p"/>
    <n v="151.18"/>
    <n v="151.18"/>
    <n v="151.18"/>
    <n v="151.18"/>
    <n v="1"/>
    <n v="1"/>
    <n v="135.80000000000001"/>
    <n v="1"/>
    <n v="142.9"/>
    <n v="0"/>
    <n v="0"/>
    <n v="0"/>
    <n v="0"/>
    <n v="0.18720000000000001"/>
    <n v="-0.97270000000000001"/>
    <n v="8.9999999999999998E-4"/>
    <n v="-0.69420000000000004"/>
    <n v="0.25679999999999997"/>
    <n v="-0.19389999999999999"/>
    <n v="1"/>
    <n v="133.9"/>
    <n v="1"/>
    <n v="148.30000000000001"/>
    <n v="0"/>
    <n v="0"/>
    <n v="151.18"/>
    <n v="2"/>
    <n v="0"/>
  </r>
  <r>
    <x v="0"/>
    <x v="0"/>
    <s v="SPXW"/>
    <x v="1"/>
    <x v="232"/>
    <s v="p"/>
    <n v="115.33"/>
    <n v="115.33"/>
    <n v="115.33"/>
    <n v="115.33"/>
    <n v="1"/>
    <n v="1"/>
    <n v="140.80000000000001"/>
    <n v="1"/>
    <n v="147.80000000000001"/>
    <n v="0"/>
    <n v="0"/>
    <n v="0"/>
    <n v="0"/>
    <n v="0.19059999999999999"/>
    <n v="-0.97470000000000001"/>
    <n v="8.0000000000000004E-4"/>
    <n v="-0.64439999999999997"/>
    <n v="0.2409"/>
    <n v="-0.1943"/>
    <n v="1"/>
    <n v="138.9"/>
    <n v="2"/>
    <n v="153.9"/>
    <n v="0"/>
    <n v="0"/>
    <n v="115.33"/>
    <n v="0"/>
    <n v="0"/>
  </r>
  <r>
    <x v="0"/>
    <x v="0"/>
    <s v="SPXW"/>
    <x v="1"/>
    <x v="233"/>
    <s v="p"/>
    <n v="115.86"/>
    <n v="149.69"/>
    <n v="106.78"/>
    <n v="149.69"/>
    <n v="16"/>
    <n v="1"/>
    <n v="145.5"/>
    <n v="1"/>
    <n v="152.80000000000001"/>
    <n v="0"/>
    <n v="0"/>
    <n v="0"/>
    <n v="0"/>
    <n v="0.1885"/>
    <n v="-0.97960000000000003"/>
    <n v="6.9999999999999999E-4"/>
    <n v="-0.49469999999999997"/>
    <n v="0.2026"/>
    <n v="-0.1953"/>
    <n v="1"/>
    <n v="143.9"/>
    <n v="1"/>
    <n v="158.30000000000001"/>
    <n v="0"/>
    <n v="0"/>
    <n v="120.81"/>
    <n v="12"/>
    <n v="0"/>
  </r>
  <r>
    <x v="0"/>
    <x v="0"/>
    <s v="SPXW"/>
    <x v="1"/>
    <x v="234"/>
    <s v="p"/>
    <n v="154.24"/>
    <n v="154.24"/>
    <n v="154.24"/>
    <n v="154.24"/>
    <n v="1"/>
    <n v="1"/>
    <n v="150.80000000000001"/>
    <n v="1"/>
    <n v="157.9"/>
    <n v="0"/>
    <n v="0"/>
    <n v="0"/>
    <n v="0"/>
    <n v="0.2039"/>
    <n v="-0.97460000000000002"/>
    <n v="8.0000000000000004E-4"/>
    <n v="-0.69430000000000003"/>
    <n v="0.24060000000000001"/>
    <n v="-0.1943"/>
    <n v="1"/>
    <n v="148.9"/>
    <n v="1"/>
    <n v="164.9"/>
    <n v="0"/>
    <n v="0"/>
    <n v="154.24"/>
    <n v="0"/>
    <n v="0"/>
  </r>
  <r>
    <x v="0"/>
    <x v="0"/>
    <s v="SPXW"/>
    <x v="1"/>
    <x v="235"/>
    <s v="p"/>
    <n v="0"/>
    <n v="0"/>
    <n v="0"/>
    <n v="0"/>
    <n v="0"/>
    <n v="1"/>
    <n v="155.80000000000001"/>
    <n v="1"/>
    <n v="162.6"/>
    <n v="0"/>
    <n v="0"/>
    <n v="0"/>
    <n v="0"/>
    <n v="0.20200000000000001"/>
    <n v="-0.97909999999999997"/>
    <n v="6.9999999999999999E-4"/>
    <n v="-0.54459999999999997"/>
    <n v="0.20499999999999999"/>
    <n v="-0.19520000000000001"/>
    <n v="1"/>
    <n v="153.9"/>
    <n v="1"/>
    <n v="169.9"/>
    <n v="0"/>
    <n v="0"/>
    <n v="0"/>
    <n v="0"/>
    <n v="0"/>
  </r>
  <r>
    <x v="0"/>
    <x v="0"/>
    <s v="SPXW"/>
    <x v="1"/>
    <x v="236"/>
    <s v="p"/>
    <n v="0"/>
    <n v="0"/>
    <n v="0"/>
    <n v="0"/>
    <n v="0"/>
    <n v="1"/>
    <n v="160.5"/>
    <n v="1"/>
    <n v="167.9"/>
    <n v="0"/>
    <n v="0"/>
    <n v="0"/>
    <n v="0"/>
    <n v="0.20730000000000001"/>
    <n v="-0.97960000000000003"/>
    <n v="5.9999999999999995E-4"/>
    <n v="-0.54459999999999997"/>
    <n v="0.20080000000000001"/>
    <n v="-0.1953"/>
    <n v="1"/>
    <n v="158.9"/>
    <n v="1"/>
    <n v="174.9"/>
    <n v="0"/>
    <n v="0"/>
    <n v="0"/>
    <n v="1"/>
    <n v="0"/>
  </r>
  <r>
    <x v="0"/>
    <x v="0"/>
    <s v="SPXW"/>
    <x v="1"/>
    <x v="237"/>
    <s v="p"/>
    <n v="166.84"/>
    <n v="179.06"/>
    <n v="166.84"/>
    <n v="169.19"/>
    <n v="13"/>
    <n v="1"/>
    <n v="165.8"/>
    <n v="1"/>
    <n v="172.6"/>
    <n v="0"/>
    <n v="0"/>
    <n v="0"/>
    <n v="0"/>
    <n v="0.2127"/>
    <n v="-0.98"/>
    <n v="5.9999999999999995E-4"/>
    <n v="-0.54459999999999997"/>
    <n v="0.19689999999999999"/>
    <n v="-0.1953"/>
    <n v="1"/>
    <n v="163.9"/>
    <n v="1"/>
    <n v="179.9"/>
    <n v="0"/>
    <n v="0"/>
    <n v="174.0369"/>
    <n v="1"/>
    <n v="0"/>
  </r>
  <r>
    <x v="0"/>
    <x v="0"/>
    <s v="SPXW"/>
    <x v="1"/>
    <x v="238"/>
    <s v="p"/>
    <n v="0"/>
    <n v="0"/>
    <n v="0"/>
    <n v="0"/>
    <n v="0"/>
    <n v="1"/>
    <n v="170.8"/>
    <n v="1"/>
    <n v="177.8"/>
    <n v="0"/>
    <n v="0"/>
    <n v="0"/>
    <n v="0"/>
    <n v="0.22339999999999999"/>
    <n v="-0.97789999999999999"/>
    <n v="5.9999999999999995E-4"/>
    <n v="-0.64439999999999997"/>
    <n v="0.21299999999999999"/>
    <n v="-0.19489999999999999"/>
    <n v="1"/>
    <n v="168.9"/>
    <n v="1"/>
    <n v="184.9"/>
    <n v="0"/>
    <n v="0"/>
    <n v="0"/>
    <n v="2"/>
    <n v="0"/>
  </r>
  <r>
    <x v="0"/>
    <x v="0"/>
    <s v="SPXW"/>
    <x v="1"/>
    <x v="239"/>
    <s v="p"/>
    <n v="0"/>
    <n v="0"/>
    <n v="0"/>
    <n v="0"/>
    <n v="0"/>
    <n v="1"/>
    <n v="175.5"/>
    <n v="1"/>
    <n v="182.5"/>
    <n v="0"/>
    <n v="0"/>
    <n v="0"/>
    <n v="0"/>
    <n v="0.21"/>
    <n v="-0.98619999999999997"/>
    <n v="4.0000000000000002E-4"/>
    <n v="-0.34510000000000002"/>
    <n v="0.14510000000000001"/>
    <n v="-0.1966"/>
    <n v="1"/>
    <n v="173.9"/>
    <n v="1"/>
    <n v="189.9"/>
    <n v="0"/>
    <n v="0"/>
    <n v="0"/>
    <n v="0"/>
    <n v="0"/>
  </r>
  <r>
    <x v="0"/>
    <x v="0"/>
    <s v="SPXW"/>
    <x v="1"/>
    <x v="240"/>
    <s v="p"/>
    <n v="0"/>
    <n v="0"/>
    <n v="0"/>
    <n v="0"/>
    <n v="0"/>
    <n v="1"/>
    <n v="180.8"/>
    <n v="1"/>
    <n v="187.6"/>
    <n v="0"/>
    <n v="0"/>
    <n v="0"/>
    <n v="0"/>
    <n v="0.2286"/>
    <n v="-0.98119999999999996"/>
    <n v="5.0000000000000001E-4"/>
    <n v="-0.54469999999999996"/>
    <n v="0.18609999999999999"/>
    <n v="-0.1956"/>
    <n v="1"/>
    <n v="178.9"/>
    <n v="1"/>
    <n v="194.9"/>
    <n v="0"/>
    <n v="0"/>
    <n v="0"/>
    <n v="0"/>
    <n v="0"/>
  </r>
  <r>
    <x v="0"/>
    <x v="0"/>
    <s v="SPXW"/>
    <x v="1"/>
    <x v="241"/>
    <s v="p"/>
    <n v="184.08"/>
    <n v="184.08"/>
    <n v="184.08"/>
    <n v="184.08"/>
    <n v="2"/>
    <n v="1"/>
    <n v="185.8"/>
    <n v="1"/>
    <n v="192.7"/>
    <n v="0"/>
    <n v="0"/>
    <n v="0"/>
    <n v="0"/>
    <n v="0.23669999999999999"/>
    <n v="-0.98029999999999995"/>
    <n v="5.0000000000000001E-4"/>
    <n v="-0.59450000000000003"/>
    <n v="0.19239999999999999"/>
    <n v="-0.19539999999999999"/>
    <n v="1"/>
    <n v="183.9"/>
    <n v="1"/>
    <n v="199.9"/>
    <n v="0"/>
    <n v="0"/>
    <n v="184.08"/>
    <n v="1"/>
    <n v="0"/>
  </r>
  <r>
    <x v="0"/>
    <x v="0"/>
    <s v="SPXW"/>
    <x v="1"/>
    <x v="242"/>
    <s v="p"/>
    <n v="0"/>
    <n v="0"/>
    <n v="0"/>
    <n v="0"/>
    <n v="0"/>
    <n v="1"/>
    <n v="190.5"/>
    <n v="1"/>
    <n v="197.5"/>
    <n v="0"/>
    <n v="0"/>
    <n v="0"/>
    <n v="0"/>
    <n v="0.22509999999999999"/>
    <n v="-0.98699999999999999"/>
    <n v="4.0000000000000002E-4"/>
    <n v="-0.34510000000000002"/>
    <n v="0.13719999999999999"/>
    <n v="-0.19670000000000001"/>
    <n v="1"/>
    <n v="188.9"/>
    <n v="1"/>
    <n v="204.9"/>
    <n v="0"/>
    <n v="0"/>
    <n v="0"/>
    <n v="0"/>
    <n v="0"/>
  </r>
  <r>
    <x v="0"/>
    <x v="0"/>
    <s v="SPXW"/>
    <x v="1"/>
    <x v="243"/>
    <s v="p"/>
    <n v="165.81"/>
    <n v="195.56"/>
    <n v="157.69"/>
    <n v="195.56"/>
    <n v="9"/>
    <n v="1"/>
    <n v="195.7"/>
    <n v="1"/>
    <n v="202.6"/>
    <n v="0"/>
    <n v="0"/>
    <n v="0"/>
    <n v="0"/>
    <n v="0.24110000000000001"/>
    <n v="-0.98340000000000005"/>
    <n v="5.0000000000000001E-4"/>
    <n v="-0.49480000000000002"/>
    <n v="0.1671"/>
    <n v="-0.19600000000000001"/>
    <n v="1"/>
    <n v="193.9"/>
    <n v="1"/>
    <n v="209.9"/>
    <n v="0"/>
    <n v="0"/>
    <n v="163.62219999999999"/>
    <n v="1"/>
    <n v="0"/>
  </r>
  <r>
    <x v="0"/>
    <x v="0"/>
    <s v="SPXW"/>
    <x v="1"/>
    <x v="244"/>
    <s v="p"/>
    <n v="203.55"/>
    <n v="203.55"/>
    <n v="203.55"/>
    <n v="203.55"/>
    <n v="9"/>
    <n v="1"/>
    <n v="196.9"/>
    <n v="1"/>
    <n v="209.9"/>
    <n v="0"/>
    <n v="0"/>
    <n v="0"/>
    <n v="0"/>
    <n v="0.39460000000000001"/>
    <n v="-0.90739999999999998"/>
    <n v="1.1000000000000001E-3"/>
    <n v="-6.2309000000000001"/>
    <n v="0.63549999999999995"/>
    <n v="-0.18099999999999999"/>
    <n v="1"/>
    <n v="198.9"/>
    <n v="1"/>
    <n v="214.9"/>
    <n v="0"/>
    <n v="0"/>
    <n v="203.55"/>
    <n v="0"/>
    <n v="0"/>
  </r>
  <r>
    <x v="0"/>
    <x v="0"/>
    <s v="SPXW"/>
    <x v="1"/>
    <x v="245"/>
    <s v="p"/>
    <n v="0"/>
    <n v="0"/>
    <n v="0"/>
    <n v="0"/>
    <n v="0"/>
    <n v="1"/>
    <n v="201.9"/>
    <n v="1"/>
    <n v="215.4"/>
    <n v="0"/>
    <n v="0"/>
    <n v="0"/>
    <n v="0"/>
    <n v="0.17710000000000001"/>
    <n v="-0.99890000000000001"/>
    <n v="1E-4"/>
    <n v="0"/>
    <n v="1.7299999999999999E-2"/>
    <n v="-0.19900000000000001"/>
    <n v="1"/>
    <n v="201.4"/>
    <n v="1"/>
    <n v="222.5"/>
    <n v="0"/>
    <n v="0"/>
    <n v="0"/>
    <n v="0"/>
    <n v="0"/>
  </r>
  <r>
    <x v="0"/>
    <x v="0"/>
    <s v="SPXW"/>
    <x v="1"/>
    <x v="246"/>
    <s v="p"/>
    <n v="0"/>
    <n v="0"/>
    <n v="0"/>
    <n v="0"/>
    <n v="0"/>
    <n v="1"/>
    <n v="208"/>
    <n v="1"/>
    <n v="220.3"/>
    <n v="0"/>
    <n v="0"/>
    <n v="0"/>
    <n v="0"/>
    <n v="0.25650000000000001"/>
    <n v="-0.98419999999999996"/>
    <n v="4.0000000000000002E-4"/>
    <n v="-0.49480000000000002"/>
    <n v="0.15920000000000001"/>
    <n v="-0.19620000000000001"/>
    <n v="1"/>
    <n v="206.3"/>
    <n v="1"/>
    <n v="228.9"/>
    <n v="0"/>
    <n v="0"/>
    <n v="0"/>
    <n v="0"/>
    <n v="0"/>
  </r>
  <r>
    <x v="0"/>
    <x v="0"/>
    <s v="SPXW"/>
    <x v="1"/>
    <x v="247"/>
    <s v="p"/>
    <n v="0"/>
    <n v="0"/>
    <n v="0"/>
    <n v="0"/>
    <n v="0"/>
    <n v="1"/>
    <n v="209.3"/>
    <n v="1"/>
    <n v="228.1"/>
    <n v="0"/>
    <n v="0"/>
    <n v="0"/>
    <n v="0"/>
    <n v="0.20730000000000001"/>
    <n v="-0.99680000000000002"/>
    <n v="1E-4"/>
    <n v="-4.5900000000000003E-2"/>
    <n v="4.1599999999999998E-2"/>
    <n v="-0.1986"/>
    <n v="1"/>
    <n v="211.4"/>
    <n v="1"/>
    <n v="232.5"/>
    <n v="0"/>
    <n v="0"/>
    <n v="0"/>
    <n v="0"/>
    <n v="0"/>
  </r>
  <r>
    <x v="0"/>
    <x v="0"/>
    <s v="SPXW"/>
    <x v="1"/>
    <x v="248"/>
    <s v="p"/>
    <n v="0"/>
    <n v="0"/>
    <n v="0"/>
    <n v="0"/>
    <n v="0"/>
    <n v="1"/>
    <n v="214.9"/>
    <n v="1"/>
    <n v="233.4"/>
    <n v="0"/>
    <n v="0"/>
    <n v="0"/>
    <n v="0"/>
    <n v="0.26669999999999999"/>
    <n v="-0.98470000000000002"/>
    <n v="4.0000000000000002E-4"/>
    <n v="-0.49480000000000002"/>
    <n v="0.15440000000000001"/>
    <n v="-0.1963"/>
    <n v="1"/>
    <n v="214.8"/>
    <n v="1"/>
    <n v="233.5"/>
    <n v="0"/>
    <n v="0"/>
    <n v="0"/>
    <n v="0"/>
    <n v="0"/>
  </r>
  <r>
    <x v="0"/>
    <x v="0"/>
    <s v="SPXW"/>
    <x v="1"/>
    <x v="249"/>
    <s v="p"/>
    <n v="0"/>
    <n v="0"/>
    <n v="0"/>
    <n v="0"/>
    <n v="0"/>
    <n v="1"/>
    <n v="219.9"/>
    <n v="1"/>
    <n v="238"/>
    <n v="0"/>
    <n v="0"/>
    <n v="0"/>
    <n v="0"/>
    <n v="0.25509999999999999"/>
    <n v="-0.98970000000000002"/>
    <n v="2.9999999999999997E-4"/>
    <n v="-0.29530000000000001"/>
    <n v="0.11169999999999999"/>
    <n v="-0.19719999999999999"/>
    <n v="1"/>
    <n v="221.3"/>
    <n v="1"/>
    <n v="242.7"/>
    <n v="0"/>
    <n v="0"/>
    <n v="0"/>
    <n v="0"/>
    <n v="0"/>
  </r>
  <r>
    <x v="0"/>
    <x v="0"/>
    <s v="SPXW"/>
    <x v="1"/>
    <x v="250"/>
    <s v="p"/>
    <n v="0"/>
    <n v="0"/>
    <n v="0"/>
    <n v="0"/>
    <n v="0"/>
    <n v="1"/>
    <n v="224.9"/>
    <n v="1"/>
    <n v="243.6"/>
    <n v="0"/>
    <n v="0"/>
    <n v="0"/>
    <n v="0"/>
    <n v="0.28370000000000001"/>
    <n v="-0.98309999999999997"/>
    <n v="4.0000000000000002E-4"/>
    <n v="-0.59450000000000003"/>
    <n v="0.16739999999999999"/>
    <n v="-0.19589999999999999"/>
    <n v="1"/>
    <n v="224.2"/>
    <n v="1"/>
    <n v="243.7"/>
    <n v="0"/>
    <n v="0"/>
    <n v="0"/>
    <n v="0"/>
    <n v="0"/>
  </r>
  <r>
    <x v="0"/>
    <x v="0"/>
    <s v="SPXW"/>
    <x v="1"/>
    <x v="251"/>
    <s v="p"/>
    <n v="0"/>
    <n v="0"/>
    <n v="0"/>
    <n v="0"/>
    <n v="0"/>
    <n v="1"/>
    <n v="229.9"/>
    <n v="1"/>
    <n v="248"/>
    <n v="0"/>
    <n v="0"/>
    <n v="0"/>
    <n v="0"/>
    <n v="0.26469999999999999"/>
    <n v="-0.99"/>
    <n v="2.9999999999999997E-4"/>
    <n v="-0.29530000000000001"/>
    <n v="0.1085"/>
    <n v="-0.1973"/>
    <n v="1"/>
    <n v="231.3"/>
    <n v="1"/>
    <n v="253.8"/>
    <n v="0"/>
    <n v="0"/>
    <n v="0"/>
    <n v="0"/>
    <n v="0"/>
  </r>
  <r>
    <x v="0"/>
    <x v="0"/>
    <s v="SPXW"/>
    <x v="1"/>
    <x v="252"/>
    <s v="p"/>
    <n v="0"/>
    <n v="0"/>
    <n v="0"/>
    <n v="0"/>
    <n v="0"/>
    <n v="1"/>
    <n v="234.9"/>
    <n v="1"/>
    <n v="253"/>
    <n v="0"/>
    <n v="0"/>
    <n v="0"/>
    <n v="0"/>
    <n v="0.26960000000000001"/>
    <n v="-0.99009999999999998"/>
    <n v="2.9999999999999997E-4"/>
    <n v="-0.29530000000000001"/>
    <n v="0.107"/>
    <n v="-0.1973"/>
    <n v="1"/>
    <n v="236.3"/>
    <n v="1"/>
    <n v="258.60000000000002"/>
    <n v="0"/>
    <n v="0"/>
    <n v="0"/>
    <n v="0"/>
    <n v="0"/>
  </r>
  <r>
    <x v="0"/>
    <x v="0"/>
    <s v="SPXW"/>
    <x v="1"/>
    <x v="253"/>
    <s v="p"/>
    <n v="0"/>
    <n v="0"/>
    <n v="0"/>
    <n v="0"/>
    <n v="0"/>
    <n v="1"/>
    <n v="239.9"/>
    <n v="1"/>
    <n v="258.5"/>
    <n v="0"/>
    <n v="0"/>
    <n v="0"/>
    <n v="0"/>
    <n v="0.29559999999999997"/>
    <n v="-0.98480000000000001"/>
    <n v="2.9999999999999997E-4"/>
    <n v="-0.54469999999999996"/>
    <n v="0.15240000000000001"/>
    <n v="-0.1963"/>
    <n v="1"/>
    <n v="240.3"/>
    <n v="1"/>
    <n v="258.60000000000002"/>
    <n v="0"/>
    <n v="0"/>
    <n v="0"/>
    <n v="0"/>
    <n v="0"/>
  </r>
  <r>
    <x v="0"/>
    <x v="0"/>
    <s v="SPXW"/>
    <x v="1"/>
    <x v="254"/>
    <s v="p"/>
    <n v="0"/>
    <n v="0"/>
    <n v="0"/>
    <n v="0"/>
    <n v="0"/>
    <n v="1"/>
    <n v="248.1"/>
    <n v="1"/>
    <n v="268.39999999999998"/>
    <n v="0"/>
    <n v="0"/>
    <n v="0"/>
    <n v="0"/>
    <n v="0.52700000000000002"/>
    <n v="-0.89449999999999996"/>
    <n v="8.9999999999999998E-4"/>
    <n v="-9.7225000000000001"/>
    <n v="0.69499999999999995"/>
    <n v="-0.17849999999999999"/>
    <n v="1"/>
    <n v="249.8"/>
    <n v="1"/>
    <n v="268.5"/>
    <n v="0"/>
    <n v="0"/>
    <n v="0"/>
    <n v="0"/>
    <n v="0"/>
  </r>
  <r>
    <x v="0"/>
    <x v="0"/>
    <s v="SPXW"/>
    <x v="1"/>
    <x v="255"/>
    <s v="p"/>
    <n v="0"/>
    <n v="0"/>
    <n v="0"/>
    <n v="0"/>
    <n v="0"/>
    <n v="1"/>
    <n v="258.10000000000002"/>
    <n v="1"/>
    <n v="278"/>
    <n v="0"/>
    <n v="0"/>
    <n v="0"/>
    <n v="0"/>
    <n v="0.53539999999999999"/>
    <n v="-0.89939999999999998"/>
    <n v="8.9999999999999998E-4"/>
    <n v="-9.3234999999999992"/>
    <n v="0.67130000000000001"/>
    <n v="-0.1794"/>
    <n v="1"/>
    <n v="261.3"/>
    <n v="1"/>
    <n v="283.39999999999998"/>
    <n v="0"/>
    <n v="0"/>
    <n v="0"/>
    <n v="0"/>
    <n v="0"/>
  </r>
  <r>
    <x v="0"/>
    <x v="0"/>
    <s v="SPXW"/>
    <x v="1"/>
    <x v="256"/>
    <s v="p"/>
    <n v="0"/>
    <n v="0"/>
    <n v="0"/>
    <n v="0"/>
    <n v="0"/>
    <n v="1"/>
    <n v="263.10000000000002"/>
    <n v="1"/>
    <n v="283.3"/>
    <n v="0"/>
    <n v="0"/>
    <n v="0"/>
    <n v="0"/>
    <n v="0.54710000000000003"/>
    <n v="-0.89849999999999997"/>
    <n v="8.9999999999999998E-4"/>
    <n v="-9.6227"/>
    <n v="0.67520000000000002"/>
    <n v="-0.17929999999999999"/>
    <n v="1"/>
    <n v="265.3"/>
    <n v="1"/>
    <n v="283.39999999999998"/>
    <n v="0"/>
    <n v="0"/>
    <n v="0"/>
    <n v="0"/>
    <n v="0"/>
  </r>
  <r>
    <x v="0"/>
    <x v="0"/>
    <s v="SPXW"/>
    <x v="1"/>
    <x v="257"/>
    <s v="p"/>
    <n v="0"/>
    <n v="0"/>
    <n v="0"/>
    <n v="0"/>
    <n v="0"/>
    <n v="1"/>
    <n v="268.10000000000002"/>
    <n v="1"/>
    <n v="288"/>
    <n v="0"/>
    <n v="0"/>
    <n v="0"/>
    <n v="0"/>
    <n v="0.54969999999999997"/>
    <n v="-0.90149999999999997"/>
    <n v="8.0000000000000004E-4"/>
    <n v="-9.3234999999999992"/>
    <n v="0.66059999999999997"/>
    <n v="-0.1799"/>
    <n v="1"/>
    <n v="271.3"/>
    <n v="1"/>
    <n v="293.39999999999998"/>
    <n v="0"/>
    <n v="0"/>
    <n v="0"/>
    <n v="0"/>
    <n v="0"/>
  </r>
  <r>
    <x v="0"/>
    <x v="0"/>
    <s v="SPXW"/>
    <x v="1"/>
    <x v="258"/>
    <s v="p"/>
    <n v="0"/>
    <n v="0"/>
    <n v="0"/>
    <n v="0"/>
    <n v="0"/>
    <n v="1"/>
    <n v="277.89999999999998"/>
    <n v="1"/>
    <n v="298"/>
    <n v="0"/>
    <n v="0"/>
    <n v="0"/>
    <n v="0"/>
    <n v="0.56379999999999997"/>
    <n v="-0.90349999999999997"/>
    <n v="8.0000000000000004E-4"/>
    <n v="-9.3234999999999992"/>
    <n v="0.65049999999999997"/>
    <n v="-0.18029999999999999"/>
    <n v="1"/>
    <n v="281.3"/>
    <n v="1"/>
    <n v="303.39999999999998"/>
    <n v="0"/>
    <n v="0"/>
    <n v="0"/>
    <n v="0"/>
    <n v="0"/>
  </r>
  <r>
    <x v="0"/>
    <x v="0"/>
    <s v="SPXW"/>
    <x v="1"/>
    <x v="259"/>
    <s v="p"/>
    <n v="301.70999999999998"/>
    <n v="301.70999999999998"/>
    <n v="301.70999999999998"/>
    <n v="301.70999999999998"/>
    <n v="1"/>
    <n v="1"/>
    <n v="287.89999999999998"/>
    <n v="1"/>
    <n v="308.2"/>
    <n v="0"/>
    <n v="0"/>
    <n v="0"/>
    <n v="0"/>
    <n v="0.56610000000000005"/>
    <n v="-0.91010000000000002"/>
    <n v="8.0000000000000004E-4"/>
    <n v="-8.5940999999999992"/>
    <n v="0.61809999999999998"/>
    <n v="-0.18160000000000001"/>
    <n v="1"/>
    <n v="291.39999999999998"/>
    <n v="1"/>
    <n v="313.39999999999998"/>
    <n v="0"/>
    <n v="0"/>
    <n v="301.70999999999998"/>
    <n v="1"/>
    <n v="0"/>
  </r>
  <r>
    <x v="0"/>
    <x v="0"/>
    <s v="SPXW"/>
    <x v="1"/>
    <x v="260"/>
    <s v="p"/>
    <n v="0"/>
    <n v="0"/>
    <n v="0"/>
    <n v="0"/>
    <n v="0"/>
    <n v="1"/>
    <n v="298.10000000000002"/>
    <n v="1"/>
    <n v="318.10000000000002"/>
    <n v="0"/>
    <n v="0"/>
    <n v="0"/>
    <n v="0"/>
    <n v="0.59140000000000004"/>
    <n v="-0.90739999999999998"/>
    <n v="6.9999999999999999E-4"/>
    <n v="-9.2922999999999991"/>
    <n v="0.63080000000000003"/>
    <n v="-0.18110000000000001"/>
    <n v="1"/>
    <n v="301.3"/>
    <n v="1"/>
    <n v="323.39999999999998"/>
    <n v="0"/>
    <n v="0"/>
    <n v="0"/>
    <n v="0"/>
    <n v="0"/>
  </r>
  <r>
    <x v="0"/>
    <x v="0"/>
    <s v="SPXW"/>
    <x v="1"/>
    <x v="261"/>
    <s v="p"/>
    <n v="0"/>
    <n v="0"/>
    <n v="0"/>
    <n v="0"/>
    <n v="0"/>
    <n v="1"/>
    <n v="308.10000000000002"/>
    <n v="2"/>
    <n v="328.7"/>
    <n v="0"/>
    <n v="0"/>
    <n v="0"/>
    <n v="0"/>
    <n v="0.6149"/>
    <n v="-0.90559999999999996"/>
    <n v="6.9999999999999999E-4"/>
    <n v="-9.8907000000000007"/>
    <n v="0.63959999999999995"/>
    <n v="-0.1807"/>
    <n v="1"/>
    <n v="309.10000000000002"/>
    <n v="1"/>
    <n v="328.7"/>
    <n v="0"/>
    <n v="0"/>
    <n v="0"/>
    <n v="0"/>
    <n v="0"/>
  </r>
  <r>
    <x v="0"/>
    <x v="0"/>
    <s v="SPXW"/>
    <x v="1"/>
    <x v="262"/>
    <s v="p"/>
    <n v="0"/>
    <n v="0"/>
    <n v="0"/>
    <n v="0"/>
    <n v="0"/>
    <n v="1"/>
    <n v="312.89999999999998"/>
    <n v="1"/>
    <n v="332.5"/>
    <n v="0"/>
    <n v="0"/>
    <n v="0"/>
    <n v="0"/>
    <n v="0.60040000000000004"/>
    <n v="-0.9143"/>
    <n v="6.9999999999999999E-4"/>
    <n v="-8.5940999999999992"/>
    <n v="0.59630000000000005"/>
    <n v="-0.18240000000000001"/>
    <n v="1"/>
    <n v="315.7"/>
    <n v="1"/>
    <n v="338.4"/>
    <n v="0"/>
    <n v="0"/>
    <n v="0"/>
    <n v="0"/>
    <n v="0"/>
  </r>
  <r>
    <x v="0"/>
    <x v="0"/>
    <s v="SPXW"/>
    <x v="1"/>
    <x v="263"/>
    <s v="p"/>
    <n v="0"/>
    <n v="0"/>
    <n v="0"/>
    <n v="0"/>
    <n v="0"/>
    <n v="1"/>
    <n v="338.1"/>
    <n v="1"/>
    <n v="357.5"/>
    <n v="0"/>
    <n v="0"/>
    <n v="0"/>
    <n v="0"/>
    <n v="0.63419999999999999"/>
    <n v="-0.91800000000000004"/>
    <n v="5.9999999999999995E-4"/>
    <n v="-8.5940999999999992"/>
    <n v="0.57630000000000003"/>
    <n v="-0.18310000000000001"/>
    <n v="1"/>
    <n v="340.7"/>
    <n v="2"/>
    <n v="363.4"/>
    <n v="0"/>
    <n v="0"/>
    <n v="0"/>
    <n v="0"/>
    <n v="0"/>
  </r>
  <r>
    <x v="0"/>
    <x v="0"/>
    <s v="SPXW"/>
    <x v="1"/>
    <x v="264"/>
    <s v="p"/>
    <n v="0"/>
    <n v="0"/>
    <n v="0"/>
    <n v="0"/>
    <n v="0"/>
    <n v="1"/>
    <n v="363.1"/>
    <n v="1"/>
    <n v="383.2"/>
    <n v="0"/>
    <n v="0"/>
    <n v="0"/>
    <n v="0"/>
    <n v="0.66749999999999998"/>
    <n v="-0.9214"/>
    <n v="5.9999999999999995E-4"/>
    <n v="-8.5940999999999992"/>
    <n v="0.55779999999999996"/>
    <n v="-0.18379999999999999"/>
    <n v="1"/>
    <n v="366.3"/>
    <n v="1"/>
    <n v="388.8"/>
    <n v="0"/>
    <n v="0"/>
    <n v="0"/>
    <n v="0"/>
    <n v="0"/>
  </r>
  <r>
    <x v="0"/>
    <x v="0"/>
    <s v="SPXW"/>
    <x v="1"/>
    <x v="265"/>
    <s v="p"/>
    <n v="0"/>
    <n v="0"/>
    <n v="0"/>
    <n v="0"/>
    <n v="0"/>
    <n v="1"/>
    <n v="387.9"/>
    <n v="1"/>
    <n v="407.8"/>
    <n v="0"/>
    <n v="0"/>
    <n v="0"/>
    <n v="0"/>
    <n v="0.70030000000000003"/>
    <n v="-0.9244"/>
    <n v="5.0000000000000001E-4"/>
    <n v="-8.5939999999999994"/>
    <n v="0.54079999999999995"/>
    <n v="-0.18440000000000001"/>
    <n v="1"/>
    <n v="391.2"/>
    <n v="1"/>
    <n v="413.2"/>
    <n v="0"/>
    <n v="0"/>
    <n v="0"/>
    <n v="0"/>
    <n v="0"/>
  </r>
  <r>
    <x v="0"/>
    <x v="0"/>
    <s v="SPXW"/>
    <x v="1"/>
    <x v="266"/>
    <s v="p"/>
    <n v="0"/>
    <n v="0"/>
    <n v="0"/>
    <n v="0"/>
    <n v="0"/>
    <n v="1"/>
    <n v="412.9"/>
    <n v="1"/>
    <n v="433.7"/>
    <n v="0"/>
    <n v="0"/>
    <n v="0"/>
    <n v="0"/>
    <n v="0.73270000000000002"/>
    <n v="-0.92710000000000004"/>
    <n v="5.0000000000000001E-4"/>
    <n v="-8.5942000000000007"/>
    <n v="0.5252"/>
    <n v="-0.185"/>
    <n v="1"/>
    <n v="415.2"/>
    <n v="1"/>
    <n v="434.5"/>
    <n v="0"/>
    <n v="0"/>
    <n v="0"/>
    <n v="0"/>
    <n v="0"/>
  </r>
  <r>
    <x v="0"/>
    <x v="0"/>
    <s v="SPXW"/>
    <x v="1"/>
    <x v="267"/>
    <s v="p"/>
    <n v="0"/>
    <n v="0"/>
    <n v="0"/>
    <n v="0"/>
    <n v="0"/>
    <n v="1"/>
    <n v="437.9"/>
    <n v="1"/>
    <n v="458.1"/>
    <n v="0"/>
    <n v="0"/>
    <n v="0"/>
    <n v="0"/>
    <n v="0.76470000000000005"/>
    <n v="-0.92969999999999997"/>
    <n v="5.0000000000000001E-4"/>
    <n v="-8.5942000000000007"/>
    <n v="0.51090000000000002"/>
    <n v="-0.1855"/>
    <n v="1"/>
    <n v="441.3"/>
    <n v="2"/>
    <n v="463.8"/>
    <n v="0"/>
    <n v="0"/>
    <n v="0"/>
    <n v="0"/>
    <n v="0"/>
  </r>
  <r>
    <x v="0"/>
    <x v="0"/>
    <s v="SPXW"/>
    <x v="1"/>
    <x v="268"/>
    <s v="p"/>
    <n v="0"/>
    <n v="0"/>
    <n v="0"/>
    <n v="0"/>
    <n v="0"/>
    <n v="1"/>
    <n v="462.9"/>
    <n v="1"/>
    <n v="483.1"/>
    <n v="0"/>
    <n v="0"/>
    <n v="0"/>
    <n v="0"/>
    <n v="0.7964"/>
    <n v="-0.93200000000000005"/>
    <n v="4.0000000000000002E-4"/>
    <n v="-8.5942000000000007"/>
    <n v="0.49769999999999998"/>
    <n v="-0.18590000000000001"/>
    <n v="1"/>
    <n v="466.3"/>
    <n v="1"/>
    <n v="488.7"/>
    <n v="0"/>
    <n v="0"/>
    <n v="0"/>
    <n v="0"/>
    <n v="0"/>
  </r>
  <r>
    <x v="0"/>
    <x v="0"/>
    <s v="SPXW"/>
    <x v="1"/>
    <x v="269"/>
    <s v="p"/>
    <n v="0"/>
    <n v="0"/>
    <n v="0"/>
    <n v="0"/>
    <n v="0"/>
    <n v="1"/>
    <n v="487.9"/>
    <n v="1"/>
    <n v="508.6"/>
    <n v="0"/>
    <n v="0"/>
    <n v="0"/>
    <n v="0"/>
    <n v="0.82769999999999999"/>
    <n v="-0.93410000000000004"/>
    <n v="4.0000000000000002E-4"/>
    <n v="-8.5942000000000007"/>
    <n v="0.48559999999999998"/>
    <n v="-0.18629999999999999"/>
    <n v="1"/>
    <n v="489.8"/>
    <n v="1"/>
    <n v="508.6"/>
    <n v="0"/>
    <n v="0"/>
    <n v="0"/>
    <n v="0"/>
    <n v="0"/>
  </r>
  <r>
    <x v="0"/>
    <x v="0"/>
    <s v="SPXW"/>
    <x v="1"/>
    <x v="270"/>
    <s v="p"/>
    <n v="0"/>
    <n v="0"/>
    <n v="0"/>
    <n v="0"/>
    <n v="0"/>
    <n v="1"/>
    <n v="512.9"/>
    <n v="1"/>
    <n v="533.6"/>
    <n v="0"/>
    <n v="0"/>
    <n v="0"/>
    <n v="0"/>
    <n v="0.88339999999999996"/>
    <n v="-0.93030000000000002"/>
    <n v="4.0000000000000002E-4"/>
    <n v="-9.7911999999999999"/>
    <n v="0.50619999999999998"/>
    <n v="-0.18559999999999999"/>
    <n v="1"/>
    <n v="514.29999999999995"/>
    <n v="1"/>
    <n v="533.6"/>
    <n v="0"/>
    <n v="0"/>
    <n v="0"/>
    <n v="0"/>
    <n v="0"/>
  </r>
  <r>
    <x v="0"/>
    <x v="0"/>
    <s v="SPXW"/>
    <x v="1"/>
    <x v="271"/>
    <s v="p"/>
    <n v="598.45000000000005"/>
    <n v="598.45000000000005"/>
    <n v="598.45000000000005"/>
    <n v="598.45000000000005"/>
    <n v="9"/>
    <n v="1"/>
    <n v="588.1"/>
    <n v="1"/>
    <n v="608.1"/>
    <n v="0"/>
    <n v="0"/>
    <n v="0"/>
    <n v="0"/>
    <n v="0.94969999999999999"/>
    <n v="-0.94110000000000005"/>
    <n v="2.9999999999999997E-4"/>
    <n v="-8.5943000000000005"/>
    <n v="0.44409999999999999"/>
    <n v="-0.18770000000000001"/>
    <n v="1"/>
    <n v="591.29999999999995"/>
    <n v="1"/>
    <n v="613.79999999999995"/>
    <n v="0"/>
    <n v="0"/>
    <n v="598.45000000000005"/>
    <n v="0"/>
    <n v="0"/>
  </r>
  <r>
    <x v="0"/>
    <x v="0"/>
    <s v="SPXW"/>
    <x v="1"/>
    <x v="272"/>
    <s v="p"/>
    <n v="0"/>
    <n v="0"/>
    <n v="0"/>
    <n v="0"/>
    <n v="0"/>
    <n v="1"/>
    <n v="688.3"/>
    <n v="1"/>
    <n v="708.1"/>
    <n v="0"/>
    <n v="0"/>
    <n v="0"/>
    <n v="0"/>
    <n v="1.0671999999999999"/>
    <n v="-0.94650000000000001"/>
    <n v="2.9999999999999997E-4"/>
    <n v="-8.5944000000000003"/>
    <n v="0.41060000000000002"/>
    <n v="-0.1888"/>
    <n v="1"/>
    <n v="691.3"/>
    <n v="1"/>
    <n v="713"/>
    <n v="0"/>
    <n v="0"/>
    <n v="0"/>
    <n v="0"/>
    <n v="0"/>
  </r>
  <r>
    <x v="0"/>
    <x v="0"/>
    <s v="SPXW"/>
    <x v="1"/>
    <x v="273"/>
    <s v="p"/>
    <n v="0"/>
    <n v="0"/>
    <n v="0"/>
    <n v="0"/>
    <n v="0"/>
    <n v="1"/>
    <n v="788.1"/>
    <n v="1"/>
    <n v="807.7"/>
    <n v="0"/>
    <n v="0"/>
    <n v="0"/>
    <n v="0"/>
    <n v="1.1808000000000001"/>
    <n v="-0.95079999999999998"/>
    <n v="2.0000000000000001E-4"/>
    <n v="-8.5945"/>
    <n v="0.3836"/>
    <n v="-0.18959999999999999"/>
    <n v="1"/>
    <n v="791.1"/>
    <n v="1"/>
    <n v="812.8"/>
    <n v="0"/>
    <n v="0"/>
    <n v="0"/>
    <n v="0"/>
    <n v="0"/>
  </r>
  <r>
    <x v="0"/>
    <x v="0"/>
    <s v="SPXW"/>
    <x v="1"/>
    <x v="274"/>
    <s v="p"/>
    <n v="0"/>
    <n v="0"/>
    <n v="0"/>
    <n v="0"/>
    <n v="0"/>
    <n v="1"/>
    <n v="987.8"/>
    <n v="1"/>
    <n v="1008.6"/>
    <n v="0"/>
    <n v="0"/>
    <n v="0"/>
    <n v="0"/>
    <n v="1.3985000000000001"/>
    <n v="-0.95720000000000005"/>
    <n v="2.0000000000000001E-4"/>
    <n v="-8.5946999999999996"/>
    <n v="0.3427"/>
    <n v="-0.19089999999999999"/>
    <n v="1"/>
    <n v="989.8"/>
    <n v="1"/>
    <n v="1008.7"/>
    <n v="0"/>
    <n v="0"/>
    <n v="0"/>
    <n v="0"/>
    <n v="0"/>
  </r>
  <r>
    <x v="0"/>
    <x v="0"/>
    <s v="SPXW"/>
    <x v="1"/>
    <x v="275"/>
    <s v="p"/>
    <n v="0"/>
    <n v="0"/>
    <n v="0"/>
    <n v="0"/>
    <n v="0"/>
    <n v="1"/>
    <n v="1188"/>
    <n v="1"/>
    <n v="1207.2"/>
    <n v="0"/>
    <n v="0"/>
    <n v="0"/>
    <n v="0"/>
    <n v="1.6019000000000001"/>
    <n v="-0.96199999999999997"/>
    <n v="1E-4"/>
    <n v="-8.4951000000000008"/>
    <n v="0.3095"/>
    <n v="-0.19189999999999999"/>
    <n v="1"/>
    <n v="1189.7"/>
    <n v="1"/>
    <n v="1208.7"/>
    <n v="0"/>
    <n v="0"/>
    <n v="0"/>
    <n v="0"/>
    <n v="0"/>
  </r>
  <r>
    <x v="0"/>
    <x v="0"/>
    <s v="SPXW"/>
    <x v="1"/>
    <x v="276"/>
    <s v="p"/>
    <n v="1398.63"/>
    <n v="1398.63"/>
    <n v="1398.63"/>
    <n v="1398.63"/>
    <n v="1"/>
    <n v="1"/>
    <n v="1388"/>
    <n v="1"/>
    <n v="1408.1"/>
    <n v="0"/>
    <n v="0"/>
    <n v="0"/>
    <n v="0"/>
    <n v="1.7988999999999999"/>
    <n v="-0.96550000000000002"/>
    <n v="1E-4"/>
    <n v="-8.4953000000000003"/>
    <n v="0.2858"/>
    <n v="-0.1925"/>
    <n v="1"/>
    <n v="1389.7"/>
    <n v="1"/>
    <n v="1408.1"/>
    <n v="0"/>
    <n v="0"/>
    <n v="1398.63"/>
    <n v="1"/>
    <n v="0"/>
  </r>
  <r>
    <x v="0"/>
    <x v="0"/>
    <s v="SPXW"/>
    <x v="1"/>
    <x v="277"/>
    <s v="p"/>
    <n v="1577.18"/>
    <n v="1577.18"/>
    <n v="1577.18"/>
    <n v="1577.18"/>
    <n v="1"/>
    <n v="1"/>
    <n v="1588.2"/>
    <n v="2"/>
    <n v="1608.6"/>
    <n v="0"/>
    <n v="0"/>
    <n v="0"/>
    <n v="0"/>
    <n v="1.988"/>
    <n v="-0.96819999999999995"/>
    <n v="1E-4"/>
    <n v="-8.4954999999999998"/>
    <n v="0.26719999999999999"/>
    <n v="-0.19309999999999999"/>
    <n v="1"/>
    <n v="1589.7"/>
    <n v="1"/>
    <n v="1608.6"/>
    <n v="0"/>
    <n v="0"/>
    <n v="1577.18"/>
    <n v="0"/>
    <n v="0"/>
  </r>
  <r>
    <x v="0"/>
    <x v="0"/>
    <s v="SPXW"/>
    <x v="1"/>
    <x v="278"/>
    <s v="p"/>
    <n v="0"/>
    <n v="0"/>
    <n v="0"/>
    <n v="0"/>
    <n v="0"/>
    <n v="1"/>
    <n v="1787.9"/>
    <n v="1"/>
    <n v="1807.5"/>
    <n v="0"/>
    <n v="0"/>
    <n v="0"/>
    <n v="0"/>
    <n v="2.1829999999999998"/>
    <n v="-0.96950000000000003"/>
    <n v="1E-4"/>
    <n v="-8.8260000000000005"/>
    <n v="0.25750000000000001"/>
    <n v="-0.1933"/>
    <n v="1"/>
    <n v="1791"/>
    <n v="1"/>
    <n v="1813.7"/>
    <n v="0"/>
    <n v="0"/>
    <n v="0"/>
    <n v="0"/>
    <n v="0"/>
  </r>
  <r>
    <x v="0"/>
    <x v="0"/>
    <s v="SPXW"/>
    <x v="1"/>
    <x v="279"/>
    <s v="p"/>
    <n v="0"/>
    <n v="0"/>
    <n v="0"/>
    <n v="0"/>
    <n v="0"/>
    <n v="1"/>
    <n v="1987.9"/>
    <n v="1"/>
    <n v="2006.1"/>
    <n v="0"/>
    <n v="0"/>
    <n v="0"/>
    <n v="0"/>
    <n v="2.2982"/>
    <n v="-0.97470000000000001"/>
    <n v="1E-4"/>
    <n v="-7.4295999999999998"/>
    <n v="0.2195"/>
    <n v="-0.1943"/>
    <n v="1"/>
    <n v="1990"/>
    <n v="1"/>
    <n v="2013.2"/>
    <n v="0"/>
    <n v="0"/>
    <n v="0"/>
    <n v="0"/>
    <n v="0"/>
  </r>
  <r>
    <x v="0"/>
    <x v="0"/>
    <s v="SPXW"/>
    <x v="1"/>
    <x v="280"/>
    <s v="p"/>
    <n v="0"/>
    <n v="0"/>
    <n v="0"/>
    <n v="0"/>
    <n v="0"/>
    <n v="1"/>
    <n v="2189.6"/>
    <n v="1"/>
    <n v="2208.3000000000002"/>
    <n v="0"/>
    <n v="0"/>
    <n v="0"/>
    <n v="0"/>
    <n v="1.8011999999999999"/>
    <n v="-0.99709999999999999"/>
    <n v="0"/>
    <n v="-0.29699999999999999"/>
    <n v="3.2800000000000003E-2"/>
    <n v="-0.19869999999999999"/>
    <n v="1"/>
    <n v="2189.3000000000002"/>
    <n v="1"/>
    <n v="2208.4"/>
    <n v="0"/>
    <n v="0"/>
    <n v="0"/>
    <n v="0"/>
    <n v="0"/>
  </r>
  <r>
    <x v="0"/>
    <x v="0"/>
    <s v="SPXW"/>
    <x v="2"/>
    <x v="0"/>
    <s v="p"/>
    <n v="0"/>
    <n v="0"/>
    <n v="0"/>
    <n v="0"/>
    <n v="0"/>
    <n v="0"/>
    <n v="0"/>
    <n v="1240"/>
    <n v="0.05"/>
    <n v="0"/>
    <n v="0"/>
    <n v="0"/>
    <n v="0"/>
    <n v="3.6987000000000001"/>
    <n v="-1E-4"/>
    <n v="0"/>
    <n v="-2.5100000000000001E-2"/>
    <n v="1.1999999999999999E-3"/>
    <n v="0"/>
    <n v="0"/>
    <n v="0"/>
    <n v="850"/>
    <n v="0.05"/>
    <n v="0"/>
    <n v="0"/>
    <n v="0"/>
    <n v="1"/>
    <n v="0"/>
  </r>
  <r>
    <x v="0"/>
    <x v="0"/>
    <s v="SPXW"/>
    <x v="2"/>
    <x v="1"/>
    <s v="p"/>
    <n v="0"/>
    <n v="0"/>
    <n v="0"/>
    <n v="0"/>
    <n v="0"/>
    <n v="0"/>
    <n v="0"/>
    <n v="1240"/>
    <n v="0.05"/>
    <n v="0"/>
    <n v="0"/>
    <n v="0"/>
    <n v="0"/>
    <n v="3.4371999999999998"/>
    <n v="-1E-4"/>
    <n v="0"/>
    <n v="-2.5100000000000001E-2"/>
    <n v="1.2999999999999999E-3"/>
    <n v="0"/>
    <n v="0"/>
    <n v="0"/>
    <n v="845"/>
    <n v="0.05"/>
    <n v="0"/>
    <n v="0"/>
    <n v="0"/>
    <n v="60"/>
    <n v="0"/>
  </r>
  <r>
    <x v="0"/>
    <x v="0"/>
    <s v="SPXW"/>
    <x v="2"/>
    <x v="2"/>
    <s v="p"/>
    <n v="0"/>
    <n v="0"/>
    <n v="0"/>
    <n v="0"/>
    <n v="0"/>
    <n v="0"/>
    <n v="0"/>
    <n v="1269"/>
    <n v="0.05"/>
    <n v="0"/>
    <n v="0"/>
    <n v="0"/>
    <n v="0"/>
    <n v="3.1938"/>
    <n v="-1E-4"/>
    <n v="0"/>
    <n v="-2.5100000000000001E-2"/>
    <n v="1.4E-3"/>
    <n v="0"/>
    <n v="0"/>
    <n v="0"/>
    <n v="874"/>
    <n v="0.05"/>
    <n v="0"/>
    <n v="0"/>
    <n v="0"/>
    <n v="6"/>
    <n v="0"/>
  </r>
  <r>
    <x v="0"/>
    <x v="0"/>
    <s v="SPXW"/>
    <x v="2"/>
    <x v="3"/>
    <s v="p"/>
    <n v="0"/>
    <n v="0"/>
    <n v="0"/>
    <n v="0"/>
    <n v="0"/>
    <n v="0"/>
    <n v="0"/>
    <n v="1263"/>
    <n v="0.05"/>
    <n v="0"/>
    <n v="0"/>
    <n v="0"/>
    <n v="0"/>
    <n v="2.9661"/>
    <n v="-1E-4"/>
    <n v="0"/>
    <n v="-2.5100000000000001E-2"/>
    <n v="1.5E-3"/>
    <n v="0"/>
    <n v="0"/>
    <n v="0"/>
    <n v="1153"/>
    <n v="0.05"/>
    <n v="0"/>
    <n v="0"/>
    <n v="0"/>
    <n v="50"/>
    <n v="0"/>
  </r>
  <r>
    <x v="0"/>
    <x v="0"/>
    <s v="SPXW"/>
    <x v="2"/>
    <x v="4"/>
    <s v="p"/>
    <n v="0"/>
    <n v="0"/>
    <n v="0"/>
    <n v="0"/>
    <n v="0"/>
    <n v="0"/>
    <n v="0"/>
    <n v="1262"/>
    <n v="0.05"/>
    <n v="0"/>
    <n v="0"/>
    <n v="0"/>
    <n v="0"/>
    <n v="2.7521"/>
    <n v="-1E-4"/>
    <n v="0"/>
    <n v="-2.5100000000000001E-2"/>
    <n v="1.6000000000000001E-3"/>
    <n v="0"/>
    <n v="0"/>
    <n v="0"/>
    <n v="1138"/>
    <n v="0.05"/>
    <n v="0"/>
    <n v="0"/>
    <n v="0"/>
    <n v="21"/>
    <n v="0"/>
  </r>
  <r>
    <x v="0"/>
    <x v="0"/>
    <s v="SPXW"/>
    <x v="2"/>
    <x v="5"/>
    <s v="p"/>
    <n v="0"/>
    <n v="0"/>
    <n v="0"/>
    <n v="0"/>
    <n v="0"/>
    <n v="0"/>
    <n v="0"/>
    <n v="1257"/>
    <n v="0.05"/>
    <n v="0"/>
    <n v="0"/>
    <n v="0"/>
    <n v="0"/>
    <n v="2.5501"/>
    <n v="-1E-4"/>
    <n v="0"/>
    <n v="-2.5100000000000001E-2"/>
    <n v="1.6999999999999999E-3"/>
    <n v="0"/>
    <n v="0"/>
    <n v="0"/>
    <n v="1125"/>
    <n v="0.05"/>
    <n v="0"/>
    <n v="0"/>
    <n v="0"/>
    <n v="13"/>
    <n v="0"/>
  </r>
  <r>
    <x v="0"/>
    <x v="0"/>
    <s v="SPXW"/>
    <x v="2"/>
    <x v="6"/>
    <s v="p"/>
    <n v="0"/>
    <n v="0"/>
    <n v="0"/>
    <n v="0"/>
    <n v="0"/>
    <n v="0"/>
    <n v="0"/>
    <n v="1251"/>
    <n v="0.05"/>
    <n v="0"/>
    <n v="0"/>
    <n v="0"/>
    <n v="0"/>
    <n v="2.3589000000000002"/>
    <n v="-1E-4"/>
    <n v="0"/>
    <n v="-2.5100000000000001E-2"/>
    <n v="1.8E-3"/>
    <n v="0"/>
    <n v="0"/>
    <n v="0"/>
    <n v="841"/>
    <n v="0.05"/>
    <n v="0"/>
    <n v="0"/>
    <n v="0"/>
    <n v="156"/>
    <n v="0"/>
  </r>
  <r>
    <x v="0"/>
    <x v="0"/>
    <s v="SPXW"/>
    <x v="2"/>
    <x v="7"/>
    <s v="p"/>
    <n v="0"/>
    <n v="0"/>
    <n v="0"/>
    <n v="0"/>
    <n v="0"/>
    <n v="0"/>
    <n v="0"/>
    <n v="1244"/>
    <n v="0.05"/>
    <n v="0"/>
    <n v="0"/>
    <n v="0"/>
    <n v="0"/>
    <n v="2.1772"/>
    <n v="-1E-4"/>
    <n v="0"/>
    <n v="-2.5100000000000001E-2"/>
    <n v="2E-3"/>
    <n v="0"/>
    <n v="0"/>
    <n v="0"/>
    <n v="831"/>
    <n v="0.05"/>
    <n v="0"/>
    <n v="0"/>
    <n v="0"/>
    <n v="23"/>
    <n v="0"/>
  </r>
  <r>
    <x v="0"/>
    <x v="0"/>
    <s v="SPXW"/>
    <x v="2"/>
    <x v="8"/>
    <s v="p"/>
    <n v="0"/>
    <n v="0"/>
    <n v="0"/>
    <n v="0"/>
    <n v="0"/>
    <n v="0"/>
    <n v="0"/>
    <n v="1233"/>
    <n v="0.05"/>
    <n v="0"/>
    <n v="0"/>
    <n v="0"/>
    <n v="0"/>
    <n v="2.0038"/>
    <n v="-1E-4"/>
    <n v="0"/>
    <n v="-2.5100000000000001E-2"/>
    <n v="2.0999999999999999E-3"/>
    <n v="0"/>
    <n v="0"/>
    <n v="0"/>
    <n v="816"/>
    <n v="0.05"/>
    <n v="0"/>
    <n v="0"/>
    <n v="0"/>
    <n v="59"/>
    <n v="0"/>
  </r>
  <r>
    <x v="0"/>
    <x v="0"/>
    <s v="SPXW"/>
    <x v="2"/>
    <x v="9"/>
    <s v="p"/>
    <n v="0"/>
    <n v="0"/>
    <n v="0"/>
    <n v="0"/>
    <n v="0"/>
    <n v="0"/>
    <n v="0"/>
    <n v="1225"/>
    <n v="0.05"/>
    <n v="0"/>
    <n v="0"/>
    <n v="0"/>
    <n v="0"/>
    <n v="1.8388"/>
    <n v="-1E-4"/>
    <n v="0"/>
    <n v="-2.5100000000000001E-2"/>
    <n v="2.3E-3"/>
    <n v="0"/>
    <n v="0"/>
    <n v="0"/>
    <n v="799"/>
    <n v="0.05"/>
    <n v="0"/>
    <n v="0"/>
    <n v="0"/>
    <n v="146"/>
    <n v="0"/>
  </r>
  <r>
    <x v="0"/>
    <x v="0"/>
    <s v="SPXW"/>
    <x v="2"/>
    <x v="10"/>
    <s v="p"/>
    <n v="0"/>
    <n v="0"/>
    <n v="0"/>
    <n v="0"/>
    <n v="0"/>
    <n v="0"/>
    <n v="0"/>
    <n v="1171"/>
    <n v="0.05"/>
    <n v="0"/>
    <n v="0"/>
    <n v="0"/>
    <n v="0"/>
    <n v="1.6803999999999999"/>
    <n v="-1E-4"/>
    <n v="0"/>
    <n v="-2.5100000000000001E-2"/>
    <n v="2.5000000000000001E-3"/>
    <n v="-1E-4"/>
    <n v="0"/>
    <n v="0"/>
    <n v="777"/>
    <n v="0.05"/>
    <n v="0"/>
    <n v="0"/>
    <n v="0"/>
    <n v="734"/>
    <n v="0"/>
  </r>
  <r>
    <x v="0"/>
    <x v="0"/>
    <s v="SPXW"/>
    <x v="2"/>
    <x v="11"/>
    <s v="p"/>
    <n v="0"/>
    <n v="0"/>
    <n v="0"/>
    <n v="0"/>
    <n v="0"/>
    <n v="0"/>
    <n v="0"/>
    <n v="633"/>
    <n v="0.05"/>
    <n v="0"/>
    <n v="0"/>
    <n v="0"/>
    <n v="0"/>
    <n v="1.5283"/>
    <n v="-1E-4"/>
    <n v="0"/>
    <n v="-2.5100000000000001E-2"/>
    <n v="2.7000000000000001E-3"/>
    <n v="-1E-4"/>
    <n v="0"/>
    <n v="0"/>
    <n v="745"/>
    <n v="0.05"/>
    <n v="0"/>
    <n v="0"/>
    <n v="0"/>
    <n v="870"/>
    <n v="0"/>
  </r>
  <r>
    <x v="0"/>
    <x v="0"/>
    <s v="SPXW"/>
    <x v="2"/>
    <x v="12"/>
    <s v="p"/>
    <n v="0"/>
    <n v="0"/>
    <n v="0"/>
    <n v="0"/>
    <n v="0"/>
    <n v="0"/>
    <n v="0"/>
    <n v="661"/>
    <n v="0.05"/>
    <n v="0"/>
    <n v="0"/>
    <n v="0"/>
    <n v="0"/>
    <n v="1.3818999999999999"/>
    <n v="-2.0000000000000001E-4"/>
    <n v="0"/>
    <n v="-2.5100000000000001E-2"/>
    <n v="3.0000000000000001E-3"/>
    <n v="-1E-4"/>
    <n v="0"/>
    <n v="0"/>
    <n v="743"/>
    <n v="0.05"/>
    <n v="0"/>
    <n v="0"/>
    <n v="0"/>
    <n v="1873"/>
    <n v="0"/>
  </r>
  <r>
    <x v="0"/>
    <x v="0"/>
    <s v="SPXW"/>
    <x v="2"/>
    <x v="13"/>
    <s v="p"/>
    <n v="0"/>
    <n v="0"/>
    <n v="0"/>
    <n v="0"/>
    <n v="0"/>
    <n v="0"/>
    <n v="0"/>
    <n v="586"/>
    <n v="0.05"/>
    <n v="0"/>
    <n v="0"/>
    <n v="0"/>
    <n v="0"/>
    <n v="1.3107"/>
    <n v="-2.0000000000000001E-4"/>
    <n v="0"/>
    <n v="-2.5100000000000001E-2"/>
    <n v="3.2000000000000002E-3"/>
    <n v="-1E-4"/>
    <n v="0"/>
    <n v="0"/>
    <n v="662"/>
    <n v="0.05"/>
    <n v="0"/>
    <n v="0"/>
    <n v="0"/>
    <n v="729"/>
    <n v="0"/>
  </r>
  <r>
    <x v="0"/>
    <x v="0"/>
    <s v="SPXW"/>
    <x v="2"/>
    <x v="14"/>
    <s v="p"/>
    <n v="0"/>
    <n v="0"/>
    <n v="0"/>
    <n v="0"/>
    <n v="0"/>
    <n v="0"/>
    <n v="0"/>
    <n v="563"/>
    <n v="0.05"/>
    <n v="0"/>
    <n v="0"/>
    <n v="0"/>
    <n v="0"/>
    <n v="1.2407999999999999"/>
    <n v="-2.0000000000000001E-4"/>
    <n v="0"/>
    <n v="-2.5100000000000001E-2"/>
    <n v="3.3E-3"/>
    <n v="-1E-4"/>
    <n v="0"/>
    <n v="0"/>
    <n v="638"/>
    <n v="0.05"/>
    <n v="0"/>
    <n v="0"/>
    <n v="0"/>
    <n v="645"/>
    <n v="0"/>
  </r>
  <r>
    <x v="0"/>
    <x v="0"/>
    <s v="SPXW"/>
    <x v="2"/>
    <x v="15"/>
    <s v="p"/>
    <n v="0"/>
    <n v="0"/>
    <n v="0"/>
    <n v="0"/>
    <n v="0"/>
    <n v="0"/>
    <n v="0"/>
    <n v="539"/>
    <n v="0.05"/>
    <n v="0"/>
    <n v="0"/>
    <n v="0"/>
    <n v="0"/>
    <n v="1.1719999999999999"/>
    <n v="-2.0000000000000001E-4"/>
    <n v="0"/>
    <n v="-2.5100000000000001E-2"/>
    <n v="3.5000000000000001E-3"/>
    <n v="-1E-4"/>
    <n v="0"/>
    <n v="0"/>
    <n v="245"/>
    <n v="0.05"/>
    <n v="0"/>
    <n v="0"/>
    <n v="0"/>
    <n v="65"/>
    <n v="0"/>
  </r>
  <r>
    <x v="0"/>
    <x v="0"/>
    <s v="SPXW"/>
    <x v="2"/>
    <x v="16"/>
    <s v="p"/>
    <n v="0"/>
    <n v="0"/>
    <n v="0"/>
    <n v="0"/>
    <n v="0"/>
    <n v="0"/>
    <n v="0"/>
    <n v="528"/>
    <n v="0.05"/>
    <n v="0"/>
    <n v="0"/>
    <n v="0"/>
    <n v="0"/>
    <n v="1.1044"/>
    <n v="-2.0000000000000001E-4"/>
    <n v="0"/>
    <n v="-2.5100000000000001E-2"/>
    <n v="3.7000000000000002E-3"/>
    <n v="-1E-4"/>
    <n v="0"/>
    <n v="0"/>
    <n v="259"/>
    <n v="0.05"/>
    <n v="0"/>
    <n v="0"/>
    <n v="0"/>
    <n v="1299"/>
    <n v="0"/>
  </r>
  <r>
    <x v="0"/>
    <x v="0"/>
    <s v="SPXW"/>
    <x v="2"/>
    <x v="18"/>
    <s v="p"/>
    <n v="0"/>
    <n v="0"/>
    <n v="0"/>
    <n v="0"/>
    <n v="0"/>
    <n v="0"/>
    <n v="0"/>
    <n v="468"/>
    <n v="0.05"/>
    <n v="0"/>
    <n v="0"/>
    <n v="0"/>
    <n v="0"/>
    <n v="1.0378000000000001"/>
    <n v="-2.0000000000000001E-4"/>
    <n v="0"/>
    <n v="-2.5100000000000001E-2"/>
    <n v="3.8999999999999998E-3"/>
    <n v="-1E-4"/>
    <n v="0"/>
    <n v="0"/>
    <n v="201"/>
    <n v="0.05"/>
    <n v="0"/>
    <n v="0"/>
    <n v="0"/>
    <n v="1088"/>
    <n v="0"/>
  </r>
  <r>
    <x v="0"/>
    <x v="0"/>
    <s v="SPXW"/>
    <x v="2"/>
    <x v="22"/>
    <s v="p"/>
    <n v="0"/>
    <n v="0"/>
    <n v="0"/>
    <n v="0"/>
    <n v="0"/>
    <n v="0"/>
    <n v="0"/>
    <n v="429"/>
    <n v="0.05"/>
    <n v="0"/>
    <n v="0"/>
    <n v="0"/>
    <n v="0"/>
    <n v="0.97230000000000005"/>
    <n v="-2.0000000000000001E-4"/>
    <n v="0"/>
    <n v="-2.5100000000000001E-2"/>
    <n v="4.1999999999999997E-3"/>
    <n v="-1E-4"/>
    <n v="0"/>
    <n v="0"/>
    <n v="168"/>
    <n v="0.05"/>
    <n v="0"/>
    <n v="0"/>
    <n v="0"/>
    <n v="2023"/>
    <n v="0"/>
  </r>
  <r>
    <x v="0"/>
    <x v="0"/>
    <s v="SPXW"/>
    <x v="2"/>
    <x v="25"/>
    <s v="p"/>
    <n v="0"/>
    <n v="0"/>
    <n v="0"/>
    <n v="0"/>
    <n v="0"/>
    <n v="0"/>
    <n v="0"/>
    <n v="301"/>
    <n v="0.05"/>
    <n v="0"/>
    <n v="0"/>
    <n v="0"/>
    <n v="0"/>
    <n v="0.92310000000000003"/>
    <n v="-2.0000000000000001E-4"/>
    <n v="0"/>
    <n v="-2.5100000000000001E-2"/>
    <n v="4.4000000000000003E-3"/>
    <n v="-1E-4"/>
    <n v="0"/>
    <n v="0"/>
    <n v="503"/>
    <n v="0.1"/>
    <n v="0"/>
    <n v="0"/>
    <n v="0"/>
    <n v="77"/>
    <n v="0"/>
  </r>
  <r>
    <x v="0"/>
    <x v="0"/>
    <s v="SPXW"/>
    <x v="2"/>
    <x v="26"/>
    <s v="p"/>
    <n v="0"/>
    <n v="0"/>
    <n v="0"/>
    <n v="0"/>
    <n v="0"/>
    <n v="0"/>
    <n v="0"/>
    <n v="1914"/>
    <n v="0.05"/>
    <n v="0"/>
    <n v="0"/>
    <n v="0"/>
    <n v="0"/>
    <n v="0.90769999999999995"/>
    <n v="-2.0000000000000001E-4"/>
    <n v="0"/>
    <n v="-2.5100000000000001E-2"/>
    <n v="4.4999999999999997E-3"/>
    <n v="-1E-4"/>
    <n v="0"/>
    <n v="0"/>
    <n v="1677"/>
    <n v="0.05"/>
    <n v="0"/>
    <n v="0"/>
    <n v="0"/>
    <n v="342"/>
    <n v="0"/>
  </r>
  <r>
    <x v="0"/>
    <x v="0"/>
    <s v="SPXW"/>
    <x v="2"/>
    <x v="27"/>
    <s v="p"/>
    <n v="0"/>
    <n v="0"/>
    <n v="0"/>
    <n v="0"/>
    <n v="0"/>
    <n v="0"/>
    <n v="0"/>
    <n v="279"/>
    <n v="0.05"/>
    <n v="0"/>
    <n v="0"/>
    <n v="0"/>
    <n v="0"/>
    <n v="0.89149999999999996"/>
    <n v="-2.0000000000000001E-4"/>
    <n v="0"/>
    <n v="-2.5000000000000001E-2"/>
    <n v="4.5999999999999999E-3"/>
    <n v="-1E-4"/>
    <n v="0"/>
    <n v="0"/>
    <n v="491"/>
    <n v="0.1"/>
    <n v="0"/>
    <n v="0"/>
    <n v="0"/>
    <n v="45"/>
    <n v="0"/>
  </r>
  <r>
    <x v="0"/>
    <x v="0"/>
    <s v="SPXW"/>
    <x v="2"/>
    <x v="28"/>
    <s v="p"/>
    <n v="0"/>
    <n v="0"/>
    <n v="0"/>
    <n v="0"/>
    <n v="0"/>
    <n v="0"/>
    <n v="0"/>
    <n v="271"/>
    <n v="0.05"/>
    <n v="0"/>
    <n v="0"/>
    <n v="0"/>
    <n v="0"/>
    <n v="0.87509999999999999"/>
    <n v="-2.0000000000000001E-4"/>
    <n v="0"/>
    <n v="-2.5000000000000001E-2"/>
    <n v="4.5999999999999999E-3"/>
    <n v="-1E-4"/>
    <n v="0"/>
    <n v="0"/>
    <n v="518"/>
    <n v="0.1"/>
    <n v="0"/>
    <n v="0"/>
    <n v="0"/>
    <n v="186"/>
    <n v="0"/>
  </r>
  <r>
    <x v="0"/>
    <x v="0"/>
    <s v="SPXW"/>
    <x v="2"/>
    <x v="29"/>
    <s v="p"/>
    <n v="0"/>
    <n v="0"/>
    <n v="0"/>
    <n v="0"/>
    <n v="0"/>
    <n v="0"/>
    <n v="0"/>
    <n v="248"/>
    <n v="0.05"/>
    <n v="0"/>
    <n v="0"/>
    <n v="0"/>
    <n v="0"/>
    <n v="0.85919999999999996"/>
    <n v="-2.0000000000000001E-4"/>
    <n v="0"/>
    <n v="-2.5000000000000001E-2"/>
    <n v="4.7000000000000002E-3"/>
    <n v="-1E-4"/>
    <n v="0"/>
    <n v="0"/>
    <n v="496"/>
    <n v="0.1"/>
    <n v="0"/>
    <n v="0"/>
    <n v="0"/>
    <n v="126"/>
    <n v="0"/>
  </r>
  <r>
    <x v="0"/>
    <x v="0"/>
    <s v="SPXW"/>
    <x v="2"/>
    <x v="30"/>
    <s v="p"/>
    <n v="0.05"/>
    <n v="0.05"/>
    <n v="0.05"/>
    <n v="0.05"/>
    <n v="60"/>
    <n v="0"/>
    <n v="0"/>
    <n v="708"/>
    <n v="0.05"/>
    <n v="0"/>
    <n v="0"/>
    <n v="0"/>
    <n v="0"/>
    <n v="0.84399999999999997"/>
    <n v="-2.0000000000000001E-4"/>
    <n v="0"/>
    <n v="-2.5100000000000001E-2"/>
    <n v="4.7999999999999996E-3"/>
    <n v="-1E-4"/>
    <n v="0"/>
    <n v="0"/>
    <n v="543"/>
    <n v="0.05"/>
    <n v="0"/>
    <n v="0"/>
    <n v="0.05"/>
    <n v="402"/>
    <n v="0"/>
  </r>
  <r>
    <x v="0"/>
    <x v="0"/>
    <s v="SPXW"/>
    <x v="2"/>
    <x v="31"/>
    <s v="p"/>
    <n v="0"/>
    <n v="0"/>
    <n v="0"/>
    <n v="0"/>
    <n v="0"/>
    <n v="0"/>
    <n v="0"/>
    <n v="145"/>
    <n v="0.05"/>
    <n v="0"/>
    <n v="0"/>
    <n v="0"/>
    <n v="0"/>
    <n v="0.8276"/>
    <n v="-2.0000000000000001E-4"/>
    <n v="0"/>
    <n v="-2.5000000000000001E-2"/>
    <n v="4.8999999999999998E-3"/>
    <n v="-1E-4"/>
    <n v="0"/>
    <n v="0"/>
    <n v="484"/>
    <n v="0.1"/>
    <n v="0"/>
    <n v="0"/>
    <n v="0"/>
    <n v="165"/>
    <n v="0"/>
  </r>
  <r>
    <x v="0"/>
    <x v="0"/>
    <s v="SPXW"/>
    <x v="2"/>
    <x v="32"/>
    <s v="p"/>
    <n v="0"/>
    <n v="0"/>
    <n v="0"/>
    <n v="0"/>
    <n v="0"/>
    <n v="0"/>
    <n v="0"/>
    <n v="141"/>
    <n v="0.05"/>
    <n v="0"/>
    <n v="0"/>
    <n v="0"/>
    <n v="0"/>
    <n v="0.8125"/>
    <n v="-2.9999999999999997E-4"/>
    <n v="0"/>
    <n v="-2.5100000000000001E-2"/>
    <n v="5.0000000000000001E-3"/>
    <n v="-1E-4"/>
    <n v="0"/>
    <n v="0"/>
    <n v="455"/>
    <n v="0.1"/>
    <n v="0"/>
    <n v="0"/>
    <n v="0"/>
    <n v="11026"/>
    <n v="0"/>
  </r>
  <r>
    <x v="0"/>
    <x v="0"/>
    <s v="SPXW"/>
    <x v="2"/>
    <x v="33"/>
    <s v="p"/>
    <n v="0"/>
    <n v="0"/>
    <n v="0"/>
    <n v="0"/>
    <n v="0"/>
    <n v="0"/>
    <n v="0"/>
    <n v="136"/>
    <n v="0.05"/>
    <n v="0"/>
    <n v="0"/>
    <n v="0"/>
    <n v="0"/>
    <n v="0.79690000000000005"/>
    <n v="-2.9999999999999997E-4"/>
    <n v="0"/>
    <n v="-2.5100000000000001E-2"/>
    <n v="5.1000000000000004E-3"/>
    <n v="-1E-4"/>
    <n v="0"/>
    <n v="0"/>
    <n v="215"/>
    <n v="0.1"/>
    <n v="0"/>
    <n v="0"/>
    <n v="0"/>
    <n v="124"/>
    <n v="0"/>
  </r>
  <r>
    <x v="0"/>
    <x v="0"/>
    <s v="SPXW"/>
    <x v="2"/>
    <x v="34"/>
    <s v="p"/>
    <n v="0"/>
    <n v="0"/>
    <n v="0"/>
    <n v="0"/>
    <n v="0"/>
    <n v="0"/>
    <n v="0"/>
    <n v="726"/>
    <n v="0.05"/>
    <n v="0"/>
    <n v="0"/>
    <n v="0"/>
    <n v="0"/>
    <n v="0.78120000000000001"/>
    <n v="-2.9999999999999997E-4"/>
    <n v="0"/>
    <n v="-2.5100000000000001E-2"/>
    <n v="5.1999999999999998E-3"/>
    <n v="-1E-4"/>
    <n v="0"/>
    <n v="0"/>
    <n v="566"/>
    <n v="0.05"/>
    <n v="0"/>
    <n v="0"/>
    <n v="0"/>
    <n v="890"/>
    <n v="0"/>
  </r>
  <r>
    <x v="0"/>
    <x v="0"/>
    <s v="SPXW"/>
    <x v="2"/>
    <x v="35"/>
    <s v="p"/>
    <n v="0.1"/>
    <n v="0.1"/>
    <n v="0.05"/>
    <n v="0.05"/>
    <n v="126"/>
    <n v="0"/>
    <n v="0"/>
    <n v="125"/>
    <n v="0.05"/>
    <n v="0"/>
    <n v="0"/>
    <n v="0"/>
    <n v="0"/>
    <n v="0.76570000000000005"/>
    <n v="-2.9999999999999997E-4"/>
    <n v="0"/>
    <n v="-2.5100000000000001E-2"/>
    <n v="5.3E-3"/>
    <n v="-1E-4"/>
    <n v="0"/>
    <n v="0"/>
    <n v="13"/>
    <n v="0.05"/>
    <n v="0"/>
    <n v="0"/>
    <n v="7.3800000000000004E-2"/>
    <n v="149"/>
    <n v="0"/>
  </r>
  <r>
    <x v="0"/>
    <x v="0"/>
    <s v="SPXW"/>
    <x v="2"/>
    <x v="36"/>
    <s v="p"/>
    <n v="0.05"/>
    <n v="0.05"/>
    <n v="0.05"/>
    <n v="0.05"/>
    <n v="11"/>
    <n v="0"/>
    <n v="0"/>
    <n v="118"/>
    <n v="0.05"/>
    <n v="0"/>
    <n v="0"/>
    <n v="0"/>
    <n v="0"/>
    <n v="0.75019999999999998"/>
    <n v="-2.9999999999999997E-4"/>
    <n v="0"/>
    <n v="-2.5100000000000001E-2"/>
    <n v="5.4000000000000003E-3"/>
    <n v="-1E-4"/>
    <n v="0"/>
    <n v="0"/>
    <n v="202"/>
    <n v="0.1"/>
    <n v="0"/>
    <n v="0"/>
    <n v="0.05"/>
    <n v="1229"/>
    <n v="0"/>
  </r>
  <r>
    <x v="0"/>
    <x v="0"/>
    <s v="SPXW"/>
    <x v="2"/>
    <x v="37"/>
    <s v="p"/>
    <n v="0.05"/>
    <n v="0.05"/>
    <n v="0.05"/>
    <n v="0.05"/>
    <n v="10"/>
    <n v="0"/>
    <n v="0"/>
    <n v="107"/>
    <n v="0.05"/>
    <n v="0"/>
    <n v="0"/>
    <n v="0"/>
    <n v="0"/>
    <n v="0.73470000000000002"/>
    <n v="-2.9999999999999997E-4"/>
    <n v="0"/>
    <n v="-2.5100000000000001E-2"/>
    <n v="5.4999999999999997E-3"/>
    <n v="-1E-4"/>
    <n v="0"/>
    <n v="0"/>
    <n v="199"/>
    <n v="0.1"/>
    <n v="0"/>
    <n v="0"/>
    <n v="0.05"/>
    <n v="32"/>
    <n v="0"/>
  </r>
  <r>
    <x v="0"/>
    <x v="0"/>
    <s v="SPXW"/>
    <x v="2"/>
    <x v="38"/>
    <s v="p"/>
    <n v="0.05"/>
    <n v="0.05"/>
    <n v="0.05"/>
    <n v="0.05"/>
    <n v="1090"/>
    <n v="0"/>
    <n v="0"/>
    <n v="641"/>
    <n v="0.05"/>
    <n v="0"/>
    <n v="0"/>
    <n v="0"/>
    <n v="0"/>
    <n v="0.71930000000000005"/>
    <n v="-2.9999999999999997E-4"/>
    <n v="0"/>
    <n v="-2.5100000000000001E-2"/>
    <n v="5.5999999999999999E-3"/>
    <n v="-1E-4"/>
    <n v="0"/>
    <n v="0"/>
    <n v="516"/>
    <n v="0.05"/>
    <n v="0"/>
    <n v="0"/>
    <n v="0.05"/>
    <n v="231"/>
    <n v="0"/>
  </r>
  <r>
    <x v="0"/>
    <x v="0"/>
    <s v="SPXW"/>
    <x v="2"/>
    <x v="39"/>
    <s v="p"/>
    <n v="0.05"/>
    <n v="0.05"/>
    <n v="0.05"/>
    <n v="0.05"/>
    <n v="30"/>
    <n v="0"/>
    <n v="0"/>
    <n v="32"/>
    <n v="0.05"/>
    <n v="0"/>
    <n v="0"/>
    <n v="0"/>
    <n v="0"/>
    <n v="0.70389999999999997"/>
    <n v="-2.9999999999999997E-4"/>
    <n v="0"/>
    <n v="-2.5100000000000001E-2"/>
    <n v="5.7000000000000002E-3"/>
    <n v="-1E-4"/>
    <n v="0"/>
    <n v="0"/>
    <n v="192"/>
    <n v="0.1"/>
    <n v="0"/>
    <n v="0"/>
    <n v="0.05"/>
    <n v="184"/>
    <n v="0"/>
  </r>
  <r>
    <x v="0"/>
    <x v="0"/>
    <s v="SPXW"/>
    <x v="2"/>
    <x v="40"/>
    <s v="p"/>
    <n v="0.05"/>
    <n v="0.05"/>
    <n v="0.05"/>
    <n v="0.05"/>
    <n v="7"/>
    <n v="0"/>
    <n v="0"/>
    <n v="539"/>
    <n v="0.1"/>
    <n v="0"/>
    <n v="0"/>
    <n v="0"/>
    <n v="0"/>
    <n v="0.72319999999999995"/>
    <n v="-5.0000000000000001E-4"/>
    <n v="0"/>
    <n v="-5.0099999999999999E-2"/>
    <n v="1.01E-2"/>
    <n v="-2.0000000000000001E-4"/>
    <n v="0"/>
    <n v="0"/>
    <n v="189"/>
    <n v="0.1"/>
    <n v="0"/>
    <n v="0"/>
    <n v="0.05"/>
    <n v="570"/>
    <n v="0"/>
  </r>
  <r>
    <x v="0"/>
    <x v="0"/>
    <s v="SPXW"/>
    <x v="2"/>
    <x v="41"/>
    <s v="p"/>
    <n v="0.05"/>
    <n v="0.05"/>
    <n v="0.05"/>
    <n v="0.05"/>
    <n v="50"/>
    <n v="0"/>
    <n v="0"/>
    <n v="518"/>
    <n v="0.1"/>
    <n v="0"/>
    <n v="0"/>
    <n v="0"/>
    <n v="0"/>
    <n v="0.70720000000000005"/>
    <n v="-5.0000000000000001E-4"/>
    <n v="0"/>
    <n v="-5.0099999999999999E-2"/>
    <n v="1.03E-2"/>
    <n v="-2.0000000000000001E-4"/>
    <n v="0"/>
    <n v="0"/>
    <n v="185"/>
    <n v="0.1"/>
    <n v="0"/>
    <n v="0"/>
    <n v="0.05"/>
    <n v="194"/>
    <n v="0"/>
  </r>
  <r>
    <x v="0"/>
    <x v="0"/>
    <s v="SPXW"/>
    <x v="2"/>
    <x v="42"/>
    <s v="p"/>
    <n v="0.05"/>
    <n v="0.05"/>
    <n v="0.05"/>
    <n v="0.05"/>
    <n v="16"/>
    <n v="0"/>
    <n v="0"/>
    <n v="494"/>
    <n v="0.1"/>
    <n v="0"/>
    <n v="0"/>
    <n v="0"/>
    <n v="0"/>
    <n v="0.69130000000000003"/>
    <n v="-5.9999999999999995E-4"/>
    <n v="0"/>
    <n v="-5.0099999999999999E-2"/>
    <n v="1.0500000000000001E-2"/>
    <n v="-2.0000000000000001E-4"/>
    <n v="0"/>
    <n v="0"/>
    <n v="158"/>
    <n v="0.1"/>
    <n v="0"/>
    <n v="0"/>
    <n v="0.05"/>
    <n v="603"/>
    <n v="0"/>
  </r>
  <r>
    <x v="0"/>
    <x v="0"/>
    <s v="SPXW"/>
    <x v="2"/>
    <x v="43"/>
    <s v="p"/>
    <n v="0"/>
    <n v="0"/>
    <n v="0"/>
    <n v="0"/>
    <n v="0"/>
    <n v="0"/>
    <n v="0"/>
    <n v="474"/>
    <n v="0.1"/>
    <n v="0"/>
    <n v="0"/>
    <n v="0"/>
    <n v="0"/>
    <n v="0.67500000000000004"/>
    <n v="-5.9999999999999995E-4"/>
    <n v="0"/>
    <n v="-0.05"/>
    <n v="1.0800000000000001E-2"/>
    <n v="-2.0000000000000001E-4"/>
    <n v="0"/>
    <n v="0"/>
    <n v="151"/>
    <n v="0.1"/>
    <n v="0"/>
    <n v="0"/>
    <n v="0"/>
    <n v="98"/>
    <n v="0"/>
  </r>
  <r>
    <x v="0"/>
    <x v="0"/>
    <s v="SPXW"/>
    <x v="2"/>
    <x v="44"/>
    <s v="p"/>
    <n v="0.05"/>
    <n v="0.05"/>
    <n v="0.05"/>
    <n v="0.05"/>
    <n v="70"/>
    <n v="0"/>
    <n v="0"/>
    <n v="451"/>
    <n v="0.1"/>
    <n v="0"/>
    <n v="0"/>
    <n v="0"/>
    <n v="0"/>
    <n v="0.65959999999999996"/>
    <n v="-5.9999999999999995E-4"/>
    <n v="0"/>
    <n v="-5.0099999999999999E-2"/>
    <n v="1.0999999999999999E-2"/>
    <n v="-2.0000000000000001E-4"/>
    <n v="0"/>
    <n v="0"/>
    <n v="150"/>
    <n v="0.1"/>
    <n v="0"/>
    <n v="0"/>
    <n v="0.05"/>
    <n v="203"/>
    <n v="0"/>
  </r>
  <r>
    <x v="0"/>
    <x v="0"/>
    <s v="SPXW"/>
    <x v="2"/>
    <x v="45"/>
    <s v="p"/>
    <n v="0"/>
    <n v="0"/>
    <n v="0"/>
    <n v="0"/>
    <n v="0"/>
    <n v="0"/>
    <n v="0"/>
    <n v="427"/>
    <n v="0.1"/>
    <n v="0"/>
    <n v="0"/>
    <n v="0"/>
    <n v="0"/>
    <n v="0.64380000000000004"/>
    <n v="-5.9999999999999995E-4"/>
    <n v="0"/>
    <n v="-5.0099999999999999E-2"/>
    <n v="1.1299999999999999E-2"/>
    <n v="-2.0000000000000001E-4"/>
    <n v="0"/>
    <n v="0"/>
    <n v="91"/>
    <n v="0.1"/>
    <n v="0"/>
    <n v="0"/>
    <n v="0"/>
    <n v="238"/>
    <n v="0"/>
  </r>
  <r>
    <x v="0"/>
    <x v="0"/>
    <s v="SPXW"/>
    <x v="2"/>
    <x v="46"/>
    <s v="p"/>
    <n v="0.05"/>
    <n v="0.05"/>
    <n v="0.04"/>
    <n v="0.05"/>
    <n v="95"/>
    <n v="0"/>
    <n v="0"/>
    <n v="408"/>
    <n v="0.1"/>
    <n v="0"/>
    <n v="0"/>
    <n v="0"/>
    <n v="0"/>
    <n v="0.62809999999999999"/>
    <n v="-5.9999999999999995E-4"/>
    <n v="0"/>
    <n v="-5.0099999999999999E-2"/>
    <n v="1.15E-2"/>
    <n v="-2.0000000000000001E-4"/>
    <n v="0"/>
    <n v="0"/>
    <n v="92"/>
    <n v="0.1"/>
    <n v="0"/>
    <n v="0"/>
    <n v="4.9500000000000002E-2"/>
    <n v="522"/>
    <n v="0"/>
  </r>
  <r>
    <x v="0"/>
    <x v="0"/>
    <s v="SPXW"/>
    <x v="2"/>
    <x v="47"/>
    <s v="p"/>
    <n v="0.09"/>
    <n v="0.09"/>
    <n v="0.05"/>
    <n v="0.05"/>
    <n v="19"/>
    <n v="0"/>
    <n v="0"/>
    <n v="385"/>
    <n v="0.1"/>
    <n v="0"/>
    <n v="0"/>
    <n v="0"/>
    <n v="0"/>
    <n v="0.61240000000000006"/>
    <n v="-5.9999999999999995E-4"/>
    <n v="0"/>
    <n v="-5.0099999999999999E-2"/>
    <n v="1.18E-2"/>
    <n v="-2.0000000000000001E-4"/>
    <n v="0"/>
    <n v="0"/>
    <n v="100"/>
    <n v="0.1"/>
    <n v="0"/>
    <n v="0"/>
    <n v="6.0499999999999998E-2"/>
    <n v="275"/>
    <n v="0"/>
  </r>
  <r>
    <x v="0"/>
    <x v="0"/>
    <s v="SPXW"/>
    <x v="2"/>
    <x v="50"/>
    <s v="p"/>
    <n v="0.1"/>
    <n v="0.1"/>
    <n v="0.1"/>
    <n v="0.1"/>
    <n v="176"/>
    <n v="0"/>
    <n v="0"/>
    <n v="403"/>
    <n v="0.1"/>
    <n v="0"/>
    <n v="0"/>
    <n v="0"/>
    <n v="0"/>
    <n v="0.59670000000000001"/>
    <n v="-5.9999999999999995E-4"/>
    <n v="0"/>
    <n v="-5.0099999999999999E-2"/>
    <n v="1.21E-2"/>
    <n v="-2.0000000000000001E-4"/>
    <n v="0"/>
    <n v="0"/>
    <n v="77"/>
    <n v="0.1"/>
    <n v="0"/>
    <n v="0"/>
    <n v="0.1"/>
    <n v="462"/>
    <n v="0"/>
  </r>
  <r>
    <x v="0"/>
    <x v="0"/>
    <s v="SPXW"/>
    <x v="2"/>
    <x v="53"/>
    <s v="p"/>
    <n v="0.1"/>
    <n v="0.1"/>
    <n v="0.1"/>
    <n v="0.1"/>
    <n v="1"/>
    <n v="0"/>
    <n v="0"/>
    <n v="492"/>
    <n v="0.1"/>
    <n v="0"/>
    <n v="0"/>
    <n v="0"/>
    <n v="0"/>
    <n v="0.58099999999999996"/>
    <n v="-6.9999999999999999E-4"/>
    <n v="0"/>
    <n v="-0.05"/>
    <n v="1.24E-2"/>
    <n v="-2.9999999999999997E-4"/>
    <n v="0"/>
    <n v="0"/>
    <n v="401"/>
    <n v="0.15"/>
    <n v="0"/>
    <n v="0"/>
    <n v="0.1"/>
    <n v="201"/>
    <n v="0"/>
  </r>
  <r>
    <x v="0"/>
    <x v="0"/>
    <s v="SPXW"/>
    <x v="2"/>
    <x v="56"/>
    <s v="p"/>
    <n v="0.1"/>
    <n v="0.1"/>
    <n v="0.05"/>
    <n v="0.05"/>
    <n v="81"/>
    <n v="43"/>
    <n v="0.05"/>
    <n v="210"/>
    <n v="0.1"/>
    <n v="0"/>
    <n v="0"/>
    <n v="0"/>
    <n v="0"/>
    <n v="0.5837"/>
    <n v="-8.9999999999999998E-4"/>
    <n v="0"/>
    <n v="-7.4999999999999997E-2"/>
    <n v="1.7399999999999999E-2"/>
    <n v="-4.0000000000000002E-4"/>
    <n v="0"/>
    <n v="0"/>
    <n v="381"/>
    <n v="0.15"/>
    <n v="0"/>
    <n v="0"/>
    <n v="9.9400000000000002E-2"/>
    <n v="167"/>
    <n v="0"/>
  </r>
  <r>
    <x v="0"/>
    <x v="0"/>
    <s v="SPXW"/>
    <x v="2"/>
    <x v="59"/>
    <s v="p"/>
    <n v="0.1"/>
    <n v="0.1"/>
    <n v="0.1"/>
    <n v="0.1"/>
    <n v="1"/>
    <n v="56"/>
    <n v="0.05"/>
    <n v="209"/>
    <n v="0.1"/>
    <n v="0"/>
    <n v="0"/>
    <n v="0"/>
    <n v="0"/>
    <n v="0.56779999999999997"/>
    <n v="-1E-3"/>
    <n v="0"/>
    <n v="-7.4999999999999997E-2"/>
    <n v="1.7899999999999999E-2"/>
    <n v="-4.0000000000000002E-4"/>
    <n v="38"/>
    <n v="0.05"/>
    <n v="193"/>
    <n v="0.15"/>
    <n v="0"/>
    <n v="0"/>
    <n v="0.1"/>
    <n v="37"/>
    <n v="0"/>
  </r>
  <r>
    <x v="0"/>
    <x v="0"/>
    <s v="SPXW"/>
    <x v="2"/>
    <x v="62"/>
    <s v="p"/>
    <n v="0.1"/>
    <n v="0.1"/>
    <n v="0.1"/>
    <n v="0.1"/>
    <n v="68"/>
    <n v="172"/>
    <n v="0.05"/>
    <n v="245"/>
    <n v="0.1"/>
    <n v="0"/>
    <n v="0"/>
    <n v="0"/>
    <n v="0"/>
    <n v="0.55179999999999996"/>
    <n v="-1E-3"/>
    <n v="0"/>
    <n v="-7.4999999999999997E-2"/>
    <n v="1.83E-2"/>
    <n v="-4.0000000000000002E-4"/>
    <n v="38"/>
    <n v="0.05"/>
    <n v="188"/>
    <n v="0.15"/>
    <n v="0"/>
    <n v="0"/>
    <n v="0.1"/>
    <n v="637"/>
    <n v="0"/>
  </r>
  <r>
    <x v="0"/>
    <x v="0"/>
    <s v="SPXW"/>
    <x v="2"/>
    <x v="65"/>
    <s v="p"/>
    <n v="0.1"/>
    <n v="0.1"/>
    <n v="0.1"/>
    <n v="0.1"/>
    <n v="1"/>
    <n v="188"/>
    <n v="0.05"/>
    <n v="147"/>
    <n v="0.1"/>
    <n v="0"/>
    <n v="0"/>
    <n v="0"/>
    <n v="0"/>
    <n v="0.53590000000000004"/>
    <n v="-1E-3"/>
    <n v="0"/>
    <n v="-7.4999999999999997E-2"/>
    <n v="1.89E-2"/>
    <n v="-4.0000000000000002E-4"/>
    <n v="39"/>
    <n v="0.05"/>
    <n v="183"/>
    <n v="0.15"/>
    <n v="0"/>
    <n v="0"/>
    <n v="0.1"/>
    <n v="79"/>
    <n v="0"/>
  </r>
  <r>
    <x v="0"/>
    <x v="0"/>
    <s v="SPXW"/>
    <x v="2"/>
    <x v="68"/>
    <s v="p"/>
    <n v="0.1"/>
    <n v="0.1"/>
    <n v="0.1"/>
    <n v="0.1"/>
    <n v="52"/>
    <n v="291"/>
    <n v="0.05"/>
    <n v="116"/>
    <n v="0.1"/>
    <n v="0"/>
    <n v="0"/>
    <n v="0"/>
    <n v="0"/>
    <n v="0.52"/>
    <n v="-1E-3"/>
    <n v="0"/>
    <n v="-7.4999999999999997E-2"/>
    <n v="1.9400000000000001E-2"/>
    <n v="-4.0000000000000002E-4"/>
    <n v="40"/>
    <n v="0.05"/>
    <n v="179"/>
    <n v="0.15"/>
    <n v="0"/>
    <n v="0"/>
    <n v="0.1"/>
    <n v="194"/>
    <n v="0"/>
  </r>
  <r>
    <x v="0"/>
    <x v="0"/>
    <s v="SPXW"/>
    <x v="2"/>
    <x v="71"/>
    <s v="p"/>
    <n v="0.2"/>
    <n v="0.2"/>
    <n v="0.1"/>
    <n v="0.1"/>
    <n v="101"/>
    <n v="312"/>
    <n v="0.05"/>
    <n v="496"/>
    <n v="0.15"/>
    <n v="0"/>
    <n v="0"/>
    <n v="0"/>
    <n v="0"/>
    <n v="0.51639999999999997"/>
    <n v="-1.4E-3"/>
    <n v="0"/>
    <n v="-0.1"/>
    <n v="2.4799999999999999E-2"/>
    <n v="-5.0000000000000001E-4"/>
    <n v="150"/>
    <n v="0.05"/>
    <n v="140"/>
    <n v="0.15"/>
    <n v="0"/>
    <n v="0"/>
    <n v="0.10100000000000001"/>
    <n v="210"/>
    <n v="0"/>
  </r>
  <r>
    <x v="0"/>
    <x v="0"/>
    <s v="SPXW"/>
    <x v="2"/>
    <x v="74"/>
    <s v="p"/>
    <n v="0.1"/>
    <n v="0.15"/>
    <n v="0.1"/>
    <n v="0.15"/>
    <n v="131"/>
    <n v="359"/>
    <n v="0.05"/>
    <n v="480"/>
    <n v="0.15"/>
    <n v="0"/>
    <n v="0"/>
    <n v="0"/>
    <n v="0"/>
    <n v="0.50019999999999998"/>
    <n v="-1.4E-3"/>
    <n v="0"/>
    <n v="-9.9900000000000003E-2"/>
    <n v="2.5499999999999998E-2"/>
    <n v="-5.0000000000000001E-4"/>
    <n v="153"/>
    <n v="0.05"/>
    <n v="140"/>
    <n v="0.15"/>
    <n v="0"/>
    <n v="0"/>
    <n v="0.13819999999999999"/>
    <n v="352"/>
    <n v="0"/>
  </r>
  <r>
    <x v="0"/>
    <x v="0"/>
    <s v="SPXW"/>
    <x v="2"/>
    <x v="75"/>
    <s v="p"/>
    <n v="0"/>
    <n v="0"/>
    <n v="0"/>
    <n v="0"/>
    <n v="0"/>
    <n v="331"/>
    <n v="0.05"/>
    <n v="429"/>
    <n v="0.15"/>
    <n v="0"/>
    <n v="0"/>
    <n v="0"/>
    <n v="0"/>
    <n v="0.49340000000000001"/>
    <n v="-1.4E-3"/>
    <n v="0"/>
    <n v="-9.98E-2"/>
    <n v="2.58E-2"/>
    <n v="-5.0000000000000001E-4"/>
    <n v="101"/>
    <n v="0.05"/>
    <n v="130"/>
    <n v="0.15"/>
    <n v="0"/>
    <n v="0"/>
    <n v="0"/>
    <n v="514"/>
    <n v="0"/>
  </r>
  <r>
    <x v="0"/>
    <x v="0"/>
    <s v="SPXW"/>
    <x v="2"/>
    <x v="76"/>
    <s v="p"/>
    <n v="0"/>
    <n v="0"/>
    <n v="0"/>
    <n v="0"/>
    <n v="0"/>
    <n v="340"/>
    <n v="0.05"/>
    <n v="412"/>
    <n v="0.15"/>
    <n v="0"/>
    <n v="0"/>
    <n v="0"/>
    <n v="0"/>
    <n v="0.48680000000000001"/>
    <n v="-1.4E-3"/>
    <n v="0"/>
    <n v="-9.98E-2"/>
    <n v="2.6100000000000002E-2"/>
    <n v="-5.9999999999999995E-4"/>
    <n v="137"/>
    <n v="0.05"/>
    <n v="214"/>
    <n v="0.2"/>
    <n v="0"/>
    <n v="0"/>
    <n v="0"/>
    <n v="56"/>
    <n v="0"/>
  </r>
  <r>
    <x v="0"/>
    <x v="0"/>
    <s v="SPXW"/>
    <x v="2"/>
    <x v="77"/>
    <s v="p"/>
    <n v="0"/>
    <n v="0"/>
    <n v="0"/>
    <n v="0"/>
    <n v="0"/>
    <n v="360"/>
    <n v="0.05"/>
    <n v="423"/>
    <n v="0.15"/>
    <n v="0"/>
    <n v="0"/>
    <n v="0"/>
    <n v="0"/>
    <n v="0.48409999999999997"/>
    <n v="-1.5E-3"/>
    <n v="0"/>
    <n v="-9.9900000000000003E-2"/>
    <n v="2.63E-2"/>
    <n v="-5.9999999999999995E-4"/>
    <n v="150"/>
    <n v="0.05"/>
    <n v="223"/>
    <n v="0.2"/>
    <n v="0"/>
    <n v="0"/>
    <n v="0"/>
    <n v="86"/>
    <n v="0"/>
  </r>
  <r>
    <x v="0"/>
    <x v="0"/>
    <s v="SPXW"/>
    <x v="2"/>
    <x v="78"/>
    <s v="p"/>
    <n v="0"/>
    <n v="0"/>
    <n v="0"/>
    <n v="0"/>
    <n v="0"/>
    <n v="351"/>
    <n v="0.05"/>
    <n v="567"/>
    <n v="0.15"/>
    <n v="0"/>
    <n v="0"/>
    <n v="0"/>
    <n v="0"/>
    <n v="0.48060000000000003"/>
    <n v="-1.5E-3"/>
    <n v="0"/>
    <n v="-9.98E-2"/>
    <n v="2.6499999999999999E-2"/>
    <n v="-5.9999999999999995E-4"/>
    <n v="166"/>
    <n v="0.05"/>
    <n v="210"/>
    <n v="0.2"/>
    <n v="0"/>
    <n v="0"/>
    <n v="0"/>
    <n v="60"/>
    <n v="0"/>
  </r>
  <r>
    <x v="0"/>
    <x v="0"/>
    <s v="SPXW"/>
    <x v="2"/>
    <x v="79"/>
    <s v="p"/>
    <n v="0"/>
    <n v="0"/>
    <n v="0"/>
    <n v="0"/>
    <n v="0"/>
    <n v="376"/>
    <n v="0.05"/>
    <n v="535"/>
    <n v="0.15"/>
    <n v="0"/>
    <n v="0"/>
    <n v="0"/>
    <n v="0"/>
    <n v="0.47370000000000001"/>
    <n v="-1.5E-3"/>
    <n v="0"/>
    <n v="-9.9900000000000003E-2"/>
    <n v="2.6800000000000001E-2"/>
    <n v="-5.9999999999999995E-4"/>
    <n v="169"/>
    <n v="0.05"/>
    <n v="208"/>
    <n v="0.2"/>
    <n v="0"/>
    <n v="0"/>
    <n v="0"/>
    <n v="11"/>
    <n v="0"/>
  </r>
  <r>
    <x v="0"/>
    <x v="0"/>
    <s v="SPXW"/>
    <x v="2"/>
    <x v="80"/>
    <s v="p"/>
    <n v="0.15"/>
    <n v="0.17"/>
    <n v="0.12"/>
    <n v="0.12"/>
    <n v="20"/>
    <n v="448"/>
    <n v="0.05"/>
    <n v="537"/>
    <n v="0.15"/>
    <n v="0"/>
    <n v="0"/>
    <n v="0"/>
    <n v="0"/>
    <n v="0.46750000000000003"/>
    <n v="-1.5E-3"/>
    <n v="0"/>
    <n v="-9.98E-2"/>
    <n v="2.7099999999999999E-2"/>
    <n v="-5.9999999999999995E-4"/>
    <n v="275"/>
    <n v="0.05"/>
    <n v="178"/>
    <n v="0.2"/>
    <n v="0"/>
    <n v="0"/>
    <n v="0.1615"/>
    <n v="256"/>
    <n v="0"/>
  </r>
  <r>
    <x v="0"/>
    <x v="0"/>
    <s v="SPXW"/>
    <x v="2"/>
    <x v="81"/>
    <s v="p"/>
    <n v="0.15"/>
    <n v="0.15"/>
    <n v="0.15"/>
    <n v="0.15"/>
    <n v="10"/>
    <n v="436"/>
    <n v="0.05"/>
    <n v="340"/>
    <n v="0.15"/>
    <n v="0"/>
    <n v="0"/>
    <n v="0"/>
    <n v="0"/>
    <n v="0.46079999999999999"/>
    <n v="-1.5E-3"/>
    <n v="0"/>
    <n v="-9.9900000000000003E-2"/>
    <n v="2.75E-2"/>
    <n v="-5.9999999999999995E-4"/>
    <n v="353"/>
    <n v="0.05"/>
    <n v="165"/>
    <n v="0.2"/>
    <n v="0"/>
    <n v="0"/>
    <n v="0.15"/>
    <n v="125"/>
    <n v="0"/>
  </r>
  <r>
    <x v="0"/>
    <x v="0"/>
    <s v="SPXW"/>
    <x v="2"/>
    <x v="82"/>
    <s v="p"/>
    <n v="0"/>
    <n v="0"/>
    <n v="0"/>
    <n v="0"/>
    <n v="0"/>
    <n v="5"/>
    <n v="0.1"/>
    <n v="334"/>
    <n v="0.15"/>
    <n v="0"/>
    <n v="0"/>
    <n v="0"/>
    <n v="0"/>
    <n v="0.46350000000000002"/>
    <n v="-1.9E-3"/>
    <n v="0"/>
    <n v="-0.12479999999999999"/>
    <n v="3.3000000000000002E-2"/>
    <n v="-6.9999999999999999E-4"/>
    <n v="5"/>
    <n v="0.1"/>
    <n v="162"/>
    <n v="0.2"/>
    <n v="0"/>
    <n v="0"/>
    <n v="0"/>
    <n v="144"/>
    <n v="0"/>
  </r>
  <r>
    <x v="0"/>
    <x v="0"/>
    <s v="SPXW"/>
    <x v="2"/>
    <x v="83"/>
    <s v="p"/>
    <n v="0.15"/>
    <n v="0.15"/>
    <n v="0.15"/>
    <n v="0.15"/>
    <n v="11"/>
    <n v="497"/>
    <n v="0.05"/>
    <n v="298"/>
    <n v="0.15"/>
    <n v="0"/>
    <n v="0"/>
    <n v="0"/>
    <n v="0"/>
    <n v="0.45190000000000002"/>
    <n v="-1.6000000000000001E-3"/>
    <n v="0"/>
    <n v="-9.9900000000000003E-2"/>
    <n v="2.8000000000000001E-2"/>
    <n v="-5.9999999999999995E-4"/>
    <n v="376"/>
    <n v="0.05"/>
    <n v="145"/>
    <n v="0.2"/>
    <n v="0"/>
    <n v="0"/>
    <n v="0.15"/>
    <n v="456"/>
    <n v="0"/>
  </r>
  <r>
    <x v="0"/>
    <x v="0"/>
    <s v="SPXW"/>
    <x v="2"/>
    <x v="84"/>
    <s v="p"/>
    <n v="0"/>
    <n v="0"/>
    <n v="0"/>
    <n v="0"/>
    <n v="0"/>
    <n v="489"/>
    <n v="0.05"/>
    <n v="250"/>
    <n v="0.15"/>
    <n v="0"/>
    <n v="0"/>
    <n v="0"/>
    <n v="0"/>
    <n v="0.4486"/>
    <n v="-1.6000000000000001E-3"/>
    <n v="0"/>
    <n v="-9.9900000000000003E-2"/>
    <n v="2.8199999999999999E-2"/>
    <n v="-5.9999999999999995E-4"/>
    <n v="370"/>
    <n v="0.05"/>
    <n v="134"/>
    <n v="0.2"/>
    <n v="0"/>
    <n v="0"/>
    <n v="0"/>
    <n v="114"/>
    <n v="0"/>
  </r>
  <r>
    <x v="0"/>
    <x v="0"/>
    <s v="SPXW"/>
    <x v="2"/>
    <x v="85"/>
    <s v="p"/>
    <n v="0.15"/>
    <n v="0.15"/>
    <n v="0.1"/>
    <n v="0.1"/>
    <n v="45"/>
    <n v="60"/>
    <n v="0.1"/>
    <n v="246"/>
    <n v="0.15"/>
    <n v="0"/>
    <n v="0"/>
    <n v="0"/>
    <n v="0"/>
    <n v="0.45050000000000001"/>
    <n v="-1.9E-3"/>
    <n v="0"/>
    <n v="-0.1246"/>
    <n v="3.3799999999999997E-2"/>
    <n v="-6.9999999999999999E-4"/>
    <n v="36"/>
    <n v="0.1"/>
    <n v="131"/>
    <n v="0.2"/>
    <n v="0"/>
    <n v="0"/>
    <n v="0.1011"/>
    <n v="86"/>
    <n v="0"/>
  </r>
  <r>
    <x v="0"/>
    <x v="0"/>
    <s v="SPXW"/>
    <x v="2"/>
    <x v="86"/>
    <s v="p"/>
    <n v="0.2"/>
    <n v="0.27"/>
    <n v="0.2"/>
    <n v="0.27"/>
    <n v="87"/>
    <n v="156"/>
    <n v="0.1"/>
    <n v="252"/>
    <n v="0.15"/>
    <n v="0"/>
    <n v="0"/>
    <n v="0"/>
    <n v="0"/>
    <n v="0.4446"/>
    <n v="-1.9E-3"/>
    <n v="0"/>
    <n v="-0.12479999999999999"/>
    <n v="3.4299999999999997E-2"/>
    <n v="-6.9999999999999999E-4"/>
    <n v="62"/>
    <n v="0.1"/>
    <n v="3"/>
    <n v="0.15"/>
    <n v="0"/>
    <n v="0"/>
    <n v="0.25950000000000001"/>
    <n v="824"/>
    <n v="0"/>
  </r>
  <r>
    <x v="0"/>
    <x v="0"/>
    <s v="SPXW"/>
    <x v="2"/>
    <x v="87"/>
    <s v="p"/>
    <n v="0"/>
    <n v="0"/>
    <n v="0"/>
    <n v="0"/>
    <n v="0"/>
    <n v="144"/>
    <n v="0.1"/>
    <n v="152"/>
    <n v="0.15"/>
    <n v="0"/>
    <n v="0"/>
    <n v="0"/>
    <n v="0"/>
    <n v="0.438"/>
    <n v="-2E-3"/>
    <n v="0"/>
    <n v="-0.12479999999999999"/>
    <n v="3.4700000000000002E-2"/>
    <n v="-8.0000000000000004E-4"/>
    <n v="34"/>
    <n v="0.1"/>
    <n v="133"/>
    <n v="0.2"/>
    <n v="0"/>
    <n v="0"/>
    <n v="0"/>
    <n v="176"/>
    <n v="0"/>
  </r>
  <r>
    <x v="0"/>
    <x v="0"/>
    <s v="SPXW"/>
    <x v="2"/>
    <x v="88"/>
    <s v="p"/>
    <n v="0.1"/>
    <n v="0.1"/>
    <n v="0.1"/>
    <n v="0.1"/>
    <n v="2"/>
    <n v="161"/>
    <n v="0.1"/>
    <n v="173"/>
    <n v="0.15"/>
    <n v="0"/>
    <n v="0"/>
    <n v="0"/>
    <n v="0"/>
    <n v="0.43130000000000002"/>
    <n v="-2E-3"/>
    <n v="0"/>
    <n v="-0.12470000000000001"/>
    <n v="3.5200000000000002E-2"/>
    <n v="-8.0000000000000004E-4"/>
    <n v="61"/>
    <n v="0.1"/>
    <n v="131"/>
    <n v="0.2"/>
    <n v="0"/>
    <n v="0"/>
    <n v="0.1"/>
    <n v="269"/>
    <n v="0"/>
  </r>
  <r>
    <x v="0"/>
    <x v="0"/>
    <s v="SPXW"/>
    <x v="2"/>
    <x v="89"/>
    <s v="p"/>
    <n v="0.2"/>
    <n v="0.2"/>
    <n v="0.2"/>
    <n v="0.2"/>
    <n v="2"/>
    <n v="176"/>
    <n v="0.1"/>
    <n v="167"/>
    <n v="0.15"/>
    <n v="0"/>
    <n v="0"/>
    <n v="0"/>
    <n v="0"/>
    <n v="0.42799999999999999"/>
    <n v="-2E-3"/>
    <n v="0"/>
    <n v="-0.12470000000000001"/>
    <n v="3.5499999999999997E-2"/>
    <n v="-8.0000000000000004E-4"/>
    <n v="60"/>
    <n v="0.1"/>
    <n v="2"/>
    <n v="0.15"/>
    <n v="0"/>
    <n v="0"/>
    <n v="0.2"/>
    <n v="293"/>
    <n v="0"/>
  </r>
  <r>
    <x v="0"/>
    <x v="0"/>
    <s v="SPXW"/>
    <x v="2"/>
    <x v="90"/>
    <s v="p"/>
    <n v="0"/>
    <n v="0"/>
    <n v="0"/>
    <n v="0"/>
    <n v="0"/>
    <n v="203"/>
    <n v="0.1"/>
    <n v="124"/>
    <n v="0.15"/>
    <n v="0"/>
    <n v="0"/>
    <n v="0"/>
    <n v="0"/>
    <n v="0.42459999999999998"/>
    <n v="-2E-3"/>
    <n v="0"/>
    <n v="-0.12470000000000001"/>
    <n v="3.5700000000000003E-2"/>
    <n v="-8.0000000000000004E-4"/>
    <n v="61"/>
    <n v="0.1"/>
    <n v="133"/>
    <n v="0.2"/>
    <n v="0"/>
    <n v="0"/>
    <n v="0"/>
    <n v="2265"/>
    <n v="0"/>
  </r>
  <r>
    <x v="0"/>
    <x v="0"/>
    <s v="SPXW"/>
    <x v="2"/>
    <x v="91"/>
    <s v="p"/>
    <n v="0.3"/>
    <n v="0.3"/>
    <n v="0.3"/>
    <n v="0.3"/>
    <n v="6"/>
    <n v="267"/>
    <n v="0.1"/>
    <n v="407"/>
    <n v="0.2"/>
    <n v="0"/>
    <n v="0"/>
    <n v="0"/>
    <n v="0"/>
    <n v="0.42549999999999999"/>
    <n v="-2.3999999999999998E-3"/>
    <n v="0"/>
    <n v="-0.14949999999999999"/>
    <n v="4.1300000000000003E-2"/>
    <n v="-8.9999999999999998E-4"/>
    <n v="62"/>
    <n v="0.1"/>
    <n v="131"/>
    <n v="0.2"/>
    <n v="0"/>
    <n v="0"/>
    <n v="0.3"/>
    <n v="338"/>
    <n v="0"/>
  </r>
  <r>
    <x v="0"/>
    <x v="0"/>
    <s v="SPXW"/>
    <x v="2"/>
    <x v="92"/>
    <s v="p"/>
    <n v="0.15"/>
    <n v="0.3"/>
    <n v="0.15"/>
    <n v="0.15"/>
    <n v="38"/>
    <n v="324"/>
    <n v="0.1"/>
    <n v="524"/>
    <n v="0.2"/>
    <n v="0"/>
    <n v="0"/>
    <n v="0"/>
    <n v="0"/>
    <n v="0.41889999999999999"/>
    <n v="-2.3999999999999998E-3"/>
    <n v="0"/>
    <n v="-0.14949999999999999"/>
    <n v="4.19E-2"/>
    <n v="-8.9999999999999998E-4"/>
    <n v="63"/>
    <n v="0.1"/>
    <n v="141"/>
    <n v="0.2"/>
    <n v="0"/>
    <n v="0"/>
    <n v="0.18659999999999999"/>
    <n v="248"/>
    <n v="0"/>
  </r>
  <r>
    <x v="0"/>
    <x v="0"/>
    <s v="SPXW"/>
    <x v="2"/>
    <x v="93"/>
    <s v="p"/>
    <n v="0.25"/>
    <n v="0.25"/>
    <n v="0.1"/>
    <n v="0.1"/>
    <n v="10"/>
    <n v="328"/>
    <n v="0.1"/>
    <n v="531"/>
    <n v="0.2"/>
    <n v="0"/>
    <n v="0"/>
    <n v="0"/>
    <n v="0"/>
    <n v="0.41199999999999998"/>
    <n v="-2.3999999999999998E-3"/>
    <n v="0"/>
    <n v="-0.14929999999999999"/>
    <n v="4.2599999999999999E-2"/>
    <n v="-8.9999999999999998E-4"/>
    <n v="60"/>
    <n v="0.1"/>
    <n v="129"/>
    <n v="0.2"/>
    <n v="0"/>
    <n v="0"/>
    <n v="0.23499999999999999"/>
    <n v="47"/>
    <n v="0"/>
  </r>
  <r>
    <x v="0"/>
    <x v="0"/>
    <s v="SPXW"/>
    <x v="2"/>
    <x v="94"/>
    <s v="p"/>
    <n v="0"/>
    <n v="0"/>
    <n v="0"/>
    <n v="0"/>
    <n v="0"/>
    <n v="341"/>
    <n v="0.1"/>
    <n v="509"/>
    <n v="0.2"/>
    <n v="0"/>
    <n v="0"/>
    <n v="0"/>
    <n v="0"/>
    <n v="0.4052"/>
    <n v="-2.5000000000000001E-3"/>
    <n v="0"/>
    <n v="-0.14940000000000001"/>
    <n v="4.3200000000000002E-2"/>
    <n v="-1E-3"/>
    <n v="60"/>
    <n v="0.1"/>
    <n v="97"/>
    <n v="0.2"/>
    <n v="0"/>
    <n v="0"/>
    <n v="0"/>
    <n v="184"/>
    <n v="0"/>
  </r>
  <r>
    <x v="0"/>
    <x v="0"/>
    <s v="SPXW"/>
    <x v="2"/>
    <x v="95"/>
    <s v="p"/>
    <n v="0.35"/>
    <n v="0.35"/>
    <n v="0.35"/>
    <n v="0.35"/>
    <n v="10"/>
    <n v="364"/>
    <n v="0.1"/>
    <n v="517"/>
    <n v="0.2"/>
    <n v="0"/>
    <n v="0"/>
    <n v="0"/>
    <n v="0"/>
    <n v="0.40239999999999998"/>
    <n v="-2.5000000000000001E-3"/>
    <n v="0"/>
    <n v="-0.14949999999999999"/>
    <n v="4.3499999999999997E-2"/>
    <n v="-1E-3"/>
    <n v="146"/>
    <n v="0.1"/>
    <n v="109"/>
    <n v="0.2"/>
    <n v="0"/>
    <n v="0"/>
    <n v="0.35"/>
    <n v="140"/>
    <n v="0"/>
  </r>
  <r>
    <x v="0"/>
    <x v="0"/>
    <s v="SPXW"/>
    <x v="2"/>
    <x v="96"/>
    <s v="p"/>
    <n v="0"/>
    <n v="0"/>
    <n v="0"/>
    <n v="0"/>
    <n v="0"/>
    <n v="356"/>
    <n v="0.1"/>
    <n v="526"/>
    <n v="0.2"/>
    <n v="0"/>
    <n v="0"/>
    <n v="0"/>
    <n v="0"/>
    <n v="0.39910000000000001"/>
    <n v="-2.5000000000000001E-3"/>
    <n v="0"/>
    <n v="-0.14949999999999999"/>
    <n v="4.3799999999999999E-2"/>
    <n v="-1E-3"/>
    <n v="91"/>
    <n v="0.1"/>
    <n v="98"/>
    <n v="0.2"/>
    <n v="0"/>
    <n v="0"/>
    <n v="0"/>
    <n v="70"/>
    <n v="0"/>
  </r>
  <r>
    <x v="0"/>
    <x v="0"/>
    <s v="SPXW"/>
    <x v="2"/>
    <x v="97"/>
    <s v="p"/>
    <n v="0.2"/>
    <n v="0.2"/>
    <n v="0.2"/>
    <n v="0.2"/>
    <n v="1"/>
    <n v="400"/>
    <n v="0.1"/>
    <n v="498"/>
    <n v="0.2"/>
    <n v="0"/>
    <n v="0"/>
    <n v="0"/>
    <n v="0"/>
    <n v="0.39250000000000002"/>
    <n v="-2.5999999999999999E-3"/>
    <n v="0"/>
    <n v="-0.14940000000000001"/>
    <n v="4.4499999999999998E-2"/>
    <n v="-1E-3"/>
    <n v="161"/>
    <n v="0.1"/>
    <n v="98"/>
    <n v="0.2"/>
    <n v="0"/>
    <n v="0"/>
    <n v="0.2"/>
    <n v="184"/>
    <n v="0"/>
  </r>
  <r>
    <x v="0"/>
    <x v="0"/>
    <s v="SPXW"/>
    <x v="2"/>
    <x v="98"/>
    <s v="p"/>
    <n v="0.18"/>
    <n v="0.35"/>
    <n v="0.18"/>
    <n v="0.35"/>
    <n v="1134"/>
    <n v="449"/>
    <n v="0.1"/>
    <n v="419"/>
    <n v="0.2"/>
    <n v="0"/>
    <n v="0"/>
    <n v="0"/>
    <n v="0"/>
    <n v="0.38569999999999999"/>
    <n v="-2.5999999999999999E-3"/>
    <n v="0"/>
    <n v="-0.14949999999999999"/>
    <n v="4.5199999999999997E-2"/>
    <n v="-1E-3"/>
    <n v="170"/>
    <n v="0.1"/>
    <n v="111"/>
    <n v="0.2"/>
    <n v="0"/>
    <n v="0"/>
    <n v="0.1971"/>
    <n v="2854"/>
    <n v="0"/>
  </r>
  <r>
    <x v="0"/>
    <x v="0"/>
    <s v="SPXW"/>
    <x v="2"/>
    <x v="99"/>
    <s v="p"/>
    <n v="0.2"/>
    <n v="0.2"/>
    <n v="0.1"/>
    <n v="0.1"/>
    <n v="115"/>
    <n v="423"/>
    <n v="0.1"/>
    <n v="364"/>
    <n v="0.2"/>
    <n v="0"/>
    <n v="0"/>
    <n v="0"/>
    <n v="0"/>
    <n v="0.37919999999999998"/>
    <n v="-2.5999999999999999E-3"/>
    <n v="0"/>
    <n v="-0.14940000000000001"/>
    <n v="4.5900000000000003E-2"/>
    <n v="-1E-3"/>
    <n v="159"/>
    <n v="0.1"/>
    <n v="24"/>
    <n v="0.2"/>
    <n v="0"/>
    <n v="0"/>
    <n v="0.1991"/>
    <n v="190"/>
    <n v="0"/>
  </r>
  <r>
    <x v="0"/>
    <x v="0"/>
    <s v="SPXW"/>
    <x v="2"/>
    <x v="100"/>
    <s v="p"/>
    <n v="0.2"/>
    <n v="0.2"/>
    <n v="0.2"/>
    <n v="0.2"/>
    <n v="14"/>
    <n v="51"/>
    <n v="0.15"/>
    <n v="258"/>
    <n v="0.2"/>
    <n v="0"/>
    <n v="0"/>
    <n v="0"/>
    <n v="0"/>
    <n v="0.378"/>
    <n v="-3.0000000000000001E-3"/>
    <n v="1E-4"/>
    <n v="-0.17399999999999999"/>
    <n v="5.2200000000000003E-2"/>
    <n v="-1.1999999999999999E-3"/>
    <n v="236"/>
    <n v="0.1"/>
    <n v="136"/>
    <n v="0.25"/>
    <n v="0"/>
    <n v="0"/>
    <n v="0.2"/>
    <n v="244"/>
    <n v="0"/>
  </r>
  <r>
    <x v="0"/>
    <x v="0"/>
    <s v="SPXW"/>
    <x v="2"/>
    <x v="101"/>
    <s v="p"/>
    <n v="0.25"/>
    <n v="0.25"/>
    <n v="0.2"/>
    <n v="0.2"/>
    <n v="101"/>
    <n v="92"/>
    <n v="0.15"/>
    <n v="339"/>
    <n v="0.2"/>
    <n v="0"/>
    <n v="0"/>
    <n v="0"/>
    <n v="0"/>
    <n v="0.37469999999999998"/>
    <n v="-3.0999999999999999E-3"/>
    <n v="1E-4"/>
    <n v="-0.1741"/>
    <n v="5.2699999999999997E-2"/>
    <n v="-1.1999999999999999E-3"/>
    <n v="342"/>
    <n v="0.1"/>
    <n v="148"/>
    <n v="0.25"/>
    <n v="0"/>
    <n v="0"/>
    <n v="0.20050000000000001"/>
    <n v="169"/>
    <n v="0"/>
  </r>
  <r>
    <x v="0"/>
    <x v="0"/>
    <s v="SPXW"/>
    <x v="2"/>
    <x v="102"/>
    <s v="p"/>
    <n v="0.25"/>
    <n v="0.25"/>
    <n v="0.25"/>
    <n v="0.25"/>
    <n v="2"/>
    <n v="66"/>
    <n v="0.15"/>
    <n v="291"/>
    <n v="0.2"/>
    <n v="0"/>
    <n v="0"/>
    <n v="0"/>
    <n v="0"/>
    <n v="0.37140000000000001"/>
    <n v="-3.0999999999999999E-3"/>
    <n v="1E-4"/>
    <n v="-0.1741"/>
    <n v="5.3100000000000001E-2"/>
    <n v="-1.1999999999999999E-3"/>
    <n v="316"/>
    <n v="0.1"/>
    <n v="135"/>
    <n v="0.25"/>
    <n v="0"/>
    <n v="0"/>
    <n v="0.25"/>
    <n v="84"/>
    <n v="0"/>
  </r>
  <r>
    <x v="0"/>
    <x v="0"/>
    <s v="SPXW"/>
    <x v="2"/>
    <x v="103"/>
    <s v="p"/>
    <n v="0.35"/>
    <n v="0.35"/>
    <n v="0.15"/>
    <n v="0.15"/>
    <n v="45"/>
    <n v="145"/>
    <n v="0.15"/>
    <n v="137"/>
    <n v="0.2"/>
    <n v="0"/>
    <n v="0"/>
    <n v="0"/>
    <n v="0"/>
    <n v="0.36470000000000002"/>
    <n v="-3.0999999999999999E-3"/>
    <n v="1E-4"/>
    <n v="-0.1741"/>
    <n v="5.3999999999999999E-2"/>
    <n v="-1.1999999999999999E-3"/>
    <n v="68"/>
    <n v="0.15"/>
    <n v="136"/>
    <n v="0.25"/>
    <n v="0"/>
    <n v="0"/>
    <n v="0.1633"/>
    <n v="259"/>
    <n v="0"/>
  </r>
  <r>
    <x v="0"/>
    <x v="0"/>
    <s v="SPXW"/>
    <x v="2"/>
    <x v="104"/>
    <s v="p"/>
    <n v="0.25"/>
    <n v="0.35"/>
    <n v="0.2"/>
    <n v="0.2"/>
    <n v="52"/>
    <n v="218"/>
    <n v="0.15"/>
    <n v="101"/>
    <n v="0.2"/>
    <n v="0"/>
    <n v="0"/>
    <n v="0"/>
    <n v="0"/>
    <n v="0.3579"/>
    <n v="-3.2000000000000002E-3"/>
    <n v="1E-4"/>
    <n v="-0.1741"/>
    <n v="5.4899999999999997E-2"/>
    <n v="-1.1999999999999999E-3"/>
    <n v="62"/>
    <n v="0.15"/>
    <n v="146"/>
    <n v="0.25"/>
    <n v="0"/>
    <n v="0"/>
    <n v="0.23080000000000001"/>
    <n v="709"/>
    <n v="0"/>
  </r>
  <r>
    <x v="0"/>
    <x v="0"/>
    <s v="SPXW"/>
    <x v="2"/>
    <x v="105"/>
    <s v="p"/>
    <n v="0.25"/>
    <n v="0.35"/>
    <n v="0.15"/>
    <n v="0.15"/>
    <n v="16"/>
    <n v="319"/>
    <n v="0.15"/>
    <n v="47"/>
    <n v="0.2"/>
    <n v="0"/>
    <n v="0"/>
    <n v="0"/>
    <n v="0"/>
    <n v="0.35149999999999998"/>
    <n v="-3.2000000000000002E-3"/>
    <n v="1E-4"/>
    <n v="-0.1741"/>
    <n v="5.5800000000000002E-2"/>
    <n v="-1.1999999999999999E-3"/>
    <n v="54"/>
    <n v="0.15"/>
    <n v="133"/>
    <n v="0.25"/>
    <n v="0"/>
    <n v="0"/>
    <n v="0.24379999999999999"/>
    <n v="178"/>
    <n v="0"/>
  </r>
  <r>
    <x v="0"/>
    <x v="0"/>
    <s v="SPXW"/>
    <x v="2"/>
    <x v="106"/>
    <s v="p"/>
    <n v="0.2"/>
    <n v="0.2"/>
    <n v="0.2"/>
    <n v="0.2"/>
    <n v="6"/>
    <n v="328"/>
    <n v="0.15"/>
    <n v="37"/>
    <n v="0.2"/>
    <n v="0"/>
    <n v="0"/>
    <n v="0"/>
    <n v="0"/>
    <n v="0.34820000000000001"/>
    <n v="-3.3E-3"/>
    <n v="1E-4"/>
    <n v="-0.1741"/>
    <n v="5.6300000000000003E-2"/>
    <n v="-1.2999999999999999E-3"/>
    <n v="85"/>
    <n v="0.15"/>
    <n v="132"/>
    <n v="0.25"/>
    <n v="0"/>
    <n v="0"/>
    <n v="0.2"/>
    <n v="4"/>
    <n v="0"/>
  </r>
  <r>
    <x v="0"/>
    <x v="0"/>
    <s v="SPXW"/>
    <x v="2"/>
    <x v="107"/>
    <s v="p"/>
    <n v="0.25"/>
    <n v="0.25"/>
    <n v="0.2"/>
    <n v="0.2"/>
    <n v="83"/>
    <n v="370"/>
    <n v="0.15"/>
    <n v="21"/>
    <n v="0.2"/>
    <n v="0"/>
    <n v="0"/>
    <n v="0"/>
    <n v="0"/>
    <n v="0.34439999999999998"/>
    <n v="-3.3E-3"/>
    <n v="1E-4"/>
    <n v="-0.17399999999999999"/>
    <n v="5.6899999999999999E-2"/>
    <n v="-1.2999999999999999E-3"/>
    <n v="109"/>
    <n v="0.15"/>
    <n v="132"/>
    <n v="0.25"/>
    <n v="0"/>
    <n v="0"/>
    <n v="0.2301"/>
    <n v="82"/>
    <n v="0"/>
  </r>
  <r>
    <x v="0"/>
    <x v="0"/>
    <s v="SPXW"/>
    <x v="2"/>
    <x v="108"/>
    <s v="p"/>
    <n v="0.25"/>
    <n v="0.44"/>
    <n v="0.15"/>
    <n v="0.15"/>
    <n v="75"/>
    <n v="393"/>
    <n v="0.15"/>
    <n v="11"/>
    <n v="0.2"/>
    <n v="0"/>
    <n v="0"/>
    <n v="0"/>
    <n v="0"/>
    <n v="0.34129999999999999"/>
    <n v="-3.3E-3"/>
    <n v="1E-4"/>
    <n v="-0.17399999999999999"/>
    <n v="5.74E-2"/>
    <n v="-1.2999999999999999E-3"/>
    <n v="166"/>
    <n v="0.15"/>
    <n v="143"/>
    <n v="0.25"/>
    <n v="0"/>
    <n v="0"/>
    <n v="0.2505"/>
    <n v="202"/>
    <n v="0"/>
  </r>
  <r>
    <x v="0"/>
    <x v="0"/>
    <s v="SPXW"/>
    <x v="2"/>
    <x v="109"/>
    <s v="p"/>
    <n v="0.5"/>
    <n v="0.5"/>
    <n v="0.2"/>
    <n v="0.2"/>
    <n v="27"/>
    <n v="358"/>
    <n v="0.15"/>
    <n v="332"/>
    <n v="0.25"/>
    <n v="0"/>
    <n v="0"/>
    <n v="0"/>
    <n v="0"/>
    <n v="0.33800000000000002"/>
    <n v="-3.3999999999999998E-3"/>
    <n v="1E-4"/>
    <n v="-0.17399999999999999"/>
    <n v="5.79E-2"/>
    <n v="-1.2999999999999999E-3"/>
    <n v="153"/>
    <n v="0.15"/>
    <n v="68"/>
    <n v="0.25"/>
    <n v="0"/>
    <n v="0"/>
    <n v="0.21110000000000001"/>
    <n v="229"/>
    <n v="0"/>
  </r>
  <r>
    <x v="0"/>
    <x v="0"/>
    <s v="SPXW"/>
    <x v="2"/>
    <x v="110"/>
    <s v="p"/>
    <n v="0.5"/>
    <n v="0.5"/>
    <n v="0.15"/>
    <n v="0.15"/>
    <n v="59"/>
    <n v="398"/>
    <n v="0.15"/>
    <n v="328"/>
    <n v="0.25"/>
    <n v="0"/>
    <n v="0"/>
    <n v="0"/>
    <n v="0"/>
    <n v="0.33910000000000001"/>
    <n v="-3.8E-3"/>
    <n v="1E-4"/>
    <n v="-0.19869999999999999"/>
    <n v="6.4199999999999993E-2"/>
    <n v="-1.5E-3"/>
    <n v="153"/>
    <n v="0.15"/>
    <n v="68"/>
    <n v="0.25"/>
    <n v="0"/>
    <n v="0"/>
    <n v="0.28050000000000003"/>
    <n v="1"/>
    <n v="0"/>
  </r>
  <r>
    <x v="0"/>
    <x v="0"/>
    <s v="SPXW"/>
    <x v="2"/>
    <x v="111"/>
    <s v="p"/>
    <n v="0.24"/>
    <n v="0.5"/>
    <n v="0.2"/>
    <n v="0.2"/>
    <n v="58"/>
    <n v="455"/>
    <n v="0.15"/>
    <n v="326"/>
    <n v="0.25"/>
    <n v="0"/>
    <n v="0"/>
    <n v="0"/>
    <n v="0"/>
    <n v="0.33600000000000002"/>
    <n v="-3.8E-3"/>
    <n v="1E-4"/>
    <n v="-0.19869999999999999"/>
    <n v="6.4699999999999994E-2"/>
    <n v="-1.5E-3"/>
    <n v="156"/>
    <n v="0.15"/>
    <n v="24"/>
    <n v="0.25"/>
    <n v="0"/>
    <n v="0"/>
    <n v="0.25240000000000001"/>
    <n v="249"/>
    <n v="0"/>
  </r>
  <r>
    <x v="0"/>
    <x v="0"/>
    <s v="SPXW"/>
    <x v="2"/>
    <x v="112"/>
    <s v="p"/>
    <n v="0.25"/>
    <n v="0.3"/>
    <n v="0.2"/>
    <n v="0.2"/>
    <n v="39"/>
    <n v="464"/>
    <n v="0.15"/>
    <n v="320"/>
    <n v="0.25"/>
    <n v="0"/>
    <n v="0"/>
    <n v="0"/>
    <n v="0"/>
    <n v="0.33239999999999997"/>
    <n v="-3.8999999999999998E-3"/>
    <n v="1E-4"/>
    <n v="-0.1986"/>
    <n v="6.5299999999999997E-2"/>
    <n v="-1.5E-3"/>
    <n v="152"/>
    <n v="0.15"/>
    <n v="24"/>
    <n v="0.25"/>
    <n v="0"/>
    <n v="0"/>
    <n v="0.2077"/>
    <n v="303"/>
    <n v="0"/>
  </r>
  <r>
    <x v="0"/>
    <x v="0"/>
    <s v="SPXW"/>
    <x v="2"/>
    <x v="113"/>
    <s v="p"/>
    <n v="0.28999999999999998"/>
    <n v="0.6"/>
    <n v="0.2"/>
    <n v="0.2"/>
    <n v="350"/>
    <n v="516"/>
    <n v="0.15"/>
    <n v="284"/>
    <n v="0.25"/>
    <n v="0"/>
    <n v="0"/>
    <n v="0"/>
    <n v="0"/>
    <n v="0.32900000000000001"/>
    <n v="-3.8999999999999998E-3"/>
    <n v="1E-4"/>
    <n v="-0.1986"/>
    <n v="6.59E-2"/>
    <n v="-1.5E-3"/>
    <n v="165"/>
    <n v="0.15"/>
    <n v="24"/>
    <n v="0.25"/>
    <n v="0"/>
    <n v="0"/>
    <n v="0.2321"/>
    <n v="750"/>
    <n v="0"/>
  </r>
  <r>
    <x v="0"/>
    <x v="0"/>
    <s v="SPXW"/>
    <x v="2"/>
    <x v="114"/>
    <s v="p"/>
    <n v="0.5"/>
    <n v="0.6"/>
    <n v="0.2"/>
    <n v="0.2"/>
    <n v="108"/>
    <n v="38"/>
    <n v="0.2"/>
    <n v="305"/>
    <n v="0.25"/>
    <n v="0"/>
    <n v="0"/>
    <n v="0"/>
    <n v="0"/>
    <n v="0.3296"/>
    <n v="-4.3E-3"/>
    <n v="1E-4"/>
    <n v="-0.22309999999999999"/>
    <n v="7.22E-2"/>
    <n v="-1.6999999999999999E-3"/>
    <n v="157"/>
    <n v="0.15"/>
    <n v="135"/>
    <n v="0.3"/>
    <n v="0"/>
    <n v="0"/>
    <n v="0.2792"/>
    <n v="22"/>
    <n v="0"/>
  </r>
  <r>
    <x v="0"/>
    <x v="0"/>
    <s v="SPXW"/>
    <x v="2"/>
    <x v="115"/>
    <s v="p"/>
    <n v="0.65"/>
    <n v="0.65"/>
    <n v="0.2"/>
    <n v="0.2"/>
    <n v="60"/>
    <n v="58"/>
    <n v="0.2"/>
    <n v="150"/>
    <n v="0.25"/>
    <n v="0"/>
    <n v="0"/>
    <n v="0"/>
    <n v="0"/>
    <n v="0.32619999999999999"/>
    <n v="-4.4000000000000003E-3"/>
    <n v="1E-4"/>
    <n v="-0.22309999999999999"/>
    <n v="7.2900000000000006E-2"/>
    <n v="-1.6999999999999999E-3"/>
    <n v="153"/>
    <n v="0.15"/>
    <n v="134"/>
    <n v="0.3"/>
    <n v="0"/>
    <n v="0"/>
    <n v="0.2225"/>
    <n v="290"/>
    <n v="0"/>
  </r>
  <r>
    <x v="0"/>
    <x v="0"/>
    <s v="SPXW"/>
    <x v="2"/>
    <x v="116"/>
    <s v="p"/>
    <n v="0.2"/>
    <n v="0.2"/>
    <n v="0.2"/>
    <n v="0.2"/>
    <n v="3"/>
    <n v="146"/>
    <n v="0.2"/>
    <n v="71"/>
    <n v="0.25"/>
    <n v="0"/>
    <n v="0"/>
    <n v="0"/>
    <n v="0"/>
    <n v="0.32269999999999999"/>
    <n v="-4.4000000000000003E-3"/>
    <n v="1E-4"/>
    <n v="-0.22309999999999999"/>
    <n v="7.3599999999999999E-2"/>
    <n v="-1.6999999999999999E-3"/>
    <n v="156"/>
    <n v="0.15"/>
    <n v="134"/>
    <n v="0.3"/>
    <n v="0"/>
    <n v="0"/>
    <n v="0.2"/>
    <n v="27"/>
    <n v="0"/>
  </r>
  <r>
    <x v="0"/>
    <x v="0"/>
    <s v="SPXW"/>
    <x v="2"/>
    <x v="117"/>
    <s v="p"/>
    <n v="0.34"/>
    <n v="0.6"/>
    <n v="0.2"/>
    <n v="0.2"/>
    <n v="157"/>
    <n v="173"/>
    <n v="0.2"/>
    <n v="92"/>
    <n v="0.25"/>
    <n v="0"/>
    <n v="0"/>
    <n v="0"/>
    <n v="0"/>
    <n v="0.31929999999999997"/>
    <n v="-4.4999999999999997E-3"/>
    <n v="1E-4"/>
    <n v="-0.22309999999999999"/>
    <n v="7.4300000000000005E-2"/>
    <n v="-1.6999999999999999E-3"/>
    <n v="150"/>
    <n v="0.15"/>
    <n v="133"/>
    <n v="0.3"/>
    <n v="0"/>
    <n v="0"/>
    <n v="0.50539999999999996"/>
    <n v="247"/>
    <n v="0"/>
  </r>
  <r>
    <x v="0"/>
    <x v="0"/>
    <s v="SPXW"/>
    <x v="2"/>
    <x v="118"/>
    <s v="p"/>
    <n v="0.3"/>
    <n v="0.75"/>
    <n v="0.2"/>
    <n v="0.2"/>
    <n v="221"/>
    <n v="355"/>
    <n v="0.2"/>
    <n v="31"/>
    <n v="0.25"/>
    <n v="0"/>
    <n v="0"/>
    <n v="0"/>
    <n v="0"/>
    <n v="0.31609999999999999"/>
    <n v="-4.4999999999999997E-3"/>
    <n v="1E-4"/>
    <n v="-0.22309999999999999"/>
    <n v="7.4999999999999997E-2"/>
    <n v="-1.6999999999999999E-3"/>
    <n v="81"/>
    <n v="0.2"/>
    <n v="143"/>
    <n v="0.3"/>
    <n v="0"/>
    <n v="0"/>
    <n v="0.24299999999999999"/>
    <n v="4225"/>
    <n v="0"/>
  </r>
  <r>
    <x v="0"/>
    <x v="0"/>
    <s v="SPXW"/>
    <x v="2"/>
    <x v="119"/>
    <s v="p"/>
    <n v="0.3"/>
    <n v="0.66"/>
    <n v="0.22"/>
    <n v="0.22"/>
    <n v="86"/>
    <n v="376"/>
    <n v="0.2"/>
    <n v="12"/>
    <n v="0.25"/>
    <n v="0"/>
    <n v="0"/>
    <n v="0"/>
    <n v="0"/>
    <n v="0.3125"/>
    <n v="-4.4999999999999997E-3"/>
    <n v="1E-4"/>
    <n v="-0.22309999999999999"/>
    <n v="7.5800000000000006E-2"/>
    <n v="-1.6999999999999999E-3"/>
    <n v="106"/>
    <n v="0.2"/>
    <n v="131"/>
    <n v="0.3"/>
    <n v="0"/>
    <n v="0"/>
    <n v="0.36480000000000001"/>
    <n v="2719"/>
    <n v="0"/>
  </r>
  <r>
    <x v="0"/>
    <x v="0"/>
    <s v="SPXW"/>
    <x v="2"/>
    <x v="120"/>
    <s v="p"/>
    <n v="0.3"/>
    <n v="0.3"/>
    <n v="0.3"/>
    <n v="0.3"/>
    <n v="1"/>
    <n v="380"/>
    <n v="0.2"/>
    <n v="304"/>
    <n v="0.3"/>
    <n v="0"/>
    <n v="0"/>
    <n v="0"/>
    <n v="0"/>
    <n v="0.31259999999999999"/>
    <n v="-5.0000000000000001E-3"/>
    <n v="1E-4"/>
    <n v="-0.24759999999999999"/>
    <n v="8.2400000000000001E-2"/>
    <n v="-1.9E-3"/>
    <n v="151"/>
    <n v="0.2"/>
    <n v="57"/>
    <n v="0.3"/>
    <n v="0"/>
    <n v="0"/>
    <n v="0.3"/>
    <n v="197"/>
    <n v="0"/>
  </r>
  <r>
    <x v="0"/>
    <x v="0"/>
    <s v="SPXW"/>
    <x v="2"/>
    <x v="121"/>
    <s v="p"/>
    <n v="0.28999999999999998"/>
    <n v="0.7"/>
    <n v="0.2"/>
    <n v="0.22"/>
    <n v="76"/>
    <n v="433"/>
    <n v="0.2"/>
    <n v="231"/>
    <n v="0.3"/>
    <n v="0"/>
    <n v="0"/>
    <n v="0"/>
    <n v="0"/>
    <n v="0.30909999999999999"/>
    <n v="-5.0000000000000001E-3"/>
    <n v="1E-4"/>
    <n v="-0.24759999999999999"/>
    <n v="8.3199999999999996E-2"/>
    <n v="-1.9E-3"/>
    <n v="148"/>
    <n v="0.2"/>
    <n v="56"/>
    <n v="0.3"/>
    <n v="0"/>
    <n v="0"/>
    <n v="0.372"/>
    <n v="315"/>
    <n v="0"/>
  </r>
  <r>
    <x v="0"/>
    <x v="0"/>
    <s v="SPXW"/>
    <x v="2"/>
    <x v="122"/>
    <s v="p"/>
    <n v="0.28000000000000003"/>
    <n v="0.35"/>
    <n v="0.25"/>
    <n v="0.25"/>
    <n v="7"/>
    <n v="449"/>
    <n v="0.2"/>
    <n v="239"/>
    <n v="0.3"/>
    <n v="0"/>
    <n v="0"/>
    <n v="0"/>
    <n v="0"/>
    <n v="0.30570000000000003"/>
    <n v="-5.1000000000000004E-3"/>
    <n v="1E-4"/>
    <n v="-0.2475"/>
    <n v="8.4099999999999994E-2"/>
    <n v="-2E-3"/>
    <n v="152"/>
    <n v="0.2"/>
    <n v="24"/>
    <n v="0.3"/>
    <n v="0"/>
    <n v="0"/>
    <n v="0.2757"/>
    <n v="254"/>
    <n v="0"/>
  </r>
  <r>
    <x v="0"/>
    <x v="0"/>
    <s v="SPXW"/>
    <x v="2"/>
    <x v="123"/>
    <s v="p"/>
    <n v="0.35"/>
    <n v="0.8"/>
    <n v="0.2"/>
    <n v="0.2"/>
    <n v="1181"/>
    <n v="36"/>
    <n v="0.25"/>
    <n v="220"/>
    <n v="0.3"/>
    <n v="0"/>
    <n v="0"/>
    <n v="0"/>
    <n v="0"/>
    <n v="0.30549999999999999"/>
    <n v="-5.5999999999999999E-3"/>
    <n v="1E-4"/>
    <n v="-0.27179999999999999"/>
    <n v="9.0700000000000003E-2"/>
    <n v="-2.0999999999999999E-3"/>
    <n v="159"/>
    <n v="0.2"/>
    <n v="145"/>
    <n v="0.35"/>
    <n v="0"/>
    <n v="0"/>
    <n v="0.43390000000000001"/>
    <n v="1443"/>
    <n v="0"/>
  </r>
  <r>
    <x v="0"/>
    <x v="0"/>
    <s v="SPXW"/>
    <x v="2"/>
    <x v="124"/>
    <s v="p"/>
    <n v="0.35"/>
    <n v="0.35"/>
    <n v="0.25"/>
    <n v="0.25"/>
    <n v="9"/>
    <n v="81"/>
    <n v="0.25"/>
    <n v="70"/>
    <n v="0.3"/>
    <n v="0"/>
    <n v="0"/>
    <n v="0"/>
    <n v="0"/>
    <n v="0.3019"/>
    <n v="-5.5999999999999999E-3"/>
    <n v="1E-4"/>
    <n v="-0.27179999999999999"/>
    <n v="9.1700000000000004E-2"/>
    <n v="-2.2000000000000001E-3"/>
    <n v="145"/>
    <n v="0.2"/>
    <n v="133"/>
    <n v="0.35"/>
    <n v="0"/>
    <n v="0"/>
    <n v="0.2611"/>
    <n v="50"/>
    <n v="0"/>
  </r>
  <r>
    <x v="0"/>
    <x v="0"/>
    <s v="SPXW"/>
    <x v="2"/>
    <x v="125"/>
    <s v="p"/>
    <n v="0.35"/>
    <n v="0.4"/>
    <n v="0.25"/>
    <n v="0.25"/>
    <n v="58"/>
    <n v="151"/>
    <n v="0.25"/>
    <n v="33"/>
    <n v="0.3"/>
    <n v="0"/>
    <n v="0"/>
    <n v="0"/>
    <n v="0"/>
    <n v="0.29859999999999998"/>
    <n v="-5.7000000000000002E-3"/>
    <n v="1E-4"/>
    <n v="-0.27189999999999998"/>
    <n v="9.2600000000000002E-2"/>
    <n v="-2.2000000000000001E-3"/>
    <n v="144"/>
    <n v="0.2"/>
    <n v="132"/>
    <n v="0.35"/>
    <n v="0"/>
    <n v="0"/>
    <n v="0.34739999999999999"/>
    <n v="396"/>
    <n v="0"/>
  </r>
  <r>
    <x v="0"/>
    <x v="0"/>
    <s v="SPXW"/>
    <x v="2"/>
    <x v="126"/>
    <s v="p"/>
    <n v="0.4"/>
    <n v="0.4"/>
    <n v="0.25"/>
    <n v="0.25"/>
    <n v="4"/>
    <n v="335"/>
    <n v="0.25"/>
    <n v="9"/>
    <n v="0.3"/>
    <n v="0"/>
    <n v="0"/>
    <n v="0"/>
    <n v="0"/>
    <n v="0.29499999999999998"/>
    <n v="-5.7000000000000002E-3"/>
    <n v="1E-4"/>
    <n v="-0.27179999999999999"/>
    <n v="9.3600000000000003E-2"/>
    <n v="-2.2000000000000001E-3"/>
    <n v="43"/>
    <n v="0.25"/>
    <n v="131"/>
    <n v="0.35"/>
    <n v="0"/>
    <n v="0"/>
    <n v="0.28749999999999998"/>
    <n v="86"/>
    <n v="0"/>
  </r>
  <r>
    <x v="0"/>
    <x v="0"/>
    <s v="SPXW"/>
    <x v="2"/>
    <x v="127"/>
    <s v="p"/>
    <n v="0.4"/>
    <n v="0.9"/>
    <n v="0.28999999999999998"/>
    <n v="0.28999999999999998"/>
    <n v="160"/>
    <n v="447"/>
    <n v="0.25"/>
    <n v="10"/>
    <n v="0.3"/>
    <n v="0"/>
    <n v="0"/>
    <n v="0"/>
    <n v="0"/>
    <n v="0.29149999999999998"/>
    <n v="-5.7999999999999996E-3"/>
    <n v="1E-4"/>
    <n v="-0.27179999999999999"/>
    <n v="9.4600000000000004E-2"/>
    <n v="-2.2000000000000001E-3"/>
    <n v="79"/>
    <n v="0.25"/>
    <n v="88"/>
    <n v="0.35"/>
    <n v="0"/>
    <n v="0"/>
    <n v="0.40949999999999998"/>
    <n v="531"/>
    <n v="0"/>
  </r>
  <r>
    <x v="0"/>
    <x v="0"/>
    <s v="SPXW"/>
    <x v="2"/>
    <x v="128"/>
    <s v="p"/>
    <n v="0.4"/>
    <n v="0.98"/>
    <n v="0.25"/>
    <n v="0.25"/>
    <n v="213"/>
    <n v="551"/>
    <n v="0.25"/>
    <n v="9"/>
    <n v="0.3"/>
    <n v="0"/>
    <n v="0"/>
    <n v="0"/>
    <n v="0"/>
    <n v="0.28799999999999998"/>
    <n v="-5.8999999999999999E-3"/>
    <n v="1E-4"/>
    <n v="-0.2717"/>
    <n v="9.5600000000000004E-2"/>
    <n v="-2.3E-3"/>
    <n v="127"/>
    <n v="0.25"/>
    <n v="33"/>
    <n v="0.35"/>
    <n v="0"/>
    <n v="0"/>
    <n v="0.59099999999999997"/>
    <n v="340"/>
    <n v="0"/>
  </r>
  <r>
    <x v="0"/>
    <x v="0"/>
    <s v="SPXW"/>
    <x v="2"/>
    <x v="129"/>
    <s v="p"/>
    <n v="0.4"/>
    <n v="0.97"/>
    <n v="0.25"/>
    <n v="0.25"/>
    <n v="108"/>
    <n v="68"/>
    <n v="0.3"/>
    <n v="197"/>
    <n v="0.35"/>
    <n v="0"/>
    <n v="0"/>
    <n v="0"/>
    <n v="0"/>
    <n v="0.29010000000000002"/>
    <n v="-6.7999999999999996E-3"/>
    <n v="1E-4"/>
    <n v="-0.32040000000000002"/>
    <n v="0.1081"/>
    <n v="-2.5999999999999999E-3"/>
    <n v="144"/>
    <n v="0.25"/>
    <n v="32"/>
    <n v="0.35"/>
    <n v="0"/>
    <n v="0"/>
    <n v="0.35310000000000002"/>
    <n v="158"/>
    <n v="0"/>
  </r>
  <r>
    <x v="0"/>
    <x v="0"/>
    <s v="SPXW"/>
    <x v="2"/>
    <x v="130"/>
    <s v="p"/>
    <n v="0.9"/>
    <n v="1"/>
    <n v="0.3"/>
    <n v="0.3"/>
    <n v="95"/>
    <n v="62"/>
    <n v="0.3"/>
    <n v="59"/>
    <n v="0.35"/>
    <n v="0"/>
    <n v="0"/>
    <n v="0"/>
    <n v="0"/>
    <n v="0.2863"/>
    <n v="-6.7999999999999996E-3"/>
    <n v="1E-4"/>
    <n v="-0.32019999999999998"/>
    <n v="0.10929999999999999"/>
    <n v="-2.5999999999999999E-3"/>
    <n v="143"/>
    <n v="0.25"/>
    <n v="143"/>
    <n v="0.4"/>
    <n v="0"/>
    <n v="0"/>
    <n v="0.61"/>
    <n v="270"/>
    <n v="0"/>
  </r>
  <r>
    <x v="0"/>
    <x v="0"/>
    <s v="SPXW"/>
    <x v="2"/>
    <x v="131"/>
    <s v="p"/>
    <n v="0.45"/>
    <n v="1.03"/>
    <n v="0.3"/>
    <n v="0.3"/>
    <n v="92"/>
    <n v="370"/>
    <n v="0.3"/>
    <n v="313"/>
    <n v="0.4"/>
    <n v="0"/>
    <n v="0"/>
    <n v="0"/>
    <n v="0"/>
    <n v="0.2828"/>
    <n v="-6.8999999999999999E-3"/>
    <n v="1E-4"/>
    <n v="-0.32029999999999997"/>
    <n v="0.1105"/>
    <n v="-2.7000000000000001E-3"/>
    <n v="141"/>
    <n v="0.25"/>
    <n v="129"/>
    <n v="0.4"/>
    <n v="0"/>
    <n v="0"/>
    <n v="0.56789999999999996"/>
    <n v="253"/>
    <n v="0"/>
  </r>
  <r>
    <x v="0"/>
    <x v="0"/>
    <s v="SPXW"/>
    <x v="2"/>
    <x v="132"/>
    <s v="p"/>
    <n v="0.4"/>
    <n v="0.9"/>
    <n v="0.3"/>
    <n v="0.3"/>
    <n v="114"/>
    <n v="432"/>
    <n v="0.3"/>
    <n v="302"/>
    <n v="0.4"/>
    <n v="0"/>
    <n v="0"/>
    <n v="0"/>
    <n v="0"/>
    <n v="0.2792"/>
    <n v="-7.0000000000000001E-3"/>
    <n v="1E-4"/>
    <n v="-0.32019999999999998"/>
    <n v="0.11169999999999999"/>
    <n v="-2.7000000000000001E-3"/>
    <n v="24"/>
    <n v="0.3"/>
    <n v="127"/>
    <n v="0.4"/>
    <n v="0"/>
    <n v="0"/>
    <n v="0.46050000000000002"/>
    <n v="703"/>
    <n v="0"/>
  </r>
  <r>
    <x v="0"/>
    <x v="0"/>
    <s v="SPXW"/>
    <x v="2"/>
    <x v="133"/>
    <s v="p"/>
    <n v="0.44"/>
    <n v="0.6"/>
    <n v="0.3"/>
    <n v="0.3"/>
    <n v="447"/>
    <n v="52"/>
    <n v="0.35"/>
    <n v="243"/>
    <n v="0.4"/>
    <n v="0"/>
    <n v="0"/>
    <n v="0"/>
    <n v="0"/>
    <n v="0.27810000000000001"/>
    <n v="-7.4999999999999997E-3"/>
    <n v="1E-4"/>
    <n v="-0.34439999999999998"/>
    <n v="0.1187"/>
    <n v="-2.8999999999999998E-3"/>
    <n v="85"/>
    <n v="0.3"/>
    <n v="88"/>
    <n v="0.4"/>
    <n v="0"/>
    <n v="0"/>
    <n v="0.4274"/>
    <n v="1091"/>
    <n v="0"/>
  </r>
  <r>
    <x v="0"/>
    <x v="0"/>
    <s v="SPXW"/>
    <x v="2"/>
    <x v="134"/>
    <s v="p"/>
    <n v="0.4"/>
    <n v="1.1499999999999999"/>
    <n v="0.35"/>
    <n v="0.35"/>
    <n v="24"/>
    <n v="76"/>
    <n v="0.35"/>
    <n v="45"/>
    <n v="0.4"/>
    <n v="0"/>
    <n v="0"/>
    <n v="0"/>
    <n v="0"/>
    <n v="0.27689999999999998"/>
    <n v="-8.0000000000000002E-3"/>
    <n v="2.0000000000000001E-4"/>
    <n v="-0.36849999999999999"/>
    <n v="0.12570000000000001"/>
    <n v="-3.0999999999999999E-3"/>
    <n v="110"/>
    <n v="0.3"/>
    <n v="32"/>
    <n v="0.4"/>
    <n v="0"/>
    <n v="0"/>
    <n v="0.48330000000000001"/>
    <n v="121"/>
    <n v="0"/>
  </r>
  <r>
    <x v="0"/>
    <x v="0"/>
    <s v="SPXW"/>
    <x v="2"/>
    <x v="135"/>
    <s v="p"/>
    <n v="0.47"/>
    <n v="1.25"/>
    <n v="0.35"/>
    <n v="0.35"/>
    <n v="49"/>
    <n v="339"/>
    <n v="0.35"/>
    <n v="267"/>
    <n v="0.45"/>
    <n v="0"/>
    <n v="0"/>
    <n v="0"/>
    <n v="0"/>
    <n v="0.27289999999999998"/>
    <n v="-8.0999999999999996E-3"/>
    <n v="2.0000000000000001E-4"/>
    <n v="-0.36840000000000001"/>
    <n v="0.1273"/>
    <n v="-3.0999999999999999E-3"/>
    <n v="135"/>
    <n v="0.3"/>
    <n v="141"/>
    <n v="0.45"/>
    <n v="0"/>
    <n v="0"/>
    <n v="0.56940000000000002"/>
    <n v="342"/>
    <n v="0"/>
  </r>
  <r>
    <x v="0"/>
    <x v="0"/>
    <s v="SPXW"/>
    <x v="2"/>
    <x v="136"/>
    <s v="p"/>
    <n v="0.5"/>
    <n v="1.1499999999999999"/>
    <n v="0.35"/>
    <n v="0.4"/>
    <n v="96"/>
    <n v="428"/>
    <n v="0.35"/>
    <n v="216"/>
    <n v="0.45"/>
    <n v="0"/>
    <n v="0"/>
    <n v="0"/>
    <n v="0"/>
    <n v="0.26950000000000002"/>
    <n v="-8.2000000000000007E-3"/>
    <n v="2.0000000000000001E-4"/>
    <n v="-0.36840000000000001"/>
    <n v="0.12870000000000001"/>
    <n v="-3.2000000000000002E-3"/>
    <n v="24"/>
    <n v="0.35"/>
    <n v="124"/>
    <n v="0.45"/>
    <n v="0"/>
    <n v="0"/>
    <n v="0.5776"/>
    <n v="307"/>
    <n v="0"/>
  </r>
  <r>
    <x v="0"/>
    <x v="0"/>
    <s v="SPXW"/>
    <x v="2"/>
    <x v="137"/>
    <s v="p"/>
    <n v="0.53"/>
    <n v="1.3"/>
    <n v="0.4"/>
    <n v="0.4"/>
    <n v="79"/>
    <n v="58"/>
    <n v="0.4"/>
    <n v="100"/>
    <n v="0.45"/>
    <n v="0"/>
    <n v="0"/>
    <n v="0"/>
    <n v="0"/>
    <n v="0.26989999999999997"/>
    <n v="-9.1999999999999998E-3"/>
    <n v="2.0000000000000001E-4"/>
    <n v="-0.41620000000000001"/>
    <n v="0.1416"/>
    <n v="-3.5000000000000001E-3"/>
    <n v="59"/>
    <n v="0.35"/>
    <n v="87"/>
    <n v="0.45"/>
    <n v="0"/>
    <n v="0"/>
    <n v="0.70269999999999999"/>
    <n v="175"/>
    <n v="0"/>
  </r>
  <r>
    <x v="0"/>
    <x v="0"/>
    <s v="SPXW"/>
    <x v="2"/>
    <x v="138"/>
    <s v="p"/>
    <n v="0.55000000000000004"/>
    <n v="1.35"/>
    <n v="0.4"/>
    <n v="0.4"/>
    <n v="272"/>
    <n v="343"/>
    <n v="0.4"/>
    <n v="295"/>
    <n v="0.5"/>
    <n v="0"/>
    <n v="0"/>
    <n v="0"/>
    <n v="0"/>
    <n v="0.2661"/>
    <n v="-9.2999999999999992E-3"/>
    <n v="2.0000000000000001E-4"/>
    <n v="-0.41620000000000001"/>
    <n v="0.1434"/>
    <n v="-3.5999999999999999E-3"/>
    <n v="70"/>
    <n v="0.35"/>
    <n v="32"/>
    <n v="0.45"/>
    <n v="0"/>
    <n v="0"/>
    <n v="0.53490000000000004"/>
    <n v="370"/>
    <n v="0"/>
  </r>
  <r>
    <x v="0"/>
    <x v="0"/>
    <s v="SPXW"/>
    <x v="2"/>
    <x v="139"/>
    <s v="p"/>
    <n v="0.65"/>
    <n v="1.55"/>
    <n v="0.4"/>
    <n v="0.4"/>
    <n v="74"/>
    <n v="27"/>
    <n v="0.45"/>
    <n v="200"/>
    <n v="0.5"/>
    <n v="0"/>
    <n v="0"/>
    <n v="0"/>
    <n v="0"/>
    <n v="0.26650000000000001"/>
    <n v="-1.0200000000000001E-2"/>
    <n v="2.0000000000000001E-4"/>
    <n v="-0.46410000000000001"/>
    <n v="0.15570000000000001"/>
    <n v="-4.0000000000000001E-3"/>
    <n v="24"/>
    <n v="0.4"/>
    <n v="125"/>
    <n v="0.5"/>
    <n v="0"/>
    <n v="0"/>
    <n v="0.7127"/>
    <n v="338"/>
    <n v="0"/>
  </r>
  <r>
    <x v="0"/>
    <x v="0"/>
    <s v="SPXW"/>
    <x v="2"/>
    <x v="140"/>
    <s v="p"/>
    <n v="0.55000000000000004"/>
    <n v="1.45"/>
    <n v="0.41"/>
    <n v="0.41"/>
    <n v="40"/>
    <n v="55"/>
    <n v="0.45"/>
    <n v="36"/>
    <n v="0.5"/>
    <n v="0"/>
    <n v="0"/>
    <n v="0"/>
    <n v="0"/>
    <n v="0.26279999999999998"/>
    <n v="-1.04E-2"/>
    <n v="2.0000000000000001E-4"/>
    <n v="-0.46400000000000002"/>
    <n v="0.15759999999999999"/>
    <n v="-4.0000000000000001E-3"/>
    <n v="25"/>
    <n v="0.4"/>
    <n v="64"/>
    <n v="0.5"/>
    <n v="0"/>
    <n v="0"/>
    <n v="0.62429999999999997"/>
    <n v="520"/>
    <n v="0"/>
  </r>
  <r>
    <x v="0"/>
    <x v="0"/>
    <s v="SPXW"/>
    <x v="2"/>
    <x v="141"/>
    <s v="p"/>
    <n v="0.65"/>
    <n v="1.8"/>
    <n v="0.42"/>
    <n v="0.42"/>
    <n v="63"/>
    <n v="2"/>
    <n v="0.5"/>
    <n v="228"/>
    <n v="0.55000000000000004"/>
    <n v="0"/>
    <n v="0"/>
    <n v="0"/>
    <n v="0"/>
    <n v="0.2606"/>
    <n v="-1.09E-2"/>
    <n v="2.0000000000000001E-4"/>
    <n v="-0.48770000000000002"/>
    <n v="0.16489999999999999"/>
    <n v="-4.1999999999999997E-3"/>
    <n v="58"/>
    <n v="0.4"/>
    <n v="32"/>
    <n v="0.5"/>
    <n v="0"/>
    <n v="0"/>
    <n v="0.93269999999999997"/>
    <n v="215"/>
    <n v="0"/>
  </r>
  <r>
    <x v="0"/>
    <x v="0"/>
    <s v="SPXW"/>
    <x v="2"/>
    <x v="142"/>
    <s v="p"/>
    <n v="0.45"/>
    <n v="1.65"/>
    <n v="0.45"/>
    <n v="0.45"/>
    <n v="56"/>
    <n v="37"/>
    <n v="0.5"/>
    <n v="83"/>
    <n v="0.55000000000000004"/>
    <n v="0"/>
    <n v="0"/>
    <n v="0"/>
    <n v="0"/>
    <n v="0.25869999999999999"/>
    <n v="-1.15E-2"/>
    <n v="2.0000000000000001E-4"/>
    <n v="-0.51139999999999997"/>
    <n v="0.1721"/>
    <n v="-4.4999999999999997E-3"/>
    <n v="25"/>
    <n v="0.45"/>
    <n v="84"/>
    <n v="0.55000000000000004"/>
    <n v="0"/>
    <n v="0"/>
    <n v="0.91839999999999999"/>
    <n v="137"/>
    <n v="0"/>
  </r>
  <r>
    <x v="0"/>
    <x v="0"/>
    <s v="SPXW"/>
    <x v="2"/>
    <x v="143"/>
    <s v="p"/>
    <n v="0.7"/>
    <n v="1.95"/>
    <n v="0.4"/>
    <n v="0.48"/>
    <n v="676"/>
    <n v="332"/>
    <n v="0.5"/>
    <n v="9"/>
    <n v="0.55000000000000004"/>
    <n v="0"/>
    <n v="0"/>
    <n v="0"/>
    <n v="0"/>
    <n v="0.2545"/>
    <n v="-1.17E-2"/>
    <n v="2.0000000000000001E-4"/>
    <n v="-0.5111"/>
    <n v="0.17449999999999999"/>
    <n v="-4.4999999999999997E-3"/>
    <n v="64"/>
    <n v="0.45"/>
    <n v="53"/>
    <n v="0.55000000000000004"/>
    <n v="0"/>
    <n v="0"/>
    <n v="0.98560000000000003"/>
    <n v="1097"/>
    <n v="0"/>
  </r>
  <r>
    <x v="0"/>
    <x v="0"/>
    <s v="SPXW"/>
    <x v="2"/>
    <x v="144"/>
    <s v="p"/>
    <n v="1.35"/>
    <n v="2.2000000000000002"/>
    <n v="0.5"/>
    <n v="0.5"/>
    <n v="86"/>
    <n v="37"/>
    <n v="0.55000000000000004"/>
    <n v="71"/>
    <n v="0.6"/>
    <n v="0"/>
    <n v="0"/>
    <n v="0"/>
    <n v="0"/>
    <n v="0.25419999999999998"/>
    <n v="-1.2699999999999999E-2"/>
    <n v="2.0000000000000001E-4"/>
    <n v="-0.5585"/>
    <n v="0.187"/>
    <n v="-4.8999999999999998E-3"/>
    <n v="78"/>
    <n v="0.45"/>
    <n v="120"/>
    <n v="0.6"/>
    <n v="0"/>
    <n v="0"/>
    <n v="1.1583000000000001"/>
    <n v="268"/>
    <n v="0"/>
  </r>
  <r>
    <x v="0"/>
    <x v="0"/>
    <s v="SPXW"/>
    <x v="2"/>
    <x v="145"/>
    <s v="p"/>
    <n v="0.75"/>
    <n v="2.25"/>
    <n v="0.5"/>
    <n v="0.5"/>
    <n v="391"/>
    <n v="25"/>
    <n v="0.6"/>
    <n v="178"/>
    <n v="0.65"/>
    <n v="0"/>
    <n v="0"/>
    <n v="0"/>
    <n v="0"/>
    <n v="0.25319999999999998"/>
    <n v="-1.37E-2"/>
    <n v="2.9999999999999997E-4"/>
    <n v="-0.60550000000000004"/>
    <n v="0.19980000000000001"/>
    <n v="-5.3E-3"/>
    <n v="26"/>
    <n v="0.5"/>
    <n v="54"/>
    <n v="0.6"/>
    <n v="0"/>
    <n v="0"/>
    <n v="0.67530000000000001"/>
    <n v="225"/>
    <n v="0"/>
  </r>
  <r>
    <x v="0"/>
    <x v="0"/>
    <s v="SPXW"/>
    <x v="2"/>
    <x v="146"/>
    <s v="p"/>
    <n v="0.68"/>
    <n v="1.9"/>
    <n v="0.55000000000000004"/>
    <n v="0.55000000000000004"/>
    <n v="63"/>
    <n v="61"/>
    <n v="0.6"/>
    <n v="9"/>
    <n v="0.65"/>
    <n v="0"/>
    <n v="0"/>
    <n v="0"/>
    <n v="0"/>
    <n v="0.249"/>
    <n v="-1.3899999999999999E-2"/>
    <n v="2.9999999999999997E-4"/>
    <n v="-0.60509999999999997"/>
    <n v="0.2026"/>
    <n v="-5.4000000000000003E-3"/>
    <n v="75"/>
    <n v="0.5"/>
    <n v="117"/>
    <n v="0.65"/>
    <n v="0"/>
    <n v="0"/>
    <n v="1.1106"/>
    <n v="136"/>
    <n v="0"/>
  </r>
  <r>
    <x v="0"/>
    <x v="0"/>
    <s v="SPXW"/>
    <x v="2"/>
    <x v="147"/>
    <s v="p"/>
    <n v="0.7"/>
    <n v="2.2999999999999998"/>
    <n v="0.55000000000000004"/>
    <n v="0.6"/>
    <n v="172"/>
    <n v="28"/>
    <n v="0.65"/>
    <n v="82"/>
    <n v="0.7"/>
    <n v="0"/>
    <n v="0"/>
    <n v="0"/>
    <n v="0"/>
    <n v="0.24740000000000001"/>
    <n v="-1.4999999999999999E-2"/>
    <n v="2.9999999999999997E-4"/>
    <n v="-0.65169999999999995"/>
    <n v="0.21579999999999999"/>
    <n v="-5.7999999999999996E-3"/>
    <n v="26"/>
    <n v="0.55000000000000004"/>
    <n v="32"/>
    <n v="0.65"/>
    <n v="0"/>
    <n v="0"/>
    <n v="0.97330000000000005"/>
    <n v="375"/>
    <n v="0"/>
  </r>
  <r>
    <x v="0"/>
    <x v="0"/>
    <s v="SPXW"/>
    <x v="2"/>
    <x v="148"/>
    <s v="p"/>
    <n v="0.86"/>
    <n v="2.5499999999999998"/>
    <n v="0.55000000000000004"/>
    <n v="0.6"/>
    <n v="317"/>
    <n v="24"/>
    <n v="0.7"/>
    <n v="158"/>
    <n v="0.75"/>
    <n v="0"/>
    <n v="0"/>
    <n v="0"/>
    <n v="0"/>
    <n v="0.2467"/>
    <n v="-1.6E-2"/>
    <n v="2.9999999999999997E-4"/>
    <n v="-0.69840000000000002"/>
    <n v="0.22789999999999999"/>
    <n v="-6.1999999999999998E-3"/>
    <n v="81"/>
    <n v="0.55000000000000004"/>
    <n v="113"/>
    <n v="0.7"/>
    <n v="0"/>
    <n v="0"/>
    <n v="1.0387"/>
    <n v="859"/>
    <n v="0"/>
  </r>
  <r>
    <x v="0"/>
    <x v="0"/>
    <s v="SPXW"/>
    <x v="2"/>
    <x v="149"/>
    <s v="p"/>
    <n v="0.7"/>
    <n v="2.6"/>
    <n v="0.55000000000000004"/>
    <n v="0.6"/>
    <n v="83"/>
    <n v="2"/>
    <n v="0.75"/>
    <n v="182"/>
    <n v="0.8"/>
    <n v="0"/>
    <n v="0"/>
    <n v="0"/>
    <n v="0"/>
    <n v="0.24390000000000001"/>
    <n v="-1.66E-2"/>
    <n v="2.9999999999999997E-4"/>
    <n v="-0.72140000000000004"/>
    <n v="0.23580000000000001"/>
    <n v="-6.4999999999999997E-3"/>
    <n v="46"/>
    <n v="0.6"/>
    <n v="23"/>
    <n v="0.7"/>
    <n v="0"/>
    <n v="0"/>
    <n v="1.663"/>
    <n v="215"/>
    <n v="0"/>
  </r>
  <r>
    <x v="0"/>
    <x v="0"/>
    <s v="SPXW"/>
    <x v="2"/>
    <x v="150"/>
    <s v="p"/>
    <n v="1"/>
    <n v="2.7"/>
    <n v="0.6"/>
    <n v="0.6"/>
    <n v="71"/>
    <n v="53"/>
    <n v="0.75"/>
    <n v="240"/>
    <n v="0.85"/>
    <n v="0"/>
    <n v="0"/>
    <n v="0"/>
    <n v="0"/>
    <n v="0.2424"/>
    <n v="-1.77E-2"/>
    <n v="2.9999999999999997E-4"/>
    <n v="-0.76749999999999996"/>
    <n v="0.24840000000000001"/>
    <n v="-6.8999999999999999E-3"/>
    <n v="26"/>
    <n v="0.65"/>
    <n v="30"/>
    <n v="0.75"/>
    <n v="0"/>
    <n v="0"/>
    <n v="1.5618000000000001"/>
    <n v="72"/>
    <n v="0"/>
  </r>
  <r>
    <x v="0"/>
    <x v="0"/>
    <s v="SPXW"/>
    <x v="2"/>
    <x v="151"/>
    <s v="p"/>
    <n v="0.95"/>
    <n v="3.2"/>
    <n v="0.65"/>
    <n v="0.72"/>
    <n v="83"/>
    <n v="100"/>
    <n v="0.8"/>
    <n v="4"/>
    <n v="0.85"/>
    <n v="0"/>
    <n v="0"/>
    <n v="0"/>
    <n v="0"/>
    <n v="0.23949999999999999"/>
    <n v="-1.84E-2"/>
    <n v="4.0000000000000002E-4"/>
    <n v="-0.79010000000000002"/>
    <n v="0.25640000000000002"/>
    <n v="-7.1999999999999998E-3"/>
    <n v="26"/>
    <n v="0.7"/>
    <n v="56"/>
    <n v="0.8"/>
    <n v="0"/>
    <n v="0"/>
    <n v="1.923"/>
    <n v="129"/>
    <n v="0"/>
  </r>
  <r>
    <x v="0"/>
    <x v="0"/>
    <s v="SPXW"/>
    <x v="2"/>
    <x v="152"/>
    <s v="p"/>
    <n v="1.2"/>
    <n v="2.9"/>
    <n v="0.7"/>
    <n v="0.73"/>
    <n v="182"/>
    <n v="49"/>
    <n v="0.85"/>
    <n v="232"/>
    <n v="0.95"/>
    <n v="0"/>
    <n v="0"/>
    <n v="0"/>
    <n v="0"/>
    <n v="0.2384"/>
    <n v="-1.9900000000000001E-2"/>
    <n v="4.0000000000000002E-4"/>
    <n v="-0.85880000000000001"/>
    <n v="0.2742"/>
    <n v="-7.7999999999999996E-3"/>
    <n v="94"/>
    <n v="0.7"/>
    <n v="76"/>
    <n v="0.85"/>
    <n v="0"/>
    <n v="0"/>
    <n v="1.4985999999999999"/>
    <n v="208"/>
    <n v="0"/>
  </r>
  <r>
    <x v="0"/>
    <x v="0"/>
    <s v="SPXW"/>
    <x v="2"/>
    <x v="153"/>
    <s v="p"/>
    <n v="1.1000000000000001"/>
    <n v="3"/>
    <n v="0.65"/>
    <n v="0.8"/>
    <n v="702"/>
    <n v="146"/>
    <n v="0.9"/>
    <n v="183"/>
    <n v="1"/>
    <n v="0"/>
    <n v="0"/>
    <n v="0"/>
    <n v="0"/>
    <n v="0.23530000000000001"/>
    <n v="-2.06E-2"/>
    <n v="4.0000000000000002E-4"/>
    <n v="-0.88109999999999999"/>
    <n v="0.28260000000000002"/>
    <n v="-8.0000000000000002E-3"/>
    <n v="98"/>
    <n v="0.75"/>
    <n v="77"/>
    <n v="0.9"/>
    <n v="0"/>
    <n v="0"/>
    <n v="1.1621999999999999"/>
    <n v="512"/>
    <n v="0"/>
  </r>
  <r>
    <x v="0"/>
    <x v="0"/>
    <s v="SPXW"/>
    <x v="2"/>
    <x v="154"/>
    <s v="p"/>
    <n v="1.1499999999999999"/>
    <n v="3.6"/>
    <n v="0.75"/>
    <n v="0.8"/>
    <n v="628"/>
    <n v="14"/>
    <n v="1"/>
    <n v="111"/>
    <n v="1.05"/>
    <n v="0"/>
    <n v="0"/>
    <n v="0"/>
    <n v="0"/>
    <n v="0.2349"/>
    <n v="-2.2599999999999999E-2"/>
    <n v="4.0000000000000002E-4"/>
    <n v="-0.97170000000000001"/>
    <n v="0.3049"/>
    <n v="-8.8000000000000005E-3"/>
    <n v="69"/>
    <n v="0.8"/>
    <n v="55"/>
    <n v="0.95"/>
    <n v="0"/>
    <n v="0"/>
    <n v="1.5694999999999999"/>
    <n v="137"/>
    <n v="0"/>
  </r>
  <r>
    <x v="0"/>
    <x v="0"/>
    <s v="SPXW"/>
    <x v="2"/>
    <x v="155"/>
    <s v="p"/>
    <n v="0.95"/>
    <n v="5.15"/>
    <n v="0.75"/>
    <n v="0.9"/>
    <n v="379"/>
    <n v="15"/>
    <n v="1.05"/>
    <n v="20"/>
    <n v="1.1000000000000001"/>
    <n v="0"/>
    <n v="0"/>
    <n v="0"/>
    <n v="0"/>
    <n v="0.23269999999999999"/>
    <n v="-2.3800000000000002E-2"/>
    <n v="5.0000000000000001E-4"/>
    <n v="-1.0162"/>
    <n v="0.31790000000000002"/>
    <n v="-9.2999999999999992E-3"/>
    <n v="26"/>
    <n v="0.9"/>
    <n v="20"/>
    <n v="1"/>
    <n v="0"/>
    <n v="0"/>
    <n v="1.502"/>
    <n v="693"/>
    <n v="0"/>
  </r>
  <r>
    <x v="0"/>
    <x v="0"/>
    <s v="SPXW"/>
    <x v="2"/>
    <x v="156"/>
    <s v="p"/>
    <n v="1.39"/>
    <n v="3.4"/>
    <n v="0.85"/>
    <n v="1.05"/>
    <n v="386"/>
    <n v="48"/>
    <n v="1.1000000000000001"/>
    <n v="164"/>
    <n v="1.2"/>
    <n v="0"/>
    <n v="0"/>
    <n v="0"/>
    <n v="0"/>
    <n v="0.23100000000000001"/>
    <n v="-2.5399999999999999E-2"/>
    <n v="5.0000000000000001E-4"/>
    <n v="-1.0829"/>
    <n v="0.33539999999999998"/>
    <n v="-9.9000000000000008E-3"/>
    <n v="46"/>
    <n v="0.95"/>
    <n v="85"/>
    <n v="1.1000000000000001"/>
    <n v="0"/>
    <n v="0"/>
    <n v="1.3936999999999999"/>
    <n v="201"/>
    <n v="0"/>
  </r>
  <r>
    <x v="0"/>
    <x v="0"/>
    <s v="SPXW"/>
    <x v="2"/>
    <x v="157"/>
    <s v="p"/>
    <n v="1.52"/>
    <n v="3.8"/>
    <n v="0.9"/>
    <n v="1.1499999999999999"/>
    <n v="350"/>
    <n v="15"/>
    <n v="1.2"/>
    <n v="17"/>
    <n v="1.25"/>
    <n v="0"/>
    <n v="0"/>
    <n v="0"/>
    <n v="0"/>
    <n v="0.2293"/>
    <n v="-2.7E-2"/>
    <n v="5.0000000000000001E-4"/>
    <n v="-1.1491"/>
    <n v="0.35249999999999998"/>
    <n v="-1.0500000000000001E-2"/>
    <n v="59"/>
    <n v="1"/>
    <n v="35"/>
    <n v="1.1499999999999999"/>
    <n v="0"/>
    <n v="0"/>
    <n v="2.0577999999999999"/>
    <n v="476"/>
    <n v="0"/>
  </r>
  <r>
    <x v="0"/>
    <x v="0"/>
    <s v="SPXW"/>
    <x v="2"/>
    <x v="158"/>
    <s v="p"/>
    <n v="1.46"/>
    <n v="3.99"/>
    <n v="0.95"/>
    <n v="1.2"/>
    <n v="2416"/>
    <n v="186"/>
    <n v="1.25"/>
    <n v="114"/>
    <n v="1.35"/>
    <n v="0"/>
    <n v="0"/>
    <n v="0"/>
    <n v="0"/>
    <n v="0.22639999999999999"/>
    <n v="-2.8299999999999999E-2"/>
    <n v="5.0000000000000001E-4"/>
    <n v="-1.1923999999999999"/>
    <n v="0.36609999999999998"/>
    <n v="-1.0999999999999999E-2"/>
    <n v="45"/>
    <n v="1.1000000000000001"/>
    <n v="85"/>
    <n v="1.25"/>
    <n v="0"/>
    <n v="0"/>
    <n v="2.3519000000000001"/>
    <n v="1232"/>
    <n v="0"/>
  </r>
  <r>
    <x v="0"/>
    <x v="0"/>
    <s v="SPXW"/>
    <x v="2"/>
    <x v="159"/>
    <s v="p"/>
    <n v="1.73"/>
    <n v="4.5"/>
    <n v="0.95"/>
    <n v="1.25"/>
    <n v="382"/>
    <n v="83"/>
    <n v="1.35"/>
    <n v="183"/>
    <n v="1.45"/>
    <n v="0"/>
    <n v="0"/>
    <n v="0"/>
    <n v="0"/>
    <n v="0.22589999999999999"/>
    <n v="-3.0700000000000002E-2"/>
    <n v="5.9999999999999995E-4"/>
    <n v="-1.3018000000000001"/>
    <n v="0.39150000000000001"/>
    <n v="-1.2E-2"/>
    <n v="24"/>
    <n v="1.2"/>
    <n v="82"/>
    <n v="1.35"/>
    <n v="0"/>
    <n v="0"/>
    <n v="1.6761999999999999"/>
    <n v="360"/>
    <n v="0"/>
  </r>
  <r>
    <x v="0"/>
    <x v="0"/>
    <s v="SPXW"/>
    <x v="2"/>
    <x v="160"/>
    <s v="p"/>
    <n v="1.4"/>
    <n v="5"/>
    <n v="1.1499999999999999"/>
    <n v="1.3"/>
    <n v="1056"/>
    <n v="129"/>
    <n v="1.45"/>
    <n v="124"/>
    <n v="1.55"/>
    <n v="0"/>
    <n v="0"/>
    <n v="0"/>
    <n v="0"/>
    <n v="0.22409999999999999"/>
    <n v="-3.2800000000000003E-2"/>
    <n v="5.9999999999999995E-4"/>
    <n v="-1.3878999999999999"/>
    <n v="0.41339999999999999"/>
    <n v="-1.2800000000000001E-2"/>
    <n v="58"/>
    <n v="1.25"/>
    <n v="11"/>
    <n v="1.4"/>
    <n v="0"/>
    <n v="0"/>
    <n v="1.3721000000000001"/>
    <n v="513"/>
    <n v="0"/>
  </r>
  <r>
    <x v="0"/>
    <x v="0"/>
    <s v="SPXW"/>
    <x v="2"/>
    <x v="161"/>
    <s v="p"/>
    <n v="1.85"/>
    <n v="4.5"/>
    <n v="1"/>
    <n v="1.4"/>
    <n v="300"/>
    <n v="120"/>
    <n v="1.55"/>
    <n v="80"/>
    <n v="1.65"/>
    <n v="0"/>
    <n v="0"/>
    <n v="0"/>
    <n v="0"/>
    <n v="0.2223"/>
    <n v="-3.49E-2"/>
    <n v="6.9999999999999999E-4"/>
    <n v="-1.4728000000000001"/>
    <n v="0.435"/>
    <n v="-1.37E-2"/>
    <n v="23"/>
    <n v="1.4"/>
    <n v="79"/>
    <n v="1.55"/>
    <n v="0"/>
    <n v="0"/>
    <n v="2.2159"/>
    <n v="170"/>
    <n v="0"/>
  </r>
  <r>
    <x v="0"/>
    <x v="0"/>
    <s v="SPXW"/>
    <x v="2"/>
    <x v="162"/>
    <s v="p"/>
    <n v="1.89"/>
    <n v="6"/>
    <n v="1.06"/>
    <n v="1.5"/>
    <n v="323"/>
    <n v="48"/>
    <n v="1.7"/>
    <n v="2"/>
    <n v="1.75"/>
    <n v="0"/>
    <n v="0"/>
    <n v="0"/>
    <n v="0"/>
    <n v="0.22020000000000001"/>
    <n v="-3.7100000000000001E-2"/>
    <n v="6.9999999999999999E-4"/>
    <n v="-1.5569999999999999"/>
    <n v="0.45660000000000001"/>
    <n v="-1.4500000000000001E-2"/>
    <n v="22"/>
    <n v="1.5"/>
    <n v="72"/>
    <n v="1.65"/>
    <n v="0"/>
    <n v="0"/>
    <n v="2.2054999999999998"/>
    <n v="93"/>
    <n v="0"/>
  </r>
  <r>
    <x v="0"/>
    <x v="0"/>
    <s v="SPXW"/>
    <x v="2"/>
    <x v="163"/>
    <s v="p"/>
    <n v="2"/>
    <n v="5.7"/>
    <n v="1.1299999999999999"/>
    <n v="1.64"/>
    <n v="16023"/>
    <n v="108"/>
    <n v="1.8"/>
    <n v="75"/>
    <n v="1.9"/>
    <n v="0"/>
    <n v="0"/>
    <n v="0"/>
    <n v="0"/>
    <n v="0.21920000000000001"/>
    <n v="-4.0099999999999997E-2"/>
    <n v="6.9999999999999999E-4"/>
    <n v="-1.6827000000000001"/>
    <n v="0.4849"/>
    <n v="-1.5699999999999999E-2"/>
    <n v="62"/>
    <n v="1.6"/>
    <n v="42"/>
    <n v="1.75"/>
    <n v="0"/>
    <n v="0"/>
    <n v="2.2793999999999999"/>
    <n v="1988"/>
    <n v="0"/>
  </r>
  <r>
    <x v="0"/>
    <x v="0"/>
    <s v="SPXW"/>
    <x v="2"/>
    <x v="164"/>
    <s v="p"/>
    <n v="2.17"/>
    <n v="5.25"/>
    <n v="1.25"/>
    <n v="1.9"/>
    <n v="705"/>
    <n v="69"/>
    <n v="1.95"/>
    <n v="130"/>
    <n v="2.0499999999999998"/>
    <n v="0"/>
    <n v="0"/>
    <n v="0"/>
    <n v="0"/>
    <n v="0.21779999999999999"/>
    <n v="-4.3099999999999999E-2"/>
    <n v="8.0000000000000004E-4"/>
    <n v="-1.8065"/>
    <n v="0.5131"/>
    <n v="-1.6899999999999998E-2"/>
    <n v="41"/>
    <n v="1.75"/>
    <n v="72"/>
    <n v="1.9"/>
    <n v="0"/>
    <n v="0"/>
    <n v="1.9977"/>
    <n v="206"/>
    <n v="0"/>
  </r>
  <r>
    <x v="0"/>
    <x v="0"/>
    <s v="SPXW"/>
    <x v="2"/>
    <x v="165"/>
    <s v="p"/>
    <n v="2.2999999999999998"/>
    <n v="6.1"/>
    <n v="1.3"/>
    <n v="1.9"/>
    <n v="6683"/>
    <n v="49"/>
    <n v="2.1"/>
    <n v="75"/>
    <n v="2.2000000000000002"/>
    <n v="0"/>
    <n v="0"/>
    <n v="0"/>
    <n v="0"/>
    <n v="0.21629999999999999"/>
    <n v="-4.6100000000000002E-2"/>
    <n v="8.0000000000000004E-4"/>
    <n v="-1.9285000000000001"/>
    <n v="0.5413"/>
    <n v="-1.8100000000000002E-2"/>
    <n v="32"/>
    <n v="1.9"/>
    <n v="99"/>
    <n v="2.0499999999999998"/>
    <n v="0"/>
    <n v="0"/>
    <n v="1.6021000000000001"/>
    <n v="2150"/>
    <n v="0"/>
  </r>
  <r>
    <x v="0"/>
    <x v="0"/>
    <s v="SPXW"/>
    <x v="2"/>
    <x v="166"/>
    <s v="p"/>
    <n v="1.35"/>
    <n v="6.7"/>
    <n v="1.35"/>
    <n v="2.15"/>
    <n v="741"/>
    <n v="9"/>
    <n v="2.2999999999999998"/>
    <n v="60"/>
    <n v="2.35"/>
    <n v="0"/>
    <n v="0"/>
    <n v="0"/>
    <n v="0"/>
    <n v="0.21460000000000001"/>
    <n v="-4.9200000000000001E-2"/>
    <n v="8.9999999999999998E-4"/>
    <n v="-2.0485000000000002"/>
    <n v="0.5696"/>
    <n v="-1.9300000000000001E-2"/>
    <n v="20"/>
    <n v="2.0499999999999998"/>
    <n v="149"/>
    <n v="2.2000000000000002"/>
    <n v="0"/>
    <n v="0"/>
    <n v="2.8325999999999998"/>
    <n v="483"/>
    <n v="0"/>
  </r>
  <r>
    <x v="0"/>
    <x v="0"/>
    <s v="SPXW"/>
    <x v="2"/>
    <x v="167"/>
    <s v="p"/>
    <n v="2"/>
    <n v="6.7"/>
    <n v="1.4"/>
    <n v="2.25"/>
    <n v="562"/>
    <n v="58"/>
    <n v="2.4500000000000002"/>
    <n v="1"/>
    <n v="2.5"/>
    <n v="0"/>
    <n v="0"/>
    <n v="0"/>
    <n v="0"/>
    <n v="0.21329999999999999"/>
    <n v="-5.2600000000000001E-2"/>
    <n v="8.9999999999999998E-4"/>
    <n v="-2.1869999999999998"/>
    <n v="0.60050000000000003"/>
    <n v="-2.07E-2"/>
    <n v="57"/>
    <n v="2.2000000000000002"/>
    <n v="15"/>
    <n v="2.35"/>
    <n v="0"/>
    <n v="0"/>
    <n v="2.9398"/>
    <n v="349"/>
    <n v="0"/>
  </r>
  <r>
    <x v="0"/>
    <x v="0"/>
    <s v="SPXW"/>
    <x v="2"/>
    <x v="168"/>
    <s v="p"/>
    <n v="2.74"/>
    <n v="6.9"/>
    <n v="1.55"/>
    <n v="2.4500000000000002"/>
    <n v="315"/>
    <n v="52"/>
    <n v="2.65"/>
    <n v="1"/>
    <n v="2.7"/>
    <n v="0"/>
    <n v="0"/>
    <n v="0"/>
    <n v="0"/>
    <n v="0.21129999999999999"/>
    <n v="-5.62E-2"/>
    <n v="1E-3"/>
    <n v="-2.3224"/>
    <n v="0.63160000000000005"/>
    <n v="-2.2100000000000002E-2"/>
    <n v="29"/>
    <n v="2.4"/>
    <n v="33"/>
    <n v="2.5499999999999998"/>
    <n v="0"/>
    <n v="0"/>
    <n v="3.5590999999999999"/>
    <n v="981"/>
    <n v="0"/>
  </r>
  <r>
    <x v="0"/>
    <x v="0"/>
    <s v="SPXW"/>
    <x v="2"/>
    <x v="169"/>
    <s v="p"/>
    <n v="3.2"/>
    <n v="7.92"/>
    <n v="1.8"/>
    <n v="2.59"/>
    <n v="303"/>
    <n v="59"/>
    <n v="2.85"/>
    <n v="76"/>
    <n v="2.95"/>
    <n v="0"/>
    <n v="0"/>
    <n v="0"/>
    <n v="0"/>
    <n v="0.21049999999999999"/>
    <n v="-6.0900000000000003E-2"/>
    <n v="1.1000000000000001E-3"/>
    <n v="-2.5148000000000001"/>
    <n v="0.67049999999999998"/>
    <n v="-2.4E-2"/>
    <n v="28"/>
    <n v="2.6"/>
    <n v="41"/>
    <n v="2.75"/>
    <n v="0"/>
    <n v="0"/>
    <n v="3.6194000000000002"/>
    <n v="156"/>
    <n v="0"/>
  </r>
  <r>
    <x v="0"/>
    <x v="0"/>
    <s v="SPXW"/>
    <x v="2"/>
    <x v="170"/>
    <s v="p"/>
    <n v="3.09"/>
    <n v="7.3"/>
    <n v="1.75"/>
    <n v="2.9"/>
    <n v="206"/>
    <n v="8"/>
    <n v="3.1"/>
    <n v="117"/>
    <n v="3.2"/>
    <n v="0"/>
    <n v="0"/>
    <n v="0"/>
    <n v="0"/>
    <n v="0.20880000000000001"/>
    <n v="-6.4799999999999996E-2"/>
    <n v="1.1000000000000001E-3"/>
    <n v="-2.6640999999999999"/>
    <n v="0.70340000000000003"/>
    <n v="-2.5499999999999998E-2"/>
    <n v="29"/>
    <n v="2.8"/>
    <n v="14"/>
    <n v="2.95"/>
    <n v="0"/>
    <n v="0"/>
    <n v="3.2035999999999998"/>
    <n v="143"/>
    <n v="0"/>
  </r>
  <r>
    <x v="0"/>
    <x v="0"/>
    <s v="SPXW"/>
    <x v="2"/>
    <x v="171"/>
    <s v="p"/>
    <n v="3.31"/>
    <n v="9.1999999999999993"/>
    <n v="1.74"/>
    <n v="3.1"/>
    <n v="791"/>
    <n v="53"/>
    <n v="3.3"/>
    <n v="58"/>
    <n v="3.4"/>
    <n v="0"/>
    <n v="0"/>
    <n v="0"/>
    <n v="0"/>
    <n v="0.20760000000000001"/>
    <n v="-6.9500000000000006E-2"/>
    <n v="1.1999999999999999E-3"/>
    <n v="-2.8485999999999998"/>
    <n v="0.74160000000000004"/>
    <n v="-2.7400000000000001E-2"/>
    <n v="63"/>
    <n v="3"/>
    <n v="56"/>
    <n v="3.2"/>
    <n v="0"/>
    <n v="0"/>
    <n v="3.1934"/>
    <n v="556"/>
    <n v="0"/>
  </r>
  <r>
    <x v="0"/>
    <x v="0"/>
    <s v="SPXW"/>
    <x v="2"/>
    <x v="172"/>
    <s v="p"/>
    <n v="2.82"/>
    <n v="9.75"/>
    <n v="1.9"/>
    <n v="3.4"/>
    <n v="256"/>
    <n v="26"/>
    <n v="3.6"/>
    <n v="104"/>
    <n v="3.7"/>
    <n v="0"/>
    <n v="0"/>
    <n v="0"/>
    <n v="0"/>
    <n v="0.2059"/>
    <n v="-7.4399999999999994E-2"/>
    <n v="1.2999999999999999E-3"/>
    <n v="-3.028"/>
    <n v="0.7802"/>
    <n v="-2.93E-2"/>
    <n v="65"/>
    <n v="3.2"/>
    <n v="65"/>
    <n v="3.5"/>
    <n v="0"/>
    <n v="0"/>
    <n v="4.1951999999999998"/>
    <n v="66"/>
    <n v="0"/>
  </r>
  <r>
    <x v="0"/>
    <x v="0"/>
    <s v="SPXW"/>
    <x v="2"/>
    <x v="173"/>
    <s v="p"/>
    <n v="3.4"/>
    <n v="9.8699999999999992"/>
    <n v="2.0499999999999998"/>
    <n v="3.52"/>
    <n v="1291"/>
    <n v="131"/>
    <n v="3.8"/>
    <n v="144"/>
    <n v="4"/>
    <n v="0"/>
    <n v="0"/>
    <n v="0"/>
    <n v="0"/>
    <n v="0.2046"/>
    <n v="-7.9899999999999999E-2"/>
    <n v="1.4E-3"/>
    <n v="-3.2395999999999998"/>
    <n v="0.8226"/>
    <n v="-3.1600000000000003E-2"/>
    <n v="62"/>
    <n v="3.5"/>
    <n v="11"/>
    <n v="3.7"/>
    <n v="0"/>
    <n v="0"/>
    <n v="4.8916000000000004"/>
    <n v="1258"/>
    <n v="0"/>
  </r>
  <r>
    <x v="0"/>
    <x v="0"/>
    <s v="SPXW"/>
    <x v="2"/>
    <x v="174"/>
    <s v="p"/>
    <n v="3.8"/>
    <n v="10"/>
    <n v="2.85"/>
    <n v="3.54"/>
    <n v="268"/>
    <n v="126"/>
    <n v="4.0999999999999996"/>
    <n v="132"/>
    <n v="4.3"/>
    <n v="0"/>
    <n v="0"/>
    <n v="0"/>
    <n v="0"/>
    <n v="0.2031"/>
    <n v="-8.5500000000000007E-2"/>
    <n v="1.4E-3"/>
    <n v="-3.4451999999999998"/>
    <n v="0.86380000000000001"/>
    <n v="-3.3799999999999997E-2"/>
    <n v="56"/>
    <n v="3.8"/>
    <n v="25"/>
    <n v="4"/>
    <n v="0"/>
    <n v="0"/>
    <n v="6.0780000000000003"/>
    <n v="312"/>
    <n v="0"/>
  </r>
  <r>
    <x v="0"/>
    <x v="0"/>
    <s v="SPXW"/>
    <x v="2"/>
    <x v="175"/>
    <s v="p"/>
    <n v="4"/>
    <n v="13.19"/>
    <n v="2.35"/>
    <n v="4.16"/>
    <n v="723"/>
    <n v="15"/>
    <n v="4.5"/>
    <n v="85"/>
    <n v="4.5999999999999996"/>
    <n v="0"/>
    <n v="0"/>
    <n v="0"/>
    <n v="0"/>
    <n v="0.2016"/>
    <n v="-9.11E-2"/>
    <n v="1.5E-3"/>
    <n v="-3.6456"/>
    <n v="0.90410000000000001"/>
    <n v="-3.5999999999999997E-2"/>
    <n v="56"/>
    <n v="4.0999999999999996"/>
    <n v="24"/>
    <n v="4.3"/>
    <n v="0"/>
    <n v="0"/>
    <n v="5.0372000000000003"/>
    <n v="311"/>
    <n v="0"/>
  </r>
  <r>
    <x v="0"/>
    <x v="0"/>
    <s v="SPXW"/>
    <x v="2"/>
    <x v="176"/>
    <s v="p"/>
    <n v="4.4000000000000004"/>
    <n v="10.7"/>
    <n v="2.41"/>
    <n v="4.5999999999999996"/>
    <n v="328"/>
    <n v="90"/>
    <n v="4.8"/>
    <n v="120"/>
    <n v="5"/>
    <n v="0"/>
    <n v="0"/>
    <n v="0"/>
    <n v="0"/>
    <n v="0.2"/>
    <n v="-9.7600000000000006E-2"/>
    <n v="1.6000000000000001E-3"/>
    <n v="-3.8727"/>
    <n v="0.94989999999999997"/>
    <n v="-3.85E-2"/>
    <n v="17"/>
    <n v="4.5"/>
    <n v="58"/>
    <n v="4.7"/>
    <n v="0"/>
    <n v="0"/>
    <n v="5.1473000000000004"/>
    <n v="107"/>
    <n v="0"/>
  </r>
  <r>
    <x v="0"/>
    <x v="0"/>
    <s v="SPXW"/>
    <x v="2"/>
    <x v="177"/>
    <s v="p"/>
    <n v="4.6399999999999997"/>
    <n v="12.38"/>
    <n v="2.5099999999999998"/>
    <n v="5.0999999999999996"/>
    <n v="343"/>
    <n v="47"/>
    <n v="5.2"/>
    <n v="47"/>
    <n v="5.3"/>
    <n v="0"/>
    <n v="0"/>
    <n v="0"/>
    <n v="0"/>
    <n v="0.19819999999999999"/>
    <n v="-0.1041"/>
    <n v="1.6999999999999999E-3"/>
    <n v="-4.0926"/>
    <n v="0.99460000000000004"/>
    <n v="-4.1200000000000001E-2"/>
    <n v="1"/>
    <n v="4.9000000000000004"/>
    <n v="22"/>
    <n v="5"/>
    <n v="0"/>
    <n v="0"/>
    <n v="5.9180000000000001"/>
    <n v="167"/>
    <n v="0"/>
  </r>
  <r>
    <x v="0"/>
    <x v="0"/>
    <s v="SPXW"/>
    <x v="2"/>
    <x v="178"/>
    <s v="p"/>
    <n v="5"/>
    <n v="12.61"/>
    <n v="2.72"/>
    <n v="5.4"/>
    <n v="686"/>
    <n v="65"/>
    <n v="5.6"/>
    <n v="43"/>
    <n v="5.7"/>
    <n v="0"/>
    <n v="0"/>
    <n v="0"/>
    <n v="0"/>
    <n v="0.19670000000000001"/>
    <n v="-0.11119999999999999"/>
    <n v="1.8E-3"/>
    <n v="-4.3372000000000002"/>
    <n v="1.0419"/>
    <n v="-4.41E-2"/>
    <n v="37"/>
    <n v="5.2"/>
    <n v="24"/>
    <n v="5.4"/>
    <n v="0"/>
    <n v="0"/>
    <n v="5.9946000000000002"/>
    <n v="432"/>
    <n v="0"/>
  </r>
  <r>
    <x v="0"/>
    <x v="0"/>
    <s v="SPXW"/>
    <x v="2"/>
    <x v="179"/>
    <s v="p"/>
    <n v="5.25"/>
    <n v="13.3"/>
    <n v="2.84"/>
    <n v="5.74"/>
    <n v="722"/>
    <n v="67"/>
    <n v="6"/>
    <n v="105"/>
    <n v="6.2"/>
    <n v="0"/>
    <n v="0"/>
    <n v="0"/>
    <n v="0"/>
    <n v="0.19500000000000001"/>
    <n v="-0.11849999999999999"/>
    <n v="1.9E-3"/>
    <n v="-4.5724"/>
    <n v="1.0878000000000001"/>
    <n v="-4.6899999999999997E-2"/>
    <n v="36"/>
    <n v="5.6"/>
    <n v="21"/>
    <n v="5.8"/>
    <n v="0"/>
    <n v="0"/>
    <n v="5.7035999999999998"/>
    <n v="356"/>
    <n v="0"/>
  </r>
  <r>
    <x v="0"/>
    <x v="0"/>
    <s v="SPXW"/>
    <x v="2"/>
    <x v="180"/>
    <s v="p"/>
    <n v="5.65"/>
    <n v="15.6"/>
    <n v="2.99"/>
    <n v="6.29"/>
    <n v="266"/>
    <n v="93"/>
    <n v="6.4"/>
    <n v="50"/>
    <n v="6.6"/>
    <n v="0"/>
    <n v="0"/>
    <n v="0"/>
    <n v="0"/>
    <n v="0.1938"/>
    <n v="-0.12709999999999999"/>
    <n v="2E-3"/>
    <n v="-4.8597000000000001"/>
    <n v="1.1405000000000001"/>
    <n v="-5.0299999999999997E-2"/>
    <n v="15"/>
    <n v="6.1"/>
    <n v="50"/>
    <n v="6.3"/>
    <n v="0"/>
    <n v="0"/>
    <n v="8.0025999999999993"/>
    <n v="155"/>
    <n v="0"/>
  </r>
  <r>
    <x v="0"/>
    <x v="0"/>
    <s v="SPXW"/>
    <x v="2"/>
    <x v="181"/>
    <s v="p"/>
    <n v="6.2"/>
    <n v="14.8"/>
    <n v="3.2"/>
    <n v="6.6"/>
    <n v="495"/>
    <n v="76"/>
    <n v="6.9"/>
    <n v="69"/>
    <n v="7.1"/>
    <n v="0"/>
    <n v="0"/>
    <n v="0"/>
    <n v="0"/>
    <n v="0.1923"/>
    <n v="-0.1358"/>
    <n v="2.0999999999999999E-3"/>
    <n v="-5.1337000000000002"/>
    <n v="1.1922999999999999"/>
    <n v="-5.3800000000000001E-2"/>
    <n v="42"/>
    <n v="6.5"/>
    <n v="14"/>
    <n v="6.7"/>
    <n v="0"/>
    <n v="0"/>
    <n v="7.3884999999999996"/>
    <n v="256"/>
    <n v="0"/>
  </r>
  <r>
    <x v="0"/>
    <x v="0"/>
    <s v="SPXW"/>
    <x v="2"/>
    <x v="182"/>
    <s v="p"/>
    <n v="6.6"/>
    <n v="18.5"/>
    <n v="3.45"/>
    <n v="7.2"/>
    <n v="316"/>
    <n v="95"/>
    <n v="7.4"/>
    <n v="49"/>
    <n v="7.6"/>
    <n v="0"/>
    <n v="0"/>
    <n v="0"/>
    <n v="0"/>
    <n v="0.19059999999999999"/>
    <n v="-0.14460000000000001"/>
    <n v="2.2000000000000001E-3"/>
    <n v="-5.3933999999999997"/>
    <n v="1.2427999999999999"/>
    <n v="-5.74E-2"/>
    <n v="41"/>
    <n v="7"/>
    <n v="49"/>
    <n v="7.3"/>
    <n v="0"/>
    <n v="0"/>
    <n v="8.4273000000000007"/>
    <n v="150"/>
    <n v="0"/>
  </r>
  <r>
    <x v="0"/>
    <x v="0"/>
    <s v="SPXW"/>
    <x v="2"/>
    <x v="183"/>
    <s v="p"/>
    <n v="6.69"/>
    <n v="18.399999999999999"/>
    <n v="3.65"/>
    <n v="7.59"/>
    <n v="4907"/>
    <n v="66"/>
    <n v="8"/>
    <n v="97"/>
    <n v="8.1999999999999993"/>
    <n v="0"/>
    <n v="0"/>
    <n v="0"/>
    <n v="0"/>
    <n v="0.1885"/>
    <n v="-0.1535"/>
    <n v="2.3E-3"/>
    <n v="-5.6387999999999998"/>
    <n v="1.2916000000000001"/>
    <n v="-6.0999999999999999E-2"/>
    <n v="20"/>
    <n v="7.6"/>
    <n v="33"/>
    <n v="7.8"/>
    <n v="0"/>
    <n v="0"/>
    <n v="10.2317"/>
    <n v="1013"/>
    <n v="0"/>
  </r>
  <r>
    <x v="0"/>
    <x v="0"/>
    <s v="SPXW"/>
    <x v="2"/>
    <x v="184"/>
    <s v="p"/>
    <n v="6.77"/>
    <n v="20.21"/>
    <n v="4.09"/>
    <n v="8.49"/>
    <n v="247"/>
    <n v="50"/>
    <n v="8.6"/>
    <n v="86"/>
    <n v="8.8000000000000007"/>
    <n v="0"/>
    <n v="0"/>
    <n v="0"/>
    <n v="0"/>
    <n v="0.18690000000000001"/>
    <n v="-0.1636"/>
    <n v="2.5000000000000001E-3"/>
    <n v="-5.9253999999999998"/>
    <n v="1.3445"/>
    <n v="-6.5000000000000002E-2"/>
    <n v="14"/>
    <n v="8.1999999999999993"/>
    <n v="33"/>
    <n v="8.4"/>
    <n v="0"/>
    <n v="0"/>
    <n v="10.6379"/>
    <n v="107"/>
    <n v="0"/>
  </r>
  <r>
    <x v="0"/>
    <x v="0"/>
    <s v="SPXW"/>
    <x v="2"/>
    <x v="185"/>
    <s v="p"/>
    <n v="7.99"/>
    <n v="20.399999999999999"/>
    <n v="4.0999999999999996"/>
    <n v="9.16"/>
    <n v="1269"/>
    <n v="53"/>
    <n v="9.1999999999999993"/>
    <n v="80"/>
    <n v="9.4"/>
    <n v="0"/>
    <n v="0"/>
    <n v="0"/>
    <n v="0"/>
    <n v="0.185"/>
    <n v="-0.17399999999999999"/>
    <n v="2.5999999999999999E-3"/>
    <n v="-6.1929999999999996"/>
    <n v="1.397"/>
    <n v="-6.9099999999999995E-2"/>
    <n v="19"/>
    <n v="8.8000000000000007"/>
    <n v="18"/>
    <n v="9"/>
    <n v="0"/>
    <n v="0"/>
    <n v="9.2517999999999994"/>
    <n v="695"/>
    <n v="0"/>
  </r>
  <r>
    <x v="0"/>
    <x v="0"/>
    <s v="SPXW"/>
    <x v="2"/>
    <x v="186"/>
    <s v="p"/>
    <n v="8.7899999999999991"/>
    <n v="20.14"/>
    <n v="4.4000000000000004"/>
    <n v="9.4700000000000006"/>
    <n v="505"/>
    <n v="46"/>
    <n v="9.9"/>
    <n v="81"/>
    <n v="10.1"/>
    <n v="0"/>
    <n v="0"/>
    <n v="0"/>
    <n v="0"/>
    <n v="0.1835"/>
    <n v="-0.1855"/>
    <n v="2.7000000000000001E-3"/>
    <n v="-6.4938000000000002"/>
    <n v="1.4527000000000001"/>
    <n v="-7.3800000000000004E-2"/>
    <n v="28"/>
    <n v="9.4"/>
    <n v="33"/>
    <n v="9.6999999999999993"/>
    <n v="0"/>
    <n v="0"/>
    <n v="10.542199999999999"/>
    <n v="323"/>
    <n v="0"/>
  </r>
  <r>
    <x v="0"/>
    <x v="0"/>
    <s v="SPXW"/>
    <x v="2"/>
    <x v="187"/>
    <s v="p"/>
    <n v="9.36"/>
    <n v="20.36"/>
    <n v="4.7"/>
    <n v="10.119999999999999"/>
    <n v="1280"/>
    <n v="40"/>
    <n v="10.6"/>
    <n v="74"/>
    <n v="10.8"/>
    <n v="0"/>
    <n v="0"/>
    <n v="0"/>
    <n v="0"/>
    <n v="0.1817"/>
    <n v="-0.1971"/>
    <n v="2.8E-3"/>
    <n v="-6.7712000000000003"/>
    <n v="1.5058"/>
    <n v="-7.85E-2"/>
    <n v="12"/>
    <n v="10.199999999999999"/>
    <n v="30"/>
    <n v="10.4"/>
    <n v="0"/>
    <n v="0"/>
    <n v="11.5084"/>
    <n v="476"/>
    <n v="0"/>
  </r>
  <r>
    <x v="0"/>
    <x v="0"/>
    <s v="SPXW"/>
    <x v="2"/>
    <x v="188"/>
    <s v="p"/>
    <n v="8.8699999999999992"/>
    <n v="22.34"/>
    <n v="5"/>
    <n v="11.38"/>
    <n v="792"/>
    <n v="70"/>
    <n v="11.3"/>
    <n v="39"/>
    <n v="11.5"/>
    <n v="0"/>
    <n v="0"/>
    <n v="0"/>
    <n v="0"/>
    <n v="0.18010000000000001"/>
    <n v="-0.2099"/>
    <n v="3.0000000000000001E-3"/>
    <n v="-7.0724"/>
    <n v="1.5604"/>
    <n v="-8.3500000000000005E-2"/>
    <n v="19"/>
    <n v="10.9"/>
    <n v="11"/>
    <n v="11.1"/>
    <n v="0"/>
    <n v="0"/>
    <n v="11.790800000000001"/>
    <n v="257"/>
    <n v="0"/>
  </r>
  <r>
    <x v="0"/>
    <x v="0"/>
    <s v="SPXW"/>
    <x v="2"/>
    <x v="189"/>
    <s v="p"/>
    <n v="11.3"/>
    <n v="23.45"/>
    <n v="5.3"/>
    <n v="12.1"/>
    <n v="504"/>
    <n v="59"/>
    <n v="12.1"/>
    <n v="31"/>
    <n v="12.3"/>
    <n v="0"/>
    <n v="0"/>
    <n v="0"/>
    <n v="0"/>
    <n v="0.1779"/>
    <n v="-0.2225"/>
    <n v="3.0999999999999999E-3"/>
    <n v="-7.3224999999999998"/>
    <n v="1.6121000000000001"/>
    <n v="-8.8599999999999998E-2"/>
    <n v="19"/>
    <n v="11.7"/>
    <n v="33"/>
    <n v="12"/>
    <n v="0"/>
    <n v="0"/>
    <n v="11.418699999999999"/>
    <n v="217"/>
    <n v="0"/>
  </r>
  <r>
    <x v="0"/>
    <x v="0"/>
    <s v="SPXW"/>
    <x v="2"/>
    <x v="190"/>
    <s v="p"/>
    <n v="11.03"/>
    <n v="26.3"/>
    <n v="5.7"/>
    <n v="12.7"/>
    <n v="405"/>
    <n v="40"/>
    <n v="13"/>
    <n v="49"/>
    <n v="13.2"/>
    <n v="0"/>
    <n v="0"/>
    <n v="0"/>
    <n v="0"/>
    <n v="0.17599999999999999"/>
    <n v="-0.23619999999999999"/>
    <n v="3.3E-3"/>
    <n v="-7.5898000000000003"/>
    <n v="1.6656"/>
    <n v="-9.4100000000000003E-2"/>
    <n v="18"/>
    <n v="12.6"/>
    <n v="11"/>
    <n v="12.8"/>
    <n v="0"/>
    <n v="0"/>
    <n v="11.526899999999999"/>
    <n v="361"/>
    <n v="0"/>
  </r>
  <r>
    <x v="0"/>
    <x v="0"/>
    <s v="SPXW"/>
    <x v="2"/>
    <x v="191"/>
    <s v="p"/>
    <n v="11.57"/>
    <n v="24.53"/>
    <n v="6"/>
    <n v="13.9"/>
    <n v="769"/>
    <n v="39"/>
    <n v="13.9"/>
    <n v="45"/>
    <n v="14.1"/>
    <n v="0"/>
    <n v="0"/>
    <n v="0"/>
    <n v="0"/>
    <n v="0.17399999999999999"/>
    <n v="-0.2505"/>
    <n v="3.3999999999999998E-3"/>
    <n v="-7.8460999999999999"/>
    <n v="1.7175"/>
    <n v="-9.9900000000000003E-2"/>
    <n v="19"/>
    <n v="13.5"/>
    <n v="11"/>
    <n v="13.7"/>
    <n v="0"/>
    <n v="0"/>
    <n v="12.913"/>
    <n v="423"/>
    <n v="0"/>
  </r>
  <r>
    <x v="0"/>
    <x v="0"/>
    <s v="SPXW"/>
    <x v="2"/>
    <x v="192"/>
    <s v="p"/>
    <n v="11.8"/>
    <n v="30.41"/>
    <n v="6.47"/>
    <n v="14.67"/>
    <n v="470"/>
    <n v="61"/>
    <n v="14.8"/>
    <n v="51"/>
    <n v="15.1"/>
    <n v="0"/>
    <n v="0"/>
    <n v="0"/>
    <n v="0"/>
    <n v="0.17219999999999999"/>
    <n v="-0.26590000000000003"/>
    <n v="3.5999999999999999E-3"/>
    <n v="-8.1090999999999998"/>
    <n v="1.7685999999999999"/>
    <n v="-0.1061"/>
    <n v="17"/>
    <n v="14.5"/>
    <n v="10"/>
    <n v="14.7"/>
    <n v="0"/>
    <n v="0"/>
    <n v="13.7133"/>
    <n v="292"/>
    <n v="0"/>
  </r>
  <r>
    <x v="0"/>
    <x v="0"/>
    <s v="SPXW"/>
    <x v="2"/>
    <x v="193"/>
    <s v="p"/>
    <n v="12.6"/>
    <n v="31.91"/>
    <n v="6.49"/>
    <n v="16.09"/>
    <n v="5617"/>
    <n v="23"/>
    <n v="15.9"/>
    <n v="55"/>
    <n v="16.100000000000001"/>
    <n v="0"/>
    <n v="0"/>
    <n v="0"/>
    <n v="0"/>
    <n v="0.1701"/>
    <n v="-0.28170000000000001"/>
    <n v="3.7000000000000002E-3"/>
    <n v="-8.3329000000000004"/>
    <n v="1.8176000000000001"/>
    <n v="-0.1124"/>
    <n v="11"/>
    <n v="15.6"/>
    <n v="16"/>
    <n v="15.8"/>
    <n v="0"/>
    <n v="0"/>
    <n v="16.852900000000002"/>
    <n v="2225"/>
    <n v="0"/>
  </r>
  <r>
    <x v="0"/>
    <x v="0"/>
    <s v="SPXW"/>
    <x v="2"/>
    <x v="194"/>
    <s v="p"/>
    <n v="13.87"/>
    <n v="29.6"/>
    <n v="7.51"/>
    <n v="17.38"/>
    <n v="424"/>
    <n v="60"/>
    <n v="16.899999999999999"/>
    <n v="48"/>
    <n v="17.2"/>
    <n v="0"/>
    <n v="0"/>
    <n v="0"/>
    <n v="0"/>
    <n v="0.1678"/>
    <n v="-0.29809999999999998"/>
    <n v="3.8999999999999998E-3"/>
    <n v="-8.5343999999999998"/>
    <n v="1.8653"/>
    <n v="-0.1191"/>
    <n v="11"/>
    <n v="16.7"/>
    <n v="10"/>
    <n v="16.899999999999999"/>
    <n v="0"/>
    <n v="0"/>
    <n v="14.275499999999999"/>
    <n v="135"/>
    <n v="0"/>
  </r>
  <r>
    <x v="0"/>
    <x v="0"/>
    <s v="SPXW"/>
    <x v="2"/>
    <x v="195"/>
    <s v="p"/>
    <n v="15.15"/>
    <n v="34.729999999999997"/>
    <n v="7.48"/>
    <n v="18"/>
    <n v="1007"/>
    <n v="32"/>
    <n v="18.100000000000001"/>
    <n v="39"/>
    <n v="18.3"/>
    <n v="0"/>
    <n v="0"/>
    <n v="0"/>
    <n v="0"/>
    <n v="0.16569999999999999"/>
    <n v="-0.31559999999999999"/>
    <n v="4.0000000000000001E-3"/>
    <n v="-8.7274999999999991"/>
    <n v="1.9106000000000001"/>
    <n v="-0.12609999999999999"/>
    <n v="11"/>
    <n v="17.899999999999999"/>
    <n v="10"/>
    <n v="18.100000000000001"/>
    <n v="0"/>
    <n v="0"/>
    <n v="16.427600000000002"/>
    <n v="326"/>
    <n v="0"/>
  </r>
  <r>
    <x v="0"/>
    <x v="0"/>
    <s v="SPXW"/>
    <x v="2"/>
    <x v="196"/>
    <s v="p"/>
    <n v="15.69"/>
    <n v="32.5"/>
    <n v="8.36"/>
    <n v="20"/>
    <n v="319"/>
    <n v="34"/>
    <n v="19.3"/>
    <n v="15"/>
    <n v="19.5"/>
    <n v="0"/>
    <n v="0"/>
    <n v="0"/>
    <n v="0"/>
    <n v="0.16339999999999999"/>
    <n v="-0.33379999999999999"/>
    <n v="4.1999999999999997E-3"/>
    <n v="-8.8895"/>
    <n v="1.9527000000000001"/>
    <n v="-0.13339999999999999"/>
    <n v="10"/>
    <n v="19.2"/>
    <n v="9"/>
    <n v="19.399999999999999"/>
    <n v="0"/>
    <n v="0"/>
    <n v="17.8522"/>
    <n v="274"/>
    <n v="0"/>
  </r>
  <r>
    <x v="0"/>
    <x v="0"/>
    <s v="SPXW"/>
    <x v="2"/>
    <x v="197"/>
    <s v="p"/>
    <n v="17.14"/>
    <n v="35.9"/>
    <n v="8.6"/>
    <n v="21"/>
    <n v="638"/>
    <n v="31"/>
    <n v="20.6"/>
    <n v="9"/>
    <n v="20.8"/>
    <n v="0"/>
    <n v="0"/>
    <n v="0"/>
    <n v="0"/>
    <n v="0.16120000000000001"/>
    <n v="-0.35299999999999998"/>
    <n v="4.3E-3"/>
    <n v="-9.0327000000000002"/>
    <n v="1.9926999999999999"/>
    <n v="-0.1411"/>
    <n v="15"/>
    <n v="20.5"/>
    <n v="21"/>
    <n v="20.8"/>
    <n v="0"/>
    <n v="0"/>
    <n v="20.124400000000001"/>
    <n v="359"/>
    <n v="0"/>
  </r>
  <r>
    <x v="0"/>
    <x v="0"/>
    <s v="SPXW"/>
    <x v="2"/>
    <x v="198"/>
    <s v="p"/>
    <n v="17.059999999999999"/>
    <n v="36.869999999999997"/>
    <n v="9.7799999999999994"/>
    <n v="22.82"/>
    <n v="642"/>
    <n v="31"/>
    <n v="22"/>
    <n v="8"/>
    <n v="22.2"/>
    <n v="0"/>
    <n v="0"/>
    <n v="0"/>
    <n v="0"/>
    <n v="0.159"/>
    <n v="-0.37319999999999998"/>
    <n v="4.4000000000000003E-3"/>
    <n v="-9.1498000000000008"/>
    <n v="2.0291999999999999"/>
    <n v="-0.14929999999999999"/>
    <n v="10"/>
    <n v="22"/>
    <n v="8"/>
    <n v="22.2"/>
    <n v="0"/>
    <n v="0"/>
    <n v="22.519300000000001"/>
    <n v="238"/>
    <n v="0"/>
  </r>
  <r>
    <x v="0"/>
    <x v="0"/>
    <s v="SPXW"/>
    <x v="2"/>
    <x v="199"/>
    <s v="p"/>
    <n v="19.55"/>
    <n v="38.950000000000003"/>
    <n v="10.08"/>
    <n v="24.1"/>
    <n v="480"/>
    <n v="8"/>
    <n v="23.5"/>
    <n v="32"/>
    <n v="23.7"/>
    <n v="0"/>
    <n v="0"/>
    <n v="0"/>
    <n v="0"/>
    <n v="0.15679999999999999"/>
    <n v="-0.39429999999999998"/>
    <n v="4.5999999999999999E-3"/>
    <n v="-9.2356999999999996"/>
    <n v="2.0607000000000002"/>
    <n v="-0.1578"/>
    <n v="9"/>
    <n v="23.5"/>
    <n v="16"/>
    <n v="23.8"/>
    <n v="0"/>
    <n v="0"/>
    <n v="23.230799999999999"/>
    <n v="259"/>
    <n v="0"/>
  </r>
  <r>
    <x v="0"/>
    <x v="0"/>
    <s v="SPXW"/>
    <x v="2"/>
    <x v="200"/>
    <s v="p"/>
    <n v="19.5"/>
    <n v="41.12"/>
    <n v="11.29"/>
    <n v="25.9"/>
    <n v="769"/>
    <n v="36"/>
    <n v="25"/>
    <n v="26"/>
    <n v="25.3"/>
    <n v="0"/>
    <n v="0"/>
    <n v="0"/>
    <n v="0"/>
    <n v="0.1542"/>
    <n v="-0.41599999999999998"/>
    <n v="4.7000000000000002E-3"/>
    <n v="-9.2543000000000006"/>
    <n v="2.0872000000000002"/>
    <n v="-0.16650000000000001"/>
    <n v="9"/>
    <n v="25.2"/>
    <n v="8"/>
    <n v="25.4"/>
    <n v="0"/>
    <n v="0"/>
    <n v="26.244700000000002"/>
    <n v="653"/>
    <n v="0"/>
  </r>
  <r>
    <x v="0"/>
    <x v="0"/>
    <s v="SPXW"/>
    <x v="2"/>
    <x v="201"/>
    <s v="p"/>
    <n v="20.8"/>
    <n v="45.3"/>
    <n v="11.83"/>
    <n v="27.7"/>
    <n v="865"/>
    <n v="32"/>
    <n v="26.7"/>
    <n v="32"/>
    <n v="27"/>
    <n v="0"/>
    <n v="0"/>
    <n v="0"/>
    <n v="0"/>
    <n v="0.152"/>
    <n v="-0.43890000000000001"/>
    <n v="4.7999999999999996E-3"/>
    <n v="-9.2609999999999992"/>
    <n v="2.1088"/>
    <n v="-0.17580000000000001"/>
    <n v="8"/>
    <n v="26.9"/>
    <n v="14"/>
    <n v="27.2"/>
    <n v="0"/>
    <n v="0"/>
    <n v="28.423100000000002"/>
    <n v="445"/>
    <n v="0"/>
  </r>
  <r>
    <x v="0"/>
    <x v="0"/>
    <s v="SPXW"/>
    <x v="2"/>
    <x v="202"/>
    <s v="p"/>
    <n v="22.2"/>
    <n v="45.28"/>
    <n v="13"/>
    <n v="29.77"/>
    <n v="690"/>
    <n v="30"/>
    <n v="28.5"/>
    <n v="7"/>
    <n v="28.7"/>
    <n v="0"/>
    <n v="0"/>
    <n v="0"/>
    <n v="0"/>
    <n v="0.14979999999999999"/>
    <n v="-0.46260000000000001"/>
    <n v="4.8999999999999998E-3"/>
    <n v="-9.2192000000000007"/>
    <n v="2.1236999999999999"/>
    <n v="-0.18540000000000001"/>
    <n v="8"/>
    <n v="28.8"/>
    <n v="15"/>
    <n v="29.1"/>
    <n v="0"/>
    <n v="0"/>
    <n v="30.9742"/>
    <n v="141"/>
    <n v="0"/>
  </r>
  <r>
    <x v="0"/>
    <x v="0"/>
    <s v="SPXW"/>
    <x v="2"/>
    <x v="203"/>
    <s v="p"/>
    <n v="23.8"/>
    <n v="50"/>
    <n v="13.8"/>
    <n v="30.9"/>
    <n v="2018"/>
    <n v="30"/>
    <n v="30.4"/>
    <n v="31"/>
    <n v="30.7"/>
    <n v="0"/>
    <n v="0"/>
    <n v="0"/>
    <n v="0"/>
    <n v="0.14749999999999999"/>
    <n v="-0.48720000000000002"/>
    <n v="5.0000000000000001E-3"/>
    <n v="-9.1250999999999998"/>
    <n v="2.1315"/>
    <n v="-0.1953"/>
    <n v="8"/>
    <n v="30.8"/>
    <n v="7"/>
    <n v="31"/>
    <n v="0"/>
    <n v="0"/>
    <n v="29.520499999999998"/>
    <n v="801"/>
    <n v="0"/>
  </r>
  <r>
    <x v="0"/>
    <x v="0"/>
    <s v="SPXW"/>
    <x v="2"/>
    <x v="204"/>
    <s v="p"/>
    <n v="25.2"/>
    <n v="47.3"/>
    <n v="15.1"/>
    <n v="32.799999999999997"/>
    <n v="325"/>
    <n v="21"/>
    <n v="32.4"/>
    <n v="16"/>
    <n v="32.700000000000003"/>
    <n v="0"/>
    <n v="0"/>
    <n v="0"/>
    <n v="0"/>
    <n v="0.14499999999999999"/>
    <n v="-0.51259999999999994"/>
    <n v="5.1000000000000004E-3"/>
    <n v="-8.9725999999999999"/>
    <n v="2.1316000000000002"/>
    <n v="-0.20569999999999999"/>
    <n v="8"/>
    <n v="32.9"/>
    <n v="12"/>
    <n v="33.200000000000003"/>
    <n v="0"/>
    <n v="0"/>
    <n v="33.093299999999999"/>
    <n v="60"/>
    <n v="0"/>
  </r>
  <r>
    <x v="0"/>
    <x v="0"/>
    <s v="SPXW"/>
    <x v="2"/>
    <x v="205"/>
    <s v="p"/>
    <n v="26.9"/>
    <n v="51.95"/>
    <n v="16.21"/>
    <n v="35"/>
    <n v="604"/>
    <n v="9"/>
    <n v="34.6"/>
    <n v="20"/>
    <n v="34.9"/>
    <n v="0"/>
    <n v="0"/>
    <n v="0"/>
    <n v="0"/>
    <n v="0.14269999999999999"/>
    <n v="-0.53879999999999995"/>
    <n v="5.1999999999999998E-3"/>
    <n v="-8.7723999999999993"/>
    <n v="2.1232000000000002"/>
    <n v="-0.21609999999999999"/>
    <n v="8"/>
    <n v="35.1"/>
    <n v="7"/>
    <n v="35.4"/>
    <n v="0"/>
    <n v="0"/>
    <n v="33.434899999999999"/>
    <n v="260"/>
    <n v="0"/>
  </r>
  <r>
    <x v="0"/>
    <x v="0"/>
    <s v="SPXW"/>
    <x v="2"/>
    <x v="206"/>
    <s v="p"/>
    <n v="28.74"/>
    <n v="58.4"/>
    <n v="17.5"/>
    <n v="38.869999999999997"/>
    <n v="556"/>
    <n v="16"/>
    <n v="36.9"/>
    <n v="13"/>
    <n v="37.200000000000003"/>
    <n v="0"/>
    <n v="0"/>
    <n v="0"/>
    <n v="0"/>
    <n v="0.1406"/>
    <n v="-0.5655"/>
    <n v="5.1999999999999998E-3"/>
    <n v="-8.5376999999999992"/>
    <n v="2.1055999999999999"/>
    <n v="-0.22700000000000001"/>
    <n v="8"/>
    <n v="37.5"/>
    <n v="7"/>
    <n v="37.799999999999997"/>
    <n v="0"/>
    <n v="0"/>
    <n v="33.620399999999997"/>
    <n v="81"/>
    <n v="0"/>
  </r>
  <r>
    <x v="0"/>
    <x v="0"/>
    <s v="SPXW"/>
    <x v="2"/>
    <x v="207"/>
    <s v="p"/>
    <n v="31.8"/>
    <n v="58.1"/>
    <n v="18.7"/>
    <n v="41.1"/>
    <n v="761"/>
    <n v="19"/>
    <n v="39.299999999999997"/>
    <n v="14"/>
    <n v="39.700000000000003"/>
    <n v="0"/>
    <n v="0"/>
    <n v="0"/>
    <n v="0"/>
    <n v="0.1384"/>
    <n v="-0.59279999999999999"/>
    <n v="5.1999999999999998E-3"/>
    <n v="-8.2355999999999998"/>
    <n v="2.0777999999999999"/>
    <n v="-0.23810000000000001"/>
    <n v="7"/>
    <n v="40.1"/>
    <n v="6"/>
    <n v="40.4"/>
    <n v="0"/>
    <n v="0"/>
    <n v="30.814499999999999"/>
    <n v="104"/>
    <n v="0"/>
  </r>
  <r>
    <x v="0"/>
    <x v="0"/>
    <s v="SPXW"/>
    <x v="2"/>
    <x v="208"/>
    <s v="p"/>
    <n v="33.200000000000003"/>
    <n v="59.28"/>
    <n v="20.149999999999999"/>
    <n v="43.58"/>
    <n v="674"/>
    <n v="14"/>
    <n v="42"/>
    <n v="12"/>
    <n v="42.3"/>
    <n v="0"/>
    <n v="0"/>
    <n v="0"/>
    <n v="0"/>
    <n v="0.13619999999999999"/>
    <n v="-0.62050000000000005"/>
    <n v="5.1999999999999998E-3"/>
    <n v="-7.8815999999999997"/>
    <n v="2.0405000000000002"/>
    <n v="-0.2492"/>
    <n v="6"/>
    <n v="42.8"/>
    <n v="5"/>
    <n v="43.1"/>
    <n v="0"/>
    <n v="0"/>
    <n v="34.164999999999999"/>
    <n v="228"/>
    <n v="0"/>
  </r>
  <r>
    <x v="0"/>
    <x v="0"/>
    <s v="SPXW"/>
    <x v="2"/>
    <x v="209"/>
    <s v="p"/>
    <n v="35.200000000000003"/>
    <n v="57.45"/>
    <n v="22"/>
    <n v="44.77"/>
    <n v="524"/>
    <n v="7"/>
    <n v="44.8"/>
    <n v="11"/>
    <n v="45.1"/>
    <n v="0"/>
    <n v="0"/>
    <n v="0"/>
    <n v="0"/>
    <n v="0.13400000000000001"/>
    <n v="-0.64839999999999998"/>
    <n v="5.1999999999999998E-3"/>
    <n v="-7.4770000000000003"/>
    <n v="1.9917"/>
    <n v="-0.26069999999999999"/>
    <n v="5"/>
    <n v="45.6"/>
    <n v="4"/>
    <n v="45.9"/>
    <n v="0"/>
    <n v="0"/>
    <n v="35.963799999999999"/>
    <n v="103"/>
    <n v="0"/>
  </r>
  <r>
    <x v="0"/>
    <x v="0"/>
    <s v="SPXW"/>
    <x v="2"/>
    <x v="210"/>
    <s v="p"/>
    <n v="31.7"/>
    <n v="68.28"/>
    <n v="24"/>
    <n v="45.53"/>
    <n v="370"/>
    <n v="10"/>
    <n v="47.7"/>
    <n v="9"/>
    <n v="48"/>
    <n v="0"/>
    <n v="0"/>
    <n v="0"/>
    <n v="0"/>
    <n v="0.13200000000000001"/>
    <n v="-0.67610000000000003"/>
    <n v="5.1000000000000004E-3"/>
    <n v="-7.0418000000000003"/>
    <n v="1.9334"/>
    <n v="-0.27179999999999999"/>
    <n v="3"/>
    <n v="48.6"/>
    <n v="3"/>
    <n v="48.9"/>
    <n v="0"/>
    <n v="0"/>
    <n v="34.545299999999997"/>
    <n v="57"/>
    <n v="0"/>
  </r>
  <r>
    <x v="0"/>
    <x v="0"/>
    <s v="SPXW"/>
    <x v="2"/>
    <x v="211"/>
    <s v="p"/>
    <n v="40"/>
    <n v="72.25"/>
    <n v="25.3"/>
    <n v="51.46"/>
    <n v="269"/>
    <n v="26"/>
    <n v="50.3"/>
    <n v="6"/>
    <n v="51.2"/>
    <n v="0"/>
    <n v="0"/>
    <n v="0"/>
    <n v="0"/>
    <n v="0.1298"/>
    <n v="-0.70409999999999995"/>
    <n v="5.0000000000000001E-3"/>
    <n v="-6.5469999999999997"/>
    <n v="1.8635999999999999"/>
    <n v="-0.28320000000000001"/>
    <n v="15"/>
    <n v="51.2"/>
    <n v="15"/>
    <n v="52.5"/>
    <n v="0"/>
    <n v="0"/>
    <n v="39.329099999999997"/>
    <n v="71"/>
    <n v="0"/>
  </r>
  <r>
    <x v="0"/>
    <x v="0"/>
    <s v="SPXW"/>
    <x v="2"/>
    <x v="212"/>
    <s v="p"/>
    <n v="45.8"/>
    <n v="72.97"/>
    <n v="27.35"/>
    <n v="55.78"/>
    <n v="177"/>
    <n v="29"/>
    <n v="53.4"/>
    <n v="6"/>
    <n v="54.5"/>
    <n v="0"/>
    <n v="0"/>
    <n v="0"/>
    <n v="0"/>
    <n v="0.1275"/>
    <n v="-0.7319"/>
    <n v="4.7999999999999996E-3"/>
    <n v="-6.0141"/>
    <n v="1.7822"/>
    <n v="-0.29449999999999998"/>
    <n v="15"/>
    <n v="54.4"/>
    <n v="15"/>
    <n v="55.9"/>
    <n v="0"/>
    <n v="0"/>
    <n v="41.231400000000001"/>
    <n v="74"/>
    <n v="0"/>
  </r>
  <r>
    <x v="0"/>
    <x v="0"/>
    <s v="SPXW"/>
    <x v="2"/>
    <x v="213"/>
    <s v="p"/>
    <n v="45"/>
    <n v="76"/>
    <n v="29.8"/>
    <n v="59.28"/>
    <n v="293"/>
    <n v="7"/>
    <n v="56.3"/>
    <n v="12"/>
    <n v="60.3"/>
    <n v="0"/>
    <n v="0"/>
    <n v="0"/>
    <n v="0"/>
    <n v="0.13150000000000001"/>
    <n v="-0.74819999999999998"/>
    <n v="4.4999999999999997E-3"/>
    <n v="-5.9275000000000002"/>
    <n v="1.7285999999999999"/>
    <n v="-0.30130000000000001"/>
    <n v="3"/>
    <n v="57.3"/>
    <n v="3"/>
    <n v="60"/>
    <n v="0"/>
    <n v="0"/>
    <n v="53.723199999999999"/>
    <n v="190"/>
    <n v="0"/>
  </r>
  <r>
    <x v="0"/>
    <x v="0"/>
    <s v="SPXW"/>
    <x v="2"/>
    <x v="214"/>
    <s v="p"/>
    <n v="46.3"/>
    <n v="76.37"/>
    <n v="31.9"/>
    <n v="62.98"/>
    <n v="144"/>
    <n v="11"/>
    <n v="58"/>
    <n v="11"/>
    <n v="64.2"/>
    <n v="0"/>
    <n v="0"/>
    <n v="0"/>
    <n v="0"/>
    <n v="0.12520000000000001"/>
    <n v="-0.78149999999999997"/>
    <n v="4.4000000000000003E-3"/>
    <n v="-5.0519999999999996"/>
    <n v="1.6068"/>
    <n v="-0.31480000000000002"/>
    <n v="3"/>
    <n v="60.7"/>
    <n v="3"/>
    <n v="63.4"/>
    <n v="0"/>
    <n v="0"/>
    <n v="48.491700000000002"/>
    <n v="72"/>
    <n v="0"/>
  </r>
  <r>
    <x v="0"/>
    <x v="0"/>
    <s v="SPXW"/>
    <x v="2"/>
    <x v="215"/>
    <s v="p"/>
    <n v="54.5"/>
    <n v="74.459999999999994"/>
    <n v="35.85"/>
    <n v="64.63"/>
    <n v="79"/>
    <n v="6"/>
    <n v="63.6"/>
    <n v="11"/>
    <n v="68"/>
    <n v="0"/>
    <n v="0"/>
    <n v="0"/>
    <n v="0"/>
    <n v="0.1298"/>
    <n v="-0.79410000000000003"/>
    <n v="4.1000000000000003E-3"/>
    <n v="-4.9912000000000001"/>
    <n v="1.5544"/>
    <n v="-0.3201"/>
    <n v="1"/>
    <n v="62.5"/>
    <n v="7"/>
    <n v="69.5"/>
    <n v="0"/>
    <n v="0"/>
    <n v="47.362900000000003"/>
    <n v="62"/>
    <n v="0"/>
  </r>
  <r>
    <x v="0"/>
    <x v="0"/>
    <s v="SPXW"/>
    <x v="2"/>
    <x v="216"/>
    <s v="p"/>
    <n v="53.89"/>
    <n v="77.760000000000005"/>
    <n v="37.200000000000003"/>
    <n v="64.069999999999993"/>
    <n v="39"/>
    <n v="6"/>
    <n v="67.3"/>
    <n v="12"/>
    <n v="72"/>
    <n v="0"/>
    <n v="0"/>
    <n v="0"/>
    <n v="0"/>
    <n v="0.1285"/>
    <n v="-0.81620000000000004"/>
    <n v="3.8999999999999998E-3"/>
    <n v="-4.4843999999999999"/>
    <n v="1.4575"/>
    <n v="-0.32919999999999999"/>
    <n v="2"/>
    <n v="66.400000000000006"/>
    <n v="7"/>
    <n v="73.400000000000006"/>
    <n v="0"/>
    <n v="0"/>
    <n v="50.479700000000001"/>
    <n v="29"/>
    <n v="0"/>
  </r>
  <r>
    <x v="0"/>
    <x v="0"/>
    <s v="SPXW"/>
    <x v="2"/>
    <x v="217"/>
    <s v="p"/>
    <n v="54.72"/>
    <n v="80.41"/>
    <n v="40.200000000000003"/>
    <n v="76.06"/>
    <n v="51"/>
    <n v="11"/>
    <n v="69.5"/>
    <n v="7"/>
    <n v="75.900000000000006"/>
    <n v="0"/>
    <n v="0"/>
    <n v="0"/>
    <n v="0"/>
    <n v="0.11990000000000001"/>
    <n v="-0.85160000000000002"/>
    <n v="3.5999999999999999E-3"/>
    <n v="-3.4525000000000001"/>
    <n v="1.2837000000000001"/>
    <n v="-0.34339999999999998"/>
    <n v="2"/>
    <n v="70.400000000000006"/>
    <n v="7"/>
    <n v="77.5"/>
    <n v="0"/>
    <n v="0"/>
    <n v="61.106099999999998"/>
    <n v="27"/>
    <n v="0"/>
  </r>
  <r>
    <x v="0"/>
    <x v="0"/>
    <s v="SPXW"/>
    <x v="2"/>
    <x v="218"/>
    <s v="p"/>
    <n v="48.5"/>
    <n v="98.11"/>
    <n v="43.4"/>
    <n v="73.599999999999994"/>
    <n v="50"/>
    <n v="11"/>
    <n v="73.599999999999994"/>
    <n v="7"/>
    <n v="80"/>
    <n v="0"/>
    <n v="0"/>
    <n v="0"/>
    <n v="0"/>
    <n v="0.1182"/>
    <n v="-0.872"/>
    <n v="3.3E-3"/>
    <n v="-2.9592999999999998"/>
    <n v="1.1686000000000001"/>
    <n v="-0.35189999999999999"/>
    <n v="7"/>
    <n v="75"/>
    <n v="7"/>
    <n v="81.7"/>
    <n v="0"/>
    <n v="0"/>
    <n v="67.701599999999999"/>
    <n v="72"/>
    <n v="0"/>
  </r>
  <r>
    <x v="0"/>
    <x v="0"/>
    <s v="SPXW"/>
    <x v="2"/>
    <x v="219"/>
    <s v="p"/>
    <n v="59.47"/>
    <n v="83.63"/>
    <n v="46.86"/>
    <n v="82.97"/>
    <n v="105"/>
    <n v="11"/>
    <n v="77.8"/>
    <n v="11"/>
    <n v="84.6"/>
    <n v="0"/>
    <n v="0"/>
    <n v="0"/>
    <n v="0"/>
    <n v="0.1181"/>
    <n v="-0.88790000000000002"/>
    <n v="3.0000000000000001E-3"/>
    <n v="-2.5988000000000002"/>
    <n v="1.0716000000000001"/>
    <n v="-0.3584"/>
    <n v="2"/>
    <n v="78.900000000000006"/>
    <n v="7"/>
    <n v="86.1"/>
    <n v="0"/>
    <n v="0"/>
    <n v="74.366500000000002"/>
    <n v="34"/>
    <n v="0"/>
  </r>
  <r>
    <x v="0"/>
    <x v="0"/>
    <s v="SPXW"/>
    <x v="2"/>
    <x v="220"/>
    <s v="p"/>
    <n v="63.33"/>
    <n v="87.96"/>
    <n v="63.33"/>
    <n v="84.3"/>
    <n v="63"/>
    <n v="11"/>
    <n v="82.2"/>
    <n v="11"/>
    <n v="88.9"/>
    <n v="0"/>
    <n v="0"/>
    <n v="0"/>
    <n v="0"/>
    <n v="0.1186"/>
    <n v="-0.90039999999999998"/>
    <n v="2.7000000000000001E-3"/>
    <n v="-2.3209"/>
    <n v="0.98919999999999997"/>
    <n v="-0.36380000000000001"/>
    <n v="11"/>
    <n v="83.2"/>
    <n v="7"/>
    <n v="90.3"/>
    <n v="0"/>
    <n v="0"/>
    <n v="83.997299999999996"/>
    <n v="16"/>
    <n v="0"/>
  </r>
  <r>
    <x v="0"/>
    <x v="0"/>
    <s v="SPXW"/>
    <x v="2"/>
    <x v="221"/>
    <s v="p"/>
    <n v="66.34"/>
    <n v="93.21"/>
    <n v="54.6"/>
    <n v="90.73"/>
    <n v="29"/>
    <n v="11"/>
    <n v="86.7"/>
    <n v="3"/>
    <n v="93.6"/>
    <n v="0"/>
    <n v="0"/>
    <n v="0"/>
    <n v="0"/>
    <n v="0.1166"/>
    <n v="-0.91769999999999996"/>
    <n v="2.3999999999999998E-3"/>
    <n v="-1.8804000000000001"/>
    <n v="0.86819999999999997"/>
    <n v="-0.37090000000000001"/>
    <n v="7"/>
    <n v="88.3"/>
    <n v="7"/>
    <n v="95.1"/>
    <n v="0"/>
    <n v="0"/>
    <n v="87.165899999999993"/>
    <n v="108"/>
    <n v="0"/>
  </r>
  <r>
    <x v="0"/>
    <x v="0"/>
    <s v="SPXW"/>
    <x v="2"/>
    <x v="222"/>
    <s v="p"/>
    <n v="95.32"/>
    <n v="95.32"/>
    <n v="95.32"/>
    <n v="95.32"/>
    <n v="23"/>
    <n v="11"/>
    <n v="91.2"/>
    <n v="11"/>
    <n v="98.1"/>
    <n v="0"/>
    <n v="0"/>
    <n v="0"/>
    <n v="0"/>
    <n v="0.1148"/>
    <n v="-0.93220000000000003"/>
    <n v="2.0999999999999999E-3"/>
    <n v="-1.5141"/>
    <n v="0.75780000000000003"/>
    <n v="-0.37690000000000001"/>
    <n v="4"/>
    <n v="92.4"/>
    <n v="7"/>
    <n v="99.5"/>
    <n v="0"/>
    <n v="0"/>
    <n v="95.32"/>
    <n v="6"/>
    <n v="0"/>
  </r>
  <r>
    <x v="0"/>
    <x v="0"/>
    <s v="SPXW"/>
    <x v="2"/>
    <x v="223"/>
    <s v="p"/>
    <n v="74.94"/>
    <n v="82.82"/>
    <n v="61.76"/>
    <n v="82.82"/>
    <n v="8"/>
    <n v="11"/>
    <n v="95.9"/>
    <n v="13"/>
    <n v="102.8"/>
    <n v="0"/>
    <n v="0"/>
    <n v="0"/>
    <n v="0"/>
    <n v="0.1148"/>
    <n v="-0.94189999999999996"/>
    <n v="1.9E-3"/>
    <n v="-1.2856000000000001"/>
    <n v="0.67700000000000005"/>
    <n v="-0.38109999999999999"/>
    <n v="4"/>
    <n v="97.1"/>
    <n v="7"/>
    <n v="104.2"/>
    <n v="0"/>
    <n v="0"/>
    <n v="74.453800000000001"/>
    <n v="106"/>
    <n v="0"/>
  </r>
  <r>
    <x v="0"/>
    <x v="0"/>
    <s v="SPXW"/>
    <x v="2"/>
    <x v="224"/>
    <s v="p"/>
    <n v="86.84"/>
    <n v="86.84"/>
    <n v="86.84"/>
    <n v="86.84"/>
    <n v="1"/>
    <n v="11"/>
    <n v="100.6"/>
    <n v="11"/>
    <n v="107.6"/>
    <n v="0"/>
    <n v="0"/>
    <n v="0"/>
    <n v="0"/>
    <n v="0.1193"/>
    <n v="-0.94350000000000001"/>
    <n v="1.8E-3"/>
    <n v="-1.2992999999999999"/>
    <n v="0.66190000000000004"/>
    <n v="-0.3821"/>
    <n v="7"/>
    <n v="101.8"/>
    <n v="7"/>
    <n v="109"/>
    <n v="0"/>
    <n v="0"/>
    <n v="86.84"/>
    <n v="6"/>
    <n v="0"/>
  </r>
  <r>
    <x v="0"/>
    <x v="0"/>
    <s v="SPXW"/>
    <x v="2"/>
    <x v="225"/>
    <s v="p"/>
    <n v="82.94"/>
    <n v="82.94"/>
    <n v="82.94"/>
    <n v="82.94"/>
    <n v="1"/>
    <n v="11"/>
    <n v="105.3"/>
    <n v="11"/>
    <n v="112.4"/>
    <n v="0"/>
    <n v="0"/>
    <n v="0"/>
    <n v="0"/>
    <n v="0.115"/>
    <n v="-0.95809999999999995"/>
    <n v="1.5E-3"/>
    <n v="-0.90769999999999995"/>
    <n v="0.53200000000000003"/>
    <n v="-0.38819999999999999"/>
    <n v="7"/>
    <n v="106.6"/>
    <n v="7"/>
    <n v="113.8"/>
    <n v="0"/>
    <n v="0"/>
    <n v="82.94"/>
    <n v="4"/>
    <n v="0"/>
  </r>
  <r>
    <x v="0"/>
    <x v="0"/>
    <s v="SPXW"/>
    <x v="2"/>
    <x v="226"/>
    <s v="p"/>
    <n v="0"/>
    <n v="0"/>
    <n v="0"/>
    <n v="0"/>
    <n v="0"/>
    <n v="6"/>
    <n v="110.2"/>
    <n v="6"/>
    <n v="117.3"/>
    <n v="0"/>
    <n v="0"/>
    <n v="0"/>
    <n v="0"/>
    <n v="0.1164"/>
    <n v="-0.96309999999999996"/>
    <n v="1.2999999999999999E-3"/>
    <n v="-0.79949999999999999"/>
    <n v="0.48280000000000001"/>
    <n v="-0.39050000000000001"/>
    <n v="7"/>
    <n v="111.5"/>
    <n v="7"/>
    <n v="118.7"/>
    <n v="0"/>
    <n v="0"/>
    <n v="0"/>
    <n v="1"/>
    <n v="0"/>
  </r>
  <r>
    <x v="0"/>
    <x v="0"/>
    <s v="SPXW"/>
    <x v="2"/>
    <x v="227"/>
    <s v="p"/>
    <n v="117.8"/>
    <n v="117.8"/>
    <n v="117.8"/>
    <n v="117.8"/>
    <n v="2"/>
    <n v="6"/>
    <n v="115"/>
    <n v="6"/>
    <n v="122.5"/>
    <n v="0"/>
    <n v="0"/>
    <n v="0"/>
    <n v="0"/>
    <n v="0.122"/>
    <n v="-0.96240000000000003"/>
    <n v="1.2999999999999999E-3"/>
    <n v="-0.8538"/>
    <n v="0.48649999999999999"/>
    <n v="-0.3906"/>
    <n v="7"/>
    <n v="116.1"/>
    <n v="7"/>
    <n v="123.6"/>
    <n v="0"/>
    <n v="0"/>
    <n v="117.8"/>
    <n v="3"/>
    <n v="0"/>
  </r>
  <r>
    <x v="0"/>
    <x v="0"/>
    <s v="SPXW"/>
    <x v="2"/>
    <x v="228"/>
    <s v="p"/>
    <n v="117.6"/>
    <n v="117.6"/>
    <n v="117.6"/>
    <n v="117.6"/>
    <n v="1"/>
    <n v="5"/>
    <n v="119.9"/>
    <n v="5"/>
    <n v="127.3"/>
    <n v="0"/>
    <n v="0"/>
    <n v="0"/>
    <n v="0"/>
    <n v="0.1208"/>
    <n v="-0.96950000000000003"/>
    <n v="1.1000000000000001E-3"/>
    <n v="-0.67269999999999996"/>
    <n v="0.41520000000000001"/>
    <n v="-0.39379999999999998"/>
    <n v="6"/>
    <n v="121.1"/>
    <n v="6"/>
    <n v="128.5"/>
    <n v="0"/>
    <n v="0"/>
    <n v="117.6"/>
    <n v="3"/>
    <n v="0"/>
  </r>
  <r>
    <x v="0"/>
    <x v="0"/>
    <s v="SPXW"/>
    <x v="2"/>
    <x v="229"/>
    <s v="p"/>
    <n v="106.49"/>
    <n v="129.38"/>
    <n v="106.49"/>
    <n v="129.38"/>
    <n v="2"/>
    <n v="5"/>
    <n v="124.9"/>
    <n v="5"/>
    <n v="132.30000000000001"/>
    <n v="0"/>
    <n v="0"/>
    <n v="0"/>
    <n v="0"/>
    <n v="0.12540000000000001"/>
    <n v="-0.96970000000000001"/>
    <n v="1E-3"/>
    <n v="-0.69230000000000003"/>
    <n v="0.41070000000000001"/>
    <n v="-0.39419999999999999"/>
    <n v="6"/>
    <n v="126.1"/>
    <n v="6"/>
    <n v="133.69999999999999"/>
    <n v="0"/>
    <n v="0"/>
    <n v="117.935"/>
    <n v="2"/>
    <n v="0"/>
  </r>
  <r>
    <x v="0"/>
    <x v="0"/>
    <s v="SPXW"/>
    <x v="2"/>
    <x v="230"/>
    <s v="p"/>
    <n v="0"/>
    <n v="0"/>
    <n v="0"/>
    <n v="0"/>
    <n v="0"/>
    <n v="5"/>
    <n v="129.80000000000001"/>
    <n v="5"/>
    <n v="137.19999999999999"/>
    <n v="0"/>
    <n v="0"/>
    <n v="0"/>
    <n v="0"/>
    <n v="0.12590000000000001"/>
    <n v="-0.97399999999999998"/>
    <n v="8.9999999999999998E-4"/>
    <n v="-0.58679999999999999"/>
    <n v="0.36480000000000001"/>
    <n v="-0.39629999999999999"/>
    <n v="6"/>
    <n v="131"/>
    <n v="6"/>
    <n v="138.4"/>
    <n v="0"/>
    <n v="0"/>
    <n v="0"/>
    <n v="0"/>
    <n v="0"/>
  </r>
  <r>
    <x v="0"/>
    <x v="0"/>
    <s v="SPXW"/>
    <x v="2"/>
    <x v="231"/>
    <s v="p"/>
    <n v="0"/>
    <n v="0"/>
    <n v="0"/>
    <n v="0"/>
    <n v="0"/>
    <n v="5"/>
    <n v="134.80000000000001"/>
    <n v="5"/>
    <n v="142"/>
    <n v="0"/>
    <n v="0"/>
    <n v="0"/>
    <n v="0"/>
    <n v="0.1265"/>
    <n v="-0.97760000000000002"/>
    <n v="8.0000000000000004E-4"/>
    <n v="-0.49740000000000001"/>
    <n v="0.32400000000000001"/>
    <n v="-0.39800000000000002"/>
    <n v="6"/>
    <n v="137"/>
    <n v="6"/>
    <n v="143.30000000000001"/>
    <n v="0"/>
    <n v="0"/>
    <n v="0"/>
    <n v="3"/>
    <n v="0"/>
  </r>
  <r>
    <x v="0"/>
    <x v="0"/>
    <s v="SPXW"/>
    <x v="2"/>
    <x v="232"/>
    <s v="p"/>
    <n v="120.49"/>
    <n v="120.49"/>
    <n v="120.49"/>
    <n v="120.49"/>
    <n v="2"/>
    <n v="5"/>
    <n v="139.69999999999999"/>
    <n v="5"/>
    <n v="147.19999999999999"/>
    <n v="0"/>
    <n v="0"/>
    <n v="0"/>
    <n v="0"/>
    <n v="0.1321"/>
    <n v="-0.97670000000000001"/>
    <n v="8.0000000000000004E-4"/>
    <n v="-0.54420000000000002"/>
    <n v="0.33260000000000001"/>
    <n v="-0.39810000000000001"/>
    <n v="6"/>
    <n v="141"/>
    <n v="6"/>
    <n v="148.6"/>
    <n v="0"/>
    <n v="0"/>
    <n v="120.49"/>
    <n v="4"/>
    <n v="0"/>
  </r>
  <r>
    <x v="0"/>
    <x v="0"/>
    <s v="SPXW"/>
    <x v="2"/>
    <x v="233"/>
    <s v="p"/>
    <n v="124.35"/>
    <n v="154.22"/>
    <n v="113.95"/>
    <n v="148.06"/>
    <n v="5"/>
    <n v="5"/>
    <n v="144.69999999999999"/>
    <n v="5"/>
    <n v="152.1"/>
    <n v="0"/>
    <n v="0"/>
    <n v="0"/>
    <n v="0"/>
    <n v="0.13420000000000001"/>
    <n v="-0.97870000000000001"/>
    <n v="6.9999999999999999E-4"/>
    <n v="-0.49969999999999998"/>
    <n v="0.30919999999999997"/>
    <n v="-0.3992"/>
    <n v="6"/>
    <n v="145.9"/>
    <n v="6"/>
    <n v="153.6"/>
    <n v="0"/>
    <n v="0"/>
    <n v="134.00399999999999"/>
    <n v="7"/>
    <n v="0"/>
  </r>
  <r>
    <x v="0"/>
    <x v="0"/>
    <s v="SPXW"/>
    <x v="2"/>
    <x v="234"/>
    <s v="p"/>
    <n v="130.09"/>
    <n v="159.16999999999999"/>
    <n v="130.09"/>
    <n v="159.16999999999999"/>
    <n v="2"/>
    <n v="5"/>
    <n v="149.69999999999999"/>
    <n v="5"/>
    <n v="157.1"/>
    <n v="0"/>
    <n v="0"/>
    <n v="0"/>
    <n v="0"/>
    <n v="0.13800000000000001"/>
    <n v="-0.97909999999999997"/>
    <n v="6.9999999999999999E-4"/>
    <n v="-0.50080000000000002"/>
    <n v="0.3024"/>
    <n v="-0.3997"/>
    <n v="3"/>
    <n v="148.19999999999999"/>
    <n v="1"/>
    <n v="162.9"/>
    <n v="0"/>
    <n v="0"/>
    <n v="144.63"/>
    <n v="0"/>
    <n v="0"/>
  </r>
  <r>
    <x v="0"/>
    <x v="0"/>
    <s v="SPXW"/>
    <x v="2"/>
    <x v="235"/>
    <s v="p"/>
    <n v="0"/>
    <n v="0"/>
    <n v="0"/>
    <n v="0"/>
    <n v="0"/>
    <n v="5"/>
    <n v="154.69999999999999"/>
    <n v="5"/>
    <n v="162.1"/>
    <n v="0"/>
    <n v="0"/>
    <n v="0"/>
    <n v="0"/>
    <n v="0.14180000000000001"/>
    <n v="-0.97960000000000003"/>
    <n v="5.9999999999999995E-4"/>
    <n v="-0.50190000000000001"/>
    <n v="0.29609999999999997"/>
    <n v="-0.40029999999999999"/>
    <n v="2"/>
    <n v="153.19999999999999"/>
    <n v="1"/>
    <n v="169.1"/>
    <n v="0"/>
    <n v="0"/>
    <n v="0"/>
    <n v="0"/>
    <n v="0"/>
  </r>
  <r>
    <x v="0"/>
    <x v="0"/>
    <s v="SPXW"/>
    <x v="2"/>
    <x v="236"/>
    <s v="p"/>
    <n v="0"/>
    <n v="0"/>
    <n v="0"/>
    <n v="0"/>
    <n v="0"/>
    <n v="5"/>
    <n v="159.6"/>
    <n v="5"/>
    <n v="167.1"/>
    <n v="0"/>
    <n v="0"/>
    <n v="0"/>
    <n v="0"/>
    <n v="0.14360000000000001"/>
    <n v="-0.98140000000000005"/>
    <n v="5.9999999999999995E-4"/>
    <n v="-0.45679999999999998"/>
    <n v="0.2742"/>
    <n v="-0.40139999999999998"/>
    <n v="2"/>
    <n v="158.19999999999999"/>
    <n v="1"/>
    <n v="172.7"/>
    <n v="0"/>
    <n v="0"/>
    <n v="0"/>
    <n v="0"/>
    <n v="0"/>
  </r>
  <r>
    <x v="0"/>
    <x v="0"/>
    <s v="SPXW"/>
    <x v="2"/>
    <x v="237"/>
    <s v="p"/>
    <n v="166.47"/>
    <n v="166.47"/>
    <n v="166.47"/>
    <n v="166.47"/>
    <n v="1"/>
    <n v="5"/>
    <n v="164.6"/>
    <n v="5"/>
    <n v="171.9"/>
    <n v="0"/>
    <n v="0"/>
    <n v="0"/>
    <n v="0"/>
    <n v="0.14269999999999999"/>
    <n v="-0.98460000000000003"/>
    <n v="5.0000000000000001E-4"/>
    <n v="-0.36430000000000001"/>
    <n v="0.2354"/>
    <n v="-0.40300000000000002"/>
    <n v="3"/>
    <n v="163.1"/>
    <n v="1"/>
    <n v="177.8"/>
    <n v="0"/>
    <n v="0"/>
    <n v="166.47"/>
    <n v="1"/>
    <n v="0"/>
  </r>
  <r>
    <x v="0"/>
    <x v="0"/>
    <s v="SPXW"/>
    <x v="2"/>
    <x v="238"/>
    <s v="p"/>
    <n v="172.97"/>
    <n v="172.97"/>
    <n v="172.97"/>
    <n v="172.97"/>
    <n v="1"/>
    <n v="5"/>
    <n v="169.6"/>
    <n v="5"/>
    <n v="177.1"/>
    <n v="0"/>
    <n v="0"/>
    <n v="0"/>
    <n v="0"/>
    <n v="0.15110000000000001"/>
    <n v="-0.98219999999999996"/>
    <n v="5.0000000000000001E-4"/>
    <n v="-0.4587"/>
    <n v="0.26350000000000001"/>
    <n v="-0.40239999999999998"/>
    <n v="3"/>
    <n v="168.1"/>
    <n v="3"/>
    <n v="184.1"/>
    <n v="0"/>
    <n v="0"/>
    <n v="172.97"/>
    <n v="0"/>
    <n v="0"/>
  </r>
  <r>
    <x v="0"/>
    <x v="0"/>
    <s v="SPXW"/>
    <x v="2"/>
    <x v="239"/>
    <s v="p"/>
    <n v="0"/>
    <n v="0"/>
    <n v="0"/>
    <n v="0"/>
    <n v="0"/>
    <n v="5"/>
    <n v="174.6"/>
    <n v="5"/>
    <n v="181.9"/>
    <n v="0"/>
    <n v="0"/>
    <n v="0"/>
    <n v="0"/>
    <n v="0.15010000000000001"/>
    <n v="-0.98519999999999996"/>
    <n v="5.0000000000000001E-4"/>
    <n v="-0.36599999999999999"/>
    <n v="0.2263"/>
    <n v="-0.40400000000000003"/>
    <n v="3"/>
    <n v="173.1"/>
    <n v="1"/>
    <n v="187.8"/>
    <n v="0"/>
    <n v="0"/>
    <n v="0"/>
    <n v="0"/>
    <n v="0"/>
  </r>
  <r>
    <x v="0"/>
    <x v="0"/>
    <s v="SPXW"/>
    <x v="2"/>
    <x v="240"/>
    <s v="p"/>
    <n v="0"/>
    <n v="0"/>
    <n v="0"/>
    <n v="0"/>
    <n v="0"/>
    <n v="5"/>
    <n v="179.6"/>
    <n v="5"/>
    <n v="187.2"/>
    <n v="0"/>
    <n v="0"/>
    <n v="0"/>
    <n v="0"/>
    <n v="0.16070000000000001"/>
    <n v="-0.98150000000000004"/>
    <n v="5.0000000000000001E-4"/>
    <n v="-0.50700000000000001"/>
    <n v="0.26850000000000002"/>
    <n v="-0.40289999999999998"/>
    <n v="3"/>
    <n v="178.1"/>
    <n v="1"/>
    <n v="192.7"/>
    <n v="0"/>
    <n v="0"/>
    <n v="0"/>
    <n v="0"/>
    <n v="0"/>
  </r>
  <r>
    <x v="0"/>
    <x v="0"/>
    <s v="SPXW"/>
    <x v="2"/>
    <x v="241"/>
    <s v="p"/>
    <n v="0"/>
    <n v="0"/>
    <n v="0"/>
    <n v="0"/>
    <n v="0"/>
    <n v="5"/>
    <n v="184.6"/>
    <n v="5"/>
    <n v="191.9"/>
    <n v="0"/>
    <n v="0"/>
    <n v="0"/>
    <n v="0"/>
    <n v="0.1573"/>
    <n v="-0.98580000000000001"/>
    <n v="4.0000000000000002E-4"/>
    <n v="-0.36749999999999999"/>
    <n v="0.21820000000000001"/>
    <n v="-0.40500000000000003"/>
    <n v="3"/>
    <n v="183.1"/>
    <n v="1"/>
    <n v="197.8"/>
    <n v="0"/>
    <n v="0"/>
    <n v="0"/>
    <n v="0"/>
    <n v="0"/>
  </r>
  <r>
    <x v="0"/>
    <x v="0"/>
    <s v="SPXW"/>
    <x v="2"/>
    <x v="242"/>
    <s v="p"/>
    <n v="0"/>
    <n v="0"/>
    <n v="0"/>
    <n v="0"/>
    <n v="0"/>
    <n v="5"/>
    <n v="189.6"/>
    <n v="5"/>
    <n v="196.9"/>
    <n v="0"/>
    <n v="0"/>
    <n v="0"/>
    <n v="0"/>
    <n v="0.16089999999999999"/>
    <n v="-0.98599999999999999"/>
    <n v="4.0000000000000002E-4"/>
    <n v="-0.36830000000000002"/>
    <n v="0.21429999999999999"/>
    <n v="-0.40539999999999998"/>
    <n v="3"/>
    <n v="188.1"/>
    <n v="1"/>
    <n v="202.7"/>
    <n v="0"/>
    <n v="0"/>
    <n v="0"/>
    <n v="0"/>
    <n v="0"/>
  </r>
  <r>
    <x v="0"/>
    <x v="0"/>
    <s v="SPXW"/>
    <x v="2"/>
    <x v="243"/>
    <s v="p"/>
    <n v="0"/>
    <n v="0"/>
    <n v="0"/>
    <n v="0"/>
    <n v="0"/>
    <n v="5"/>
    <n v="194.6"/>
    <n v="5"/>
    <n v="202.1"/>
    <n v="0"/>
    <n v="0"/>
    <n v="0"/>
    <n v="0"/>
    <n v="0.1696"/>
    <n v="-0.98370000000000002"/>
    <n v="4.0000000000000002E-4"/>
    <n v="-0.46310000000000001"/>
    <n v="0.24099999999999999"/>
    <n v="-0.40489999999999998"/>
    <n v="3"/>
    <n v="193.1"/>
    <n v="3"/>
    <n v="209.1"/>
    <n v="0"/>
    <n v="0"/>
    <n v="0"/>
    <n v="0"/>
    <n v="0"/>
  </r>
  <r>
    <x v="0"/>
    <x v="0"/>
    <s v="SPXW"/>
    <x v="2"/>
    <x v="244"/>
    <s v="p"/>
    <n v="0"/>
    <n v="0"/>
    <n v="0"/>
    <n v="0"/>
    <n v="0"/>
    <n v="1"/>
    <n v="196.1"/>
    <n v="2"/>
    <n v="209.3"/>
    <n v="0"/>
    <n v="0"/>
    <n v="0"/>
    <n v="0"/>
    <n v="0.27560000000000001"/>
    <n v="-0.91039999999999999"/>
    <n v="1.1000000000000001E-3"/>
    <n v="-4.8323999999999998"/>
    <n v="0.88429999999999997"/>
    <n v="-0.37719999999999998"/>
    <n v="3"/>
    <n v="198.1"/>
    <n v="1"/>
    <n v="212.7"/>
    <n v="0"/>
    <n v="0"/>
    <n v="0"/>
    <n v="0"/>
    <n v="0"/>
  </r>
  <r>
    <x v="0"/>
    <x v="0"/>
    <s v="SPXW"/>
    <x v="2"/>
    <x v="245"/>
    <s v="p"/>
    <n v="0"/>
    <n v="0"/>
    <n v="0"/>
    <n v="0"/>
    <n v="0"/>
    <n v="1"/>
    <n v="201.1"/>
    <n v="1"/>
    <n v="215.6"/>
    <n v="0"/>
    <n v="0"/>
    <n v="0"/>
    <n v="0"/>
    <n v="0.18709999999999999"/>
    <n v="-0.97889999999999999"/>
    <n v="5.0000000000000001E-4"/>
    <n v="-0.68740000000000001"/>
    <n v="0.2944"/>
    <n v="-0.40379999999999999"/>
    <n v="3"/>
    <n v="200.2"/>
    <n v="1"/>
    <n v="217.7"/>
    <n v="0"/>
    <n v="0"/>
    <n v="0"/>
    <n v="0"/>
    <n v="0"/>
  </r>
  <r>
    <x v="0"/>
    <x v="0"/>
    <s v="SPXW"/>
    <x v="2"/>
    <x v="246"/>
    <s v="p"/>
    <n v="0"/>
    <n v="0"/>
    <n v="0"/>
    <n v="0"/>
    <n v="0"/>
    <n v="1"/>
    <n v="206.1"/>
    <n v="1"/>
    <n v="220.5"/>
    <n v="0"/>
    <n v="0"/>
    <n v="0"/>
    <n v="0"/>
    <n v="0.18970000000000001"/>
    <n v="-0.97989999999999999"/>
    <n v="5.0000000000000001E-4"/>
    <n v="-0.66080000000000005"/>
    <n v="0.28289999999999998"/>
    <n v="-0.40450000000000003"/>
    <n v="3"/>
    <n v="204.1"/>
    <n v="1"/>
    <n v="223.6"/>
    <n v="0"/>
    <n v="0"/>
    <n v="0"/>
    <n v="0"/>
    <n v="0"/>
  </r>
  <r>
    <x v="0"/>
    <x v="0"/>
    <s v="SPXW"/>
    <x v="2"/>
    <x v="247"/>
    <s v="p"/>
    <n v="0"/>
    <n v="0"/>
    <n v="0"/>
    <n v="0"/>
    <n v="0"/>
    <n v="1"/>
    <n v="208.7"/>
    <n v="1"/>
    <n v="227.4"/>
    <n v="0"/>
    <n v="0"/>
    <n v="0"/>
    <n v="0"/>
    <n v="0.185"/>
    <n v="-0.98429999999999995"/>
    <n v="4.0000000000000002E-4"/>
    <n v="-0.48509999999999998"/>
    <n v="0.23180000000000001"/>
    <n v="-0.40660000000000002"/>
    <n v="3"/>
    <n v="209.1"/>
    <n v="1"/>
    <n v="228.6"/>
    <n v="0"/>
    <n v="0"/>
    <n v="0"/>
    <n v="0"/>
    <n v="0"/>
  </r>
  <r>
    <x v="0"/>
    <x v="0"/>
    <s v="SPXW"/>
    <x v="2"/>
    <x v="248"/>
    <s v="p"/>
    <n v="0"/>
    <n v="0"/>
    <n v="0"/>
    <n v="0"/>
    <n v="0"/>
    <n v="1"/>
    <n v="212.5"/>
    <n v="1"/>
    <n v="231.7"/>
    <n v="0"/>
    <n v="0"/>
    <n v="0"/>
    <n v="0"/>
    <n v="0.32369999999999999"/>
    <n v="-0.89449999999999996"/>
    <n v="1.1000000000000001E-3"/>
    <n v="-6.6841999999999997"/>
    <n v="0.99060000000000004"/>
    <n v="-0.37259999999999999"/>
    <n v="1"/>
    <n v="215"/>
    <n v="3"/>
    <n v="238.1"/>
    <n v="0"/>
    <n v="0"/>
    <n v="0"/>
    <n v="0"/>
    <n v="0"/>
  </r>
  <r>
    <x v="0"/>
    <x v="0"/>
    <s v="SPXW"/>
    <x v="2"/>
    <x v="249"/>
    <s v="p"/>
    <n v="0"/>
    <n v="0"/>
    <n v="0"/>
    <n v="0"/>
    <n v="0"/>
    <n v="1"/>
    <n v="217.9"/>
    <n v="2"/>
    <n v="238.2"/>
    <n v="0"/>
    <n v="0"/>
    <n v="0"/>
    <n v="0"/>
    <n v="0.1923"/>
    <n v="-0.98470000000000002"/>
    <n v="4.0000000000000002E-4"/>
    <n v="-0.48680000000000001"/>
    <n v="0.22509999999999999"/>
    <n v="-0.40749999999999997"/>
    <n v="3"/>
    <n v="219.1"/>
    <n v="1"/>
    <n v="238.6"/>
    <n v="0"/>
    <n v="0"/>
    <n v="0"/>
    <n v="0"/>
    <n v="0"/>
  </r>
  <r>
    <x v="0"/>
    <x v="0"/>
    <s v="SPXW"/>
    <x v="2"/>
    <x v="250"/>
    <s v="p"/>
    <n v="0"/>
    <n v="0"/>
    <n v="0"/>
    <n v="0"/>
    <n v="0"/>
    <n v="1"/>
    <n v="222.5"/>
    <n v="1"/>
    <n v="242.7"/>
    <n v="0"/>
    <n v="0"/>
    <n v="0"/>
    <n v="0"/>
    <n v="0.34429999999999999"/>
    <n v="-0.89"/>
    <n v="1E-3"/>
    <n v="-7.4046000000000003"/>
    <n v="1.0188999999999999"/>
    <n v="-0.37169999999999997"/>
    <n v="2"/>
    <n v="224.1"/>
    <n v="1"/>
    <n v="242.7"/>
    <n v="0"/>
    <n v="0"/>
    <n v="0"/>
    <n v="0"/>
    <n v="0"/>
  </r>
  <r>
    <x v="0"/>
    <x v="0"/>
    <s v="SPXW"/>
    <x v="2"/>
    <x v="251"/>
    <s v="p"/>
    <n v="0"/>
    <n v="0"/>
    <n v="0"/>
    <n v="0"/>
    <n v="0"/>
    <n v="1"/>
    <n v="227.5"/>
    <n v="1"/>
    <n v="247.7"/>
    <n v="0"/>
    <n v="0"/>
    <n v="0"/>
    <n v="0"/>
    <n v="0.16059999999999999"/>
    <n v="-0.99660000000000004"/>
    <n v="1E-4"/>
    <n v="-5.5199999999999999E-2"/>
    <n v="6.5000000000000002E-2"/>
    <n v="-0.4128"/>
    <n v="2"/>
    <n v="229.1"/>
    <n v="1"/>
    <n v="247.7"/>
    <n v="0"/>
    <n v="0"/>
    <n v="0"/>
    <n v="0"/>
    <n v="0"/>
  </r>
  <r>
    <x v="0"/>
    <x v="0"/>
    <s v="SPXW"/>
    <x v="2"/>
    <x v="252"/>
    <s v="p"/>
    <n v="0"/>
    <n v="0"/>
    <n v="0"/>
    <n v="0"/>
    <n v="0"/>
    <n v="1"/>
    <n v="232.5"/>
    <n v="1"/>
    <n v="252.2"/>
    <n v="0"/>
    <n v="0"/>
    <n v="0"/>
    <n v="0"/>
    <n v="0.35070000000000001"/>
    <n v="-0.89510000000000001"/>
    <n v="1E-3"/>
    <n v="-7.1961000000000004"/>
    <n v="0.98440000000000005"/>
    <n v="-0.37440000000000001"/>
    <n v="1"/>
    <n v="235.4"/>
    <n v="2"/>
    <n v="258.10000000000002"/>
    <n v="0"/>
    <n v="0"/>
    <n v="0"/>
    <n v="0"/>
    <n v="0"/>
  </r>
  <r>
    <x v="0"/>
    <x v="0"/>
    <s v="SPXW"/>
    <x v="2"/>
    <x v="253"/>
    <s v="p"/>
    <n v="0"/>
    <n v="0"/>
    <n v="0"/>
    <n v="0"/>
    <n v="0"/>
    <n v="1"/>
    <n v="237.5"/>
    <n v="1"/>
    <n v="256.7"/>
    <n v="0"/>
    <n v="0"/>
    <n v="0"/>
    <n v="0"/>
    <n v="0.35599999999999998"/>
    <n v="-0.89580000000000004"/>
    <n v="8.9999999999999998E-4"/>
    <n v="-7.2591000000000001"/>
    <n v="0.97889999999999999"/>
    <n v="-0.37469999999999998"/>
    <n v="1"/>
    <n v="240"/>
    <n v="1"/>
    <n v="263"/>
    <n v="0"/>
    <n v="0"/>
    <n v="0"/>
    <n v="0"/>
    <n v="0"/>
  </r>
  <r>
    <x v="0"/>
    <x v="0"/>
    <s v="SPXW"/>
    <x v="2"/>
    <x v="254"/>
    <s v="p"/>
    <n v="0"/>
    <n v="0"/>
    <n v="0"/>
    <n v="0"/>
    <n v="0"/>
    <n v="1"/>
    <n v="247.5"/>
    <n v="1"/>
    <n v="267.5"/>
    <n v="0"/>
    <n v="0"/>
    <n v="0"/>
    <n v="0"/>
    <n v="0.37459999999999999"/>
    <n v="-0.89290000000000003"/>
    <n v="8.9999999999999998E-4"/>
    <n v="-7.8468999999999998"/>
    <n v="0.99739999999999995"/>
    <n v="-0.37440000000000001"/>
    <n v="3"/>
    <n v="249"/>
    <n v="1"/>
    <n v="267.7"/>
    <n v="0"/>
    <n v="0"/>
    <n v="0"/>
    <n v="0"/>
    <n v="0"/>
  </r>
  <r>
    <x v="0"/>
    <x v="0"/>
    <s v="SPXW"/>
    <x v="2"/>
    <x v="255"/>
    <s v="p"/>
    <n v="0"/>
    <n v="0"/>
    <n v="0"/>
    <n v="0"/>
    <n v="0"/>
    <n v="1"/>
    <n v="257.10000000000002"/>
    <n v="1"/>
    <n v="276.10000000000002"/>
    <n v="0"/>
    <n v="0"/>
    <n v="0"/>
    <n v="0"/>
    <n v="0.36549999999999999"/>
    <n v="-0.90739999999999998"/>
    <n v="8.0000000000000004E-4"/>
    <n v="-6.6166999999999998"/>
    <n v="0.89810000000000001"/>
    <n v="-0.38080000000000003"/>
    <n v="1"/>
    <n v="259.3"/>
    <n v="3"/>
    <n v="283"/>
    <n v="0"/>
    <n v="0"/>
    <n v="0"/>
    <n v="6"/>
    <n v="0"/>
  </r>
  <r>
    <x v="0"/>
    <x v="0"/>
    <s v="SPXW"/>
    <x v="2"/>
    <x v="256"/>
    <s v="p"/>
    <n v="0"/>
    <n v="0"/>
    <n v="0"/>
    <n v="0"/>
    <n v="0"/>
    <n v="1"/>
    <n v="262.39999999999998"/>
    <n v="1"/>
    <n v="282.39999999999998"/>
    <n v="0"/>
    <n v="0"/>
    <n v="0"/>
    <n v="0"/>
    <n v="0.38900000000000001"/>
    <n v="-0.89700000000000002"/>
    <n v="8.9999999999999998E-4"/>
    <n v="-7.8395000000000001"/>
    <n v="0.96919999999999995"/>
    <n v="-0.37709999999999999"/>
    <n v="3"/>
    <n v="264"/>
    <n v="1"/>
    <n v="282.8"/>
    <n v="0"/>
    <n v="0"/>
    <n v="0"/>
    <n v="0"/>
    <n v="0"/>
  </r>
  <r>
    <x v="0"/>
    <x v="0"/>
    <s v="SPXW"/>
    <x v="2"/>
    <x v="257"/>
    <s v="p"/>
    <n v="0"/>
    <n v="0"/>
    <n v="0"/>
    <n v="0"/>
    <n v="0"/>
    <n v="1"/>
    <n v="267.39999999999998"/>
    <n v="1"/>
    <n v="287.39999999999998"/>
    <n v="0"/>
    <n v="0"/>
    <n v="0"/>
    <n v="0"/>
    <n v="0.39410000000000001"/>
    <n v="-0.89800000000000002"/>
    <n v="8.0000000000000004E-4"/>
    <n v="-7.8587999999999996"/>
    <n v="0.96160000000000001"/>
    <n v="-0.37790000000000001"/>
    <n v="3"/>
    <n v="269"/>
    <n v="1"/>
    <n v="287.7"/>
    <n v="0"/>
    <n v="0"/>
    <n v="0"/>
    <n v="0"/>
    <n v="0"/>
  </r>
  <r>
    <x v="0"/>
    <x v="0"/>
    <s v="SPXW"/>
    <x v="2"/>
    <x v="258"/>
    <s v="p"/>
    <n v="0"/>
    <n v="0"/>
    <n v="0"/>
    <n v="0"/>
    <n v="0"/>
    <n v="1"/>
    <n v="277.7"/>
    <n v="1"/>
    <n v="297.7"/>
    <n v="0"/>
    <n v="0"/>
    <n v="0"/>
    <n v="0"/>
    <n v="0.2077"/>
    <n v="-0.99419999999999997"/>
    <n v="2.0000000000000001E-4"/>
    <n v="-0.15909999999999999"/>
    <n v="9.8699999999999996E-2"/>
    <n v="-0.41560000000000002"/>
    <n v="1"/>
    <n v="279.5"/>
    <n v="1"/>
    <n v="297.7"/>
    <n v="0"/>
    <n v="0"/>
    <n v="0"/>
    <n v="0"/>
    <n v="0"/>
  </r>
  <r>
    <x v="0"/>
    <x v="0"/>
    <s v="SPXW"/>
    <x v="2"/>
    <x v="259"/>
    <s v="p"/>
    <n v="0"/>
    <n v="0"/>
    <n v="0"/>
    <n v="0"/>
    <n v="0"/>
    <n v="1"/>
    <n v="287.39999999999998"/>
    <n v="1"/>
    <n v="305.7"/>
    <n v="0"/>
    <n v="0"/>
    <n v="0"/>
    <n v="0"/>
    <n v="0.38850000000000001"/>
    <n v="-0.91669999999999996"/>
    <n v="6.9999999999999999E-4"/>
    <n v="-6.3070000000000004"/>
    <n v="0.83069999999999999"/>
    <n v="-0.38690000000000002"/>
    <n v="3"/>
    <n v="289"/>
    <n v="1"/>
    <n v="312.3"/>
    <n v="0"/>
    <n v="0"/>
    <n v="0"/>
    <n v="6"/>
    <n v="0"/>
  </r>
  <r>
    <x v="0"/>
    <x v="0"/>
    <s v="SPXW"/>
    <x v="2"/>
    <x v="260"/>
    <s v="p"/>
    <n v="0"/>
    <n v="0"/>
    <n v="0"/>
    <n v="0"/>
    <n v="0"/>
    <n v="1"/>
    <n v="297.39999999999998"/>
    <n v="1"/>
    <n v="317.60000000000002"/>
    <n v="0"/>
    <n v="0"/>
    <n v="0"/>
    <n v="0"/>
    <n v="0.41699999999999998"/>
    <n v="-0.90849999999999997"/>
    <n v="6.9999999999999999E-4"/>
    <n v="-7.4508999999999999"/>
    <n v="0.88790000000000002"/>
    <n v="-0.38429999999999997"/>
    <n v="2"/>
    <n v="299"/>
    <n v="1"/>
    <n v="317.60000000000002"/>
    <n v="0"/>
    <n v="0"/>
    <n v="0"/>
    <n v="0"/>
    <n v="0"/>
  </r>
  <r>
    <x v="0"/>
    <x v="0"/>
    <s v="SPXW"/>
    <x v="2"/>
    <x v="261"/>
    <s v="p"/>
    <n v="0"/>
    <n v="0"/>
    <n v="0"/>
    <n v="0"/>
    <n v="0"/>
    <n v="1"/>
    <n v="307.39999999999998"/>
    <n v="1"/>
    <n v="327.10000000000002"/>
    <n v="0"/>
    <n v="0"/>
    <n v="0"/>
    <n v="0"/>
    <n v="0.4209"/>
    <n v="-0.9133"/>
    <n v="6.9999999999999999E-4"/>
    <n v="-7.1182999999999996"/>
    <n v="0.85370000000000001"/>
    <n v="-0.38690000000000002"/>
    <n v="1"/>
    <n v="310.39999999999998"/>
    <n v="1"/>
    <n v="332.3"/>
    <n v="0"/>
    <n v="0"/>
    <n v="0"/>
    <n v="0"/>
    <n v="0"/>
  </r>
  <r>
    <x v="0"/>
    <x v="0"/>
    <s v="SPXW"/>
    <x v="2"/>
    <x v="262"/>
    <s v="p"/>
    <n v="325.86"/>
    <n v="325.86"/>
    <n v="325.86"/>
    <n v="325.86"/>
    <n v="1"/>
    <n v="1"/>
    <n v="312.39999999999998"/>
    <n v="1"/>
    <n v="332.4"/>
    <n v="0"/>
    <n v="0"/>
    <n v="0"/>
    <n v="0"/>
    <n v="0.43919999999999998"/>
    <n v="-0.90649999999999997"/>
    <n v="6.9999999999999999E-4"/>
    <n v="-8.0140999999999991"/>
    <n v="0.90049999999999997"/>
    <n v="-0.3846"/>
    <n v="3"/>
    <n v="314"/>
    <n v="1"/>
    <n v="332.8"/>
    <n v="0"/>
    <n v="0"/>
    <n v="325.86"/>
    <n v="0"/>
    <n v="0"/>
  </r>
  <r>
    <x v="0"/>
    <x v="0"/>
    <s v="SPXW"/>
    <x v="2"/>
    <x v="263"/>
    <s v="p"/>
    <n v="0"/>
    <n v="0"/>
    <n v="0"/>
    <n v="0"/>
    <n v="0"/>
    <n v="1"/>
    <n v="337.4"/>
    <n v="1"/>
    <n v="356.6"/>
    <n v="0"/>
    <n v="0"/>
    <n v="0"/>
    <n v="0"/>
    <n v="0.45119999999999999"/>
    <n v="-0.91669999999999996"/>
    <n v="5.9999999999999995E-4"/>
    <n v="-7.3158000000000003"/>
    <n v="0.82730000000000004"/>
    <n v="-0.39040000000000002"/>
    <n v="1"/>
    <n v="340"/>
    <n v="1"/>
    <n v="362.1"/>
    <n v="0"/>
    <n v="0"/>
    <n v="0"/>
    <n v="0"/>
    <n v="0"/>
  </r>
  <r>
    <x v="0"/>
    <x v="0"/>
    <s v="SPXW"/>
    <x v="2"/>
    <x v="264"/>
    <s v="p"/>
    <n v="0"/>
    <n v="0"/>
    <n v="0"/>
    <n v="0"/>
    <n v="0"/>
    <n v="1"/>
    <n v="362.5"/>
    <n v="1"/>
    <n v="381.8"/>
    <n v="0"/>
    <n v="0"/>
    <n v="0"/>
    <n v="0"/>
    <n v="0.48039999999999999"/>
    <n v="-0.91749999999999998"/>
    <n v="5.9999999999999995E-4"/>
    <n v="-7.7156000000000002"/>
    <n v="0.82079999999999997"/>
    <n v="-0.3926"/>
    <n v="1"/>
    <n v="365"/>
    <n v="3"/>
    <n v="388"/>
    <n v="0"/>
    <n v="0"/>
    <n v="0"/>
    <n v="0"/>
    <n v="0"/>
  </r>
  <r>
    <x v="0"/>
    <x v="0"/>
    <s v="SPXW"/>
    <x v="2"/>
    <x v="265"/>
    <s v="p"/>
    <n v="0"/>
    <n v="0"/>
    <n v="0"/>
    <n v="0"/>
    <n v="0"/>
    <n v="2"/>
    <n v="388.1"/>
    <n v="2"/>
    <n v="408.2"/>
    <n v="0"/>
    <n v="0"/>
    <n v="0"/>
    <n v="0"/>
    <n v="0.318"/>
    <n v="-0.98799999999999999"/>
    <n v="2.0000000000000001E-4"/>
    <n v="-0.60650000000000004"/>
    <n v="0.17560000000000001"/>
    <n v="-0.4214"/>
    <n v="1"/>
    <n v="389.4"/>
    <n v="1"/>
    <n v="412.1"/>
    <n v="0"/>
    <n v="0"/>
    <n v="0"/>
    <n v="0"/>
    <n v="0"/>
  </r>
  <r>
    <x v="0"/>
    <x v="0"/>
    <s v="SPXW"/>
    <x v="2"/>
    <x v="266"/>
    <s v="p"/>
    <n v="0"/>
    <n v="0"/>
    <n v="0"/>
    <n v="0"/>
    <n v="0"/>
    <n v="1"/>
    <n v="412.4"/>
    <n v="1"/>
    <n v="431.7"/>
    <n v="0"/>
    <n v="0"/>
    <n v="0"/>
    <n v="0"/>
    <n v="0.52600000000000002"/>
    <n v="-0.92400000000000004"/>
    <n v="5.0000000000000001E-4"/>
    <n v="-7.75"/>
    <n v="0.76970000000000005"/>
    <n v="-0.39889999999999998"/>
    <n v="1"/>
    <n v="415"/>
    <n v="3"/>
    <n v="438"/>
    <n v="0"/>
    <n v="0"/>
    <n v="0"/>
    <n v="0"/>
    <n v="0"/>
  </r>
  <r>
    <x v="0"/>
    <x v="0"/>
    <s v="SPXW"/>
    <x v="2"/>
    <x v="267"/>
    <s v="p"/>
    <n v="0"/>
    <n v="0"/>
    <n v="0"/>
    <n v="0"/>
    <n v="0"/>
    <n v="1"/>
    <n v="437.2"/>
    <n v="1"/>
    <n v="457.7"/>
    <n v="0"/>
    <n v="0"/>
    <n v="0"/>
    <n v="0"/>
    <n v="0.56220000000000003"/>
    <n v="-0.92149999999999999"/>
    <n v="5.0000000000000001E-4"/>
    <n v="-8.5550999999999995"/>
    <n v="0.78759999999999997"/>
    <n v="-0.39989999999999998"/>
    <n v="1"/>
    <n v="439.4"/>
    <n v="1"/>
    <n v="457.7"/>
    <n v="0"/>
    <n v="0"/>
    <n v="0"/>
    <n v="0"/>
    <n v="0"/>
  </r>
  <r>
    <x v="0"/>
    <x v="0"/>
    <s v="SPXW"/>
    <x v="2"/>
    <x v="268"/>
    <s v="p"/>
    <n v="0"/>
    <n v="0"/>
    <n v="0"/>
    <n v="0"/>
    <n v="0"/>
    <n v="1"/>
    <n v="462.4"/>
    <n v="1"/>
    <n v="482.4"/>
    <n v="0"/>
    <n v="0"/>
    <n v="0"/>
    <n v="0"/>
    <n v="0.58120000000000005"/>
    <n v="-0.92549999999999999"/>
    <n v="5.0000000000000001E-4"/>
    <n v="-8.3783999999999992"/>
    <n v="0.75639999999999996"/>
    <n v="-0.40329999999999999"/>
    <n v="3"/>
    <n v="464"/>
    <n v="1"/>
    <n v="483.6"/>
    <n v="0"/>
    <n v="0"/>
    <n v="0"/>
    <n v="0"/>
    <n v="0"/>
  </r>
  <r>
    <x v="0"/>
    <x v="0"/>
    <s v="SPXW"/>
    <x v="2"/>
    <x v="269"/>
    <s v="p"/>
    <n v="0"/>
    <n v="0"/>
    <n v="0"/>
    <n v="0"/>
    <n v="0"/>
    <n v="1"/>
    <n v="488.3"/>
    <n v="1"/>
    <n v="506.6"/>
    <n v="0"/>
    <n v="0"/>
    <n v="0"/>
    <n v="0"/>
    <n v="0.5847"/>
    <n v="-0.9345"/>
    <n v="4.0000000000000002E-4"/>
    <n v="-7.3659999999999997"/>
    <n v="0.68610000000000004"/>
    <n v="-0.40889999999999999"/>
    <n v="1"/>
    <n v="489.9"/>
    <n v="3"/>
    <n v="513"/>
    <n v="0"/>
    <n v="0"/>
    <n v="0"/>
    <n v="0"/>
    <n v="0"/>
  </r>
  <r>
    <x v="0"/>
    <x v="0"/>
    <s v="SPXW"/>
    <x v="2"/>
    <x v="270"/>
    <s v="p"/>
    <n v="0"/>
    <n v="0"/>
    <n v="0"/>
    <n v="0"/>
    <n v="0"/>
    <n v="1"/>
    <n v="512.5"/>
    <n v="1"/>
    <n v="532.1"/>
    <n v="0"/>
    <n v="0"/>
    <n v="0"/>
    <n v="0"/>
    <n v="0.61419999999999997"/>
    <n v="-0.93400000000000005"/>
    <n v="4.0000000000000002E-4"/>
    <n v="-7.7942"/>
    <n v="0.68940000000000001"/>
    <n v="-0.41060000000000002"/>
    <n v="1"/>
    <n v="515.29999999999995"/>
    <n v="2"/>
    <n v="537.9"/>
    <n v="0"/>
    <n v="0"/>
    <n v="0"/>
    <n v="0"/>
    <n v="0"/>
  </r>
  <r>
    <x v="0"/>
    <x v="0"/>
    <s v="SPXW"/>
    <x v="2"/>
    <x v="271"/>
    <s v="p"/>
    <n v="0"/>
    <n v="0"/>
    <n v="0"/>
    <n v="0"/>
    <n v="0"/>
    <n v="1"/>
    <n v="588.29999999999995"/>
    <n v="1"/>
    <n v="607.29999999999995"/>
    <n v="0"/>
    <n v="0"/>
    <n v="0"/>
    <n v="0"/>
    <n v="0.41810000000000003"/>
    <n v="-0.99450000000000005"/>
    <n v="1E-4"/>
    <n v="-0.29249999999999998"/>
    <n v="8.6699999999999999E-2"/>
    <n v="-0.43890000000000001"/>
    <n v="3"/>
    <n v="588.9"/>
    <n v="1"/>
    <n v="607.79999999999995"/>
    <n v="0"/>
    <n v="0"/>
    <n v="0"/>
    <n v="0"/>
    <n v="0"/>
  </r>
  <r>
    <x v="0"/>
    <x v="0"/>
    <s v="SPXW"/>
    <x v="2"/>
    <x v="272"/>
    <s v="p"/>
    <n v="0"/>
    <n v="0"/>
    <n v="0"/>
    <n v="0"/>
    <n v="0"/>
    <n v="1"/>
    <n v="687.4"/>
    <n v="1"/>
    <n v="707.3"/>
    <n v="0"/>
    <n v="0"/>
    <n v="0"/>
    <n v="0"/>
    <n v="0.77569999999999995"/>
    <n v="-0.94159999999999999"/>
    <n v="2.9999999999999997E-4"/>
    <n v="-8.6249000000000002"/>
    <n v="0.62450000000000006"/>
    <n v="-0.42630000000000001"/>
    <n v="3"/>
    <n v="688.9"/>
    <n v="1"/>
    <n v="707.5"/>
    <n v="0"/>
    <n v="0"/>
    <n v="0"/>
    <n v="0"/>
    <n v="0"/>
  </r>
  <r>
    <x v="0"/>
    <x v="0"/>
    <s v="SPXW"/>
    <x v="2"/>
    <x v="273"/>
    <s v="p"/>
    <n v="0"/>
    <n v="0"/>
    <n v="0"/>
    <n v="0"/>
    <n v="0"/>
    <n v="1"/>
    <n v="787.4"/>
    <n v="1"/>
    <n v="807.4"/>
    <n v="0"/>
    <n v="0"/>
    <n v="0"/>
    <n v="0"/>
    <n v="0.39169999999999999"/>
    <n v="-0.99980000000000002"/>
    <n v="0"/>
    <n v="0"/>
    <n v="3.5000000000000001E-3"/>
    <n v="-0.45569999999999999"/>
    <n v="3"/>
    <n v="788.9"/>
    <n v="1"/>
    <n v="807.4"/>
    <n v="0"/>
    <n v="0"/>
    <n v="0"/>
    <n v="0"/>
    <n v="0"/>
  </r>
  <r>
    <x v="0"/>
    <x v="0"/>
    <s v="SPXW"/>
    <x v="2"/>
    <x v="274"/>
    <s v="p"/>
    <n v="0"/>
    <n v="0"/>
    <n v="0"/>
    <n v="0"/>
    <n v="0"/>
    <n v="1"/>
    <n v="987.1"/>
    <n v="1"/>
    <n v="1007.2"/>
    <n v="0"/>
    <n v="0"/>
    <n v="0"/>
    <n v="0"/>
    <n v="1.0133000000000001"/>
    <n v="-0.95330000000000004"/>
    <n v="2.0000000000000001E-4"/>
    <n v="-8.8032000000000004"/>
    <n v="0.51980000000000004"/>
    <n v="-0.45329999999999998"/>
    <n v="1"/>
    <n v="989.2"/>
    <n v="1"/>
    <n v="1007.3"/>
    <n v="0"/>
    <n v="0"/>
    <n v="0"/>
    <n v="0"/>
    <n v="0"/>
  </r>
  <r>
    <x v="0"/>
    <x v="0"/>
    <s v="SPXW"/>
    <x v="2"/>
    <x v="275"/>
    <s v="p"/>
    <n v="0"/>
    <n v="0"/>
    <n v="0"/>
    <n v="0"/>
    <n v="0"/>
    <n v="1"/>
    <n v="1188.0999999999999"/>
    <n v="1"/>
    <n v="1206.4000000000001"/>
    <n v="0"/>
    <n v="0"/>
    <n v="0"/>
    <n v="0"/>
    <n v="1.1322000000000001"/>
    <n v="-0.96240000000000003"/>
    <n v="1E-4"/>
    <n v="-7.7465000000000002"/>
    <n v="0.4355"/>
    <n v="-0.47210000000000002"/>
    <n v="1"/>
    <n v="1189.7"/>
    <n v="4"/>
    <n v="1212.8"/>
    <n v="0"/>
    <n v="0"/>
    <n v="0"/>
    <n v="0"/>
    <n v="0"/>
  </r>
  <r>
    <x v="0"/>
    <x v="0"/>
    <s v="SPXW"/>
    <x v="2"/>
    <x v="276"/>
    <s v="p"/>
    <n v="0"/>
    <n v="0"/>
    <n v="0"/>
    <n v="0"/>
    <n v="0"/>
    <n v="1"/>
    <n v="1387.2"/>
    <n v="1"/>
    <n v="1406.9"/>
    <n v="0"/>
    <n v="0"/>
    <n v="0"/>
    <n v="0"/>
    <n v="1.298"/>
    <n v="-0.9627"/>
    <n v="1E-4"/>
    <n v="-8.7636000000000003"/>
    <n v="0.43109999999999998"/>
    <n v="-0.48680000000000001"/>
    <n v="1"/>
    <n v="1390.1"/>
    <n v="3"/>
    <n v="1412.7"/>
    <n v="0"/>
    <n v="0"/>
    <n v="0"/>
    <n v="0"/>
    <n v="0"/>
  </r>
  <r>
    <x v="0"/>
    <x v="0"/>
    <s v="SPXW"/>
    <x v="2"/>
    <x v="277"/>
    <s v="p"/>
    <n v="0"/>
    <n v="0"/>
    <n v="0"/>
    <n v="0"/>
    <n v="0"/>
    <n v="1"/>
    <n v="1587.4"/>
    <n v="1"/>
    <n v="1606.4"/>
    <n v="0"/>
    <n v="0"/>
    <n v="0"/>
    <n v="0"/>
    <n v="1.4215"/>
    <n v="-0.96689999999999998"/>
    <n v="1E-4"/>
    <n v="-8.4015000000000004"/>
    <n v="0.39100000000000001"/>
    <n v="-0.50329999999999997"/>
    <n v="1"/>
    <n v="1589.6"/>
    <n v="1"/>
    <n v="1612.5"/>
    <n v="0"/>
    <n v="0"/>
    <n v="0"/>
    <n v="0"/>
    <n v="0"/>
  </r>
  <r>
    <x v="0"/>
    <x v="0"/>
    <s v="SPXW"/>
    <x v="2"/>
    <x v="278"/>
    <s v="p"/>
    <n v="0"/>
    <n v="0"/>
    <n v="0"/>
    <n v="0"/>
    <n v="0"/>
    <n v="1"/>
    <n v="1787.1"/>
    <n v="1"/>
    <n v="1806.3"/>
    <n v="0"/>
    <n v="0"/>
    <n v="0"/>
    <n v="0"/>
    <n v="1.5331999999999999"/>
    <n v="-0.97070000000000001"/>
    <n v="1E-4"/>
    <n v="-7.8718000000000004"/>
    <n v="0.35289999999999999"/>
    <n v="-0.52"/>
    <n v="1"/>
    <n v="1789.6"/>
    <n v="2"/>
    <n v="1812.6"/>
    <n v="0"/>
    <n v="0"/>
    <n v="0"/>
    <n v="0"/>
    <n v="0"/>
  </r>
  <r>
    <x v="0"/>
    <x v="0"/>
    <s v="SPXW"/>
    <x v="2"/>
    <x v="279"/>
    <s v="p"/>
    <n v="0"/>
    <n v="0"/>
    <n v="0"/>
    <n v="0"/>
    <n v="0"/>
    <n v="1"/>
    <n v="1987.1"/>
    <n v="1"/>
    <n v="2006.1"/>
    <n v="0"/>
    <n v="0"/>
    <n v="0"/>
    <n v="0"/>
    <n v="1.6517999999999999"/>
    <n v="-0.97289999999999999"/>
    <n v="1E-4"/>
    <n v="-7.7453000000000003"/>
    <n v="0.32990000000000003"/>
    <n v="-0.53580000000000005"/>
    <n v="1"/>
    <n v="1989.3"/>
    <n v="3"/>
    <n v="2012.6"/>
    <n v="0"/>
    <n v="0"/>
    <n v="0"/>
    <n v="0"/>
    <n v="0"/>
  </r>
  <r>
    <x v="0"/>
    <x v="0"/>
    <s v="SPXW"/>
    <x v="2"/>
    <x v="280"/>
    <s v="p"/>
    <n v="0"/>
    <n v="0"/>
    <n v="0"/>
    <n v="0"/>
    <n v="0"/>
    <n v="1"/>
    <n v="2187.1"/>
    <n v="1"/>
    <n v="2207"/>
    <n v="0"/>
    <n v="0"/>
    <n v="0"/>
    <n v="0"/>
    <n v="1.8002"/>
    <n v="-0.97230000000000005"/>
    <n v="1E-4"/>
    <n v="-8.6126000000000005"/>
    <n v="0.33550000000000002"/>
    <n v="-0.55049999999999999"/>
    <n v="2"/>
    <n v="2188.6"/>
    <n v="1"/>
    <n v="2207.1999999999998"/>
    <n v="0"/>
    <n v="0"/>
    <n v="0"/>
    <n v="0"/>
    <n v="0"/>
  </r>
  <r>
    <x v="0"/>
    <x v="0"/>
    <s v="SPXW"/>
    <x v="3"/>
    <x v="0"/>
    <s v="p"/>
    <n v="0"/>
    <n v="0"/>
    <n v="0"/>
    <n v="0"/>
    <n v="0"/>
    <n v="0"/>
    <n v="0"/>
    <n v="976"/>
    <n v="0.05"/>
    <n v="0"/>
    <n v="0"/>
    <n v="0"/>
    <n v="0"/>
    <n v="3.0228999999999999"/>
    <n v="-1E-4"/>
    <n v="0"/>
    <n v="-2.4400000000000002E-2"/>
    <n v="1.4E-3"/>
    <n v="0"/>
    <n v="0"/>
    <n v="0"/>
    <n v="242"/>
    <n v="0.05"/>
    <n v="0"/>
    <n v="0"/>
    <n v="0"/>
    <n v="0"/>
    <n v="0"/>
  </r>
  <r>
    <x v="0"/>
    <x v="0"/>
    <s v="SPXW"/>
    <x v="3"/>
    <x v="1"/>
    <s v="p"/>
    <n v="0"/>
    <n v="0"/>
    <n v="0"/>
    <n v="0"/>
    <n v="0"/>
    <n v="0"/>
    <n v="0"/>
    <n v="974"/>
    <n v="0.05"/>
    <n v="0"/>
    <n v="0"/>
    <n v="0"/>
    <n v="0"/>
    <n v="2.8092000000000001"/>
    <n v="-1E-4"/>
    <n v="0"/>
    <n v="-2.4400000000000002E-2"/>
    <n v="1.6000000000000001E-3"/>
    <n v="0"/>
    <n v="0"/>
    <n v="0"/>
    <n v="242"/>
    <n v="0.05"/>
    <n v="0"/>
    <n v="0"/>
    <n v="0"/>
    <n v="100"/>
    <n v="0"/>
  </r>
  <r>
    <x v="0"/>
    <x v="0"/>
    <s v="SPXW"/>
    <x v="3"/>
    <x v="2"/>
    <s v="p"/>
    <n v="0"/>
    <n v="0"/>
    <n v="0"/>
    <n v="0"/>
    <n v="0"/>
    <n v="0"/>
    <n v="0"/>
    <n v="999"/>
    <n v="0.05"/>
    <n v="0"/>
    <n v="0"/>
    <n v="0"/>
    <n v="0"/>
    <n v="2.6103000000000001"/>
    <n v="-1E-4"/>
    <n v="0"/>
    <n v="-2.4400000000000002E-2"/>
    <n v="1.6999999999999999E-3"/>
    <n v="0"/>
    <n v="0"/>
    <n v="0"/>
    <n v="277"/>
    <n v="0.05"/>
    <n v="0"/>
    <n v="0"/>
    <n v="0"/>
    <n v="0"/>
    <n v="0"/>
  </r>
  <r>
    <x v="0"/>
    <x v="0"/>
    <s v="SPXW"/>
    <x v="3"/>
    <x v="3"/>
    <s v="p"/>
    <n v="0"/>
    <n v="0"/>
    <n v="0"/>
    <n v="0"/>
    <n v="0"/>
    <n v="0"/>
    <n v="0"/>
    <n v="992"/>
    <n v="0.05"/>
    <n v="0"/>
    <n v="0"/>
    <n v="0"/>
    <n v="0"/>
    <n v="2.4241999999999999"/>
    <n v="-1E-4"/>
    <n v="0"/>
    <n v="-2.4400000000000002E-2"/>
    <n v="1.8E-3"/>
    <n v="0"/>
    <n v="0"/>
    <n v="0"/>
    <n v="277"/>
    <n v="0.05"/>
    <n v="0"/>
    <n v="0"/>
    <n v="0"/>
    <n v="60"/>
    <n v="0"/>
  </r>
  <r>
    <x v="0"/>
    <x v="0"/>
    <s v="SPXW"/>
    <x v="3"/>
    <x v="4"/>
    <s v="p"/>
    <n v="0"/>
    <n v="0"/>
    <n v="0"/>
    <n v="0"/>
    <n v="0"/>
    <n v="0"/>
    <n v="0"/>
    <n v="981"/>
    <n v="0.05"/>
    <n v="0"/>
    <n v="0"/>
    <n v="0"/>
    <n v="0"/>
    <n v="2.2492999999999999"/>
    <n v="-1E-4"/>
    <n v="0"/>
    <n v="-2.4400000000000002E-2"/>
    <n v="1.9E-3"/>
    <n v="0"/>
    <n v="0"/>
    <n v="0"/>
    <n v="275"/>
    <n v="0.05"/>
    <n v="0"/>
    <n v="0"/>
    <n v="0"/>
    <n v="4"/>
    <n v="0"/>
  </r>
  <r>
    <x v="0"/>
    <x v="0"/>
    <s v="SPXW"/>
    <x v="3"/>
    <x v="5"/>
    <s v="p"/>
    <n v="0"/>
    <n v="0"/>
    <n v="0"/>
    <n v="0"/>
    <n v="0"/>
    <n v="0"/>
    <n v="0"/>
    <n v="969"/>
    <n v="0.05"/>
    <n v="0"/>
    <n v="0"/>
    <n v="0"/>
    <n v="0"/>
    <n v="2.0842999999999998"/>
    <n v="-1E-4"/>
    <n v="0"/>
    <n v="-2.4400000000000002E-2"/>
    <n v="2.0999999999999999E-3"/>
    <n v="-1E-4"/>
    <n v="0"/>
    <n v="0"/>
    <n v="273"/>
    <n v="0.05"/>
    <n v="0"/>
    <n v="0"/>
    <n v="0"/>
    <n v="50"/>
    <n v="0"/>
  </r>
  <r>
    <x v="0"/>
    <x v="0"/>
    <s v="SPXW"/>
    <x v="3"/>
    <x v="6"/>
    <s v="p"/>
    <n v="0"/>
    <n v="0"/>
    <n v="0"/>
    <n v="0"/>
    <n v="0"/>
    <n v="0"/>
    <n v="0"/>
    <n v="954"/>
    <n v="0.05"/>
    <n v="0"/>
    <n v="0"/>
    <n v="0"/>
    <n v="0"/>
    <n v="1.9279999999999999"/>
    <n v="-1E-4"/>
    <n v="0"/>
    <n v="-2.4400000000000002E-2"/>
    <n v="2.2000000000000001E-3"/>
    <n v="-1E-4"/>
    <n v="0"/>
    <n v="0"/>
    <n v="272"/>
    <n v="0.05"/>
    <n v="0"/>
    <n v="0"/>
    <n v="0"/>
    <n v="10"/>
    <n v="0"/>
  </r>
  <r>
    <x v="0"/>
    <x v="0"/>
    <s v="SPXW"/>
    <x v="3"/>
    <x v="7"/>
    <s v="p"/>
    <n v="0"/>
    <n v="0"/>
    <n v="0"/>
    <n v="0"/>
    <n v="0"/>
    <n v="0"/>
    <n v="0"/>
    <n v="934"/>
    <n v="0.05"/>
    <n v="0"/>
    <n v="0"/>
    <n v="0"/>
    <n v="0"/>
    <n v="1.7796000000000001"/>
    <n v="-1E-4"/>
    <n v="0"/>
    <n v="-2.4400000000000002E-2"/>
    <n v="2.3999999999999998E-3"/>
    <n v="-1E-4"/>
    <n v="0"/>
    <n v="0"/>
    <n v="270"/>
    <n v="0.05"/>
    <n v="0"/>
    <n v="0"/>
    <n v="0"/>
    <n v="225"/>
    <n v="0"/>
  </r>
  <r>
    <x v="0"/>
    <x v="0"/>
    <s v="SPXW"/>
    <x v="3"/>
    <x v="8"/>
    <s v="p"/>
    <n v="0"/>
    <n v="0"/>
    <n v="0"/>
    <n v="0"/>
    <n v="0"/>
    <n v="0"/>
    <n v="0"/>
    <n v="909"/>
    <n v="0.05"/>
    <n v="0"/>
    <n v="0"/>
    <n v="0"/>
    <n v="0"/>
    <n v="1.6380999999999999"/>
    <n v="-1E-4"/>
    <n v="0"/>
    <n v="-2.4400000000000002E-2"/>
    <n v="2.5999999999999999E-3"/>
    <n v="-1E-4"/>
    <n v="0"/>
    <n v="0"/>
    <n v="269"/>
    <n v="0.05"/>
    <n v="0"/>
    <n v="0"/>
    <n v="0"/>
    <n v="53"/>
    <n v="0"/>
  </r>
  <r>
    <x v="0"/>
    <x v="0"/>
    <s v="SPXW"/>
    <x v="3"/>
    <x v="9"/>
    <s v="p"/>
    <n v="0"/>
    <n v="0"/>
    <n v="0"/>
    <n v="0"/>
    <n v="0"/>
    <n v="0"/>
    <n v="0"/>
    <n v="527"/>
    <n v="0.05"/>
    <n v="0"/>
    <n v="0"/>
    <n v="0"/>
    <n v="0"/>
    <n v="1.5029999999999999"/>
    <n v="-1E-4"/>
    <n v="0"/>
    <n v="-2.4299999999999999E-2"/>
    <n v="2.8E-3"/>
    <n v="-1E-4"/>
    <n v="0"/>
    <n v="0"/>
    <n v="265"/>
    <n v="0.05"/>
    <n v="0"/>
    <n v="0"/>
    <n v="0"/>
    <n v="51"/>
    <n v="0"/>
  </r>
  <r>
    <x v="0"/>
    <x v="0"/>
    <s v="SPXW"/>
    <x v="3"/>
    <x v="10"/>
    <s v="p"/>
    <n v="0"/>
    <n v="0"/>
    <n v="0"/>
    <n v="0"/>
    <n v="0"/>
    <n v="0"/>
    <n v="0"/>
    <n v="527"/>
    <n v="0.05"/>
    <n v="0"/>
    <n v="0"/>
    <n v="0"/>
    <n v="0"/>
    <n v="1.3734999999999999"/>
    <n v="-1E-4"/>
    <n v="0"/>
    <n v="-2.4299999999999999E-2"/>
    <n v="3.0999999999999999E-3"/>
    <n v="-1E-4"/>
    <n v="0"/>
    <n v="0"/>
    <n v="259"/>
    <n v="0.05"/>
    <n v="0"/>
    <n v="0"/>
    <n v="0"/>
    <n v="273"/>
    <n v="0"/>
  </r>
  <r>
    <x v="0"/>
    <x v="0"/>
    <s v="SPXW"/>
    <x v="3"/>
    <x v="11"/>
    <s v="p"/>
    <n v="0"/>
    <n v="0"/>
    <n v="0"/>
    <n v="0"/>
    <n v="0"/>
    <n v="0"/>
    <n v="0"/>
    <n v="492"/>
    <n v="0.05"/>
    <n v="0"/>
    <n v="0"/>
    <n v="0"/>
    <n v="0"/>
    <n v="1.2492000000000001"/>
    <n v="-1E-4"/>
    <n v="0"/>
    <n v="-2.4299999999999999E-2"/>
    <n v="3.3999999999999998E-3"/>
    <n v="-1E-4"/>
    <n v="0"/>
    <n v="0"/>
    <n v="245"/>
    <n v="0.05"/>
    <n v="0"/>
    <n v="0"/>
    <n v="0"/>
    <n v="746"/>
    <n v="0"/>
  </r>
  <r>
    <x v="0"/>
    <x v="0"/>
    <s v="SPXW"/>
    <x v="3"/>
    <x v="12"/>
    <s v="p"/>
    <n v="0"/>
    <n v="0"/>
    <n v="0"/>
    <n v="0"/>
    <n v="0"/>
    <n v="0"/>
    <n v="0"/>
    <n v="471"/>
    <n v="0.05"/>
    <n v="0"/>
    <n v="0"/>
    <n v="0"/>
    <n v="0"/>
    <n v="1.1295999999999999"/>
    <n v="-2.0000000000000001E-4"/>
    <n v="0"/>
    <n v="-2.4299999999999999E-2"/>
    <n v="3.7000000000000002E-3"/>
    <n v="-1E-4"/>
    <n v="0"/>
    <n v="0"/>
    <n v="230"/>
    <n v="0.05"/>
    <n v="0"/>
    <n v="0"/>
    <n v="0"/>
    <n v="901"/>
    <n v="0"/>
  </r>
  <r>
    <x v="0"/>
    <x v="0"/>
    <s v="SPXW"/>
    <x v="3"/>
    <x v="13"/>
    <s v="p"/>
    <n v="0"/>
    <n v="0"/>
    <n v="0"/>
    <n v="0"/>
    <n v="0"/>
    <n v="0"/>
    <n v="0"/>
    <n v="446"/>
    <n v="0.05"/>
    <n v="0"/>
    <n v="0"/>
    <n v="0"/>
    <n v="0"/>
    <n v="1.0713999999999999"/>
    <n v="-2.0000000000000001E-4"/>
    <n v="0"/>
    <n v="-2.4299999999999999E-2"/>
    <n v="3.8999999999999998E-3"/>
    <n v="-1E-4"/>
    <n v="0"/>
    <n v="0"/>
    <n v="222"/>
    <n v="0.05"/>
    <n v="0"/>
    <n v="0"/>
    <n v="0"/>
    <n v="1238"/>
    <n v="0"/>
  </r>
  <r>
    <x v="0"/>
    <x v="0"/>
    <s v="SPXW"/>
    <x v="3"/>
    <x v="14"/>
    <s v="p"/>
    <n v="0"/>
    <n v="0"/>
    <n v="0"/>
    <n v="0"/>
    <n v="0"/>
    <n v="0"/>
    <n v="0"/>
    <n v="325"/>
    <n v="0.05"/>
    <n v="0"/>
    <n v="0"/>
    <n v="0"/>
    <n v="0"/>
    <n v="1.0143"/>
    <n v="-2.0000000000000001E-4"/>
    <n v="0"/>
    <n v="-2.4299999999999999E-2"/>
    <n v="4.1000000000000003E-3"/>
    <n v="-1E-4"/>
    <n v="0"/>
    <n v="0"/>
    <n v="199"/>
    <n v="0.05"/>
    <n v="0"/>
    <n v="0"/>
    <n v="0"/>
    <n v="2037"/>
    <n v="0"/>
  </r>
  <r>
    <x v="0"/>
    <x v="0"/>
    <s v="SPXW"/>
    <x v="3"/>
    <x v="15"/>
    <s v="p"/>
    <n v="0"/>
    <n v="0"/>
    <n v="0"/>
    <n v="0"/>
    <n v="0"/>
    <n v="0"/>
    <n v="0"/>
    <n v="240"/>
    <n v="0.05"/>
    <n v="0"/>
    <n v="0"/>
    <n v="0"/>
    <n v="0"/>
    <n v="0.95809999999999995"/>
    <n v="-2.0000000000000001E-4"/>
    <n v="0"/>
    <n v="-2.4299999999999999E-2"/>
    <n v="4.4000000000000003E-3"/>
    <n v="-1E-4"/>
    <n v="0"/>
    <n v="0"/>
    <n v="343"/>
    <n v="0.1"/>
    <n v="0"/>
    <n v="0"/>
    <n v="0"/>
    <n v="313"/>
    <n v="0"/>
  </r>
  <r>
    <x v="0"/>
    <x v="0"/>
    <s v="SPXW"/>
    <x v="3"/>
    <x v="16"/>
    <s v="p"/>
    <n v="0"/>
    <n v="0"/>
    <n v="0"/>
    <n v="0"/>
    <n v="0"/>
    <n v="0"/>
    <n v="0"/>
    <n v="138"/>
    <n v="0.05"/>
    <n v="0"/>
    <n v="0"/>
    <n v="0"/>
    <n v="0"/>
    <n v="0.90280000000000005"/>
    <n v="-2.0000000000000001E-4"/>
    <n v="0"/>
    <n v="-2.4299999999999999E-2"/>
    <n v="4.5999999999999999E-3"/>
    <n v="-1E-4"/>
    <n v="0"/>
    <n v="0"/>
    <n v="459"/>
    <n v="0.1"/>
    <n v="0"/>
    <n v="0"/>
    <n v="0"/>
    <n v="2088"/>
    <n v="0"/>
  </r>
  <r>
    <x v="0"/>
    <x v="0"/>
    <s v="SPXW"/>
    <x v="3"/>
    <x v="18"/>
    <s v="p"/>
    <n v="0"/>
    <n v="0"/>
    <n v="0"/>
    <n v="0"/>
    <n v="0"/>
    <n v="0"/>
    <n v="0"/>
    <n v="866"/>
    <n v="0.05"/>
    <n v="0"/>
    <n v="0"/>
    <n v="0"/>
    <n v="0"/>
    <n v="0.84840000000000004"/>
    <n v="-2.0000000000000001E-4"/>
    <n v="0"/>
    <n v="-2.4199999999999999E-2"/>
    <n v="4.8999999999999998E-3"/>
    <n v="-1E-4"/>
    <n v="0"/>
    <n v="0"/>
    <n v="795"/>
    <n v="0.05"/>
    <n v="0"/>
    <n v="0"/>
    <n v="0"/>
    <n v="183"/>
    <n v="0"/>
  </r>
  <r>
    <x v="0"/>
    <x v="0"/>
    <s v="SPXW"/>
    <x v="3"/>
    <x v="22"/>
    <s v="p"/>
    <n v="0"/>
    <n v="0"/>
    <n v="0"/>
    <n v="0"/>
    <n v="0"/>
    <n v="0"/>
    <n v="0"/>
    <n v="1596"/>
    <n v="0.05"/>
    <n v="0"/>
    <n v="0"/>
    <n v="0"/>
    <n v="0"/>
    <n v="0.79490000000000005"/>
    <n v="-2.0000000000000001E-4"/>
    <n v="0"/>
    <n v="-2.4199999999999999E-2"/>
    <n v="5.1999999999999998E-3"/>
    <n v="-1E-4"/>
    <n v="0"/>
    <n v="0"/>
    <n v="1535"/>
    <n v="0.05"/>
    <n v="0"/>
    <n v="0"/>
    <n v="0"/>
    <n v="1496"/>
    <n v="0"/>
  </r>
  <r>
    <x v="0"/>
    <x v="0"/>
    <s v="SPXW"/>
    <x v="3"/>
    <x v="25"/>
    <s v="p"/>
    <n v="0.05"/>
    <n v="0.05"/>
    <n v="0.05"/>
    <n v="0.05"/>
    <n v="15"/>
    <n v="0"/>
    <n v="0"/>
    <n v="64"/>
    <n v="0.05"/>
    <n v="0"/>
    <n v="0"/>
    <n v="0"/>
    <n v="0"/>
    <n v="0.75519999999999998"/>
    <n v="-2.0000000000000001E-4"/>
    <n v="0"/>
    <n v="-2.4199999999999999E-2"/>
    <n v="5.4999999999999997E-3"/>
    <n v="-1E-4"/>
    <n v="0"/>
    <n v="0"/>
    <n v="189"/>
    <n v="0.1"/>
    <n v="0"/>
    <n v="0"/>
    <n v="0.05"/>
    <n v="81"/>
    <n v="0"/>
  </r>
  <r>
    <x v="0"/>
    <x v="0"/>
    <s v="SPXW"/>
    <x v="3"/>
    <x v="26"/>
    <s v="p"/>
    <n v="0"/>
    <n v="0"/>
    <n v="0"/>
    <n v="0"/>
    <n v="0"/>
    <n v="0"/>
    <n v="0"/>
    <n v="519"/>
    <n v="0.1"/>
    <n v="0"/>
    <n v="0"/>
    <n v="0"/>
    <n v="0"/>
    <n v="0.77800000000000002"/>
    <n v="-4.0000000000000002E-4"/>
    <n v="0"/>
    <n v="-4.8000000000000001E-2"/>
    <n v="9.7000000000000003E-3"/>
    <n v="-2.0000000000000001E-4"/>
    <n v="0"/>
    <n v="0"/>
    <n v="189"/>
    <n v="0.1"/>
    <n v="0"/>
    <n v="0"/>
    <n v="0"/>
    <n v="616"/>
    <n v="0"/>
  </r>
  <r>
    <x v="0"/>
    <x v="0"/>
    <s v="SPXW"/>
    <x v="3"/>
    <x v="27"/>
    <s v="p"/>
    <n v="0"/>
    <n v="0"/>
    <n v="0"/>
    <n v="0"/>
    <n v="0"/>
    <n v="0"/>
    <n v="0"/>
    <n v="496"/>
    <n v="0.1"/>
    <n v="0"/>
    <n v="0"/>
    <n v="0"/>
    <n v="0"/>
    <n v="0.76439999999999997"/>
    <n v="-4.0000000000000002E-4"/>
    <n v="0"/>
    <n v="-4.8000000000000001E-2"/>
    <n v="9.7999999999999997E-3"/>
    <n v="-2.0000000000000001E-4"/>
    <n v="0"/>
    <n v="0"/>
    <n v="184"/>
    <n v="0.1"/>
    <n v="0"/>
    <n v="0"/>
    <n v="0"/>
    <n v="49"/>
    <n v="0"/>
  </r>
  <r>
    <x v="0"/>
    <x v="0"/>
    <s v="SPXW"/>
    <x v="3"/>
    <x v="28"/>
    <s v="p"/>
    <n v="0.05"/>
    <n v="0.05"/>
    <n v="0.05"/>
    <n v="0.05"/>
    <n v="1125"/>
    <n v="0"/>
    <n v="0"/>
    <n v="166"/>
    <n v="0.05"/>
    <n v="0"/>
    <n v="0"/>
    <n v="0"/>
    <n v="0"/>
    <n v="0.71550000000000002"/>
    <n v="-2.0000000000000001E-4"/>
    <n v="0"/>
    <n v="-2.4199999999999999E-2"/>
    <n v="5.7999999999999996E-3"/>
    <n v="-1E-4"/>
    <n v="0"/>
    <n v="0"/>
    <n v="166"/>
    <n v="0.05"/>
    <n v="0"/>
    <n v="0"/>
    <n v="0.05"/>
    <n v="223"/>
    <n v="0"/>
  </r>
  <r>
    <x v="0"/>
    <x v="0"/>
    <s v="SPXW"/>
    <x v="3"/>
    <x v="29"/>
    <s v="p"/>
    <n v="0"/>
    <n v="0"/>
    <n v="0"/>
    <n v="0"/>
    <n v="0"/>
    <n v="0"/>
    <n v="0"/>
    <n v="461"/>
    <n v="0.1"/>
    <n v="0"/>
    <n v="0"/>
    <n v="0"/>
    <n v="0"/>
    <n v="0.73750000000000004"/>
    <n v="-4.0000000000000002E-4"/>
    <n v="0"/>
    <n v="-4.8000000000000001E-2"/>
    <n v="1.0200000000000001E-2"/>
    <n v="-2.0000000000000001E-4"/>
    <n v="0"/>
    <n v="0"/>
    <n v="180"/>
    <n v="0.1"/>
    <n v="0"/>
    <n v="0"/>
    <n v="0"/>
    <n v="209"/>
    <n v="0"/>
  </r>
  <r>
    <x v="0"/>
    <x v="0"/>
    <s v="SPXW"/>
    <x v="3"/>
    <x v="30"/>
    <s v="p"/>
    <n v="0"/>
    <n v="0"/>
    <n v="0"/>
    <n v="0"/>
    <n v="0"/>
    <n v="0"/>
    <n v="0"/>
    <n v="448"/>
    <n v="0.1"/>
    <n v="0"/>
    <n v="0"/>
    <n v="0"/>
    <n v="0"/>
    <n v="0.72399999999999998"/>
    <n v="-4.0000000000000002E-4"/>
    <n v="0"/>
    <n v="-4.8000000000000001E-2"/>
    <n v="1.03E-2"/>
    <n v="-2.9999999999999997E-4"/>
    <n v="0"/>
    <n v="0"/>
    <n v="178"/>
    <n v="0.1"/>
    <n v="0"/>
    <n v="0"/>
    <n v="0"/>
    <n v="280"/>
    <n v="0"/>
  </r>
  <r>
    <x v="0"/>
    <x v="0"/>
    <s v="SPXW"/>
    <x v="3"/>
    <x v="31"/>
    <s v="p"/>
    <n v="0.05"/>
    <n v="0.05"/>
    <n v="0.05"/>
    <n v="0.05"/>
    <n v="10"/>
    <n v="0"/>
    <n v="0"/>
    <n v="428"/>
    <n v="0.1"/>
    <n v="0"/>
    <n v="0"/>
    <n v="0"/>
    <n v="0"/>
    <n v="0.71050000000000002"/>
    <n v="-4.0000000000000002E-4"/>
    <n v="0"/>
    <n v="-4.8000000000000001E-2"/>
    <n v="1.0500000000000001E-2"/>
    <n v="-2.9999999999999997E-4"/>
    <n v="0"/>
    <n v="0"/>
    <n v="177"/>
    <n v="0.1"/>
    <n v="0"/>
    <n v="0"/>
    <n v="0.05"/>
    <n v="61"/>
    <n v="0"/>
  </r>
  <r>
    <x v="0"/>
    <x v="0"/>
    <s v="SPXW"/>
    <x v="3"/>
    <x v="32"/>
    <s v="p"/>
    <n v="0.05"/>
    <n v="0.05"/>
    <n v="0.05"/>
    <n v="0.05"/>
    <n v="76"/>
    <n v="0"/>
    <n v="0"/>
    <n v="413"/>
    <n v="0.1"/>
    <n v="0"/>
    <n v="0"/>
    <n v="0"/>
    <n v="0"/>
    <n v="0.69710000000000005"/>
    <n v="-5.0000000000000001E-4"/>
    <n v="0"/>
    <n v="-4.8000000000000001E-2"/>
    <n v="1.0699999999999999E-2"/>
    <n v="-2.9999999999999997E-4"/>
    <n v="0"/>
    <n v="0"/>
    <n v="175"/>
    <n v="0.1"/>
    <n v="0"/>
    <n v="0"/>
    <n v="0.05"/>
    <n v="535"/>
    <n v="0"/>
  </r>
  <r>
    <x v="0"/>
    <x v="0"/>
    <s v="SPXW"/>
    <x v="3"/>
    <x v="33"/>
    <s v="p"/>
    <n v="0"/>
    <n v="0"/>
    <n v="0"/>
    <n v="0"/>
    <n v="0"/>
    <n v="0"/>
    <n v="0"/>
    <n v="398"/>
    <n v="0.1"/>
    <n v="0"/>
    <n v="0"/>
    <n v="0"/>
    <n v="0"/>
    <n v="0.68369999999999997"/>
    <n v="-5.0000000000000001E-4"/>
    <n v="0"/>
    <n v="-4.7899999999999998E-2"/>
    <n v="1.09E-2"/>
    <n v="-2.9999999999999997E-4"/>
    <n v="0"/>
    <n v="0"/>
    <n v="173"/>
    <n v="0.1"/>
    <n v="0"/>
    <n v="0"/>
    <n v="0"/>
    <n v="122"/>
    <n v="0"/>
  </r>
  <r>
    <x v="0"/>
    <x v="0"/>
    <s v="SPXW"/>
    <x v="3"/>
    <x v="34"/>
    <s v="p"/>
    <n v="0.05"/>
    <n v="0.05"/>
    <n v="0.05"/>
    <n v="0.05"/>
    <n v="20"/>
    <n v="0"/>
    <n v="0"/>
    <n v="319"/>
    <n v="0.1"/>
    <n v="0"/>
    <n v="0"/>
    <n v="0"/>
    <n v="0"/>
    <n v="0.6704"/>
    <n v="-5.0000000000000001E-4"/>
    <n v="0"/>
    <n v="-4.7899999999999998E-2"/>
    <n v="1.11E-2"/>
    <n v="-2.9999999999999997E-4"/>
    <n v="0"/>
    <n v="0"/>
    <n v="171"/>
    <n v="0.1"/>
    <n v="0"/>
    <n v="0"/>
    <n v="0.05"/>
    <n v="1112"/>
    <n v="0"/>
  </r>
  <r>
    <x v="0"/>
    <x v="0"/>
    <s v="SPXW"/>
    <x v="3"/>
    <x v="35"/>
    <s v="p"/>
    <n v="0"/>
    <n v="0"/>
    <n v="0"/>
    <n v="0"/>
    <n v="0"/>
    <n v="0"/>
    <n v="0"/>
    <n v="302"/>
    <n v="0.1"/>
    <n v="0"/>
    <n v="0"/>
    <n v="0"/>
    <n v="0"/>
    <n v="0.65710000000000002"/>
    <n v="-5.0000000000000001E-4"/>
    <n v="0"/>
    <n v="-4.7899999999999998E-2"/>
    <n v="1.1299999999999999E-2"/>
    <n v="-2.9999999999999997E-4"/>
    <n v="0"/>
    <n v="0"/>
    <n v="142"/>
    <n v="0.1"/>
    <n v="0"/>
    <n v="0"/>
    <n v="0"/>
    <n v="86"/>
    <n v="0"/>
  </r>
  <r>
    <x v="0"/>
    <x v="0"/>
    <s v="SPXW"/>
    <x v="3"/>
    <x v="36"/>
    <s v="p"/>
    <n v="0"/>
    <n v="0"/>
    <n v="0"/>
    <n v="0"/>
    <n v="0"/>
    <n v="0"/>
    <n v="0"/>
    <n v="331"/>
    <n v="0.1"/>
    <n v="0"/>
    <n v="0"/>
    <n v="0"/>
    <n v="0"/>
    <n v="0.64390000000000003"/>
    <n v="-5.0000000000000001E-4"/>
    <n v="0"/>
    <n v="-4.7899999999999998E-2"/>
    <n v="1.1599999999999999E-2"/>
    <n v="-2.9999999999999997E-4"/>
    <n v="0"/>
    <n v="0"/>
    <n v="99"/>
    <n v="0.1"/>
    <n v="0"/>
    <n v="0"/>
    <n v="0"/>
    <n v="371"/>
    <n v="0"/>
  </r>
  <r>
    <x v="0"/>
    <x v="0"/>
    <s v="SPXW"/>
    <x v="3"/>
    <x v="37"/>
    <s v="p"/>
    <n v="0.1"/>
    <n v="0.1"/>
    <n v="0.1"/>
    <n v="0.1"/>
    <n v="56"/>
    <n v="0"/>
    <n v="0"/>
    <n v="270"/>
    <n v="0.1"/>
    <n v="0"/>
    <n v="0"/>
    <n v="0"/>
    <n v="0"/>
    <n v="0.63070000000000004"/>
    <n v="-5.0000000000000001E-4"/>
    <n v="0"/>
    <n v="-4.7899999999999998E-2"/>
    <n v="1.18E-2"/>
    <n v="-2.9999999999999997E-4"/>
    <n v="0"/>
    <n v="0"/>
    <n v="99"/>
    <n v="0.1"/>
    <n v="0"/>
    <n v="0"/>
    <n v="0.1"/>
    <n v="81"/>
    <n v="0"/>
  </r>
  <r>
    <x v="0"/>
    <x v="0"/>
    <s v="SPXW"/>
    <x v="3"/>
    <x v="38"/>
    <s v="p"/>
    <n v="0.05"/>
    <n v="0.05"/>
    <n v="0.05"/>
    <n v="0.05"/>
    <n v="2"/>
    <n v="1"/>
    <n v="0.05"/>
    <n v="225"/>
    <n v="0.1"/>
    <n v="0"/>
    <n v="0"/>
    <n v="0"/>
    <n v="0"/>
    <n v="0.63670000000000004"/>
    <n v="-6.9999999999999999E-4"/>
    <n v="0"/>
    <n v="-7.1300000000000002E-2"/>
    <n v="1.6500000000000001E-2"/>
    <n v="-4.0000000000000002E-4"/>
    <n v="1"/>
    <n v="0.05"/>
    <n v="99"/>
    <n v="0.1"/>
    <n v="0"/>
    <n v="0"/>
    <n v="0.05"/>
    <n v="6711"/>
    <n v="0"/>
  </r>
  <r>
    <x v="0"/>
    <x v="0"/>
    <s v="SPXW"/>
    <x v="3"/>
    <x v="39"/>
    <s v="p"/>
    <n v="0.1"/>
    <n v="0.1"/>
    <n v="0.1"/>
    <n v="0.1"/>
    <n v="5"/>
    <n v="0"/>
    <n v="0"/>
    <n v="220"/>
    <n v="0.1"/>
    <n v="0"/>
    <n v="0"/>
    <n v="0"/>
    <n v="0"/>
    <n v="0.60429999999999995"/>
    <n v="-5.0000000000000001E-4"/>
    <n v="0"/>
    <n v="-4.7800000000000002E-2"/>
    <n v="1.23E-2"/>
    <n v="-2.9999999999999997E-4"/>
    <n v="0"/>
    <n v="0"/>
    <n v="211"/>
    <n v="0.15"/>
    <n v="0"/>
    <n v="0"/>
    <n v="0.1"/>
    <n v="177"/>
    <n v="0"/>
  </r>
  <r>
    <x v="0"/>
    <x v="0"/>
    <s v="SPXW"/>
    <x v="3"/>
    <x v="40"/>
    <s v="p"/>
    <n v="0"/>
    <n v="0"/>
    <n v="0"/>
    <n v="0"/>
    <n v="0"/>
    <n v="48"/>
    <n v="0.05"/>
    <n v="216"/>
    <n v="0.1"/>
    <n v="0"/>
    <n v="0"/>
    <n v="0"/>
    <n v="0"/>
    <n v="0.60980000000000001"/>
    <n v="-6.9999999999999999E-4"/>
    <n v="0"/>
    <n v="-7.1300000000000002E-2"/>
    <n v="1.72E-2"/>
    <n v="-4.0000000000000002E-4"/>
    <n v="0"/>
    <n v="0"/>
    <n v="208"/>
    <n v="0.15"/>
    <n v="0"/>
    <n v="0"/>
    <n v="0"/>
    <n v="62"/>
    <n v="0"/>
  </r>
  <r>
    <x v="0"/>
    <x v="0"/>
    <s v="SPXW"/>
    <x v="3"/>
    <x v="41"/>
    <s v="p"/>
    <n v="0"/>
    <n v="0"/>
    <n v="0"/>
    <n v="0"/>
    <n v="0"/>
    <n v="49"/>
    <n v="0.05"/>
    <n v="208"/>
    <n v="0.1"/>
    <n v="0"/>
    <n v="0"/>
    <n v="0"/>
    <n v="0"/>
    <n v="0.59640000000000004"/>
    <n v="-8.0000000000000004E-4"/>
    <n v="0"/>
    <n v="-7.1199999999999999E-2"/>
    <n v="1.7500000000000002E-2"/>
    <n v="-4.0000000000000002E-4"/>
    <n v="0"/>
    <n v="0"/>
    <n v="202"/>
    <n v="0.15"/>
    <n v="0"/>
    <n v="0"/>
    <n v="0"/>
    <n v="78"/>
    <n v="0"/>
  </r>
  <r>
    <x v="0"/>
    <x v="0"/>
    <s v="SPXW"/>
    <x v="3"/>
    <x v="42"/>
    <s v="p"/>
    <n v="0.1"/>
    <n v="0.1"/>
    <n v="7.0000000000000007E-2"/>
    <n v="7.0000000000000007E-2"/>
    <n v="4"/>
    <n v="181"/>
    <n v="0.05"/>
    <n v="95"/>
    <n v="0.1"/>
    <n v="0"/>
    <n v="0"/>
    <n v="0"/>
    <n v="0"/>
    <n v="0.58260000000000001"/>
    <n v="-8.0000000000000004E-4"/>
    <n v="0"/>
    <n v="-7.1199999999999999E-2"/>
    <n v="1.7899999999999999E-2"/>
    <n v="-4.0000000000000002E-4"/>
    <n v="0"/>
    <n v="0"/>
    <n v="1"/>
    <n v="0.1"/>
    <n v="0"/>
    <n v="0"/>
    <n v="8.5000000000000006E-2"/>
    <n v="502"/>
    <n v="0"/>
  </r>
  <r>
    <x v="0"/>
    <x v="0"/>
    <s v="SPXW"/>
    <x v="3"/>
    <x v="43"/>
    <s v="p"/>
    <n v="0"/>
    <n v="0"/>
    <n v="0"/>
    <n v="0"/>
    <n v="0"/>
    <n v="178"/>
    <n v="0.05"/>
    <n v="58"/>
    <n v="0.1"/>
    <n v="0"/>
    <n v="0"/>
    <n v="0"/>
    <n v="0"/>
    <n v="0.56969999999999998"/>
    <n v="-8.0000000000000004E-4"/>
    <n v="0"/>
    <n v="-7.1199999999999999E-2"/>
    <n v="1.83E-2"/>
    <n v="-5.0000000000000001E-4"/>
    <n v="78"/>
    <n v="0.05"/>
    <n v="199"/>
    <n v="0.15"/>
    <n v="0"/>
    <n v="0"/>
    <n v="0"/>
    <n v="117"/>
    <n v="0"/>
  </r>
  <r>
    <x v="0"/>
    <x v="0"/>
    <s v="SPXW"/>
    <x v="3"/>
    <x v="44"/>
    <s v="p"/>
    <n v="0.1"/>
    <n v="0.1"/>
    <n v="0.1"/>
    <n v="0.1"/>
    <n v="67"/>
    <n v="176"/>
    <n v="0.05"/>
    <n v="439"/>
    <n v="0.15"/>
    <n v="0"/>
    <n v="0"/>
    <n v="0"/>
    <n v="0"/>
    <n v="0.56940000000000002"/>
    <n v="-1E-3"/>
    <n v="0"/>
    <n v="-9.4299999999999995E-2"/>
    <n v="2.3400000000000001E-2"/>
    <n v="-5.9999999999999995E-4"/>
    <n v="75"/>
    <n v="0.05"/>
    <n v="188"/>
    <n v="0.15"/>
    <n v="0"/>
    <n v="0"/>
    <n v="0.1"/>
    <n v="87"/>
    <n v="0"/>
  </r>
  <r>
    <x v="0"/>
    <x v="0"/>
    <s v="SPXW"/>
    <x v="3"/>
    <x v="45"/>
    <s v="p"/>
    <n v="0.15"/>
    <n v="0.15"/>
    <n v="0.15"/>
    <n v="0.15"/>
    <n v="1"/>
    <n v="275"/>
    <n v="0.05"/>
    <n v="411"/>
    <n v="0.15"/>
    <n v="0"/>
    <n v="0"/>
    <n v="0"/>
    <n v="0"/>
    <n v="0.55589999999999995"/>
    <n v="-1.1000000000000001E-3"/>
    <n v="0"/>
    <n v="-9.4200000000000006E-2"/>
    <n v="2.3900000000000001E-2"/>
    <n v="-5.9999999999999995E-4"/>
    <n v="75"/>
    <n v="0.05"/>
    <n v="185"/>
    <n v="0.15"/>
    <n v="0"/>
    <n v="0"/>
    <n v="0.15"/>
    <n v="107"/>
    <n v="0"/>
  </r>
  <r>
    <x v="0"/>
    <x v="0"/>
    <s v="SPXW"/>
    <x v="3"/>
    <x v="46"/>
    <s v="p"/>
    <n v="0.15"/>
    <n v="0.15"/>
    <n v="0.09"/>
    <n v="0.1"/>
    <n v="22"/>
    <n v="354"/>
    <n v="0.05"/>
    <n v="455"/>
    <n v="0.15"/>
    <n v="0"/>
    <n v="0"/>
    <n v="0"/>
    <n v="0"/>
    <n v="0.54239999999999999"/>
    <n v="-1.1000000000000001E-3"/>
    <n v="0"/>
    <n v="-9.4200000000000006E-2"/>
    <n v="2.4500000000000001E-2"/>
    <n v="-5.9999999999999995E-4"/>
    <n v="135"/>
    <n v="0.05"/>
    <n v="185"/>
    <n v="0.15"/>
    <n v="0"/>
    <n v="0"/>
    <n v="0.10639999999999999"/>
    <n v="408"/>
    <n v="0"/>
  </r>
  <r>
    <x v="0"/>
    <x v="0"/>
    <s v="SPXW"/>
    <x v="3"/>
    <x v="47"/>
    <s v="p"/>
    <n v="0"/>
    <n v="0"/>
    <n v="0"/>
    <n v="0"/>
    <n v="0"/>
    <n v="265"/>
    <n v="0.05"/>
    <n v="537"/>
    <n v="0.15"/>
    <n v="0"/>
    <n v="0"/>
    <n v="0"/>
    <n v="0"/>
    <n v="0.52900000000000003"/>
    <n v="-1.1000000000000001E-3"/>
    <n v="0"/>
    <n v="-9.4100000000000003E-2"/>
    <n v="2.5000000000000001E-2"/>
    <n v="-5.9999999999999995E-4"/>
    <n v="140"/>
    <n v="0.05"/>
    <n v="182"/>
    <n v="0.15"/>
    <n v="0"/>
    <n v="0"/>
    <n v="0"/>
    <n v="163"/>
    <n v="0"/>
  </r>
  <r>
    <x v="0"/>
    <x v="0"/>
    <s v="SPXW"/>
    <x v="3"/>
    <x v="50"/>
    <s v="p"/>
    <n v="0.2"/>
    <n v="0.2"/>
    <n v="0.2"/>
    <n v="0.2"/>
    <n v="505"/>
    <n v="461"/>
    <n v="0.05"/>
    <n v="560"/>
    <n v="0.15"/>
    <n v="0"/>
    <n v="0"/>
    <n v="0"/>
    <n v="0"/>
    <n v="0.51549999999999996"/>
    <n v="-1.1000000000000001E-3"/>
    <n v="0"/>
    <n v="-9.4100000000000003E-2"/>
    <n v="2.5600000000000001E-2"/>
    <n v="-6.9999999999999999E-4"/>
    <n v="143"/>
    <n v="0.05"/>
    <n v="144"/>
    <n v="0.15"/>
    <n v="0"/>
    <n v="0"/>
    <n v="0.2"/>
    <n v="312"/>
    <n v="0"/>
  </r>
  <r>
    <x v="0"/>
    <x v="0"/>
    <s v="SPXW"/>
    <x v="3"/>
    <x v="53"/>
    <s v="p"/>
    <n v="0.15"/>
    <n v="0.15"/>
    <n v="0.15"/>
    <n v="0.15"/>
    <n v="1"/>
    <n v="334"/>
    <n v="0.05"/>
    <n v="310"/>
    <n v="0.15"/>
    <n v="0"/>
    <n v="0"/>
    <n v="0"/>
    <n v="0"/>
    <n v="0.50209999999999999"/>
    <n v="-1.1999999999999999E-3"/>
    <n v="0"/>
    <n v="-9.4E-2"/>
    <n v="2.63E-2"/>
    <n v="-6.9999999999999999E-4"/>
    <n v="137"/>
    <n v="0.05"/>
    <n v="186"/>
    <n v="0.2"/>
    <n v="0"/>
    <n v="0"/>
    <n v="0.15"/>
    <n v="160"/>
    <n v="0"/>
  </r>
  <r>
    <x v="0"/>
    <x v="0"/>
    <s v="SPXW"/>
    <x v="3"/>
    <x v="56"/>
    <s v="p"/>
    <n v="0.15"/>
    <n v="0.15"/>
    <n v="0.1"/>
    <n v="0.1"/>
    <n v="253"/>
    <n v="91"/>
    <n v="0.1"/>
    <n v="224"/>
    <n v="0.15"/>
    <n v="0"/>
    <n v="0"/>
    <n v="0"/>
    <n v="0"/>
    <n v="0.49809999999999999"/>
    <n v="-1.4E-3"/>
    <n v="0"/>
    <n v="-0.1168"/>
    <n v="3.1800000000000002E-2"/>
    <n v="-8.0000000000000004E-4"/>
    <n v="19"/>
    <n v="0.1"/>
    <n v="186"/>
    <n v="0.2"/>
    <n v="0"/>
    <n v="0"/>
    <n v="0.14979999999999999"/>
    <n v="425"/>
    <n v="0"/>
  </r>
  <r>
    <x v="0"/>
    <x v="0"/>
    <s v="SPXW"/>
    <x v="3"/>
    <x v="59"/>
    <s v="p"/>
    <n v="0.2"/>
    <n v="0.2"/>
    <n v="0.15"/>
    <n v="0.15"/>
    <n v="251"/>
    <n v="112"/>
    <n v="0.1"/>
    <n v="145"/>
    <n v="0.15"/>
    <n v="0"/>
    <n v="0"/>
    <n v="0"/>
    <n v="0"/>
    <n v="0.48459999999999998"/>
    <n v="-1.5E-3"/>
    <n v="0"/>
    <n v="-0.1167"/>
    <n v="3.2599999999999997E-2"/>
    <n v="-8.0000000000000004E-4"/>
    <n v="166"/>
    <n v="0.05"/>
    <n v="180"/>
    <n v="0.2"/>
    <n v="0"/>
    <n v="0"/>
    <n v="0.1502"/>
    <n v="107"/>
    <n v="0"/>
  </r>
  <r>
    <x v="0"/>
    <x v="0"/>
    <s v="SPXW"/>
    <x v="3"/>
    <x v="62"/>
    <s v="p"/>
    <n v="0.15"/>
    <n v="0.15"/>
    <n v="0.15"/>
    <n v="0.15"/>
    <n v="6"/>
    <n v="113"/>
    <n v="0.1"/>
    <n v="438"/>
    <n v="0.2"/>
    <n v="0"/>
    <n v="0"/>
    <n v="0"/>
    <n v="0"/>
    <n v="0.47870000000000001"/>
    <n v="-1.8E-3"/>
    <n v="0"/>
    <n v="-0.13930000000000001"/>
    <n v="3.8399999999999997E-2"/>
    <n v="-1E-3"/>
    <n v="189"/>
    <n v="0.05"/>
    <n v="179"/>
    <n v="0.2"/>
    <n v="0"/>
    <n v="0"/>
    <n v="0.15"/>
    <n v="158"/>
    <n v="0"/>
  </r>
  <r>
    <x v="0"/>
    <x v="0"/>
    <s v="SPXW"/>
    <x v="3"/>
    <x v="65"/>
    <s v="p"/>
    <n v="0.2"/>
    <n v="0.2"/>
    <n v="0.15"/>
    <n v="0.15"/>
    <n v="2"/>
    <n v="317"/>
    <n v="0.1"/>
    <n v="496"/>
    <n v="0.2"/>
    <n v="0"/>
    <n v="0"/>
    <n v="0"/>
    <n v="0"/>
    <n v="0.46500000000000002"/>
    <n v="-1.8E-3"/>
    <n v="0"/>
    <n v="-0.13919999999999999"/>
    <n v="3.95E-2"/>
    <n v="-1E-3"/>
    <n v="36"/>
    <n v="0.1"/>
    <n v="181"/>
    <n v="0.2"/>
    <n v="0"/>
    <n v="0"/>
    <n v="0.17499999999999999"/>
    <n v="149"/>
    <n v="0"/>
  </r>
  <r>
    <x v="0"/>
    <x v="0"/>
    <s v="SPXW"/>
    <x v="3"/>
    <x v="68"/>
    <s v="p"/>
    <n v="0.15"/>
    <n v="0.25"/>
    <n v="0.15"/>
    <n v="0.25"/>
    <n v="151"/>
    <n v="1"/>
    <n v="0.15"/>
    <n v="524"/>
    <n v="0.2"/>
    <n v="0"/>
    <n v="0"/>
    <n v="0"/>
    <n v="0"/>
    <n v="0.4577"/>
    <n v="-2.0999999999999999E-3"/>
    <n v="0"/>
    <n v="-0.1615"/>
    <n v="4.5499999999999999E-2"/>
    <n v="-1.1999999999999999E-3"/>
    <n v="37"/>
    <n v="0.1"/>
    <n v="170"/>
    <n v="0.2"/>
    <n v="0"/>
    <n v="0"/>
    <n v="0.24929999999999999"/>
    <n v="981"/>
    <n v="0"/>
  </r>
  <r>
    <x v="0"/>
    <x v="0"/>
    <s v="SPXW"/>
    <x v="3"/>
    <x v="71"/>
    <s v="p"/>
    <n v="0.2"/>
    <n v="0.2"/>
    <n v="0.2"/>
    <n v="0.2"/>
    <n v="2"/>
    <n v="287"/>
    <n v="0.1"/>
    <n v="331"/>
    <n v="0.2"/>
    <n v="0"/>
    <n v="0"/>
    <n v="0"/>
    <n v="0"/>
    <n v="0.43769999999999998"/>
    <n v="-1.9E-3"/>
    <n v="0"/>
    <n v="-0.1389"/>
    <n v="4.1799999999999997E-2"/>
    <n v="-1.1000000000000001E-3"/>
    <n v="38"/>
    <n v="0.1"/>
    <n v="107"/>
    <n v="0.2"/>
    <n v="0"/>
    <n v="0"/>
    <n v="0.2"/>
    <n v="182"/>
    <n v="0"/>
  </r>
  <r>
    <x v="0"/>
    <x v="0"/>
    <s v="SPXW"/>
    <x v="3"/>
    <x v="74"/>
    <s v="p"/>
    <n v="0.2"/>
    <n v="0.25"/>
    <n v="0.2"/>
    <n v="0.25"/>
    <n v="103"/>
    <n v="133"/>
    <n v="0.15"/>
    <n v="212"/>
    <n v="0.2"/>
    <n v="0"/>
    <n v="0"/>
    <n v="0"/>
    <n v="0"/>
    <n v="0.43009999999999998"/>
    <n v="-2.2000000000000001E-3"/>
    <n v="0"/>
    <n v="-0.16109999999999999"/>
    <n v="4.8099999999999997E-2"/>
    <n v="-1.2999999999999999E-3"/>
    <n v="93"/>
    <n v="0.1"/>
    <n v="108"/>
    <n v="0.2"/>
    <n v="0"/>
    <n v="0"/>
    <n v="0.2495"/>
    <n v="569"/>
    <n v="0"/>
  </r>
  <r>
    <x v="0"/>
    <x v="0"/>
    <s v="SPXW"/>
    <x v="3"/>
    <x v="75"/>
    <s v="p"/>
    <n v="0.25"/>
    <n v="0.25"/>
    <n v="0.25"/>
    <n v="0.25"/>
    <n v="50"/>
    <n v="44"/>
    <n v="0.15"/>
    <n v="143"/>
    <n v="0.2"/>
    <n v="0"/>
    <n v="0"/>
    <n v="0"/>
    <n v="0"/>
    <n v="0.42430000000000001"/>
    <n v="-2.3E-3"/>
    <n v="0"/>
    <n v="-0.16109999999999999"/>
    <n v="4.87E-2"/>
    <n v="-1.2999999999999999E-3"/>
    <n v="143"/>
    <n v="0.1"/>
    <n v="163"/>
    <n v="0.25"/>
    <n v="0"/>
    <n v="0"/>
    <n v="0.25"/>
    <n v="177"/>
    <n v="0"/>
  </r>
  <r>
    <x v="0"/>
    <x v="0"/>
    <s v="SPXW"/>
    <x v="3"/>
    <x v="76"/>
    <s v="p"/>
    <n v="0.25"/>
    <n v="0.25"/>
    <n v="0.25"/>
    <n v="0.25"/>
    <n v="50"/>
    <n v="95"/>
    <n v="0.15"/>
    <n v="92"/>
    <n v="0.2"/>
    <n v="0"/>
    <n v="0"/>
    <n v="0"/>
    <n v="0"/>
    <n v="0.41889999999999999"/>
    <n v="-2.3E-3"/>
    <n v="0"/>
    <n v="-0.161"/>
    <n v="4.9299999999999997E-2"/>
    <n v="-1.2999999999999999E-3"/>
    <n v="143"/>
    <n v="0.1"/>
    <n v="160"/>
    <n v="0.25"/>
    <n v="0"/>
    <n v="0"/>
    <n v="0.25"/>
    <n v="9"/>
    <n v="0"/>
  </r>
  <r>
    <x v="0"/>
    <x v="0"/>
    <s v="SPXW"/>
    <x v="3"/>
    <x v="77"/>
    <s v="p"/>
    <n v="0.2"/>
    <n v="0.31"/>
    <n v="0.2"/>
    <n v="0.24"/>
    <n v="154"/>
    <n v="135"/>
    <n v="0.15"/>
    <n v="509"/>
    <n v="0.25"/>
    <n v="0"/>
    <n v="0"/>
    <n v="0"/>
    <n v="0"/>
    <n v="0.42159999999999997"/>
    <n v="-2.5999999999999999E-3"/>
    <n v="0"/>
    <n v="-0.1832"/>
    <n v="5.4600000000000003E-2"/>
    <n v="-1.5E-3"/>
    <n v="157"/>
    <n v="0.1"/>
    <n v="179"/>
    <n v="0.25"/>
    <n v="0"/>
    <n v="0"/>
    <n v="0.2984"/>
    <n v="106"/>
    <n v="0"/>
  </r>
  <r>
    <x v="0"/>
    <x v="0"/>
    <s v="SPXW"/>
    <x v="3"/>
    <x v="78"/>
    <s v="p"/>
    <n v="0.2"/>
    <n v="0.2"/>
    <n v="0.2"/>
    <n v="0.2"/>
    <n v="1"/>
    <n v="97"/>
    <n v="0.15"/>
    <n v="494"/>
    <n v="0.25"/>
    <n v="0"/>
    <n v="0"/>
    <n v="0"/>
    <n v="0"/>
    <n v="0.41880000000000001"/>
    <n v="-2.5999999999999999E-3"/>
    <n v="0"/>
    <n v="-0.18310000000000001"/>
    <n v="5.4899999999999997E-2"/>
    <n v="-1.5E-3"/>
    <n v="146"/>
    <n v="0.1"/>
    <n v="159"/>
    <n v="0.25"/>
    <n v="0"/>
    <n v="0"/>
    <n v="0.2"/>
    <n v="11"/>
    <n v="0"/>
  </r>
  <r>
    <x v="0"/>
    <x v="0"/>
    <s v="SPXW"/>
    <x v="3"/>
    <x v="79"/>
    <s v="p"/>
    <n v="0.3"/>
    <n v="0.3"/>
    <n v="0.3"/>
    <n v="0.3"/>
    <n v="5"/>
    <n v="98"/>
    <n v="0.15"/>
    <n v="478"/>
    <n v="0.25"/>
    <n v="0"/>
    <n v="0"/>
    <n v="0"/>
    <n v="0"/>
    <n v="0.4133"/>
    <n v="-2.5999999999999999E-3"/>
    <n v="0"/>
    <n v="-0.183"/>
    <n v="5.5599999999999997E-2"/>
    <n v="-1.5E-3"/>
    <n v="143"/>
    <n v="0.1"/>
    <n v="158"/>
    <n v="0.25"/>
    <n v="0"/>
    <n v="0"/>
    <n v="0.3"/>
    <n v="242"/>
    <n v="0"/>
  </r>
  <r>
    <x v="0"/>
    <x v="0"/>
    <s v="SPXW"/>
    <x v="3"/>
    <x v="80"/>
    <s v="p"/>
    <n v="0.25"/>
    <n v="0.38"/>
    <n v="0.25"/>
    <n v="0.38"/>
    <n v="11"/>
    <n v="231"/>
    <n v="0.15"/>
    <n v="483"/>
    <n v="0.25"/>
    <n v="0"/>
    <n v="0"/>
    <n v="0"/>
    <n v="0"/>
    <n v="0.40770000000000001"/>
    <n v="-2.7000000000000001E-3"/>
    <n v="0"/>
    <n v="-0.18290000000000001"/>
    <n v="5.6300000000000003E-2"/>
    <n v="-1.5E-3"/>
    <n v="154"/>
    <n v="0.1"/>
    <n v="167"/>
    <n v="0.25"/>
    <n v="0"/>
    <n v="0"/>
    <n v="0.29730000000000001"/>
    <n v="391"/>
    <n v="0"/>
  </r>
  <r>
    <x v="0"/>
    <x v="0"/>
    <s v="SPXW"/>
    <x v="3"/>
    <x v="81"/>
    <s v="p"/>
    <n v="0"/>
    <n v="0"/>
    <n v="0"/>
    <n v="0"/>
    <n v="0"/>
    <n v="354"/>
    <n v="0.15"/>
    <n v="315"/>
    <n v="0.25"/>
    <n v="0"/>
    <n v="0"/>
    <n v="0"/>
    <n v="0"/>
    <n v="0.4022"/>
    <n v="-2.7000000000000001E-3"/>
    <n v="0"/>
    <n v="-0.18290000000000001"/>
    <n v="5.7000000000000002E-2"/>
    <n v="-1.5E-3"/>
    <n v="33"/>
    <n v="0.15"/>
    <n v="161"/>
    <n v="0.25"/>
    <n v="0"/>
    <n v="0"/>
    <n v="0"/>
    <n v="83"/>
    <n v="0"/>
  </r>
  <r>
    <x v="0"/>
    <x v="0"/>
    <s v="SPXW"/>
    <x v="3"/>
    <x v="82"/>
    <s v="p"/>
    <n v="0"/>
    <n v="0"/>
    <n v="0"/>
    <n v="0"/>
    <n v="0"/>
    <n v="252"/>
    <n v="0.15"/>
    <n v="313"/>
    <n v="0.25"/>
    <n v="0"/>
    <n v="0"/>
    <n v="0"/>
    <n v="0"/>
    <n v="0.39660000000000001"/>
    <n v="-2.7000000000000001E-3"/>
    <n v="0"/>
    <n v="-0.18279999999999999"/>
    <n v="5.7700000000000001E-2"/>
    <n v="-1.6000000000000001E-3"/>
    <n v="34"/>
    <n v="0.15"/>
    <n v="161"/>
    <n v="0.25"/>
    <n v="0"/>
    <n v="0"/>
    <n v="0"/>
    <n v="20"/>
    <n v="0"/>
  </r>
  <r>
    <x v="0"/>
    <x v="0"/>
    <s v="SPXW"/>
    <x v="3"/>
    <x v="83"/>
    <s v="p"/>
    <n v="0"/>
    <n v="0"/>
    <n v="0"/>
    <n v="0"/>
    <n v="0"/>
    <n v="303"/>
    <n v="0.15"/>
    <n v="325"/>
    <n v="0.25"/>
    <n v="0"/>
    <n v="0"/>
    <n v="0"/>
    <n v="0"/>
    <n v="0.39389999999999997"/>
    <n v="-2.7000000000000001E-3"/>
    <n v="0"/>
    <n v="-0.1827"/>
    <n v="5.8099999999999999E-2"/>
    <n v="-1.6000000000000001E-3"/>
    <n v="33"/>
    <n v="0.15"/>
    <n v="145"/>
    <n v="0.25"/>
    <n v="0"/>
    <n v="0"/>
    <n v="0"/>
    <n v="119"/>
    <n v="0"/>
  </r>
  <r>
    <x v="0"/>
    <x v="0"/>
    <s v="SPXW"/>
    <x v="3"/>
    <x v="84"/>
    <s v="p"/>
    <n v="0"/>
    <n v="0"/>
    <n v="0"/>
    <n v="0"/>
    <n v="0"/>
    <n v="458"/>
    <n v="0.15"/>
    <n v="310"/>
    <n v="0.25"/>
    <n v="0"/>
    <n v="0"/>
    <n v="0"/>
    <n v="0"/>
    <n v="0.3911"/>
    <n v="-2.8E-3"/>
    <n v="0"/>
    <n v="-0.1827"/>
    <n v="5.8500000000000003E-2"/>
    <n v="-1.6000000000000001E-3"/>
    <n v="34"/>
    <n v="0.15"/>
    <n v="132"/>
    <n v="0.25"/>
    <n v="0"/>
    <n v="0"/>
    <n v="0"/>
    <n v="40"/>
    <n v="0"/>
  </r>
  <r>
    <x v="0"/>
    <x v="0"/>
    <s v="SPXW"/>
    <x v="3"/>
    <x v="85"/>
    <s v="p"/>
    <n v="0"/>
    <n v="0"/>
    <n v="0"/>
    <n v="0"/>
    <n v="0"/>
    <n v="354"/>
    <n v="0.15"/>
    <n v="227"/>
    <n v="0.25"/>
    <n v="0"/>
    <n v="0"/>
    <n v="0"/>
    <n v="0"/>
    <n v="0.38529999999999998"/>
    <n v="-2.8E-3"/>
    <n v="0"/>
    <n v="-0.18260000000000001"/>
    <n v="5.9299999999999999E-2"/>
    <n v="-1.6000000000000001E-3"/>
    <n v="34"/>
    <n v="0.15"/>
    <n v="98"/>
    <n v="0.25"/>
    <n v="0"/>
    <n v="0"/>
    <n v="0"/>
    <n v="13"/>
    <n v="0"/>
  </r>
  <r>
    <x v="0"/>
    <x v="0"/>
    <s v="SPXW"/>
    <x v="3"/>
    <x v="86"/>
    <s v="p"/>
    <n v="0.25"/>
    <n v="0.25"/>
    <n v="0.2"/>
    <n v="0.2"/>
    <n v="4"/>
    <n v="35"/>
    <n v="0.2"/>
    <n v="179"/>
    <n v="0.25"/>
    <n v="0"/>
    <n v="0"/>
    <n v="0"/>
    <n v="0"/>
    <n v="0.37980000000000003"/>
    <n v="-2.8E-3"/>
    <n v="0"/>
    <n v="-0.1825"/>
    <n v="6.0100000000000001E-2"/>
    <n v="-1.6000000000000001E-3"/>
    <n v="34"/>
    <n v="0.15"/>
    <n v="139"/>
    <n v="0.25"/>
    <n v="0"/>
    <n v="0"/>
    <n v="0.21249999999999999"/>
    <n v="1038"/>
    <n v="0"/>
  </r>
  <r>
    <x v="0"/>
    <x v="0"/>
    <s v="SPXW"/>
    <x v="3"/>
    <x v="87"/>
    <s v="p"/>
    <n v="0.2"/>
    <n v="0.2"/>
    <n v="0.2"/>
    <n v="0.2"/>
    <n v="4"/>
    <n v="38"/>
    <n v="0.2"/>
    <n v="100"/>
    <n v="0.25"/>
    <n v="0"/>
    <n v="0"/>
    <n v="0"/>
    <n v="0"/>
    <n v="0.37859999999999999"/>
    <n v="-3.2000000000000002E-3"/>
    <n v="0"/>
    <n v="-0.20419999999999999"/>
    <n v="6.6299999999999998E-2"/>
    <n v="-1.8E-3"/>
    <n v="35"/>
    <n v="0.15"/>
    <n v="123"/>
    <n v="0.25"/>
    <n v="0"/>
    <n v="0"/>
    <n v="0.2"/>
    <n v="67"/>
    <n v="0"/>
  </r>
  <r>
    <x v="0"/>
    <x v="0"/>
    <s v="SPXW"/>
    <x v="3"/>
    <x v="88"/>
    <s v="p"/>
    <n v="0.25"/>
    <n v="0.25"/>
    <n v="0.2"/>
    <n v="0.2"/>
    <n v="53"/>
    <n v="95"/>
    <n v="0.2"/>
    <n v="82"/>
    <n v="0.25"/>
    <n v="0"/>
    <n v="0"/>
    <n v="0"/>
    <n v="0"/>
    <n v="0.373"/>
    <n v="-3.2000000000000002E-3"/>
    <n v="0"/>
    <n v="-0.2041"/>
    <n v="6.7199999999999996E-2"/>
    <n v="-1.8E-3"/>
    <n v="65"/>
    <n v="0.15"/>
    <n v="98"/>
    <n v="0.25"/>
    <n v="0"/>
    <n v="0"/>
    <n v="0.2462"/>
    <n v="149"/>
    <n v="0"/>
  </r>
  <r>
    <x v="0"/>
    <x v="0"/>
    <s v="SPXW"/>
    <x v="3"/>
    <x v="89"/>
    <s v="p"/>
    <n v="0.2"/>
    <n v="0.2"/>
    <n v="0.2"/>
    <n v="0.2"/>
    <n v="1"/>
    <n v="110"/>
    <n v="0.2"/>
    <n v="67"/>
    <n v="0.25"/>
    <n v="0"/>
    <n v="0"/>
    <n v="0"/>
    <n v="0"/>
    <n v="0.37019999999999997"/>
    <n v="-3.2000000000000002E-3"/>
    <n v="0"/>
    <n v="-0.20399999999999999"/>
    <n v="6.7699999999999996E-2"/>
    <n v="-1.9E-3"/>
    <n v="120"/>
    <n v="0.15"/>
    <n v="109"/>
    <n v="0.25"/>
    <n v="0"/>
    <n v="0"/>
    <n v="0.2"/>
    <n v="55"/>
    <n v="0"/>
  </r>
  <r>
    <x v="0"/>
    <x v="0"/>
    <s v="SPXW"/>
    <x v="3"/>
    <x v="90"/>
    <s v="p"/>
    <n v="0.25"/>
    <n v="0.25"/>
    <n v="0.25"/>
    <n v="0.25"/>
    <n v="20"/>
    <n v="121"/>
    <n v="0.2"/>
    <n v="19"/>
    <n v="0.25"/>
    <n v="0"/>
    <n v="0"/>
    <n v="0"/>
    <n v="0"/>
    <n v="0.36749999999999999"/>
    <n v="-3.3E-3"/>
    <n v="0"/>
    <n v="-0.20399999999999999"/>
    <n v="6.8199999999999997E-2"/>
    <n v="-1.9E-3"/>
    <n v="90"/>
    <n v="0.15"/>
    <n v="68"/>
    <n v="0.25"/>
    <n v="0"/>
    <n v="0"/>
    <n v="0.25"/>
    <n v="25"/>
    <n v="0"/>
  </r>
  <r>
    <x v="0"/>
    <x v="0"/>
    <s v="SPXW"/>
    <x v="3"/>
    <x v="91"/>
    <s v="p"/>
    <n v="0.2"/>
    <n v="0.2"/>
    <n v="0.2"/>
    <n v="0.2"/>
    <n v="1"/>
    <n v="341"/>
    <n v="0.2"/>
    <n v="315"/>
    <n v="0.3"/>
    <n v="0"/>
    <n v="0"/>
    <n v="0"/>
    <n v="0"/>
    <n v="0.36159999999999998"/>
    <n v="-3.3E-3"/>
    <n v="0"/>
    <n v="-0.2039"/>
    <n v="6.9199999999999998E-2"/>
    <n v="-1.9E-3"/>
    <n v="138"/>
    <n v="0.15"/>
    <n v="160"/>
    <n v="0.3"/>
    <n v="0"/>
    <n v="0"/>
    <n v="0.2"/>
    <n v="104"/>
    <n v="0"/>
  </r>
  <r>
    <x v="0"/>
    <x v="0"/>
    <s v="SPXW"/>
    <x v="3"/>
    <x v="92"/>
    <s v="p"/>
    <n v="0.25"/>
    <n v="0.3"/>
    <n v="0.25"/>
    <n v="0.25"/>
    <n v="8"/>
    <n v="326"/>
    <n v="0.2"/>
    <n v="3"/>
    <n v="0.25"/>
    <n v="0"/>
    <n v="0"/>
    <n v="0"/>
    <n v="0"/>
    <n v="0.35639999999999999"/>
    <n v="-3.3E-3"/>
    <n v="0"/>
    <n v="-0.20369999999999999"/>
    <n v="7.0099999999999996E-2"/>
    <n v="-1.9E-3"/>
    <n v="168"/>
    <n v="0.15"/>
    <n v="163"/>
    <n v="0.3"/>
    <n v="0"/>
    <n v="0"/>
    <n v="0.25629999999999997"/>
    <n v="267"/>
    <n v="0"/>
  </r>
  <r>
    <x v="0"/>
    <x v="0"/>
    <s v="SPXW"/>
    <x v="3"/>
    <x v="93"/>
    <s v="p"/>
    <n v="0.25"/>
    <n v="0.25"/>
    <n v="0.2"/>
    <n v="0.2"/>
    <n v="5"/>
    <n v="336"/>
    <n v="0.2"/>
    <n v="271"/>
    <n v="0.3"/>
    <n v="0"/>
    <n v="0"/>
    <n v="0"/>
    <n v="0"/>
    <n v="0.35460000000000003"/>
    <n v="-3.7000000000000002E-3"/>
    <n v="1E-4"/>
    <n v="-0.22539999999999999"/>
    <n v="7.6600000000000001E-2"/>
    <n v="-2.0999999999999999E-3"/>
    <n v="150"/>
    <n v="0.15"/>
    <n v="132"/>
    <n v="0.3"/>
    <n v="0"/>
    <n v="0"/>
    <n v="0.24"/>
    <n v="103"/>
    <n v="0"/>
  </r>
  <r>
    <x v="0"/>
    <x v="0"/>
    <s v="SPXW"/>
    <x v="3"/>
    <x v="94"/>
    <s v="p"/>
    <n v="0.25"/>
    <n v="0.25"/>
    <n v="0.25"/>
    <n v="0.25"/>
    <n v="3"/>
    <n v="33"/>
    <n v="0.25"/>
    <n v="166"/>
    <n v="0.3"/>
    <n v="0"/>
    <n v="0"/>
    <n v="0"/>
    <n v="0"/>
    <n v="0.34899999999999998"/>
    <n v="-3.8E-3"/>
    <n v="1E-4"/>
    <n v="-0.22520000000000001"/>
    <n v="7.7700000000000005E-2"/>
    <n v="-2.2000000000000001E-3"/>
    <n v="30"/>
    <n v="0.2"/>
    <n v="132"/>
    <n v="0.3"/>
    <n v="0"/>
    <n v="0"/>
    <n v="0.25"/>
    <n v="19"/>
    <n v="0"/>
  </r>
  <r>
    <x v="0"/>
    <x v="0"/>
    <s v="SPXW"/>
    <x v="3"/>
    <x v="95"/>
    <s v="p"/>
    <n v="0.25"/>
    <n v="0.25"/>
    <n v="0.25"/>
    <n v="0.25"/>
    <n v="3"/>
    <n v="36"/>
    <n v="0.25"/>
    <n v="122"/>
    <n v="0.3"/>
    <n v="0"/>
    <n v="0"/>
    <n v="0"/>
    <n v="0"/>
    <n v="0.34939999999999999"/>
    <n v="-4.1000000000000003E-3"/>
    <n v="1E-4"/>
    <n v="-0.24660000000000001"/>
    <n v="8.3599999999999994E-2"/>
    <n v="-2.3999999999999998E-3"/>
    <n v="31"/>
    <n v="0.2"/>
    <n v="109"/>
    <n v="0.3"/>
    <n v="0"/>
    <n v="0"/>
    <n v="0.25"/>
    <n v="135"/>
    <n v="0"/>
  </r>
  <r>
    <x v="0"/>
    <x v="0"/>
    <s v="SPXW"/>
    <x v="3"/>
    <x v="96"/>
    <s v="p"/>
    <n v="0.3"/>
    <n v="0.3"/>
    <n v="0.3"/>
    <n v="0.3"/>
    <n v="1"/>
    <n v="37"/>
    <n v="0.25"/>
    <n v="88"/>
    <n v="0.3"/>
    <n v="0"/>
    <n v="0"/>
    <n v="0"/>
    <n v="0"/>
    <n v="0.34660000000000002"/>
    <n v="-4.1000000000000003E-3"/>
    <n v="1E-4"/>
    <n v="-0.2465"/>
    <n v="8.43E-2"/>
    <n v="-2.3999999999999998E-3"/>
    <n v="31"/>
    <n v="0.2"/>
    <n v="98"/>
    <n v="0.3"/>
    <n v="0"/>
    <n v="0"/>
    <n v="0.3"/>
    <n v="58"/>
    <n v="0"/>
  </r>
  <r>
    <x v="0"/>
    <x v="0"/>
    <s v="SPXW"/>
    <x v="3"/>
    <x v="97"/>
    <s v="p"/>
    <n v="0.25"/>
    <n v="0.3"/>
    <n v="0.25"/>
    <n v="0.3"/>
    <n v="7"/>
    <n v="114"/>
    <n v="0.25"/>
    <n v="37"/>
    <n v="0.3"/>
    <n v="0"/>
    <n v="0"/>
    <n v="0"/>
    <n v="0"/>
    <n v="0.34100000000000003"/>
    <n v="-4.1999999999999997E-3"/>
    <n v="1E-4"/>
    <n v="-0.24629999999999999"/>
    <n v="8.5500000000000007E-2"/>
    <n v="-2.3999999999999998E-3"/>
    <n v="61"/>
    <n v="0.2"/>
    <n v="97"/>
    <n v="0.3"/>
    <n v="0"/>
    <n v="0"/>
    <n v="0.29289999999999999"/>
    <n v="22"/>
    <n v="0"/>
  </r>
  <r>
    <x v="0"/>
    <x v="0"/>
    <s v="SPXW"/>
    <x v="3"/>
    <x v="98"/>
    <s v="p"/>
    <n v="0.3"/>
    <n v="0.5"/>
    <n v="0.3"/>
    <n v="0.44"/>
    <n v="18"/>
    <n v="302"/>
    <n v="0.25"/>
    <n v="1"/>
    <n v="0.3"/>
    <n v="0"/>
    <n v="0"/>
    <n v="0"/>
    <n v="0"/>
    <n v="0.33500000000000002"/>
    <n v="-4.3E-3"/>
    <n v="1E-4"/>
    <n v="-0.24610000000000001"/>
    <n v="8.6900000000000005E-2"/>
    <n v="-2.3999999999999998E-3"/>
    <n v="116"/>
    <n v="0.2"/>
    <n v="78"/>
    <n v="0.3"/>
    <n v="0"/>
    <n v="0"/>
    <n v="0.34389999999999998"/>
    <n v="241"/>
    <n v="0"/>
  </r>
  <r>
    <x v="0"/>
    <x v="0"/>
    <s v="SPXW"/>
    <x v="3"/>
    <x v="99"/>
    <s v="p"/>
    <n v="0.75"/>
    <n v="0.75"/>
    <n v="0.3"/>
    <n v="0.3"/>
    <n v="6"/>
    <n v="316"/>
    <n v="0.25"/>
    <n v="225"/>
    <n v="0.35"/>
    <n v="0"/>
    <n v="0"/>
    <n v="0"/>
    <n v="0"/>
    <n v="0.3296"/>
    <n v="-4.3E-3"/>
    <n v="1E-4"/>
    <n v="-0.246"/>
    <n v="8.8200000000000001E-2"/>
    <n v="-2.5000000000000001E-3"/>
    <n v="149"/>
    <n v="0.2"/>
    <n v="149"/>
    <n v="0.35"/>
    <n v="0"/>
    <n v="0"/>
    <n v="0.6"/>
    <n v="82"/>
    <n v="0"/>
  </r>
  <r>
    <x v="0"/>
    <x v="0"/>
    <s v="SPXW"/>
    <x v="3"/>
    <x v="100"/>
    <s v="p"/>
    <n v="0.3"/>
    <n v="0.3"/>
    <n v="0.3"/>
    <n v="0.3"/>
    <n v="4"/>
    <n v="31"/>
    <n v="0.3"/>
    <n v="155"/>
    <n v="0.35"/>
    <n v="0"/>
    <n v="0"/>
    <n v="0"/>
    <n v="0"/>
    <n v="0.32700000000000001"/>
    <n v="-4.7000000000000002E-3"/>
    <n v="1E-4"/>
    <n v="-0.2671"/>
    <n v="9.5100000000000004E-2"/>
    <n v="-2.7000000000000001E-3"/>
    <n v="146"/>
    <n v="0.2"/>
    <n v="154"/>
    <n v="0.35"/>
    <n v="0"/>
    <n v="0"/>
    <n v="0.3"/>
    <n v="76"/>
    <n v="0"/>
  </r>
  <r>
    <x v="0"/>
    <x v="0"/>
    <s v="SPXW"/>
    <x v="3"/>
    <x v="101"/>
    <s v="p"/>
    <n v="0.4"/>
    <n v="0.4"/>
    <n v="0.4"/>
    <n v="0.4"/>
    <n v="15"/>
    <n v="35"/>
    <n v="0.3"/>
    <n v="89"/>
    <n v="0.35"/>
    <n v="0"/>
    <n v="0"/>
    <n v="0"/>
    <n v="0"/>
    <n v="0.32679999999999998"/>
    <n v="-5.1000000000000004E-3"/>
    <n v="1E-4"/>
    <n v="-0.28810000000000002"/>
    <n v="0.10150000000000001"/>
    <n v="-2.8999999999999998E-3"/>
    <n v="163"/>
    <n v="0.2"/>
    <n v="155"/>
    <n v="0.35"/>
    <n v="0"/>
    <n v="0"/>
    <n v="0.4"/>
    <n v="144"/>
    <n v="0"/>
  </r>
  <r>
    <x v="0"/>
    <x v="0"/>
    <s v="SPXW"/>
    <x v="3"/>
    <x v="102"/>
    <s v="p"/>
    <n v="0"/>
    <n v="0"/>
    <n v="0"/>
    <n v="0"/>
    <n v="0"/>
    <n v="36"/>
    <n v="0.3"/>
    <n v="73"/>
    <n v="0.35"/>
    <n v="0"/>
    <n v="0"/>
    <n v="0"/>
    <n v="0"/>
    <n v="0.32400000000000001"/>
    <n v="-5.1000000000000004E-3"/>
    <n v="1E-4"/>
    <n v="-0.28799999999999998"/>
    <n v="0.1023"/>
    <n v="-2.8999999999999998E-3"/>
    <n v="146"/>
    <n v="0.2"/>
    <n v="129"/>
    <n v="0.35"/>
    <n v="0"/>
    <n v="0"/>
    <n v="0"/>
    <n v="32"/>
    <n v="0"/>
  </r>
  <r>
    <x v="0"/>
    <x v="0"/>
    <s v="SPXW"/>
    <x v="3"/>
    <x v="103"/>
    <s v="p"/>
    <n v="0.37"/>
    <n v="0.75"/>
    <n v="0.35"/>
    <n v="0.35"/>
    <n v="30"/>
    <n v="182"/>
    <n v="0.3"/>
    <n v="270"/>
    <n v="0.4"/>
    <n v="0"/>
    <n v="0"/>
    <n v="0"/>
    <n v="0"/>
    <n v="0.31790000000000002"/>
    <n v="-5.1999999999999998E-3"/>
    <n v="1E-4"/>
    <n v="-0.28770000000000001"/>
    <n v="0.104"/>
    <n v="-3.0000000000000001E-3"/>
    <n v="58"/>
    <n v="0.25"/>
    <n v="96"/>
    <n v="0.35"/>
    <n v="0"/>
    <n v="0"/>
    <n v="0.40670000000000001"/>
    <n v="122"/>
    <n v="0"/>
  </r>
  <r>
    <x v="0"/>
    <x v="0"/>
    <s v="SPXW"/>
    <x v="3"/>
    <x v="104"/>
    <s v="p"/>
    <n v="0.39"/>
    <n v="0.75"/>
    <n v="0.35"/>
    <n v="0.35"/>
    <n v="54"/>
    <n v="347"/>
    <n v="0.3"/>
    <n v="253"/>
    <n v="0.4"/>
    <n v="0"/>
    <n v="0"/>
    <n v="0"/>
    <n v="0"/>
    <n v="0.3125"/>
    <n v="-5.3E-3"/>
    <n v="1E-4"/>
    <n v="-0.28749999999999998"/>
    <n v="0.1057"/>
    <n v="-3.0000000000000001E-3"/>
    <n v="111"/>
    <n v="0.25"/>
    <n v="76"/>
    <n v="0.35"/>
    <n v="0"/>
    <n v="0"/>
    <n v="0.42170000000000002"/>
    <n v="2486"/>
    <n v="0"/>
  </r>
  <r>
    <x v="0"/>
    <x v="0"/>
    <s v="SPXW"/>
    <x v="3"/>
    <x v="105"/>
    <s v="p"/>
    <n v="0.4"/>
    <n v="0.45"/>
    <n v="0.4"/>
    <n v="0.45"/>
    <n v="6"/>
    <n v="33"/>
    <n v="0.35"/>
    <n v="84"/>
    <n v="0.4"/>
    <n v="0"/>
    <n v="0"/>
    <n v="0"/>
    <n v="0"/>
    <n v="0.31159999999999999"/>
    <n v="-6.0000000000000001E-3"/>
    <n v="1E-4"/>
    <n v="-0.32900000000000001"/>
    <n v="0.11849999999999999"/>
    <n v="-3.5000000000000001E-3"/>
    <n v="142"/>
    <n v="0.25"/>
    <n v="154"/>
    <n v="0.4"/>
    <n v="0"/>
    <n v="0"/>
    <n v="0.41670000000000001"/>
    <n v="85"/>
    <n v="0"/>
  </r>
  <r>
    <x v="0"/>
    <x v="0"/>
    <s v="SPXW"/>
    <x v="3"/>
    <x v="107"/>
    <s v="p"/>
    <n v="0.4"/>
    <n v="0.45"/>
    <n v="0.4"/>
    <n v="0.4"/>
    <n v="7"/>
    <n v="145"/>
    <n v="0.35"/>
    <n v="291"/>
    <n v="0.45"/>
    <n v="0"/>
    <n v="0"/>
    <n v="0"/>
    <n v="0"/>
    <n v="0.30570000000000003"/>
    <n v="-6.1000000000000004E-3"/>
    <n v="1E-4"/>
    <n v="-0.3286"/>
    <n v="0.1205"/>
    <n v="-3.5000000000000001E-3"/>
    <n v="146"/>
    <n v="0.25"/>
    <n v="144"/>
    <n v="0.4"/>
    <n v="0"/>
    <n v="0"/>
    <n v="0.40710000000000002"/>
    <n v="333"/>
    <n v="0"/>
  </r>
  <r>
    <x v="0"/>
    <x v="0"/>
    <s v="SPXW"/>
    <x v="3"/>
    <x v="108"/>
    <s v="p"/>
    <n v="0.85"/>
    <n v="0.85"/>
    <n v="0.4"/>
    <n v="0.4"/>
    <n v="5"/>
    <n v="388"/>
    <n v="0.35"/>
    <n v="227"/>
    <n v="0.45"/>
    <n v="0"/>
    <n v="0"/>
    <n v="0"/>
    <n v="0"/>
    <n v="0.30280000000000001"/>
    <n v="-6.1999999999999998E-3"/>
    <n v="1E-4"/>
    <n v="-0.3286"/>
    <n v="0.1215"/>
    <n v="-3.5999999999999999E-3"/>
    <n v="156"/>
    <n v="0.25"/>
    <n v="153"/>
    <n v="0.4"/>
    <n v="0"/>
    <n v="0"/>
    <n v="0.57399999999999995"/>
    <n v="303"/>
    <n v="0"/>
  </r>
  <r>
    <x v="0"/>
    <x v="0"/>
    <s v="SPXW"/>
    <x v="3"/>
    <x v="109"/>
    <s v="p"/>
    <n v="0.5"/>
    <n v="0.5"/>
    <n v="0.4"/>
    <n v="0.4"/>
    <n v="2"/>
    <n v="307"/>
    <n v="0.35"/>
    <n v="200"/>
    <n v="0.45"/>
    <n v="0"/>
    <n v="0"/>
    <n v="0"/>
    <n v="0"/>
    <n v="0.30230000000000001"/>
    <n v="-6.4999999999999997E-3"/>
    <n v="1E-4"/>
    <n v="-0.34910000000000002"/>
    <n v="0.12790000000000001"/>
    <n v="-3.8E-3"/>
    <n v="146"/>
    <n v="0.25"/>
    <n v="93"/>
    <n v="0.4"/>
    <n v="0"/>
    <n v="0"/>
    <n v="0.45"/>
    <n v="423"/>
    <n v="0"/>
  </r>
  <r>
    <x v="0"/>
    <x v="0"/>
    <s v="SPXW"/>
    <x v="3"/>
    <x v="111"/>
    <s v="p"/>
    <n v="0.5"/>
    <n v="0.5"/>
    <n v="0.35"/>
    <n v="0.35"/>
    <n v="5"/>
    <n v="33"/>
    <n v="0.4"/>
    <n v="46"/>
    <n v="0.45"/>
    <n v="0"/>
    <n v="0"/>
    <n v="0"/>
    <n v="0"/>
    <n v="0.29830000000000001"/>
    <n v="-7.0000000000000001E-3"/>
    <n v="1E-4"/>
    <n v="-0.36909999999999998"/>
    <n v="0.1356"/>
    <n v="-4.0000000000000001E-3"/>
    <n v="80"/>
    <n v="0.3"/>
    <n v="143"/>
    <n v="0.45"/>
    <n v="0"/>
    <n v="0"/>
    <n v="0.45"/>
    <n v="108"/>
    <n v="0"/>
  </r>
  <r>
    <x v="0"/>
    <x v="0"/>
    <s v="SPXW"/>
    <x v="3"/>
    <x v="113"/>
    <s v="p"/>
    <n v="0.49"/>
    <n v="1.88"/>
    <n v="0.4"/>
    <n v="0.45"/>
    <n v="1592"/>
    <n v="299"/>
    <n v="0.4"/>
    <n v="246"/>
    <n v="0.5"/>
    <n v="0"/>
    <n v="0"/>
    <n v="0"/>
    <n v="0"/>
    <n v="0.2944"/>
    <n v="-7.4000000000000003E-3"/>
    <n v="1E-4"/>
    <n v="-0.38929999999999998"/>
    <n v="0.1434"/>
    <n v="-4.3E-3"/>
    <n v="153"/>
    <n v="0.3"/>
    <n v="150"/>
    <n v="0.45"/>
    <n v="0"/>
    <n v="0"/>
    <n v="0.57210000000000005"/>
    <n v="1689"/>
    <n v="0"/>
  </r>
  <r>
    <x v="0"/>
    <x v="0"/>
    <s v="SPXW"/>
    <x v="3"/>
    <x v="115"/>
    <s v="p"/>
    <n v="0.45"/>
    <n v="0.95"/>
    <n v="0.45"/>
    <n v="0.55000000000000004"/>
    <n v="6"/>
    <n v="27"/>
    <n v="0.45"/>
    <n v="51"/>
    <n v="0.5"/>
    <n v="0"/>
    <n v="0"/>
    <n v="0"/>
    <n v="0"/>
    <n v="0.2903"/>
    <n v="-7.9000000000000008E-3"/>
    <n v="1E-4"/>
    <n v="-0.40899999999999997"/>
    <n v="0.15140000000000001"/>
    <n v="-4.5999999999999999E-3"/>
    <n v="141"/>
    <n v="0.3"/>
    <n v="90"/>
    <n v="0.45"/>
    <n v="0"/>
    <n v="0"/>
    <n v="0.60670000000000002"/>
    <n v="100"/>
    <n v="0"/>
  </r>
  <r>
    <x v="0"/>
    <x v="0"/>
    <s v="SPXW"/>
    <x v="3"/>
    <x v="117"/>
    <s v="p"/>
    <n v="0.5"/>
    <n v="0.6"/>
    <n v="0.45"/>
    <n v="0.45"/>
    <n v="7"/>
    <n v="246"/>
    <n v="0.45"/>
    <n v="181"/>
    <n v="0.55000000000000004"/>
    <n v="0"/>
    <n v="0"/>
    <n v="0"/>
    <n v="0"/>
    <n v="0.28599999999999998"/>
    <n v="-8.3999999999999995E-3"/>
    <n v="1E-4"/>
    <n v="-0.42880000000000001"/>
    <n v="0.15959999999999999"/>
    <n v="-4.7999999999999996E-3"/>
    <n v="144"/>
    <n v="0.35"/>
    <n v="143"/>
    <n v="0.5"/>
    <n v="0"/>
    <n v="0"/>
    <n v="0.5"/>
    <n v="309"/>
    <n v="0"/>
  </r>
  <r>
    <x v="0"/>
    <x v="0"/>
    <s v="SPXW"/>
    <x v="3"/>
    <x v="118"/>
    <s v="p"/>
    <n v="0.91"/>
    <n v="0.91"/>
    <n v="0.37"/>
    <n v="0.37"/>
    <n v="54"/>
    <n v="28"/>
    <n v="0.5"/>
    <n v="85"/>
    <n v="0.55000000000000004"/>
    <n v="0"/>
    <n v="0"/>
    <n v="0"/>
    <n v="0"/>
    <n v="0.28320000000000001"/>
    <n v="-8.5000000000000006E-3"/>
    <n v="1E-4"/>
    <n v="-0.42849999999999999"/>
    <n v="0.161"/>
    <n v="-4.8999999999999998E-3"/>
    <n v="147"/>
    <n v="0.35"/>
    <n v="154"/>
    <n v="0.5"/>
    <n v="0"/>
    <n v="0"/>
    <n v="0.49909999999999999"/>
    <n v="235"/>
    <n v="0"/>
  </r>
  <r>
    <x v="0"/>
    <x v="0"/>
    <s v="SPXW"/>
    <x v="3"/>
    <x v="119"/>
    <s v="p"/>
    <n v="0.5"/>
    <n v="0.97"/>
    <n v="0.4"/>
    <n v="0.4"/>
    <n v="78"/>
    <n v="32"/>
    <n v="0.5"/>
    <n v="13"/>
    <n v="0.55000000000000004"/>
    <n v="0"/>
    <n v="0"/>
    <n v="0"/>
    <n v="0"/>
    <n v="0.28189999999999998"/>
    <n v="-8.8999999999999999E-3"/>
    <n v="1E-4"/>
    <n v="-0.44829999999999998"/>
    <n v="0.1678"/>
    <n v="-5.1000000000000004E-3"/>
    <n v="138"/>
    <n v="0.35"/>
    <n v="135"/>
    <n v="0.5"/>
    <n v="0"/>
    <n v="0"/>
    <n v="0.46879999999999999"/>
    <n v="109"/>
    <n v="0"/>
  </r>
  <r>
    <x v="0"/>
    <x v="0"/>
    <s v="SPXW"/>
    <x v="3"/>
    <x v="120"/>
    <s v="p"/>
    <n v="0.65"/>
    <n v="0.65"/>
    <n v="0.4"/>
    <n v="0.45"/>
    <n v="41"/>
    <n v="183"/>
    <n v="0.5"/>
    <n v="226"/>
    <n v="0.6"/>
    <n v="0"/>
    <n v="0"/>
    <n v="0"/>
    <n v="0"/>
    <n v="0.28029999999999999"/>
    <n v="-9.2999999999999992E-3"/>
    <n v="1E-4"/>
    <n v="-0.46789999999999998"/>
    <n v="0.17480000000000001"/>
    <n v="-5.4000000000000003E-3"/>
    <n v="138"/>
    <n v="0.35"/>
    <n v="55"/>
    <n v="0.5"/>
    <n v="0"/>
    <n v="0"/>
    <n v="0.4415"/>
    <n v="2"/>
    <n v="0"/>
  </r>
  <r>
    <x v="0"/>
    <x v="0"/>
    <s v="SPXW"/>
    <x v="3"/>
    <x v="121"/>
    <s v="p"/>
    <n v="0.65"/>
    <n v="1.1200000000000001"/>
    <n v="0.55000000000000004"/>
    <n v="0.55000000000000004"/>
    <n v="30"/>
    <n v="27"/>
    <n v="0.55000000000000004"/>
    <n v="110"/>
    <n v="0.6"/>
    <n v="0"/>
    <n v="0"/>
    <n v="0"/>
    <n v="0"/>
    <n v="0.27739999999999998"/>
    <n v="-9.4000000000000004E-3"/>
    <n v="1E-4"/>
    <n v="-0.46750000000000003"/>
    <n v="0.1764"/>
    <n v="-5.4000000000000003E-3"/>
    <n v="115"/>
    <n v="0.4"/>
    <n v="134"/>
    <n v="0.55000000000000004"/>
    <n v="0"/>
    <n v="0"/>
    <n v="0.9093"/>
    <n v="2954"/>
    <n v="0"/>
  </r>
  <r>
    <x v="0"/>
    <x v="0"/>
    <s v="SPXW"/>
    <x v="3"/>
    <x v="122"/>
    <s v="p"/>
    <n v="0.7"/>
    <n v="0.7"/>
    <n v="0.7"/>
    <n v="0.7"/>
    <n v="1"/>
    <n v="33"/>
    <n v="0.55000000000000004"/>
    <n v="258"/>
    <n v="0.65"/>
    <n v="0"/>
    <n v="0"/>
    <n v="0"/>
    <n v="0"/>
    <n v="0.27729999999999999"/>
    <n v="-1.0200000000000001E-2"/>
    <n v="2.0000000000000001E-4"/>
    <n v="-0.50680000000000003"/>
    <n v="0.18840000000000001"/>
    <n v="-5.8999999999999999E-3"/>
    <n v="111"/>
    <n v="0.4"/>
    <n v="131"/>
    <n v="0.55000000000000004"/>
    <n v="0"/>
    <n v="0"/>
    <n v="0.7"/>
    <n v="2"/>
    <n v="0"/>
  </r>
  <r>
    <x v="0"/>
    <x v="0"/>
    <s v="SPXW"/>
    <x v="3"/>
    <x v="123"/>
    <s v="p"/>
    <n v="0.68"/>
    <n v="1.38"/>
    <n v="0.46"/>
    <n v="0.46"/>
    <n v="1747"/>
    <n v="274"/>
    <n v="0.55000000000000004"/>
    <n v="244"/>
    <n v="0.65"/>
    <n v="0"/>
    <n v="0"/>
    <n v="0"/>
    <n v="0"/>
    <n v="0.2742"/>
    <n v="-1.03E-2"/>
    <n v="2.0000000000000001E-4"/>
    <n v="-0.50629999999999997"/>
    <n v="0.1903"/>
    <n v="-5.8999999999999999E-3"/>
    <n v="120"/>
    <n v="0.4"/>
    <n v="126"/>
    <n v="0.55000000000000004"/>
    <n v="0"/>
    <n v="0"/>
    <n v="0.65249999999999997"/>
    <n v="2454"/>
    <n v="0"/>
  </r>
  <r>
    <x v="0"/>
    <x v="0"/>
    <s v="SPXW"/>
    <x v="3"/>
    <x v="124"/>
    <s v="p"/>
    <n v="0.7"/>
    <n v="1.22"/>
    <n v="0.7"/>
    <n v="0.75"/>
    <n v="9"/>
    <n v="28"/>
    <n v="0.6"/>
    <n v="45"/>
    <n v="0.65"/>
    <n v="0"/>
    <n v="0"/>
    <n v="0"/>
    <n v="0"/>
    <n v="0.27260000000000001"/>
    <n v="-1.0699999999999999E-2"/>
    <n v="2.0000000000000001E-4"/>
    <n v="-0.52549999999999997"/>
    <n v="0.1971"/>
    <n v="-6.1999999999999998E-3"/>
    <n v="113"/>
    <n v="0.4"/>
    <n v="121"/>
    <n v="0.6"/>
    <n v="0"/>
    <n v="0"/>
    <n v="0.92330000000000001"/>
    <n v="1"/>
    <n v="0"/>
  </r>
  <r>
    <x v="0"/>
    <x v="0"/>
    <s v="SPXW"/>
    <x v="3"/>
    <x v="125"/>
    <s v="p"/>
    <n v="0.72"/>
    <n v="1.22"/>
    <n v="0.5"/>
    <n v="0.5"/>
    <n v="22"/>
    <n v="77"/>
    <n v="0.6"/>
    <n v="252"/>
    <n v="0.7"/>
    <n v="0"/>
    <n v="0"/>
    <n v="0"/>
    <n v="0"/>
    <n v="0.2707"/>
    <n v="-1.11E-2"/>
    <n v="2.0000000000000001E-4"/>
    <n v="-0.54469999999999996"/>
    <n v="0.20419999999999999"/>
    <n v="-6.4999999999999997E-3"/>
    <n v="113"/>
    <n v="0.45"/>
    <n v="117"/>
    <n v="0.6"/>
    <n v="0"/>
    <n v="0"/>
    <n v="1.0405"/>
    <n v="143"/>
    <n v="0"/>
  </r>
  <r>
    <x v="0"/>
    <x v="0"/>
    <s v="SPXW"/>
    <x v="3"/>
    <x v="126"/>
    <s v="p"/>
    <n v="0.65"/>
    <n v="1.27"/>
    <n v="0.65"/>
    <n v="0.65"/>
    <n v="19"/>
    <n v="26"/>
    <n v="0.65"/>
    <n v="78"/>
    <n v="0.7"/>
    <n v="0"/>
    <n v="0"/>
    <n v="0"/>
    <n v="0"/>
    <n v="0.2676"/>
    <n v="-1.1299999999999999E-2"/>
    <n v="2.0000000000000001E-4"/>
    <n v="-0.54420000000000002"/>
    <n v="0.20619999999999999"/>
    <n v="-6.4999999999999997E-3"/>
    <n v="111"/>
    <n v="0.45"/>
    <n v="85"/>
    <n v="0.6"/>
    <n v="0"/>
    <n v="0"/>
    <n v="0.91469999999999996"/>
    <n v="1"/>
    <n v="0"/>
  </r>
  <r>
    <x v="0"/>
    <x v="0"/>
    <s v="SPXW"/>
    <x v="3"/>
    <x v="127"/>
    <s v="p"/>
    <n v="0.66"/>
    <n v="2.4300000000000002"/>
    <n v="0.6"/>
    <n v="0.6"/>
    <n v="83"/>
    <n v="67"/>
    <n v="0.65"/>
    <n v="278"/>
    <n v="0.75"/>
    <n v="0"/>
    <n v="0"/>
    <n v="0"/>
    <n v="0"/>
    <n v="0.26729999999999998"/>
    <n v="-1.2E-2"/>
    <n v="2.0000000000000001E-4"/>
    <n v="-0.58250000000000002"/>
    <n v="0.21820000000000001"/>
    <n v="-7.0000000000000001E-3"/>
    <n v="26"/>
    <n v="0.5"/>
    <n v="119"/>
    <n v="0.65"/>
    <n v="0"/>
    <n v="0"/>
    <n v="2.0331000000000001"/>
    <n v="128"/>
    <n v="0"/>
  </r>
  <r>
    <x v="0"/>
    <x v="0"/>
    <s v="SPXW"/>
    <x v="3"/>
    <x v="128"/>
    <s v="p"/>
    <n v="0.72"/>
    <n v="3.48"/>
    <n v="0.55000000000000004"/>
    <n v="0.55000000000000004"/>
    <n v="17"/>
    <n v="25"/>
    <n v="0.7"/>
    <n v="104"/>
    <n v="0.75"/>
    <n v="0"/>
    <n v="0"/>
    <n v="0"/>
    <n v="0"/>
    <n v="0.26400000000000001"/>
    <n v="-1.2200000000000001E-2"/>
    <n v="2.0000000000000001E-4"/>
    <n v="-0.58189999999999997"/>
    <n v="0.2205"/>
    <n v="-7.1000000000000004E-3"/>
    <n v="109"/>
    <n v="0.5"/>
    <n v="114"/>
    <n v="0.65"/>
    <n v="0"/>
    <n v="0"/>
    <n v="1.4664999999999999"/>
    <n v="236"/>
    <n v="0"/>
  </r>
  <r>
    <x v="0"/>
    <x v="0"/>
    <s v="SPXW"/>
    <x v="3"/>
    <x v="129"/>
    <s v="p"/>
    <n v="0.9"/>
    <n v="1.31"/>
    <n v="0.6"/>
    <n v="0.6"/>
    <n v="29"/>
    <n v="103"/>
    <n v="0.7"/>
    <n v="208"/>
    <n v="0.8"/>
    <n v="0"/>
    <n v="0"/>
    <n v="0"/>
    <n v="0"/>
    <n v="0.2621"/>
    <n v="-1.26E-2"/>
    <n v="2.0000000000000001E-4"/>
    <n v="-0.60060000000000002"/>
    <n v="0.22770000000000001"/>
    <n v="-7.3000000000000001E-3"/>
    <n v="1"/>
    <n v="0.55000000000000004"/>
    <n v="49"/>
    <n v="0.65"/>
    <n v="0"/>
    <n v="0"/>
    <n v="0.93899999999999995"/>
    <n v="537"/>
    <n v="0"/>
  </r>
  <r>
    <x v="0"/>
    <x v="0"/>
    <s v="SPXW"/>
    <x v="3"/>
    <x v="130"/>
    <s v="p"/>
    <n v="0.88"/>
    <n v="1.75"/>
    <n v="0.6"/>
    <n v="0.6"/>
    <n v="173"/>
    <n v="25"/>
    <n v="0.75"/>
    <n v="66"/>
    <n v="0.8"/>
    <n v="0"/>
    <n v="0"/>
    <n v="0"/>
    <n v="0"/>
    <n v="0.26140000000000002"/>
    <n v="-1.34E-2"/>
    <n v="2.0000000000000001E-4"/>
    <n v="-0.63819999999999999"/>
    <n v="0.24"/>
    <n v="-7.7999999999999996E-3"/>
    <n v="75"/>
    <n v="0.55000000000000004"/>
    <n v="106"/>
    <n v="0.7"/>
    <n v="0"/>
    <n v="0"/>
    <n v="1.2642"/>
    <n v="151"/>
    <n v="0"/>
  </r>
  <r>
    <x v="0"/>
    <x v="0"/>
    <s v="SPXW"/>
    <x v="3"/>
    <x v="131"/>
    <s v="p"/>
    <n v="0.7"/>
    <n v="0.95"/>
    <n v="0.65"/>
    <n v="0.65"/>
    <n v="10"/>
    <n v="102"/>
    <n v="0.75"/>
    <n v="104"/>
    <n v="0.85"/>
    <n v="0"/>
    <n v="0"/>
    <n v="0"/>
    <n v="0"/>
    <n v="0.25940000000000002"/>
    <n v="-1.3899999999999999E-2"/>
    <n v="2.0000000000000001E-4"/>
    <n v="-0.65659999999999996"/>
    <n v="0.2475"/>
    <n v="-8.0999999999999996E-3"/>
    <n v="101"/>
    <n v="0.55000000000000004"/>
    <n v="49"/>
    <n v="0.7"/>
    <n v="0"/>
    <n v="0"/>
    <n v="0.74199999999999999"/>
    <n v="76"/>
    <n v="0"/>
  </r>
  <r>
    <x v="0"/>
    <x v="0"/>
    <s v="SPXW"/>
    <x v="3"/>
    <x v="132"/>
    <s v="p"/>
    <n v="0.93"/>
    <n v="2"/>
    <n v="0.65"/>
    <n v="0.65"/>
    <n v="56"/>
    <n v="29"/>
    <n v="0.8"/>
    <n v="272"/>
    <n v="0.9"/>
    <n v="0"/>
    <n v="0"/>
    <n v="0"/>
    <n v="0"/>
    <n v="0.25840000000000002"/>
    <n v="-1.47E-2"/>
    <n v="2.0000000000000001E-4"/>
    <n v="-0.69359999999999999"/>
    <n v="0.25979999999999998"/>
    <n v="-8.6E-3"/>
    <n v="46"/>
    <n v="0.6"/>
    <n v="104"/>
    <n v="0.75"/>
    <n v="0"/>
    <n v="0"/>
    <n v="0.81679999999999997"/>
    <n v="93"/>
    <n v="0"/>
  </r>
  <r>
    <x v="0"/>
    <x v="0"/>
    <s v="SPXW"/>
    <x v="3"/>
    <x v="133"/>
    <s v="p"/>
    <n v="0.97"/>
    <n v="3.95"/>
    <n v="0.7"/>
    <n v="0.7"/>
    <n v="206"/>
    <n v="24"/>
    <n v="0.85"/>
    <n v="76"/>
    <n v="0.9"/>
    <n v="0"/>
    <n v="0"/>
    <n v="0"/>
    <n v="0"/>
    <n v="0.255"/>
    <n v="-1.49E-2"/>
    <n v="2.0000000000000001E-4"/>
    <n v="-0.69279999999999997"/>
    <n v="0.26269999999999999"/>
    <n v="-8.6999999999999994E-3"/>
    <n v="107"/>
    <n v="0.6"/>
    <n v="49"/>
    <n v="0.75"/>
    <n v="0"/>
    <n v="0"/>
    <n v="1.6131"/>
    <n v="419"/>
    <n v="0"/>
  </r>
  <r>
    <x v="0"/>
    <x v="0"/>
    <s v="SPXW"/>
    <x v="3"/>
    <x v="134"/>
    <s v="p"/>
    <n v="0.85"/>
    <n v="1.9"/>
    <n v="0.85"/>
    <n v="1.05"/>
    <n v="24"/>
    <n v="98"/>
    <n v="0.85"/>
    <n v="98"/>
    <n v="0.95"/>
    <n v="0"/>
    <n v="0"/>
    <n v="0"/>
    <n v="0"/>
    <n v="0.25380000000000003"/>
    <n v="-1.5800000000000002E-2"/>
    <n v="2.0000000000000001E-4"/>
    <n v="-0.72929999999999995"/>
    <n v="0.27500000000000002"/>
    <n v="-9.1999999999999998E-3"/>
    <n v="72"/>
    <n v="0.65"/>
    <n v="76"/>
    <n v="0.8"/>
    <n v="0"/>
    <n v="0"/>
    <n v="0.98960000000000004"/>
    <n v="166"/>
    <n v="0"/>
  </r>
  <r>
    <x v="0"/>
    <x v="0"/>
    <s v="SPXW"/>
    <x v="3"/>
    <x v="135"/>
    <s v="p"/>
    <n v="0.9"/>
    <n v="2"/>
    <n v="0.9"/>
    <n v="1.1000000000000001"/>
    <n v="16"/>
    <n v="28"/>
    <n v="0.9"/>
    <n v="169"/>
    <n v="1"/>
    <n v="0"/>
    <n v="0"/>
    <n v="0"/>
    <n v="0"/>
    <n v="0.25159999999999999"/>
    <n v="-1.6299999999999999E-2"/>
    <n v="2.0000000000000001E-4"/>
    <n v="-0.747"/>
    <n v="0.28260000000000002"/>
    <n v="-9.4999999999999998E-3"/>
    <n v="26"/>
    <n v="0.7"/>
    <n v="23"/>
    <n v="0.8"/>
    <n v="0"/>
    <n v="0"/>
    <n v="1.6294"/>
    <n v="167"/>
    <n v="0"/>
  </r>
  <r>
    <x v="0"/>
    <x v="0"/>
    <s v="SPXW"/>
    <x v="3"/>
    <x v="136"/>
    <s v="p"/>
    <n v="0.95"/>
    <n v="1.95"/>
    <n v="0.85"/>
    <n v="0.95"/>
    <n v="63"/>
    <n v="29"/>
    <n v="0.95"/>
    <n v="193"/>
    <n v="1.05"/>
    <n v="0"/>
    <n v="0"/>
    <n v="0"/>
    <n v="0"/>
    <n v="0.25019999999999998"/>
    <n v="-1.7100000000000001E-2"/>
    <n v="2.9999999999999997E-4"/>
    <n v="-0.78300000000000003"/>
    <n v="0.2949"/>
    <n v="-0.01"/>
    <n v="71"/>
    <n v="0.7"/>
    <n v="48"/>
    <n v="0.85"/>
    <n v="0"/>
    <n v="0"/>
    <n v="1.1940999999999999"/>
    <n v="102"/>
    <n v="0"/>
  </r>
  <r>
    <x v="0"/>
    <x v="0"/>
    <s v="SPXW"/>
    <x v="3"/>
    <x v="137"/>
    <s v="p"/>
    <n v="1"/>
    <n v="2.7"/>
    <n v="0.79"/>
    <n v="0.9"/>
    <n v="221"/>
    <n v="23"/>
    <n v="1"/>
    <n v="35"/>
    <n v="1.05"/>
    <n v="0"/>
    <n v="0"/>
    <n v="0"/>
    <n v="0"/>
    <n v="0.24890000000000001"/>
    <n v="-1.7999999999999999E-2"/>
    <n v="2.9999999999999997E-4"/>
    <n v="-0.81859999999999999"/>
    <n v="0.30709999999999998"/>
    <n v="-1.0500000000000001E-2"/>
    <n v="47"/>
    <n v="0.75"/>
    <n v="76"/>
    <n v="0.9"/>
    <n v="0"/>
    <n v="0"/>
    <n v="1.0418000000000001"/>
    <n v="278"/>
    <n v="0"/>
  </r>
  <r>
    <x v="0"/>
    <x v="0"/>
    <s v="SPXW"/>
    <x v="3"/>
    <x v="138"/>
    <s v="p"/>
    <n v="1.18"/>
    <n v="2.35"/>
    <n v="0.8"/>
    <n v="0.8"/>
    <n v="41"/>
    <n v="22"/>
    <n v="1.05"/>
    <n v="50"/>
    <n v="1.1000000000000001"/>
    <n v="0"/>
    <n v="0"/>
    <n v="0"/>
    <n v="0"/>
    <n v="0.24629999999999999"/>
    <n v="-1.8499999999999999E-2"/>
    <n v="2.9999999999999997E-4"/>
    <n v="-0.83560000000000001"/>
    <n v="0.31509999999999999"/>
    <n v="-1.0800000000000001E-2"/>
    <n v="27"/>
    <n v="0.8"/>
    <n v="104"/>
    <n v="0.95"/>
    <n v="0"/>
    <n v="0"/>
    <n v="1.2463"/>
    <n v="381"/>
    <n v="0"/>
  </r>
  <r>
    <x v="0"/>
    <x v="0"/>
    <s v="SPXW"/>
    <x v="3"/>
    <x v="139"/>
    <s v="p"/>
    <n v="1.27"/>
    <n v="2.3199999999999998"/>
    <n v="0.9"/>
    <n v="1"/>
    <n v="126"/>
    <n v="21"/>
    <n v="1.1000000000000001"/>
    <n v="54"/>
    <n v="1.1499999999999999"/>
    <n v="0"/>
    <n v="0"/>
    <n v="0"/>
    <n v="0"/>
    <n v="0.2447"/>
    <n v="-1.9400000000000001E-2"/>
    <n v="2.9999999999999997E-4"/>
    <n v="-0.87060000000000004"/>
    <n v="0.32769999999999999"/>
    <n v="-1.1299999999999999E-2"/>
    <n v="1"/>
    <n v="0.85"/>
    <n v="22"/>
    <n v="0.95"/>
    <n v="0"/>
    <n v="0"/>
    <n v="1.3536999999999999"/>
    <n v="2114"/>
    <n v="0"/>
  </r>
  <r>
    <x v="0"/>
    <x v="0"/>
    <s v="SPXW"/>
    <x v="3"/>
    <x v="140"/>
    <s v="p"/>
    <n v="1.31"/>
    <n v="2.5"/>
    <n v="1.01"/>
    <n v="1.35"/>
    <n v="10"/>
    <n v="21"/>
    <n v="1.1499999999999999"/>
    <n v="42"/>
    <n v="1.2"/>
    <n v="0"/>
    <n v="0"/>
    <n v="0"/>
    <n v="0"/>
    <n v="0.24299999999999999"/>
    <n v="-2.0299999999999999E-2"/>
    <n v="2.9999999999999997E-4"/>
    <n v="-0.90529999999999999"/>
    <n v="0.34039999999999998"/>
    <n v="-1.18E-2"/>
    <n v="93"/>
    <n v="0.85"/>
    <n v="22"/>
    <n v="1"/>
    <n v="0"/>
    <n v="0"/>
    <n v="1.63"/>
    <n v="2466"/>
    <n v="0"/>
  </r>
  <r>
    <x v="0"/>
    <x v="0"/>
    <s v="SPXW"/>
    <x v="3"/>
    <x v="141"/>
    <s v="p"/>
    <n v="0.94"/>
    <n v="2.65"/>
    <n v="0.9"/>
    <n v="0.9"/>
    <n v="132"/>
    <n v="22"/>
    <n v="1.2"/>
    <n v="189"/>
    <n v="1.3"/>
    <n v="0"/>
    <n v="0"/>
    <n v="0"/>
    <n v="0"/>
    <n v="0.24279999999999999"/>
    <n v="-2.1899999999999999E-2"/>
    <n v="2.9999999999999997E-4"/>
    <n v="-0.97499999999999998"/>
    <n v="0.36199999999999999"/>
    <n v="-1.2699999999999999E-2"/>
    <n v="70"/>
    <n v="0.9"/>
    <n v="42"/>
    <n v="1.05"/>
    <n v="0"/>
    <n v="0"/>
    <n v="1.1841999999999999"/>
    <n v="269"/>
    <n v="0"/>
  </r>
  <r>
    <x v="0"/>
    <x v="0"/>
    <s v="SPXW"/>
    <x v="3"/>
    <x v="142"/>
    <s v="p"/>
    <n v="1.1000000000000001"/>
    <n v="2.85"/>
    <n v="1.1000000000000001"/>
    <n v="1.2"/>
    <n v="44"/>
    <n v="20"/>
    <n v="1.25"/>
    <n v="148"/>
    <n v="1.35"/>
    <n v="0"/>
    <n v="0"/>
    <n v="0"/>
    <n v="0"/>
    <n v="0.24110000000000001"/>
    <n v="-2.2800000000000001E-2"/>
    <n v="2.9999999999999997E-4"/>
    <n v="-1.0086999999999999"/>
    <n v="0.37459999999999999"/>
    <n v="-1.3299999999999999E-2"/>
    <n v="70"/>
    <n v="0.95"/>
    <n v="21"/>
    <n v="1.1000000000000001"/>
    <n v="0"/>
    <n v="0"/>
    <n v="2.0844999999999998"/>
    <n v="39"/>
    <n v="0"/>
  </r>
  <r>
    <x v="0"/>
    <x v="0"/>
    <s v="SPXW"/>
    <x v="3"/>
    <x v="143"/>
    <s v="p"/>
    <n v="1.42"/>
    <n v="2.75"/>
    <n v="1"/>
    <n v="1.1000000000000001"/>
    <n v="903"/>
    <n v="80"/>
    <n v="1.3"/>
    <n v="108"/>
    <n v="1.4"/>
    <n v="0"/>
    <n v="0"/>
    <n v="0"/>
    <n v="0"/>
    <n v="0.2389"/>
    <n v="-2.3699999999999999E-2"/>
    <n v="4.0000000000000002E-4"/>
    <n v="-1.0418000000000001"/>
    <n v="0.3876"/>
    <n v="-1.38E-2"/>
    <n v="96"/>
    <n v="1"/>
    <n v="20"/>
    <n v="1.1499999999999999"/>
    <n v="0"/>
    <n v="0"/>
    <n v="2.1194000000000002"/>
    <n v="398"/>
    <n v="0"/>
  </r>
  <r>
    <x v="0"/>
    <x v="0"/>
    <s v="SPXW"/>
    <x v="3"/>
    <x v="144"/>
    <s v="p"/>
    <n v="1.1499999999999999"/>
    <n v="3.01"/>
    <n v="1.1499999999999999"/>
    <n v="1.2"/>
    <n v="38"/>
    <n v="12"/>
    <n v="1.4"/>
    <n v="31"/>
    <n v="1.45"/>
    <n v="0"/>
    <n v="0"/>
    <n v="0"/>
    <n v="0"/>
    <n v="0.23680000000000001"/>
    <n v="-2.47E-2"/>
    <n v="4.0000000000000002E-4"/>
    <n v="-1.0746"/>
    <n v="0.40050000000000002"/>
    <n v="-1.44E-2"/>
    <n v="1"/>
    <n v="1.1000000000000001"/>
    <n v="83"/>
    <n v="1.25"/>
    <n v="0"/>
    <n v="0"/>
    <n v="2.1446999999999998"/>
    <n v="124"/>
    <n v="0"/>
  </r>
  <r>
    <x v="0"/>
    <x v="0"/>
    <s v="SPXW"/>
    <x v="3"/>
    <x v="145"/>
    <s v="p"/>
    <n v="1.37"/>
    <n v="2.5"/>
    <n v="1.05"/>
    <n v="1.2"/>
    <n v="53"/>
    <n v="11"/>
    <n v="1.45"/>
    <n v="120"/>
    <n v="1.55"/>
    <n v="0"/>
    <n v="0"/>
    <n v="0"/>
    <n v="0"/>
    <n v="0.23619999999999999"/>
    <n v="-2.63E-2"/>
    <n v="4.0000000000000002E-4"/>
    <n v="-1.1414"/>
    <n v="0.42120000000000002"/>
    <n v="-1.54E-2"/>
    <n v="22"/>
    <n v="1.1499999999999999"/>
    <n v="58"/>
    <n v="1.3"/>
    <n v="0"/>
    <n v="0"/>
    <n v="1.5419"/>
    <n v="301"/>
    <n v="0"/>
  </r>
  <r>
    <x v="0"/>
    <x v="0"/>
    <s v="SPXW"/>
    <x v="3"/>
    <x v="146"/>
    <s v="p"/>
    <n v="1.1299999999999999"/>
    <n v="2.78"/>
    <n v="1.1299999999999999"/>
    <n v="1.25"/>
    <n v="17"/>
    <n v="11"/>
    <n v="1.55"/>
    <n v="35"/>
    <n v="1.6"/>
    <n v="0"/>
    <n v="0"/>
    <n v="0"/>
    <n v="0"/>
    <n v="0.23380000000000001"/>
    <n v="-2.7300000000000001E-2"/>
    <n v="4.0000000000000002E-4"/>
    <n v="-1.1731"/>
    <n v="0.43440000000000001"/>
    <n v="-1.5900000000000001E-2"/>
    <n v="47"/>
    <n v="1.2"/>
    <n v="25"/>
    <n v="1.35"/>
    <n v="0"/>
    <n v="0"/>
    <n v="1.3753"/>
    <n v="179"/>
    <n v="0"/>
  </r>
  <r>
    <x v="0"/>
    <x v="0"/>
    <s v="SPXW"/>
    <x v="3"/>
    <x v="147"/>
    <s v="p"/>
    <n v="1.56"/>
    <n v="3.57"/>
    <n v="1.5"/>
    <n v="1.6"/>
    <n v="14"/>
    <n v="75"/>
    <n v="1.6"/>
    <n v="150"/>
    <n v="1.7"/>
    <n v="0"/>
    <n v="0"/>
    <n v="0"/>
    <n v="0"/>
    <n v="0.23300000000000001"/>
    <n v="-2.8899999999999999E-2"/>
    <n v="4.0000000000000002E-4"/>
    <n v="-1.2383"/>
    <n v="0.45500000000000002"/>
    <n v="-1.6899999999999998E-2"/>
    <n v="1"/>
    <n v="1.3"/>
    <n v="57"/>
    <n v="1.45"/>
    <n v="0"/>
    <n v="0"/>
    <n v="2.3243"/>
    <n v="1049"/>
    <n v="0"/>
  </r>
  <r>
    <x v="0"/>
    <x v="0"/>
    <s v="SPXW"/>
    <x v="3"/>
    <x v="148"/>
    <s v="p"/>
    <n v="1.8"/>
    <n v="3.41"/>
    <n v="1.24"/>
    <n v="1.38"/>
    <n v="337"/>
    <n v="26"/>
    <n v="1.7"/>
    <n v="167"/>
    <n v="1.8"/>
    <n v="0"/>
    <n v="0"/>
    <n v="0"/>
    <n v="0"/>
    <n v="0.23100000000000001"/>
    <n v="-3.0200000000000001E-2"/>
    <n v="5.0000000000000001E-4"/>
    <n v="-1.2857000000000001"/>
    <n v="0.47249999999999998"/>
    <n v="-1.77E-2"/>
    <n v="47"/>
    <n v="1.35"/>
    <n v="24"/>
    <n v="1.5"/>
    <n v="0"/>
    <n v="0"/>
    <n v="1.9946999999999999"/>
    <n v="2472"/>
    <n v="0"/>
  </r>
  <r>
    <x v="0"/>
    <x v="0"/>
    <s v="SPXW"/>
    <x v="3"/>
    <x v="149"/>
    <s v="p"/>
    <n v="1.7"/>
    <n v="3.4"/>
    <n v="1.3"/>
    <n v="1.8"/>
    <n v="11"/>
    <n v="16"/>
    <n v="1.8"/>
    <n v="135"/>
    <n v="1.9"/>
    <n v="0"/>
    <n v="0"/>
    <n v="0"/>
    <n v="0"/>
    <n v="0.2298"/>
    <n v="-3.1899999999999998E-2"/>
    <n v="5.0000000000000001E-4"/>
    <n v="-1.349"/>
    <n v="0.49349999999999999"/>
    <n v="-1.8599999999999998E-2"/>
    <n v="1"/>
    <n v="1.45"/>
    <n v="56"/>
    <n v="1.6"/>
    <n v="0"/>
    <n v="0"/>
    <n v="2.1682000000000001"/>
    <n v="178"/>
    <n v="0"/>
  </r>
  <r>
    <x v="0"/>
    <x v="0"/>
    <s v="SPXW"/>
    <x v="3"/>
    <x v="150"/>
    <s v="p"/>
    <n v="1.96"/>
    <n v="4.7699999999999996"/>
    <n v="1.55"/>
    <n v="1.7"/>
    <n v="74"/>
    <n v="11"/>
    <n v="1.9"/>
    <n v="7"/>
    <n v="1.95"/>
    <n v="0"/>
    <n v="0"/>
    <n v="0"/>
    <n v="0"/>
    <n v="0.22770000000000001"/>
    <n v="-3.3300000000000003E-2"/>
    <n v="5.0000000000000001E-4"/>
    <n v="-1.3948"/>
    <n v="0.51119999999999999"/>
    <n v="-1.95E-2"/>
    <n v="60"/>
    <n v="1.5"/>
    <n v="55"/>
    <n v="1.7"/>
    <n v="0"/>
    <n v="0"/>
    <n v="3.4523000000000001"/>
    <n v="190"/>
    <n v="0"/>
  </r>
  <r>
    <x v="0"/>
    <x v="0"/>
    <s v="SPXW"/>
    <x v="3"/>
    <x v="151"/>
    <s v="p"/>
    <n v="1.95"/>
    <n v="5.3"/>
    <n v="1.25"/>
    <n v="1.75"/>
    <n v="71"/>
    <n v="11"/>
    <n v="2"/>
    <n v="1"/>
    <n v="2.0499999999999998"/>
    <n v="0"/>
    <n v="0"/>
    <n v="0"/>
    <n v="0"/>
    <n v="0.2263"/>
    <n v="-3.5000000000000003E-2"/>
    <n v="5.0000000000000001E-4"/>
    <n v="-1.4561999999999999"/>
    <n v="0.53220000000000001"/>
    <n v="-2.0500000000000001E-2"/>
    <n v="60"/>
    <n v="1.6"/>
    <n v="55"/>
    <n v="1.8"/>
    <n v="0"/>
    <n v="0"/>
    <n v="2.5251999999999999"/>
    <n v="255"/>
    <n v="0"/>
  </r>
  <r>
    <x v="0"/>
    <x v="0"/>
    <s v="SPXW"/>
    <x v="3"/>
    <x v="152"/>
    <s v="p"/>
    <n v="2.2200000000000002"/>
    <n v="4.4000000000000004"/>
    <n v="2.0499999999999998"/>
    <n v="2.12"/>
    <n v="88"/>
    <n v="16"/>
    <n v="2.1"/>
    <n v="101"/>
    <n v="2.2000000000000002"/>
    <n v="0"/>
    <n v="0"/>
    <n v="0"/>
    <n v="0"/>
    <n v="0.22500000000000001"/>
    <n v="-3.7100000000000001E-2"/>
    <n v="5.9999999999999995E-4"/>
    <n v="-1.5323"/>
    <n v="0.55720000000000003"/>
    <n v="-2.1700000000000001E-2"/>
    <n v="58"/>
    <n v="1.7"/>
    <n v="54"/>
    <n v="1.9"/>
    <n v="0"/>
    <n v="0"/>
    <n v="3.4963000000000002"/>
    <n v="95"/>
    <n v="0"/>
  </r>
  <r>
    <x v="0"/>
    <x v="0"/>
    <s v="SPXW"/>
    <x v="3"/>
    <x v="153"/>
    <s v="p"/>
    <n v="1.85"/>
    <n v="5.8"/>
    <n v="1.6"/>
    <n v="1.83"/>
    <n v="102"/>
    <n v="85"/>
    <n v="2.2000000000000002"/>
    <n v="136"/>
    <n v="2.35"/>
    <n v="0"/>
    <n v="0"/>
    <n v="0"/>
    <n v="0"/>
    <n v="0.2238"/>
    <n v="-3.9100000000000003E-2"/>
    <n v="5.9999999999999995E-4"/>
    <n v="-1.6071"/>
    <n v="0.58130000000000004"/>
    <n v="-2.29E-2"/>
    <n v="78"/>
    <n v="1.8"/>
    <n v="83"/>
    <n v="2.0499999999999998"/>
    <n v="0"/>
    <n v="0"/>
    <n v="2.851"/>
    <n v="223"/>
    <n v="0"/>
  </r>
  <r>
    <x v="0"/>
    <x v="0"/>
    <s v="SPXW"/>
    <x v="3"/>
    <x v="154"/>
    <s v="p"/>
    <n v="2.2999999999999998"/>
    <n v="5.32"/>
    <n v="1.62"/>
    <n v="1.98"/>
    <n v="68"/>
    <n v="24"/>
    <n v="2.35"/>
    <n v="97"/>
    <n v="2.4500000000000002"/>
    <n v="0"/>
    <n v="0"/>
    <n v="0"/>
    <n v="0"/>
    <n v="0.22239999999999999"/>
    <n v="-4.1200000000000001E-2"/>
    <n v="5.9999999999999995E-4"/>
    <n v="-1.6802999999999999"/>
    <n v="0.60550000000000004"/>
    <n v="-2.4199999999999999E-2"/>
    <n v="70"/>
    <n v="1.95"/>
    <n v="17"/>
    <n v="2.1"/>
    <n v="0"/>
    <n v="0"/>
    <n v="2.5554000000000001"/>
    <n v="94"/>
    <n v="0"/>
  </r>
  <r>
    <x v="0"/>
    <x v="0"/>
    <s v="SPXW"/>
    <x v="3"/>
    <x v="155"/>
    <s v="p"/>
    <n v="1.7"/>
    <n v="8.27"/>
    <n v="1.7"/>
    <n v="2.15"/>
    <n v="284"/>
    <n v="85"/>
    <n v="2.4500000000000002"/>
    <n v="97"/>
    <n v="2.6"/>
    <n v="0"/>
    <n v="0"/>
    <n v="0"/>
    <n v="0"/>
    <n v="0.22120000000000001"/>
    <n v="-4.36E-2"/>
    <n v="5.9999999999999995E-4"/>
    <n v="-1.7676000000000001"/>
    <n v="0.63319999999999999"/>
    <n v="-2.5600000000000001E-2"/>
    <n v="75"/>
    <n v="2.0499999999999998"/>
    <n v="40"/>
    <n v="2.25"/>
    <n v="0"/>
    <n v="0"/>
    <n v="6.8932000000000002"/>
    <n v="292"/>
    <n v="0"/>
  </r>
  <r>
    <x v="0"/>
    <x v="0"/>
    <s v="SPXW"/>
    <x v="3"/>
    <x v="156"/>
    <s v="p"/>
    <n v="1.68"/>
    <n v="5.3"/>
    <n v="1.68"/>
    <n v="2.2999999999999998"/>
    <n v="57"/>
    <n v="86"/>
    <n v="2.6"/>
    <n v="96"/>
    <n v="2.75"/>
    <n v="0"/>
    <n v="0"/>
    <n v="0"/>
    <n v="0"/>
    <n v="0.2198"/>
    <n v="-4.6100000000000002E-2"/>
    <n v="6.9999999999999999E-4"/>
    <n v="-1.8528"/>
    <n v="0.66139999999999999"/>
    <n v="-2.7E-2"/>
    <n v="75"/>
    <n v="2.2000000000000002"/>
    <n v="70"/>
    <n v="2.4"/>
    <n v="0"/>
    <n v="0"/>
    <n v="3.4443999999999999"/>
    <n v="87"/>
    <n v="0"/>
  </r>
  <r>
    <x v="0"/>
    <x v="0"/>
    <s v="SPXW"/>
    <x v="3"/>
    <x v="157"/>
    <s v="p"/>
    <n v="2.15"/>
    <n v="6.22"/>
    <n v="1.81"/>
    <n v="2.2999999999999998"/>
    <n v="69"/>
    <n v="78"/>
    <n v="2.75"/>
    <n v="95"/>
    <n v="2.9"/>
    <n v="0"/>
    <n v="0"/>
    <n v="0"/>
    <n v="0"/>
    <n v="0.2185"/>
    <n v="-4.8500000000000001E-2"/>
    <n v="6.9999999999999999E-4"/>
    <n v="-1.9366000000000001"/>
    <n v="0.68889999999999996"/>
    <n v="-2.8500000000000001E-2"/>
    <n v="66"/>
    <n v="2.35"/>
    <n v="70"/>
    <n v="2.5499999999999998"/>
    <n v="0"/>
    <n v="0"/>
    <n v="3.6078000000000001"/>
    <n v="133"/>
    <n v="0"/>
  </r>
  <r>
    <x v="0"/>
    <x v="0"/>
    <s v="SPXW"/>
    <x v="3"/>
    <x v="158"/>
    <s v="p"/>
    <n v="2.8"/>
    <n v="6.26"/>
    <n v="1.85"/>
    <n v="2.6"/>
    <n v="123"/>
    <n v="9"/>
    <n v="2.95"/>
    <n v="176"/>
    <n v="3.1"/>
    <n v="0"/>
    <n v="0"/>
    <n v="0"/>
    <n v="0"/>
    <n v="0.21729999999999999"/>
    <n v="-5.1299999999999998E-2"/>
    <n v="6.9999999999999999E-4"/>
    <n v="-2.0327999999999999"/>
    <n v="0.7198"/>
    <n v="-3.0099999999999998E-2"/>
    <n v="67"/>
    <n v="2.5"/>
    <n v="89"/>
    <n v="2.7"/>
    <n v="0"/>
    <n v="0"/>
    <n v="2.9380000000000002"/>
    <n v="358"/>
    <n v="0"/>
  </r>
  <r>
    <x v="0"/>
    <x v="0"/>
    <s v="SPXW"/>
    <x v="3"/>
    <x v="159"/>
    <s v="p"/>
    <n v="3.2"/>
    <n v="7.23"/>
    <n v="1.87"/>
    <n v="2.77"/>
    <n v="182"/>
    <n v="28"/>
    <n v="3.1"/>
    <n v="140"/>
    <n v="3.3"/>
    <n v="0"/>
    <n v="0"/>
    <n v="0"/>
    <n v="0"/>
    <n v="0.21560000000000001"/>
    <n v="-5.3900000000000003E-2"/>
    <n v="8.0000000000000004E-4"/>
    <n v="-2.1126999999999998"/>
    <n v="0.74729999999999996"/>
    <n v="-3.1699999999999999E-2"/>
    <n v="67"/>
    <n v="2.65"/>
    <n v="40"/>
    <n v="2.85"/>
    <n v="0"/>
    <n v="0"/>
    <n v="3.9382000000000001"/>
    <n v="317"/>
    <n v="0"/>
  </r>
  <r>
    <x v="0"/>
    <x v="0"/>
    <s v="SPXW"/>
    <x v="3"/>
    <x v="160"/>
    <s v="p"/>
    <n v="3.2"/>
    <n v="6.97"/>
    <n v="2.1"/>
    <n v="2.8"/>
    <n v="80"/>
    <n v="27"/>
    <n v="3.3"/>
    <n v="17"/>
    <n v="3.4"/>
    <n v="0"/>
    <n v="0"/>
    <n v="0"/>
    <n v="0"/>
    <n v="0.21360000000000001"/>
    <n v="-5.6500000000000002E-2"/>
    <n v="8.0000000000000004E-4"/>
    <n v="-2.1901000000000002"/>
    <n v="0.77500000000000002"/>
    <n v="-3.32E-2"/>
    <n v="24"/>
    <n v="2.85"/>
    <n v="14"/>
    <n v="3"/>
    <n v="0"/>
    <n v="0"/>
    <n v="4.7115999999999998"/>
    <n v="240"/>
    <n v="0"/>
  </r>
  <r>
    <x v="0"/>
    <x v="0"/>
    <s v="SPXW"/>
    <x v="3"/>
    <x v="161"/>
    <s v="p"/>
    <n v="3.55"/>
    <n v="7.3"/>
    <n v="2.0499999999999998"/>
    <n v="3.1"/>
    <n v="96"/>
    <n v="19"/>
    <n v="3.5"/>
    <n v="16"/>
    <n v="3.6"/>
    <n v="0"/>
    <n v="0"/>
    <n v="0"/>
    <n v="0"/>
    <n v="0.21229999999999999"/>
    <n v="-5.9700000000000003E-2"/>
    <n v="8.9999999999999998E-4"/>
    <n v="-2.294"/>
    <n v="0.80789999999999995"/>
    <n v="-3.5099999999999999E-2"/>
    <n v="58"/>
    <n v="3"/>
    <n v="18"/>
    <n v="3.2"/>
    <n v="0"/>
    <n v="0"/>
    <n v="4.6543999999999999"/>
    <n v="263"/>
    <n v="0"/>
  </r>
  <r>
    <x v="0"/>
    <x v="0"/>
    <s v="SPXW"/>
    <x v="3"/>
    <x v="162"/>
    <s v="p"/>
    <n v="3.28"/>
    <n v="7"/>
    <n v="2.7"/>
    <n v="3.2"/>
    <n v="46"/>
    <n v="24"/>
    <n v="3.7"/>
    <n v="111"/>
    <n v="3.9"/>
    <n v="0"/>
    <n v="0"/>
    <n v="0"/>
    <n v="0"/>
    <n v="0.2114"/>
    <n v="-6.3399999999999998E-2"/>
    <n v="8.9999999999999998E-4"/>
    <n v="-2.4224999999999999"/>
    <n v="0.84630000000000005"/>
    <n v="-3.73E-2"/>
    <n v="57"/>
    <n v="3.2"/>
    <n v="17"/>
    <n v="3.4"/>
    <n v="0"/>
    <n v="0"/>
    <n v="4.1063000000000001"/>
    <n v="182"/>
    <n v="0"/>
  </r>
  <r>
    <x v="0"/>
    <x v="0"/>
    <s v="SPXW"/>
    <x v="3"/>
    <x v="163"/>
    <s v="p"/>
    <n v="3.55"/>
    <n v="11.27"/>
    <n v="2.25"/>
    <n v="3.52"/>
    <n v="1330"/>
    <n v="58"/>
    <n v="3.9"/>
    <n v="89"/>
    <n v="4.0999999999999996"/>
    <n v="0"/>
    <n v="0"/>
    <n v="0"/>
    <n v="0"/>
    <n v="0.2104"/>
    <n v="-6.7299999999999999E-2"/>
    <n v="8.9999999999999998E-4"/>
    <n v="-2.5474000000000001"/>
    <n v="0.88449999999999995"/>
    <n v="-3.9600000000000003E-2"/>
    <n v="70"/>
    <n v="3.4"/>
    <n v="69"/>
    <n v="3.7"/>
    <n v="0"/>
    <n v="0"/>
    <n v="6.625"/>
    <n v="704"/>
    <n v="0"/>
  </r>
  <r>
    <x v="0"/>
    <x v="0"/>
    <s v="SPXW"/>
    <x v="3"/>
    <x v="164"/>
    <s v="p"/>
    <n v="2.73"/>
    <n v="7.72"/>
    <n v="2.2999999999999998"/>
    <n v="3.4"/>
    <n v="704"/>
    <n v="73"/>
    <n v="4.0999999999999996"/>
    <n v="63"/>
    <n v="4.3"/>
    <n v="0"/>
    <n v="0"/>
    <n v="0"/>
    <n v="0"/>
    <n v="0.20860000000000001"/>
    <n v="-7.0599999999999996E-2"/>
    <n v="1E-3"/>
    <n v="-2.6421999999999999"/>
    <n v="0.91749999999999998"/>
    <n v="-4.1599999999999998E-2"/>
    <n v="58"/>
    <n v="3.6"/>
    <n v="56"/>
    <n v="3.9"/>
    <n v="0"/>
    <n v="0"/>
    <n v="3.8624000000000001"/>
    <n v="251"/>
    <n v="0"/>
  </r>
  <r>
    <x v="0"/>
    <x v="0"/>
    <s v="SPXW"/>
    <x v="3"/>
    <x v="165"/>
    <s v="p"/>
    <n v="4"/>
    <n v="8.5299999999999994"/>
    <n v="2.5099999999999998"/>
    <n v="3.7"/>
    <n v="750"/>
    <n v="12"/>
    <n v="4.4000000000000004"/>
    <n v="70"/>
    <n v="4.5999999999999996"/>
    <n v="0"/>
    <n v="0"/>
    <n v="0"/>
    <n v="0"/>
    <n v="0.20780000000000001"/>
    <n v="-7.4999999999999997E-2"/>
    <n v="1E-3"/>
    <n v="-2.7860999999999998"/>
    <n v="0.96030000000000004"/>
    <n v="-4.4200000000000003E-2"/>
    <n v="42"/>
    <n v="3.9"/>
    <n v="24"/>
    <n v="4.0999999999999996"/>
    <n v="0"/>
    <n v="0"/>
    <n v="4.0822000000000003"/>
    <n v="299"/>
    <n v="0"/>
  </r>
  <r>
    <x v="0"/>
    <x v="0"/>
    <s v="SPXW"/>
    <x v="3"/>
    <x v="166"/>
    <s v="p"/>
    <n v="4.05"/>
    <n v="8.7200000000000006"/>
    <n v="3.3"/>
    <n v="4.03"/>
    <n v="736"/>
    <n v="79"/>
    <n v="4.5999999999999996"/>
    <n v="70"/>
    <n v="4.9000000000000004"/>
    <n v="0"/>
    <n v="0"/>
    <n v="0"/>
    <n v="0"/>
    <n v="0.20580000000000001"/>
    <n v="-7.8399999999999997E-2"/>
    <n v="1.1000000000000001E-3"/>
    <n v="-2.8748999999999998"/>
    <n v="0.99260000000000004"/>
    <n v="-4.6300000000000001E-2"/>
    <n v="57"/>
    <n v="4.0999999999999996"/>
    <n v="55"/>
    <n v="4.4000000000000004"/>
    <n v="0"/>
    <n v="0"/>
    <n v="4.3918999999999997"/>
    <n v="259"/>
    <n v="0"/>
  </r>
  <r>
    <x v="0"/>
    <x v="0"/>
    <s v="SPXW"/>
    <x v="3"/>
    <x v="167"/>
    <s v="p"/>
    <n v="3.6"/>
    <n v="7.4"/>
    <n v="2.77"/>
    <n v="4.99"/>
    <n v="202"/>
    <n v="80"/>
    <n v="4.9000000000000004"/>
    <n v="34"/>
    <n v="5.0999999999999996"/>
    <n v="0"/>
    <n v="0"/>
    <n v="0"/>
    <n v="0"/>
    <n v="0.20480000000000001"/>
    <n v="-8.2900000000000001E-2"/>
    <n v="1.1000000000000001E-3"/>
    <n v="-3.0110999999999999"/>
    <n v="1.0331999999999999"/>
    <n v="-4.8899999999999999E-2"/>
    <n v="44"/>
    <n v="4.4000000000000004"/>
    <n v="53"/>
    <n v="4.7"/>
    <n v="0"/>
    <n v="0"/>
    <n v="5.3437000000000001"/>
    <n v="236"/>
    <n v="0"/>
  </r>
  <r>
    <x v="0"/>
    <x v="0"/>
    <s v="SPXW"/>
    <x v="3"/>
    <x v="168"/>
    <s v="p"/>
    <n v="4.05"/>
    <n v="8.49"/>
    <n v="2.96"/>
    <n v="4.8"/>
    <n v="96"/>
    <n v="90"/>
    <n v="5.2"/>
    <n v="45"/>
    <n v="5.4"/>
    <n v="0"/>
    <n v="0"/>
    <n v="0"/>
    <n v="0"/>
    <n v="0.20330000000000001"/>
    <n v="-8.7599999999999997E-2"/>
    <n v="1.1999999999999999E-3"/>
    <n v="-3.1414"/>
    <n v="1.0747"/>
    <n v="-5.1700000000000003E-2"/>
    <n v="52"/>
    <n v="4.7"/>
    <n v="23"/>
    <n v="4.9000000000000004"/>
    <n v="0"/>
    <n v="0"/>
    <n v="4.6478999999999999"/>
    <n v="189"/>
    <n v="0"/>
  </r>
  <r>
    <x v="0"/>
    <x v="0"/>
    <s v="SPXW"/>
    <x v="3"/>
    <x v="169"/>
    <s v="p"/>
    <n v="4.22"/>
    <n v="8.76"/>
    <n v="3.02"/>
    <n v="5.18"/>
    <n v="198"/>
    <n v="17"/>
    <n v="5.6"/>
    <n v="58"/>
    <n v="5.8"/>
    <n v="0"/>
    <n v="0"/>
    <n v="0"/>
    <n v="0"/>
    <n v="0.20180000000000001"/>
    <n v="-9.2200000000000004E-2"/>
    <n v="1.2999999999999999E-3"/>
    <n v="-3.2677"/>
    <n v="1.1156999999999999"/>
    <n v="-5.4399999999999997E-2"/>
    <n v="44"/>
    <n v="5"/>
    <n v="54"/>
    <n v="5.3"/>
    <n v="0"/>
    <n v="0"/>
    <n v="3.8138999999999998"/>
    <n v="155"/>
    <n v="0"/>
  </r>
  <r>
    <x v="0"/>
    <x v="0"/>
    <s v="SPXW"/>
    <x v="3"/>
    <x v="170"/>
    <s v="p"/>
    <n v="4.47"/>
    <n v="9.6999999999999993"/>
    <n v="3.4"/>
    <n v="6.07"/>
    <n v="539"/>
    <n v="71"/>
    <n v="5.9"/>
    <n v="67"/>
    <n v="6.1"/>
    <n v="0"/>
    <n v="0"/>
    <n v="0"/>
    <n v="0"/>
    <n v="0.20100000000000001"/>
    <n v="-9.7900000000000001E-2"/>
    <n v="1.2999999999999999E-3"/>
    <n v="-3.4358"/>
    <n v="1.165"/>
    <n v="-5.7799999999999997E-2"/>
    <n v="18"/>
    <n v="5.4"/>
    <n v="51"/>
    <n v="5.6"/>
    <n v="0"/>
    <n v="0"/>
    <n v="6.2140000000000004"/>
    <n v="486"/>
    <n v="0"/>
  </r>
  <r>
    <x v="0"/>
    <x v="0"/>
    <s v="SPXW"/>
    <x v="3"/>
    <x v="171"/>
    <s v="p"/>
    <n v="5.33"/>
    <n v="10.25"/>
    <n v="3.22"/>
    <n v="5.8"/>
    <n v="1155"/>
    <n v="38"/>
    <n v="6.3"/>
    <n v="62"/>
    <n v="6.5"/>
    <n v="0"/>
    <n v="0"/>
    <n v="0"/>
    <n v="0"/>
    <n v="0.19919999999999999"/>
    <n v="-0.1027"/>
    <n v="1.4E-3"/>
    <n v="-3.5520999999999998"/>
    <n v="1.2056"/>
    <n v="-6.0699999999999997E-2"/>
    <n v="35"/>
    <n v="5.7"/>
    <n v="22"/>
    <n v="5.9"/>
    <n v="0"/>
    <n v="0"/>
    <n v="5.3868"/>
    <n v="243"/>
    <n v="0"/>
  </r>
  <r>
    <x v="0"/>
    <x v="0"/>
    <s v="SPXW"/>
    <x v="3"/>
    <x v="172"/>
    <s v="p"/>
    <n v="4.49"/>
    <n v="13.05"/>
    <n v="3.72"/>
    <n v="6.4"/>
    <n v="66"/>
    <n v="72"/>
    <n v="6.6"/>
    <n v="28"/>
    <n v="6.8"/>
    <n v="0"/>
    <n v="0"/>
    <n v="0"/>
    <n v="0"/>
    <n v="0.19800000000000001"/>
    <n v="-0.1085"/>
    <n v="1.4E-3"/>
    <n v="-3.7075999999999998"/>
    <n v="1.2531000000000001"/>
    <n v="-6.4199999999999993E-2"/>
    <n v="22"/>
    <n v="6.1"/>
    <n v="37"/>
    <n v="6.3"/>
    <n v="0"/>
    <n v="0"/>
    <n v="5.4260999999999999"/>
    <n v="175"/>
    <n v="0"/>
  </r>
  <r>
    <x v="0"/>
    <x v="0"/>
    <s v="SPXW"/>
    <x v="3"/>
    <x v="173"/>
    <s v="p"/>
    <n v="6.13"/>
    <n v="13.65"/>
    <n v="3.68"/>
    <n v="6.5"/>
    <n v="953"/>
    <n v="84"/>
    <n v="7"/>
    <n v="72"/>
    <n v="7.3"/>
    <n v="0"/>
    <n v="0"/>
    <n v="0"/>
    <n v="0"/>
    <n v="0.1966"/>
    <n v="-0.1144"/>
    <n v="1.5E-3"/>
    <n v="-3.8565"/>
    <n v="1.2995000000000001"/>
    <n v="-6.7799999999999999E-2"/>
    <n v="16"/>
    <n v="6.5"/>
    <n v="45"/>
    <n v="6.7"/>
    <n v="0"/>
    <n v="0"/>
    <n v="6.6045999999999996"/>
    <n v="812"/>
    <n v="0"/>
  </r>
  <r>
    <x v="0"/>
    <x v="0"/>
    <s v="SPXW"/>
    <x v="3"/>
    <x v="174"/>
    <s v="p"/>
    <n v="4.9000000000000004"/>
    <n v="13.65"/>
    <n v="4.08"/>
    <n v="7.06"/>
    <n v="1266"/>
    <n v="35"/>
    <n v="7.5"/>
    <n v="57"/>
    <n v="7.7"/>
    <n v="0"/>
    <n v="0"/>
    <n v="0"/>
    <n v="0"/>
    <n v="0.19539999999999999"/>
    <n v="-0.12089999999999999"/>
    <n v="1.6000000000000001E-3"/>
    <n v="-4.0197000000000003"/>
    <n v="1.3488"/>
    <n v="-7.1599999999999997E-2"/>
    <n v="28"/>
    <n v="6.9"/>
    <n v="41"/>
    <n v="7.1"/>
    <n v="0"/>
    <n v="0"/>
    <n v="7.5225999999999997"/>
    <n v="134"/>
    <n v="0"/>
  </r>
  <r>
    <x v="0"/>
    <x v="0"/>
    <s v="SPXW"/>
    <x v="3"/>
    <x v="175"/>
    <s v="p"/>
    <n v="6.63"/>
    <n v="14.07"/>
    <n v="4.12"/>
    <n v="8.01"/>
    <n v="111"/>
    <n v="56"/>
    <n v="7.9"/>
    <n v="25"/>
    <n v="8.1"/>
    <n v="0"/>
    <n v="0"/>
    <n v="0"/>
    <n v="0"/>
    <n v="0.1943"/>
    <n v="-0.1273"/>
    <n v="1.6000000000000001E-3"/>
    <n v="-4.1767000000000003"/>
    <n v="1.3968"/>
    <n v="-7.5300000000000006E-2"/>
    <n v="34"/>
    <n v="7.3"/>
    <n v="37"/>
    <n v="7.6"/>
    <n v="0"/>
    <n v="0"/>
    <n v="7.6718000000000002"/>
    <n v="204"/>
    <n v="0"/>
  </r>
  <r>
    <x v="0"/>
    <x v="0"/>
    <s v="SPXW"/>
    <x v="3"/>
    <x v="176"/>
    <s v="p"/>
    <n v="7.47"/>
    <n v="15"/>
    <n v="4.4000000000000004"/>
    <n v="8.6199999999999992"/>
    <n v="228"/>
    <n v="55"/>
    <n v="8.4"/>
    <n v="29"/>
    <n v="8.6"/>
    <n v="0"/>
    <n v="0"/>
    <n v="0"/>
    <n v="0"/>
    <n v="0.19289999999999999"/>
    <n v="-0.13450000000000001"/>
    <n v="1.6999999999999999E-3"/>
    <n v="-4.3428000000000004"/>
    <n v="1.4496"/>
    <n v="-7.9600000000000004E-2"/>
    <n v="27"/>
    <n v="7.8"/>
    <n v="20"/>
    <n v="8"/>
    <n v="0"/>
    <n v="0"/>
    <n v="7.2262000000000004"/>
    <n v="114"/>
    <n v="0"/>
  </r>
  <r>
    <x v="0"/>
    <x v="0"/>
    <s v="SPXW"/>
    <x v="3"/>
    <x v="177"/>
    <s v="p"/>
    <n v="7.46"/>
    <n v="15.42"/>
    <n v="4.62"/>
    <n v="8.5"/>
    <n v="510"/>
    <n v="57"/>
    <n v="8.9"/>
    <n v="28"/>
    <n v="9.1"/>
    <n v="0"/>
    <n v="0"/>
    <n v="0"/>
    <n v="0"/>
    <n v="0.1915"/>
    <n v="-0.1416"/>
    <n v="1.8E-3"/>
    <n v="-4.5015999999999998"/>
    <n v="1.5004"/>
    <n v="-8.4000000000000005E-2"/>
    <n v="26"/>
    <n v="8.3000000000000007"/>
    <n v="14"/>
    <n v="8.5"/>
    <n v="0"/>
    <n v="0"/>
    <n v="7.1071"/>
    <n v="726"/>
    <n v="0"/>
  </r>
  <r>
    <x v="0"/>
    <x v="0"/>
    <s v="SPXW"/>
    <x v="3"/>
    <x v="178"/>
    <s v="p"/>
    <n v="7.79"/>
    <n v="16.63"/>
    <n v="4.8499999999999996"/>
    <n v="9.9499999999999993"/>
    <n v="448"/>
    <n v="19"/>
    <n v="9.5"/>
    <n v="63"/>
    <n v="9.6999999999999993"/>
    <n v="0"/>
    <n v="0"/>
    <n v="0"/>
    <n v="0"/>
    <n v="0.1898"/>
    <n v="-0.1489"/>
    <n v="1.9E-3"/>
    <n v="-4.6513"/>
    <n v="1.5498000000000001"/>
    <n v="-8.8400000000000006E-2"/>
    <n v="38"/>
    <n v="8.8000000000000007"/>
    <n v="40"/>
    <n v="9.1"/>
    <n v="0"/>
    <n v="0"/>
    <n v="6.7362000000000002"/>
    <n v="611"/>
    <n v="0"/>
  </r>
  <r>
    <x v="0"/>
    <x v="0"/>
    <s v="SPXW"/>
    <x v="3"/>
    <x v="179"/>
    <s v="p"/>
    <n v="8.85"/>
    <n v="17.22"/>
    <n v="4.92"/>
    <n v="9.6999999999999993"/>
    <n v="802"/>
    <n v="49"/>
    <n v="10"/>
    <n v="26"/>
    <n v="10.199999999999999"/>
    <n v="0"/>
    <n v="0"/>
    <n v="0"/>
    <n v="0"/>
    <n v="0.18870000000000001"/>
    <n v="-0.15709999999999999"/>
    <n v="1.9E-3"/>
    <n v="-4.8282999999999996"/>
    <n v="1.6032999999999999"/>
    <n v="-9.3200000000000005E-2"/>
    <n v="14"/>
    <n v="9.4"/>
    <n v="27"/>
    <n v="9.6"/>
    <n v="0"/>
    <n v="0"/>
    <n v="8.3392999999999997"/>
    <n v="423"/>
    <n v="0"/>
  </r>
  <r>
    <x v="0"/>
    <x v="0"/>
    <s v="SPXW"/>
    <x v="3"/>
    <x v="180"/>
    <s v="p"/>
    <n v="8.1"/>
    <n v="18.2"/>
    <n v="5.32"/>
    <n v="10.76"/>
    <n v="60"/>
    <n v="44"/>
    <n v="10.6"/>
    <n v="24"/>
    <n v="10.8"/>
    <n v="0"/>
    <n v="0"/>
    <n v="0"/>
    <n v="0"/>
    <n v="0.18729999999999999"/>
    <n v="-0.16539999999999999"/>
    <n v="2E-3"/>
    <n v="-4.9947999999999997"/>
    <n v="1.6557999999999999"/>
    <n v="-9.8100000000000007E-2"/>
    <n v="37"/>
    <n v="9.9"/>
    <n v="29"/>
    <n v="10.199999999999999"/>
    <n v="0"/>
    <n v="0"/>
    <n v="10.249700000000001"/>
    <n v="92"/>
    <n v="0"/>
  </r>
  <r>
    <x v="0"/>
    <x v="0"/>
    <s v="SPXW"/>
    <x v="3"/>
    <x v="181"/>
    <s v="p"/>
    <n v="8.67"/>
    <n v="18.89"/>
    <n v="5.67"/>
    <n v="9.8000000000000007"/>
    <n v="1260"/>
    <n v="57"/>
    <n v="11.2"/>
    <n v="4"/>
    <n v="11.4"/>
    <n v="0"/>
    <n v="0"/>
    <n v="0"/>
    <n v="0"/>
    <n v="0.1857"/>
    <n v="-0.17380000000000001"/>
    <n v="2.0999999999999999E-3"/>
    <n v="-5.1494999999999997"/>
    <n v="1.7081999999999999"/>
    <n v="-0.1032"/>
    <n v="24"/>
    <n v="10.6"/>
    <n v="12"/>
    <n v="10.8"/>
    <n v="0"/>
    <n v="0"/>
    <n v="10.510199999999999"/>
    <n v="218"/>
    <n v="0"/>
  </r>
  <r>
    <x v="0"/>
    <x v="0"/>
    <s v="SPXW"/>
    <x v="3"/>
    <x v="182"/>
    <s v="p"/>
    <n v="9.19"/>
    <n v="20.2"/>
    <n v="6.27"/>
    <n v="11.59"/>
    <n v="272"/>
    <n v="25"/>
    <n v="11.9"/>
    <n v="23"/>
    <n v="12.1"/>
    <n v="0"/>
    <n v="0"/>
    <n v="0"/>
    <n v="0"/>
    <n v="0.1845"/>
    <n v="-0.18310000000000001"/>
    <n v="2.2000000000000001E-3"/>
    <n v="-5.3266"/>
    <n v="1.764"/>
    <n v="-0.10879999999999999"/>
    <n v="28"/>
    <n v="11.2"/>
    <n v="27"/>
    <n v="11.5"/>
    <n v="0"/>
    <n v="0"/>
    <n v="13.812200000000001"/>
    <n v="256"/>
    <n v="0"/>
  </r>
  <r>
    <x v="0"/>
    <x v="0"/>
    <s v="SPXW"/>
    <x v="3"/>
    <x v="183"/>
    <s v="p"/>
    <n v="10.1"/>
    <n v="20.8"/>
    <n v="6.13"/>
    <n v="12"/>
    <n v="808"/>
    <n v="32"/>
    <n v="12.6"/>
    <n v="30"/>
    <n v="12.8"/>
    <n v="0"/>
    <n v="0"/>
    <n v="0"/>
    <n v="0"/>
    <n v="0.183"/>
    <n v="-0.19259999999999999"/>
    <n v="2.3E-3"/>
    <n v="-5.4901"/>
    <n v="1.8177000000000001"/>
    <n v="-0.11459999999999999"/>
    <n v="36"/>
    <n v="11.9"/>
    <n v="33"/>
    <n v="12.2"/>
    <n v="0"/>
    <n v="0"/>
    <n v="12.283300000000001"/>
    <n v="779"/>
    <n v="0"/>
  </r>
  <r>
    <x v="0"/>
    <x v="0"/>
    <s v="SPXW"/>
    <x v="3"/>
    <x v="184"/>
    <s v="p"/>
    <n v="10.96"/>
    <n v="19.27"/>
    <n v="6.6"/>
    <n v="12.1"/>
    <n v="169"/>
    <n v="38"/>
    <n v="13.3"/>
    <n v="4"/>
    <n v="13.5"/>
    <n v="0"/>
    <n v="0"/>
    <n v="0"/>
    <n v="0"/>
    <n v="0.18129999999999999"/>
    <n v="-0.20219999999999999"/>
    <n v="2.3999999999999998E-3"/>
    <n v="-5.6403999999999996"/>
    <n v="1.8694"/>
    <n v="-0.1203"/>
    <n v="12"/>
    <n v="12.7"/>
    <n v="11"/>
    <n v="12.9"/>
    <n v="0"/>
    <n v="0"/>
    <n v="12.7864"/>
    <n v="118"/>
    <n v="0"/>
  </r>
  <r>
    <x v="0"/>
    <x v="0"/>
    <s v="SPXW"/>
    <x v="3"/>
    <x v="185"/>
    <s v="p"/>
    <n v="10.72"/>
    <n v="22.98"/>
    <n v="6.92"/>
    <n v="13.9"/>
    <n v="176"/>
    <n v="21"/>
    <n v="14.1"/>
    <n v="9"/>
    <n v="14.3"/>
    <n v="0"/>
    <n v="0"/>
    <n v="0"/>
    <n v="0"/>
    <n v="0.1797"/>
    <n v="-0.21240000000000001"/>
    <n v="2.5000000000000001E-3"/>
    <n v="-5.7915999999999999"/>
    <n v="1.9218999999999999"/>
    <n v="-0.1263"/>
    <n v="28"/>
    <n v="13.4"/>
    <n v="22"/>
    <n v="13.7"/>
    <n v="0"/>
    <n v="0"/>
    <n v="10.533899999999999"/>
    <n v="176"/>
    <n v="0"/>
  </r>
  <r>
    <x v="0"/>
    <x v="0"/>
    <s v="SPXW"/>
    <x v="3"/>
    <x v="186"/>
    <s v="p"/>
    <n v="10.64"/>
    <n v="21.66"/>
    <n v="7.25"/>
    <n v="13.6"/>
    <n v="78"/>
    <n v="28"/>
    <n v="14.9"/>
    <n v="4"/>
    <n v="15.1"/>
    <n v="0"/>
    <n v="0"/>
    <n v="0"/>
    <n v="0"/>
    <n v="0.17829999999999999"/>
    <n v="-0.2233"/>
    <n v="2.5999999999999999E-3"/>
    <n v="-5.9576000000000002"/>
    <n v="1.9766999999999999"/>
    <n v="-0.13289999999999999"/>
    <n v="17"/>
    <n v="14.3"/>
    <n v="11"/>
    <n v="14.5"/>
    <n v="0"/>
    <n v="0"/>
    <n v="14.104200000000001"/>
    <n v="186"/>
    <n v="0"/>
  </r>
  <r>
    <x v="0"/>
    <x v="0"/>
    <s v="SPXW"/>
    <x v="3"/>
    <x v="187"/>
    <s v="p"/>
    <n v="13"/>
    <n v="25"/>
    <n v="7.58"/>
    <n v="15.6"/>
    <n v="413"/>
    <n v="20"/>
    <n v="15.8"/>
    <n v="19"/>
    <n v="16"/>
    <n v="0"/>
    <n v="0"/>
    <n v="0"/>
    <n v="0"/>
    <n v="0.17649999999999999"/>
    <n v="-0.23419999999999999"/>
    <n v="2.5999999999999999E-3"/>
    <n v="-6.0925000000000002"/>
    <n v="2.0287999999999999"/>
    <n v="-0.13950000000000001"/>
    <n v="25"/>
    <n v="15.1"/>
    <n v="21"/>
    <n v="15.4"/>
    <n v="0"/>
    <n v="0"/>
    <n v="14.6671"/>
    <n v="275"/>
    <n v="0"/>
  </r>
  <r>
    <x v="0"/>
    <x v="0"/>
    <s v="SPXW"/>
    <x v="3"/>
    <x v="188"/>
    <s v="p"/>
    <n v="13.71"/>
    <n v="31.73"/>
    <n v="8.0299999999999994"/>
    <n v="16.55"/>
    <n v="1327"/>
    <n v="20"/>
    <n v="16.7"/>
    <n v="27"/>
    <n v="16.899999999999999"/>
    <n v="0"/>
    <n v="0"/>
    <n v="0"/>
    <n v="0"/>
    <n v="0.1749"/>
    <n v="-0.24579999999999999"/>
    <n v="2.7000000000000001E-3"/>
    <n v="-6.2381000000000002"/>
    <n v="2.0813000000000001"/>
    <n v="-0.14649999999999999"/>
    <n v="47"/>
    <n v="16"/>
    <n v="15"/>
    <n v="16.3"/>
    <n v="0"/>
    <n v="0"/>
    <n v="17.111499999999999"/>
    <n v="135"/>
    <n v="0"/>
  </r>
  <r>
    <x v="0"/>
    <x v="0"/>
    <s v="SPXW"/>
    <x v="3"/>
    <x v="189"/>
    <s v="p"/>
    <n v="13.88"/>
    <n v="27.4"/>
    <n v="8.58"/>
    <n v="17.68"/>
    <n v="487"/>
    <n v="25"/>
    <n v="17.600000000000001"/>
    <n v="4"/>
    <n v="17.8"/>
    <n v="0"/>
    <n v="0"/>
    <n v="0"/>
    <n v="0"/>
    <n v="0.1736"/>
    <n v="-0.25829999999999997"/>
    <n v="2.8E-3"/>
    <n v="-6.3917000000000002"/>
    <n v="2.1335000000000002"/>
    <n v="-0.154"/>
    <n v="23"/>
    <n v="17"/>
    <n v="17"/>
    <n v="17.3"/>
    <n v="0"/>
    <n v="0"/>
    <n v="17.5471"/>
    <n v="187"/>
    <n v="0"/>
  </r>
  <r>
    <x v="0"/>
    <x v="0"/>
    <s v="SPXW"/>
    <x v="3"/>
    <x v="190"/>
    <s v="p"/>
    <n v="16.2"/>
    <n v="24.35"/>
    <n v="9.02"/>
    <n v="18.12"/>
    <n v="150"/>
    <n v="25"/>
    <n v="18.600000000000001"/>
    <n v="3"/>
    <n v="18.8"/>
    <n v="0"/>
    <n v="0"/>
    <n v="0"/>
    <n v="0"/>
    <n v="0.17180000000000001"/>
    <n v="-0.2707"/>
    <n v="2.8999999999999998E-3"/>
    <n v="-6.5125000000000002"/>
    <n v="2.1825999999999999"/>
    <n v="-0.1613"/>
    <n v="11"/>
    <n v="18.100000000000001"/>
    <n v="10"/>
    <n v="18.3"/>
    <n v="0"/>
    <n v="0"/>
    <n v="17.854299999999999"/>
    <n v="115"/>
    <n v="0"/>
  </r>
  <r>
    <x v="0"/>
    <x v="0"/>
    <s v="SPXW"/>
    <x v="3"/>
    <x v="191"/>
    <s v="p"/>
    <n v="15.89"/>
    <n v="27"/>
    <n v="9.69"/>
    <n v="19.72"/>
    <n v="168"/>
    <n v="19"/>
    <n v="19.7"/>
    <n v="17"/>
    <n v="19.899999999999999"/>
    <n v="0"/>
    <n v="0"/>
    <n v="0"/>
    <n v="0"/>
    <n v="0.1701"/>
    <n v="-0.28389999999999999"/>
    <n v="3.0000000000000001E-3"/>
    <n v="-6.6380999999999997"/>
    <n v="2.2322000000000002"/>
    <n v="-0.16930000000000001"/>
    <n v="22"/>
    <n v="19.100000000000001"/>
    <n v="10"/>
    <n v="19.399999999999999"/>
    <n v="0"/>
    <n v="0"/>
    <n v="16.962199999999999"/>
    <n v="258"/>
    <n v="0"/>
  </r>
  <r>
    <x v="0"/>
    <x v="0"/>
    <s v="SPXW"/>
    <x v="3"/>
    <x v="192"/>
    <s v="p"/>
    <n v="16.809999999999999"/>
    <n v="37"/>
    <n v="10.07"/>
    <n v="20.9"/>
    <n v="232"/>
    <n v="15"/>
    <n v="20.8"/>
    <n v="17"/>
    <n v="21"/>
    <n v="0"/>
    <n v="0"/>
    <n v="0"/>
    <n v="0"/>
    <n v="0.16850000000000001"/>
    <n v="-0.29759999999999998"/>
    <n v="3.0999999999999999E-3"/>
    <n v="-6.7530000000000001"/>
    <n v="2.2805"/>
    <n v="-0.17760000000000001"/>
    <n v="17"/>
    <n v="20.3"/>
    <n v="24"/>
    <n v="20.6"/>
    <n v="0"/>
    <n v="0"/>
    <n v="20.597799999999999"/>
    <n v="151"/>
    <n v="0"/>
  </r>
  <r>
    <x v="0"/>
    <x v="0"/>
    <s v="SPXW"/>
    <x v="3"/>
    <x v="193"/>
    <s v="p"/>
    <n v="17.73"/>
    <n v="33.299999999999997"/>
    <n v="10.8"/>
    <n v="22.12"/>
    <n v="269"/>
    <n v="18"/>
    <n v="21.9"/>
    <n v="49"/>
    <n v="22.2"/>
    <n v="0"/>
    <n v="0"/>
    <n v="0"/>
    <n v="0"/>
    <n v="0.16669999999999999"/>
    <n v="-0.31180000000000002"/>
    <n v="3.2000000000000002E-3"/>
    <n v="-6.8562000000000003"/>
    <n v="2.3262"/>
    <n v="-0.1862"/>
    <n v="17"/>
    <n v="21.5"/>
    <n v="28"/>
    <n v="21.8"/>
    <n v="0"/>
    <n v="0"/>
    <n v="21.665099999999999"/>
    <n v="3683"/>
    <n v="0"/>
  </r>
  <r>
    <x v="0"/>
    <x v="0"/>
    <s v="SPXW"/>
    <x v="3"/>
    <x v="194"/>
    <s v="p"/>
    <n v="18.97"/>
    <n v="35.869999999999997"/>
    <n v="11.37"/>
    <n v="22.6"/>
    <n v="196"/>
    <n v="18"/>
    <n v="23.1"/>
    <n v="16"/>
    <n v="23.4"/>
    <n v="0"/>
    <n v="0"/>
    <n v="0"/>
    <n v="0"/>
    <n v="0.16489999999999999"/>
    <n v="-0.32650000000000001"/>
    <n v="3.3E-3"/>
    <n v="-6.9461000000000004"/>
    <n v="2.3692000000000002"/>
    <n v="-0.19489999999999999"/>
    <n v="22"/>
    <n v="22.7"/>
    <n v="9"/>
    <n v="23"/>
    <n v="0"/>
    <n v="0"/>
    <n v="20.553100000000001"/>
    <n v="87"/>
    <n v="0"/>
  </r>
  <r>
    <x v="0"/>
    <x v="0"/>
    <s v="SPXW"/>
    <x v="3"/>
    <x v="195"/>
    <s v="p"/>
    <n v="20.67"/>
    <n v="36.700000000000003"/>
    <n v="12"/>
    <n v="22.69"/>
    <n v="1344"/>
    <n v="17"/>
    <n v="24.4"/>
    <n v="40"/>
    <n v="24.7"/>
    <n v="0"/>
    <n v="0"/>
    <n v="0"/>
    <n v="0"/>
    <n v="0.16309999999999999"/>
    <n v="-0.3417"/>
    <n v="3.3999999999999998E-3"/>
    <n v="-7.0213000000000001"/>
    <n v="2.4102000000000001"/>
    <n v="-0.20399999999999999"/>
    <n v="11"/>
    <n v="24.1"/>
    <n v="24"/>
    <n v="24.4"/>
    <n v="0"/>
    <n v="0"/>
    <n v="24.341999999999999"/>
    <n v="236"/>
    <n v="0"/>
  </r>
  <r>
    <x v="0"/>
    <x v="0"/>
    <s v="SPXW"/>
    <x v="3"/>
    <x v="196"/>
    <s v="p"/>
    <n v="18.21"/>
    <n v="40.4"/>
    <n v="13.39"/>
    <n v="26.15"/>
    <n v="266"/>
    <n v="16"/>
    <n v="25.7"/>
    <n v="14"/>
    <n v="26"/>
    <n v="0"/>
    <n v="0"/>
    <n v="0"/>
    <n v="0"/>
    <n v="0.1613"/>
    <n v="-0.35770000000000002"/>
    <n v="3.5000000000000001E-3"/>
    <n v="-7.09"/>
    <n v="2.4493"/>
    <n v="-0.21379999999999999"/>
    <n v="11"/>
    <n v="25.5"/>
    <n v="24"/>
    <n v="25.8"/>
    <n v="0"/>
    <n v="0"/>
    <n v="31.133199999999999"/>
    <n v="169"/>
    <n v="0"/>
  </r>
  <r>
    <x v="0"/>
    <x v="0"/>
    <s v="SPXW"/>
    <x v="3"/>
    <x v="197"/>
    <s v="p"/>
    <n v="22.4"/>
    <n v="38.700000000000003"/>
    <n v="14.1"/>
    <n v="26.95"/>
    <n v="372"/>
    <n v="18"/>
    <n v="27.1"/>
    <n v="14"/>
    <n v="27.4"/>
    <n v="0"/>
    <n v="0"/>
    <n v="0"/>
    <n v="0"/>
    <n v="0.1595"/>
    <n v="-0.37419999999999998"/>
    <n v="3.5999999999999999E-3"/>
    <n v="-7.1393000000000004"/>
    <n v="2.4849000000000001"/>
    <n v="-0.2238"/>
    <n v="21"/>
    <n v="26.9"/>
    <n v="8"/>
    <n v="27.2"/>
    <n v="0"/>
    <n v="0"/>
    <n v="26.484100000000002"/>
    <n v="309"/>
    <n v="0"/>
  </r>
  <r>
    <x v="0"/>
    <x v="0"/>
    <s v="SPXW"/>
    <x v="3"/>
    <x v="198"/>
    <s v="p"/>
    <n v="21.6"/>
    <n v="43.9"/>
    <n v="14.36"/>
    <n v="29.3"/>
    <n v="277"/>
    <n v="15"/>
    <n v="28.6"/>
    <n v="19"/>
    <n v="28.9"/>
    <n v="0"/>
    <n v="0"/>
    <n v="0"/>
    <n v="0"/>
    <n v="0.15770000000000001"/>
    <n v="-0.39129999999999998"/>
    <n v="3.7000000000000002E-3"/>
    <n v="-7.1779000000000002"/>
    <n v="2.5165999999999999"/>
    <n v="-0.23400000000000001"/>
    <n v="10"/>
    <n v="28.5"/>
    <n v="17"/>
    <n v="28.8"/>
    <n v="0"/>
    <n v="0"/>
    <n v="26.6768"/>
    <n v="187"/>
    <n v="0"/>
  </r>
  <r>
    <x v="0"/>
    <x v="0"/>
    <s v="SPXW"/>
    <x v="3"/>
    <x v="199"/>
    <s v="p"/>
    <n v="24.88"/>
    <n v="45.8"/>
    <n v="15.2"/>
    <n v="31.06"/>
    <n v="430"/>
    <n v="14"/>
    <n v="30.2"/>
    <n v="7"/>
    <n v="30.4"/>
    <n v="0"/>
    <n v="0"/>
    <n v="0"/>
    <n v="0"/>
    <n v="0.15590000000000001"/>
    <n v="-0.40899999999999997"/>
    <n v="3.8E-3"/>
    <n v="-7.1938000000000004"/>
    <n v="2.5442999999999998"/>
    <n v="-0.24460000000000001"/>
    <n v="10"/>
    <n v="30.1"/>
    <n v="17"/>
    <n v="30.4"/>
    <n v="0"/>
    <n v="0"/>
    <n v="35.237299999999998"/>
    <n v="152"/>
    <n v="0"/>
  </r>
  <r>
    <x v="0"/>
    <x v="0"/>
    <s v="SPXW"/>
    <x v="3"/>
    <x v="200"/>
    <s v="p"/>
    <n v="23.03"/>
    <n v="47.08"/>
    <n v="16.2"/>
    <n v="33"/>
    <n v="315"/>
    <n v="13"/>
    <n v="31.8"/>
    <n v="13"/>
    <n v="32.1"/>
    <n v="0"/>
    <n v="0"/>
    <n v="0"/>
    <n v="0"/>
    <n v="0.154"/>
    <n v="-0.42730000000000001"/>
    <n v="3.8999999999999998E-3"/>
    <n v="-7.1948999999999996"/>
    <n v="2.5682"/>
    <n v="-0.25569999999999998"/>
    <n v="15"/>
    <n v="31.8"/>
    <n v="7"/>
    <n v="32.1"/>
    <n v="0"/>
    <n v="0"/>
    <n v="36.890300000000003"/>
    <n v="41"/>
    <n v="0"/>
  </r>
  <r>
    <x v="0"/>
    <x v="0"/>
    <s v="SPXW"/>
    <x v="3"/>
    <x v="201"/>
    <s v="p"/>
    <n v="27.34"/>
    <n v="49.28"/>
    <n v="17.29"/>
    <n v="33.4"/>
    <n v="322"/>
    <n v="16"/>
    <n v="33.5"/>
    <n v="7"/>
    <n v="33.799999999999997"/>
    <n v="0"/>
    <n v="0"/>
    <n v="0"/>
    <n v="0"/>
    <n v="0.15210000000000001"/>
    <n v="-0.4461"/>
    <n v="4.0000000000000001E-3"/>
    <n v="-7.1688999999999998"/>
    <n v="2.5870000000000002"/>
    <n v="-0.26719999999999999"/>
    <n v="11"/>
    <n v="33.6"/>
    <n v="7"/>
    <n v="33.9"/>
    <n v="0"/>
    <n v="0"/>
    <n v="34.783799999999999"/>
    <n v="215"/>
    <n v="0"/>
  </r>
  <r>
    <x v="0"/>
    <x v="0"/>
    <s v="SPXW"/>
    <x v="3"/>
    <x v="202"/>
    <s v="p"/>
    <n v="29.3"/>
    <n v="53.02"/>
    <n v="18.29"/>
    <n v="35.380000000000003"/>
    <n v="579"/>
    <n v="16"/>
    <n v="35.299999999999997"/>
    <n v="6"/>
    <n v="35.6"/>
    <n v="0"/>
    <n v="0"/>
    <n v="0"/>
    <n v="0"/>
    <n v="0.15010000000000001"/>
    <n v="-0.46560000000000001"/>
    <n v="4.0000000000000001E-3"/>
    <n v="-7.1241000000000003"/>
    <n v="2.6002999999999998"/>
    <n v="-0.27879999999999999"/>
    <n v="9"/>
    <n v="35.5"/>
    <n v="15"/>
    <n v="35.799999999999997"/>
    <n v="0"/>
    <n v="0"/>
    <n v="38.063699999999997"/>
    <n v="122"/>
    <n v="0"/>
  </r>
  <r>
    <x v="0"/>
    <x v="0"/>
    <s v="SPXW"/>
    <x v="3"/>
    <x v="203"/>
    <s v="p"/>
    <n v="29.48"/>
    <n v="56.34"/>
    <n v="19.27"/>
    <n v="37.44"/>
    <n v="720"/>
    <n v="10"/>
    <n v="37.299999999999997"/>
    <n v="17"/>
    <n v="37.6"/>
    <n v="0"/>
    <n v="0"/>
    <n v="0"/>
    <n v="0"/>
    <n v="0.1482"/>
    <n v="-0.48559999999999998"/>
    <n v="4.1000000000000003E-3"/>
    <n v="-7.0586000000000002"/>
    <n v="2.6080000000000001"/>
    <n v="-0.2908"/>
    <n v="8"/>
    <n v="37.5"/>
    <n v="18"/>
    <n v="37.799999999999997"/>
    <n v="0"/>
    <n v="0"/>
    <n v="36.000900000000001"/>
    <n v="530"/>
    <n v="0"/>
  </r>
  <r>
    <x v="0"/>
    <x v="0"/>
    <s v="SPXW"/>
    <x v="3"/>
    <x v="204"/>
    <s v="p"/>
    <n v="31.05"/>
    <n v="49.3"/>
    <n v="23.47"/>
    <n v="39.5"/>
    <n v="114"/>
    <n v="12"/>
    <n v="39.299999999999997"/>
    <n v="8"/>
    <n v="39.6"/>
    <n v="0"/>
    <n v="0"/>
    <n v="0"/>
    <n v="0"/>
    <n v="0.1462"/>
    <n v="-0.50619999999999998"/>
    <n v="4.1999999999999997E-3"/>
    <n v="-6.9701000000000004"/>
    <n v="2.6093000000000002"/>
    <n v="-0.3034"/>
    <n v="9"/>
    <n v="39.6"/>
    <n v="7"/>
    <n v="39.9"/>
    <n v="0"/>
    <n v="0"/>
    <n v="39.190600000000003"/>
    <n v="129"/>
    <n v="0"/>
  </r>
  <r>
    <x v="0"/>
    <x v="0"/>
    <s v="SPXW"/>
    <x v="3"/>
    <x v="205"/>
    <s v="p"/>
    <n v="34.090000000000003"/>
    <n v="61.76"/>
    <n v="24.07"/>
    <n v="41.73"/>
    <n v="111"/>
    <n v="12"/>
    <n v="41.4"/>
    <n v="6"/>
    <n v="41.7"/>
    <n v="0"/>
    <n v="0"/>
    <n v="0"/>
    <n v="0"/>
    <n v="0.14449999999999999"/>
    <n v="-0.5272"/>
    <n v="4.1999999999999997E-3"/>
    <n v="-6.8659999999999997"/>
    <n v="2.6038999999999999"/>
    <n v="-0.31609999999999999"/>
    <n v="8"/>
    <n v="41.8"/>
    <n v="7"/>
    <n v="42.1"/>
    <n v="0"/>
    <n v="0"/>
    <n v="39.723100000000002"/>
    <n v="167"/>
    <n v="0"/>
  </r>
  <r>
    <x v="0"/>
    <x v="0"/>
    <s v="SPXW"/>
    <x v="3"/>
    <x v="206"/>
    <s v="p"/>
    <n v="36.33"/>
    <n v="64.36"/>
    <n v="23.74"/>
    <n v="44.9"/>
    <n v="150"/>
    <n v="12"/>
    <n v="43.6"/>
    <n v="6"/>
    <n v="43.9"/>
    <n v="0"/>
    <n v="0"/>
    <n v="0"/>
    <n v="0"/>
    <n v="0.14269999999999999"/>
    <n v="-0.54869999999999997"/>
    <n v="4.1999999999999997E-3"/>
    <n v="-6.7366999999999999"/>
    <n v="2.5914000000000001"/>
    <n v="-0.32890000000000003"/>
    <n v="8"/>
    <n v="44.1"/>
    <n v="7"/>
    <n v="44.4"/>
    <n v="0"/>
    <n v="0"/>
    <n v="38.220199999999998"/>
    <n v="111"/>
    <n v="0"/>
  </r>
  <r>
    <x v="0"/>
    <x v="0"/>
    <s v="SPXW"/>
    <x v="3"/>
    <x v="207"/>
    <s v="p"/>
    <n v="38.1"/>
    <n v="67.790000000000006"/>
    <n v="24.77"/>
    <n v="46.83"/>
    <n v="335"/>
    <n v="11"/>
    <n v="46"/>
    <n v="6"/>
    <n v="46.3"/>
    <n v="0"/>
    <n v="0"/>
    <n v="0"/>
    <n v="0"/>
    <n v="0.14069999999999999"/>
    <n v="-0.57079999999999997"/>
    <n v="4.3E-3"/>
    <n v="-6.5712999999999999"/>
    <n v="2.5708000000000002"/>
    <n v="-0.34239999999999998"/>
    <n v="7"/>
    <n v="46.5"/>
    <n v="6"/>
    <n v="46.8"/>
    <n v="0"/>
    <n v="0"/>
    <n v="36.738199999999999"/>
    <n v="73"/>
    <n v="0"/>
  </r>
  <r>
    <x v="0"/>
    <x v="0"/>
    <s v="SPXW"/>
    <x v="3"/>
    <x v="208"/>
    <s v="p"/>
    <n v="38.58"/>
    <n v="59.9"/>
    <n v="26.4"/>
    <n v="49.37"/>
    <n v="414"/>
    <n v="10"/>
    <n v="48.5"/>
    <n v="8"/>
    <n v="48.8"/>
    <n v="0"/>
    <n v="0"/>
    <n v="0"/>
    <n v="0"/>
    <n v="0.1389"/>
    <n v="-0.59299999999999997"/>
    <n v="4.3E-3"/>
    <n v="-6.3967999999999998"/>
    <n v="2.5424000000000002"/>
    <n v="-0.35589999999999999"/>
    <n v="7"/>
    <n v="49.1"/>
    <n v="6"/>
    <n v="49.4"/>
    <n v="0"/>
    <n v="0"/>
    <n v="41.746000000000002"/>
    <n v="124"/>
    <n v="0"/>
  </r>
  <r>
    <x v="0"/>
    <x v="0"/>
    <s v="SPXW"/>
    <x v="3"/>
    <x v="209"/>
    <s v="p"/>
    <n v="40.229999999999997"/>
    <n v="61.95"/>
    <n v="28.02"/>
    <n v="52.69"/>
    <n v="256"/>
    <n v="2"/>
    <n v="51.1"/>
    <n v="7"/>
    <n v="51.4"/>
    <n v="0"/>
    <n v="0"/>
    <n v="0"/>
    <n v="0"/>
    <n v="0.13719999999999999"/>
    <n v="-0.61539999999999995"/>
    <n v="4.1999999999999997E-3"/>
    <n v="-6.1947000000000001"/>
    <n v="2.5062000000000002"/>
    <n v="-0.36930000000000002"/>
    <n v="6"/>
    <n v="51.7"/>
    <n v="5"/>
    <n v="52"/>
    <n v="0"/>
    <n v="0"/>
    <n v="37.863300000000002"/>
    <n v="95"/>
    <n v="0"/>
  </r>
  <r>
    <x v="0"/>
    <x v="0"/>
    <s v="SPXW"/>
    <x v="3"/>
    <x v="210"/>
    <s v="p"/>
    <n v="42.9"/>
    <n v="65"/>
    <n v="29.7"/>
    <n v="55.89"/>
    <n v="212"/>
    <n v="6"/>
    <n v="53.8"/>
    <n v="6"/>
    <n v="54.1"/>
    <n v="0"/>
    <n v="0"/>
    <n v="0"/>
    <n v="0"/>
    <n v="0.1353"/>
    <n v="-0.63819999999999999"/>
    <n v="4.1999999999999997E-3"/>
    <n v="-5.9649999999999999"/>
    <n v="2.4607000000000001"/>
    <n v="-0.3831"/>
    <n v="6"/>
    <n v="54.5"/>
    <n v="5"/>
    <n v="54.8"/>
    <n v="0"/>
    <n v="0"/>
    <n v="42.572200000000002"/>
    <n v="67"/>
    <n v="0"/>
  </r>
  <r>
    <x v="0"/>
    <x v="0"/>
    <s v="SPXW"/>
    <x v="3"/>
    <x v="211"/>
    <s v="p"/>
    <n v="45.35"/>
    <n v="72.7"/>
    <n v="31.6"/>
    <n v="57.12"/>
    <n v="242"/>
    <n v="5"/>
    <n v="56.7"/>
    <n v="3"/>
    <n v="56.9"/>
    <n v="0"/>
    <n v="0"/>
    <n v="0"/>
    <n v="0"/>
    <n v="0.13339999999999999"/>
    <n v="-0.66120000000000001"/>
    <n v="4.1999999999999997E-3"/>
    <n v="-5.7065000000000001"/>
    <n v="2.4056999999999999"/>
    <n v="-0.39710000000000001"/>
    <n v="5"/>
    <n v="57.4"/>
    <n v="3"/>
    <n v="57.7"/>
    <n v="0"/>
    <n v="0"/>
    <n v="37.333300000000001"/>
    <n v="268"/>
    <n v="0"/>
  </r>
  <r>
    <x v="0"/>
    <x v="0"/>
    <s v="SPXW"/>
    <x v="3"/>
    <x v="212"/>
    <s v="p"/>
    <n v="33.9"/>
    <n v="76.64"/>
    <n v="33.9"/>
    <n v="60.07"/>
    <n v="13"/>
    <n v="3"/>
    <n v="59.6"/>
    <n v="2"/>
    <n v="59.9"/>
    <n v="0"/>
    <n v="0"/>
    <n v="0"/>
    <n v="0"/>
    <n v="0.13170000000000001"/>
    <n v="-0.68379999999999996"/>
    <n v="4.1000000000000003E-3"/>
    <n v="-5.4432999999999998"/>
    <n v="2.3441000000000001"/>
    <n v="-0.41070000000000001"/>
    <n v="15"/>
    <n v="59.9"/>
    <n v="15"/>
    <n v="61.2"/>
    <n v="0"/>
    <n v="0"/>
    <n v="60.8446"/>
    <n v="221"/>
    <n v="0"/>
  </r>
  <r>
    <x v="0"/>
    <x v="0"/>
    <s v="SPXW"/>
    <x v="3"/>
    <x v="213"/>
    <s v="p"/>
    <n v="52.22"/>
    <n v="75.819999999999993"/>
    <n v="36.08"/>
    <n v="64.510000000000005"/>
    <n v="192"/>
    <n v="20"/>
    <n v="62.1"/>
    <n v="1"/>
    <n v="63.2"/>
    <n v="0"/>
    <n v="0"/>
    <n v="0"/>
    <n v="0"/>
    <n v="0.1295"/>
    <n v="-0.70709999999999995"/>
    <n v="4.0000000000000001E-3"/>
    <n v="-5.1313000000000004"/>
    <n v="2.2704"/>
    <n v="-0.4249"/>
    <n v="15"/>
    <n v="63"/>
    <n v="15"/>
    <n v="64.400000000000006"/>
    <n v="0"/>
    <n v="0"/>
    <n v="47.432499999999997"/>
    <n v="118"/>
    <n v="0"/>
  </r>
  <r>
    <x v="0"/>
    <x v="0"/>
    <s v="SPXW"/>
    <x v="3"/>
    <x v="214"/>
    <s v="p"/>
    <n v="47.55"/>
    <n v="81.7"/>
    <n v="38.369999999999997"/>
    <n v="81.7"/>
    <n v="27"/>
    <n v="21"/>
    <n v="65.3"/>
    <n v="1"/>
    <n v="66.400000000000006"/>
    <n v="0"/>
    <n v="0"/>
    <n v="0"/>
    <n v="0"/>
    <n v="0.12790000000000001"/>
    <n v="-0.72940000000000005"/>
    <n v="3.8999999999999998E-3"/>
    <n v="-4.8304"/>
    <n v="2.1901000000000002"/>
    <n v="-0.4385"/>
    <n v="15"/>
    <n v="66.3"/>
    <n v="15"/>
    <n v="67.7"/>
    <n v="0"/>
    <n v="0"/>
    <n v="47.332999999999998"/>
    <n v="57"/>
    <n v="0"/>
  </r>
  <r>
    <x v="0"/>
    <x v="0"/>
    <s v="SPXW"/>
    <x v="3"/>
    <x v="215"/>
    <s v="p"/>
    <n v="51.7"/>
    <n v="72.349999999999994"/>
    <n v="40.61"/>
    <n v="71.33"/>
    <n v="41"/>
    <n v="21"/>
    <n v="68.7"/>
    <n v="1"/>
    <n v="69.8"/>
    <n v="0"/>
    <n v="0"/>
    <n v="0"/>
    <n v="0"/>
    <n v="0.1263"/>
    <n v="-0.75119999999999998"/>
    <n v="3.8E-3"/>
    <n v="-4.5225999999999997"/>
    <n v="2.1040999999999999"/>
    <n v="-0.4516"/>
    <n v="15"/>
    <n v="69.7"/>
    <n v="15"/>
    <n v="71.2"/>
    <n v="0"/>
    <n v="0"/>
    <n v="55.8202"/>
    <n v="66"/>
    <n v="0"/>
  </r>
  <r>
    <x v="0"/>
    <x v="0"/>
    <s v="SPXW"/>
    <x v="3"/>
    <x v="216"/>
    <s v="p"/>
    <n v="60.3"/>
    <n v="74.84"/>
    <n v="46.23"/>
    <n v="74.84"/>
    <n v="22"/>
    <n v="2"/>
    <n v="71.599999999999994"/>
    <n v="3"/>
    <n v="76.3"/>
    <n v="0"/>
    <n v="0"/>
    <n v="0"/>
    <n v="0"/>
    <n v="0.13089999999999999"/>
    <n v="-0.76160000000000005"/>
    <n v="3.5999999999999999E-3"/>
    <n v="-4.556"/>
    <n v="2.0577999999999999"/>
    <n v="-0.4582"/>
    <n v="3"/>
    <n v="72.7"/>
    <n v="3"/>
    <n v="75.400000000000006"/>
    <n v="0"/>
    <n v="0"/>
    <n v="67.401799999999994"/>
    <n v="54"/>
    <n v="0"/>
  </r>
  <r>
    <x v="0"/>
    <x v="0"/>
    <s v="SPXW"/>
    <x v="3"/>
    <x v="217"/>
    <s v="p"/>
    <n v="57.03"/>
    <n v="87.05"/>
    <n v="50"/>
    <n v="77.180000000000007"/>
    <n v="36"/>
    <n v="3"/>
    <n v="74.900000000000006"/>
    <n v="3"/>
    <n v="80"/>
    <n v="0"/>
    <n v="0"/>
    <n v="0"/>
    <n v="0"/>
    <n v="0.12909999999999999"/>
    <n v="-0.78220000000000001"/>
    <n v="3.5000000000000001E-3"/>
    <n v="-4.2180999999999997"/>
    <n v="1.9615"/>
    <n v="-0.4708"/>
    <n v="2"/>
    <n v="74.2"/>
    <n v="4"/>
    <n v="83.6"/>
    <n v="0"/>
    <n v="0"/>
    <n v="74.950599999999994"/>
    <n v="33"/>
    <n v="0"/>
  </r>
  <r>
    <x v="0"/>
    <x v="0"/>
    <s v="SPXW"/>
    <x v="3"/>
    <x v="218"/>
    <s v="p"/>
    <n v="60.15"/>
    <n v="101.06"/>
    <n v="60.15"/>
    <n v="81.16"/>
    <n v="6"/>
    <n v="1"/>
    <n v="76.7"/>
    <n v="1"/>
    <n v="83.6"/>
    <n v="0"/>
    <n v="0"/>
    <n v="0"/>
    <n v="0"/>
    <n v="0.12189999999999999"/>
    <n v="-0.81299999999999994"/>
    <n v="3.3999999999999998E-3"/>
    <n v="-3.5562"/>
    <n v="1.8044"/>
    <n v="-0.48920000000000002"/>
    <n v="2"/>
    <n v="78"/>
    <n v="1"/>
    <n v="87.4"/>
    <n v="0"/>
    <n v="0"/>
    <n v="77.563299999999998"/>
    <n v="35"/>
    <n v="0"/>
  </r>
  <r>
    <x v="0"/>
    <x v="0"/>
    <s v="SPXW"/>
    <x v="3"/>
    <x v="219"/>
    <s v="p"/>
    <n v="87.49"/>
    <n v="87.49"/>
    <n v="82.69"/>
    <n v="82.69"/>
    <n v="4"/>
    <n v="3"/>
    <n v="82.5"/>
    <n v="1"/>
    <n v="87.5"/>
    <n v="0"/>
    <n v="0"/>
    <n v="0"/>
    <n v="0"/>
    <n v="0.12620000000000001"/>
    <n v="-0.82069999999999999"/>
    <n v="3.2000000000000002E-3"/>
    <n v="-3.5655000000000001"/>
    <n v="1.7588999999999999"/>
    <n v="-0.49419999999999997"/>
    <n v="2"/>
    <n v="81.8"/>
    <n v="4"/>
    <n v="91.4"/>
    <n v="0"/>
    <n v="0"/>
    <n v="86.29"/>
    <n v="25"/>
    <n v="0"/>
  </r>
  <r>
    <x v="0"/>
    <x v="0"/>
    <s v="SPXW"/>
    <x v="3"/>
    <x v="220"/>
    <s v="p"/>
    <n v="73.39"/>
    <n v="106.08"/>
    <n v="73.39"/>
    <n v="89.42"/>
    <n v="13"/>
    <n v="3"/>
    <n v="86.5"/>
    <n v="2"/>
    <n v="91.4"/>
    <n v="0"/>
    <n v="0"/>
    <n v="0"/>
    <n v="0"/>
    <n v="0.1249"/>
    <n v="-0.83840000000000003"/>
    <n v="3.0000000000000001E-3"/>
    <n v="-3.2484999999999999"/>
    <n v="1.6523000000000001"/>
    <n v="-0.50490000000000002"/>
    <n v="2"/>
    <n v="85.8"/>
    <n v="4"/>
    <n v="95.5"/>
    <n v="0"/>
    <n v="0"/>
    <n v="101.00230000000001"/>
    <n v="20"/>
    <n v="0"/>
  </r>
  <r>
    <x v="0"/>
    <x v="0"/>
    <s v="SPXW"/>
    <x v="3"/>
    <x v="221"/>
    <s v="p"/>
    <n v="70.11"/>
    <n v="110.28"/>
    <n v="70.11"/>
    <n v="93.52"/>
    <n v="15"/>
    <n v="3"/>
    <n v="90.4"/>
    <n v="3"/>
    <n v="95.4"/>
    <n v="0"/>
    <n v="0"/>
    <n v="0"/>
    <n v="0"/>
    <n v="0.123"/>
    <n v="-0.85619999999999996"/>
    <n v="2.8E-3"/>
    <n v="-2.9087000000000001"/>
    <n v="1.5385"/>
    <n v="-0.51580000000000004"/>
    <n v="2"/>
    <n v="90"/>
    <n v="4"/>
    <n v="99.7"/>
    <n v="0"/>
    <n v="0"/>
    <n v="103.09529999999999"/>
    <n v="36"/>
    <n v="0"/>
  </r>
  <r>
    <x v="0"/>
    <x v="0"/>
    <s v="SPXW"/>
    <x v="3"/>
    <x v="222"/>
    <s v="p"/>
    <n v="95.08"/>
    <n v="95.08"/>
    <n v="95.08"/>
    <n v="95.08"/>
    <n v="10"/>
    <n v="3"/>
    <n v="94.6"/>
    <n v="2"/>
    <n v="99.6"/>
    <n v="0"/>
    <n v="0"/>
    <n v="0"/>
    <n v="0"/>
    <n v="0.12189999999999999"/>
    <n v="-0.872"/>
    <n v="2.5999999999999999E-3"/>
    <n v="-2.6118999999999999"/>
    <n v="1.4281999999999999"/>
    <n v="-0.52549999999999997"/>
    <n v="2"/>
    <n v="94.2"/>
    <n v="4"/>
    <n v="104"/>
    <n v="0"/>
    <n v="0"/>
    <n v="95.08"/>
    <n v="18"/>
    <n v="0"/>
  </r>
  <r>
    <x v="0"/>
    <x v="0"/>
    <s v="SPXW"/>
    <x v="3"/>
    <x v="223"/>
    <s v="p"/>
    <n v="85.72"/>
    <n v="105.4"/>
    <n v="66.02"/>
    <n v="99.61"/>
    <n v="32"/>
    <n v="3"/>
    <n v="98.9"/>
    <n v="1"/>
    <n v="104"/>
    <n v="0"/>
    <n v="0"/>
    <n v="0"/>
    <n v="0"/>
    <n v="0.12139999999999999"/>
    <n v="-0.88529999999999998"/>
    <n v="2.3999999999999998E-3"/>
    <n v="-2.3650000000000002"/>
    <n v="1.3291999999999999"/>
    <n v="-0.53369999999999995"/>
    <n v="1"/>
    <n v="98.5"/>
    <n v="5"/>
    <n v="108.4"/>
    <n v="0"/>
    <n v="0"/>
    <n v="89.670299999999997"/>
    <n v="33"/>
    <n v="0"/>
  </r>
  <r>
    <x v="0"/>
    <x v="0"/>
    <s v="SPXW"/>
    <x v="3"/>
    <x v="224"/>
    <s v="p"/>
    <n v="89.77"/>
    <n v="89.77"/>
    <n v="89.77"/>
    <n v="89.77"/>
    <n v="10"/>
    <n v="1"/>
    <n v="101.8"/>
    <n v="3"/>
    <n v="109.7"/>
    <n v="0"/>
    <n v="0"/>
    <n v="0"/>
    <n v="0"/>
    <n v="0.12180000000000001"/>
    <n v="-0.89559999999999995"/>
    <n v="2.3E-3"/>
    <n v="-2.1833"/>
    <n v="1.2484999999999999"/>
    <n v="-0.54010000000000002"/>
    <n v="2"/>
    <n v="101"/>
    <n v="1"/>
    <n v="115.2"/>
    <n v="0"/>
    <n v="0"/>
    <n v="89.77"/>
    <n v="10"/>
    <n v="0"/>
  </r>
  <r>
    <x v="0"/>
    <x v="0"/>
    <s v="SPXW"/>
    <x v="3"/>
    <x v="225"/>
    <s v="p"/>
    <n v="85.46"/>
    <n v="106.09"/>
    <n v="85.46"/>
    <n v="106.09"/>
    <n v="2"/>
    <n v="2"/>
    <n v="106.1"/>
    <n v="1"/>
    <n v="113.7"/>
    <n v="0"/>
    <n v="0"/>
    <n v="0"/>
    <n v="0"/>
    <n v="0.11840000000000001"/>
    <n v="-0.91259999999999997"/>
    <n v="2E-3"/>
    <n v="-1.8064"/>
    <n v="1.1067"/>
    <n v="-0.55049999999999999"/>
    <n v="2"/>
    <n v="104.6"/>
    <n v="1"/>
    <n v="120.4"/>
    <n v="0"/>
    <n v="0"/>
    <n v="95.775000000000006"/>
    <n v="2"/>
    <n v="0"/>
  </r>
  <r>
    <x v="0"/>
    <x v="0"/>
    <s v="SPXW"/>
    <x v="3"/>
    <x v="226"/>
    <s v="p"/>
    <n v="0"/>
    <n v="0"/>
    <n v="0"/>
    <n v="0"/>
    <n v="0"/>
    <n v="1"/>
    <n v="108.1"/>
    <n v="2"/>
    <n v="120.2"/>
    <n v="0"/>
    <n v="0"/>
    <n v="0"/>
    <n v="0"/>
    <n v="0.1118"/>
    <n v="-0.93420000000000003"/>
    <n v="1.6999999999999999E-3"/>
    <n v="-1.3056000000000001"/>
    <n v="0.90910000000000002"/>
    <n v="-0.56359999999999999"/>
    <n v="4"/>
    <n v="109.1"/>
    <n v="1"/>
    <n v="124.2"/>
    <n v="0"/>
    <n v="0"/>
    <n v="0"/>
    <n v="2"/>
    <n v="0"/>
  </r>
  <r>
    <x v="0"/>
    <x v="0"/>
    <s v="SPXW"/>
    <x v="3"/>
    <x v="227"/>
    <s v="p"/>
    <n v="0"/>
    <n v="0"/>
    <n v="0"/>
    <n v="0"/>
    <n v="0"/>
    <n v="1"/>
    <n v="112.7"/>
    <n v="2"/>
    <n v="124.9"/>
    <n v="0"/>
    <n v="0"/>
    <n v="0"/>
    <n v="0"/>
    <n v="0.1111"/>
    <n v="-0.94350000000000001"/>
    <n v="1.6000000000000001E-3"/>
    <n v="-1.1198999999999999"/>
    <n v="0.81459999999999999"/>
    <n v="-0.56940000000000002"/>
    <n v="4"/>
    <n v="113.8"/>
    <n v="1"/>
    <n v="128.9"/>
    <n v="0"/>
    <n v="0"/>
    <n v="0"/>
    <n v="8"/>
    <n v="0"/>
  </r>
  <r>
    <x v="0"/>
    <x v="0"/>
    <s v="SPXW"/>
    <x v="3"/>
    <x v="228"/>
    <s v="p"/>
    <n v="85.83"/>
    <n v="129.88999999999999"/>
    <n v="85.83"/>
    <n v="129.88999999999999"/>
    <n v="8"/>
    <n v="1"/>
    <n v="117.4"/>
    <n v="2"/>
    <n v="129.5"/>
    <n v="0"/>
    <n v="0"/>
    <n v="0"/>
    <n v="0"/>
    <n v="0.1096"/>
    <n v="-0.95299999999999996"/>
    <n v="1.4E-3"/>
    <n v="-0.92190000000000005"/>
    <n v="0.71240000000000003"/>
    <n v="-0.57540000000000002"/>
    <n v="4"/>
    <n v="118.5"/>
    <n v="1"/>
    <n v="133.6"/>
    <n v="0"/>
    <n v="0"/>
    <n v="102.5625"/>
    <n v="0"/>
    <n v="0"/>
  </r>
  <r>
    <x v="0"/>
    <x v="0"/>
    <s v="SPXW"/>
    <x v="3"/>
    <x v="229"/>
    <s v="p"/>
    <n v="0"/>
    <n v="0"/>
    <n v="0"/>
    <n v="0"/>
    <n v="0"/>
    <n v="1"/>
    <n v="122.1"/>
    <n v="2"/>
    <n v="134.30000000000001"/>
    <n v="0"/>
    <n v="0"/>
    <n v="0"/>
    <n v="0"/>
    <n v="0.1089"/>
    <n v="-0.96040000000000003"/>
    <n v="1.1999999999999999E-3"/>
    <n v="-0.77339999999999998"/>
    <n v="0.62829999999999997"/>
    <n v="-0.57999999999999996"/>
    <n v="4"/>
    <n v="123.3"/>
    <n v="1"/>
    <n v="138"/>
    <n v="0"/>
    <n v="0"/>
    <n v="0"/>
    <n v="2"/>
    <n v="0"/>
  </r>
  <r>
    <x v="0"/>
    <x v="0"/>
    <s v="SPXW"/>
    <x v="3"/>
    <x v="230"/>
    <s v="p"/>
    <n v="0"/>
    <n v="0"/>
    <n v="0"/>
    <n v="0"/>
    <n v="0"/>
    <n v="1"/>
    <n v="126.9"/>
    <n v="2"/>
    <n v="139.1"/>
    <n v="0"/>
    <n v="0"/>
    <n v="0"/>
    <n v="0"/>
    <n v="0.1133"/>
    <n v="-0.95979999999999999"/>
    <n v="1.1999999999999999E-3"/>
    <n v="-0.81520000000000004"/>
    <n v="0.63139999999999996"/>
    <n v="-0.58009999999999995"/>
    <n v="4"/>
    <n v="128.1"/>
    <n v="1"/>
    <n v="143.1"/>
    <n v="0"/>
    <n v="0"/>
    <n v="0"/>
    <n v="0"/>
    <n v="0"/>
  </r>
  <r>
    <x v="0"/>
    <x v="0"/>
    <s v="SPXW"/>
    <x v="3"/>
    <x v="231"/>
    <s v="p"/>
    <n v="0"/>
    <n v="0"/>
    <n v="0"/>
    <n v="0"/>
    <n v="0"/>
    <n v="1"/>
    <n v="131.69999999999999"/>
    <n v="2"/>
    <n v="143.9"/>
    <n v="0"/>
    <n v="0"/>
    <n v="0"/>
    <n v="0"/>
    <n v="0.1091"/>
    <n v="-0.97050000000000003"/>
    <n v="8.9999999999999998E-4"/>
    <n v="-0.57299999999999995"/>
    <n v="0.502"/>
    <n v="-0.5867"/>
    <n v="4"/>
    <n v="133"/>
    <n v="1"/>
    <n v="147.9"/>
    <n v="0"/>
    <n v="0"/>
    <n v="0"/>
    <n v="0"/>
    <n v="0"/>
  </r>
  <r>
    <x v="0"/>
    <x v="0"/>
    <s v="SPXW"/>
    <x v="3"/>
    <x v="232"/>
    <s v="p"/>
    <n v="0"/>
    <n v="0"/>
    <n v="0"/>
    <n v="0"/>
    <n v="0"/>
    <n v="1"/>
    <n v="135.69999999999999"/>
    <n v="2"/>
    <n v="148.80000000000001"/>
    <n v="0"/>
    <n v="0"/>
    <n v="0"/>
    <n v="0"/>
    <n v="0.1014"/>
    <n v="-0.98240000000000005"/>
    <n v="6.9999999999999999E-4"/>
    <n v="-0.30880000000000002"/>
    <n v="0.34139999999999998"/>
    <n v="-0.59389999999999998"/>
    <n v="1"/>
    <n v="137.9"/>
    <n v="2"/>
    <n v="152.80000000000001"/>
    <n v="0"/>
    <n v="0"/>
    <n v="0"/>
    <n v="0"/>
    <n v="0"/>
  </r>
  <r>
    <x v="0"/>
    <x v="0"/>
    <s v="SPXW"/>
    <x v="3"/>
    <x v="233"/>
    <s v="p"/>
    <n v="0"/>
    <n v="0"/>
    <n v="0"/>
    <n v="0"/>
    <n v="0"/>
    <n v="1"/>
    <n v="141.4"/>
    <n v="2"/>
    <n v="154"/>
    <n v="0"/>
    <n v="0"/>
    <n v="0"/>
    <n v="0"/>
    <n v="8.1900000000000001E-2"/>
    <n v="-0.99670000000000003"/>
    <n v="2.0000000000000001E-4"/>
    <n v="-2.86E-2"/>
    <n v="9.5299999999999996E-2"/>
    <n v="-0.60270000000000001"/>
    <n v="1"/>
    <n v="142.80000000000001"/>
    <n v="2"/>
    <n v="156.80000000000001"/>
    <n v="0"/>
    <n v="0"/>
    <n v="0"/>
    <n v="1"/>
    <n v="0"/>
  </r>
  <r>
    <x v="0"/>
    <x v="0"/>
    <s v="SPXW"/>
    <x v="3"/>
    <x v="234"/>
    <s v="p"/>
    <n v="0"/>
    <n v="0"/>
    <n v="0"/>
    <n v="0"/>
    <n v="0"/>
    <n v="1"/>
    <n v="146.6"/>
    <n v="2"/>
    <n v="158.9"/>
    <n v="0"/>
    <n v="0"/>
    <n v="0"/>
    <n v="0"/>
    <n v="0.182"/>
    <n v="-0.89559999999999995"/>
    <n v="1.5E-3"/>
    <n v="-3.2576999999999998"/>
    <n v="1.224"/>
    <n v="-0.54420000000000002"/>
    <n v="3"/>
    <n v="147.69999999999999"/>
    <n v="1"/>
    <n v="162.5"/>
    <n v="0"/>
    <n v="0"/>
    <n v="0"/>
    <n v="0"/>
    <n v="0"/>
  </r>
  <r>
    <x v="0"/>
    <x v="0"/>
    <s v="SPXW"/>
    <x v="3"/>
    <x v="235"/>
    <s v="p"/>
    <n v="0"/>
    <n v="0"/>
    <n v="0"/>
    <n v="0"/>
    <n v="0"/>
    <n v="1"/>
    <n v="150.6"/>
    <n v="2"/>
    <n v="163.80000000000001"/>
    <n v="0"/>
    <n v="0"/>
    <n v="0"/>
    <n v="0"/>
    <n v="0.18709999999999999"/>
    <n v="-0.8962"/>
    <n v="1.5E-3"/>
    <n v="-3.3325999999999998"/>
    <n v="1.218"/>
    <n v="-0.54490000000000005"/>
    <n v="3"/>
    <n v="152.6"/>
    <n v="3"/>
    <n v="168.6"/>
    <n v="0"/>
    <n v="0"/>
    <n v="0"/>
    <n v="4"/>
    <n v="0"/>
  </r>
  <r>
    <x v="0"/>
    <x v="0"/>
    <s v="SPXW"/>
    <x v="3"/>
    <x v="236"/>
    <s v="p"/>
    <n v="0"/>
    <n v="0"/>
    <n v="0"/>
    <n v="0"/>
    <n v="0"/>
    <n v="1"/>
    <n v="156.19999999999999"/>
    <n v="2"/>
    <n v="168.7"/>
    <n v="0"/>
    <n v="0"/>
    <n v="0"/>
    <n v="0"/>
    <n v="0.1888"/>
    <n v="-0.90149999999999997"/>
    <n v="1.4E-3"/>
    <n v="-3.206"/>
    <n v="1.1729000000000001"/>
    <n v="-0.5484"/>
    <n v="3"/>
    <n v="157.6"/>
    <n v="1"/>
    <n v="172.4"/>
    <n v="0"/>
    <n v="0"/>
    <n v="0"/>
    <n v="0"/>
    <n v="0"/>
  </r>
  <r>
    <x v="0"/>
    <x v="0"/>
    <s v="SPXW"/>
    <x v="3"/>
    <x v="237"/>
    <s v="p"/>
    <n v="0"/>
    <n v="0"/>
    <n v="0"/>
    <n v="0"/>
    <n v="0"/>
    <n v="1"/>
    <n v="160.4"/>
    <n v="2"/>
    <n v="173.7"/>
    <n v="0"/>
    <n v="0"/>
    <n v="0"/>
    <n v="0"/>
    <n v="0.1973"/>
    <n v="-0.89739999999999998"/>
    <n v="1.4E-3"/>
    <n v="-3.4782000000000002"/>
    <n v="1.2056"/>
    <n v="-0.54630000000000001"/>
    <n v="3"/>
    <n v="162.5"/>
    <n v="1"/>
    <n v="177.3"/>
    <n v="0"/>
    <n v="0"/>
    <n v="0"/>
    <n v="1"/>
    <n v="0"/>
  </r>
  <r>
    <x v="0"/>
    <x v="0"/>
    <s v="SPXW"/>
    <x v="3"/>
    <x v="238"/>
    <s v="p"/>
    <n v="0"/>
    <n v="0"/>
    <n v="0"/>
    <n v="0"/>
    <n v="0"/>
    <n v="1"/>
    <n v="166.1"/>
    <n v="2"/>
    <n v="178.7"/>
    <n v="0"/>
    <n v="0"/>
    <n v="0"/>
    <n v="0"/>
    <n v="0.11899999999999999"/>
    <n v="-0.98499999999999999"/>
    <n v="5.0000000000000001E-4"/>
    <n v="-0.30309999999999998"/>
    <n v="0.2913"/>
    <n v="-0.59770000000000001"/>
    <n v="3"/>
    <n v="167.5"/>
    <n v="1"/>
    <n v="182.1"/>
    <n v="0"/>
    <n v="0"/>
    <n v="0"/>
    <n v="0"/>
    <n v="0"/>
  </r>
  <r>
    <x v="0"/>
    <x v="0"/>
    <s v="SPXW"/>
    <x v="3"/>
    <x v="239"/>
    <s v="p"/>
    <n v="0"/>
    <n v="0"/>
    <n v="0"/>
    <n v="0"/>
    <n v="0"/>
    <n v="1"/>
    <n v="171.4"/>
    <n v="2"/>
    <n v="183.6"/>
    <n v="0"/>
    <n v="0"/>
    <n v="0"/>
    <n v="0"/>
    <n v="0.20039999999999999"/>
    <n v="-0.90749999999999997"/>
    <n v="1.2999999999999999E-3"/>
    <n v="-3.2130000000000001"/>
    <n v="1.1186"/>
    <n v="-0.55310000000000004"/>
    <n v="3"/>
    <n v="172.5"/>
    <n v="1"/>
    <n v="187.3"/>
    <n v="0"/>
    <n v="0"/>
    <n v="0"/>
    <n v="0"/>
    <n v="0"/>
  </r>
  <r>
    <x v="0"/>
    <x v="0"/>
    <s v="SPXW"/>
    <x v="3"/>
    <x v="240"/>
    <s v="p"/>
    <n v="0"/>
    <n v="0"/>
    <n v="0"/>
    <n v="0"/>
    <n v="0"/>
    <n v="1"/>
    <n v="175.2"/>
    <n v="2"/>
    <n v="188.6"/>
    <n v="0"/>
    <n v="0"/>
    <n v="0"/>
    <n v="0"/>
    <n v="0.21210000000000001"/>
    <n v="-0.89970000000000006"/>
    <n v="1.2999999999999999E-3"/>
    <n v="-3.6602000000000001"/>
    <n v="1.1828000000000001"/>
    <n v="-0.54890000000000005"/>
    <n v="3"/>
    <n v="177.4"/>
    <n v="1"/>
    <n v="192"/>
    <n v="0"/>
    <n v="0"/>
    <n v="0"/>
    <n v="0"/>
    <n v="0"/>
  </r>
  <r>
    <x v="0"/>
    <x v="0"/>
    <s v="SPXW"/>
    <x v="3"/>
    <x v="241"/>
    <s v="p"/>
    <n v="0"/>
    <n v="0"/>
    <n v="0"/>
    <n v="0"/>
    <n v="0"/>
    <n v="1"/>
    <n v="181.3"/>
    <n v="2"/>
    <n v="193.6"/>
    <n v="0"/>
    <n v="0"/>
    <n v="0"/>
    <n v="0"/>
    <n v="0.1036"/>
    <n v="-0.99670000000000003"/>
    <n v="1E-4"/>
    <n v="-3.6299999999999999E-2"/>
    <n v="8.7599999999999997E-2"/>
    <n v="-0.60570000000000002"/>
    <n v="3"/>
    <n v="182.4"/>
    <n v="1"/>
    <n v="197.2"/>
    <n v="0"/>
    <n v="0"/>
    <n v="0"/>
    <n v="0"/>
    <n v="0"/>
  </r>
  <r>
    <x v="0"/>
    <x v="0"/>
    <s v="SPXW"/>
    <x v="3"/>
    <x v="242"/>
    <s v="p"/>
    <n v="0"/>
    <n v="0"/>
    <n v="0"/>
    <n v="0"/>
    <n v="0"/>
    <n v="1"/>
    <n v="185.9"/>
    <n v="2"/>
    <n v="198.6"/>
    <n v="0"/>
    <n v="0"/>
    <n v="0"/>
    <n v="0"/>
    <n v="0.21659999999999999"/>
    <n v="-0.90720000000000001"/>
    <n v="1.1999999999999999E-3"/>
    <n v="-3.4824999999999999"/>
    <n v="1.1180000000000001"/>
    <n v="-0.55420000000000003"/>
    <n v="3"/>
    <n v="187.4"/>
    <n v="3"/>
    <n v="203.4"/>
    <n v="0"/>
    <n v="0"/>
    <n v="0"/>
    <n v="0"/>
    <n v="0"/>
  </r>
  <r>
    <x v="0"/>
    <x v="0"/>
    <s v="SPXW"/>
    <x v="3"/>
    <x v="243"/>
    <s v="p"/>
    <n v="0"/>
    <n v="0"/>
    <n v="0"/>
    <n v="0"/>
    <n v="0"/>
    <n v="1"/>
    <n v="191"/>
    <n v="2"/>
    <n v="203.5"/>
    <n v="0"/>
    <n v="0"/>
    <n v="0"/>
    <n v="0"/>
    <n v="0.21579999999999999"/>
    <n v="-0.91420000000000001"/>
    <n v="1.1000000000000001E-3"/>
    <n v="-3.2286000000000001"/>
    <n v="1.0572999999999999"/>
    <n v="-0.55840000000000001"/>
    <n v="3"/>
    <n v="192.4"/>
    <n v="1"/>
    <n v="207.2"/>
    <n v="0"/>
    <n v="0"/>
    <n v="0"/>
    <n v="1"/>
    <n v="0"/>
  </r>
  <r>
    <x v="0"/>
    <x v="0"/>
    <s v="SPXW"/>
    <x v="3"/>
    <x v="244"/>
    <s v="p"/>
    <n v="0"/>
    <n v="0"/>
    <n v="0"/>
    <n v="0"/>
    <n v="0"/>
    <n v="1"/>
    <n v="195.3"/>
    <n v="2"/>
    <n v="208.5"/>
    <n v="0"/>
    <n v="0"/>
    <n v="0"/>
    <n v="0"/>
    <n v="0.2235"/>
    <n v="-0.91139999999999999"/>
    <n v="1.1000000000000001E-3"/>
    <n v="-3.4441999999999999"/>
    <n v="1.0803"/>
    <n v="-0.55720000000000003"/>
    <n v="3"/>
    <n v="197.4"/>
    <n v="3"/>
    <n v="213.4"/>
    <n v="0"/>
    <n v="0"/>
    <n v="0"/>
    <n v="0"/>
    <n v="0"/>
  </r>
  <r>
    <x v="0"/>
    <x v="0"/>
    <s v="SPXW"/>
    <x v="3"/>
    <x v="245"/>
    <s v="p"/>
    <n v="0"/>
    <n v="0"/>
    <n v="0"/>
    <n v="0"/>
    <n v="0"/>
    <n v="3"/>
    <n v="200.2"/>
    <n v="1"/>
    <n v="214.5"/>
    <n v="0"/>
    <n v="0"/>
    <n v="0"/>
    <n v="0"/>
    <n v="0.1331"/>
    <n v="-0.99009999999999998"/>
    <n v="2.9999999999999997E-4"/>
    <n v="-0.21129999999999999"/>
    <n v="0.20380000000000001"/>
    <n v="-0.60329999999999995"/>
    <n v="3"/>
    <n v="200.2"/>
    <n v="1"/>
    <n v="221.8"/>
    <n v="0"/>
    <n v="0"/>
    <n v="0"/>
    <n v="2"/>
    <n v="0"/>
  </r>
  <r>
    <x v="0"/>
    <x v="0"/>
    <s v="SPXW"/>
    <x v="3"/>
    <x v="246"/>
    <s v="p"/>
    <n v="0"/>
    <n v="0"/>
    <n v="0"/>
    <n v="0"/>
    <n v="0"/>
    <n v="1"/>
    <n v="206"/>
    <n v="1"/>
    <n v="218.5"/>
    <n v="0"/>
    <n v="0"/>
    <n v="0"/>
    <n v="0"/>
    <n v="0.1575"/>
    <n v="-0.97760000000000002"/>
    <n v="5.0000000000000001E-4"/>
    <n v="-0.61890000000000001"/>
    <n v="0.3856"/>
    <n v="-0.59670000000000001"/>
    <n v="1"/>
    <n v="204.8"/>
    <n v="1"/>
    <n v="226"/>
    <n v="0"/>
    <n v="0"/>
    <n v="0"/>
    <n v="0"/>
    <n v="0"/>
  </r>
  <r>
    <x v="0"/>
    <x v="0"/>
    <s v="SPXW"/>
    <x v="3"/>
    <x v="247"/>
    <s v="p"/>
    <n v="0"/>
    <n v="0"/>
    <n v="0"/>
    <n v="0"/>
    <n v="0"/>
    <n v="1"/>
    <n v="206.9"/>
    <n v="1"/>
    <n v="225.7"/>
    <n v="0"/>
    <n v="0"/>
    <n v="0"/>
    <n v="0"/>
    <n v="0.26100000000000001"/>
    <n v="-0.89129999999999998"/>
    <n v="1.1000000000000001E-3"/>
    <n v="-4.8410000000000002"/>
    <n v="1.2445999999999999"/>
    <n v="-0.54649999999999999"/>
    <n v="1"/>
    <n v="208.9"/>
    <n v="1"/>
    <n v="231.8"/>
    <n v="0"/>
    <n v="0"/>
    <n v="0"/>
    <n v="0"/>
    <n v="0"/>
  </r>
  <r>
    <x v="0"/>
    <x v="0"/>
    <s v="SPXW"/>
    <x v="3"/>
    <x v="248"/>
    <s v="p"/>
    <n v="0"/>
    <n v="0"/>
    <n v="0"/>
    <n v="0"/>
    <n v="0"/>
    <n v="1"/>
    <n v="211.6"/>
    <n v="1"/>
    <n v="231.7"/>
    <n v="0"/>
    <n v="0"/>
    <n v="0"/>
    <n v="0"/>
    <n v="0.2752"/>
    <n v="-0.88360000000000005"/>
    <n v="1.1000000000000001E-3"/>
    <n v="-5.4191000000000003"/>
    <n v="1.3027"/>
    <n v="-0.54239999999999999"/>
    <n v="3"/>
    <n v="213.3"/>
    <n v="1"/>
    <n v="232"/>
    <n v="0"/>
    <n v="0"/>
    <n v="0"/>
    <n v="0"/>
    <n v="0"/>
  </r>
  <r>
    <x v="0"/>
    <x v="0"/>
    <s v="SPXW"/>
    <x v="3"/>
    <x v="249"/>
    <s v="p"/>
    <n v="0"/>
    <n v="0"/>
    <n v="0"/>
    <n v="0"/>
    <n v="0"/>
    <n v="1"/>
    <n v="216.6"/>
    <n v="1"/>
    <n v="236.3"/>
    <n v="0"/>
    <n v="0"/>
    <n v="0"/>
    <n v="0"/>
    <n v="0.27639999999999998"/>
    <n v="-0.88780000000000003"/>
    <n v="1.1000000000000001E-3"/>
    <n v="-5.2687999999999997"/>
    <n v="1.2701"/>
    <n v="-0.54530000000000001"/>
    <n v="1"/>
    <n v="219.8"/>
    <n v="1"/>
    <n v="241.8"/>
    <n v="0"/>
    <n v="0"/>
    <n v="0"/>
    <n v="0"/>
    <n v="0"/>
  </r>
  <r>
    <x v="0"/>
    <x v="0"/>
    <s v="SPXW"/>
    <x v="3"/>
    <x v="250"/>
    <s v="p"/>
    <n v="0"/>
    <n v="0"/>
    <n v="0"/>
    <n v="0"/>
    <n v="0"/>
    <n v="1"/>
    <n v="221.6"/>
    <n v="1"/>
    <n v="241.3"/>
    <n v="0"/>
    <n v="0"/>
    <n v="0"/>
    <n v="0"/>
    <n v="0.27639999999999998"/>
    <n v="-0.89329999999999998"/>
    <n v="1E-3"/>
    <n v="-5.04"/>
    <n v="1.2265999999999999"/>
    <n v="-0.54920000000000002"/>
    <n v="1"/>
    <n v="224.8"/>
    <n v="2"/>
    <n v="247.3"/>
    <n v="0"/>
    <n v="0"/>
    <n v="0"/>
    <n v="0"/>
    <n v="0"/>
  </r>
  <r>
    <x v="0"/>
    <x v="0"/>
    <s v="SPXW"/>
    <x v="3"/>
    <x v="251"/>
    <s v="p"/>
    <n v="0"/>
    <n v="0"/>
    <n v="0"/>
    <n v="0"/>
    <n v="0"/>
    <n v="1"/>
    <n v="226.6"/>
    <n v="1"/>
    <n v="246.4"/>
    <n v="0"/>
    <n v="0"/>
    <n v="0"/>
    <n v="0"/>
    <n v="0.2858"/>
    <n v="-0.88990000000000002"/>
    <n v="1E-3"/>
    <n v="-5.3601999999999999"/>
    <n v="1.2528999999999999"/>
    <n v="-0.54720000000000002"/>
    <n v="1"/>
    <n v="229.8"/>
    <n v="1"/>
    <n v="251.4"/>
    <n v="0"/>
    <n v="0"/>
    <n v="0"/>
    <n v="0"/>
    <n v="0"/>
  </r>
  <r>
    <x v="0"/>
    <x v="0"/>
    <s v="SPXW"/>
    <x v="3"/>
    <x v="252"/>
    <s v="p"/>
    <n v="0"/>
    <n v="0"/>
    <n v="0"/>
    <n v="0"/>
    <n v="0"/>
    <n v="1"/>
    <n v="231.7"/>
    <n v="1"/>
    <n v="251.3"/>
    <n v="0"/>
    <n v="0"/>
    <n v="0"/>
    <n v="0"/>
    <n v="0.28210000000000002"/>
    <n v="-0.89849999999999997"/>
    <n v="1E-3"/>
    <n v="-4.915"/>
    <n v="1.1818"/>
    <n v="-0.55279999999999996"/>
    <n v="1"/>
    <n v="234.7"/>
    <n v="3"/>
    <n v="257.3"/>
    <n v="0"/>
    <n v="0"/>
    <n v="0"/>
    <n v="0"/>
    <n v="0"/>
  </r>
  <r>
    <x v="0"/>
    <x v="0"/>
    <s v="SPXW"/>
    <x v="3"/>
    <x v="253"/>
    <s v="p"/>
    <n v="0"/>
    <n v="0"/>
    <n v="0"/>
    <n v="0"/>
    <n v="0"/>
    <n v="1"/>
    <n v="237.6"/>
    <n v="1"/>
    <n v="256.60000000000002"/>
    <n v="0"/>
    <n v="0"/>
    <n v="0"/>
    <n v="0"/>
    <n v="0.16"/>
    <n v="-0.98939999999999995"/>
    <n v="2.9999999999999997E-4"/>
    <n v="-0.27589999999999998"/>
    <n v="0.20949999999999999"/>
    <n v="-0.60580000000000001"/>
    <n v="3"/>
    <n v="238.3"/>
    <n v="1"/>
    <n v="256.89999999999998"/>
    <n v="0"/>
    <n v="0"/>
    <n v="0"/>
    <n v="0"/>
    <n v="0"/>
  </r>
  <r>
    <x v="0"/>
    <x v="0"/>
    <s v="SPXW"/>
    <x v="3"/>
    <x v="254"/>
    <s v="p"/>
    <n v="0"/>
    <n v="0"/>
    <n v="0"/>
    <n v="0"/>
    <n v="0"/>
    <n v="1"/>
    <n v="246.7"/>
    <n v="1"/>
    <n v="267.2"/>
    <n v="0"/>
    <n v="0"/>
    <n v="0"/>
    <n v="0"/>
    <n v="0.15540000000000001"/>
    <n v="-0.99319999999999997"/>
    <n v="2.0000000000000001E-4"/>
    <n v="-0.15690000000000001"/>
    <n v="0.14549999999999999"/>
    <n v="-0.60880000000000001"/>
    <n v="3"/>
    <n v="248.3"/>
    <n v="1"/>
    <n v="267.2"/>
    <n v="0"/>
    <n v="0"/>
    <n v="0"/>
    <n v="0"/>
    <n v="0"/>
  </r>
  <r>
    <x v="0"/>
    <x v="0"/>
    <s v="SPXW"/>
    <x v="3"/>
    <x v="255"/>
    <s v="p"/>
    <n v="0"/>
    <n v="0"/>
    <n v="0"/>
    <n v="0"/>
    <n v="0"/>
    <n v="1"/>
    <n v="256.60000000000002"/>
    <n v="1"/>
    <n v="277.10000000000002"/>
    <n v="0"/>
    <n v="0"/>
    <n v="0"/>
    <n v="0"/>
    <n v="0.15049999999999999"/>
    <n v="-0.99590000000000001"/>
    <n v="1E-4"/>
    <n v="-7.4499999999999997E-2"/>
    <n v="9.4700000000000006E-2"/>
    <n v="-0.61109999999999998"/>
    <n v="3"/>
    <n v="258.3"/>
    <n v="1"/>
    <n v="277.10000000000002"/>
    <n v="0"/>
    <n v="0"/>
    <n v="0"/>
    <n v="0"/>
    <n v="0"/>
  </r>
  <r>
    <x v="0"/>
    <x v="0"/>
    <s v="SPXW"/>
    <x v="3"/>
    <x v="256"/>
    <s v="p"/>
    <n v="0"/>
    <n v="0"/>
    <n v="0"/>
    <n v="0"/>
    <n v="0"/>
    <n v="1"/>
    <n v="261.7"/>
    <n v="1"/>
    <n v="280.8"/>
    <n v="0"/>
    <n v="0"/>
    <n v="0"/>
    <n v="0"/>
    <n v="0.30530000000000002"/>
    <n v="-0.90600000000000003"/>
    <n v="8.0000000000000004E-4"/>
    <n v="-4.9637000000000002"/>
    <n v="1.1166"/>
    <n v="-0.55969999999999998"/>
    <n v="1"/>
    <n v="263.89999999999998"/>
    <n v="1"/>
    <n v="286.8"/>
    <n v="0"/>
    <n v="0"/>
    <n v="0"/>
    <n v="0"/>
    <n v="0"/>
  </r>
  <r>
    <x v="0"/>
    <x v="0"/>
    <s v="SPXW"/>
    <x v="3"/>
    <x v="257"/>
    <s v="p"/>
    <n v="0"/>
    <n v="0"/>
    <n v="0"/>
    <n v="0"/>
    <n v="0"/>
    <n v="1"/>
    <n v="266.7"/>
    <n v="1"/>
    <n v="286.60000000000002"/>
    <n v="0"/>
    <n v="0"/>
    <n v="0"/>
    <n v="0"/>
    <n v="0.32119999999999999"/>
    <n v="-0.89800000000000002"/>
    <n v="8.0000000000000004E-4"/>
    <n v="-5.6230000000000002"/>
    <n v="1.1823999999999999"/>
    <n v="-0.55510000000000004"/>
    <n v="3"/>
    <n v="268.3"/>
    <n v="1"/>
    <n v="287.10000000000002"/>
    <n v="0"/>
    <n v="0"/>
    <n v="0"/>
    <n v="0"/>
    <n v="0"/>
  </r>
  <r>
    <x v="0"/>
    <x v="0"/>
    <s v="SPXW"/>
    <x v="3"/>
    <x v="258"/>
    <s v="p"/>
    <n v="0"/>
    <n v="0"/>
    <n v="0"/>
    <n v="0"/>
    <n v="0"/>
    <n v="1"/>
    <n v="277.60000000000002"/>
    <n v="1"/>
    <n v="295.8"/>
    <n v="0"/>
    <n v="0"/>
    <n v="0"/>
    <n v="0"/>
    <n v="0.31569999999999998"/>
    <n v="-0.9103"/>
    <n v="8.0000000000000004E-4"/>
    <n v="-4.9169"/>
    <n v="1.0785"/>
    <n v="-0.56330000000000002"/>
    <n v="1"/>
    <n v="279"/>
    <n v="1"/>
    <n v="301.8"/>
    <n v="0"/>
    <n v="0"/>
    <n v="0"/>
    <n v="0"/>
    <n v="0"/>
  </r>
  <r>
    <x v="0"/>
    <x v="0"/>
    <s v="SPXW"/>
    <x v="3"/>
    <x v="259"/>
    <s v="p"/>
    <n v="0"/>
    <n v="0"/>
    <n v="0"/>
    <n v="0"/>
    <n v="0"/>
    <n v="1"/>
    <n v="286.60000000000002"/>
    <n v="1"/>
    <n v="306.60000000000002"/>
    <n v="0"/>
    <n v="0"/>
    <n v="0"/>
    <n v="0"/>
    <n v="0.33779999999999999"/>
    <n v="-0.90200000000000002"/>
    <n v="8.0000000000000004E-4"/>
    <n v="-5.7003000000000004"/>
    <n v="1.147"/>
    <n v="-0.55900000000000005"/>
    <n v="1"/>
    <n v="288.7"/>
    <n v="1"/>
    <n v="306.89999999999998"/>
    <n v="0"/>
    <n v="0"/>
    <n v="0"/>
    <n v="0"/>
    <n v="0"/>
  </r>
  <r>
    <x v="0"/>
    <x v="0"/>
    <s v="SPXW"/>
    <x v="3"/>
    <x v="260"/>
    <s v="p"/>
    <n v="0"/>
    <n v="0"/>
    <n v="0"/>
    <n v="0"/>
    <n v="0"/>
    <n v="1"/>
    <n v="296.7"/>
    <n v="1"/>
    <n v="316.39999999999998"/>
    <n v="0"/>
    <n v="0"/>
    <n v="0"/>
    <n v="0"/>
    <n v="0.184"/>
    <n v="-0.99329999999999996"/>
    <n v="2.0000000000000001E-4"/>
    <n v="-0.1792"/>
    <n v="0.13819999999999999"/>
    <n v="-0.6129"/>
    <n v="1"/>
    <n v="299.7"/>
    <n v="2"/>
    <n v="322.3"/>
    <n v="0"/>
    <n v="0"/>
    <n v="0"/>
    <n v="0"/>
    <n v="0"/>
  </r>
  <r>
    <x v="0"/>
    <x v="0"/>
    <s v="SPXW"/>
    <x v="3"/>
    <x v="261"/>
    <s v="p"/>
    <n v="0"/>
    <n v="0"/>
    <n v="0"/>
    <n v="0"/>
    <n v="0"/>
    <n v="1"/>
    <n v="306.60000000000002"/>
    <n v="1"/>
    <n v="326.39999999999998"/>
    <n v="0"/>
    <n v="0"/>
    <n v="0"/>
    <n v="0"/>
    <n v="0.20019999999999999"/>
    <n v="-0.99050000000000005"/>
    <n v="2.0000000000000001E-4"/>
    <n v="-0.3034"/>
    <n v="0.18529999999999999"/>
    <n v="-0.61199999999999999"/>
    <n v="1"/>
    <n v="309.7"/>
    <n v="2"/>
    <n v="332.2"/>
    <n v="0"/>
    <n v="0"/>
    <n v="0"/>
    <n v="0"/>
    <n v="0"/>
  </r>
  <r>
    <x v="0"/>
    <x v="0"/>
    <s v="SPXW"/>
    <x v="3"/>
    <x v="262"/>
    <s v="p"/>
    <n v="0"/>
    <n v="0"/>
    <n v="0"/>
    <n v="0"/>
    <n v="0"/>
    <n v="1"/>
    <n v="311.8"/>
    <n v="1"/>
    <n v="331.5"/>
    <n v="0"/>
    <n v="0"/>
    <n v="0"/>
    <n v="0"/>
    <n v="0.35720000000000002"/>
    <n v="-0.90710000000000002"/>
    <n v="6.9999999999999999E-4"/>
    <n v="-5.7413999999999996"/>
    <n v="1.1022000000000001"/>
    <n v="-0.56379999999999997"/>
    <n v="3"/>
    <n v="313.2"/>
    <n v="1"/>
    <n v="331.8"/>
    <n v="0"/>
    <n v="0"/>
    <n v="0"/>
    <n v="0"/>
    <n v="0"/>
  </r>
  <r>
    <x v="0"/>
    <x v="0"/>
    <s v="SPXW"/>
    <x v="3"/>
    <x v="263"/>
    <s v="p"/>
    <n v="0"/>
    <n v="0"/>
    <n v="0"/>
    <n v="0"/>
    <n v="0"/>
    <n v="1"/>
    <n v="337.5"/>
    <n v="1"/>
    <n v="355.7"/>
    <n v="0"/>
    <n v="0"/>
    <n v="0"/>
    <n v="0"/>
    <n v="0.36399999999999999"/>
    <n v="-0.91920000000000002"/>
    <n v="5.9999999999999995E-4"/>
    <n v="-5.1418999999999997"/>
    <n v="0.99560000000000004"/>
    <n v="-0.57310000000000005"/>
    <n v="1"/>
    <n v="338.9"/>
    <n v="1"/>
    <n v="361.4"/>
    <n v="0"/>
    <n v="0"/>
    <n v="0"/>
    <n v="0"/>
    <n v="0"/>
  </r>
  <r>
    <x v="0"/>
    <x v="0"/>
    <s v="SPXW"/>
    <x v="3"/>
    <x v="264"/>
    <s v="p"/>
    <n v="0"/>
    <n v="0"/>
    <n v="0"/>
    <n v="0"/>
    <n v="0"/>
    <n v="1"/>
    <n v="362.3"/>
    <n v="2"/>
    <n v="382.4"/>
    <n v="0"/>
    <n v="0"/>
    <n v="0"/>
    <n v="0"/>
    <n v="0.2447"/>
    <n v="-0.98760000000000003"/>
    <n v="2.0000000000000001E-4"/>
    <n v="-0.50190000000000001"/>
    <n v="0.22550000000000001"/>
    <n v="-0.61419999999999997"/>
    <n v="3"/>
    <n v="363.2"/>
    <n v="1"/>
    <n v="383"/>
    <n v="0"/>
    <n v="0"/>
    <n v="0"/>
    <n v="0"/>
    <n v="0"/>
  </r>
  <r>
    <x v="0"/>
    <x v="0"/>
    <s v="SPXW"/>
    <x v="3"/>
    <x v="265"/>
    <s v="p"/>
    <n v="0"/>
    <n v="0"/>
    <n v="0"/>
    <n v="0"/>
    <n v="0"/>
    <n v="1"/>
    <n v="386.4"/>
    <n v="1"/>
    <n v="407"/>
    <n v="0"/>
    <n v="0"/>
    <n v="0"/>
    <n v="0"/>
    <n v="0.1739"/>
    <n v="-0.99960000000000004"/>
    <n v="0"/>
    <n v="0"/>
    <n v="1.09E-2"/>
    <n v="-0.62290000000000001"/>
    <n v="3"/>
    <n v="388.2"/>
    <n v="1"/>
    <n v="407"/>
    <n v="0"/>
    <n v="0"/>
    <n v="0"/>
    <n v="0"/>
    <n v="0"/>
  </r>
  <r>
    <x v="0"/>
    <x v="0"/>
    <s v="SPXW"/>
    <x v="3"/>
    <x v="266"/>
    <s v="p"/>
    <n v="0"/>
    <n v="0"/>
    <n v="0"/>
    <n v="0"/>
    <n v="0"/>
    <n v="1"/>
    <n v="411.5"/>
    <n v="1"/>
    <n v="432.1"/>
    <n v="0"/>
    <n v="0"/>
    <n v="0"/>
    <n v="0"/>
    <n v="0.22550000000000001"/>
    <n v="-0.99709999999999999"/>
    <n v="1E-4"/>
    <n v="-6.0699999999999997E-2"/>
    <n v="6.4799999999999996E-2"/>
    <n v="-0.62329999999999997"/>
    <n v="3"/>
    <n v="413.2"/>
    <n v="1"/>
    <n v="432.1"/>
    <n v="0"/>
    <n v="0"/>
    <n v="0"/>
    <n v="0"/>
    <n v="0"/>
  </r>
  <r>
    <x v="0"/>
    <x v="0"/>
    <s v="SPXW"/>
    <x v="3"/>
    <x v="267"/>
    <s v="p"/>
    <n v="0"/>
    <n v="0"/>
    <n v="0"/>
    <n v="0"/>
    <n v="0"/>
    <n v="1"/>
    <n v="436.5"/>
    <n v="1"/>
    <n v="457"/>
    <n v="0"/>
    <n v="0"/>
    <n v="0"/>
    <n v="0"/>
    <n v="0.2278"/>
    <n v="-0.99809999999999999"/>
    <n v="0"/>
    <n v="-2.0899999999999998E-2"/>
    <n v="4.5400000000000003E-2"/>
    <n v="-0.62570000000000003"/>
    <n v="3"/>
    <n v="438.2"/>
    <n v="1"/>
    <n v="457"/>
    <n v="0"/>
    <n v="0"/>
    <n v="0"/>
    <n v="0"/>
    <n v="0"/>
  </r>
  <r>
    <x v="0"/>
    <x v="0"/>
    <s v="SPXW"/>
    <x v="3"/>
    <x v="268"/>
    <s v="p"/>
    <n v="0"/>
    <n v="0"/>
    <n v="0"/>
    <n v="0"/>
    <n v="0"/>
    <n v="1"/>
    <n v="461.4"/>
    <n v="1"/>
    <n v="481.2"/>
    <n v="0"/>
    <n v="0"/>
    <n v="0"/>
    <n v="0"/>
    <n v="0.46989999999999998"/>
    <n v="-0.9274"/>
    <n v="5.0000000000000001E-4"/>
    <n v="-5.9946000000000002"/>
    <n v="0.91159999999999997"/>
    <n v="-0.58699999999999997"/>
    <n v="1"/>
    <n v="464.7"/>
    <n v="1"/>
    <n v="486.7"/>
    <n v="0"/>
    <n v="0"/>
    <n v="0"/>
    <n v="0"/>
    <n v="0"/>
  </r>
  <r>
    <x v="0"/>
    <x v="0"/>
    <s v="SPXW"/>
    <x v="3"/>
    <x v="269"/>
    <s v="p"/>
    <n v="0"/>
    <n v="0"/>
    <n v="0"/>
    <n v="0"/>
    <n v="0"/>
    <n v="1"/>
    <n v="486.5"/>
    <n v="1"/>
    <n v="506.6"/>
    <n v="0"/>
    <n v="0"/>
    <n v="0"/>
    <n v="0"/>
    <n v="0.4929"/>
    <n v="-0.92769999999999997"/>
    <n v="4.0000000000000002E-4"/>
    <n v="-6.2607999999999997"/>
    <n v="0.90759999999999996"/>
    <n v="-0.58909999999999996"/>
    <n v="3"/>
    <n v="488.2"/>
    <n v="1"/>
    <n v="507.2"/>
    <n v="0"/>
    <n v="0"/>
    <n v="0"/>
    <n v="0"/>
    <n v="0"/>
  </r>
  <r>
    <x v="0"/>
    <x v="0"/>
    <s v="SPXW"/>
    <x v="3"/>
    <x v="270"/>
    <s v="p"/>
    <n v="0"/>
    <n v="0"/>
    <n v="0"/>
    <n v="0"/>
    <n v="0"/>
    <n v="1"/>
    <n v="511.6"/>
    <n v="1"/>
    <n v="531"/>
    <n v="0"/>
    <n v="0"/>
    <n v="0"/>
    <n v="0"/>
    <n v="0.49619999999999997"/>
    <n v="-0.93600000000000005"/>
    <n v="4.0000000000000002E-4"/>
    <n v="-5.6063000000000001"/>
    <n v="0.82720000000000005"/>
    <n v="-0.59599999999999997"/>
    <n v="1"/>
    <n v="514.20000000000005"/>
    <n v="2"/>
    <n v="537.1"/>
    <n v="0"/>
    <n v="0"/>
    <n v="0"/>
    <n v="0"/>
    <n v="0"/>
  </r>
  <r>
    <x v="0"/>
    <x v="0"/>
    <s v="SPXW"/>
    <x v="3"/>
    <x v="271"/>
    <s v="p"/>
    <n v="0"/>
    <n v="0"/>
    <n v="0"/>
    <n v="0"/>
    <n v="0"/>
    <n v="1"/>
    <n v="586.9"/>
    <n v="1"/>
    <n v="605.6"/>
    <n v="0"/>
    <n v="0"/>
    <n v="0"/>
    <n v="0"/>
    <n v="0.54549999999999998"/>
    <n v="-0.94230000000000003"/>
    <n v="2.9999999999999997E-4"/>
    <n v="-5.5743999999999998"/>
    <n v="0.76239999999999997"/>
    <n v="-0.60529999999999995"/>
    <n v="1"/>
    <n v="588.9"/>
    <n v="1"/>
    <n v="611.6"/>
    <n v="0"/>
    <n v="0"/>
    <n v="0"/>
    <n v="0"/>
    <n v="0"/>
  </r>
  <r>
    <x v="0"/>
    <x v="0"/>
    <s v="SPXW"/>
    <x v="3"/>
    <x v="272"/>
    <s v="p"/>
    <n v="0"/>
    <n v="0"/>
    <n v="0"/>
    <n v="0"/>
    <n v="0"/>
    <n v="1"/>
    <n v="686.4"/>
    <n v="1"/>
    <n v="705.6"/>
    <n v="0"/>
    <n v="0"/>
    <n v="0"/>
    <n v="0"/>
    <n v="0.61360000000000003"/>
    <n v="-0.94750000000000001"/>
    <n v="2.9999999999999997E-4"/>
    <n v="-5.7092999999999998"/>
    <n v="0.70520000000000005"/>
    <n v="-0.6159"/>
    <n v="1"/>
    <n v="688.8"/>
    <n v="1"/>
    <n v="711.6"/>
    <n v="0"/>
    <n v="0"/>
    <n v="0"/>
    <n v="0"/>
    <n v="0"/>
  </r>
  <r>
    <x v="0"/>
    <x v="0"/>
    <s v="SPXW"/>
    <x v="3"/>
    <x v="273"/>
    <s v="p"/>
    <n v="0"/>
    <n v="0"/>
    <n v="0"/>
    <n v="0"/>
    <n v="0"/>
    <n v="1"/>
    <n v="786.4"/>
    <n v="1"/>
    <n v="806.4"/>
    <n v="0"/>
    <n v="0"/>
    <n v="0"/>
    <n v="0"/>
    <n v="0.6996"/>
    <n v="-0.94630000000000003"/>
    <n v="2.0000000000000001E-4"/>
    <n v="-6.6398000000000001"/>
    <n v="0.71509999999999996"/>
    <n v="-0.62239999999999995"/>
    <n v="1"/>
    <n v="789.6"/>
    <n v="1"/>
    <n v="811.6"/>
    <n v="0"/>
    <n v="0"/>
    <n v="0"/>
    <n v="0"/>
    <n v="0"/>
  </r>
  <r>
    <x v="0"/>
    <x v="0"/>
    <s v="SPXW"/>
    <x v="3"/>
    <x v="274"/>
    <s v="p"/>
    <n v="0"/>
    <n v="0"/>
    <n v="0"/>
    <n v="0"/>
    <n v="0"/>
    <n v="1"/>
    <n v="986.6"/>
    <n v="1"/>
    <n v="1006.4"/>
    <n v="0"/>
    <n v="0"/>
    <n v="0"/>
    <n v="0"/>
    <n v="0.39879999999999999"/>
    <n v="-0.99980000000000002"/>
    <n v="0"/>
    <n v="0"/>
    <n v="4.8999999999999998E-3"/>
    <n v="-0.66769999999999996"/>
    <n v="1"/>
    <n v="988.2"/>
    <n v="1"/>
    <n v="1006.8"/>
    <n v="0"/>
    <n v="0"/>
    <n v="0"/>
    <n v="2"/>
    <n v="0"/>
  </r>
  <r>
    <x v="0"/>
    <x v="0"/>
    <s v="SPXW"/>
    <x v="3"/>
    <x v="275"/>
    <s v="p"/>
    <n v="0"/>
    <n v="0"/>
    <n v="0"/>
    <n v="0"/>
    <n v="0"/>
    <n v="1"/>
    <n v="1186.4000000000001"/>
    <n v="1"/>
    <n v="1205.8"/>
    <n v="0"/>
    <n v="0"/>
    <n v="0"/>
    <n v="0"/>
    <n v="0.94030000000000002"/>
    <n v="-0.9597"/>
    <n v="1E-4"/>
    <n v="-6.6680999999999999"/>
    <n v="0.56499999999999995"/>
    <n v="-0.66"/>
    <n v="1"/>
    <n v="1189.3"/>
    <n v="1"/>
    <n v="1211.4000000000001"/>
    <n v="0"/>
    <n v="0"/>
    <n v="0"/>
    <n v="0"/>
    <n v="0"/>
  </r>
  <r>
    <x v="0"/>
    <x v="0"/>
    <s v="SPXW"/>
    <x v="3"/>
    <x v="276"/>
    <s v="p"/>
    <n v="0"/>
    <n v="0"/>
    <n v="0"/>
    <n v="0"/>
    <n v="0"/>
    <n v="1"/>
    <n v="1386.1"/>
    <n v="1"/>
    <n v="1406.7"/>
    <n v="0"/>
    <n v="0"/>
    <n v="0"/>
    <n v="0"/>
    <n v="0.58750000000000002"/>
    <n v="-0.99950000000000006"/>
    <n v="0"/>
    <n v="0"/>
    <n v="1.17E-2"/>
    <n v="-0.69730000000000003"/>
    <n v="1"/>
    <n v="1387.9"/>
    <n v="1"/>
    <n v="1406.7"/>
    <n v="0"/>
    <n v="0"/>
    <n v="0"/>
    <n v="0"/>
    <n v="0"/>
  </r>
  <r>
    <x v="0"/>
    <x v="0"/>
    <s v="SPXW"/>
    <x v="3"/>
    <x v="277"/>
    <s v="p"/>
    <n v="0"/>
    <n v="0"/>
    <n v="0"/>
    <n v="0"/>
    <n v="0"/>
    <n v="1"/>
    <n v="1586.4"/>
    <n v="1"/>
    <n v="1606.9"/>
    <n v="0"/>
    <n v="0"/>
    <n v="0"/>
    <n v="0"/>
    <n v="0.77800000000000002"/>
    <n v="-0.99739999999999995"/>
    <n v="0"/>
    <n v="-0.15540000000000001"/>
    <n v="5.2900000000000003E-2"/>
    <n v="-0.71099999999999997"/>
    <n v="3"/>
    <n v="1587.8"/>
    <n v="1"/>
    <n v="1606.9"/>
    <n v="0"/>
    <n v="0"/>
    <n v="0"/>
    <n v="0"/>
    <n v="0"/>
  </r>
  <r>
    <x v="0"/>
    <x v="0"/>
    <s v="SPXW"/>
    <x v="3"/>
    <x v="278"/>
    <s v="p"/>
    <n v="0"/>
    <n v="0"/>
    <n v="0"/>
    <n v="0"/>
    <n v="0"/>
    <n v="1"/>
    <n v="1786.2"/>
    <n v="1"/>
    <n v="1806.1"/>
    <n v="0"/>
    <n v="0"/>
    <n v="0"/>
    <n v="0"/>
    <n v="1.2819"/>
    <n v="-0.96750000000000003"/>
    <n v="1E-4"/>
    <n v="-7.2568999999999999"/>
    <n v="0.4718"/>
    <n v="-0.70930000000000004"/>
    <n v="3"/>
    <n v="1787.7"/>
    <n v="1"/>
    <n v="1806.3"/>
    <n v="0"/>
    <n v="0"/>
    <n v="0"/>
    <n v="0"/>
    <n v="0"/>
  </r>
  <r>
    <x v="0"/>
    <x v="0"/>
    <s v="SPXW"/>
    <x v="3"/>
    <x v="279"/>
    <s v="p"/>
    <n v="0"/>
    <n v="0"/>
    <n v="0"/>
    <n v="0"/>
    <n v="0"/>
    <n v="1"/>
    <n v="1986.3"/>
    <n v="1"/>
    <n v="2006"/>
    <n v="0"/>
    <n v="0"/>
    <n v="0"/>
    <n v="0"/>
    <n v="1.3836999999999999"/>
    <n v="-0.96960000000000002"/>
    <n v="1E-4"/>
    <n v="-7.2945000000000002"/>
    <n v="0.44619999999999999"/>
    <n v="-0.72540000000000004"/>
    <n v="1"/>
    <n v="1987.7"/>
    <n v="1"/>
    <n v="2006.5"/>
    <n v="0"/>
    <n v="0"/>
    <n v="0"/>
    <n v="0"/>
    <n v="0"/>
  </r>
  <r>
    <x v="0"/>
    <x v="0"/>
    <s v="SPXW"/>
    <x v="3"/>
    <x v="280"/>
    <s v="p"/>
    <n v="0"/>
    <n v="0"/>
    <n v="0"/>
    <n v="0"/>
    <n v="0"/>
    <n v="1"/>
    <n v="2186.1999999999998"/>
    <n v="1"/>
    <n v="2205.5"/>
    <n v="0"/>
    <n v="0"/>
    <n v="0"/>
    <n v="0"/>
    <n v="1.4548000000000001"/>
    <n v="-0.97370000000000001"/>
    <n v="1E-4"/>
    <n v="-6.5532000000000004"/>
    <n v="0.39350000000000002"/>
    <n v="-0.74299999999999999"/>
    <n v="1"/>
    <n v="2189"/>
    <n v="2"/>
    <n v="2211.6"/>
    <n v="0"/>
    <n v="0"/>
    <n v="0"/>
    <n v="0"/>
    <n v="0"/>
  </r>
  <r>
    <x v="0"/>
    <x v="0"/>
    <s v="SPXW"/>
    <x v="4"/>
    <x v="281"/>
    <s v="p"/>
    <n v="0"/>
    <n v="0"/>
    <n v="0"/>
    <n v="0"/>
    <n v="0"/>
    <n v="0"/>
    <n v="0"/>
    <n v="930"/>
    <n v="0.05"/>
    <n v="0"/>
    <n v="0"/>
    <n v="0"/>
    <n v="0"/>
    <n v="4.1725000000000003"/>
    <n v="0"/>
    <n v="0"/>
    <n v="-2.3199999999999998E-2"/>
    <n v="1.1000000000000001E-3"/>
    <n v="0"/>
    <n v="0"/>
    <n v="0"/>
    <n v="128"/>
    <n v="0.05"/>
    <n v="0"/>
    <n v="0"/>
    <n v="0"/>
    <n v="0"/>
    <n v="0"/>
  </r>
  <r>
    <x v="0"/>
    <x v="0"/>
    <s v="SPXW"/>
    <x v="4"/>
    <x v="282"/>
    <s v="p"/>
    <n v="0"/>
    <n v="0"/>
    <n v="0"/>
    <n v="0"/>
    <n v="0"/>
    <n v="0"/>
    <n v="0"/>
    <n v="929"/>
    <n v="0.05"/>
    <n v="0"/>
    <n v="0"/>
    <n v="0"/>
    <n v="0"/>
    <n v="3.8357000000000001"/>
    <n v="0"/>
    <n v="0"/>
    <n v="-2.3199999999999998E-2"/>
    <n v="1.1999999999999999E-3"/>
    <n v="0"/>
    <n v="0"/>
    <n v="0"/>
    <n v="128"/>
    <n v="0.05"/>
    <n v="0"/>
    <n v="0"/>
    <n v="0"/>
    <n v="0"/>
    <n v="0"/>
  </r>
  <r>
    <x v="0"/>
    <x v="0"/>
    <s v="SPXW"/>
    <x v="4"/>
    <x v="283"/>
    <s v="p"/>
    <n v="0"/>
    <n v="0"/>
    <n v="0"/>
    <n v="0"/>
    <n v="0"/>
    <n v="0"/>
    <n v="0"/>
    <n v="983"/>
    <n v="0.05"/>
    <n v="0"/>
    <n v="0"/>
    <n v="0"/>
    <n v="0"/>
    <n v="3.5398000000000001"/>
    <n v="0"/>
    <n v="0"/>
    <n v="-2.3199999999999998E-2"/>
    <n v="1.1999999999999999E-3"/>
    <n v="0"/>
    <n v="0"/>
    <n v="0"/>
    <n v="128"/>
    <n v="0.05"/>
    <n v="0"/>
    <n v="0"/>
    <n v="0"/>
    <n v="0"/>
    <n v="0"/>
  </r>
  <r>
    <x v="0"/>
    <x v="0"/>
    <s v="SPXW"/>
    <x v="4"/>
    <x v="284"/>
    <s v="p"/>
    <n v="0"/>
    <n v="0"/>
    <n v="0"/>
    <n v="0"/>
    <n v="0"/>
    <n v="0"/>
    <n v="0"/>
    <n v="1097"/>
    <n v="0.05"/>
    <n v="0"/>
    <n v="0"/>
    <n v="0"/>
    <n v="0"/>
    <n v="3.2753999999999999"/>
    <n v="-1E-4"/>
    <n v="0"/>
    <n v="-2.3199999999999998E-2"/>
    <n v="1.2999999999999999E-3"/>
    <n v="0"/>
    <n v="0"/>
    <n v="0"/>
    <n v="248"/>
    <n v="0.05"/>
    <n v="0"/>
    <n v="0"/>
    <n v="0"/>
    <n v="1"/>
    <n v="0"/>
  </r>
  <r>
    <x v="0"/>
    <x v="0"/>
    <s v="SPXW"/>
    <x v="4"/>
    <x v="285"/>
    <s v="p"/>
    <n v="0"/>
    <n v="0"/>
    <n v="0"/>
    <n v="0"/>
    <n v="0"/>
    <n v="0"/>
    <n v="0"/>
    <n v="1096"/>
    <n v="0.05"/>
    <n v="0"/>
    <n v="0"/>
    <n v="0"/>
    <n v="0"/>
    <n v="3.0364"/>
    <n v="-1E-4"/>
    <n v="0"/>
    <n v="-2.3099999999999999E-2"/>
    <n v="1.5E-3"/>
    <n v="0"/>
    <n v="0"/>
    <n v="0"/>
    <n v="248"/>
    <n v="0.05"/>
    <n v="0"/>
    <n v="0"/>
    <n v="0"/>
    <n v="9"/>
    <n v="0"/>
  </r>
  <r>
    <x v="0"/>
    <x v="0"/>
    <s v="SPXW"/>
    <x v="4"/>
    <x v="286"/>
    <s v="p"/>
    <n v="0"/>
    <n v="0"/>
    <n v="0"/>
    <n v="0"/>
    <n v="0"/>
    <n v="0"/>
    <n v="0"/>
    <n v="1095"/>
    <n v="0.05"/>
    <n v="0"/>
    <n v="0"/>
    <n v="0"/>
    <n v="0"/>
    <n v="2.8184999999999998"/>
    <n v="-1E-4"/>
    <n v="0"/>
    <n v="-2.3099999999999999E-2"/>
    <n v="1.6000000000000001E-3"/>
    <n v="0"/>
    <n v="0"/>
    <n v="0"/>
    <n v="248"/>
    <n v="0.05"/>
    <n v="0"/>
    <n v="0"/>
    <n v="0"/>
    <n v="11"/>
    <n v="0"/>
  </r>
  <r>
    <x v="0"/>
    <x v="0"/>
    <s v="SPXW"/>
    <x v="4"/>
    <x v="0"/>
    <s v="p"/>
    <n v="0"/>
    <n v="0"/>
    <n v="0"/>
    <n v="0"/>
    <n v="0"/>
    <n v="0"/>
    <n v="0"/>
    <n v="1093"/>
    <n v="0.05"/>
    <n v="0"/>
    <n v="0"/>
    <n v="0"/>
    <n v="0"/>
    <n v="2.6187"/>
    <n v="-1E-4"/>
    <n v="0"/>
    <n v="-2.3099999999999999E-2"/>
    <n v="1.6999999999999999E-3"/>
    <n v="0"/>
    <n v="0"/>
    <n v="0"/>
    <n v="247"/>
    <n v="0.05"/>
    <n v="0"/>
    <n v="0"/>
    <n v="0"/>
    <n v="2"/>
    <n v="0"/>
  </r>
  <r>
    <x v="0"/>
    <x v="0"/>
    <s v="SPXW"/>
    <x v="4"/>
    <x v="1"/>
    <s v="p"/>
    <n v="0"/>
    <n v="0"/>
    <n v="0"/>
    <n v="0"/>
    <n v="0"/>
    <n v="0"/>
    <n v="0"/>
    <n v="1085"/>
    <n v="0.05"/>
    <n v="0"/>
    <n v="0"/>
    <n v="0"/>
    <n v="0"/>
    <n v="2.4333"/>
    <n v="-1E-4"/>
    <n v="0"/>
    <n v="-2.3099999999999999E-2"/>
    <n v="1.8E-3"/>
    <n v="-1E-4"/>
    <n v="0"/>
    <n v="0"/>
    <n v="247"/>
    <n v="0.05"/>
    <n v="0"/>
    <n v="0"/>
    <n v="0"/>
    <n v="96"/>
    <n v="0"/>
  </r>
  <r>
    <x v="0"/>
    <x v="0"/>
    <s v="SPXW"/>
    <x v="4"/>
    <x v="2"/>
    <s v="p"/>
    <n v="0"/>
    <n v="0"/>
    <n v="0"/>
    <n v="0"/>
    <n v="0"/>
    <n v="0"/>
    <n v="0"/>
    <n v="1112"/>
    <n v="0.05"/>
    <n v="0"/>
    <n v="0"/>
    <n v="0"/>
    <n v="0"/>
    <n v="2.2610000000000001"/>
    <n v="-1E-4"/>
    <n v="0"/>
    <n v="-2.3099999999999999E-2"/>
    <n v="1.9E-3"/>
    <n v="-1E-4"/>
    <n v="0"/>
    <n v="0"/>
    <n v="282"/>
    <n v="0.05"/>
    <n v="0"/>
    <n v="0"/>
    <n v="0"/>
    <n v="66"/>
    <n v="0"/>
  </r>
  <r>
    <x v="0"/>
    <x v="0"/>
    <s v="SPXW"/>
    <x v="4"/>
    <x v="3"/>
    <s v="p"/>
    <n v="0"/>
    <n v="0"/>
    <n v="0"/>
    <n v="0"/>
    <n v="0"/>
    <n v="0"/>
    <n v="0"/>
    <n v="1102"/>
    <n v="0.05"/>
    <n v="0"/>
    <n v="0"/>
    <n v="0"/>
    <n v="0"/>
    <n v="2.0998000000000001"/>
    <n v="-1E-4"/>
    <n v="0"/>
    <n v="-2.3099999999999999E-2"/>
    <n v="2.0999999999999999E-3"/>
    <n v="-1E-4"/>
    <n v="0"/>
    <n v="0"/>
    <n v="282"/>
    <n v="0.05"/>
    <n v="0"/>
    <n v="0"/>
    <n v="0"/>
    <n v="201"/>
    <n v="0"/>
  </r>
  <r>
    <x v="0"/>
    <x v="0"/>
    <s v="SPXW"/>
    <x v="4"/>
    <x v="4"/>
    <s v="p"/>
    <n v="0"/>
    <n v="0"/>
    <n v="0"/>
    <n v="0"/>
    <n v="0"/>
    <n v="0"/>
    <n v="0"/>
    <n v="1091"/>
    <n v="0.05"/>
    <n v="0"/>
    <n v="0"/>
    <n v="0"/>
    <n v="0"/>
    <n v="1.9482999999999999"/>
    <n v="-1E-4"/>
    <n v="0"/>
    <n v="-2.3E-2"/>
    <n v="2.2000000000000001E-3"/>
    <n v="-1E-4"/>
    <n v="0"/>
    <n v="0"/>
    <n v="281"/>
    <n v="0.05"/>
    <n v="0"/>
    <n v="0"/>
    <n v="0"/>
    <n v="101"/>
    <n v="0"/>
  </r>
  <r>
    <x v="0"/>
    <x v="0"/>
    <s v="SPXW"/>
    <x v="4"/>
    <x v="5"/>
    <s v="p"/>
    <n v="0"/>
    <n v="0"/>
    <n v="0"/>
    <n v="0"/>
    <n v="0"/>
    <n v="0"/>
    <n v="0"/>
    <n v="1078"/>
    <n v="0.05"/>
    <n v="0"/>
    <n v="0"/>
    <n v="0"/>
    <n v="0"/>
    <n v="1.8052999999999999"/>
    <n v="-1E-4"/>
    <n v="0"/>
    <n v="-2.3E-2"/>
    <n v="2.3999999999999998E-3"/>
    <n v="-1E-4"/>
    <n v="0"/>
    <n v="0"/>
    <n v="279"/>
    <n v="0.05"/>
    <n v="0"/>
    <n v="0"/>
    <n v="0"/>
    <n v="168"/>
    <n v="0"/>
  </r>
  <r>
    <x v="0"/>
    <x v="0"/>
    <s v="SPXW"/>
    <x v="4"/>
    <x v="6"/>
    <s v="p"/>
    <n v="0"/>
    <n v="0"/>
    <n v="0"/>
    <n v="0"/>
    <n v="0"/>
    <n v="0"/>
    <n v="0"/>
    <n v="1059"/>
    <n v="0.05"/>
    <n v="0"/>
    <n v="0"/>
    <n v="0"/>
    <n v="0"/>
    <n v="1.67"/>
    <n v="-1E-4"/>
    <n v="0"/>
    <n v="-2.3E-2"/>
    <n v="2.5999999999999999E-3"/>
    <n v="-1E-4"/>
    <n v="0"/>
    <n v="0"/>
    <n v="278"/>
    <n v="0.05"/>
    <n v="0"/>
    <n v="0"/>
    <n v="0"/>
    <n v="432"/>
    <n v="0"/>
  </r>
  <r>
    <x v="0"/>
    <x v="0"/>
    <s v="SPXW"/>
    <x v="4"/>
    <x v="7"/>
    <s v="p"/>
    <n v="0.05"/>
    <n v="0.05"/>
    <n v="0.05"/>
    <n v="0.05"/>
    <n v="1"/>
    <n v="0"/>
    <n v="0"/>
    <n v="1041"/>
    <n v="0.05"/>
    <n v="0"/>
    <n v="0"/>
    <n v="0"/>
    <n v="0"/>
    <n v="1.5412999999999999"/>
    <n v="-1E-4"/>
    <n v="0"/>
    <n v="-2.3E-2"/>
    <n v="2.8E-3"/>
    <n v="-1E-4"/>
    <n v="0"/>
    <n v="0"/>
    <n v="270"/>
    <n v="0.05"/>
    <n v="0"/>
    <n v="0"/>
    <n v="0.05"/>
    <n v="396"/>
    <n v="0"/>
  </r>
  <r>
    <x v="0"/>
    <x v="0"/>
    <s v="SPXW"/>
    <x v="4"/>
    <x v="8"/>
    <s v="p"/>
    <n v="0.05"/>
    <n v="0.05"/>
    <n v="0.05"/>
    <n v="0.05"/>
    <n v="2"/>
    <n v="0"/>
    <n v="0"/>
    <n v="1194"/>
    <n v="0.05"/>
    <n v="0"/>
    <n v="0"/>
    <n v="0"/>
    <n v="0"/>
    <n v="1.4188000000000001"/>
    <n v="-1E-4"/>
    <n v="0"/>
    <n v="-2.29E-2"/>
    <n v="3.0000000000000001E-3"/>
    <n v="-1E-4"/>
    <n v="0"/>
    <n v="0"/>
    <n v="846"/>
    <n v="0.05"/>
    <n v="0"/>
    <n v="0"/>
    <n v="0.05"/>
    <n v="2428"/>
    <n v="0"/>
  </r>
  <r>
    <x v="0"/>
    <x v="0"/>
    <s v="SPXW"/>
    <x v="4"/>
    <x v="9"/>
    <s v="p"/>
    <n v="0"/>
    <n v="0"/>
    <n v="0"/>
    <n v="0"/>
    <n v="0"/>
    <n v="0"/>
    <n v="0"/>
    <n v="1137"/>
    <n v="0.05"/>
    <n v="0"/>
    <n v="0"/>
    <n v="0"/>
    <n v="0"/>
    <n v="1.3018000000000001"/>
    <n v="-1E-4"/>
    <n v="0"/>
    <n v="-2.29E-2"/>
    <n v="3.3E-3"/>
    <n v="-1E-4"/>
    <n v="0"/>
    <n v="0"/>
    <n v="249"/>
    <n v="0.05"/>
    <n v="0"/>
    <n v="0"/>
    <n v="0"/>
    <n v="1266"/>
    <n v="0"/>
  </r>
  <r>
    <x v="0"/>
    <x v="0"/>
    <s v="SPXW"/>
    <x v="4"/>
    <x v="10"/>
    <s v="p"/>
    <n v="0.05"/>
    <n v="0.05"/>
    <n v="0.05"/>
    <n v="0.05"/>
    <n v="2"/>
    <n v="0"/>
    <n v="0"/>
    <n v="1170"/>
    <n v="0.05"/>
    <n v="0"/>
    <n v="0"/>
    <n v="0"/>
    <n v="0"/>
    <n v="1.1896"/>
    <n v="-1E-4"/>
    <n v="0"/>
    <n v="-2.29E-2"/>
    <n v="3.5999999999999999E-3"/>
    <n v="-1E-4"/>
    <n v="0"/>
    <n v="0"/>
    <n v="827"/>
    <n v="0.05"/>
    <n v="0"/>
    <n v="0"/>
    <n v="0.05"/>
    <n v="516"/>
    <n v="0"/>
  </r>
  <r>
    <x v="0"/>
    <x v="0"/>
    <s v="SPXW"/>
    <x v="4"/>
    <x v="11"/>
    <s v="p"/>
    <n v="0"/>
    <n v="0"/>
    <n v="0"/>
    <n v="0"/>
    <n v="0"/>
    <n v="0"/>
    <n v="0"/>
    <n v="462"/>
    <n v="0.05"/>
    <n v="0"/>
    <n v="0"/>
    <n v="0"/>
    <n v="0"/>
    <n v="1.0821000000000001"/>
    <n v="-1E-4"/>
    <n v="0"/>
    <n v="-2.29E-2"/>
    <n v="3.8999999999999998E-3"/>
    <n v="-1E-4"/>
    <n v="0"/>
    <n v="0"/>
    <n v="189"/>
    <n v="0.05"/>
    <n v="0"/>
    <n v="0"/>
    <n v="0"/>
    <n v="984"/>
    <n v="0"/>
  </r>
  <r>
    <x v="0"/>
    <x v="0"/>
    <s v="SPXW"/>
    <x v="4"/>
    <x v="287"/>
    <s v="p"/>
    <n v="0"/>
    <n v="0"/>
    <n v="0"/>
    <n v="0"/>
    <n v="0"/>
    <n v="0"/>
    <n v="0"/>
    <n v="417"/>
    <n v="0.05"/>
    <n v="0"/>
    <n v="0"/>
    <n v="0"/>
    <n v="0"/>
    <n v="1.0298"/>
    <n v="-1E-4"/>
    <n v="0"/>
    <n v="-2.2800000000000001E-2"/>
    <n v="4.1000000000000003E-3"/>
    <n v="-1E-4"/>
    <n v="0"/>
    <n v="0"/>
    <n v="102"/>
    <n v="0.05"/>
    <n v="0"/>
    <n v="0"/>
    <n v="0"/>
    <n v="4092"/>
    <n v="0"/>
  </r>
  <r>
    <x v="0"/>
    <x v="0"/>
    <s v="SPXW"/>
    <x v="4"/>
    <x v="288"/>
    <s v="p"/>
    <n v="0"/>
    <n v="0"/>
    <n v="0"/>
    <n v="0"/>
    <n v="0"/>
    <n v="0"/>
    <n v="0"/>
    <n v="403"/>
    <n v="0.05"/>
    <n v="0"/>
    <n v="0"/>
    <n v="0"/>
    <n v="0"/>
    <n v="1.004"/>
    <n v="-2.0000000000000001E-4"/>
    <n v="0"/>
    <n v="-2.2800000000000001E-2"/>
    <n v="4.1999999999999997E-3"/>
    <n v="-1E-4"/>
    <n v="0"/>
    <n v="0"/>
    <n v="98"/>
    <n v="0.05"/>
    <n v="0"/>
    <n v="0"/>
    <n v="0"/>
    <n v="39617"/>
    <n v="0"/>
  </r>
  <r>
    <x v="0"/>
    <x v="0"/>
    <s v="SPXW"/>
    <x v="4"/>
    <x v="12"/>
    <s v="p"/>
    <n v="0"/>
    <n v="0"/>
    <n v="0"/>
    <n v="0"/>
    <n v="0"/>
    <n v="0"/>
    <n v="0"/>
    <n v="2943"/>
    <n v="0.05"/>
    <n v="0"/>
    <n v="0"/>
    <n v="0"/>
    <n v="0"/>
    <n v="0.97809999999999997"/>
    <n v="-2.0000000000000001E-4"/>
    <n v="0"/>
    <n v="-2.2800000000000001E-2"/>
    <n v="4.3E-3"/>
    <n v="-1E-4"/>
    <n v="0"/>
    <n v="0"/>
    <n v="2675"/>
    <n v="0.05"/>
    <n v="0"/>
    <n v="0"/>
    <n v="0"/>
    <n v="7347"/>
    <n v="0"/>
  </r>
  <r>
    <x v="0"/>
    <x v="0"/>
    <s v="SPXW"/>
    <x v="4"/>
    <x v="289"/>
    <s v="p"/>
    <n v="0.05"/>
    <n v="0.05"/>
    <n v="0.02"/>
    <n v="0.02"/>
    <n v="8"/>
    <n v="0"/>
    <n v="0"/>
    <n v="355"/>
    <n v="0.05"/>
    <n v="0"/>
    <n v="0"/>
    <n v="0"/>
    <n v="0"/>
    <n v="0.95320000000000005"/>
    <n v="-2.0000000000000001E-4"/>
    <n v="0"/>
    <n v="-2.2800000000000001E-2"/>
    <n v="4.4000000000000003E-3"/>
    <n v="-1E-4"/>
    <n v="0"/>
    <n v="0"/>
    <n v="100"/>
    <n v="0.05"/>
    <n v="0"/>
    <n v="0"/>
    <n v="3.1300000000000001E-2"/>
    <n v="40352"/>
    <n v="0"/>
  </r>
  <r>
    <x v="0"/>
    <x v="0"/>
    <s v="SPXW"/>
    <x v="4"/>
    <x v="13"/>
    <s v="p"/>
    <n v="0"/>
    <n v="0"/>
    <n v="0"/>
    <n v="0"/>
    <n v="0"/>
    <n v="0"/>
    <n v="0"/>
    <n v="324"/>
    <n v="0.05"/>
    <n v="0"/>
    <n v="0"/>
    <n v="0"/>
    <n v="0"/>
    <n v="0.92810000000000004"/>
    <n v="-2.0000000000000001E-4"/>
    <n v="0"/>
    <n v="-2.2800000000000001E-2"/>
    <n v="4.5999999999999999E-3"/>
    <n v="-1E-4"/>
    <n v="0"/>
    <n v="0"/>
    <n v="85"/>
    <n v="0.05"/>
    <n v="0"/>
    <n v="0"/>
    <n v="0"/>
    <n v="4575"/>
    <n v="0"/>
  </r>
  <r>
    <x v="0"/>
    <x v="0"/>
    <s v="SPXW"/>
    <x v="4"/>
    <x v="290"/>
    <s v="p"/>
    <n v="7.0000000000000007E-2"/>
    <n v="7.0000000000000007E-2"/>
    <n v="7.0000000000000007E-2"/>
    <n v="7.0000000000000007E-2"/>
    <n v="5"/>
    <n v="0"/>
    <n v="0"/>
    <n v="303"/>
    <n v="0.05"/>
    <n v="0"/>
    <n v="0"/>
    <n v="0"/>
    <n v="0"/>
    <n v="0.9032"/>
    <n v="-2.0000000000000001E-4"/>
    <n v="0"/>
    <n v="-2.2800000000000001E-2"/>
    <n v="4.7000000000000002E-3"/>
    <n v="-1E-4"/>
    <n v="0"/>
    <n v="0"/>
    <n v="82"/>
    <n v="0.05"/>
    <n v="0"/>
    <n v="0"/>
    <n v="7.0000000000000007E-2"/>
    <n v="2203"/>
    <n v="0"/>
  </r>
  <r>
    <x v="0"/>
    <x v="0"/>
    <s v="SPXW"/>
    <x v="4"/>
    <x v="14"/>
    <s v="p"/>
    <n v="0.05"/>
    <n v="0.05"/>
    <n v="0.05"/>
    <n v="0.05"/>
    <n v="61"/>
    <n v="0"/>
    <n v="0"/>
    <n v="1797"/>
    <n v="0.05"/>
    <n v="0"/>
    <n v="0"/>
    <n v="0"/>
    <n v="0"/>
    <n v="0.87860000000000005"/>
    <n v="-2.0000000000000001E-4"/>
    <n v="0"/>
    <n v="-2.2800000000000001E-2"/>
    <n v="4.7999999999999996E-3"/>
    <n v="-1E-4"/>
    <n v="0"/>
    <n v="0"/>
    <n v="1621"/>
    <n v="0.05"/>
    <n v="0"/>
    <n v="0"/>
    <n v="0.05"/>
    <n v="1761"/>
    <n v="0"/>
  </r>
  <r>
    <x v="0"/>
    <x v="0"/>
    <s v="SPXW"/>
    <x v="4"/>
    <x v="291"/>
    <s v="p"/>
    <n v="0"/>
    <n v="0"/>
    <n v="0"/>
    <n v="0"/>
    <n v="0"/>
    <n v="0"/>
    <n v="0"/>
    <n v="437"/>
    <n v="0.05"/>
    <n v="0"/>
    <n v="0"/>
    <n v="0"/>
    <n v="0"/>
    <n v="0.85409999999999997"/>
    <n v="-2.0000000000000001E-4"/>
    <n v="0"/>
    <n v="-2.2800000000000001E-2"/>
    <n v="4.8999999999999998E-3"/>
    <n v="-1E-4"/>
    <n v="0"/>
    <n v="0"/>
    <n v="75"/>
    <n v="0.05"/>
    <n v="0"/>
    <n v="0"/>
    <n v="0"/>
    <n v="320"/>
    <n v="0"/>
  </r>
  <r>
    <x v="0"/>
    <x v="0"/>
    <s v="SPXW"/>
    <x v="4"/>
    <x v="15"/>
    <s v="p"/>
    <n v="0.05"/>
    <n v="0.05"/>
    <n v="0.05"/>
    <n v="0.05"/>
    <n v="10"/>
    <n v="0"/>
    <n v="0"/>
    <n v="1642"/>
    <n v="0.05"/>
    <n v="0"/>
    <n v="0"/>
    <n v="0"/>
    <n v="0"/>
    <n v="0.82989999999999997"/>
    <n v="-2.0000000000000001E-4"/>
    <n v="0"/>
    <n v="-2.2700000000000001E-2"/>
    <n v="5.1000000000000004E-3"/>
    <n v="-1E-4"/>
    <n v="0"/>
    <n v="0"/>
    <n v="1303"/>
    <n v="0.05"/>
    <n v="0"/>
    <n v="0"/>
    <n v="0.05"/>
    <n v="3877"/>
    <n v="0"/>
  </r>
  <r>
    <x v="0"/>
    <x v="0"/>
    <s v="SPXW"/>
    <x v="4"/>
    <x v="292"/>
    <s v="p"/>
    <n v="0.05"/>
    <n v="0.05"/>
    <n v="0.05"/>
    <n v="0.05"/>
    <n v="117"/>
    <n v="0"/>
    <n v="0"/>
    <n v="758"/>
    <n v="0.05"/>
    <n v="0"/>
    <n v="0"/>
    <n v="0"/>
    <n v="0"/>
    <n v="0.80579999999999996"/>
    <n v="-2.0000000000000001E-4"/>
    <n v="0"/>
    <n v="-2.2700000000000001E-2"/>
    <n v="5.1999999999999998E-3"/>
    <n v="-1E-4"/>
    <n v="0"/>
    <n v="0"/>
    <n v="633"/>
    <n v="0.05"/>
    <n v="0"/>
    <n v="0"/>
    <n v="0.05"/>
    <n v="3846"/>
    <n v="0"/>
  </r>
  <r>
    <x v="0"/>
    <x v="0"/>
    <s v="SPXW"/>
    <x v="4"/>
    <x v="16"/>
    <s v="p"/>
    <n v="0.05"/>
    <n v="0.05"/>
    <n v="0.05"/>
    <n v="0.05"/>
    <n v="626"/>
    <n v="0"/>
    <n v="0"/>
    <n v="649"/>
    <n v="0.05"/>
    <n v="0"/>
    <n v="0"/>
    <n v="0"/>
    <n v="0"/>
    <n v="0.78200000000000003"/>
    <n v="-2.0000000000000001E-4"/>
    <n v="0"/>
    <n v="-2.2700000000000001E-2"/>
    <n v="5.4000000000000003E-3"/>
    <n v="-1E-4"/>
    <n v="0"/>
    <n v="0"/>
    <n v="530"/>
    <n v="0.05"/>
    <n v="0"/>
    <n v="0"/>
    <n v="0.05"/>
    <n v="1460"/>
    <n v="0"/>
  </r>
  <r>
    <x v="0"/>
    <x v="0"/>
    <s v="SPXW"/>
    <x v="4"/>
    <x v="293"/>
    <s v="p"/>
    <n v="0.05"/>
    <n v="0.05"/>
    <n v="0.05"/>
    <n v="0.05"/>
    <n v="104"/>
    <n v="0"/>
    <n v="0"/>
    <n v="61"/>
    <n v="0.05"/>
    <n v="0"/>
    <n v="0"/>
    <n v="0"/>
    <n v="0"/>
    <n v="0.75829999999999997"/>
    <n v="-2.0000000000000001E-4"/>
    <n v="0"/>
    <n v="-2.2700000000000001E-2"/>
    <n v="5.4999999999999997E-3"/>
    <n v="-1E-4"/>
    <n v="0"/>
    <n v="0"/>
    <n v="264"/>
    <n v="0.1"/>
    <n v="0"/>
    <n v="0"/>
    <n v="0.05"/>
    <n v="1055"/>
    <n v="0"/>
  </r>
  <r>
    <x v="0"/>
    <x v="0"/>
    <s v="SPXW"/>
    <x v="4"/>
    <x v="17"/>
    <s v="p"/>
    <n v="0"/>
    <n v="0"/>
    <n v="0"/>
    <n v="0"/>
    <n v="0"/>
    <n v="0"/>
    <n v="0"/>
    <n v="59"/>
    <n v="0.05"/>
    <n v="0"/>
    <n v="0"/>
    <n v="0"/>
    <n v="0"/>
    <n v="0.74660000000000004"/>
    <n v="-2.0000000000000001E-4"/>
    <n v="0"/>
    <n v="-2.2700000000000001E-2"/>
    <n v="5.5999999999999999E-3"/>
    <n v="-1E-4"/>
    <n v="0"/>
    <n v="0"/>
    <n v="255"/>
    <n v="0.1"/>
    <n v="0"/>
    <n v="0"/>
    <n v="0"/>
    <n v="66"/>
    <n v="0"/>
  </r>
  <r>
    <x v="0"/>
    <x v="0"/>
    <s v="SPXW"/>
    <x v="4"/>
    <x v="18"/>
    <s v="p"/>
    <n v="7.0000000000000007E-2"/>
    <n v="7.0000000000000007E-2"/>
    <n v="0.05"/>
    <n v="0.05"/>
    <n v="629"/>
    <n v="0"/>
    <n v="0"/>
    <n v="808"/>
    <n v="0.05"/>
    <n v="0"/>
    <n v="0"/>
    <n v="0"/>
    <n v="0"/>
    <n v="0.7349"/>
    <n v="-2.0000000000000001E-4"/>
    <n v="0"/>
    <n v="-2.2700000000000001E-2"/>
    <n v="5.7000000000000002E-3"/>
    <n v="-2.0000000000000001E-4"/>
    <n v="0"/>
    <n v="0"/>
    <n v="750"/>
    <n v="0.05"/>
    <n v="0"/>
    <n v="0"/>
    <n v="5.0200000000000002E-2"/>
    <n v="1008"/>
    <n v="0"/>
  </r>
  <r>
    <x v="0"/>
    <x v="0"/>
    <s v="SPXW"/>
    <x v="4"/>
    <x v="19"/>
    <s v="p"/>
    <n v="0"/>
    <n v="0"/>
    <n v="0"/>
    <n v="0"/>
    <n v="0"/>
    <n v="0"/>
    <n v="0"/>
    <n v="55"/>
    <n v="0.05"/>
    <n v="0"/>
    <n v="0"/>
    <n v="0"/>
    <n v="0"/>
    <n v="0.72319999999999995"/>
    <n v="-2.0000000000000001E-4"/>
    <n v="0"/>
    <n v="-2.2700000000000001E-2"/>
    <n v="5.7999999999999996E-3"/>
    <n v="-2.0000000000000001E-4"/>
    <n v="0"/>
    <n v="0"/>
    <n v="173"/>
    <n v="0.1"/>
    <n v="0"/>
    <n v="0"/>
    <n v="0"/>
    <n v="126"/>
    <n v="0"/>
  </r>
  <r>
    <x v="0"/>
    <x v="0"/>
    <s v="SPXW"/>
    <x v="4"/>
    <x v="20"/>
    <s v="p"/>
    <n v="0"/>
    <n v="0"/>
    <n v="0"/>
    <n v="0"/>
    <n v="0"/>
    <n v="0"/>
    <n v="0"/>
    <n v="53"/>
    <n v="0.05"/>
    <n v="0"/>
    <n v="0"/>
    <n v="0"/>
    <n v="0"/>
    <n v="0.71160000000000001"/>
    <n v="-2.0000000000000001E-4"/>
    <n v="0"/>
    <n v="-2.2700000000000001E-2"/>
    <n v="5.8999999999999999E-3"/>
    <n v="-2.0000000000000001E-4"/>
    <n v="0"/>
    <n v="0"/>
    <n v="167"/>
    <n v="0.1"/>
    <n v="0"/>
    <n v="0"/>
    <n v="0"/>
    <n v="354"/>
    <n v="0"/>
  </r>
  <r>
    <x v="0"/>
    <x v="0"/>
    <s v="SPXW"/>
    <x v="4"/>
    <x v="21"/>
    <s v="p"/>
    <n v="0.05"/>
    <n v="0.05"/>
    <n v="0.05"/>
    <n v="0.05"/>
    <n v="11"/>
    <n v="0"/>
    <n v="0"/>
    <n v="51"/>
    <n v="0.05"/>
    <n v="0"/>
    <n v="0"/>
    <n v="0"/>
    <n v="0"/>
    <n v="0.7"/>
    <n v="-2.0000000000000001E-4"/>
    <n v="0"/>
    <n v="-2.2700000000000001E-2"/>
    <n v="6.0000000000000001E-3"/>
    <n v="-2.0000000000000001E-4"/>
    <n v="0"/>
    <n v="0"/>
    <n v="168"/>
    <n v="0.1"/>
    <n v="0"/>
    <n v="0"/>
    <n v="0.05"/>
    <n v="318"/>
    <n v="0"/>
  </r>
  <r>
    <x v="0"/>
    <x v="0"/>
    <s v="SPXW"/>
    <x v="4"/>
    <x v="22"/>
    <s v="p"/>
    <n v="0.05"/>
    <n v="0.05"/>
    <n v="0.05"/>
    <n v="0.05"/>
    <n v="2640"/>
    <n v="0"/>
    <n v="0"/>
    <n v="750"/>
    <n v="0.05"/>
    <n v="0"/>
    <n v="0"/>
    <n v="0"/>
    <n v="0"/>
    <n v="0.6885"/>
    <n v="-2.0000000000000001E-4"/>
    <n v="0"/>
    <n v="-2.2599999999999999E-2"/>
    <n v="6.1000000000000004E-3"/>
    <n v="-2.0000000000000001E-4"/>
    <n v="0"/>
    <n v="0"/>
    <n v="160"/>
    <n v="0.1"/>
    <n v="0"/>
    <n v="0"/>
    <n v="0.05"/>
    <n v="2300"/>
    <n v="0"/>
  </r>
  <r>
    <x v="0"/>
    <x v="0"/>
    <s v="SPXW"/>
    <x v="4"/>
    <x v="23"/>
    <s v="p"/>
    <n v="0.05"/>
    <n v="0.05"/>
    <n v="0.05"/>
    <n v="0.05"/>
    <n v="51"/>
    <n v="0"/>
    <n v="0"/>
    <n v="435"/>
    <n v="0.1"/>
    <n v="0"/>
    <n v="0"/>
    <n v="0"/>
    <n v="0"/>
    <n v="0.70940000000000003"/>
    <n v="-4.0000000000000002E-4"/>
    <n v="0"/>
    <n v="-4.4400000000000002E-2"/>
    <n v="1.0699999999999999E-2"/>
    <n v="-2.9999999999999997E-4"/>
    <n v="0"/>
    <n v="0"/>
    <n v="158"/>
    <n v="0.1"/>
    <n v="0"/>
    <n v="0"/>
    <n v="0.05"/>
    <n v="885"/>
    <n v="0"/>
  </r>
  <r>
    <x v="0"/>
    <x v="0"/>
    <s v="SPXW"/>
    <x v="4"/>
    <x v="24"/>
    <s v="p"/>
    <n v="0"/>
    <n v="0"/>
    <n v="0"/>
    <n v="0"/>
    <n v="0"/>
    <n v="0"/>
    <n v="0"/>
    <n v="457"/>
    <n v="0.1"/>
    <n v="0"/>
    <n v="0"/>
    <n v="0"/>
    <n v="0"/>
    <n v="0.69779999999999998"/>
    <n v="-4.0000000000000002E-4"/>
    <n v="0"/>
    <n v="-4.4400000000000002E-2"/>
    <n v="1.09E-2"/>
    <n v="-2.9999999999999997E-4"/>
    <n v="0"/>
    <n v="0"/>
    <n v="157"/>
    <n v="0.1"/>
    <n v="0"/>
    <n v="0"/>
    <n v="0"/>
    <n v="1172"/>
    <n v="0"/>
  </r>
  <r>
    <x v="0"/>
    <x v="0"/>
    <s v="SPXW"/>
    <x v="4"/>
    <x v="25"/>
    <s v="p"/>
    <n v="0.05"/>
    <n v="0.05"/>
    <n v="0.05"/>
    <n v="0.05"/>
    <n v="40"/>
    <n v="0"/>
    <n v="0"/>
    <n v="435"/>
    <n v="0.1"/>
    <n v="0"/>
    <n v="0"/>
    <n v="0"/>
    <n v="0"/>
    <n v="0.6855"/>
    <n v="-4.0000000000000002E-4"/>
    <n v="0"/>
    <n v="-4.4400000000000002E-2"/>
    <n v="1.11E-2"/>
    <n v="-2.9999999999999997E-4"/>
    <n v="0"/>
    <n v="0"/>
    <n v="156"/>
    <n v="0.1"/>
    <n v="0"/>
    <n v="0"/>
    <n v="0.05"/>
    <n v="367"/>
    <n v="0"/>
  </r>
  <r>
    <x v="0"/>
    <x v="0"/>
    <s v="SPXW"/>
    <x v="4"/>
    <x v="26"/>
    <s v="p"/>
    <n v="0.1"/>
    <n v="0.1"/>
    <n v="0.05"/>
    <n v="0.05"/>
    <n v="440"/>
    <n v="0"/>
    <n v="0"/>
    <n v="414"/>
    <n v="0.1"/>
    <n v="0"/>
    <n v="0"/>
    <n v="0"/>
    <n v="0"/>
    <n v="0.67410000000000003"/>
    <n v="-4.0000000000000002E-4"/>
    <n v="0"/>
    <n v="-4.4400000000000002E-2"/>
    <n v="1.1299999999999999E-2"/>
    <n v="-2.9999999999999997E-4"/>
    <n v="0"/>
    <n v="0"/>
    <n v="157"/>
    <n v="0.1"/>
    <n v="0"/>
    <n v="0"/>
    <n v="6.1400000000000003E-2"/>
    <n v="1751"/>
    <n v="0"/>
  </r>
  <r>
    <x v="0"/>
    <x v="0"/>
    <s v="SPXW"/>
    <x v="4"/>
    <x v="27"/>
    <s v="p"/>
    <n v="0"/>
    <n v="0"/>
    <n v="0"/>
    <n v="0"/>
    <n v="0"/>
    <n v="0"/>
    <n v="0"/>
    <n v="390"/>
    <n v="0.1"/>
    <n v="0"/>
    <n v="0"/>
    <n v="0"/>
    <n v="0"/>
    <n v="0.66220000000000001"/>
    <n v="-4.0000000000000002E-4"/>
    <n v="0"/>
    <n v="-4.4299999999999999E-2"/>
    <n v="1.15E-2"/>
    <n v="-2.9999999999999997E-4"/>
    <n v="0"/>
    <n v="0"/>
    <n v="158"/>
    <n v="0.1"/>
    <n v="0"/>
    <n v="0"/>
    <n v="0"/>
    <n v="148"/>
    <n v="0"/>
  </r>
  <r>
    <x v="0"/>
    <x v="0"/>
    <s v="SPXW"/>
    <x v="4"/>
    <x v="28"/>
    <s v="p"/>
    <n v="0.1"/>
    <n v="0.1"/>
    <n v="0.05"/>
    <n v="0.05"/>
    <n v="9"/>
    <n v="0"/>
    <n v="0"/>
    <n v="366"/>
    <n v="0.1"/>
    <n v="0"/>
    <n v="0"/>
    <n v="0"/>
    <n v="0"/>
    <n v="0.65049999999999997"/>
    <n v="-4.0000000000000002E-4"/>
    <n v="0"/>
    <n v="-4.4299999999999999E-2"/>
    <n v="1.17E-2"/>
    <n v="-2.9999999999999997E-4"/>
    <n v="0"/>
    <n v="0"/>
    <n v="157"/>
    <n v="0.1"/>
    <n v="0"/>
    <n v="0"/>
    <n v="7.7799999999999994E-2"/>
    <n v="363"/>
    <n v="0"/>
  </r>
  <r>
    <x v="0"/>
    <x v="0"/>
    <s v="SPXW"/>
    <x v="4"/>
    <x v="29"/>
    <s v="p"/>
    <n v="0"/>
    <n v="0"/>
    <n v="0"/>
    <n v="0"/>
    <n v="0"/>
    <n v="0"/>
    <n v="0"/>
    <n v="343"/>
    <n v="0.1"/>
    <n v="0"/>
    <n v="0"/>
    <n v="0"/>
    <n v="0"/>
    <n v="0.63829999999999998"/>
    <n v="-4.0000000000000002E-4"/>
    <n v="0"/>
    <n v="-4.4299999999999999E-2"/>
    <n v="1.1900000000000001E-2"/>
    <n v="-2.9999999999999997E-4"/>
    <n v="0"/>
    <n v="0"/>
    <n v="47"/>
    <n v="0.1"/>
    <n v="0"/>
    <n v="0"/>
    <n v="0"/>
    <n v="218"/>
    <n v="0"/>
  </r>
  <r>
    <x v="0"/>
    <x v="0"/>
    <s v="SPXW"/>
    <x v="4"/>
    <x v="30"/>
    <s v="p"/>
    <n v="0.09"/>
    <n v="0.1"/>
    <n v="0.05"/>
    <n v="0.1"/>
    <n v="97"/>
    <n v="25"/>
    <n v="0.05"/>
    <n v="328"/>
    <n v="0.1"/>
    <n v="0"/>
    <n v="0"/>
    <n v="0"/>
    <n v="0"/>
    <n v="0.64610000000000001"/>
    <n v="-5.9999999999999995E-4"/>
    <n v="0"/>
    <n v="-6.5500000000000003E-2"/>
    <n v="1.66E-2"/>
    <n v="-5.0000000000000001E-4"/>
    <n v="25"/>
    <n v="0.05"/>
    <n v="45"/>
    <n v="0.1"/>
    <n v="0"/>
    <n v="0"/>
    <n v="9.2999999999999999E-2"/>
    <n v="3630"/>
    <n v="0"/>
  </r>
  <r>
    <x v="0"/>
    <x v="0"/>
    <s v="SPXW"/>
    <x v="4"/>
    <x v="31"/>
    <s v="p"/>
    <n v="0"/>
    <n v="0"/>
    <n v="0"/>
    <n v="0"/>
    <n v="0"/>
    <n v="0"/>
    <n v="0"/>
    <n v="442"/>
    <n v="0.1"/>
    <n v="0"/>
    <n v="0"/>
    <n v="0"/>
    <n v="0"/>
    <n v="0.61529999999999996"/>
    <n v="-4.0000000000000002E-4"/>
    <n v="0"/>
    <n v="-4.4200000000000003E-2"/>
    <n v="1.23E-2"/>
    <n v="-2.9999999999999997E-4"/>
    <n v="0"/>
    <n v="0"/>
    <n v="316"/>
    <n v="0.15"/>
    <n v="0"/>
    <n v="0"/>
    <n v="0"/>
    <n v="471"/>
    <n v="0"/>
  </r>
  <r>
    <x v="0"/>
    <x v="0"/>
    <s v="SPXW"/>
    <x v="4"/>
    <x v="32"/>
    <s v="p"/>
    <n v="0.08"/>
    <n v="0.1"/>
    <n v="0.06"/>
    <n v="0.1"/>
    <n v="40"/>
    <n v="0"/>
    <n v="0"/>
    <n v="221"/>
    <n v="0.1"/>
    <n v="0"/>
    <n v="0"/>
    <n v="0"/>
    <n v="0"/>
    <n v="0.60360000000000003"/>
    <n v="-5.0000000000000001E-4"/>
    <n v="0"/>
    <n v="-4.4200000000000003E-2"/>
    <n v="1.2500000000000001E-2"/>
    <n v="-2.9999999999999997E-4"/>
    <n v="0"/>
    <n v="0"/>
    <n v="282"/>
    <n v="0.15"/>
    <n v="0"/>
    <n v="0"/>
    <n v="8.5999999999999993E-2"/>
    <n v="598"/>
    <n v="0"/>
  </r>
  <r>
    <x v="0"/>
    <x v="0"/>
    <s v="SPXW"/>
    <x v="4"/>
    <x v="33"/>
    <s v="p"/>
    <n v="0.1"/>
    <n v="0.1"/>
    <n v="0.1"/>
    <n v="0.1"/>
    <n v="10"/>
    <n v="238"/>
    <n v="0.05"/>
    <n v="243"/>
    <n v="0.1"/>
    <n v="0"/>
    <n v="0"/>
    <n v="0"/>
    <n v="0"/>
    <n v="0.61029999999999995"/>
    <n v="-6.9999999999999999E-4"/>
    <n v="0"/>
    <n v="-6.54E-2"/>
    <n v="1.7500000000000002E-2"/>
    <n v="-5.0000000000000001E-4"/>
    <n v="0"/>
    <n v="0"/>
    <n v="209"/>
    <n v="0.15"/>
    <n v="0"/>
    <n v="0"/>
    <n v="0.1"/>
    <n v="79"/>
    <n v="0"/>
  </r>
  <r>
    <x v="0"/>
    <x v="0"/>
    <s v="SPXW"/>
    <x v="4"/>
    <x v="34"/>
    <s v="p"/>
    <n v="0.15"/>
    <n v="0.15"/>
    <n v="0.05"/>
    <n v="0.1"/>
    <n v="1516"/>
    <n v="319"/>
    <n v="0.05"/>
    <n v="229"/>
    <n v="0.1"/>
    <n v="0"/>
    <n v="0"/>
    <n v="0"/>
    <n v="0"/>
    <n v="0.59809999999999997"/>
    <n v="-6.9999999999999999E-4"/>
    <n v="0"/>
    <n v="-6.5299999999999997E-2"/>
    <n v="1.78E-2"/>
    <n v="-5.0000000000000001E-4"/>
    <n v="128"/>
    <n v="0.05"/>
    <n v="407"/>
    <n v="0.15"/>
    <n v="0"/>
    <n v="0"/>
    <n v="0.14580000000000001"/>
    <n v="14442"/>
    <n v="0"/>
  </r>
  <r>
    <x v="0"/>
    <x v="0"/>
    <s v="SPXW"/>
    <x v="4"/>
    <x v="35"/>
    <s v="p"/>
    <n v="0.11"/>
    <n v="0.11"/>
    <n v="0.05"/>
    <n v="0.1"/>
    <n v="12"/>
    <n v="277"/>
    <n v="0.05"/>
    <n v="190"/>
    <n v="0.1"/>
    <n v="0"/>
    <n v="0"/>
    <n v="0"/>
    <n v="0"/>
    <n v="0.58620000000000005"/>
    <n v="-6.9999999999999999E-4"/>
    <n v="0"/>
    <n v="-6.5299999999999997E-2"/>
    <n v="1.8200000000000001E-2"/>
    <n v="-5.0000000000000001E-4"/>
    <n v="85"/>
    <n v="0.05"/>
    <n v="199"/>
    <n v="0.15"/>
    <n v="0"/>
    <n v="0"/>
    <n v="0.1042"/>
    <n v="148"/>
    <n v="0"/>
  </r>
  <r>
    <x v="0"/>
    <x v="0"/>
    <s v="SPXW"/>
    <x v="4"/>
    <x v="36"/>
    <s v="p"/>
    <n v="0.15"/>
    <n v="0.15"/>
    <n v="0.15"/>
    <n v="0.15"/>
    <n v="1"/>
    <n v="274"/>
    <n v="0.05"/>
    <n v="536"/>
    <n v="0.15"/>
    <n v="0"/>
    <n v="0"/>
    <n v="0"/>
    <n v="0"/>
    <n v="0.58789999999999998"/>
    <n v="-8.9999999999999998E-4"/>
    <n v="0"/>
    <n v="-8.5999999999999993E-2"/>
    <n v="2.3099999999999999E-2"/>
    <n v="-6.9999999999999999E-4"/>
    <n v="129"/>
    <n v="0.05"/>
    <n v="194"/>
    <n v="0.15"/>
    <n v="0"/>
    <n v="0"/>
    <n v="0.15"/>
    <n v="855"/>
    <n v="0"/>
  </r>
  <r>
    <x v="0"/>
    <x v="0"/>
    <s v="SPXW"/>
    <x v="4"/>
    <x v="294"/>
    <s v="p"/>
    <n v="0.1"/>
    <n v="0.15"/>
    <n v="0.1"/>
    <n v="0.15"/>
    <n v="2"/>
    <n v="360"/>
    <n v="0.05"/>
    <n v="454"/>
    <n v="0.15"/>
    <n v="0"/>
    <n v="0"/>
    <n v="0"/>
    <n v="0"/>
    <n v="0.57850000000000001"/>
    <n v="-8.9999999999999998E-4"/>
    <n v="0"/>
    <n v="-8.5999999999999993E-2"/>
    <n v="2.35E-2"/>
    <n v="-6.9999999999999999E-4"/>
    <n v="165"/>
    <n v="0.05"/>
    <n v="143"/>
    <n v="0.15"/>
    <n v="0"/>
    <n v="0"/>
    <n v="0.125"/>
    <n v="191"/>
    <n v="0"/>
  </r>
  <r>
    <x v="0"/>
    <x v="0"/>
    <s v="SPXW"/>
    <x v="4"/>
    <x v="37"/>
    <s v="p"/>
    <n v="0.15"/>
    <n v="0.15"/>
    <n v="0.1"/>
    <n v="0.1"/>
    <n v="42"/>
    <n v="382"/>
    <n v="0.05"/>
    <n v="469"/>
    <n v="0.15"/>
    <n v="0"/>
    <n v="0"/>
    <n v="0"/>
    <n v="0"/>
    <n v="0.57609999999999995"/>
    <n v="-8.9999999999999998E-4"/>
    <n v="0"/>
    <n v="-8.5900000000000004E-2"/>
    <n v="2.3599999999999999E-2"/>
    <n v="-6.9999999999999999E-4"/>
    <n v="181"/>
    <n v="0.05"/>
    <n v="159"/>
    <n v="0.15"/>
    <n v="0"/>
    <n v="0"/>
    <n v="0.1036"/>
    <n v="114"/>
    <n v="0"/>
  </r>
  <r>
    <x v="0"/>
    <x v="0"/>
    <s v="SPXW"/>
    <x v="4"/>
    <x v="295"/>
    <s v="p"/>
    <n v="0.15"/>
    <n v="0.15"/>
    <n v="0.15"/>
    <n v="0.15"/>
    <n v="2"/>
    <n v="357"/>
    <n v="0.05"/>
    <n v="439"/>
    <n v="0.15"/>
    <n v="0"/>
    <n v="0"/>
    <n v="0"/>
    <n v="0"/>
    <n v="0.57320000000000004"/>
    <n v="-8.9999999999999998E-4"/>
    <n v="0"/>
    <n v="-8.5900000000000004E-2"/>
    <n v="2.3699999999999999E-2"/>
    <n v="-6.9999999999999999E-4"/>
    <n v="163"/>
    <n v="0.05"/>
    <n v="142"/>
    <n v="0.15"/>
    <n v="0"/>
    <n v="0"/>
    <n v="0.15"/>
    <n v="136"/>
    <n v="0"/>
  </r>
  <r>
    <x v="0"/>
    <x v="0"/>
    <s v="SPXW"/>
    <x v="4"/>
    <x v="296"/>
    <s v="p"/>
    <n v="0"/>
    <n v="0"/>
    <n v="0"/>
    <n v="0"/>
    <n v="0"/>
    <n v="355"/>
    <n v="0.05"/>
    <n v="424"/>
    <n v="0.15"/>
    <n v="0"/>
    <n v="0"/>
    <n v="0"/>
    <n v="0"/>
    <n v="0.56840000000000002"/>
    <n v="-8.9999999999999998E-4"/>
    <n v="0"/>
    <n v="-8.5900000000000004E-2"/>
    <n v="2.3900000000000001E-2"/>
    <n v="-6.9999999999999999E-4"/>
    <n v="162"/>
    <n v="0.05"/>
    <n v="141"/>
    <n v="0.15"/>
    <n v="0"/>
    <n v="0"/>
    <n v="0"/>
    <n v="131"/>
    <n v="0"/>
  </r>
  <r>
    <x v="0"/>
    <x v="0"/>
    <s v="SPXW"/>
    <x v="4"/>
    <x v="38"/>
    <s v="p"/>
    <n v="0.11"/>
    <n v="0.15"/>
    <n v="0.1"/>
    <n v="0.1"/>
    <n v="505"/>
    <n v="405"/>
    <n v="0.05"/>
    <n v="413"/>
    <n v="0.15"/>
    <n v="0"/>
    <n v="0"/>
    <n v="0"/>
    <n v="0"/>
    <n v="0.56420000000000003"/>
    <n v="-8.9999999999999998E-4"/>
    <n v="0"/>
    <n v="-8.5900000000000004E-2"/>
    <n v="2.41E-2"/>
    <n v="-6.9999999999999999E-4"/>
    <n v="177"/>
    <n v="0.05"/>
    <n v="155"/>
    <n v="0.15"/>
    <n v="0"/>
    <n v="0"/>
    <n v="0.10009999999999999"/>
    <n v="4950"/>
    <n v="0"/>
  </r>
  <r>
    <x v="0"/>
    <x v="0"/>
    <s v="SPXW"/>
    <x v="4"/>
    <x v="297"/>
    <s v="p"/>
    <n v="0.1"/>
    <n v="0.1"/>
    <n v="0.1"/>
    <n v="0.1"/>
    <n v="1"/>
    <n v="351"/>
    <n v="0.05"/>
    <n v="351"/>
    <n v="0.15"/>
    <n v="0"/>
    <n v="0"/>
    <n v="0"/>
    <n v="0"/>
    <n v="0.55889999999999995"/>
    <n v="-8.9999999999999998E-4"/>
    <n v="0"/>
    <n v="-8.5900000000000004E-2"/>
    <n v="2.4299999999999999E-2"/>
    <n v="-6.9999999999999999E-4"/>
    <n v="161"/>
    <n v="0.05"/>
    <n v="137"/>
    <n v="0.15"/>
    <n v="0"/>
    <n v="0"/>
    <n v="0.1"/>
    <n v="34"/>
    <n v="0"/>
  </r>
  <r>
    <x v="0"/>
    <x v="0"/>
    <s v="SPXW"/>
    <x v="4"/>
    <x v="298"/>
    <s v="p"/>
    <n v="0.13"/>
    <n v="0.13"/>
    <n v="0.13"/>
    <n v="0.13"/>
    <n v="1"/>
    <n v="354"/>
    <n v="0.05"/>
    <n v="323"/>
    <n v="0.15"/>
    <n v="0"/>
    <n v="0"/>
    <n v="0"/>
    <n v="0"/>
    <n v="0.55410000000000004"/>
    <n v="-8.9999999999999998E-4"/>
    <n v="0"/>
    <n v="-8.5800000000000001E-2"/>
    <n v="2.4500000000000001E-2"/>
    <n v="-6.9999999999999999E-4"/>
    <n v="212"/>
    <n v="0.05"/>
    <n v="134"/>
    <n v="0.15"/>
    <n v="0"/>
    <n v="0"/>
    <n v="0.13"/>
    <n v="156"/>
    <n v="0"/>
  </r>
  <r>
    <x v="0"/>
    <x v="0"/>
    <s v="SPXW"/>
    <x v="4"/>
    <x v="39"/>
    <s v="p"/>
    <n v="0.18"/>
    <n v="0.18"/>
    <n v="0.18"/>
    <n v="0.18"/>
    <n v="1"/>
    <n v="380"/>
    <n v="0.05"/>
    <n v="337"/>
    <n v="0.15"/>
    <n v="0"/>
    <n v="0"/>
    <n v="0"/>
    <n v="0"/>
    <n v="0.55169999999999997"/>
    <n v="-8.9999999999999998E-4"/>
    <n v="0"/>
    <n v="-8.5800000000000001E-2"/>
    <n v="2.46E-2"/>
    <n v="-6.9999999999999999E-4"/>
    <n v="226"/>
    <n v="0.05"/>
    <n v="149"/>
    <n v="0.15"/>
    <n v="0"/>
    <n v="0"/>
    <n v="0.18"/>
    <n v="364"/>
    <n v="0"/>
  </r>
  <r>
    <x v="0"/>
    <x v="0"/>
    <s v="SPXW"/>
    <x v="4"/>
    <x v="299"/>
    <s v="p"/>
    <n v="0.2"/>
    <n v="0.2"/>
    <n v="0.2"/>
    <n v="0.2"/>
    <n v="1"/>
    <n v="394"/>
    <n v="0.05"/>
    <n v="306"/>
    <n v="0.15"/>
    <n v="0"/>
    <n v="0"/>
    <n v="0"/>
    <n v="0"/>
    <n v="0.54979999999999996"/>
    <n v="-8.9999999999999998E-4"/>
    <n v="0"/>
    <n v="-8.5800000000000001E-2"/>
    <n v="2.46E-2"/>
    <n v="-6.9999999999999999E-4"/>
    <n v="210"/>
    <n v="0.05"/>
    <n v="133"/>
    <n v="0.15"/>
    <n v="0"/>
    <n v="0"/>
    <n v="0.2"/>
    <n v="116"/>
    <n v="0"/>
  </r>
  <r>
    <x v="0"/>
    <x v="0"/>
    <s v="SPXW"/>
    <x v="4"/>
    <x v="300"/>
    <s v="p"/>
    <n v="0.2"/>
    <n v="0.2"/>
    <n v="0.2"/>
    <n v="0.2"/>
    <n v="10"/>
    <n v="558"/>
    <n v="0.05"/>
    <n v="292"/>
    <n v="0.15"/>
    <n v="0"/>
    <n v="0"/>
    <n v="0"/>
    <n v="0"/>
    <n v="0.54510000000000003"/>
    <n v="-8.9999999999999998E-4"/>
    <n v="0"/>
    <n v="-8.5800000000000001E-2"/>
    <n v="2.4799999999999999E-2"/>
    <n v="-6.9999999999999999E-4"/>
    <n v="211"/>
    <n v="0.05"/>
    <n v="132"/>
    <n v="0.15"/>
    <n v="0"/>
    <n v="0"/>
    <n v="0.2"/>
    <n v="143"/>
    <n v="0"/>
  </r>
  <r>
    <x v="0"/>
    <x v="0"/>
    <s v="SPXW"/>
    <x v="4"/>
    <x v="40"/>
    <s v="p"/>
    <n v="0.1"/>
    <n v="0.1"/>
    <n v="0.1"/>
    <n v="0.1"/>
    <n v="17"/>
    <n v="459"/>
    <n v="0.05"/>
    <n v="545"/>
    <n v="0.15"/>
    <n v="0"/>
    <n v="0"/>
    <n v="0"/>
    <n v="0"/>
    <n v="0.53990000000000005"/>
    <n v="-1E-3"/>
    <n v="0"/>
    <n v="-8.5699999999999998E-2"/>
    <n v="2.5100000000000001E-2"/>
    <n v="-6.9999999999999999E-4"/>
    <n v="224"/>
    <n v="0.05"/>
    <n v="145"/>
    <n v="0.15"/>
    <n v="0"/>
    <n v="0"/>
    <n v="0.1"/>
    <n v="1404"/>
    <n v="0"/>
  </r>
  <r>
    <x v="0"/>
    <x v="0"/>
    <s v="SPXW"/>
    <x v="4"/>
    <x v="301"/>
    <s v="p"/>
    <n v="0"/>
    <n v="0"/>
    <n v="0"/>
    <n v="0"/>
    <n v="0"/>
    <n v="424"/>
    <n v="0.05"/>
    <n v="488"/>
    <n v="0.15"/>
    <n v="0"/>
    <n v="0"/>
    <n v="0"/>
    <n v="0"/>
    <n v="0.53510000000000002"/>
    <n v="-1E-3"/>
    <n v="0"/>
    <n v="-8.5699999999999998E-2"/>
    <n v="2.53E-2"/>
    <n v="-6.9999999999999999E-4"/>
    <n v="207"/>
    <n v="0.05"/>
    <n v="42"/>
    <n v="0.15"/>
    <n v="0"/>
    <n v="0"/>
    <n v="0"/>
    <n v="40"/>
    <n v="0"/>
  </r>
  <r>
    <x v="0"/>
    <x v="0"/>
    <s v="SPXW"/>
    <x v="4"/>
    <x v="302"/>
    <s v="p"/>
    <n v="0"/>
    <n v="0"/>
    <n v="0"/>
    <n v="0"/>
    <n v="0"/>
    <n v="433"/>
    <n v="0.05"/>
    <n v="473"/>
    <n v="0.15"/>
    <n v="0"/>
    <n v="0"/>
    <n v="0"/>
    <n v="0"/>
    <n v="0.53080000000000005"/>
    <n v="-1E-3"/>
    <n v="0"/>
    <n v="-8.5699999999999998E-2"/>
    <n v="2.5499999999999998E-2"/>
    <n v="-6.9999999999999999E-4"/>
    <n v="206"/>
    <n v="0.05"/>
    <n v="41"/>
    <n v="0.15"/>
    <n v="0"/>
    <n v="0"/>
    <n v="0"/>
    <n v="206"/>
    <n v="0"/>
  </r>
  <r>
    <x v="0"/>
    <x v="0"/>
    <s v="SPXW"/>
    <x v="4"/>
    <x v="41"/>
    <s v="p"/>
    <n v="0"/>
    <n v="0"/>
    <n v="0"/>
    <n v="0"/>
    <n v="0"/>
    <n v="485"/>
    <n v="0.05"/>
    <n v="502"/>
    <n v="0.15"/>
    <n v="0"/>
    <n v="0"/>
    <n v="0"/>
    <n v="0"/>
    <n v="0.52849999999999997"/>
    <n v="-1E-3"/>
    <n v="0"/>
    <n v="-8.5699999999999998E-2"/>
    <n v="2.5600000000000001E-2"/>
    <n v="-6.9999999999999999E-4"/>
    <n v="223"/>
    <n v="0.05"/>
    <n v="41"/>
    <n v="0.15"/>
    <n v="0"/>
    <n v="0"/>
    <n v="0"/>
    <n v="2713"/>
    <n v="0"/>
  </r>
  <r>
    <x v="0"/>
    <x v="0"/>
    <s v="SPXW"/>
    <x v="4"/>
    <x v="303"/>
    <s v="p"/>
    <n v="0"/>
    <n v="0"/>
    <n v="0"/>
    <n v="0"/>
    <n v="0"/>
    <n v="445"/>
    <n v="0.05"/>
    <n v="450"/>
    <n v="0.15"/>
    <n v="0"/>
    <n v="0"/>
    <n v="0"/>
    <n v="0"/>
    <n v="0.52610000000000001"/>
    <n v="-1E-3"/>
    <n v="0"/>
    <n v="-8.5699999999999998E-2"/>
    <n v="2.5700000000000001E-2"/>
    <n v="-6.9999999999999999E-4"/>
    <n v="207"/>
    <n v="0.05"/>
    <n v="257"/>
    <n v="0.2"/>
    <n v="0"/>
    <n v="0"/>
    <n v="0"/>
    <n v="90"/>
    <n v="0"/>
  </r>
  <r>
    <x v="0"/>
    <x v="0"/>
    <s v="SPXW"/>
    <x v="4"/>
    <x v="304"/>
    <s v="p"/>
    <n v="0.15"/>
    <n v="0.15"/>
    <n v="0.15"/>
    <n v="0.15"/>
    <n v="2"/>
    <n v="459"/>
    <n v="0.05"/>
    <n v="253"/>
    <n v="0.15"/>
    <n v="0"/>
    <n v="0"/>
    <n v="0"/>
    <n v="0"/>
    <n v="0.52139999999999997"/>
    <n v="-1E-3"/>
    <n v="0"/>
    <n v="-8.5599999999999996E-2"/>
    <n v="2.5899999999999999E-2"/>
    <n v="-6.9999999999999999E-4"/>
    <n v="217"/>
    <n v="0.05"/>
    <n v="260"/>
    <n v="0.2"/>
    <n v="0"/>
    <n v="0"/>
    <n v="0.15"/>
    <n v="337"/>
    <n v="0"/>
  </r>
  <r>
    <x v="0"/>
    <x v="0"/>
    <s v="SPXW"/>
    <x v="4"/>
    <x v="42"/>
    <s v="p"/>
    <n v="0.11"/>
    <n v="0.15"/>
    <n v="7.0000000000000007E-2"/>
    <n v="0.12"/>
    <n v="26"/>
    <n v="530"/>
    <n v="0.05"/>
    <n v="291"/>
    <n v="0.15"/>
    <n v="0"/>
    <n v="0"/>
    <n v="0"/>
    <n v="0"/>
    <n v="0.51670000000000005"/>
    <n v="-1E-3"/>
    <n v="0"/>
    <n v="-8.5599999999999996E-2"/>
    <n v="2.6100000000000002E-2"/>
    <n v="-8.0000000000000004E-4"/>
    <n v="254"/>
    <n v="0.05"/>
    <n v="215"/>
    <n v="0.2"/>
    <n v="0"/>
    <n v="0"/>
    <n v="0.1227"/>
    <n v="1419"/>
    <n v="0"/>
  </r>
  <r>
    <x v="0"/>
    <x v="0"/>
    <s v="SPXW"/>
    <x v="4"/>
    <x v="305"/>
    <s v="p"/>
    <n v="0"/>
    <n v="0"/>
    <n v="0"/>
    <n v="0"/>
    <n v="0"/>
    <n v="82"/>
    <n v="0.1"/>
    <n v="126"/>
    <n v="0.15"/>
    <n v="0"/>
    <n v="0"/>
    <n v="0"/>
    <n v="0"/>
    <n v="0.52100000000000002"/>
    <n v="-1.1999999999999999E-3"/>
    <n v="0"/>
    <n v="-0.10589999999999999"/>
    <n v="3.1199999999999999E-2"/>
    <n v="-8.9999999999999998E-4"/>
    <n v="218"/>
    <n v="0.05"/>
    <n v="1"/>
    <n v="0.15"/>
    <n v="0"/>
    <n v="0"/>
    <n v="0"/>
    <n v="139"/>
    <n v="0"/>
  </r>
  <r>
    <x v="0"/>
    <x v="0"/>
    <s v="SPXW"/>
    <x v="4"/>
    <x v="306"/>
    <s v="p"/>
    <n v="0"/>
    <n v="0"/>
    <n v="0"/>
    <n v="0"/>
    <n v="0"/>
    <n v="156"/>
    <n v="0.1"/>
    <n v="91"/>
    <n v="0.15"/>
    <n v="0"/>
    <n v="0"/>
    <n v="0"/>
    <n v="0"/>
    <n v="0.51639999999999997"/>
    <n v="-1.1999999999999999E-3"/>
    <n v="0"/>
    <n v="-0.10580000000000001"/>
    <n v="3.15E-2"/>
    <n v="-8.9999999999999998E-4"/>
    <n v="218"/>
    <n v="0.05"/>
    <n v="199"/>
    <n v="0.2"/>
    <n v="0"/>
    <n v="0"/>
    <n v="0"/>
    <n v="31"/>
    <n v="0"/>
  </r>
  <r>
    <x v="0"/>
    <x v="0"/>
    <s v="SPXW"/>
    <x v="4"/>
    <x v="43"/>
    <s v="p"/>
    <n v="0.12"/>
    <n v="0.2"/>
    <n v="0.12"/>
    <n v="0.2"/>
    <n v="3"/>
    <n v="175"/>
    <n v="0.1"/>
    <n v="84"/>
    <n v="0.15"/>
    <n v="0"/>
    <n v="0"/>
    <n v="0"/>
    <n v="0"/>
    <n v="0.51380000000000003"/>
    <n v="-1.1999999999999999E-3"/>
    <n v="0"/>
    <n v="-0.10580000000000001"/>
    <n v="3.1600000000000003E-2"/>
    <n v="-8.9999999999999998E-4"/>
    <n v="229"/>
    <n v="0.05"/>
    <n v="208"/>
    <n v="0.2"/>
    <n v="0"/>
    <n v="0"/>
    <n v="0.15670000000000001"/>
    <n v="307"/>
    <n v="0"/>
  </r>
  <r>
    <x v="0"/>
    <x v="0"/>
    <s v="SPXW"/>
    <x v="4"/>
    <x v="307"/>
    <s v="p"/>
    <n v="0"/>
    <n v="0"/>
    <n v="0"/>
    <n v="0"/>
    <n v="0"/>
    <n v="152"/>
    <n v="0.1"/>
    <n v="76"/>
    <n v="0.15"/>
    <n v="0"/>
    <n v="0"/>
    <n v="0"/>
    <n v="0"/>
    <n v="0.51139999999999997"/>
    <n v="-1.1999999999999999E-3"/>
    <n v="0"/>
    <n v="-0.10580000000000001"/>
    <n v="3.1800000000000002E-2"/>
    <n v="-8.9999999999999998E-4"/>
    <n v="217"/>
    <n v="0.05"/>
    <n v="195"/>
    <n v="0.2"/>
    <n v="0"/>
    <n v="0"/>
    <n v="0"/>
    <n v="47"/>
    <n v="0"/>
  </r>
  <r>
    <x v="0"/>
    <x v="0"/>
    <s v="SPXW"/>
    <x v="4"/>
    <x v="308"/>
    <s v="p"/>
    <n v="0"/>
    <n v="0"/>
    <n v="0"/>
    <n v="0"/>
    <n v="0"/>
    <n v="148"/>
    <n v="0.1"/>
    <n v="42"/>
    <n v="0.15"/>
    <n v="0"/>
    <n v="0"/>
    <n v="0"/>
    <n v="0"/>
    <n v="0.5071"/>
    <n v="-1.1999999999999999E-3"/>
    <n v="0"/>
    <n v="-0.10580000000000001"/>
    <n v="3.2000000000000001E-2"/>
    <n v="-8.9999999999999998E-4"/>
    <n v="215"/>
    <n v="0.05"/>
    <n v="192"/>
    <n v="0.2"/>
    <n v="0"/>
    <n v="0"/>
    <n v="0"/>
    <n v="366"/>
    <n v="0"/>
  </r>
  <r>
    <x v="0"/>
    <x v="0"/>
    <s v="SPXW"/>
    <x v="4"/>
    <x v="44"/>
    <s v="p"/>
    <n v="0.1"/>
    <n v="0.2"/>
    <n v="0.1"/>
    <n v="0.15"/>
    <n v="8"/>
    <n v="238"/>
    <n v="0.1"/>
    <n v="1"/>
    <n v="0.15"/>
    <n v="0"/>
    <n v="0"/>
    <n v="0"/>
    <n v="0"/>
    <n v="0.50190000000000001"/>
    <n v="-1.2999999999999999E-3"/>
    <n v="0"/>
    <n v="-0.1057"/>
    <n v="3.2300000000000002E-2"/>
    <n v="-1E-3"/>
    <n v="227"/>
    <n v="0.05"/>
    <n v="1"/>
    <n v="0.15"/>
    <n v="0"/>
    <n v="0"/>
    <n v="0.14879999999999999"/>
    <n v="1394"/>
    <n v="0"/>
  </r>
  <r>
    <x v="0"/>
    <x v="0"/>
    <s v="SPXW"/>
    <x v="4"/>
    <x v="309"/>
    <s v="p"/>
    <n v="0"/>
    <n v="0"/>
    <n v="0"/>
    <n v="0"/>
    <n v="0"/>
    <n v="310"/>
    <n v="0.1"/>
    <n v="432"/>
    <n v="0.2"/>
    <n v="0"/>
    <n v="0"/>
    <n v="0"/>
    <n v="0"/>
    <n v="0.505"/>
    <n v="-1.5E-3"/>
    <n v="0"/>
    <n v="-0.12570000000000001"/>
    <n v="3.7400000000000003E-2"/>
    <n v="-1.1000000000000001E-3"/>
    <n v="297"/>
    <n v="0.05"/>
    <n v="127"/>
    <n v="0.2"/>
    <n v="0"/>
    <n v="0"/>
    <n v="0"/>
    <n v="165"/>
    <n v="0"/>
  </r>
  <r>
    <x v="0"/>
    <x v="0"/>
    <s v="SPXW"/>
    <x v="4"/>
    <x v="310"/>
    <s v="p"/>
    <n v="0"/>
    <n v="0"/>
    <n v="0"/>
    <n v="0"/>
    <n v="0"/>
    <n v="310"/>
    <n v="0.1"/>
    <n v="411"/>
    <n v="0.2"/>
    <n v="0"/>
    <n v="0"/>
    <n v="0"/>
    <n v="0"/>
    <n v="0.50009999999999999"/>
    <n v="-1.5E-3"/>
    <n v="0"/>
    <n v="-0.12570000000000001"/>
    <n v="3.7699999999999997E-2"/>
    <n v="-1.1000000000000001E-3"/>
    <n v="84"/>
    <n v="0.1"/>
    <n v="126"/>
    <n v="0.2"/>
    <n v="0"/>
    <n v="0"/>
    <n v="0"/>
    <n v="76"/>
    <n v="0"/>
  </r>
  <r>
    <x v="0"/>
    <x v="0"/>
    <s v="SPXW"/>
    <x v="4"/>
    <x v="45"/>
    <s v="p"/>
    <n v="0.17"/>
    <n v="0.17"/>
    <n v="0.17"/>
    <n v="0.17"/>
    <n v="1"/>
    <n v="353"/>
    <n v="0.1"/>
    <n v="442"/>
    <n v="0.2"/>
    <n v="0"/>
    <n v="0"/>
    <n v="0"/>
    <n v="0"/>
    <n v="0.49769999999999998"/>
    <n v="-1.5E-3"/>
    <n v="0"/>
    <n v="-0.12570000000000001"/>
    <n v="3.7900000000000003E-2"/>
    <n v="-1.1000000000000001E-3"/>
    <n v="149"/>
    <n v="0.1"/>
    <n v="137"/>
    <n v="0.2"/>
    <n v="0"/>
    <n v="0"/>
    <n v="0.17"/>
    <n v="1110"/>
    <n v="0"/>
  </r>
  <r>
    <x v="0"/>
    <x v="0"/>
    <s v="SPXW"/>
    <x v="4"/>
    <x v="311"/>
    <s v="p"/>
    <n v="0.2"/>
    <n v="0.2"/>
    <n v="0.2"/>
    <n v="0.2"/>
    <n v="1"/>
    <n v="310"/>
    <n v="0.1"/>
    <n v="358"/>
    <n v="0.2"/>
    <n v="0"/>
    <n v="0"/>
    <n v="0"/>
    <n v="0"/>
    <n v="0.49530000000000002"/>
    <n v="-1.5E-3"/>
    <n v="0"/>
    <n v="-0.12559999999999999"/>
    <n v="3.7999999999999999E-2"/>
    <n v="-1.1000000000000001E-3"/>
    <n v="84"/>
    <n v="0.1"/>
    <n v="125"/>
    <n v="0.2"/>
    <n v="0"/>
    <n v="0"/>
    <n v="0.2"/>
    <n v="112"/>
    <n v="0"/>
  </r>
  <r>
    <x v="0"/>
    <x v="0"/>
    <s v="SPXW"/>
    <x v="4"/>
    <x v="312"/>
    <s v="p"/>
    <n v="0"/>
    <n v="0"/>
    <n v="0"/>
    <n v="0"/>
    <n v="0"/>
    <n v="339"/>
    <n v="0.1"/>
    <n v="480"/>
    <n v="0.2"/>
    <n v="0"/>
    <n v="0"/>
    <n v="0"/>
    <n v="0"/>
    <n v="0.49049999999999999"/>
    <n v="-1.5E-3"/>
    <n v="0"/>
    <n v="-0.12559999999999999"/>
    <n v="3.8399999999999997E-2"/>
    <n v="-1.1000000000000001E-3"/>
    <n v="134"/>
    <n v="0.1"/>
    <n v="122"/>
    <n v="0.2"/>
    <n v="0"/>
    <n v="0"/>
    <n v="0"/>
    <n v="102"/>
    <n v="0"/>
  </r>
  <r>
    <x v="0"/>
    <x v="0"/>
    <s v="SPXW"/>
    <x v="4"/>
    <x v="46"/>
    <s v="p"/>
    <n v="0.3"/>
    <n v="0.3"/>
    <n v="0.3"/>
    <n v="0.3"/>
    <n v="1"/>
    <n v="562"/>
    <n v="0.1"/>
    <n v="545"/>
    <n v="0.2"/>
    <n v="0"/>
    <n v="0"/>
    <n v="0"/>
    <n v="0"/>
    <n v="0.4859"/>
    <n v="-1.5E-3"/>
    <n v="0"/>
    <n v="-0.1255"/>
    <n v="3.8699999999999998E-2"/>
    <n v="-1.1999999999999999E-3"/>
    <n v="176"/>
    <n v="0.1"/>
    <n v="134"/>
    <n v="0.2"/>
    <n v="0"/>
    <n v="0"/>
    <n v="0.3"/>
    <n v="1445"/>
    <n v="0"/>
  </r>
  <r>
    <x v="0"/>
    <x v="0"/>
    <s v="SPXW"/>
    <x v="4"/>
    <x v="313"/>
    <s v="p"/>
    <n v="0"/>
    <n v="0"/>
    <n v="0"/>
    <n v="0"/>
    <n v="0"/>
    <n v="387"/>
    <n v="0.1"/>
    <n v="457"/>
    <n v="0.2"/>
    <n v="0"/>
    <n v="0"/>
    <n v="0"/>
    <n v="0"/>
    <n v="0.48130000000000001"/>
    <n v="-1.5E-3"/>
    <n v="0"/>
    <n v="-0.1255"/>
    <n v="3.9100000000000003E-2"/>
    <n v="-1.1999999999999999E-3"/>
    <n v="163"/>
    <n v="0.1"/>
    <n v="70"/>
    <n v="0.2"/>
    <n v="0"/>
    <n v="0"/>
    <n v="0"/>
    <n v="227"/>
    <n v="0"/>
  </r>
  <r>
    <x v="0"/>
    <x v="0"/>
    <s v="SPXW"/>
    <x v="4"/>
    <x v="314"/>
    <s v="p"/>
    <n v="0.25"/>
    <n v="0.25"/>
    <n v="0.25"/>
    <n v="0.25"/>
    <n v="1"/>
    <n v="414"/>
    <n v="0.1"/>
    <n v="173"/>
    <n v="0.2"/>
    <n v="0"/>
    <n v="0"/>
    <n v="0"/>
    <n v="0"/>
    <n v="0.47649999999999998"/>
    <n v="-1.6000000000000001E-3"/>
    <n v="0"/>
    <n v="-0.12540000000000001"/>
    <n v="3.95E-2"/>
    <n v="-1.1999999999999999E-3"/>
    <n v="208"/>
    <n v="0.1"/>
    <n v="69"/>
    <n v="0.2"/>
    <n v="0"/>
    <n v="0"/>
    <n v="0.25"/>
    <n v="105"/>
    <n v="0"/>
  </r>
  <r>
    <x v="0"/>
    <x v="0"/>
    <s v="SPXW"/>
    <x v="4"/>
    <x v="47"/>
    <s v="p"/>
    <n v="0.15"/>
    <n v="0.16"/>
    <n v="0.15"/>
    <n v="0.16"/>
    <n v="7"/>
    <n v="631"/>
    <n v="0.1"/>
    <n v="241"/>
    <n v="0.2"/>
    <n v="0"/>
    <n v="0"/>
    <n v="0"/>
    <n v="0"/>
    <n v="0.47410000000000002"/>
    <n v="-1.6000000000000001E-3"/>
    <n v="0"/>
    <n v="-0.12540000000000001"/>
    <n v="3.9600000000000003E-2"/>
    <n v="-1.1999999999999999E-3"/>
    <n v="227"/>
    <n v="0.1"/>
    <n v="39"/>
    <n v="0.2"/>
    <n v="0"/>
    <n v="0"/>
    <n v="0.15859999999999999"/>
    <n v="164"/>
    <n v="0"/>
  </r>
  <r>
    <x v="0"/>
    <x v="0"/>
    <s v="SPXW"/>
    <x v="4"/>
    <x v="48"/>
    <s v="p"/>
    <n v="0"/>
    <n v="0"/>
    <n v="0"/>
    <n v="0"/>
    <n v="0"/>
    <n v="424"/>
    <n v="0.1"/>
    <n v="129"/>
    <n v="0.2"/>
    <n v="0"/>
    <n v="0"/>
    <n v="0"/>
    <n v="0"/>
    <n v="0.4718"/>
    <n v="-1.6000000000000001E-3"/>
    <n v="0"/>
    <n v="-0.12529999999999999"/>
    <n v="3.9800000000000002E-2"/>
    <n v="-1.1999999999999999E-3"/>
    <n v="206"/>
    <n v="0.1"/>
    <n v="1"/>
    <n v="0.2"/>
    <n v="0"/>
    <n v="0"/>
    <n v="0"/>
    <n v="48"/>
    <n v="0"/>
  </r>
  <r>
    <x v="0"/>
    <x v="0"/>
    <s v="SPXW"/>
    <x v="4"/>
    <x v="49"/>
    <s v="p"/>
    <n v="0"/>
    <n v="0"/>
    <n v="0"/>
    <n v="0"/>
    <n v="0"/>
    <n v="74"/>
    <n v="0.15"/>
    <n v="97"/>
    <n v="0.2"/>
    <n v="0"/>
    <n v="0"/>
    <n v="0"/>
    <n v="0"/>
    <n v="0.47339999999999999"/>
    <n v="-1.8E-3"/>
    <n v="0"/>
    <n v="-0.14499999999999999"/>
    <n v="4.5199999999999997E-2"/>
    <n v="-1.4E-3"/>
    <n v="205"/>
    <n v="0.1"/>
    <n v="1"/>
    <n v="0.2"/>
    <n v="0"/>
    <n v="0"/>
    <n v="0"/>
    <n v="66"/>
    <n v="0"/>
  </r>
  <r>
    <x v="0"/>
    <x v="0"/>
    <s v="SPXW"/>
    <x v="4"/>
    <x v="50"/>
    <s v="p"/>
    <n v="0.19"/>
    <n v="0.2"/>
    <n v="0.15"/>
    <n v="0.16"/>
    <n v="360"/>
    <n v="140"/>
    <n v="0.15"/>
    <n v="103"/>
    <n v="0.2"/>
    <n v="0"/>
    <n v="0"/>
    <n v="0"/>
    <n v="0"/>
    <n v="0.46850000000000003"/>
    <n v="-1.8E-3"/>
    <n v="0"/>
    <n v="-0.14499999999999999"/>
    <n v="4.5600000000000002E-2"/>
    <n v="-1.4E-3"/>
    <n v="220"/>
    <n v="0.1"/>
    <n v="197"/>
    <n v="0.25"/>
    <n v="0"/>
    <n v="0"/>
    <n v="0.18149999999999999"/>
    <n v="1727"/>
    <n v="0"/>
  </r>
  <r>
    <x v="0"/>
    <x v="0"/>
    <s v="SPXW"/>
    <x v="4"/>
    <x v="51"/>
    <s v="p"/>
    <n v="0"/>
    <n v="0"/>
    <n v="0"/>
    <n v="0"/>
    <n v="0"/>
    <n v="137"/>
    <n v="0.15"/>
    <n v="454"/>
    <n v="0.25"/>
    <n v="0"/>
    <n v="0"/>
    <n v="0"/>
    <n v="0"/>
    <n v="0.46379999999999999"/>
    <n v="-1.8E-3"/>
    <n v="0"/>
    <n v="-0.1449"/>
    <n v="4.5999999999999999E-2"/>
    <n v="-1.4E-3"/>
    <n v="196"/>
    <n v="0.1"/>
    <n v="182"/>
    <n v="0.25"/>
    <n v="0"/>
    <n v="0"/>
    <n v="0"/>
    <n v="63"/>
    <n v="0"/>
  </r>
  <r>
    <x v="0"/>
    <x v="0"/>
    <s v="SPXW"/>
    <x v="4"/>
    <x v="52"/>
    <s v="p"/>
    <n v="0"/>
    <n v="0"/>
    <n v="0"/>
    <n v="0"/>
    <n v="0"/>
    <n v="191"/>
    <n v="0.15"/>
    <n v="428"/>
    <n v="0.25"/>
    <n v="0"/>
    <n v="0"/>
    <n v="0"/>
    <n v="0"/>
    <n v="0.46439999999999998"/>
    <n v="-2.0999999999999999E-3"/>
    <n v="0"/>
    <n v="-0.1643"/>
    <n v="5.1299999999999998E-2"/>
    <n v="-1.6000000000000001E-3"/>
    <n v="197"/>
    <n v="0.1"/>
    <n v="161"/>
    <n v="0.25"/>
    <n v="0"/>
    <n v="0"/>
    <n v="0"/>
    <n v="91"/>
    <n v="0"/>
  </r>
  <r>
    <x v="0"/>
    <x v="0"/>
    <s v="SPXW"/>
    <x v="4"/>
    <x v="53"/>
    <s v="p"/>
    <n v="0.25"/>
    <n v="0.25"/>
    <n v="0.25"/>
    <n v="0.25"/>
    <n v="1"/>
    <n v="233"/>
    <n v="0.15"/>
    <n v="560"/>
    <n v="0.25"/>
    <n v="0"/>
    <n v="0"/>
    <n v="0"/>
    <n v="0"/>
    <n v="0.46200000000000002"/>
    <n v="-2.0999999999999999E-3"/>
    <n v="0"/>
    <n v="-0.1643"/>
    <n v="5.1499999999999997E-2"/>
    <n v="-1.6000000000000001E-3"/>
    <n v="209"/>
    <n v="0.1"/>
    <n v="159"/>
    <n v="0.25"/>
    <n v="0"/>
    <n v="0"/>
    <n v="0.25"/>
    <n v="876"/>
    <n v="0"/>
  </r>
  <r>
    <x v="0"/>
    <x v="0"/>
    <s v="SPXW"/>
    <x v="4"/>
    <x v="54"/>
    <s v="p"/>
    <n v="0"/>
    <n v="0"/>
    <n v="0"/>
    <n v="0"/>
    <n v="0"/>
    <n v="193"/>
    <n v="0.15"/>
    <n v="478"/>
    <n v="0.25"/>
    <n v="0"/>
    <n v="0"/>
    <n v="0"/>
    <n v="0"/>
    <n v="0.45910000000000001"/>
    <n v="-2.0999999999999999E-3"/>
    <n v="0"/>
    <n v="-0.16420000000000001"/>
    <n v="5.1799999999999999E-2"/>
    <n v="-1.6000000000000001E-3"/>
    <n v="196"/>
    <n v="0.1"/>
    <n v="160"/>
    <n v="0.25"/>
    <n v="0"/>
    <n v="0"/>
    <n v="0"/>
    <n v="37"/>
    <n v="0"/>
  </r>
  <r>
    <x v="0"/>
    <x v="0"/>
    <s v="SPXW"/>
    <x v="4"/>
    <x v="55"/>
    <s v="p"/>
    <n v="0"/>
    <n v="0"/>
    <n v="0"/>
    <n v="0"/>
    <n v="0"/>
    <n v="326"/>
    <n v="0.15"/>
    <n v="505"/>
    <n v="0.25"/>
    <n v="0"/>
    <n v="0"/>
    <n v="0"/>
    <n v="0"/>
    <n v="0.45419999999999999"/>
    <n v="-2.0999999999999999E-3"/>
    <n v="0"/>
    <n v="-0.1641"/>
    <n v="5.2299999999999999E-2"/>
    <n v="-1.6000000000000001E-3"/>
    <n v="197"/>
    <n v="0.1"/>
    <n v="146"/>
    <n v="0.25"/>
    <n v="0"/>
    <n v="0"/>
    <n v="0"/>
    <n v="204"/>
    <n v="0"/>
  </r>
  <r>
    <x v="0"/>
    <x v="0"/>
    <s v="SPXW"/>
    <x v="4"/>
    <x v="56"/>
    <s v="p"/>
    <n v="0.23"/>
    <n v="0.23"/>
    <n v="0.15"/>
    <n v="0.15"/>
    <n v="3"/>
    <n v="439"/>
    <n v="0.15"/>
    <n v="397"/>
    <n v="0.25"/>
    <n v="0"/>
    <n v="0"/>
    <n v="0"/>
    <n v="0"/>
    <n v="0.44979999999999998"/>
    <n v="-2.0999999999999999E-3"/>
    <n v="0"/>
    <n v="-0.16400000000000001"/>
    <n v="5.28E-2"/>
    <n v="-1.6000000000000001E-3"/>
    <n v="134"/>
    <n v="0.15"/>
    <n v="130"/>
    <n v="0.25"/>
    <n v="0"/>
    <n v="0"/>
    <n v="0.2"/>
    <n v="2155"/>
    <n v="0"/>
  </r>
  <r>
    <x v="0"/>
    <x v="0"/>
    <s v="SPXW"/>
    <x v="4"/>
    <x v="57"/>
    <s v="p"/>
    <n v="0.25"/>
    <n v="0.25"/>
    <n v="0.25"/>
    <n v="0.25"/>
    <n v="6"/>
    <n v="375"/>
    <n v="0.15"/>
    <n v="263"/>
    <n v="0.25"/>
    <n v="0"/>
    <n v="0"/>
    <n v="0"/>
    <n v="0"/>
    <n v="0.44490000000000002"/>
    <n v="-2.2000000000000001E-3"/>
    <n v="0"/>
    <n v="-0.16389999999999999"/>
    <n v="5.33E-2"/>
    <n v="-1.6000000000000001E-3"/>
    <n v="76"/>
    <n v="0.15"/>
    <n v="118"/>
    <n v="0.25"/>
    <n v="0"/>
    <n v="0"/>
    <n v="0.25"/>
    <n v="291"/>
    <n v="0"/>
  </r>
  <r>
    <x v="0"/>
    <x v="0"/>
    <s v="SPXW"/>
    <x v="4"/>
    <x v="58"/>
    <s v="p"/>
    <n v="0.25"/>
    <n v="0.25"/>
    <n v="0.25"/>
    <n v="0.25"/>
    <n v="3"/>
    <n v="20"/>
    <n v="0.2"/>
    <n v="117"/>
    <n v="0.25"/>
    <n v="0"/>
    <n v="0"/>
    <n v="0"/>
    <n v="0"/>
    <n v="0.44479999999999997"/>
    <n v="-2.3999999999999998E-3"/>
    <n v="0"/>
    <n v="-0.18310000000000001"/>
    <n v="5.8599999999999999E-2"/>
    <n v="-1.8E-3"/>
    <n v="20"/>
    <n v="0.2"/>
    <n v="116"/>
    <n v="0.25"/>
    <n v="0"/>
    <n v="0"/>
    <n v="0.25"/>
    <n v="216"/>
    <n v="0"/>
  </r>
  <r>
    <x v="0"/>
    <x v="0"/>
    <s v="SPXW"/>
    <x v="4"/>
    <x v="59"/>
    <s v="p"/>
    <n v="0.2"/>
    <n v="0.25"/>
    <n v="0.2"/>
    <n v="0.25"/>
    <n v="3"/>
    <n v="422"/>
    <n v="0.15"/>
    <n v="105"/>
    <n v="0.25"/>
    <n v="0"/>
    <n v="0"/>
    <n v="0"/>
    <n v="0"/>
    <n v="0.43759999999999999"/>
    <n v="-2.2000000000000001E-3"/>
    <n v="0"/>
    <n v="-0.1638"/>
    <n v="5.4100000000000002E-2"/>
    <n v="-1.6999999999999999E-3"/>
    <n v="187"/>
    <n v="0.15"/>
    <n v="127"/>
    <n v="0.25"/>
    <n v="0"/>
    <n v="0"/>
    <n v="0.23330000000000001"/>
    <n v="683"/>
    <n v="0"/>
  </r>
  <r>
    <x v="0"/>
    <x v="0"/>
    <s v="SPXW"/>
    <x v="4"/>
    <x v="60"/>
    <s v="p"/>
    <n v="0"/>
    <n v="0"/>
    <n v="0"/>
    <n v="0"/>
    <n v="0"/>
    <n v="43"/>
    <n v="0.2"/>
    <n v="85"/>
    <n v="0.25"/>
    <n v="0"/>
    <n v="0"/>
    <n v="0"/>
    <n v="0"/>
    <n v="0.43990000000000001"/>
    <n v="-2.3999999999999998E-3"/>
    <n v="0"/>
    <n v="-0.183"/>
    <n v="5.9200000000000003E-2"/>
    <n v="-1.8E-3"/>
    <n v="188"/>
    <n v="0.15"/>
    <n v="216"/>
    <n v="0.3"/>
    <n v="0"/>
    <n v="0"/>
    <n v="0"/>
    <n v="56"/>
    <n v="0"/>
  </r>
  <r>
    <x v="0"/>
    <x v="0"/>
    <s v="SPXW"/>
    <x v="4"/>
    <x v="61"/>
    <s v="p"/>
    <n v="0"/>
    <n v="0"/>
    <n v="0"/>
    <n v="0"/>
    <n v="0"/>
    <n v="124"/>
    <n v="0.2"/>
    <n v="430"/>
    <n v="0.3"/>
    <n v="0"/>
    <n v="0"/>
    <n v="0"/>
    <n v="0"/>
    <n v="0.43459999999999999"/>
    <n v="-2.3999999999999998E-3"/>
    <n v="0"/>
    <n v="-0.18279999999999999"/>
    <n v="5.9900000000000002E-2"/>
    <n v="-1.9E-3"/>
    <n v="187"/>
    <n v="0.15"/>
    <n v="1"/>
    <n v="0.25"/>
    <n v="0"/>
    <n v="0"/>
    <n v="0"/>
    <n v="88"/>
    <n v="0"/>
  </r>
  <r>
    <x v="0"/>
    <x v="0"/>
    <s v="SPXW"/>
    <x v="4"/>
    <x v="62"/>
    <s v="p"/>
    <n v="0.25"/>
    <n v="0.4"/>
    <n v="0.2"/>
    <n v="0.23"/>
    <n v="128"/>
    <n v="171"/>
    <n v="0.2"/>
    <n v="441"/>
    <n v="0.3"/>
    <n v="0"/>
    <n v="0"/>
    <n v="0"/>
    <n v="0"/>
    <n v="0.43409999999999999"/>
    <n v="-2.7000000000000001E-3"/>
    <n v="0"/>
    <n v="-0.20180000000000001"/>
    <n v="6.5299999999999997E-2"/>
    <n v="-2.0999999999999999E-3"/>
    <n v="201"/>
    <n v="0.15"/>
    <n v="1"/>
    <n v="0.25"/>
    <n v="0"/>
    <n v="0"/>
    <n v="0.2462"/>
    <n v="1591"/>
    <n v="0"/>
  </r>
  <r>
    <x v="0"/>
    <x v="0"/>
    <s v="SPXW"/>
    <x v="4"/>
    <x v="63"/>
    <s v="p"/>
    <n v="0"/>
    <n v="0"/>
    <n v="0"/>
    <n v="0"/>
    <n v="0"/>
    <n v="188"/>
    <n v="0.2"/>
    <n v="543"/>
    <n v="0.3"/>
    <n v="0"/>
    <n v="0"/>
    <n v="0"/>
    <n v="0"/>
    <n v="0.42920000000000003"/>
    <n v="-2.7000000000000001E-3"/>
    <n v="0"/>
    <n v="-0.2016"/>
    <n v="6.6000000000000003E-2"/>
    <n v="-2.0999999999999999E-3"/>
    <n v="188"/>
    <n v="0.15"/>
    <n v="176"/>
    <n v="0.3"/>
    <n v="0"/>
    <n v="0"/>
    <n v="0"/>
    <n v="27"/>
    <n v="0"/>
  </r>
  <r>
    <x v="0"/>
    <x v="0"/>
    <s v="SPXW"/>
    <x v="4"/>
    <x v="64"/>
    <s v="p"/>
    <n v="0"/>
    <n v="0"/>
    <n v="0"/>
    <n v="0"/>
    <n v="0"/>
    <n v="319"/>
    <n v="0.2"/>
    <n v="415"/>
    <n v="0.3"/>
    <n v="0"/>
    <n v="0"/>
    <n v="0"/>
    <n v="0"/>
    <n v="0.42420000000000002"/>
    <n v="-2.8E-3"/>
    <n v="0"/>
    <n v="-0.20150000000000001"/>
    <n v="6.6699999999999995E-2"/>
    <n v="-2.0999999999999999E-3"/>
    <n v="188"/>
    <n v="0.15"/>
    <n v="157"/>
    <n v="0.3"/>
    <n v="0"/>
    <n v="0"/>
    <n v="0"/>
    <n v="96"/>
    <n v="0"/>
  </r>
  <r>
    <x v="0"/>
    <x v="0"/>
    <s v="SPXW"/>
    <x v="4"/>
    <x v="65"/>
    <s v="p"/>
    <n v="0.24"/>
    <n v="0.35"/>
    <n v="0.24"/>
    <n v="0.28999999999999998"/>
    <n v="9"/>
    <n v="356"/>
    <n v="0.2"/>
    <n v="271"/>
    <n v="0.3"/>
    <n v="0"/>
    <n v="0"/>
    <n v="0"/>
    <n v="0"/>
    <n v="0.42170000000000002"/>
    <n v="-2.8E-3"/>
    <n v="0"/>
    <n v="-0.2014"/>
    <n v="6.7100000000000007E-2"/>
    <n v="-2.0999999999999999E-3"/>
    <n v="202"/>
    <n v="0.15"/>
    <n v="156"/>
    <n v="0.3"/>
    <n v="0"/>
    <n v="0"/>
    <n v="0.25779999999999997"/>
    <n v="364"/>
    <n v="0"/>
  </r>
  <r>
    <x v="0"/>
    <x v="0"/>
    <s v="SPXW"/>
    <x v="4"/>
    <x v="66"/>
    <s v="p"/>
    <n v="0.4"/>
    <n v="0.4"/>
    <n v="0.3"/>
    <n v="0.3"/>
    <n v="2"/>
    <n v="352"/>
    <n v="0.2"/>
    <n v="257"/>
    <n v="0.3"/>
    <n v="0"/>
    <n v="0"/>
    <n v="0"/>
    <n v="0"/>
    <n v="0.41970000000000002"/>
    <n v="-2.8E-3"/>
    <n v="0"/>
    <n v="-0.2014"/>
    <n v="6.7400000000000002E-2"/>
    <n v="-2.0999999999999999E-3"/>
    <n v="189"/>
    <n v="0.15"/>
    <n v="144"/>
    <n v="0.3"/>
    <n v="0"/>
    <n v="0"/>
    <n v="0.35"/>
    <n v="126"/>
    <n v="0"/>
  </r>
  <r>
    <x v="0"/>
    <x v="0"/>
    <s v="SPXW"/>
    <x v="4"/>
    <x v="67"/>
    <s v="p"/>
    <n v="0.27"/>
    <n v="0.3"/>
    <n v="0.27"/>
    <n v="0.3"/>
    <n v="4"/>
    <n v="376"/>
    <n v="0.2"/>
    <n v="115"/>
    <n v="0.3"/>
    <n v="0"/>
    <n v="0"/>
    <n v="0"/>
    <n v="0"/>
    <n v="0.4148"/>
    <n v="-2.8E-3"/>
    <n v="0"/>
    <n v="-0.20119999999999999"/>
    <n v="6.8099999999999994E-2"/>
    <n v="-2.0999999999999999E-3"/>
    <n v="68"/>
    <n v="0.2"/>
    <n v="142"/>
    <n v="0.3"/>
    <n v="0"/>
    <n v="0"/>
    <n v="0.27750000000000002"/>
    <n v="28"/>
    <n v="0"/>
  </r>
  <r>
    <x v="0"/>
    <x v="0"/>
    <s v="SPXW"/>
    <x v="4"/>
    <x v="68"/>
    <s v="p"/>
    <n v="0.25"/>
    <n v="0.3"/>
    <n v="0.25"/>
    <n v="0.3"/>
    <n v="112"/>
    <n v="58"/>
    <n v="0.25"/>
    <n v="84"/>
    <n v="0.3"/>
    <n v="0"/>
    <n v="0"/>
    <n v="0"/>
    <n v="0"/>
    <n v="0.40989999999999999"/>
    <n v="-2.8E-3"/>
    <n v="0"/>
    <n v="-0.2011"/>
    <n v="6.8900000000000003E-2"/>
    <n v="-2.2000000000000001E-3"/>
    <n v="97"/>
    <n v="0.2"/>
    <n v="154"/>
    <n v="0.3"/>
    <n v="0"/>
    <n v="0"/>
    <n v="0.2545"/>
    <n v="2316"/>
    <n v="0"/>
  </r>
  <r>
    <x v="0"/>
    <x v="0"/>
    <s v="SPXW"/>
    <x v="4"/>
    <x v="69"/>
    <s v="p"/>
    <n v="0.3"/>
    <n v="0.3"/>
    <n v="0.3"/>
    <n v="0.3"/>
    <n v="1"/>
    <n v="120"/>
    <n v="0.25"/>
    <n v="402"/>
    <n v="0.35"/>
    <n v="0"/>
    <n v="0"/>
    <n v="0"/>
    <n v="0"/>
    <n v="0.41220000000000001"/>
    <n v="-3.3E-3"/>
    <n v="0"/>
    <n v="-0.2384"/>
    <n v="7.9500000000000001E-2"/>
    <n v="-2.5999999999999999E-3"/>
    <n v="98"/>
    <n v="0.2"/>
    <n v="175"/>
    <n v="0.35"/>
    <n v="0"/>
    <n v="0"/>
    <n v="0.3"/>
    <n v="233"/>
    <n v="0"/>
  </r>
  <r>
    <x v="0"/>
    <x v="0"/>
    <s v="SPXW"/>
    <x v="4"/>
    <x v="70"/>
    <s v="p"/>
    <n v="0.3"/>
    <n v="0.3"/>
    <n v="0.3"/>
    <n v="0.3"/>
    <n v="2"/>
    <n v="135"/>
    <n v="0.25"/>
    <n v="503"/>
    <n v="0.35"/>
    <n v="0"/>
    <n v="0"/>
    <n v="0"/>
    <n v="0"/>
    <n v="0.40689999999999998"/>
    <n v="-3.3999999999999998E-3"/>
    <n v="0"/>
    <n v="-0.2382"/>
    <n v="8.0399999999999999E-2"/>
    <n v="-2.5999999999999999E-3"/>
    <n v="182"/>
    <n v="0.2"/>
    <n v="177"/>
    <n v="0.35"/>
    <n v="0"/>
    <n v="0"/>
    <n v="0.3"/>
    <n v="280"/>
    <n v="0"/>
  </r>
  <r>
    <x v="0"/>
    <x v="0"/>
    <s v="SPXW"/>
    <x v="4"/>
    <x v="71"/>
    <s v="p"/>
    <n v="0.25"/>
    <n v="0.5"/>
    <n v="0.25"/>
    <n v="0.5"/>
    <n v="5"/>
    <n v="199"/>
    <n v="0.25"/>
    <n v="537"/>
    <n v="0.35"/>
    <n v="0"/>
    <n v="0"/>
    <n v="0"/>
    <n v="0"/>
    <n v="0.40460000000000002"/>
    <n v="-3.3999999999999998E-3"/>
    <n v="0"/>
    <n v="-0.23810000000000001"/>
    <n v="8.0799999999999997E-2"/>
    <n v="-2.5999999999999999E-3"/>
    <n v="194"/>
    <n v="0.2"/>
    <n v="187"/>
    <n v="0.35"/>
    <n v="0"/>
    <n v="0"/>
    <n v="0.3"/>
    <n v="429"/>
    <n v="0"/>
  </r>
  <r>
    <x v="0"/>
    <x v="0"/>
    <s v="SPXW"/>
    <x v="4"/>
    <x v="72"/>
    <s v="p"/>
    <n v="0.3"/>
    <n v="0.3"/>
    <n v="0.3"/>
    <n v="0.3"/>
    <n v="1"/>
    <n v="183"/>
    <n v="0.25"/>
    <n v="493"/>
    <n v="0.35"/>
    <n v="0"/>
    <n v="0"/>
    <n v="0"/>
    <n v="0"/>
    <n v="0.4022"/>
    <n v="-3.3999999999999998E-3"/>
    <n v="0"/>
    <n v="-0.23799999999999999"/>
    <n v="8.1299999999999997E-2"/>
    <n v="-2.5999999999999999E-3"/>
    <n v="182"/>
    <n v="0.2"/>
    <n v="173"/>
    <n v="0.35"/>
    <n v="0"/>
    <n v="0"/>
    <n v="0.3"/>
    <n v="155"/>
    <n v="0"/>
  </r>
  <r>
    <x v="0"/>
    <x v="0"/>
    <s v="SPXW"/>
    <x v="4"/>
    <x v="73"/>
    <s v="p"/>
    <n v="0.3"/>
    <n v="0.3"/>
    <n v="0.3"/>
    <n v="0.3"/>
    <n v="1"/>
    <n v="373"/>
    <n v="0.25"/>
    <n v="234"/>
    <n v="0.35"/>
    <n v="0"/>
    <n v="0"/>
    <n v="0"/>
    <n v="0"/>
    <n v="0.39689999999999998"/>
    <n v="-3.5000000000000001E-3"/>
    <n v="0"/>
    <n v="-0.23780000000000001"/>
    <n v="8.2299999999999998E-2"/>
    <n v="-2.5999999999999999E-3"/>
    <n v="182"/>
    <n v="0.2"/>
    <n v="156"/>
    <n v="0.35"/>
    <n v="0"/>
    <n v="0"/>
    <n v="0.3"/>
    <n v="143"/>
    <n v="0"/>
  </r>
  <r>
    <x v="0"/>
    <x v="0"/>
    <s v="SPXW"/>
    <x v="4"/>
    <x v="74"/>
    <s v="p"/>
    <n v="0.25"/>
    <n v="0.45"/>
    <n v="0.25"/>
    <n v="0.3"/>
    <n v="32"/>
    <n v="399"/>
    <n v="0.25"/>
    <n v="176"/>
    <n v="0.35"/>
    <n v="0"/>
    <n v="0"/>
    <n v="0"/>
    <n v="0"/>
    <n v="0.3921"/>
    <n v="-3.5000000000000001E-3"/>
    <n v="0"/>
    <n v="-0.23760000000000001"/>
    <n v="8.3199999999999996E-2"/>
    <n v="-2.7000000000000001E-3"/>
    <n v="196"/>
    <n v="0.2"/>
    <n v="154"/>
    <n v="0.35"/>
    <n v="0"/>
    <n v="0"/>
    <n v="0.41089999999999999"/>
    <n v="1029"/>
    <n v="0"/>
  </r>
  <r>
    <x v="0"/>
    <x v="0"/>
    <s v="SPXW"/>
    <x v="4"/>
    <x v="75"/>
    <s v="p"/>
    <n v="0.45"/>
    <n v="0.5"/>
    <n v="0.3"/>
    <n v="0.3"/>
    <n v="11"/>
    <n v="35"/>
    <n v="0.3"/>
    <n v="76"/>
    <n v="0.35"/>
    <n v="0"/>
    <n v="0"/>
    <n v="0"/>
    <n v="0"/>
    <n v="0.38740000000000002"/>
    <n v="-3.5000000000000001E-3"/>
    <n v="0"/>
    <n v="-0.2374"/>
    <n v="8.4099999999999994E-2"/>
    <n v="-2.7000000000000001E-3"/>
    <n v="184"/>
    <n v="0.2"/>
    <n v="140"/>
    <n v="0.35"/>
    <n v="0"/>
    <n v="0"/>
    <n v="0.40820000000000001"/>
    <n v="117"/>
    <n v="0"/>
  </r>
  <r>
    <x v="0"/>
    <x v="0"/>
    <s v="SPXW"/>
    <x v="4"/>
    <x v="76"/>
    <s v="p"/>
    <n v="0.33"/>
    <n v="0.33"/>
    <n v="0.33"/>
    <n v="0.33"/>
    <n v="2"/>
    <n v="119"/>
    <n v="0.3"/>
    <n v="491"/>
    <n v="0.4"/>
    <n v="0"/>
    <n v="0"/>
    <n v="0"/>
    <n v="0"/>
    <n v="0.38840000000000002"/>
    <n v="-4.1000000000000003E-3"/>
    <n v="0"/>
    <n v="-0.27389999999999998"/>
    <n v="9.4799999999999995E-2"/>
    <n v="-3.0999999999999999E-3"/>
    <n v="93"/>
    <n v="0.25"/>
    <n v="139"/>
    <n v="0.35"/>
    <n v="0"/>
    <n v="0"/>
    <n v="0.33"/>
    <n v="516"/>
    <n v="0"/>
  </r>
  <r>
    <x v="0"/>
    <x v="0"/>
    <s v="SPXW"/>
    <x v="4"/>
    <x v="77"/>
    <s v="p"/>
    <n v="0.3"/>
    <n v="0.45"/>
    <n v="0.3"/>
    <n v="0.45"/>
    <n v="2"/>
    <n v="138"/>
    <n v="0.3"/>
    <n v="507"/>
    <n v="0.4"/>
    <n v="0"/>
    <n v="0"/>
    <n v="0"/>
    <n v="0"/>
    <n v="0.38569999999999999"/>
    <n v="-4.1000000000000003E-3"/>
    <n v="0"/>
    <n v="-0.27379999999999999"/>
    <n v="9.5399999999999999E-2"/>
    <n v="-3.0999999999999999E-3"/>
    <n v="177"/>
    <n v="0.25"/>
    <n v="60"/>
    <n v="0.35"/>
    <n v="0"/>
    <n v="0"/>
    <n v="0.375"/>
    <n v="587"/>
    <n v="0"/>
  </r>
  <r>
    <x v="0"/>
    <x v="0"/>
    <s v="SPXW"/>
    <x v="4"/>
    <x v="78"/>
    <s v="p"/>
    <n v="0"/>
    <n v="0"/>
    <n v="0"/>
    <n v="0"/>
    <n v="0"/>
    <n v="179"/>
    <n v="0.3"/>
    <n v="506"/>
    <n v="0.4"/>
    <n v="0"/>
    <n v="0"/>
    <n v="0"/>
    <n v="0"/>
    <n v="0.38329999999999997"/>
    <n v="-4.1000000000000003E-3"/>
    <n v="0"/>
    <n v="-0.2737"/>
    <n v="9.5899999999999999E-2"/>
    <n v="-3.0999999999999999E-3"/>
    <n v="116"/>
    <n v="0.25"/>
    <n v="176"/>
    <n v="0.4"/>
    <n v="0"/>
    <n v="0"/>
    <n v="0"/>
    <n v="641"/>
    <n v="0"/>
  </r>
  <r>
    <x v="0"/>
    <x v="0"/>
    <s v="SPXW"/>
    <x v="4"/>
    <x v="79"/>
    <s v="p"/>
    <n v="0.38"/>
    <n v="0.38"/>
    <n v="0.35"/>
    <n v="0.36"/>
    <n v="4"/>
    <n v="324"/>
    <n v="0.3"/>
    <n v="222"/>
    <n v="0.4"/>
    <n v="0"/>
    <n v="0"/>
    <n v="0"/>
    <n v="0"/>
    <n v="0.37840000000000001"/>
    <n v="-4.1000000000000003E-3"/>
    <n v="0"/>
    <n v="-0.27339999999999998"/>
    <n v="9.7000000000000003E-2"/>
    <n v="-3.2000000000000002E-3"/>
    <n v="175"/>
    <n v="0.25"/>
    <n v="170"/>
    <n v="0.4"/>
    <n v="0"/>
    <n v="0"/>
    <n v="0.36749999999999999"/>
    <n v="390"/>
    <n v="0"/>
  </r>
  <r>
    <x v="0"/>
    <x v="0"/>
    <s v="SPXW"/>
    <x v="4"/>
    <x v="80"/>
    <s v="p"/>
    <n v="0.4"/>
    <n v="0.65"/>
    <n v="0.3"/>
    <n v="0.35"/>
    <n v="345"/>
    <n v="404"/>
    <n v="0.3"/>
    <n v="169"/>
    <n v="0.4"/>
    <n v="0"/>
    <n v="0"/>
    <n v="0"/>
    <n v="0"/>
    <n v="0.37319999999999998"/>
    <n v="-4.1999999999999997E-3"/>
    <n v="0"/>
    <n v="-0.27310000000000001"/>
    <n v="9.8199999999999996E-2"/>
    <n v="-3.2000000000000002E-3"/>
    <n v="189"/>
    <n v="0.25"/>
    <n v="153"/>
    <n v="0.4"/>
    <n v="0"/>
    <n v="0"/>
    <n v="0.57240000000000002"/>
    <n v="2112"/>
    <n v="0"/>
  </r>
  <r>
    <x v="0"/>
    <x v="0"/>
    <s v="SPXW"/>
    <x v="4"/>
    <x v="81"/>
    <s v="p"/>
    <n v="0.35"/>
    <n v="0.5"/>
    <n v="0.32"/>
    <n v="0.32"/>
    <n v="33"/>
    <n v="34"/>
    <n v="0.35"/>
    <n v="65"/>
    <n v="0.4"/>
    <n v="0"/>
    <n v="0"/>
    <n v="0"/>
    <n v="0"/>
    <n v="0.36840000000000001"/>
    <n v="-4.3E-3"/>
    <n v="0"/>
    <n v="-0.27289999999999998"/>
    <n v="9.9299999999999999E-2"/>
    <n v="-3.3E-3"/>
    <n v="178"/>
    <n v="0.25"/>
    <n v="140"/>
    <n v="0.4"/>
    <n v="0"/>
    <n v="0"/>
    <n v="0.45910000000000001"/>
    <n v="121"/>
    <n v="0"/>
  </r>
  <r>
    <x v="0"/>
    <x v="0"/>
    <s v="SPXW"/>
    <x v="4"/>
    <x v="82"/>
    <s v="p"/>
    <n v="0"/>
    <n v="0"/>
    <n v="0"/>
    <n v="0"/>
    <n v="0"/>
    <n v="157"/>
    <n v="0.35"/>
    <n v="483"/>
    <n v="0.45"/>
    <n v="0"/>
    <n v="0"/>
    <n v="0"/>
    <n v="0"/>
    <n v="0.36830000000000002"/>
    <n v="-4.7999999999999996E-3"/>
    <n v="1E-4"/>
    <n v="-0.30859999999999999"/>
    <n v="0.1105"/>
    <n v="-3.7000000000000002E-3"/>
    <n v="179"/>
    <n v="0.25"/>
    <n v="138"/>
    <n v="0.4"/>
    <n v="0"/>
    <n v="0"/>
    <n v="0"/>
    <n v="263"/>
    <n v="0"/>
  </r>
  <r>
    <x v="0"/>
    <x v="0"/>
    <s v="SPXW"/>
    <x v="4"/>
    <x v="83"/>
    <s v="p"/>
    <n v="0.45"/>
    <n v="0.45"/>
    <n v="0.37"/>
    <n v="0.39"/>
    <n v="31"/>
    <n v="208"/>
    <n v="0.35"/>
    <n v="527"/>
    <n v="0.45"/>
    <n v="0"/>
    <n v="0"/>
    <n v="0"/>
    <n v="0"/>
    <n v="0.3659"/>
    <n v="-4.7999999999999996E-3"/>
    <n v="1E-4"/>
    <n v="-0.30840000000000001"/>
    <n v="0.11119999999999999"/>
    <n v="-3.7000000000000002E-3"/>
    <n v="112"/>
    <n v="0.3"/>
    <n v="93"/>
    <n v="0.4"/>
    <n v="0"/>
    <n v="0"/>
    <n v="0.4294"/>
    <n v="746"/>
    <n v="0"/>
  </r>
  <r>
    <x v="0"/>
    <x v="0"/>
    <s v="SPXW"/>
    <x v="4"/>
    <x v="84"/>
    <s v="p"/>
    <n v="0.55000000000000004"/>
    <n v="0.55000000000000004"/>
    <n v="0.37"/>
    <n v="0.38"/>
    <n v="3"/>
    <n v="201"/>
    <n v="0.35"/>
    <n v="311"/>
    <n v="0.45"/>
    <n v="0"/>
    <n v="0"/>
    <n v="0"/>
    <n v="0"/>
    <n v="0.36320000000000002"/>
    <n v="-4.8999999999999998E-3"/>
    <n v="1E-4"/>
    <n v="-0.30830000000000002"/>
    <n v="0.1119"/>
    <n v="-3.7000000000000002E-3"/>
    <n v="111"/>
    <n v="0.3"/>
    <n v="170"/>
    <n v="0.45"/>
    <n v="0"/>
    <n v="0"/>
    <n v="0.43330000000000002"/>
    <n v="1667"/>
    <n v="0"/>
  </r>
  <r>
    <x v="0"/>
    <x v="0"/>
    <s v="SPXW"/>
    <x v="4"/>
    <x v="85"/>
    <s v="p"/>
    <n v="0.45"/>
    <n v="0.45"/>
    <n v="0.4"/>
    <n v="0.4"/>
    <n v="2"/>
    <n v="351"/>
    <n v="0.35"/>
    <n v="155"/>
    <n v="0.45"/>
    <n v="0"/>
    <n v="0"/>
    <n v="0"/>
    <n v="0"/>
    <n v="0.35830000000000001"/>
    <n v="-4.8999999999999998E-3"/>
    <n v="1E-4"/>
    <n v="-0.308"/>
    <n v="0.1133"/>
    <n v="-3.8E-3"/>
    <n v="170"/>
    <n v="0.3"/>
    <n v="166"/>
    <n v="0.45"/>
    <n v="0"/>
    <n v="0"/>
    <n v="0.42499999999999999"/>
    <n v="370"/>
    <n v="0"/>
  </r>
  <r>
    <x v="0"/>
    <x v="0"/>
    <s v="SPXW"/>
    <x v="4"/>
    <x v="86"/>
    <s v="p"/>
    <n v="0.4"/>
    <n v="0.67"/>
    <n v="0.4"/>
    <n v="0.4"/>
    <n v="17"/>
    <n v="33"/>
    <n v="0.4"/>
    <n v="515"/>
    <n v="0.5"/>
    <n v="0"/>
    <n v="0"/>
    <n v="0"/>
    <n v="0"/>
    <n v="0.35299999999999998"/>
    <n v="-5.0000000000000001E-3"/>
    <n v="1E-4"/>
    <n v="-0.30759999999999998"/>
    <n v="0.1148"/>
    <n v="-3.8E-3"/>
    <n v="184"/>
    <n v="0.3"/>
    <n v="151"/>
    <n v="0.45"/>
    <n v="0"/>
    <n v="0"/>
    <n v="0.4824"/>
    <n v="1123"/>
    <n v="0"/>
  </r>
  <r>
    <x v="0"/>
    <x v="0"/>
    <s v="SPXW"/>
    <x v="4"/>
    <x v="87"/>
    <s v="p"/>
    <n v="0.62"/>
    <n v="0.75"/>
    <n v="0.4"/>
    <n v="0.4"/>
    <n v="10"/>
    <n v="150"/>
    <n v="0.4"/>
    <n v="448"/>
    <n v="0.5"/>
    <n v="0"/>
    <n v="0"/>
    <n v="0"/>
    <n v="0"/>
    <n v="0.35249999999999998"/>
    <n v="-5.5999999999999999E-3"/>
    <n v="1E-4"/>
    <n v="-0.34260000000000002"/>
    <n v="0.1263"/>
    <n v="-4.3E-3"/>
    <n v="171"/>
    <n v="0.3"/>
    <n v="136"/>
    <n v="0.45"/>
    <n v="0"/>
    <n v="0"/>
    <n v="0.61899999999999999"/>
    <n v="273"/>
    <n v="0"/>
  </r>
  <r>
    <x v="0"/>
    <x v="0"/>
    <s v="SPXW"/>
    <x v="4"/>
    <x v="88"/>
    <s v="p"/>
    <n v="0.65"/>
    <n v="0.65"/>
    <n v="0.45"/>
    <n v="0.45"/>
    <n v="2"/>
    <n v="195"/>
    <n v="0.4"/>
    <n v="190"/>
    <n v="0.5"/>
    <n v="0"/>
    <n v="0"/>
    <n v="0"/>
    <n v="0"/>
    <n v="0.34749999999999998"/>
    <n v="-5.5999999999999999E-3"/>
    <n v="1E-4"/>
    <n v="-0.3422"/>
    <n v="0.12790000000000001"/>
    <n v="-4.3E-3"/>
    <n v="77"/>
    <n v="0.35"/>
    <n v="77"/>
    <n v="0.45"/>
    <n v="0"/>
    <n v="0"/>
    <n v="0.55000000000000004"/>
    <n v="312"/>
    <n v="0"/>
  </r>
  <r>
    <x v="0"/>
    <x v="0"/>
    <s v="SPXW"/>
    <x v="4"/>
    <x v="89"/>
    <s v="p"/>
    <n v="0.45"/>
    <n v="0.45"/>
    <n v="0.4"/>
    <n v="0.45"/>
    <n v="15"/>
    <n v="354"/>
    <n v="0.4"/>
    <n v="163"/>
    <n v="0.5"/>
    <n v="0"/>
    <n v="0"/>
    <n v="0"/>
    <n v="0"/>
    <n v="0.3448"/>
    <n v="-5.7000000000000002E-3"/>
    <n v="1E-4"/>
    <n v="-0.34200000000000003"/>
    <n v="0.1288"/>
    <n v="-4.3E-3"/>
    <n v="162"/>
    <n v="0.35"/>
    <n v="174"/>
    <n v="0.5"/>
    <n v="0"/>
    <n v="0"/>
    <n v="0.44669999999999999"/>
    <n v="447"/>
    <n v="0"/>
  </r>
  <r>
    <x v="0"/>
    <x v="0"/>
    <s v="SPXW"/>
    <x v="4"/>
    <x v="90"/>
    <s v="p"/>
    <n v="0.45"/>
    <n v="0.67"/>
    <n v="0.45"/>
    <n v="0.45"/>
    <n v="12"/>
    <n v="347"/>
    <n v="0.4"/>
    <n v="131"/>
    <n v="0.5"/>
    <n v="0"/>
    <n v="0"/>
    <n v="0"/>
    <n v="0"/>
    <n v="0.3422"/>
    <n v="-5.7000000000000002E-3"/>
    <n v="1E-4"/>
    <n v="-0.34179999999999999"/>
    <n v="0.12959999999999999"/>
    <n v="-4.4000000000000003E-3"/>
    <n v="162"/>
    <n v="0.35"/>
    <n v="161"/>
    <n v="0.5"/>
    <n v="0"/>
    <n v="0"/>
    <n v="0.4783"/>
    <n v="353"/>
    <n v="0"/>
  </r>
  <r>
    <x v="0"/>
    <x v="0"/>
    <s v="SPXW"/>
    <x v="4"/>
    <x v="91"/>
    <s v="p"/>
    <n v="0.47"/>
    <n v="0.75"/>
    <n v="0.45"/>
    <n v="0.45"/>
    <n v="33"/>
    <n v="56"/>
    <n v="0.45"/>
    <n v="459"/>
    <n v="0.55000000000000004"/>
    <n v="0"/>
    <n v="0"/>
    <n v="0"/>
    <n v="0"/>
    <n v="0.34110000000000001"/>
    <n v="-6.3E-3"/>
    <n v="1E-4"/>
    <n v="-0.37619999999999998"/>
    <n v="0.1411"/>
    <n v="-4.7999999999999996E-3"/>
    <n v="165"/>
    <n v="0.35"/>
    <n v="135"/>
    <n v="0.5"/>
    <n v="0"/>
    <n v="0"/>
    <n v="0.60609999999999997"/>
    <n v="184"/>
    <n v="0"/>
  </r>
  <r>
    <x v="0"/>
    <x v="0"/>
    <s v="SPXW"/>
    <x v="4"/>
    <x v="92"/>
    <s v="p"/>
    <n v="0.45"/>
    <n v="0.9"/>
    <n v="0.45"/>
    <n v="0.5"/>
    <n v="98"/>
    <n v="227"/>
    <n v="0.45"/>
    <n v="224"/>
    <n v="0.55000000000000004"/>
    <n v="0"/>
    <n v="0"/>
    <n v="0"/>
    <n v="0"/>
    <n v="0.33610000000000001"/>
    <n v="-6.4000000000000003E-3"/>
    <n v="1E-4"/>
    <n v="-0.37569999999999998"/>
    <n v="0.1429"/>
    <n v="-4.8999999999999998E-3"/>
    <n v="177"/>
    <n v="0.35"/>
    <n v="144"/>
    <n v="0.5"/>
    <n v="0"/>
    <n v="0"/>
    <n v="0.53700000000000003"/>
    <n v="3756"/>
    <n v="0"/>
  </r>
  <r>
    <x v="0"/>
    <x v="0"/>
    <s v="SPXW"/>
    <x v="4"/>
    <x v="93"/>
    <s v="p"/>
    <n v="0.5"/>
    <n v="0.5"/>
    <n v="0.45"/>
    <n v="0.5"/>
    <n v="3"/>
    <n v="337"/>
    <n v="0.45"/>
    <n v="121"/>
    <n v="0.55000000000000004"/>
    <n v="0"/>
    <n v="0"/>
    <n v="0"/>
    <n v="0"/>
    <n v="0.33029999999999998"/>
    <n v="-6.4999999999999997E-3"/>
    <n v="1E-4"/>
    <n v="-0.37509999999999999"/>
    <n v="0.14510000000000001"/>
    <n v="-5.0000000000000001E-3"/>
    <n v="74"/>
    <n v="0.4"/>
    <n v="32"/>
    <n v="0.5"/>
    <n v="0"/>
    <n v="0"/>
    <n v="0.48330000000000001"/>
    <n v="229"/>
    <n v="0"/>
  </r>
  <r>
    <x v="0"/>
    <x v="0"/>
    <s v="SPXW"/>
    <x v="4"/>
    <x v="94"/>
    <s v="p"/>
    <n v="0.9"/>
    <n v="0.97"/>
    <n v="0.55000000000000004"/>
    <n v="0.55000000000000004"/>
    <n v="77"/>
    <n v="119"/>
    <n v="0.5"/>
    <n v="424"/>
    <n v="0.6"/>
    <n v="0"/>
    <n v="0"/>
    <n v="0"/>
    <n v="0"/>
    <n v="0.32929999999999998"/>
    <n v="-7.1000000000000004E-3"/>
    <n v="1E-4"/>
    <n v="-0.40889999999999999"/>
    <n v="0.15659999999999999"/>
    <n v="-5.4000000000000003E-3"/>
    <n v="160"/>
    <n v="0.4"/>
    <n v="146"/>
    <n v="0.55000000000000004"/>
    <n v="0"/>
    <n v="0"/>
    <n v="0.93640000000000001"/>
    <n v="384"/>
    <n v="0"/>
  </r>
  <r>
    <x v="0"/>
    <x v="0"/>
    <s v="SPXW"/>
    <x v="4"/>
    <x v="95"/>
    <s v="p"/>
    <n v="0.52"/>
    <n v="0.55000000000000004"/>
    <n v="0.5"/>
    <n v="0.55000000000000004"/>
    <n v="18"/>
    <n v="166"/>
    <n v="0.5"/>
    <n v="199"/>
    <n v="0.6"/>
    <n v="0"/>
    <n v="0"/>
    <n v="0"/>
    <n v="0"/>
    <n v="0.3266"/>
    <n v="-7.1000000000000004E-3"/>
    <n v="1E-4"/>
    <n v="-0.40870000000000001"/>
    <n v="0.15770000000000001"/>
    <n v="-5.4999999999999997E-3"/>
    <n v="172"/>
    <n v="0.4"/>
    <n v="143"/>
    <n v="0.55000000000000004"/>
    <n v="0"/>
    <n v="0"/>
    <n v="0.52329999999999999"/>
    <n v="676"/>
    <n v="0"/>
  </r>
  <r>
    <x v="0"/>
    <x v="0"/>
    <s v="SPXW"/>
    <x v="4"/>
    <x v="96"/>
    <s v="p"/>
    <n v="0.55000000000000004"/>
    <n v="0.8"/>
    <n v="0.55000000000000004"/>
    <n v="0.55000000000000004"/>
    <n v="31"/>
    <n v="211"/>
    <n v="0.5"/>
    <n v="174"/>
    <n v="0.6"/>
    <n v="0"/>
    <n v="0"/>
    <n v="0"/>
    <n v="0"/>
    <n v="0.32400000000000001"/>
    <n v="-7.1999999999999998E-3"/>
    <n v="1E-4"/>
    <n v="-0.4083"/>
    <n v="0.1588"/>
    <n v="-5.4999999999999997E-3"/>
    <n v="162"/>
    <n v="0.4"/>
    <n v="131"/>
    <n v="0.55000000000000004"/>
    <n v="0"/>
    <n v="0"/>
    <n v="0.55969999999999998"/>
    <n v="1920"/>
    <n v="0"/>
  </r>
  <r>
    <x v="0"/>
    <x v="0"/>
    <s v="SPXW"/>
    <x v="4"/>
    <x v="97"/>
    <s v="p"/>
    <n v="0.67"/>
    <n v="0.67"/>
    <n v="0.55000000000000004"/>
    <n v="0.55000000000000004"/>
    <n v="62"/>
    <n v="50"/>
    <n v="0.55000000000000004"/>
    <n v="416"/>
    <n v="0.65"/>
    <n v="0"/>
    <n v="0"/>
    <n v="0"/>
    <n v="0"/>
    <n v="0.32050000000000001"/>
    <n v="-7.4999999999999997E-3"/>
    <n v="1E-4"/>
    <n v="-0.42470000000000002"/>
    <n v="0.16600000000000001"/>
    <n v="-5.7999999999999996E-3"/>
    <n v="73"/>
    <n v="0.45"/>
    <n v="32"/>
    <n v="0.55000000000000004"/>
    <n v="0"/>
    <n v="0"/>
    <n v="0.66690000000000005"/>
    <n v="251"/>
    <n v="0"/>
  </r>
  <r>
    <x v="0"/>
    <x v="0"/>
    <s v="SPXW"/>
    <x v="4"/>
    <x v="98"/>
    <s v="p"/>
    <n v="0.65"/>
    <n v="1.25"/>
    <n v="0.54"/>
    <n v="0.54"/>
    <n v="124"/>
    <n v="234"/>
    <n v="0.55000000000000004"/>
    <n v="207"/>
    <n v="0.65"/>
    <n v="0"/>
    <n v="0"/>
    <n v="0"/>
    <n v="0"/>
    <n v="0.31519999999999998"/>
    <n v="-7.7000000000000002E-3"/>
    <n v="1E-4"/>
    <n v="-0.42399999999999999"/>
    <n v="0.16839999999999999"/>
    <n v="-5.8999999999999999E-3"/>
    <n v="167"/>
    <n v="0.45"/>
    <n v="154"/>
    <n v="0.6"/>
    <n v="0"/>
    <n v="0"/>
    <n v="0.8407"/>
    <n v="3746"/>
    <n v="0"/>
  </r>
  <r>
    <x v="0"/>
    <x v="0"/>
    <s v="SPXW"/>
    <x v="4"/>
    <x v="99"/>
    <s v="p"/>
    <n v="0.95"/>
    <n v="1.05"/>
    <n v="0.55000000000000004"/>
    <n v="0.55000000000000004"/>
    <n v="6"/>
    <n v="35"/>
    <n v="0.6"/>
    <n v="303"/>
    <n v="0.7"/>
    <n v="0"/>
    <n v="0"/>
    <n v="0"/>
    <n v="0"/>
    <n v="0.3115"/>
    <n v="-8.0000000000000002E-3"/>
    <n v="1E-4"/>
    <n v="-0.44019999999999998"/>
    <n v="0.1759"/>
    <n v="-6.1999999999999998E-3"/>
    <n v="159"/>
    <n v="0.45"/>
    <n v="58"/>
    <n v="0.6"/>
    <n v="0"/>
    <n v="0"/>
    <n v="0.85"/>
    <n v="250"/>
    <n v="0"/>
  </r>
  <r>
    <x v="0"/>
    <x v="0"/>
    <s v="SPXW"/>
    <x v="4"/>
    <x v="100"/>
    <s v="p"/>
    <n v="0.68"/>
    <n v="1.3"/>
    <n v="0.55000000000000004"/>
    <n v="0.55000000000000004"/>
    <n v="94"/>
    <n v="246"/>
    <n v="0.6"/>
    <n v="116"/>
    <n v="0.7"/>
    <n v="0"/>
    <n v="0"/>
    <n v="0"/>
    <n v="0"/>
    <n v="0.30930000000000002"/>
    <n v="-8.6999999999999994E-3"/>
    <n v="1E-4"/>
    <n v="-0.47270000000000001"/>
    <n v="0.18840000000000001"/>
    <n v="-6.7000000000000002E-3"/>
    <n v="111"/>
    <n v="0.5"/>
    <n v="151"/>
    <n v="0.65"/>
    <n v="0"/>
    <n v="0"/>
    <n v="0.72770000000000001"/>
    <n v="589"/>
    <n v="0"/>
  </r>
  <r>
    <x v="0"/>
    <x v="0"/>
    <s v="SPXW"/>
    <x v="4"/>
    <x v="101"/>
    <s v="p"/>
    <n v="1"/>
    <n v="1"/>
    <n v="0.65"/>
    <n v="0.7"/>
    <n v="20"/>
    <n v="28"/>
    <n v="0.65"/>
    <n v="85"/>
    <n v="0.7"/>
    <n v="0"/>
    <n v="0"/>
    <n v="0"/>
    <n v="0"/>
    <n v="0.30659999999999998"/>
    <n v="-8.8000000000000005E-3"/>
    <n v="1E-4"/>
    <n v="-0.4723"/>
    <n v="0.1898"/>
    <n v="-6.7000000000000002E-3"/>
    <n v="163"/>
    <n v="0.5"/>
    <n v="160"/>
    <n v="0.65"/>
    <n v="0"/>
    <n v="0"/>
    <n v="0.96750000000000003"/>
    <n v="541"/>
    <n v="0"/>
  </r>
  <r>
    <x v="0"/>
    <x v="0"/>
    <s v="SPXW"/>
    <x v="4"/>
    <x v="102"/>
    <s v="p"/>
    <n v="1.45"/>
    <n v="1.45"/>
    <n v="0.7"/>
    <n v="0.7"/>
    <n v="6"/>
    <n v="75"/>
    <n v="0.65"/>
    <n v="243"/>
    <n v="0.75"/>
    <n v="0"/>
    <n v="0"/>
    <n v="0"/>
    <n v="0"/>
    <n v="0.30680000000000002"/>
    <n v="-9.4000000000000004E-3"/>
    <n v="1E-4"/>
    <n v="-0.50480000000000003"/>
    <n v="0.20080000000000001"/>
    <n v="-7.1999999999999998E-3"/>
    <n v="154"/>
    <n v="0.5"/>
    <n v="127"/>
    <n v="0.65"/>
    <n v="0"/>
    <n v="0"/>
    <n v="1.325"/>
    <n v="533"/>
    <n v="0"/>
  </r>
  <r>
    <x v="0"/>
    <x v="0"/>
    <s v="SPXW"/>
    <x v="4"/>
    <x v="315"/>
    <s v="p"/>
    <n v="1.35"/>
    <n v="1.35"/>
    <n v="0.7"/>
    <n v="0.7"/>
    <n v="8"/>
    <n v="143"/>
    <n v="0.65"/>
    <n v="117"/>
    <n v="0.75"/>
    <n v="0"/>
    <n v="0"/>
    <n v="0"/>
    <n v="0"/>
    <n v="0.30399999999999999"/>
    <n v="-9.4000000000000004E-3"/>
    <n v="1E-4"/>
    <n v="-0.50439999999999996"/>
    <n v="0.2024"/>
    <n v="-7.3000000000000001E-3"/>
    <n v="154"/>
    <n v="0.5"/>
    <n v="31"/>
    <n v="0.65"/>
    <n v="0"/>
    <n v="0"/>
    <n v="1.1188"/>
    <n v="100"/>
    <n v="0"/>
  </r>
  <r>
    <x v="0"/>
    <x v="0"/>
    <s v="SPXW"/>
    <x v="4"/>
    <x v="103"/>
    <s v="p"/>
    <n v="1.1200000000000001"/>
    <n v="1.21"/>
    <n v="0.7"/>
    <n v="0.7"/>
    <n v="10"/>
    <n v="379"/>
    <n v="0.65"/>
    <n v="80"/>
    <n v="0.75"/>
    <n v="0"/>
    <n v="0"/>
    <n v="0"/>
    <n v="0"/>
    <n v="0.30149999999999999"/>
    <n v="-9.4999999999999998E-3"/>
    <n v="1E-4"/>
    <n v="-0.50390000000000001"/>
    <n v="0.2039"/>
    <n v="-7.3000000000000001E-3"/>
    <n v="110"/>
    <n v="0.55000000000000004"/>
    <n v="30"/>
    <n v="0.65"/>
    <n v="0"/>
    <n v="0"/>
    <n v="1.071"/>
    <n v="339"/>
    <n v="0"/>
  </r>
  <r>
    <x v="0"/>
    <x v="0"/>
    <s v="SPXW"/>
    <x v="4"/>
    <x v="316"/>
    <s v="p"/>
    <n v="0.75"/>
    <n v="0.75"/>
    <n v="0.75"/>
    <n v="0.75"/>
    <n v="3"/>
    <n v="52"/>
    <n v="0.7"/>
    <n v="282"/>
    <n v="0.8"/>
    <n v="0"/>
    <n v="0"/>
    <n v="0"/>
    <n v="0"/>
    <n v="0.29859999999999998"/>
    <n v="-9.5999999999999992E-3"/>
    <n v="1E-4"/>
    <n v="-0.50349999999999995"/>
    <n v="0.20549999999999999"/>
    <n v="-7.4000000000000003E-3"/>
    <n v="119"/>
    <n v="0.55000000000000004"/>
    <n v="146"/>
    <n v="0.7"/>
    <n v="0"/>
    <n v="0"/>
    <n v="0.75"/>
    <n v="68"/>
    <n v="0"/>
  </r>
  <r>
    <x v="0"/>
    <x v="0"/>
    <s v="SPXW"/>
    <x v="4"/>
    <x v="104"/>
    <s v="p"/>
    <n v="0.75"/>
    <n v="1.58"/>
    <n v="0.6"/>
    <n v="0.62"/>
    <n v="477"/>
    <n v="180"/>
    <n v="0.7"/>
    <n v="152"/>
    <n v="0.8"/>
    <n v="0"/>
    <n v="0"/>
    <n v="0"/>
    <n v="0"/>
    <n v="0.29849999999999999"/>
    <n v="-1.0200000000000001E-2"/>
    <n v="1E-4"/>
    <n v="-0.53539999999999999"/>
    <n v="0.2167"/>
    <n v="-7.9000000000000008E-3"/>
    <n v="159"/>
    <n v="0.55000000000000004"/>
    <n v="134"/>
    <n v="0.7"/>
    <n v="0"/>
    <n v="0"/>
    <n v="1.0074000000000001"/>
    <n v="2676"/>
    <n v="0"/>
  </r>
  <r>
    <x v="0"/>
    <x v="0"/>
    <s v="SPXW"/>
    <x v="4"/>
    <x v="317"/>
    <s v="p"/>
    <n v="1.6"/>
    <n v="1.6"/>
    <n v="0.8"/>
    <n v="0.81"/>
    <n v="7"/>
    <n v="369"/>
    <n v="0.7"/>
    <n v="45"/>
    <n v="0.8"/>
    <n v="0"/>
    <n v="0"/>
    <n v="0"/>
    <n v="0"/>
    <n v="0.29580000000000001"/>
    <n v="-1.03E-2"/>
    <n v="1E-4"/>
    <n v="-0.53490000000000004"/>
    <n v="0.21829999999999999"/>
    <n v="-7.9000000000000008E-3"/>
    <n v="152"/>
    <n v="0.55000000000000004"/>
    <n v="30"/>
    <n v="0.7"/>
    <n v="0"/>
    <n v="0"/>
    <n v="1.3729"/>
    <n v="182"/>
    <n v="0"/>
  </r>
  <r>
    <x v="0"/>
    <x v="0"/>
    <s v="SPXW"/>
    <x v="4"/>
    <x v="105"/>
    <s v="p"/>
    <n v="0.75"/>
    <n v="1.1200000000000001"/>
    <n v="0.65"/>
    <n v="0.65"/>
    <n v="13"/>
    <n v="55"/>
    <n v="0.75"/>
    <n v="228"/>
    <n v="0.85"/>
    <n v="0"/>
    <n v="0"/>
    <n v="0"/>
    <n v="0"/>
    <n v="0.29570000000000002"/>
    <n v="-1.09E-2"/>
    <n v="1E-4"/>
    <n v="-0.5665"/>
    <n v="0.22919999999999999"/>
    <n v="-8.3999999999999995E-3"/>
    <n v="107"/>
    <n v="0.6"/>
    <n v="29"/>
    <n v="0.7"/>
    <n v="0"/>
    <n v="0"/>
    <n v="0.76690000000000003"/>
    <n v="296"/>
    <n v="0"/>
  </r>
  <r>
    <x v="0"/>
    <x v="0"/>
    <s v="SPXW"/>
    <x v="4"/>
    <x v="106"/>
    <s v="p"/>
    <n v="0.7"/>
    <n v="0.96"/>
    <n v="0.7"/>
    <n v="0.7"/>
    <n v="13"/>
    <n v="113"/>
    <n v="0.75"/>
    <n v="111"/>
    <n v="0.85"/>
    <n v="0"/>
    <n v="0"/>
    <n v="0"/>
    <n v="0"/>
    <n v="0.2928"/>
    <n v="-1.0999999999999999E-2"/>
    <n v="1E-4"/>
    <n v="-0.56589999999999996"/>
    <n v="0.2311"/>
    <n v="-8.5000000000000006E-3"/>
    <n v="118"/>
    <n v="0.6"/>
    <n v="145"/>
    <n v="0.75"/>
    <n v="0"/>
    <n v="0"/>
    <n v="0.84540000000000004"/>
    <n v="174"/>
    <n v="0"/>
  </r>
  <r>
    <x v="0"/>
    <x v="0"/>
    <s v="SPXW"/>
    <x v="4"/>
    <x v="107"/>
    <s v="p"/>
    <n v="0.87"/>
    <n v="0.87"/>
    <n v="0.65"/>
    <n v="0.65"/>
    <n v="143"/>
    <n v="27"/>
    <n v="0.8"/>
    <n v="321"/>
    <n v="0.9"/>
    <n v="0"/>
    <n v="0"/>
    <n v="0"/>
    <n v="0"/>
    <n v="0.29010000000000002"/>
    <n v="-1.11E-2"/>
    <n v="1E-4"/>
    <n v="-0.56540000000000001"/>
    <n v="0.2329"/>
    <n v="-8.6E-3"/>
    <n v="149"/>
    <n v="0.6"/>
    <n v="31"/>
    <n v="0.75"/>
    <n v="0"/>
    <n v="0"/>
    <n v="0.86180000000000001"/>
    <n v="214"/>
    <n v="0"/>
  </r>
  <r>
    <x v="0"/>
    <x v="0"/>
    <s v="SPXW"/>
    <x v="4"/>
    <x v="108"/>
    <s v="p"/>
    <n v="0.88"/>
    <n v="1.6"/>
    <n v="0.7"/>
    <n v="0.7"/>
    <n v="67"/>
    <n v="79"/>
    <n v="0.8"/>
    <n v="185"/>
    <n v="0.9"/>
    <n v="0"/>
    <n v="0"/>
    <n v="0"/>
    <n v="0"/>
    <n v="0.2898"/>
    <n v="-1.17E-2"/>
    <n v="1E-4"/>
    <n v="-0.59650000000000003"/>
    <n v="0.24399999999999999"/>
    <n v="-8.9999999999999993E-3"/>
    <n v="115"/>
    <n v="0.65"/>
    <n v="29"/>
    <n v="0.75"/>
    <n v="0"/>
    <n v="0"/>
    <n v="1.0015000000000001"/>
    <n v="429"/>
    <n v="0"/>
  </r>
  <r>
    <x v="0"/>
    <x v="0"/>
    <s v="SPXW"/>
    <x v="4"/>
    <x v="109"/>
    <s v="p"/>
    <n v="0.8"/>
    <n v="0.9"/>
    <n v="0.75"/>
    <n v="0.75"/>
    <n v="4"/>
    <n v="215"/>
    <n v="0.8"/>
    <n v="43"/>
    <n v="0.9"/>
    <n v="0"/>
    <n v="0"/>
    <n v="0"/>
    <n v="0"/>
    <n v="0.28689999999999999"/>
    <n v="-1.18E-2"/>
    <n v="1E-4"/>
    <n v="-0.59589999999999999"/>
    <n v="0.246"/>
    <n v="-9.1000000000000004E-3"/>
    <n v="115"/>
    <n v="0.65"/>
    <n v="97"/>
    <n v="0.8"/>
    <n v="0"/>
    <n v="0"/>
    <n v="0.8"/>
    <n v="111"/>
    <n v="0"/>
  </r>
  <r>
    <x v="0"/>
    <x v="0"/>
    <s v="SPXW"/>
    <x v="4"/>
    <x v="110"/>
    <s v="p"/>
    <n v="0.8"/>
    <n v="0.9"/>
    <n v="0.8"/>
    <n v="0.9"/>
    <n v="2"/>
    <n v="53"/>
    <n v="0.85"/>
    <n v="154"/>
    <n v="0.95"/>
    <n v="0"/>
    <n v="0"/>
    <n v="0"/>
    <n v="0"/>
    <n v="0.28649999999999998"/>
    <n v="-1.24E-2"/>
    <n v="2.0000000000000001E-4"/>
    <n v="-0.62670000000000003"/>
    <n v="0.25719999999999998"/>
    <n v="-9.5999999999999992E-3"/>
    <n v="145"/>
    <n v="0.65"/>
    <n v="30"/>
    <n v="0.8"/>
    <n v="0"/>
    <n v="0"/>
    <n v="0.85"/>
    <n v="463"/>
    <n v="0"/>
  </r>
  <r>
    <x v="0"/>
    <x v="0"/>
    <s v="SPXW"/>
    <x v="4"/>
    <x v="111"/>
    <s v="p"/>
    <n v="0.77"/>
    <n v="1.03"/>
    <n v="0.77"/>
    <n v="0.85"/>
    <n v="71"/>
    <n v="224"/>
    <n v="0.85"/>
    <n v="95"/>
    <n v="0.95"/>
    <n v="0"/>
    <n v="0"/>
    <n v="0"/>
    <n v="0"/>
    <n v="0.28349999999999997"/>
    <n v="-1.26E-2"/>
    <n v="2.0000000000000001E-4"/>
    <n v="-0.62590000000000001"/>
    <n v="0.25950000000000001"/>
    <n v="-9.7000000000000003E-3"/>
    <n v="96"/>
    <n v="0.7"/>
    <n v="28"/>
    <n v="0.8"/>
    <n v="0"/>
    <n v="0"/>
    <n v="0.95030000000000003"/>
    <n v="146"/>
    <n v="0"/>
  </r>
  <r>
    <x v="0"/>
    <x v="0"/>
    <s v="SPXW"/>
    <x v="4"/>
    <x v="112"/>
    <s v="p"/>
    <n v="0.85"/>
    <n v="1.65"/>
    <n v="0.85"/>
    <n v="1"/>
    <n v="3"/>
    <n v="31"/>
    <n v="0.9"/>
    <n v="172"/>
    <n v="1"/>
    <n v="0"/>
    <n v="0"/>
    <n v="0"/>
    <n v="0"/>
    <n v="0.28199999999999997"/>
    <n v="-1.29E-2"/>
    <n v="2.0000000000000001E-4"/>
    <n v="-0.64090000000000003"/>
    <n v="0.2661"/>
    <n v="-0.01"/>
    <n v="106"/>
    <n v="0.7"/>
    <n v="51"/>
    <n v="0.85"/>
    <n v="0"/>
    <n v="0"/>
    <n v="1.1667000000000001"/>
    <n v="141"/>
    <n v="0"/>
  </r>
  <r>
    <x v="0"/>
    <x v="0"/>
    <s v="SPXW"/>
    <x v="4"/>
    <x v="113"/>
    <s v="p"/>
    <n v="0.81"/>
    <n v="2"/>
    <n v="0.8"/>
    <n v="0.85"/>
    <n v="86"/>
    <n v="230"/>
    <n v="0.9"/>
    <n v="102"/>
    <n v="1"/>
    <n v="0"/>
    <n v="0"/>
    <n v="0"/>
    <n v="0"/>
    <n v="0.28000000000000003"/>
    <n v="-1.3299999999999999E-2"/>
    <n v="2.0000000000000001E-4"/>
    <n v="-0.65549999999999997"/>
    <n v="0.2732"/>
    <n v="-1.03E-2"/>
    <n v="81"/>
    <n v="0.75"/>
    <n v="28"/>
    <n v="0.85"/>
    <n v="0"/>
    <n v="0"/>
    <n v="1.3388"/>
    <n v="2868"/>
    <n v="0"/>
  </r>
  <r>
    <x v="0"/>
    <x v="0"/>
    <s v="SPXW"/>
    <x v="4"/>
    <x v="114"/>
    <s v="p"/>
    <n v="0.85"/>
    <n v="1.1200000000000001"/>
    <n v="0.85"/>
    <n v="1"/>
    <n v="18"/>
    <n v="31"/>
    <n v="0.95"/>
    <n v="152"/>
    <n v="1.05"/>
    <n v="0"/>
    <n v="0"/>
    <n v="0"/>
    <n v="0"/>
    <n v="0.27829999999999999"/>
    <n v="-1.37E-2"/>
    <n v="2.0000000000000001E-4"/>
    <n v="-0.67030000000000001"/>
    <n v="0.28000000000000003"/>
    <n v="-1.06E-2"/>
    <n v="102"/>
    <n v="0.75"/>
    <n v="84"/>
    <n v="0.9"/>
    <n v="0"/>
    <n v="0"/>
    <n v="1.0371999999999999"/>
    <n v="91"/>
    <n v="0"/>
  </r>
  <r>
    <x v="0"/>
    <x v="0"/>
    <s v="SPXW"/>
    <x v="4"/>
    <x v="115"/>
    <s v="p"/>
    <n v="0.95"/>
    <n v="1.65"/>
    <n v="0.9"/>
    <n v="1.05"/>
    <n v="33"/>
    <n v="221"/>
    <n v="0.95"/>
    <n v="90"/>
    <n v="1.05"/>
    <n v="0"/>
    <n v="0"/>
    <n v="0"/>
    <n v="0"/>
    <n v="0.27639999999999998"/>
    <n v="-1.41E-2"/>
    <n v="2.0000000000000001E-4"/>
    <n v="-0.68469999999999998"/>
    <n v="0.28710000000000002"/>
    <n v="-1.09E-2"/>
    <n v="38"/>
    <n v="0.8"/>
    <n v="29"/>
    <n v="0.9"/>
    <n v="0"/>
    <n v="0"/>
    <n v="1.5879000000000001"/>
    <n v="115"/>
    <n v="0"/>
  </r>
  <r>
    <x v="0"/>
    <x v="0"/>
    <s v="SPXW"/>
    <x v="4"/>
    <x v="116"/>
    <s v="p"/>
    <n v="0.9"/>
    <n v="1.7"/>
    <n v="0.9"/>
    <n v="1.1000000000000001"/>
    <n v="7"/>
    <n v="51"/>
    <n v="1"/>
    <n v="152"/>
    <n v="1.1000000000000001"/>
    <n v="0"/>
    <n v="0"/>
    <n v="0"/>
    <n v="0"/>
    <n v="0.2757"/>
    <n v="-1.4800000000000001E-2"/>
    <n v="2.0000000000000001E-4"/>
    <n v="-0.71440000000000003"/>
    <n v="0.2984"/>
    <n v="-1.14E-2"/>
    <n v="92"/>
    <n v="0.8"/>
    <n v="25"/>
    <n v="0.9"/>
    <n v="0"/>
    <n v="0"/>
    <n v="1.2843"/>
    <n v="97"/>
    <n v="0"/>
  </r>
  <r>
    <x v="0"/>
    <x v="0"/>
    <s v="SPXW"/>
    <x v="4"/>
    <x v="117"/>
    <s v="p"/>
    <n v="1.08"/>
    <n v="2.29"/>
    <n v="0.95"/>
    <n v="1.1499999999999999"/>
    <n v="305"/>
    <n v="231"/>
    <n v="1"/>
    <n v="83"/>
    <n v="1.1000000000000001"/>
    <n v="0"/>
    <n v="0"/>
    <n v="0"/>
    <n v="0"/>
    <n v="0.2727"/>
    <n v="-1.49E-2"/>
    <n v="2.0000000000000001E-4"/>
    <n v="-0.71340000000000003"/>
    <n v="0.30120000000000002"/>
    <n v="-1.15E-2"/>
    <n v="37"/>
    <n v="0.85"/>
    <n v="29"/>
    <n v="0.95"/>
    <n v="0"/>
    <n v="0"/>
    <n v="1.4854000000000001"/>
    <n v="340"/>
    <n v="0"/>
  </r>
  <r>
    <x v="0"/>
    <x v="0"/>
    <s v="SPXW"/>
    <x v="4"/>
    <x v="118"/>
    <s v="p"/>
    <n v="0.95"/>
    <n v="1.82"/>
    <n v="0.95"/>
    <n v="1.1499999999999999"/>
    <n v="13"/>
    <n v="77"/>
    <n v="1.05"/>
    <n v="129"/>
    <n v="1.1499999999999999"/>
    <n v="0"/>
    <n v="0"/>
    <n v="0"/>
    <n v="0"/>
    <n v="0.27179999999999999"/>
    <n v="-1.5599999999999999E-2"/>
    <n v="2.0000000000000001E-4"/>
    <n v="-0.74270000000000003"/>
    <n v="0.3125"/>
    <n v="-1.21E-2"/>
    <n v="105"/>
    <n v="0.85"/>
    <n v="25"/>
    <n v="0.95"/>
    <n v="0"/>
    <n v="0"/>
    <n v="1.2630999999999999"/>
    <n v="1602"/>
    <n v="0"/>
  </r>
  <r>
    <x v="0"/>
    <x v="0"/>
    <s v="SPXW"/>
    <x v="4"/>
    <x v="119"/>
    <s v="p"/>
    <n v="1"/>
    <n v="2.86"/>
    <n v="0.95"/>
    <n v="1.1499999999999999"/>
    <n v="136"/>
    <n v="30"/>
    <n v="1.1000000000000001"/>
    <n v="194"/>
    <n v="1.2"/>
    <n v="0"/>
    <n v="0"/>
    <n v="0"/>
    <n v="0"/>
    <n v="0.26879999999999998"/>
    <n v="-1.5699999999999999E-2"/>
    <n v="2.0000000000000001E-4"/>
    <n v="-0.74170000000000003"/>
    <n v="0.31530000000000002"/>
    <n v="-1.2200000000000001E-2"/>
    <n v="38"/>
    <n v="0.9"/>
    <n v="28"/>
    <n v="1"/>
    <n v="0"/>
    <n v="0"/>
    <n v="1.8173999999999999"/>
    <n v="507"/>
    <n v="0"/>
  </r>
  <r>
    <x v="0"/>
    <x v="0"/>
    <s v="SPXW"/>
    <x v="4"/>
    <x v="120"/>
    <s v="p"/>
    <n v="1"/>
    <n v="2.35"/>
    <n v="0.95"/>
    <n v="1.25"/>
    <n v="21"/>
    <n v="191"/>
    <n v="1.1000000000000001"/>
    <n v="271"/>
    <n v="1.25"/>
    <n v="0"/>
    <n v="0"/>
    <n v="0"/>
    <n v="0"/>
    <n v="0.2676"/>
    <n v="-1.6400000000000001E-2"/>
    <n v="2.0000000000000001E-4"/>
    <n v="-0.77039999999999997"/>
    <n v="0.32700000000000001"/>
    <n v="-1.2699999999999999E-2"/>
    <n v="98"/>
    <n v="0.9"/>
    <n v="82"/>
    <n v="1.05"/>
    <n v="0"/>
    <n v="0"/>
    <n v="1.1218999999999999"/>
    <n v="182"/>
    <n v="0"/>
  </r>
  <r>
    <x v="0"/>
    <x v="0"/>
    <s v="SPXW"/>
    <x v="4"/>
    <x v="121"/>
    <s v="p"/>
    <n v="1.2"/>
    <n v="2.0499999999999998"/>
    <n v="0.92"/>
    <n v="1.1499999999999999"/>
    <n v="254"/>
    <n v="75"/>
    <n v="1.1499999999999999"/>
    <n v="118"/>
    <n v="1.25"/>
    <n v="0"/>
    <n v="0"/>
    <n v="0"/>
    <n v="0"/>
    <n v="0.2666"/>
    <n v="-1.7100000000000001E-2"/>
    <n v="2.0000000000000001E-4"/>
    <n v="-0.79910000000000003"/>
    <n v="0.33829999999999999"/>
    <n v="-1.3299999999999999E-2"/>
    <n v="38"/>
    <n v="0.95"/>
    <n v="27"/>
    <n v="1.05"/>
    <n v="0"/>
    <n v="0"/>
    <n v="1.4228000000000001"/>
    <n v="205"/>
    <n v="0"/>
  </r>
  <r>
    <x v="0"/>
    <x v="0"/>
    <s v="SPXW"/>
    <x v="4"/>
    <x v="122"/>
    <s v="p"/>
    <n v="1.0900000000000001"/>
    <n v="2.4500000000000002"/>
    <n v="1"/>
    <n v="1"/>
    <n v="90"/>
    <n v="30"/>
    <n v="1.2"/>
    <n v="187"/>
    <n v="1.3"/>
    <n v="0"/>
    <n v="0"/>
    <n v="0"/>
    <n v="0"/>
    <n v="0.26450000000000001"/>
    <n v="-1.7500000000000002E-2"/>
    <n v="2.0000000000000001E-4"/>
    <n v="-0.81269999999999998"/>
    <n v="0.34560000000000002"/>
    <n v="-1.3599999999999999E-2"/>
    <n v="104"/>
    <n v="0.95"/>
    <n v="55"/>
    <n v="1.1000000000000001"/>
    <n v="0"/>
    <n v="0"/>
    <n v="1.3273999999999999"/>
    <n v="90"/>
    <n v="0"/>
  </r>
  <r>
    <x v="0"/>
    <x v="0"/>
    <s v="SPXW"/>
    <x v="4"/>
    <x v="123"/>
    <s v="p"/>
    <n v="1.3"/>
    <n v="4.0199999999999996"/>
    <n v="1"/>
    <n v="1.05"/>
    <n v="2351"/>
    <n v="23"/>
    <n v="1.25"/>
    <n v="64"/>
    <n v="1.3"/>
    <n v="0"/>
    <n v="0"/>
    <n v="0"/>
    <n v="0"/>
    <n v="0.26240000000000002"/>
    <n v="-1.7999999999999999E-2"/>
    <n v="2.0000000000000001E-4"/>
    <n v="-0.82609999999999995"/>
    <n v="0.35289999999999999"/>
    <n v="-1.3899999999999999E-2"/>
    <n v="97"/>
    <n v="1"/>
    <n v="23"/>
    <n v="1.1000000000000001"/>
    <n v="0"/>
    <n v="0"/>
    <n v="1.3099000000000001"/>
    <n v="4666"/>
    <n v="0"/>
  </r>
  <r>
    <x v="0"/>
    <x v="0"/>
    <s v="SPXW"/>
    <x v="4"/>
    <x v="124"/>
    <s v="p"/>
    <n v="1.1000000000000001"/>
    <n v="1.51"/>
    <n v="1.1000000000000001"/>
    <n v="1.32"/>
    <n v="236"/>
    <n v="180"/>
    <n v="1.25"/>
    <n v="61"/>
    <n v="1.35"/>
    <n v="0"/>
    <n v="0"/>
    <n v="0"/>
    <n v="0"/>
    <n v="0.26079999999999998"/>
    <n v="-1.8700000000000001E-2"/>
    <n v="2.0000000000000001E-4"/>
    <n v="-0.8538"/>
    <n v="0.3649"/>
    <n v="-1.4500000000000001E-2"/>
    <n v="38"/>
    <n v="1.05"/>
    <n v="26"/>
    <n v="1.1499999999999999"/>
    <n v="0"/>
    <n v="0"/>
    <n v="1.3983000000000001"/>
    <n v="135"/>
    <n v="0"/>
  </r>
  <r>
    <x v="0"/>
    <x v="0"/>
    <s v="SPXW"/>
    <x v="4"/>
    <x v="125"/>
    <s v="p"/>
    <n v="1.35"/>
    <n v="2.2000000000000002"/>
    <n v="1.05"/>
    <n v="1.3"/>
    <n v="72"/>
    <n v="123"/>
    <n v="1.3"/>
    <n v="85"/>
    <n v="1.4"/>
    <n v="0"/>
    <n v="0"/>
    <n v="0"/>
    <n v="0"/>
    <n v="0.2596"/>
    <n v="-1.9400000000000001E-2"/>
    <n v="2.0000000000000001E-4"/>
    <n v="-0.88149999999999995"/>
    <n v="0.3765"/>
    <n v="-1.4999999999999999E-2"/>
    <n v="95"/>
    <n v="1.05"/>
    <n v="33"/>
    <n v="1.2"/>
    <n v="0"/>
    <n v="0"/>
    <n v="1.6600999999999999"/>
    <n v="341"/>
    <n v="0"/>
  </r>
  <r>
    <x v="0"/>
    <x v="0"/>
    <s v="SPXW"/>
    <x v="4"/>
    <x v="126"/>
    <s v="p"/>
    <n v="1.25"/>
    <n v="2.5499999999999998"/>
    <n v="1.2"/>
    <n v="1.39"/>
    <n v="5"/>
    <n v="74"/>
    <n v="1.35"/>
    <n v="88"/>
    <n v="1.45"/>
    <n v="0"/>
    <n v="0"/>
    <n v="0"/>
    <n v="0"/>
    <n v="0.2581"/>
    <n v="-2.0199999999999999E-2"/>
    <n v="2.9999999999999997E-4"/>
    <n v="-0.90869999999999995"/>
    <n v="0.38840000000000002"/>
    <n v="-1.5599999999999999E-2"/>
    <n v="91"/>
    <n v="1.1000000000000001"/>
    <n v="80"/>
    <n v="1.25"/>
    <n v="0"/>
    <n v="0"/>
    <n v="1.5780000000000001"/>
    <n v="128"/>
    <n v="0"/>
  </r>
  <r>
    <x v="0"/>
    <x v="0"/>
    <s v="SPXW"/>
    <x v="4"/>
    <x v="127"/>
    <s v="p"/>
    <n v="1.41"/>
    <n v="3.15"/>
    <n v="1.1399999999999999"/>
    <n v="1.2"/>
    <n v="86"/>
    <n v="59"/>
    <n v="1.4"/>
    <n v="171"/>
    <n v="1.5"/>
    <n v="0"/>
    <n v="0"/>
    <n v="0"/>
    <n v="0"/>
    <n v="0.25659999999999999"/>
    <n v="-2.0899999999999998E-2"/>
    <n v="2.9999999999999997E-4"/>
    <n v="-0.93569999999999998"/>
    <n v="0.40050000000000002"/>
    <n v="-1.6199999999999999E-2"/>
    <n v="59"/>
    <n v="1.1499999999999999"/>
    <n v="22"/>
    <n v="1.25"/>
    <n v="0"/>
    <n v="0"/>
    <n v="2.0948000000000002"/>
    <n v="1169"/>
    <n v="0"/>
  </r>
  <r>
    <x v="0"/>
    <x v="0"/>
    <s v="SPXW"/>
    <x v="4"/>
    <x v="128"/>
    <s v="p"/>
    <n v="1.48"/>
    <n v="3.02"/>
    <n v="1.2"/>
    <n v="1.25"/>
    <n v="165"/>
    <n v="57"/>
    <n v="1.45"/>
    <n v="166"/>
    <n v="1.55"/>
    <n v="0"/>
    <n v="0"/>
    <n v="0"/>
    <n v="0"/>
    <n v="0.25419999999999998"/>
    <n v="-2.1399999999999999E-2"/>
    <n v="2.9999999999999997E-4"/>
    <n v="-0.94820000000000004"/>
    <n v="0.40860000000000002"/>
    <n v="-1.66E-2"/>
    <n v="63"/>
    <n v="1.2"/>
    <n v="22"/>
    <n v="1.3"/>
    <n v="0"/>
    <n v="0"/>
    <n v="1.7712000000000001"/>
    <n v="452"/>
    <n v="0"/>
  </r>
  <r>
    <x v="0"/>
    <x v="0"/>
    <s v="SPXW"/>
    <x v="4"/>
    <x v="129"/>
    <s v="p"/>
    <n v="1.5"/>
    <n v="3.6"/>
    <n v="1.23"/>
    <n v="1.35"/>
    <n v="503"/>
    <n v="69"/>
    <n v="1.5"/>
    <n v="157"/>
    <n v="1.6"/>
    <n v="0"/>
    <n v="0"/>
    <n v="0"/>
    <n v="0"/>
    <n v="0.25319999999999998"/>
    <n v="-2.24E-2"/>
    <n v="2.9999999999999997E-4"/>
    <n v="-0.98860000000000003"/>
    <n v="0.42499999999999999"/>
    <n v="-1.7399999999999999E-2"/>
    <n v="1"/>
    <n v="1.25"/>
    <n v="24"/>
    <n v="1.35"/>
    <n v="0"/>
    <n v="0"/>
    <n v="2.3138999999999998"/>
    <n v="237"/>
    <n v="0"/>
  </r>
  <r>
    <x v="0"/>
    <x v="0"/>
    <s v="SPXW"/>
    <x v="4"/>
    <x v="130"/>
    <s v="p"/>
    <n v="1.35"/>
    <n v="2.9"/>
    <n v="1.35"/>
    <n v="1.75"/>
    <n v="41"/>
    <n v="75"/>
    <n v="1.55"/>
    <n v="120"/>
    <n v="1.65"/>
    <n v="0"/>
    <n v="0"/>
    <n v="0"/>
    <n v="0"/>
    <n v="0.25159999999999999"/>
    <n v="-2.3199999999999998E-2"/>
    <n v="2.9999999999999997E-4"/>
    <n v="-1.0145999999999999"/>
    <n v="0.437"/>
    <n v="-1.7999999999999999E-2"/>
    <n v="1"/>
    <n v="1.3"/>
    <n v="24"/>
    <n v="1.4"/>
    <n v="0"/>
    <n v="0"/>
    <n v="1.9682999999999999"/>
    <n v="205"/>
    <n v="0"/>
  </r>
  <r>
    <x v="0"/>
    <x v="0"/>
    <s v="SPXW"/>
    <x v="4"/>
    <x v="131"/>
    <s v="p"/>
    <n v="1.65"/>
    <n v="3.3"/>
    <n v="1.27"/>
    <n v="1.65"/>
    <n v="147"/>
    <n v="95"/>
    <n v="1.6"/>
    <n v="78"/>
    <n v="1.7"/>
    <n v="0"/>
    <n v="0"/>
    <n v="0"/>
    <n v="0"/>
    <n v="0.24990000000000001"/>
    <n v="-2.4E-2"/>
    <n v="2.9999999999999997E-4"/>
    <n v="-1.0404"/>
    <n v="0.44919999999999999"/>
    <n v="-1.8599999999999998E-2"/>
    <n v="1"/>
    <n v="1.35"/>
    <n v="21"/>
    <n v="1.45"/>
    <n v="0"/>
    <n v="0"/>
    <n v="2.0779999999999998"/>
    <n v="253"/>
    <n v="0"/>
  </r>
  <r>
    <x v="0"/>
    <x v="0"/>
    <s v="SPXW"/>
    <x v="4"/>
    <x v="132"/>
    <s v="p"/>
    <n v="1.65"/>
    <n v="3.8"/>
    <n v="1.2"/>
    <n v="1.4"/>
    <n v="310"/>
    <n v="128"/>
    <n v="1.65"/>
    <n v="26"/>
    <n v="1.75"/>
    <n v="0"/>
    <n v="0"/>
    <n v="0"/>
    <n v="0"/>
    <n v="0.248"/>
    <n v="-2.47E-2"/>
    <n v="2.9999999999999997E-4"/>
    <n v="-1.0658000000000001"/>
    <n v="0.46150000000000002"/>
    <n v="-1.9199999999999998E-2"/>
    <n v="1"/>
    <n v="1.4"/>
    <n v="21"/>
    <n v="1.5"/>
    <n v="0"/>
    <n v="0"/>
    <n v="2.0640000000000001"/>
    <n v="134"/>
    <n v="0"/>
  </r>
  <r>
    <x v="0"/>
    <x v="0"/>
    <s v="SPXW"/>
    <x v="4"/>
    <x v="133"/>
    <s v="p"/>
    <n v="1.7"/>
    <n v="4.3899999999999997"/>
    <n v="1.25"/>
    <n v="1.5"/>
    <n v="1642"/>
    <n v="248"/>
    <n v="1.7"/>
    <n v="206"/>
    <n v="1.85"/>
    <n v="0"/>
    <n v="0"/>
    <n v="0"/>
    <n v="0"/>
    <n v="0.24590000000000001"/>
    <n v="-2.5600000000000001E-2"/>
    <n v="2.9999999999999997E-4"/>
    <n v="-1.0906"/>
    <n v="0.47420000000000001"/>
    <n v="-1.9900000000000001E-2"/>
    <n v="33"/>
    <n v="1.45"/>
    <n v="105"/>
    <n v="1.6"/>
    <n v="0"/>
    <n v="0"/>
    <n v="1.6025"/>
    <n v="2026"/>
    <n v="0"/>
  </r>
  <r>
    <x v="0"/>
    <x v="0"/>
    <s v="SPXW"/>
    <x v="4"/>
    <x v="134"/>
    <s v="p"/>
    <n v="1.77"/>
    <n v="3.6"/>
    <n v="1.45"/>
    <n v="2"/>
    <n v="67"/>
    <n v="69"/>
    <n v="1.8"/>
    <n v="149"/>
    <n v="1.9"/>
    <n v="0"/>
    <n v="0"/>
    <n v="0"/>
    <n v="0"/>
    <n v="0.24490000000000001"/>
    <n v="-2.6599999999999999E-2"/>
    <n v="2.9999999999999997E-4"/>
    <n v="-1.1291"/>
    <n v="0.4899"/>
    <n v="-2.07E-2"/>
    <n v="33"/>
    <n v="1.5"/>
    <n v="68"/>
    <n v="1.65"/>
    <n v="0"/>
    <n v="0"/>
    <n v="1.6706000000000001"/>
    <n v="127"/>
    <n v="0"/>
  </r>
  <r>
    <x v="0"/>
    <x v="0"/>
    <s v="SPXW"/>
    <x v="4"/>
    <x v="135"/>
    <s v="p"/>
    <n v="1.7"/>
    <n v="3.2"/>
    <n v="1.4"/>
    <n v="2.1"/>
    <n v="55"/>
    <n v="101"/>
    <n v="1.85"/>
    <n v="170"/>
    <n v="2"/>
    <n v="0"/>
    <n v="0"/>
    <n v="0"/>
    <n v="0"/>
    <n v="0.24340000000000001"/>
    <n v="-2.7699999999999999E-2"/>
    <n v="2.9999999999999997E-4"/>
    <n v="-1.1667000000000001"/>
    <n v="0.50619999999999998"/>
    <n v="-2.1600000000000001E-2"/>
    <n v="1"/>
    <n v="1.6"/>
    <n v="46"/>
    <n v="1.7"/>
    <n v="0"/>
    <n v="0"/>
    <n v="2.0249000000000001"/>
    <n v="254"/>
    <n v="0"/>
  </r>
  <r>
    <x v="0"/>
    <x v="0"/>
    <s v="SPXW"/>
    <x v="4"/>
    <x v="136"/>
    <s v="p"/>
    <n v="1.85"/>
    <n v="3.7"/>
    <n v="1.5"/>
    <n v="1.67"/>
    <n v="208"/>
    <n v="27"/>
    <n v="1.95"/>
    <n v="151"/>
    <n v="2.0499999999999998"/>
    <n v="0"/>
    <n v="0"/>
    <n v="0"/>
    <n v="0"/>
    <n v="0.24199999999999999"/>
    <n v="-2.8799999999999999E-2"/>
    <n v="4.0000000000000002E-4"/>
    <n v="-1.2039"/>
    <n v="0.52249999999999996"/>
    <n v="-2.24E-2"/>
    <n v="1"/>
    <n v="1.65"/>
    <n v="98"/>
    <n v="1.8"/>
    <n v="0"/>
    <n v="0"/>
    <n v="2.3441000000000001"/>
    <n v="117"/>
    <n v="0"/>
  </r>
  <r>
    <x v="0"/>
    <x v="0"/>
    <s v="SPXW"/>
    <x v="4"/>
    <x v="137"/>
    <s v="p"/>
    <n v="1.9"/>
    <n v="3.6"/>
    <n v="1.48"/>
    <n v="1.74"/>
    <n v="120"/>
    <n v="157"/>
    <n v="2"/>
    <n v="213"/>
    <n v="2.15"/>
    <n v="0"/>
    <n v="0"/>
    <n v="0"/>
    <n v="0"/>
    <n v="0.2404"/>
    <n v="-2.9899999999999999E-2"/>
    <n v="4.0000000000000002E-4"/>
    <n v="-1.2404999999999999"/>
    <n v="0.53910000000000002"/>
    <n v="-2.3300000000000001E-2"/>
    <n v="36"/>
    <n v="1.7"/>
    <n v="47"/>
    <n v="1.85"/>
    <n v="0"/>
    <n v="0"/>
    <n v="2.569"/>
    <n v="227"/>
    <n v="0"/>
  </r>
  <r>
    <x v="0"/>
    <x v="0"/>
    <s v="SPXW"/>
    <x v="4"/>
    <x v="138"/>
    <s v="p"/>
    <n v="1.9"/>
    <n v="4.49"/>
    <n v="1.5"/>
    <n v="1.8"/>
    <n v="250"/>
    <n v="123"/>
    <n v="2.1"/>
    <n v="129"/>
    <n v="2.2000000000000002"/>
    <n v="0"/>
    <n v="0"/>
    <n v="0"/>
    <n v="0"/>
    <n v="0.23910000000000001"/>
    <n v="-3.1300000000000001E-2"/>
    <n v="4.0000000000000002E-4"/>
    <n v="-1.2894000000000001"/>
    <n v="0.55979999999999996"/>
    <n v="-2.4400000000000002E-2"/>
    <n v="1"/>
    <n v="1.8"/>
    <n v="101"/>
    <n v="1.95"/>
    <n v="0"/>
    <n v="0"/>
    <n v="2.2985000000000002"/>
    <n v="1629"/>
    <n v="0"/>
  </r>
  <r>
    <x v="0"/>
    <x v="0"/>
    <s v="SPXW"/>
    <x v="4"/>
    <x v="139"/>
    <s v="p"/>
    <n v="2"/>
    <n v="6"/>
    <n v="1.65"/>
    <n v="2.13"/>
    <n v="250"/>
    <n v="100"/>
    <n v="2.2000000000000002"/>
    <n v="172"/>
    <n v="2.2999999999999998"/>
    <n v="0"/>
    <n v="0"/>
    <n v="0"/>
    <n v="0"/>
    <n v="0.23749999999999999"/>
    <n v="-3.2500000000000001E-2"/>
    <n v="4.0000000000000002E-4"/>
    <n v="-1.3249"/>
    <n v="0.57630000000000003"/>
    <n v="-2.53E-2"/>
    <n v="33"/>
    <n v="1.85"/>
    <n v="35"/>
    <n v="2"/>
    <n v="0"/>
    <n v="0"/>
    <n v="3.0287999999999999"/>
    <n v="591"/>
    <n v="0"/>
  </r>
  <r>
    <x v="0"/>
    <x v="0"/>
    <s v="SPXW"/>
    <x v="4"/>
    <x v="140"/>
    <s v="p"/>
    <n v="2.0499999999999998"/>
    <n v="4.3"/>
    <n v="1.85"/>
    <n v="2"/>
    <n v="58"/>
    <n v="190"/>
    <n v="2.25"/>
    <n v="166"/>
    <n v="2.4"/>
    <n v="0"/>
    <n v="0"/>
    <n v="0"/>
    <n v="0"/>
    <n v="0.23619999999999999"/>
    <n v="-3.39E-2"/>
    <n v="4.0000000000000002E-4"/>
    <n v="-1.3724000000000001"/>
    <n v="0.59689999999999999"/>
    <n v="-2.64E-2"/>
    <n v="37"/>
    <n v="1.95"/>
    <n v="63"/>
    <n v="2.1"/>
    <n v="0"/>
    <n v="0"/>
    <n v="2.8393000000000002"/>
    <n v="300"/>
    <n v="0"/>
  </r>
  <r>
    <x v="0"/>
    <x v="0"/>
    <s v="SPXW"/>
    <x v="4"/>
    <x v="141"/>
    <s v="p"/>
    <n v="1.97"/>
    <n v="5.8"/>
    <n v="1.87"/>
    <n v="2.04"/>
    <n v="184"/>
    <n v="184"/>
    <n v="2.35"/>
    <n v="165"/>
    <n v="2.5"/>
    <n v="0"/>
    <n v="0"/>
    <n v="0"/>
    <n v="0"/>
    <n v="0.23480000000000001"/>
    <n v="-3.5299999999999998E-2"/>
    <n v="4.0000000000000002E-4"/>
    <n v="-1.4191"/>
    <n v="0.61729999999999996"/>
    <n v="-2.75E-2"/>
    <n v="1"/>
    <n v="2.0499999999999998"/>
    <n v="66"/>
    <n v="2.2000000000000002"/>
    <n v="0"/>
    <n v="0"/>
    <n v="2.9742999999999999"/>
    <n v="480"/>
    <n v="0"/>
  </r>
  <r>
    <x v="0"/>
    <x v="0"/>
    <s v="SPXW"/>
    <x v="4"/>
    <x v="142"/>
    <s v="p"/>
    <n v="2.25"/>
    <n v="4.9000000000000004"/>
    <n v="1.8"/>
    <n v="2.2000000000000002"/>
    <n v="662"/>
    <n v="11"/>
    <n v="2.5"/>
    <n v="91"/>
    <n v="2.6"/>
    <n v="0"/>
    <n v="0"/>
    <n v="0"/>
    <n v="0"/>
    <n v="0.2334"/>
    <n v="-3.6799999999999999E-2"/>
    <n v="5.0000000000000001E-4"/>
    <n v="-1.4650000000000001"/>
    <n v="0.63759999999999994"/>
    <n v="-2.87E-2"/>
    <n v="1"/>
    <n v="2.15"/>
    <n v="65"/>
    <n v="2.2999999999999998"/>
    <n v="0"/>
    <n v="0"/>
    <n v="2.3180000000000001"/>
    <n v="3064"/>
    <n v="0"/>
  </r>
  <r>
    <x v="0"/>
    <x v="0"/>
    <s v="SPXW"/>
    <x v="4"/>
    <x v="143"/>
    <s v="p"/>
    <n v="2.5"/>
    <n v="6.8"/>
    <n v="1.75"/>
    <n v="2.25"/>
    <n v="1633"/>
    <n v="84"/>
    <n v="2.6"/>
    <n v="113"/>
    <n v="2.7"/>
    <n v="0"/>
    <n v="0"/>
    <n v="0"/>
    <n v="0"/>
    <n v="0.23130000000000001"/>
    <n v="-3.7999999999999999E-2"/>
    <n v="5.0000000000000001E-4"/>
    <n v="-1.4979"/>
    <n v="0.65459999999999996"/>
    <n v="-2.9700000000000001E-2"/>
    <n v="1"/>
    <n v="2.25"/>
    <n v="88"/>
    <n v="2.4"/>
    <n v="0"/>
    <n v="0"/>
    <n v="2.7033"/>
    <n v="3285"/>
    <n v="0"/>
  </r>
  <r>
    <x v="0"/>
    <x v="0"/>
    <s v="SPXW"/>
    <x v="4"/>
    <x v="144"/>
    <s v="p"/>
    <n v="2.15"/>
    <n v="5.6"/>
    <n v="2.15"/>
    <n v="2.4"/>
    <n v="151"/>
    <n v="113"/>
    <n v="2.7"/>
    <n v="138"/>
    <n v="2.85"/>
    <n v="0"/>
    <n v="0"/>
    <n v="0"/>
    <n v="0"/>
    <n v="0.2306"/>
    <n v="-0.04"/>
    <n v="5.0000000000000001E-4"/>
    <n v="-1.5665"/>
    <n v="0.68130000000000002"/>
    <n v="-3.1199999999999999E-2"/>
    <n v="23"/>
    <n v="2.35"/>
    <n v="42"/>
    <n v="2.5"/>
    <n v="0"/>
    <n v="0"/>
    <n v="3.5901000000000001"/>
    <n v="173"/>
    <n v="0"/>
  </r>
  <r>
    <x v="0"/>
    <x v="0"/>
    <s v="SPXW"/>
    <x v="4"/>
    <x v="145"/>
    <s v="p"/>
    <n v="2.48"/>
    <n v="5.6"/>
    <n v="1.95"/>
    <n v="2.5"/>
    <n v="204"/>
    <n v="10"/>
    <n v="2.85"/>
    <n v="84"/>
    <n v="2.95"/>
    <n v="0"/>
    <n v="0"/>
    <n v="0"/>
    <n v="0"/>
    <n v="0.2293"/>
    <n v="-4.1799999999999997E-2"/>
    <n v="5.0000000000000001E-4"/>
    <n v="-1.6216999999999999"/>
    <n v="0.70479999999999998"/>
    <n v="-3.2599999999999997E-2"/>
    <n v="65"/>
    <n v="2.4500000000000002"/>
    <n v="110"/>
    <n v="2.65"/>
    <n v="0"/>
    <n v="0"/>
    <n v="3.1126"/>
    <n v="783"/>
    <n v="0"/>
  </r>
  <r>
    <x v="0"/>
    <x v="0"/>
    <s v="SPXW"/>
    <x v="4"/>
    <x v="146"/>
    <s v="p"/>
    <n v="2.35"/>
    <n v="6.09"/>
    <n v="2.0499999999999998"/>
    <n v="2.81"/>
    <n v="51"/>
    <n v="121"/>
    <n v="2.95"/>
    <n v="134"/>
    <n v="3.1"/>
    <n v="0"/>
    <n v="0"/>
    <n v="0"/>
    <n v="0"/>
    <n v="0.22819999999999999"/>
    <n v="-4.3799999999999999E-2"/>
    <n v="5.0000000000000001E-4"/>
    <n v="-1.6877"/>
    <n v="0.73170000000000002"/>
    <n v="-3.4200000000000001E-2"/>
    <n v="18"/>
    <n v="2.6"/>
    <n v="73"/>
    <n v="2.75"/>
    <n v="0"/>
    <n v="0"/>
    <n v="3.992"/>
    <n v="327"/>
    <n v="0"/>
  </r>
  <r>
    <x v="0"/>
    <x v="0"/>
    <s v="SPXW"/>
    <x v="4"/>
    <x v="147"/>
    <s v="p"/>
    <n v="2.87"/>
    <n v="6.92"/>
    <n v="2.11"/>
    <n v="2.85"/>
    <n v="139"/>
    <n v="90"/>
    <n v="3.1"/>
    <n v="20"/>
    <n v="3.2"/>
    <n v="0"/>
    <n v="0"/>
    <n v="0"/>
    <n v="0"/>
    <n v="0.22670000000000001"/>
    <n v="-4.5600000000000002E-2"/>
    <n v="5.9999999999999995E-4"/>
    <n v="-1.7408999999999999"/>
    <n v="0.75549999999999995"/>
    <n v="-3.56E-2"/>
    <n v="65"/>
    <n v="2.7"/>
    <n v="91"/>
    <n v="2.9"/>
    <n v="0"/>
    <n v="0"/>
    <n v="4.1056999999999997"/>
    <n v="308"/>
    <n v="0"/>
  </r>
  <r>
    <x v="0"/>
    <x v="0"/>
    <s v="SPXW"/>
    <x v="4"/>
    <x v="148"/>
    <s v="p"/>
    <n v="2.97"/>
    <n v="7.17"/>
    <n v="2.15"/>
    <n v="2.9"/>
    <n v="389"/>
    <n v="208"/>
    <n v="3.2"/>
    <n v="138"/>
    <n v="3.4"/>
    <n v="0"/>
    <n v="0"/>
    <n v="0"/>
    <n v="0"/>
    <n v="0.22550000000000001"/>
    <n v="-4.7699999999999999E-2"/>
    <n v="5.9999999999999995E-4"/>
    <n v="-1.8042"/>
    <n v="0.78249999999999997"/>
    <n v="-3.7199999999999997E-2"/>
    <n v="54"/>
    <n v="2.85"/>
    <n v="115"/>
    <n v="3.1"/>
    <n v="0"/>
    <n v="0"/>
    <n v="4.8151000000000002"/>
    <n v="796"/>
    <n v="0"/>
  </r>
  <r>
    <x v="0"/>
    <x v="0"/>
    <s v="SPXW"/>
    <x v="4"/>
    <x v="149"/>
    <s v="p"/>
    <n v="3.03"/>
    <n v="6.7"/>
    <n v="2.27"/>
    <n v="3.1"/>
    <n v="349"/>
    <n v="92"/>
    <n v="3.4"/>
    <n v="20"/>
    <n v="3.5"/>
    <n v="0"/>
    <n v="0"/>
    <n v="0"/>
    <n v="0"/>
    <n v="0.22409999999999999"/>
    <n v="-4.9799999999999997E-2"/>
    <n v="5.9999999999999995E-4"/>
    <n v="-1.8664000000000001"/>
    <n v="0.80969999999999998"/>
    <n v="-3.8899999999999997E-2"/>
    <n v="54"/>
    <n v="3"/>
    <n v="96"/>
    <n v="3.2"/>
    <n v="0"/>
    <n v="0"/>
    <n v="4.1165000000000003"/>
    <n v="453"/>
    <n v="0"/>
  </r>
  <r>
    <x v="0"/>
    <x v="0"/>
    <s v="SPXW"/>
    <x v="4"/>
    <x v="150"/>
    <s v="p"/>
    <n v="2.85"/>
    <n v="7.7"/>
    <n v="2.38"/>
    <n v="3.2"/>
    <n v="149"/>
    <n v="252"/>
    <n v="3.5"/>
    <n v="77"/>
    <n v="3.7"/>
    <n v="0"/>
    <n v="0"/>
    <n v="0"/>
    <n v="0"/>
    <n v="0.2225"/>
    <n v="-5.1900000000000002E-2"/>
    <n v="5.9999999999999995E-4"/>
    <n v="-1.9266000000000001"/>
    <n v="0.83699999999999997"/>
    <n v="-4.0599999999999997E-2"/>
    <n v="123"/>
    <n v="3.1"/>
    <n v="119"/>
    <n v="3.4"/>
    <n v="0"/>
    <n v="0"/>
    <n v="4.18"/>
    <n v="224"/>
    <n v="0"/>
  </r>
  <r>
    <x v="0"/>
    <x v="0"/>
    <s v="SPXW"/>
    <x v="4"/>
    <x v="151"/>
    <s v="p"/>
    <n v="3.4"/>
    <n v="7.85"/>
    <n v="2.41"/>
    <n v="3.3"/>
    <n v="1102"/>
    <n v="155"/>
    <n v="3.7"/>
    <n v="87"/>
    <n v="3.9"/>
    <n v="0"/>
    <n v="0"/>
    <n v="0"/>
    <n v="0"/>
    <n v="0.2218"/>
    <n v="-5.45E-2"/>
    <n v="6.9999999999999999E-4"/>
    <n v="-2.0082"/>
    <n v="0.86909999999999998"/>
    <n v="-4.2700000000000002E-2"/>
    <n v="54"/>
    <n v="3.3"/>
    <n v="52"/>
    <n v="3.5"/>
    <n v="0"/>
    <n v="0"/>
    <n v="3.7696000000000001"/>
    <n v="586"/>
    <n v="0"/>
  </r>
  <r>
    <x v="0"/>
    <x v="0"/>
    <s v="SPXW"/>
    <x v="4"/>
    <x v="152"/>
    <s v="p"/>
    <n v="3.4"/>
    <n v="8.3000000000000007"/>
    <n v="2.58"/>
    <n v="3.7"/>
    <n v="178"/>
    <n v="112"/>
    <n v="3.9"/>
    <n v="105"/>
    <n v="4.0999999999999996"/>
    <n v="0"/>
    <n v="0"/>
    <n v="0"/>
    <n v="0"/>
    <n v="0.22070000000000001"/>
    <n v="-5.7200000000000001E-2"/>
    <n v="6.9999999999999999E-4"/>
    <n v="-2.0872999999999999"/>
    <n v="0.90110000000000001"/>
    <n v="-4.48E-2"/>
    <n v="19"/>
    <n v="3.5"/>
    <n v="78"/>
    <n v="3.7"/>
    <n v="0"/>
    <n v="0"/>
    <n v="5.3518999999999997"/>
    <n v="485"/>
    <n v="0"/>
  </r>
  <r>
    <x v="0"/>
    <x v="0"/>
    <s v="SPXW"/>
    <x v="4"/>
    <x v="153"/>
    <s v="p"/>
    <n v="3.69"/>
    <n v="8.4499999999999993"/>
    <n v="2.5299999999999998"/>
    <n v="3.7"/>
    <n v="3672"/>
    <n v="94"/>
    <n v="4.0999999999999996"/>
    <n v="99"/>
    <n v="4.3"/>
    <n v="0"/>
    <n v="0"/>
    <n v="0"/>
    <n v="0"/>
    <n v="0.2195"/>
    <n v="-5.9799999999999999E-2"/>
    <n v="6.9999999999999999E-4"/>
    <n v="-2.1644999999999999"/>
    <n v="0.93289999999999995"/>
    <n v="-4.6899999999999997E-2"/>
    <n v="17"/>
    <n v="3.7"/>
    <n v="85"/>
    <n v="3.9"/>
    <n v="0"/>
    <n v="0"/>
    <n v="4.0564999999999998"/>
    <n v="3004"/>
    <n v="0"/>
  </r>
  <r>
    <x v="0"/>
    <x v="0"/>
    <s v="SPXW"/>
    <x v="4"/>
    <x v="154"/>
    <s v="p"/>
    <n v="3.7"/>
    <n v="8.3000000000000007"/>
    <n v="2.78"/>
    <n v="3.97"/>
    <n v="255"/>
    <n v="67"/>
    <n v="4.3"/>
    <n v="80"/>
    <n v="4.5"/>
    <n v="0"/>
    <n v="0"/>
    <n v="0"/>
    <n v="0"/>
    <n v="0.21829999999999999"/>
    <n v="-6.25E-2"/>
    <n v="6.9999999999999999E-4"/>
    <n v="-2.2399"/>
    <n v="0.9647"/>
    <n v="-4.9000000000000002E-2"/>
    <n v="81"/>
    <n v="3.8"/>
    <n v="68"/>
    <n v="4.0999999999999996"/>
    <n v="0"/>
    <n v="0"/>
    <n v="5.1403999999999996"/>
    <n v="249"/>
    <n v="0"/>
  </r>
  <r>
    <x v="0"/>
    <x v="0"/>
    <s v="SPXW"/>
    <x v="4"/>
    <x v="155"/>
    <s v="p"/>
    <n v="3.95"/>
    <n v="9.4"/>
    <n v="2.87"/>
    <n v="4.2"/>
    <n v="923"/>
    <n v="76"/>
    <n v="4.5"/>
    <n v="58"/>
    <n v="4.7"/>
    <n v="0"/>
    <n v="0"/>
    <n v="0"/>
    <n v="0"/>
    <n v="0.2167"/>
    <n v="-6.5299999999999997E-2"/>
    <n v="8.0000000000000004E-4"/>
    <n v="-2.3129"/>
    <n v="0.99709999999999999"/>
    <n v="-5.1200000000000002E-2"/>
    <n v="14"/>
    <n v="4.0999999999999996"/>
    <n v="62"/>
    <n v="4.3"/>
    <n v="0"/>
    <n v="0"/>
    <n v="7.0728"/>
    <n v="483"/>
    <n v="0"/>
  </r>
  <r>
    <x v="0"/>
    <x v="0"/>
    <s v="SPXW"/>
    <x v="4"/>
    <x v="156"/>
    <s v="p"/>
    <n v="4.5"/>
    <n v="9.1"/>
    <n v="3.1"/>
    <n v="4.18"/>
    <n v="322"/>
    <n v="9"/>
    <n v="4.8"/>
    <n v="38"/>
    <n v="4.9000000000000004"/>
    <n v="0"/>
    <n v="0"/>
    <n v="0"/>
    <n v="0"/>
    <n v="0.21529999999999999"/>
    <n v="-6.8099999999999994E-2"/>
    <n v="8.0000000000000004E-4"/>
    <n v="-2.3843999999999999"/>
    <n v="1.0290999999999999"/>
    <n v="-5.33E-2"/>
    <n v="16"/>
    <n v="4.3"/>
    <n v="44"/>
    <n v="4.5"/>
    <n v="0"/>
    <n v="0"/>
    <n v="6.0666000000000002"/>
    <n v="323"/>
    <n v="0"/>
  </r>
  <r>
    <x v="0"/>
    <x v="0"/>
    <s v="SPXW"/>
    <x v="4"/>
    <x v="157"/>
    <s v="p"/>
    <n v="4.47"/>
    <n v="9.82"/>
    <n v="3.2"/>
    <n v="4.6100000000000003"/>
    <n v="1150"/>
    <n v="35"/>
    <n v="5"/>
    <n v="76"/>
    <n v="5.2"/>
    <n v="0"/>
    <n v="0"/>
    <n v="0"/>
    <n v="0"/>
    <n v="0.2142"/>
    <n v="-7.1400000000000005E-2"/>
    <n v="8.0000000000000004E-4"/>
    <n v="-2.4737"/>
    <n v="1.0664"/>
    <n v="-5.5899999999999998E-2"/>
    <n v="52"/>
    <n v="4.5"/>
    <n v="73"/>
    <n v="4.8"/>
    <n v="0"/>
    <n v="0"/>
    <n v="7.5678999999999998"/>
    <n v="356"/>
    <n v="0"/>
  </r>
  <r>
    <x v="0"/>
    <x v="0"/>
    <s v="SPXW"/>
    <x v="4"/>
    <x v="158"/>
    <s v="p"/>
    <n v="4.24"/>
    <n v="10"/>
    <n v="3.1"/>
    <n v="4.8"/>
    <n v="1587"/>
    <n v="8"/>
    <n v="5.3"/>
    <n v="51"/>
    <n v="5.4"/>
    <n v="0"/>
    <n v="0"/>
    <n v="0"/>
    <n v="0"/>
    <n v="0.21299999999999999"/>
    <n v="-7.4700000000000003E-2"/>
    <n v="8.9999999999999998E-4"/>
    <n v="-2.5602999999999998"/>
    <n v="1.1032"/>
    <n v="-5.8599999999999999E-2"/>
    <n v="114"/>
    <n v="4.7"/>
    <n v="79"/>
    <n v="5"/>
    <n v="0"/>
    <n v="0"/>
    <n v="7.3403999999999998"/>
    <n v="1932"/>
    <n v="0"/>
  </r>
  <r>
    <x v="0"/>
    <x v="0"/>
    <s v="SPXW"/>
    <x v="4"/>
    <x v="159"/>
    <s v="p"/>
    <n v="4.71"/>
    <n v="10.32"/>
    <n v="3.38"/>
    <n v="5.09"/>
    <n v="921"/>
    <n v="57"/>
    <n v="5.5"/>
    <n v="51"/>
    <n v="5.7"/>
    <n v="0"/>
    <n v="0"/>
    <n v="0"/>
    <n v="0"/>
    <n v="0.2122"/>
    <n v="-7.8399999999999997E-2"/>
    <n v="8.9999999999999998E-4"/>
    <n v="-2.6638999999999999"/>
    <n v="1.1435999999999999"/>
    <n v="-6.1600000000000002E-2"/>
    <n v="47"/>
    <n v="5"/>
    <n v="73"/>
    <n v="5.3"/>
    <n v="0"/>
    <n v="0"/>
    <n v="6.1826999999999996"/>
    <n v="859"/>
    <n v="0"/>
  </r>
  <r>
    <x v="0"/>
    <x v="0"/>
    <s v="SPXW"/>
    <x v="4"/>
    <x v="160"/>
    <s v="p"/>
    <n v="5.0999999999999996"/>
    <n v="10.9"/>
    <n v="3.5"/>
    <n v="5.42"/>
    <n v="957"/>
    <n v="30"/>
    <n v="5.8"/>
    <n v="57"/>
    <n v="6"/>
    <n v="0"/>
    <n v="0"/>
    <n v="0"/>
    <n v="0"/>
    <n v="0.21110000000000001"/>
    <n v="-8.2299999999999998E-2"/>
    <n v="1E-3"/>
    <n v="-2.7631000000000001"/>
    <n v="1.1842999999999999"/>
    <n v="-6.4600000000000005E-2"/>
    <n v="13"/>
    <n v="5.3"/>
    <n v="38"/>
    <n v="5.5"/>
    <n v="0"/>
    <n v="0"/>
    <n v="5.9046000000000003"/>
    <n v="248"/>
    <n v="0"/>
  </r>
  <r>
    <x v="0"/>
    <x v="0"/>
    <s v="SPXW"/>
    <x v="4"/>
    <x v="161"/>
    <s v="p"/>
    <n v="5.23"/>
    <n v="13.13"/>
    <n v="3.7"/>
    <n v="5.7"/>
    <n v="498"/>
    <n v="30"/>
    <n v="6.1"/>
    <n v="23"/>
    <n v="6.2"/>
    <n v="0"/>
    <n v="0"/>
    <n v="0"/>
    <n v="0"/>
    <n v="0.20949999999999999"/>
    <n v="-8.5699999999999998E-2"/>
    <n v="1E-3"/>
    <n v="-2.8416000000000001"/>
    <n v="1.2196"/>
    <n v="-6.7299999999999999E-2"/>
    <n v="75"/>
    <n v="5.5"/>
    <n v="37"/>
    <n v="5.8"/>
    <n v="0"/>
    <n v="0"/>
    <n v="7.0090000000000003"/>
    <n v="491"/>
    <n v="0"/>
  </r>
  <r>
    <x v="0"/>
    <x v="0"/>
    <s v="SPXW"/>
    <x v="4"/>
    <x v="162"/>
    <s v="p"/>
    <n v="5.17"/>
    <n v="13.14"/>
    <n v="3.9"/>
    <n v="5.88"/>
    <n v="250"/>
    <n v="53"/>
    <n v="6.4"/>
    <n v="49"/>
    <n v="6.6"/>
    <n v="0"/>
    <n v="0"/>
    <n v="0"/>
    <n v="0"/>
    <n v="0.2082"/>
    <n v="-8.9599999999999999E-2"/>
    <n v="1E-3"/>
    <n v="-2.9355000000000002"/>
    <n v="1.2595000000000001"/>
    <n v="-7.0400000000000004E-2"/>
    <n v="28"/>
    <n v="5.9"/>
    <n v="38"/>
    <n v="6.1"/>
    <n v="0"/>
    <n v="0"/>
    <n v="7.2587000000000002"/>
    <n v="398"/>
    <n v="0"/>
  </r>
  <r>
    <x v="0"/>
    <x v="0"/>
    <s v="SPXW"/>
    <x v="4"/>
    <x v="163"/>
    <s v="p"/>
    <n v="6"/>
    <n v="14"/>
    <n v="3.78"/>
    <n v="6.2"/>
    <n v="4419"/>
    <n v="88"/>
    <n v="6.7"/>
    <n v="48"/>
    <n v="6.9"/>
    <n v="0"/>
    <n v="0"/>
    <n v="0"/>
    <n v="0"/>
    <n v="0.20730000000000001"/>
    <n v="-9.3899999999999997E-2"/>
    <n v="1.1000000000000001E-3"/>
    <n v="-3.0436000000000001"/>
    <n v="1.3035000000000001"/>
    <n v="-7.3800000000000004E-2"/>
    <n v="46"/>
    <n v="6.2"/>
    <n v="23"/>
    <n v="6.4"/>
    <n v="0"/>
    <n v="0"/>
    <n v="6.5740999999999996"/>
    <n v="5283"/>
    <n v="0"/>
  </r>
  <r>
    <x v="0"/>
    <x v="0"/>
    <s v="SPXW"/>
    <x v="4"/>
    <x v="164"/>
    <s v="p"/>
    <n v="5.5"/>
    <n v="12.5"/>
    <n v="4.13"/>
    <n v="7.12"/>
    <n v="2377"/>
    <n v="23"/>
    <n v="7.1"/>
    <n v="53"/>
    <n v="7.3"/>
    <n v="0"/>
    <n v="0"/>
    <n v="0"/>
    <n v="0"/>
    <n v="0.20610000000000001"/>
    <n v="-9.8400000000000001E-2"/>
    <n v="1.1000000000000001E-3"/>
    <n v="-3.1478999999999999"/>
    <n v="1.3474999999999999"/>
    <n v="-7.7299999999999994E-2"/>
    <n v="58"/>
    <n v="6.5"/>
    <n v="16"/>
    <n v="6.7"/>
    <n v="0"/>
    <n v="0"/>
    <n v="6.8986000000000001"/>
    <n v="340"/>
    <n v="0"/>
  </r>
  <r>
    <x v="0"/>
    <x v="0"/>
    <s v="SPXW"/>
    <x v="4"/>
    <x v="165"/>
    <s v="p"/>
    <n v="5.91"/>
    <n v="15.14"/>
    <n v="4.4000000000000004"/>
    <n v="7.15"/>
    <n v="705"/>
    <n v="85"/>
    <n v="7.4"/>
    <n v="31"/>
    <n v="7.6"/>
    <n v="0"/>
    <n v="0"/>
    <n v="0"/>
    <n v="0"/>
    <n v="0.20499999999999999"/>
    <n v="-0.1027"/>
    <n v="1.1999999999999999E-3"/>
    <n v="-3.2490999999999999"/>
    <n v="1.3900999999999999"/>
    <n v="-8.0799999999999997E-2"/>
    <n v="32"/>
    <n v="6.9"/>
    <n v="23"/>
    <n v="7.1"/>
    <n v="0"/>
    <n v="0"/>
    <n v="7.1599000000000004"/>
    <n v="621"/>
    <n v="0"/>
  </r>
  <r>
    <x v="0"/>
    <x v="0"/>
    <s v="SPXW"/>
    <x v="4"/>
    <x v="166"/>
    <s v="p"/>
    <n v="6.3"/>
    <n v="13.35"/>
    <n v="4.54"/>
    <n v="7.5"/>
    <n v="411"/>
    <n v="68"/>
    <n v="7.8"/>
    <n v="29"/>
    <n v="8"/>
    <n v="0"/>
    <n v="0"/>
    <n v="0"/>
    <n v="0"/>
    <n v="0.20399999999999999"/>
    <n v="-0.1076"/>
    <n v="1.1999999999999999E-3"/>
    <n v="-3.3622000000000001"/>
    <n v="1.4365000000000001"/>
    <n v="-8.48E-2"/>
    <n v="63"/>
    <n v="7.2"/>
    <n v="28"/>
    <n v="7.5"/>
    <n v="0"/>
    <n v="0"/>
    <n v="7.8506999999999998"/>
    <n v="622"/>
    <n v="0"/>
  </r>
  <r>
    <x v="0"/>
    <x v="0"/>
    <s v="SPXW"/>
    <x v="4"/>
    <x v="167"/>
    <s v="p"/>
    <n v="6.51"/>
    <n v="16"/>
    <n v="4.6500000000000004"/>
    <n v="7.8"/>
    <n v="440"/>
    <n v="66"/>
    <n v="8.1999999999999993"/>
    <n v="29"/>
    <n v="8.4"/>
    <n v="0"/>
    <n v="0"/>
    <n v="0"/>
    <n v="0"/>
    <n v="0.20280000000000001"/>
    <n v="-0.11260000000000001"/>
    <n v="1.1999999999999999E-3"/>
    <n v="-3.4706999999999999"/>
    <n v="1.4818"/>
    <n v="-8.8700000000000001E-2"/>
    <n v="53"/>
    <n v="7.6"/>
    <n v="44"/>
    <n v="7.9"/>
    <n v="0"/>
    <n v="0"/>
    <n v="7.7941000000000003"/>
    <n v="773"/>
    <n v="0"/>
  </r>
  <r>
    <x v="0"/>
    <x v="0"/>
    <s v="SPXW"/>
    <x v="4"/>
    <x v="168"/>
    <s v="p"/>
    <n v="6.86"/>
    <n v="15.52"/>
    <n v="4.8099999999999996"/>
    <n v="8.1"/>
    <n v="1079"/>
    <n v="6"/>
    <n v="8.6999999999999993"/>
    <n v="9"/>
    <n v="8.8000000000000007"/>
    <n v="0"/>
    <n v="0"/>
    <n v="0"/>
    <n v="0"/>
    <n v="0.2014"/>
    <n v="-0.1177"/>
    <n v="1.2999999999999999E-3"/>
    <n v="-3.5737000000000001"/>
    <n v="1.5271999999999999"/>
    <n v="-9.2700000000000005E-2"/>
    <n v="39"/>
    <n v="8.1"/>
    <n v="31"/>
    <n v="8.3000000000000007"/>
    <n v="0"/>
    <n v="0"/>
    <n v="7.7732999999999999"/>
    <n v="1163"/>
    <n v="0"/>
  </r>
  <r>
    <x v="0"/>
    <x v="0"/>
    <s v="SPXW"/>
    <x v="4"/>
    <x v="169"/>
    <s v="p"/>
    <n v="7.48"/>
    <n v="15.35"/>
    <n v="5.08"/>
    <n v="8.7100000000000009"/>
    <n v="205"/>
    <n v="33"/>
    <n v="9.1"/>
    <n v="42"/>
    <n v="9.3000000000000007"/>
    <n v="0"/>
    <n v="0"/>
    <n v="0"/>
    <n v="0"/>
    <n v="0.2006"/>
    <n v="-0.1236"/>
    <n v="1.2999999999999999E-3"/>
    <n v="-3.7037"/>
    <n v="1.5783"/>
    <n v="-9.7299999999999998E-2"/>
    <n v="33"/>
    <n v="8.5"/>
    <n v="15"/>
    <n v="8.6999999999999993"/>
    <n v="0"/>
    <n v="0"/>
    <n v="8.5282"/>
    <n v="643"/>
    <n v="0"/>
  </r>
  <r>
    <x v="0"/>
    <x v="0"/>
    <s v="SPXW"/>
    <x v="4"/>
    <x v="170"/>
    <s v="p"/>
    <n v="7.5"/>
    <n v="16.329999999999998"/>
    <n v="5.31"/>
    <n v="9.7799999999999994"/>
    <n v="325"/>
    <n v="33"/>
    <n v="9.6"/>
    <n v="45"/>
    <n v="9.8000000000000007"/>
    <n v="0"/>
    <n v="0"/>
    <n v="0"/>
    <n v="0"/>
    <n v="0.19900000000000001"/>
    <n v="-0.12870000000000001"/>
    <n v="1.4E-3"/>
    <n v="-3.7982999999999998"/>
    <n v="1.6227"/>
    <n v="-0.1014"/>
    <n v="21"/>
    <n v="9"/>
    <n v="27"/>
    <n v="9.1999999999999993"/>
    <n v="0"/>
    <n v="0"/>
    <n v="8.9252000000000002"/>
    <n v="440"/>
    <n v="0"/>
  </r>
  <r>
    <x v="0"/>
    <x v="0"/>
    <s v="SPXW"/>
    <x v="4"/>
    <x v="171"/>
    <s v="p"/>
    <n v="8"/>
    <n v="18.55"/>
    <n v="5.52"/>
    <n v="9.6300000000000008"/>
    <n v="673"/>
    <n v="75"/>
    <n v="10"/>
    <n v="65"/>
    <n v="10.3"/>
    <n v="0"/>
    <n v="0"/>
    <n v="0"/>
    <n v="0"/>
    <n v="0.19789999999999999"/>
    <n v="-0.13469999999999999"/>
    <n v="1.4E-3"/>
    <n v="-3.9174000000000002"/>
    <n v="1.6732"/>
    <n v="-0.1062"/>
    <n v="42"/>
    <n v="9.4"/>
    <n v="43"/>
    <n v="9.6999999999999993"/>
    <n v="0"/>
    <n v="0"/>
    <n v="9.0510999999999999"/>
    <n v="1840"/>
    <n v="0"/>
  </r>
  <r>
    <x v="0"/>
    <x v="0"/>
    <s v="SPXW"/>
    <x v="4"/>
    <x v="172"/>
    <s v="p"/>
    <n v="8.7799999999999994"/>
    <n v="16.93"/>
    <n v="5.78"/>
    <n v="10.07"/>
    <n v="1295"/>
    <n v="30"/>
    <n v="10.6"/>
    <n v="39"/>
    <n v="10.8"/>
    <n v="0"/>
    <n v="0"/>
    <n v="0"/>
    <n v="0"/>
    <n v="0.19670000000000001"/>
    <n v="-0.14069999999999999"/>
    <n v="1.5E-3"/>
    <n v="-4.0305999999999997"/>
    <n v="1.7229000000000001"/>
    <n v="-0.111"/>
    <n v="15"/>
    <n v="10"/>
    <n v="36"/>
    <n v="10.199999999999999"/>
    <n v="0"/>
    <n v="0"/>
    <n v="10.114699999999999"/>
    <n v="456"/>
    <n v="0"/>
  </r>
  <r>
    <x v="0"/>
    <x v="0"/>
    <s v="SPXW"/>
    <x v="4"/>
    <x v="173"/>
    <s v="p"/>
    <n v="8.81"/>
    <n v="21.06"/>
    <n v="6"/>
    <n v="10.5"/>
    <n v="2325"/>
    <n v="42"/>
    <n v="11.1"/>
    <n v="40"/>
    <n v="11.3"/>
    <n v="0"/>
    <n v="0"/>
    <n v="0"/>
    <n v="0"/>
    <n v="0.1958"/>
    <n v="-0.14749999999999999"/>
    <n v="1.6000000000000001E-3"/>
    <n v="-4.1654"/>
    <n v="1.7767999999999999"/>
    <n v="-0.11650000000000001"/>
    <n v="35"/>
    <n v="10.5"/>
    <n v="13"/>
    <n v="10.7"/>
    <n v="0"/>
    <n v="0"/>
    <n v="10.2897"/>
    <n v="3746"/>
    <n v="0"/>
  </r>
  <r>
    <x v="0"/>
    <x v="0"/>
    <s v="SPXW"/>
    <x v="4"/>
    <x v="174"/>
    <s v="p"/>
    <n v="9"/>
    <n v="20.2"/>
    <n v="6.37"/>
    <n v="11.29"/>
    <n v="274"/>
    <n v="22"/>
    <n v="11.7"/>
    <n v="58"/>
    <n v="11.9"/>
    <n v="0"/>
    <n v="0"/>
    <n v="0"/>
    <n v="0"/>
    <n v="0.1943"/>
    <n v="-0.1537"/>
    <n v="1.6000000000000001E-3"/>
    <n v="-4.2664"/>
    <n v="1.8239000000000001"/>
    <n v="-0.12139999999999999"/>
    <n v="40"/>
    <n v="11"/>
    <n v="44"/>
    <n v="11.3"/>
    <n v="0"/>
    <n v="0"/>
    <n v="11.317"/>
    <n v="555"/>
    <n v="0"/>
  </r>
  <r>
    <x v="0"/>
    <x v="0"/>
    <s v="SPXW"/>
    <x v="4"/>
    <x v="175"/>
    <s v="p"/>
    <n v="9.58"/>
    <n v="19.8"/>
    <n v="6.6"/>
    <n v="11.84"/>
    <n v="646"/>
    <n v="17"/>
    <n v="12.3"/>
    <n v="61"/>
    <n v="12.5"/>
    <n v="0"/>
    <n v="0"/>
    <n v="0"/>
    <n v="0"/>
    <n v="0.19320000000000001"/>
    <n v="-0.16070000000000001"/>
    <n v="1.6999999999999999E-3"/>
    <n v="-4.3879000000000001"/>
    <n v="1.8754999999999999"/>
    <n v="-0.12690000000000001"/>
    <n v="34"/>
    <n v="11.6"/>
    <n v="39"/>
    <n v="11.9"/>
    <n v="0"/>
    <n v="0"/>
    <n v="9.8050999999999995"/>
    <n v="617"/>
    <n v="0"/>
  </r>
  <r>
    <x v="0"/>
    <x v="0"/>
    <s v="SPXW"/>
    <x v="4"/>
    <x v="176"/>
    <s v="p"/>
    <n v="10.58"/>
    <n v="20.9"/>
    <n v="7.3"/>
    <n v="11.3"/>
    <n v="193"/>
    <n v="23"/>
    <n v="12.9"/>
    <n v="27"/>
    <n v="13.1"/>
    <n v="0"/>
    <n v="0"/>
    <n v="0"/>
    <n v="0"/>
    <n v="0.19209999999999999"/>
    <n v="-0.1681"/>
    <n v="1.6999999999999999E-3"/>
    <n v="-4.5148000000000001"/>
    <n v="1.929"/>
    <n v="-0.13270000000000001"/>
    <n v="34"/>
    <n v="12.2"/>
    <n v="41"/>
    <n v="12.5"/>
    <n v="0"/>
    <n v="0"/>
    <n v="11.324400000000001"/>
    <n v="191"/>
    <n v="0"/>
  </r>
  <r>
    <x v="0"/>
    <x v="0"/>
    <s v="SPXW"/>
    <x v="4"/>
    <x v="177"/>
    <s v="p"/>
    <n v="11.3"/>
    <n v="22.54"/>
    <n v="7.2"/>
    <n v="12.37"/>
    <n v="534"/>
    <n v="39"/>
    <n v="13.5"/>
    <n v="26"/>
    <n v="13.7"/>
    <n v="0"/>
    <n v="0"/>
    <n v="0"/>
    <n v="0"/>
    <n v="0.191"/>
    <n v="-0.17549999999999999"/>
    <n v="1.8E-3"/>
    <n v="-4.6337999999999999"/>
    <n v="1.982"/>
    <n v="-0.13869999999999999"/>
    <n v="14"/>
    <n v="12.9"/>
    <n v="12"/>
    <n v="13.1"/>
    <n v="0"/>
    <n v="0"/>
    <n v="10.7456"/>
    <n v="786"/>
    <n v="0"/>
  </r>
  <r>
    <x v="0"/>
    <x v="0"/>
    <s v="SPXW"/>
    <x v="4"/>
    <x v="178"/>
    <s v="p"/>
    <n v="11.38"/>
    <n v="25"/>
    <n v="7.77"/>
    <n v="13.5"/>
    <n v="1701"/>
    <n v="33"/>
    <n v="14.2"/>
    <n v="35"/>
    <n v="14.4"/>
    <n v="0"/>
    <n v="0"/>
    <n v="0"/>
    <n v="0"/>
    <n v="0.18959999999999999"/>
    <n v="-0.18310000000000001"/>
    <n v="1.8E-3"/>
    <n v="-4.7450999999999999"/>
    <n v="2.0339999999999998"/>
    <n v="-0.14480000000000001"/>
    <n v="43"/>
    <n v="13.5"/>
    <n v="38"/>
    <n v="13.8"/>
    <n v="0"/>
    <n v="0"/>
    <n v="13.6561"/>
    <n v="1779"/>
    <n v="0"/>
  </r>
  <r>
    <x v="0"/>
    <x v="0"/>
    <s v="SPXW"/>
    <x v="4"/>
    <x v="179"/>
    <s v="p"/>
    <n v="11.9"/>
    <n v="26.93"/>
    <n v="8.18"/>
    <n v="14.72"/>
    <n v="1562"/>
    <n v="21"/>
    <n v="14.9"/>
    <n v="23"/>
    <n v="15.1"/>
    <n v="0"/>
    <n v="0"/>
    <n v="0"/>
    <n v="0"/>
    <n v="0.1883"/>
    <n v="-0.191"/>
    <n v="1.9E-3"/>
    <n v="-4.8601000000000001"/>
    <n v="2.0865999999999998"/>
    <n v="-0.1512"/>
    <n v="38"/>
    <n v="14.2"/>
    <n v="15"/>
    <n v="14.5"/>
    <n v="0"/>
    <n v="0"/>
    <n v="14.1586"/>
    <n v="953"/>
    <n v="0"/>
  </r>
  <r>
    <x v="0"/>
    <x v="0"/>
    <s v="SPXW"/>
    <x v="4"/>
    <x v="180"/>
    <s v="p"/>
    <n v="13.52"/>
    <n v="24.7"/>
    <n v="8.57"/>
    <n v="15.25"/>
    <n v="528"/>
    <n v="38"/>
    <n v="15.6"/>
    <n v="4"/>
    <n v="15.8"/>
    <n v="0"/>
    <n v="0"/>
    <n v="0"/>
    <n v="0"/>
    <n v="0.18720000000000001"/>
    <n v="-0.19939999999999999"/>
    <n v="2E-3"/>
    <n v="-4.9782999999999999"/>
    <n v="2.1391"/>
    <n v="-0.15790000000000001"/>
    <n v="25"/>
    <n v="15"/>
    <n v="11"/>
    <n v="15.2"/>
    <n v="0"/>
    <n v="0"/>
    <n v="12.540100000000001"/>
    <n v="569"/>
    <n v="0"/>
  </r>
  <r>
    <x v="0"/>
    <x v="0"/>
    <s v="SPXW"/>
    <x v="4"/>
    <x v="181"/>
    <s v="p"/>
    <n v="12.88"/>
    <n v="23.75"/>
    <n v="8.75"/>
    <n v="16"/>
    <n v="867"/>
    <n v="21"/>
    <n v="16.399999999999999"/>
    <n v="23"/>
    <n v="16.600000000000001"/>
    <n v="0"/>
    <n v="0"/>
    <n v="0"/>
    <n v="0"/>
    <n v="0.18579999999999999"/>
    <n v="-0.2079"/>
    <n v="2E-3"/>
    <n v="-5.0868000000000002"/>
    <n v="2.1905000000000001"/>
    <n v="-0.1646"/>
    <n v="13"/>
    <n v="15.8"/>
    <n v="11"/>
    <n v="16"/>
    <n v="0"/>
    <n v="0"/>
    <n v="12.541399999999999"/>
    <n v="761"/>
    <n v="0"/>
  </r>
  <r>
    <x v="0"/>
    <x v="0"/>
    <s v="SPXW"/>
    <x v="4"/>
    <x v="182"/>
    <s v="p"/>
    <n v="13.46"/>
    <n v="25.91"/>
    <n v="9.31"/>
    <n v="17.100000000000001"/>
    <n v="488"/>
    <n v="20"/>
    <n v="17.2"/>
    <n v="22"/>
    <n v="17.399999999999999"/>
    <n v="0"/>
    <n v="0"/>
    <n v="0"/>
    <n v="0"/>
    <n v="0.1845"/>
    <n v="-0.21679999999999999"/>
    <n v="2.0999999999999999E-3"/>
    <n v="-5.1973000000000003"/>
    <n v="2.2427000000000001"/>
    <n v="-0.1716"/>
    <n v="13"/>
    <n v="16.600000000000001"/>
    <n v="11"/>
    <n v="16.8"/>
    <n v="0"/>
    <n v="0"/>
    <n v="15.5259"/>
    <n v="1956"/>
    <n v="0"/>
  </r>
  <r>
    <x v="0"/>
    <x v="0"/>
    <s v="SPXW"/>
    <x v="4"/>
    <x v="183"/>
    <s v="p"/>
    <n v="14.21"/>
    <n v="30"/>
    <n v="9.58"/>
    <n v="17.399999999999999"/>
    <n v="4206"/>
    <n v="47"/>
    <n v="18"/>
    <n v="53"/>
    <n v="18.3"/>
    <n v="0"/>
    <n v="0"/>
    <n v="0"/>
    <n v="0"/>
    <n v="0.18329999999999999"/>
    <n v="-0.2261"/>
    <n v="2.2000000000000001E-3"/>
    <n v="-5.3087"/>
    <n v="2.2955000000000001"/>
    <n v="-0.17899999999999999"/>
    <n v="38"/>
    <n v="17.399999999999999"/>
    <n v="29"/>
    <n v="17.7"/>
    <n v="0"/>
    <n v="0"/>
    <n v="15.817"/>
    <n v="4793"/>
    <n v="0"/>
  </r>
  <r>
    <x v="0"/>
    <x v="0"/>
    <s v="SPXW"/>
    <x v="4"/>
    <x v="184"/>
    <s v="p"/>
    <n v="14.49"/>
    <n v="30.08"/>
    <n v="10.08"/>
    <n v="18.850000000000001"/>
    <n v="353"/>
    <n v="19"/>
    <n v="18.899999999999999"/>
    <n v="8"/>
    <n v="19.100000000000001"/>
    <n v="0"/>
    <n v="0"/>
    <n v="0"/>
    <n v="0"/>
    <n v="0.18179999999999999"/>
    <n v="-0.23549999999999999"/>
    <n v="2.2000000000000001E-3"/>
    <n v="-5.4085999999999999"/>
    <n v="2.3473000000000002"/>
    <n v="-0.1867"/>
    <n v="29"/>
    <n v="18.3"/>
    <n v="24"/>
    <n v="18.600000000000001"/>
    <n v="0"/>
    <n v="0"/>
    <n v="16.576899999999998"/>
    <n v="386"/>
    <n v="0"/>
  </r>
  <r>
    <x v="0"/>
    <x v="0"/>
    <s v="SPXW"/>
    <x v="4"/>
    <x v="185"/>
    <s v="p"/>
    <n v="15.43"/>
    <n v="31.72"/>
    <n v="10.58"/>
    <n v="19.350000000000001"/>
    <n v="1281"/>
    <n v="32"/>
    <n v="19.8"/>
    <n v="46"/>
    <n v="20.100000000000001"/>
    <n v="0"/>
    <n v="0"/>
    <n v="0"/>
    <n v="0"/>
    <n v="0.18060000000000001"/>
    <n v="-0.24560000000000001"/>
    <n v="2.3E-3"/>
    <n v="-5.5179"/>
    <n v="2.3995000000000002"/>
    <n v="-0.1948"/>
    <n v="31"/>
    <n v="19.2"/>
    <n v="19"/>
    <n v="19.5"/>
    <n v="0"/>
    <n v="0"/>
    <n v="19.6892"/>
    <n v="1364"/>
    <n v="0"/>
  </r>
  <r>
    <x v="0"/>
    <x v="0"/>
    <s v="SPXW"/>
    <x v="4"/>
    <x v="186"/>
    <s v="p"/>
    <n v="16.54"/>
    <n v="33.299999999999997"/>
    <n v="11.15"/>
    <n v="20.170000000000002"/>
    <n v="1635"/>
    <n v="18"/>
    <n v="20.8"/>
    <n v="20"/>
    <n v="21"/>
    <n v="0"/>
    <n v="0"/>
    <n v="0"/>
    <n v="0"/>
    <n v="0.17910000000000001"/>
    <n v="-0.2555"/>
    <n v="2.3999999999999998E-3"/>
    <n v="-5.6060999999999996"/>
    <n v="2.4481000000000002"/>
    <n v="-0.20269999999999999"/>
    <n v="30"/>
    <n v="20.2"/>
    <n v="15"/>
    <n v="20.5"/>
    <n v="0"/>
    <n v="0"/>
    <n v="20.260300000000001"/>
    <n v="373"/>
    <n v="0"/>
  </r>
  <r>
    <x v="0"/>
    <x v="0"/>
    <s v="SPXW"/>
    <x v="4"/>
    <x v="187"/>
    <s v="p"/>
    <n v="17.809999999999999"/>
    <n v="32.24"/>
    <n v="11.48"/>
    <n v="21.29"/>
    <n v="1037"/>
    <n v="14"/>
    <n v="21.8"/>
    <n v="20"/>
    <n v="22"/>
    <n v="0"/>
    <n v="0"/>
    <n v="0"/>
    <n v="0"/>
    <n v="0.1777"/>
    <n v="-0.26619999999999999"/>
    <n v="2.3999999999999998E-3"/>
    <n v="-5.7008000000000001"/>
    <n v="2.4975000000000001"/>
    <n v="-0.21110000000000001"/>
    <n v="29"/>
    <n v="21.2"/>
    <n v="17"/>
    <n v="21.5"/>
    <n v="0"/>
    <n v="0"/>
    <n v="22.966100000000001"/>
    <n v="2333"/>
    <n v="0"/>
  </r>
  <r>
    <x v="0"/>
    <x v="0"/>
    <s v="SPXW"/>
    <x v="4"/>
    <x v="188"/>
    <s v="p"/>
    <n v="18.48"/>
    <n v="35.229999999999997"/>
    <n v="12.08"/>
    <n v="22.2"/>
    <n v="1966"/>
    <n v="18"/>
    <n v="22.8"/>
    <n v="4"/>
    <n v="23"/>
    <n v="0"/>
    <n v="0"/>
    <n v="0"/>
    <n v="0"/>
    <n v="0.1764"/>
    <n v="-0.27710000000000001"/>
    <n v="2.5000000000000001E-3"/>
    <n v="-5.7923999999999998"/>
    <n v="2.5464000000000002"/>
    <n v="-0.21990000000000001"/>
    <n v="17"/>
    <n v="22.3"/>
    <n v="32"/>
    <n v="22.6"/>
    <n v="0"/>
    <n v="0"/>
    <n v="21.857399999999998"/>
    <n v="3160"/>
    <n v="0"/>
  </r>
  <r>
    <x v="0"/>
    <x v="0"/>
    <s v="SPXW"/>
    <x v="4"/>
    <x v="189"/>
    <s v="p"/>
    <n v="20.39"/>
    <n v="35.6"/>
    <n v="12.9"/>
    <n v="24.1"/>
    <n v="568"/>
    <n v="18"/>
    <n v="23.9"/>
    <n v="15"/>
    <n v="24.1"/>
    <n v="0"/>
    <n v="0"/>
    <n v="0"/>
    <n v="0"/>
    <n v="0.1749"/>
    <n v="-0.2883"/>
    <n v="2.5999999999999999E-3"/>
    <n v="-5.8708"/>
    <n v="2.5939000000000001"/>
    <n v="-0.22889999999999999"/>
    <n v="26"/>
    <n v="23.4"/>
    <n v="24"/>
    <n v="23.7"/>
    <n v="0"/>
    <n v="0"/>
    <n v="21.918099999999999"/>
    <n v="697"/>
    <n v="0"/>
  </r>
  <r>
    <x v="0"/>
    <x v="0"/>
    <s v="SPXW"/>
    <x v="4"/>
    <x v="190"/>
    <s v="p"/>
    <n v="19.88"/>
    <n v="37.75"/>
    <n v="14.02"/>
    <n v="23.5"/>
    <n v="389"/>
    <n v="25"/>
    <n v="25"/>
    <n v="45"/>
    <n v="25.3"/>
    <n v="0"/>
    <n v="0"/>
    <n v="0"/>
    <n v="0"/>
    <n v="0.17349999999999999"/>
    <n v="-0.30009999999999998"/>
    <n v="2.5999999999999999E-3"/>
    <n v="-5.9523000000000001"/>
    <n v="2.6408"/>
    <n v="-0.2384"/>
    <n v="31"/>
    <n v="24.5"/>
    <n v="9"/>
    <n v="24.8"/>
    <n v="0"/>
    <n v="0"/>
    <n v="21.854099999999999"/>
    <n v="603"/>
    <n v="0"/>
  </r>
  <r>
    <x v="0"/>
    <x v="0"/>
    <s v="SPXW"/>
    <x v="4"/>
    <x v="191"/>
    <s v="p"/>
    <n v="21.31"/>
    <n v="39.15"/>
    <n v="14.38"/>
    <n v="24.28"/>
    <n v="689"/>
    <n v="13"/>
    <n v="26.2"/>
    <n v="14"/>
    <n v="26.4"/>
    <n v="0"/>
    <n v="0"/>
    <n v="0"/>
    <n v="0"/>
    <n v="0.17199999999999999"/>
    <n v="-0.312"/>
    <n v="2.7000000000000001E-3"/>
    <n v="-6.0191999999999997"/>
    <n v="2.6848000000000001"/>
    <n v="-0.248"/>
    <n v="29"/>
    <n v="25.7"/>
    <n v="9"/>
    <n v="26"/>
    <n v="0"/>
    <n v="0"/>
    <n v="22.567499999999999"/>
    <n v="1709"/>
    <n v="0"/>
  </r>
  <r>
    <x v="0"/>
    <x v="0"/>
    <s v="SPXW"/>
    <x v="4"/>
    <x v="192"/>
    <s v="p"/>
    <n v="22.4"/>
    <n v="40.270000000000003"/>
    <n v="14.99"/>
    <n v="27.55"/>
    <n v="430"/>
    <n v="15"/>
    <n v="27.4"/>
    <n v="13"/>
    <n v="27.6"/>
    <n v="0"/>
    <n v="0"/>
    <n v="0"/>
    <n v="0"/>
    <n v="0.1704"/>
    <n v="-0.32440000000000002"/>
    <n v="2.8E-3"/>
    <n v="-6.0793999999999997"/>
    <n v="2.7267999999999999"/>
    <n v="-0.25779999999999997"/>
    <n v="24"/>
    <n v="27"/>
    <n v="9"/>
    <n v="27.3"/>
    <n v="0"/>
    <n v="0"/>
    <n v="24.926400000000001"/>
    <n v="331"/>
    <n v="0"/>
  </r>
  <r>
    <x v="0"/>
    <x v="0"/>
    <s v="SPXW"/>
    <x v="4"/>
    <x v="193"/>
    <s v="p"/>
    <n v="22.65"/>
    <n v="43.86"/>
    <n v="15.7"/>
    <n v="28.2"/>
    <n v="3273"/>
    <n v="33"/>
    <n v="28.6"/>
    <n v="21"/>
    <n v="28.9"/>
    <n v="0"/>
    <n v="0"/>
    <n v="0"/>
    <n v="0"/>
    <n v="0.16900000000000001"/>
    <n v="-0.33729999999999999"/>
    <n v="2.8999999999999998E-3"/>
    <n v="-6.1401000000000003"/>
    <n v="2.7675999999999998"/>
    <n v="-0.26800000000000002"/>
    <n v="35"/>
    <n v="28.3"/>
    <n v="8"/>
    <n v="28.6"/>
    <n v="0"/>
    <n v="0"/>
    <n v="27.991499999999998"/>
    <n v="3925"/>
    <n v="0"/>
  </r>
  <r>
    <x v="0"/>
    <x v="0"/>
    <s v="SPXW"/>
    <x v="4"/>
    <x v="194"/>
    <s v="p"/>
    <n v="24.25"/>
    <n v="39.92"/>
    <n v="16.600000000000001"/>
    <n v="29"/>
    <n v="204"/>
    <n v="11"/>
    <n v="30"/>
    <n v="12"/>
    <n v="30.2"/>
    <n v="0"/>
    <n v="0"/>
    <n v="0"/>
    <n v="0"/>
    <n v="0.16739999999999999"/>
    <n v="-0.35039999999999999"/>
    <n v="2.8999999999999998E-3"/>
    <n v="-6.1840000000000002"/>
    <n v="2.8062999999999998"/>
    <n v="-0.27860000000000001"/>
    <n v="24"/>
    <n v="29.7"/>
    <n v="8"/>
    <n v="30"/>
    <n v="0"/>
    <n v="0"/>
    <n v="26.683"/>
    <n v="406"/>
    <n v="0"/>
  </r>
  <r>
    <x v="0"/>
    <x v="0"/>
    <s v="SPXW"/>
    <x v="4"/>
    <x v="195"/>
    <s v="p"/>
    <n v="24.83"/>
    <n v="45"/>
    <n v="17.12"/>
    <n v="29.4"/>
    <n v="310"/>
    <n v="24"/>
    <n v="31.3"/>
    <n v="12"/>
    <n v="31.6"/>
    <n v="0"/>
    <n v="0"/>
    <n v="0"/>
    <n v="0"/>
    <n v="0.1658"/>
    <n v="-0.36399999999999999"/>
    <n v="3.0000000000000001E-3"/>
    <n v="-6.2183000000000002"/>
    <n v="2.8426"/>
    <n v="-0.28960000000000002"/>
    <n v="21"/>
    <n v="31.1"/>
    <n v="8"/>
    <n v="31.4"/>
    <n v="0"/>
    <n v="0"/>
    <n v="29.754000000000001"/>
    <n v="759"/>
    <n v="0"/>
  </r>
  <r>
    <x v="0"/>
    <x v="0"/>
    <s v="SPXW"/>
    <x v="4"/>
    <x v="196"/>
    <s v="p"/>
    <n v="26.52"/>
    <n v="47.38"/>
    <n v="18.28"/>
    <n v="33.17"/>
    <n v="206"/>
    <n v="14"/>
    <n v="32.799999999999997"/>
    <n v="14"/>
    <n v="33.1"/>
    <n v="0"/>
    <n v="0"/>
    <n v="0"/>
    <n v="0"/>
    <n v="0.16420000000000001"/>
    <n v="-0.378"/>
    <n v="3.0999999999999999E-3"/>
    <n v="-6.2492999999999999"/>
    <n v="2.8761999999999999"/>
    <n v="-0.3009"/>
    <n v="17"/>
    <n v="32.6"/>
    <n v="8"/>
    <n v="32.9"/>
    <n v="0"/>
    <n v="0"/>
    <n v="28.175699999999999"/>
    <n v="591"/>
    <n v="0"/>
  </r>
  <r>
    <x v="0"/>
    <x v="0"/>
    <s v="SPXW"/>
    <x v="4"/>
    <x v="197"/>
    <s v="p"/>
    <n v="27.65"/>
    <n v="50"/>
    <n v="20"/>
    <n v="35"/>
    <n v="403"/>
    <n v="17"/>
    <n v="34.299999999999997"/>
    <n v="16"/>
    <n v="34.6"/>
    <n v="0"/>
    <n v="0"/>
    <n v="0"/>
    <n v="0"/>
    <n v="0.16270000000000001"/>
    <n v="-0.39250000000000002"/>
    <n v="3.0999999999999999E-3"/>
    <n v="-6.2690000000000001"/>
    <n v="2.9062999999999999"/>
    <n v="-0.31240000000000001"/>
    <n v="17"/>
    <n v="34.200000000000003"/>
    <n v="19"/>
    <n v="34.5"/>
    <n v="0"/>
    <n v="0"/>
    <n v="31.3078"/>
    <n v="2071"/>
    <n v="0"/>
  </r>
  <r>
    <x v="0"/>
    <x v="0"/>
    <s v="SPXW"/>
    <x v="4"/>
    <x v="198"/>
    <s v="p"/>
    <n v="28.76"/>
    <n v="49.7"/>
    <n v="20.45"/>
    <n v="34.5"/>
    <n v="992"/>
    <n v="30"/>
    <n v="35.799999999999997"/>
    <n v="11"/>
    <n v="36.1"/>
    <n v="0"/>
    <n v="0"/>
    <n v="0"/>
    <n v="0"/>
    <n v="0.161"/>
    <n v="-0.4073"/>
    <n v="3.2000000000000002E-3"/>
    <n v="-6.2763"/>
    <n v="2.9333"/>
    <n v="-0.32419999999999999"/>
    <n v="17"/>
    <n v="35.799999999999997"/>
    <n v="7"/>
    <n v="36.1"/>
    <n v="0"/>
    <n v="0"/>
    <n v="33.559399999999997"/>
    <n v="2040"/>
    <n v="0"/>
  </r>
  <r>
    <x v="0"/>
    <x v="0"/>
    <s v="SPXW"/>
    <x v="4"/>
    <x v="199"/>
    <s v="p"/>
    <n v="32"/>
    <n v="53.4"/>
    <n v="20.95"/>
    <n v="38.15"/>
    <n v="590"/>
    <n v="16"/>
    <n v="37.5"/>
    <n v="16"/>
    <n v="37.799999999999997"/>
    <n v="0"/>
    <n v="0"/>
    <n v="0"/>
    <n v="0"/>
    <n v="0.1595"/>
    <n v="-0.42259999999999998"/>
    <n v="3.2000000000000002E-3"/>
    <n v="-6.2771999999999997"/>
    <n v="2.9573"/>
    <n v="-0.33650000000000002"/>
    <n v="17"/>
    <n v="37.5"/>
    <n v="13"/>
    <n v="37.799999999999997"/>
    <n v="0"/>
    <n v="0"/>
    <n v="36.786099999999998"/>
    <n v="440"/>
    <n v="0"/>
  </r>
  <r>
    <x v="0"/>
    <x v="0"/>
    <s v="SPXW"/>
    <x v="4"/>
    <x v="200"/>
    <s v="p"/>
    <n v="32.659999999999997"/>
    <n v="55.01"/>
    <n v="22.45"/>
    <n v="37.75"/>
    <n v="226"/>
    <n v="15"/>
    <n v="39.200000000000003"/>
    <n v="11"/>
    <n v="39.5"/>
    <n v="0"/>
    <n v="0"/>
    <n v="0"/>
    <n v="0"/>
    <n v="0.1578"/>
    <n v="-0.43830000000000002"/>
    <n v="3.3E-3"/>
    <n v="-6.2634999999999996"/>
    <n v="2.9773000000000001"/>
    <n v="-0.3493"/>
    <n v="16"/>
    <n v="39.200000000000003"/>
    <n v="7"/>
    <n v="39.5"/>
    <n v="0"/>
    <n v="0"/>
    <n v="40.027700000000003"/>
    <n v="607"/>
    <n v="0"/>
  </r>
  <r>
    <x v="0"/>
    <x v="0"/>
    <s v="SPXW"/>
    <x v="4"/>
    <x v="201"/>
    <s v="p"/>
    <n v="35.049999999999997"/>
    <n v="56.22"/>
    <n v="24.06"/>
    <n v="41.75"/>
    <n v="636"/>
    <n v="19"/>
    <n v="40.9"/>
    <n v="9"/>
    <n v="41.2"/>
    <n v="0"/>
    <n v="0"/>
    <n v="0"/>
    <n v="0"/>
    <n v="0.15609999999999999"/>
    <n v="-0.45440000000000003"/>
    <n v="3.3999999999999998E-3"/>
    <n v="-6.2343999999999999"/>
    <n v="2.9929000000000001"/>
    <n v="-0.36220000000000002"/>
    <n v="17"/>
    <n v="41"/>
    <n v="14"/>
    <n v="41.4"/>
    <n v="0"/>
    <n v="0"/>
    <n v="40.788400000000003"/>
    <n v="628"/>
    <n v="0"/>
  </r>
  <r>
    <x v="0"/>
    <x v="0"/>
    <s v="SPXW"/>
    <x v="4"/>
    <x v="202"/>
    <s v="p"/>
    <n v="36"/>
    <n v="59.77"/>
    <n v="24.92"/>
    <n v="42.99"/>
    <n v="883"/>
    <n v="19"/>
    <n v="42.8"/>
    <n v="9"/>
    <n v="43.1"/>
    <n v="0"/>
    <n v="0"/>
    <n v="0"/>
    <n v="0"/>
    <n v="0.1545"/>
    <n v="-0.47089999999999999"/>
    <n v="3.3999999999999998E-3"/>
    <n v="-6.1962000000000002"/>
    <n v="3.0038999999999998"/>
    <n v="-0.37519999999999998"/>
    <n v="15"/>
    <n v="42.9"/>
    <n v="17"/>
    <n v="43.3"/>
    <n v="0"/>
    <n v="0"/>
    <n v="43.0092"/>
    <n v="580"/>
    <n v="0"/>
  </r>
  <r>
    <x v="0"/>
    <x v="0"/>
    <s v="SPXW"/>
    <x v="4"/>
    <x v="203"/>
    <s v="p"/>
    <n v="36.11"/>
    <n v="64"/>
    <n v="26"/>
    <n v="45.72"/>
    <n v="3361"/>
    <n v="19"/>
    <n v="44.7"/>
    <n v="16"/>
    <n v="45"/>
    <n v="0"/>
    <n v="0"/>
    <n v="0"/>
    <n v="0"/>
    <n v="0.15290000000000001"/>
    <n v="-0.48780000000000001"/>
    <n v="3.3999999999999998E-3"/>
    <n v="-6.1478999999999999"/>
    <n v="3.0102000000000002"/>
    <n v="-0.38879999999999998"/>
    <n v="15"/>
    <n v="44.9"/>
    <n v="7"/>
    <n v="45.2"/>
    <n v="0"/>
    <n v="0"/>
    <n v="41.125599999999999"/>
    <n v="2904"/>
    <n v="0"/>
  </r>
  <r>
    <x v="0"/>
    <x v="0"/>
    <s v="SPXW"/>
    <x v="4"/>
    <x v="204"/>
    <s v="p"/>
    <n v="39.619999999999997"/>
    <n v="57.24"/>
    <n v="27.41"/>
    <n v="47.65"/>
    <n v="343"/>
    <n v="8"/>
    <n v="46.8"/>
    <n v="9"/>
    <n v="47"/>
    <n v="0"/>
    <n v="0"/>
    <n v="0"/>
    <n v="0"/>
    <n v="0.1512"/>
    <n v="-0.50509999999999999"/>
    <n v="3.5000000000000001E-3"/>
    <n v="-6.0814000000000004"/>
    <n v="3.0112999999999999"/>
    <n v="-0.40289999999999998"/>
    <n v="15"/>
    <n v="47"/>
    <n v="7"/>
    <n v="47.3"/>
    <n v="0"/>
    <n v="0"/>
    <n v="43.673299999999998"/>
    <n v="124"/>
    <n v="0"/>
  </r>
  <r>
    <x v="0"/>
    <x v="0"/>
    <s v="SPXW"/>
    <x v="4"/>
    <x v="205"/>
    <s v="p"/>
    <n v="40.119999999999997"/>
    <n v="61"/>
    <n v="28.81"/>
    <n v="50"/>
    <n v="445"/>
    <n v="10"/>
    <n v="48.8"/>
    <n v="9"/>
    <n v="49.1"/>
    <n v="0"/>
    <n v="0"/>
    <n v="0"/>
    <n v="0"/>
    <n v="0.14949999999999999"/>
    <n v="-0.52280000000000004"/>
    <n v="3.5000000000000001E-3"/>
    <n v="-6.0026000000000002"/>
    <n v="3.0070000000000001"/>
    <n v="-0.41710000000000003"/>
    <n v="15"/>
    <n v="49.1"/>
    <n v="13"/>
    <n v="49.5"/>
    <n v="0"/>
    <n v="0"/>
    <n v="39.624899999999997"/>
    <n v="383"/>
    <n v="0"/>
  </r>
  <r>
    <x v="0"/>
    <x v="0"/>
    <s v="SPXW"/>
    <x v="4"/>
    <x v="206"/>
    <s v="p"/>
    <n v="41.7"/>
    <n v="66.819999999999993"/>
    <n v="32.4"/>
    <n v="48.77"/>
    <n v="166"/>
    <n v="10"/>
    <n v="51"/>
    <n v="9"/>
    <n v="51.3"/>
    <n v="0"/>
    <n v="0"/>
    <n v="0"/>
    <n v="0"/>
    <n v="0.1477"/>
    <n v="-0.54079999999999995"/>
    <n v="3.5000000000000001E-3"/>
    <n v="-5.9046000000000003"/>
    <n v="2.9969000000000001"/>
    <n v="-0.43140000000000001"/>
    <n v="9"/>
    <n v="51.4"/>
    <n v="7"/>
    <n v="51.7"/>
    <n v="0"/>
    <n v="0"/>
    <n v="44.801099999999998"/>
    <n v="133"/>
    <n v="0"/>
  </r>
  <r>
    <x v="0"/>
    <x v="0"/>
    <s v="SPXW"/>
    <x v="4"/>
    <x v="207"/>
    <s v="p"/>
    <n v="43"/>
    <n v="71.52"/>
    <n v="31.83"/>
    <n v="54.5"/>
    <n v="863"/>
    <n v="10"/>
    <n v="53.3"/>
    <n v="9"/>
    <n v="53.6"/>
    <n v="0"/>
    <n v="0"/>
    <n v="0"/>
    <n v="0"/>
    <n v="0.1459"/>
    <n v="-0.55920000000000003"/>
    <n v="3.5999999999999999E-3"/>
    <n v="-5.7934000000000001"/>
    <n v="2.9803999999999999"/>
    <n v="-0.44619999999999999"/>
    <n v="14"/>
    <n v="53.7"/>
    <n v="6"/>
    <n v="54"/>
    <n v="0"/>
    <n v="0"/>
    <n v="45.842399999999998"/>
    <n v="314"/>
    <n v="0"/>
  </r>
  <r>
    <x v="0"/>
    <x v="0"/>
    <s v="SPXW"/>
    <x v="4"/>
    <x v="208"/>
    <s v="p"/>
    <n v="45.36"/>
    <n v="71.319999999999993"/>
    <n v="33.5"/>
    <n v="54.1"/>
    <n v="958"/>
    <n v="2"/>
    <n v="55.7"/>
    <n v="10"/>
    <n v="56"/>
    <n v="0"/>
    <n v="0"/>
    <n v="0"/>
    <n v="0"/>
    <n v="0.14430000000000001"/>
    <n v="-0.57779999999999998"/>
    <n v="3.5999999999999999E-3"/>
    <n v="-5.6749999999999998"/>
    <n v="2.9573"/>
    <n v="-0.46129999999999999"/>
    <n v="7"/>
    <n v="56.1"/>
    <n v="6"/>
    <n v="56.5"/>
    <n v="0"/>
    <n v="0"/>
    <n v="48.718400000000003"/>
    <n v="502"/>
    <n v="0"/>
  </r>
  <r>
    <x v="0"/>
    <x v="0"/>
    <s v="SPXW"/>
    <x v="4"/>
    <x v="209"/>
    <s v="p"/>
    <n v="49.7"/>
    <n v="74.17"/>
    <n v="35.4"/>
    <n v="59.54"/>
    <n v="402"/>
    <n v="9"/>
    <n v="58.1"/>
    <n v="6"/>
    <n v="58.4"/>
    <n v="0"/>
    <n v="0"/>
    <n v="0"/>
    <n v="0"/>
    <n v="0.1426"/>
    <n v="-0.59670000000000001"/>
    <n v="3.5999999999999999E-3"/>
    <n v="-5.5353000000000003"/>
    <n v="2.9275000000000002"/>
    <n v="-0.47649999999999998"/>
    <n v="7"/>
    <n v="58.7"/>
    <n v="6"/>
    <n v="59"/>
    <n v="0"/>
    <n v="0"/>
    <n v="51.946300000000001"/>
    <n v="266"/>
    <n v="0"/>
  </r>
  <r>
    <x v="0"/>
    <x v="0"/>
    <s v="SPXW"/>
    <x v="4"/>
    <x v="210"/>
    <s v="p"/>
    <n v="49.98"/>
    <n v="72.27"/>
    <n v="37.25"/>
    <n v="62.34"/>
    <n v="187"/>
    <n v="9"/>
    <n v="60.7"/>
    <n v="6"/>
    <n v="61"/>
    <n v="0"/>
    <n v="0"/>
    <n v="0"/>
    <n v="0"/>
    <n v="0.14080000000000001"/>
    <n v="-0.61580000000000001"/>
    <n v="3.5999999999999999E-3"/>
    <n v="-5.3810000000000002"/>
    <n v="2.8912"/>
    <n v="-0.49170000000000003"/>
    <n v="7"/>
    <n v="61.3"/>
    <n v="6"/>
    <n v="61.6"/>
    <n v="0"/>
    <n v="0"/>
    <n v="52.033999999999999"/>
    <n v="177"/>
    <n v="0"/>
  </r>
  <r>
    <x v="0"/>
    <x v="0"/>
    <s v="SPXW"/>
    <x v="4"/>
    <x v="211"/>
    <s v="p"/>
    <n v="54.89"/>
    <n v="82.4"/>
    <n v="39.08"/>
    <n v="65.099999999999994"/>
    <n v="489"/>
    <n v="6"/>
    <n v="63.4"/>
    <n v="7"/>
    <n v="63.7"/>
    <n v="0"/>
    <n v="0"/>
    <n v="0"/>
    <n v="0"/>
    <n v="0.13919999999999999"/>
    <n v="-0.63500000000000001"/>
    <n v="3.5999999999999999E-3"/>
    <n v="-5.2196999999999996"/>
    <n v="2.8475000000000001"/>
    <n v="-0.50719999999999998"/>
    <n v="6"/>
    <n v="64"/>
    <n v="5"/>
    <n v="64.400000000000006"/>
    <n v="0"/>
    <n v="0"/>
    <n v="50.939700000000002"/>
    <n v="396"/>
    <n v="0"/>
  </r>
  <r>
    <x v="0"/>
    <x v="0"/>
    <s v="SPXW"/>
    <x v="4"/>
    <x v="212"/>
    <s v="p"/>
    <n v="54.41"/>
    <n v="75.06"/>
    <n v="41.02"/>
    <n v="66.53"/>
    <n v="307"/>
    <n v="2"/>
    <n v="66.2"/>
    <n v="7"/>
    <n v="66.5"/>
    <n v="0"/>
    <n v="0"/>
    <n v="0"/>
    <n v="0"/>
    <n v="0.1376"/>
    <n v="-0.65429999999999999"/>
    <n v="3.5000000000000001E-3"/>
    <n v="-5.0438000000000001"/>
    <n v="2.7959000000000001"/>
    <n v="-0.52290000000000003"/>
    <n v="5"/>
    <n v="66.900000000000006"/>
    <n v="4"/>
    <n v="67.2"/>
    <n v="0"/>
    <n v="0"/>
    <n v="52.357399999999998"/>
    <n v="1571"/>
    <n v="0"/>
  </r>
  <r>
    <x v="0"/>
    <x v="0"/>
    <s v="SPXW"/>
    <x v="4"/>
    <x v="213"/>
    <s v="p"/>
    <n v="58.26"/>
    <n v="94.11"/>
    <n v="43.17"/>
    <n v="70.72"/>
    <n v="798"/>
    <n v="2"/>
    <n v="69.099999999999994"/>
    <n v="5"/>
    <n v="69.400000000000006"/>
    <n v="0"/>
    <n v="0"/>
    <n v="0"/>
    <n v="0"/>
    <n v="0.13600000000000001"/>
    <n v="-0.67359999999999998"/>
    <n v="3.5000000000000001E-3"/>
    <n v="-4.8539000000000003"/>
    <n v="2.738"/>
    <n v="-0.5383"/>
    <n v="5"/>
    <n v="69.8"/>
    <n v="3"/>
    <n v="70.2"/>
    <n v="0"/>
    <n v="0"/>
    <n v="58.727499999999999"/>
    <n v="1895"/>
    <n v="0"/>
  </r>
  <r>
    <x v="0"/>
    <x v="0"/>
    <s v="SPXW"/>
    <x v="4"/>
    <x v="214"/>
    <s v="p"/>
    <n v="55.47"/>
    <n v="86.89"/>
    <n v="45.52"/>
    <n v="73"/>
    <n v="178"/>
    <n v="6"/>
    <n v="72"/>
    <n v="5"/>
    <n v="72.400000000000006"/>
    <n v="0"/>
    <n v="0"/>
    <n v="0"/>
    <n v="0"/>
    <n v="0.13400000000000001"/>
    <n v="-0.69350000000000001"/>
    <n v="3.5000000000000001E-3"/>
    <n v="-4.6338999999999997"/>
    <n v="2.6709999999999998"/>
    <n v="-0.55420000000000003"/>
    <n v="3"/>
    <n v="72.8"/>
    <n v="2"/>
    <n v="73.2"/>
    <n v="0"/>
    <n v="0"/>
    <n v="55.991100000000003"/>
    <n v="138"/>
    <n v="0"/>
  </r>
  <r>
    <x v="0"/>
    <x v="0"/>
    <s v="SPXW"/>
    <x v="4"/>
    <x v="215"/>
    <s v="p"/>
    <n v="62.55"/>
    <n v="86.72"/>
    <n v="47.78"/>
    <n v="75.86"/>
    <n v="66"/>
    <n v="22"/>
    <n v="74.5"/>
    <n v="2"/>
    <n v="75.7"/>
    <n v="0"/>
    <n v="0"/>
    <n v="0"/>
    <n v="0"/>
    <n v="0.1326"/>
    <n v="-0.71230000000000004"/>
    <n v="3.3999999999999998E-3"/>
    <n v="-4.4348000000000001"/>
    <n v="2.5987"/>
    <n v="-0.5696"/>
    <n v="15"/>
    <n v="75.400000000000006"/>
    <n v="15"/>
    <n v="76.900000000000006"/>
    <n v="0"/>
    <n v="0"/>
    <n v="62.686799999999998"/>
    <n v="413"/>
    <n v="0"/>
  </r>
  <r>
    <x v="0"/>
    <x v="0"/>
    <s v="SPXW"/>
    <x v="4"/>
    <x v="216"/>
    <s v="p"/>
    <n v="64.88"/>
    <n v="89.84"/>
    <n v="52.2"/>
    <n v="79.97"/>
    <n v="43"/>
    <n v="20"/>
    <n v="77.7"/>
    <n v="2"/>
    <n v="79"/>
    <n v="0"/>
    <n v="0"/>
    <n v="0"/>
    <n v="0"/>
    <n v="0.1305"/>
    <n v="-0.73219999999999996"/>
    <n v="3.3E-3"/>
    <n v="-4.1874000000000002"/>
    <n v="2.5148000000000001"/>
    <n v="-0.58550000000000002"/>
    <n v="15"/>
    <n v="78.599999999999994"/>
    <n v="15"/>
    <n v="80.2"/>
    <n v="0"/>
    <n v="0"/>
    <n v="69.469499999999996"/>
    <n v="229"/>
    <n v="0"/>
  </r>
  <r>
    <x v="0"/>
    <x v="0"/>
    <s v="SPXW"/>
    <x v="4"/>
    <x v="217"/>
    <s v="p"/>
    <n v="68.2"/>
    <n v="102.04"/>
    <n v="53.72"/>
    <n v="83.85"/>
    <n v="83"/>
    <n v="21"/>
    <n v="80.900000000000006"/>
    <n v="1"/>
    <n v="82.2"/>
    <n v="0"/>
    <n v="0"/>
    <n v="0"/>
    <n v="0"/>
    <n v="0.1285"/>
    <n v="-0.75180000000000002"/>
    <n v="3.3E-3"/>
    <n v="-3.9369000000000001"/>
    <n v="2.4251"/>
    <n v="-0.60119999999999996"/>
    <n v="15"/>
    <n v="82"/>
    <n v="15"/>
    <n v="83.6"/>
    <n v="0"/>
    <n v="0"/>
    <n v="82.767099999999999"/>
    <n v="64"/>
    <n v="0"/>
  </r>
  <r>
    <x v="0"/>
    <x v="0"/>
    <s v="SPXW"/>
    <x v="4"/>
    <x v="218"/>
    <s v="p"/>
    <n v="73.45"/>
    <n v="95"/>
    <n v="58.4"/>
    <n v="86.15"/>
    <n v="56"/>
    <n v="22"/>
    <n v="84.3"/>
    <n v="2"/>
    <n v="85.7"/>
    <n v="0"/>
    <n v="0"/>
    <n v="0"/>
    <n v="0"/>
    <n v="0.12709999999999999"/>
    <n v="-0.77010000000000001"/>
    <n v="3.2000000000000002E-3"/>
    <n v="-3.7067999999999999"/>
    <n v="2.3315000000000001"/>
    <n v="-0.61609999999999998"/>
    <n v="15"/>
    <n v="85.4"/>
    <n v="7"/>
    <n v="87"/>
    <n v="0"/>
    <n v="0"/>
    <n v="78.616600000000005"/>
    <n v="110"/>
    <n v="0"/>
  </r>
  <r>
    <x v="0"/>
    <x v="0"/>
    <s v="SPXW"/>
    <x v="4"/>
    <x v="219"/>
    <s v="p"/>
    <n v="75.680000000000007"/>
    <n v="94.13"/>
    <n v="59.5"/>
    <n v="87.5"/>
    <n v="37"/>
    <n v="3"/>
    <n v="87.4"/>
    <n v="1"/>
    <n v="89.4"/>
    <n v="0"/>
    <n v="0"/>
    <n v="0"/>
    <n v="0"/>
    <n v="0.12479999999999999"/>
    <n v="-0.78969999999999996"/>
    <n v="3.0999999999999999E-3"/>
    <n v="-3.4253999999999998"/>
    <n v="2.2225999999999999"/>
    <n v="-0.63190000000000002"/>
    <n v="2"/>
    <n v="86.8"/>
    <n v="1"/>
    <n v="95.6"/>
    <n v="0"/>
    <n v="0"/>
    <n v="76.753500000000003"/>
    <n v="69"/>
    <n v="0"/>
  </r>
  <r>
    <x v="0"/>
    <x v="0"/>
    <s v="SPXW"/>
    <x v="4"/>
    <x v="220"/>
    <s v="p"/>
    <n v="63.9"/>
    <n v="96.62"/>
    <n v="63.9"/>
    <n v="90.8"/>
    <n v="6"/>
    <n v="3"/>
    <n v="91"/>
    <n v="1"/>
    <n v="93.1"/>
    <n v="0"/>
    <n v="0"/>
    <n v="0"/>
    <n v="0"/>
    <n v="0.123"/>
    <n v="-0.80789999999999995"/>
    <n v="2.8999999999999998E-3"/>
    <n v="-3.1699000000000002"/>
    <n v="2.1147999999999998"/>
    <n v="-0.64649999999999996"/>
    <n v="2"/>
    <n v="90.5"/>
    <n v="4"/>
    <n v="99.4"/>
    <n v="0"/>
    <n v="0"/>
    <n v="73.836699999999993"/>
    <n v="16"/>
    <n v="0"/>
  </r>
  <r>
    <x v="0"/>
    <x v="0"/>
    <s v="SPXW"/>
    <x v="4"/>
    <x v="221"/>
    <s v="p"/>
    <n v="81.3"/>
    <n v="116.02"/>
    <n v="81.3"/>
    <n v="116.02"/>
    <n v="35"/>
    <n v="4"/>
    <n v="94.7"/>
    <n v="1"/>
    <n v="97"/>
    <n v="0"/>
    <n v="0"/>
    <n v="0"/>
    <n v="0"/>
    <n v="0.1215"/>
    <n v="-0.82499999999999996"/>
    <n v="2.8E-3"/>
    <n v="-2.9232"/>
    <n v="2.0024999999999999"/>
    <n v="-0.66049999999999998"/>
    <n v="2"/>
    <n v="94.4"/>
    <n v="4"/>
    <n v="103.2"/>
    <n v="0"/>
    <n v="0"/>
    <n v="111.60339999999999"/>
    <n v="11"/>
    <n v="0"/>
  </r>
  <r>
    <x v="0"/>
    <x v="0"/>
    <s v="SPXW"/>
    <x v="4"/>
    <x v="222"/>
    <s v="p"/>
    <n v="100.95"/>
    <n v="109.47"/>
    <n v="98.51"/>
    <n v="98.51"/>
    <n v="3"/>
    <n v="3"/>
    <n v="96.9"/>
    <n v="1"/>
    <n v="103.3"/>
    <n v="0"/>
    <n v="0"/>
    <n v="0"/>
    <n v="0"/>
    <n v="0.122"/>
    <n v="-0.83740000000000003"/>
    <n v="2.7000000000000001E-3"/>
    <n v="-2.7778999999999998"/>
    <n v="1.9158999999999999"/>
    <n v="-0.67049999999999998"/>
    <n v="2"/>
    <n v="98.3"/>
    <n v="4"/>
    <n v="107.1"/>
    <n v="0"/>
    <n v="0"/>
    <n v="102.97669999999999"/>
    <n v="16"/>
    <n v="0"/>
  </r>
  <r>
    <x v="0"/>
    <x v="0"/>
    <s v="SPXW"/>
    <x v="4"/>
    <x v="223"/>
    <s v="p"/>
    <n v="82.17"/>
    <n v="122"/>
    <n v="71.400000000000006"/>
    <n v="105.69"/>
    <n v="66"/>
    <n v="2"/>
    <n v="102.6"/>
    <n v="1"/>
    <n v="104.8"/>
    <n v="0"/>
    <n v="0"/>
    <n v="0"/>
    <n v="0"/>
    <n v="0.1181"/>
    <n v="-0.85809999999999997"/>
    <n v="2.5000000000000001E-3"/>
    <n v="-2.4184999999999999"/>
    <n v="1.7639"/>
    <n v="-0.68710000000000004"/>
    <n v="2"/>
    <n v="101"/>
    <n v="6"/>
    <n v="111.4"/>
    <n v="0"/>
    <n v="0"/>
    <n v="95.5732"/>
    <n v="820"/>
    <n v="0"/>
  </r>
  <r>
    <x v="0"/>
    <x v="0"/>
    <s v="SPXW"/>
    <x v="4"/>
    <x v="224"/>
    <s v="p"/>
    <n v="77.77"/>
    <n v="109.87"/>
    <n v="77.77"/>
    <n v="109.87"/>
    <n v="3"/>
    <n v="2"/>
    <n v="106.6"/>
    <n v="1"/>
    <n v="108.8"/>
    <n v="0"/>
    <n v="0"/>
    <n v="0"/>
    <n v="0"/>
    <n v="0.1173"/>
    <n v="-0.87119999999999997"/>
    <n v="2.3999999999999998E-3"/>
    <n v="-2.2212999999999998"/>
    <n v="1.6577999999999999"/>
    <n v="-0.69789999999999996"/>
    <n v="2"/>
    <n v="103.5"/>
    <n v="4"/>
    <n v="118.3"/>
    <n v="0"/>
    <n v="0"/>
    <n v="99.13"/>
    <n v="18"/>
    <n v="0"/>
  </r>
  <r>
    <x v="0"/>
    <x v="0"/>
    <s v="SPXW"/>
    <x v="4"/>
    <x v="225"/>
    <s v="p"/>
    <n v="81.42"/>
    <n v="108.04"/>
    <n v="81.42"/>
    <n v="108.04"/>
    <n v="2"/>
    <n v="2"/>
    <n v="110.7"/>
    <n v="1"/>
    <n v="113"/>
    <n v="0"/>
    <n v="0"/>
    <n v="0"/>
    <n v="0"/>
    <n v="0.11409999999999999"/>
    <n v="-0.88959999999999995"/>
    <n v="2.2000000000000001E-3"/>
    <n v="-1.9016"/>
    <n v="1.5014000000000001"/>
    <n v="-0.71250000000000002"/>
    <n v="4"/>
    <n v="106.5"/>
    <n v="1"/>
    <n v="122.2"/>
    <n v="0"/>
    <n v="0"/>
    <n v="94.73"/>
    <n v="92"/>
    <n v="0"/>
  </r>
  <r>
    <x v="0"/>
    <x v="0"/>
    <s v="SPXW"/>
    <x v="4"/>
    <x v="226"/>
    <s v="p"/>
    <n v="100.38"/>
    <n v="100.38"/>
    <n v="81.38"/>
    <n v="81.38"/>
    <n v="7"/>
    <n v="4"/>
    <n v="114.8"/>
    <n v="3"/>
    <n v="117.3"/>
    <n v="0"/>
    <n v="0"/>
    <n v="0"/>
    <n v="0"/>
    <n v="0.1135"/>
    <n v="-0.90059999999999996"/>
    <n v="2E-3"/>
    <n v="-1.7307999999999999"/>
    <n v="1.3997999999999999"/>
    <n v="-0.72160000000000002"/>
    <n v="3"/>
    <n v="110.8"/>
    <n v="2"/>
    <n v="126.5"/>
    <n v="0"/>
    <n v="0"/>
    <n v="86.414299999999997"/>
    <n v="5"/>
    <n v="0"/>
  </r>
  <r>
    <x v="0"/>
    <x v="0"/>
    <s v="SPXW"/>
    <x v="4"/>
    <x v="227"/>
    <s v="p"/>
    <n v="97.65"/>
    <n v="97.65"/>
    <n v="85.13"/>
    <n v="85.13"/>
    <n v="7"/>
    <n v="4"/>
    <n v="119.1"/>
    <n v="1"/>
    <n v="122"/>
    <n v="0"/>
    <n v="0"/>
    <n v="0"/>
    <n v="0"/>
    <n v="0.1113"/>
    <n v="-0.91490000000000005"/>
    <n v="1.8E-3"/>
    <n v="-1.4819"/>
    <n v="1.2589999999999999"/>
    <n v="-0.73309999999999997"/>
    <n v="4"/>
    <n v="115.1"/>
    <n v="1"/>
    <n v="130.69999999999999"/>
    <n v="0"/>
    <n v="0"/>
    <n v="88.707099999999997"/>
    <n v="7"/>
    <n v="0"/>
  </r>
  <r>
    <x v="0"/>
    <x v="0"/>
    <s v="SPXW"/>
    <x v="4"/>
    <x v="228"/>
    <s v="p"/>
    <n v="108.53"/>
    <n v="126.9"/>
    <n v="101.65"/>
    <n v="126.9"/>
    <n v="6"/>
    <n v="3"/>
    <n v="123.5"/>
    <n v="1"/>
    <n v="126"/>
    <n v="0"/>
    <n v="0"/>
    <n v="0"/>
    <n v="0"/>
    <n v="0.1077"/>
    <n v="-0.9304"/>
    <n v="1.6000000000000001E-3"/>
    <n v="-1.1961999999999999"/>
    <n v="1.0961000000000001"/>
    <n v="-0.74580000000000002"/>
    <n v="3"/>
    <n v="119.6"/>
    <n v="1"/>
    <n v="135"/>
    <n v="0"/>
    <n v="0"/>
    <n v="111.8933"/>
    <n v="30"/>
    <n v="0"/>
  </r>
  <r>
    <x v="0"/>
    <x v="0"/>
    <s v="SPXW"/>
    <x v="4"/>
    <x v="229"/>
    <s v="p"/>
    <n v="0"/>
    <n v="0"/>
    <n v="0"/>
    <n v="0"/>
    <n v="0"/>
    <n v="3"/>
    <n v="123.3"/>
    <n v="1"/>
    <n v="134"/>
    <n v="0"/>
    <n v="0"/>
    <n v="0"/>
    <n v="0"/>
    <n v="0.1007"/>
    <n v="-0.94989999999999997"/>
    <n v="1.4E-3"/>
    <n v="-0.8246"/>
    <n v="0.87050000000000005"/>
    <n v="-0.76139999999999997"/>
    <n v="3"/>
    <n v="124.1"/>
    <n v="1"/>
    <n v="139.4"/>
    <n v="0"/>
    <n v="0"/>
    <n v="0"/>
    <n v="33"/>
    <n v="0"/>
  </r>
  <r>
    <x v="0"/>
    <x v="0"/>
    <s v="SPXW"/>
    <x v="4"/>
    <x v="230"/>
    <s v="p"/>
    <n v="0"/>
    <n v="0"/>
    <n v="0"/>
    <n v="0"/>
    <n v="0"/>
    <n v="3"/>
    <n v="127.8"/>
    <n v="1"/>
    <n v="138.5"/>
    <n v="0"/>
    <n v="0"/>
    <n v="0"/>
    <n v="0"/>
    <n v="9.2299999999999993E-2"/>
    <n v="-0.96919999999999995"/>
    <n v="1E-3"/>
    <n v="-0.4713"/>
    <n v="0.61399999999999999"/>
    <n v="-0.77680000000000005"/>
    <n v="4"/>
    <n v="128.6"/>
    <n v="2"/>
    <n v="143.9"/>
    <n v="0"/>
    <n v="0"/>
    <n v="0"/>
    <n v="0"/>
    <n v="0"/>
  </r>
  <r>
    <x v="0"/>
    <x v="0"/>
    <s v="SPXW"/>
    <x v="4"/>
    <x v="231"/>
    <s v="p"/>
    <n v="0"/>
    <n v="0"/>
    <n v="0"/>
    <n v="0"/>
    <n v="0"/>
    <n v="1"/>
    <n v="132.4"/>
    <n v="1"/>
    <n v="143.1"/>
    <n v="0"/>
    <n v="0"/>
    <n v="0"/>
    <n v="0"/>
    <n v="8.5500000000000007E-2"/>
    <n v="-0.9819"/>
    <n v="6.9999999999999999E-4"/>
    <n v="-0.253"/>
    <n v="0.4158"/>
    <n v="-0.78700000000000003"/>
    <n v="3"/>
    <n v="133.30000000000001"/>
    <n v="2"/>
    <n v="148.5"/>
    <n v="0"/>
    <n v="0"/>
    <n v="0"/>
    <n v="3"/>
    <n v="0"/>
  </r>
  <r>
    <x v="0"/>
    <x v="0"/>
    <s v="SPXW"/>
    <x v="4"/>
    <x v="232"/>
    <s v="p"/>
    <n v="0"/>
    <n v="0"/>
    <n v="0"/>
    <n v="0"/>
    <n v="0"/>
    <n v="1"/>
    <n v="137"/>
    <n v="1"/>
    <n v="147.69999999999999"/>
    <n v="0"/>
    <n v="0"/>
    <n v="0"/>
    <n v="0"/>
    <n v="8.2199999999999995E-2"/>
    <n v="-0.9879"/>
    <n v="5.0000000000000001E-4"/>
    <n v="-0.157"/>
    <n v="0.30740000000000001"/>
    <n v="-0.79200000000000004"/>
    <n v="4"/>
    <n v="137.9"/>
    <n v="1"/>
    <n v="152.4"/>
    <n v="0"/>
    <n v="0"/>
    <n v="0"/>
    <n v="0"/>
    <n v="0"/>
  </r>
  <r>
    <x v="0"/>
    <x v="0"/>
    <s v="SPXW"/>
    <x v="4"/>
    <x v="233"/>
    <s v="p"/>
    <n v="113.69"/>
    <n v="113.69"/>
    <n v="113.69"/>
    <n v="113.69"/>
    <n v="1"/>
    <n v="1"/>
    <n v="141.69999999999999"/>
    <n v="1"/>
    <n v="152.30000000000001"/>
    <n v="0"/>
    <n v="0"/>
    <n v="0"/>
    <n v="0"/>
    <n v="0.1472"/>
    <n v="-0.90269999999999995"/>
    <n v="1.5E-3"/>
    <n v="-2.2016"/>
    <n v="1.3580000000000001"/>
    <n v="-0.72609999999999997"/>
    <n v="3"/>
    <n v="142.69999999999999"/>
    <n v="2"/>
    <n v="157.80000000000001"/>
    <n v="0"/>
    <n v="0"/>
    <n v="113.69"/>
    <n v="21"/>
    <n v="0"/>
  </r>
  <r>
    <x v="0"/>
    <x v="0"/>
    <s v="SPXW"/>
    <x v="4"/>
    <x v="234"/>
    <s v="p"/>
    <n v="0"/>
    <n v="0"/>
    <n v="0"/>
    <n v="0"/>
    <n v="0"/>
    <n v="1"/>
    <n v="146.4"/>
    <n v="1"/>
    <n v="157"/>
    <n v="0"/>
    <n v="0"/>
    <n v="0"/>
    <n v="0"/>
    <n v="0.14849999999999999"/>
    <n v="-0.90820000000000001"/>
    <n v="1.5E-3"/>
    <n v="-2.1110000000000002"/>
    <n v="1.3031999999999999"/>
    <n v="-0.73070000000000002"/>
    <n v="4"/>
    <n v="147.4"/>
    <n v="1"/>
    <n v="162"/>
    <n v="0"/>
    <n v="0"/>
    <n v="0"/>
    <n v="1"/>
    <n v="0"/>
  </r>
  <r>
    <x v="0"/>
    <x v="0"/>
    <s v="SPXW"/>
    <x v="4"/>
    <x v="235"/>
    <s v="p"/>
    <n v="0"/>
    <n v="0"/>
    <n v="0"/>
    <n v="0"/>
    <n v="0"/>
    <n v="1"/>
    <n v="151.30000000000001"/>
    <n v="1"/>
    <n v="161.80000000000001"/>
    <n v="0"/>
    <n v="0"/>
    <n v="0"/>
    <n v="0"/>
    <n v="0.15040000000000001"/>
    <n v="-0.91239999999999999"/>
    <n v="1.4E-3"/>
    <n v="-2.0529000000000002"/>
    <n v="1.2604"/>
    <n v="-0.73429999999999995"/>
    <n v="4"/>
    <n v="152.19999999999999"/>
    <n v="2"/>
    <n v="167.3"/>
    <n v="0"/>
    <n v="0"/>
    <n v="0"/>
    <n v="0"/>
    <n v="0"/>
  </r>
  <r>
    <x v="0"/>
    <x v="0"/>
    <s v="SPXW"/>
    <x v="4"/>
    <x v="236"/>
    <s v="p"/>
    <n v="0"/>
    <n v="0"/>
    <n v="0"/>
    <n v="0"/>
    <n v="0"/>
    <n v="1"/>
    <n v="155.9"/>
    <n v="3"/>
    <n v="168"/>
    <n v="0"/>
    <n v="0"/>
    <n v="0"/>
    <n v="0"/>
    <n v="0.1636"/>
    <n v="-0.90039999999999998"/>
    <n v="1.4E-3"/>
    <n v="-2.496"/>
    <n v="1.3734"/>
    <n v="-0.72540000000000004"/>
    <n v="3"/>
    <n v="157"/>
    <n v="2"/>
    <n v="172.1"/>
    <n v="0"/>
    <n v="0"/>
    <n v="0"/>
    <n v="0"/>
    <n v="0"/>
  </r>
  <r>
    <x v="0"/>
    <x v="0"/>
    <s v="SPXW"/>
    <x v="4"/>
    <x v="237"/>
    <s v="p"/>
    <n v="169.14"/>
    <n v="169.14"/>
    <n v="169.14"/>
    <n v="169.14"/>
    <n v="1"/>
    <n v="3"/>
    <n v="165.4"/>
    <n v="1"/>
    <n v="168.2"/>
    <n v="0"/>
    <n v="0"/>
    <n v="0"/>
    <n v="0"/>
    <n v="0.11799999999999999"/>
    <n v="-0.96709999999999996"/>
    <n v="8.0000000000000004E-4"/>
    <n v="-0.64429999999999998"/>
    <n v="0.62360000000000004"/>
    <n v="-0.77769999999999995"/>
    <n v="4"/>
    <n v="161.80000000000001"/>
    <n v="2"/>
    <n v="176.9"/>
    <n v="0"/>
    <n v="0"/>
    <n v="169.14"/>
    <n v="28"/>
    <n v="0"/>
  </r>
  <r>
    <x v="0"/>
    <x v="0"/>
    <s v="SPXW"/>
    <x v="4"/>
    <x v="238"/>
    <s v="p"/>
    <n v="136.31"/>
    <n v="136.31"/>
    <n v="136.31"/>
    <n v="136.31"/>
    <n v="1"/>
    <n v="1"/>
    <n v="165.5"/>
    <n v="1"/>
    <n v="176.6"/>
    <n v="0"/>
    <n v="0"/>
    <n v="0"/>
    <n v="0"/>
    <n v="0.15920000000000001"/>
    <n v="-0.9194"/>
    <n v="1.1999999999999999E-3"/>
    <n v="-2.0177"/>
    <n v="1.1842999999999999"/>
    <n v="-0.7409"/>
    <n v="4"/>
    <n v="166.7"/>
    <n v="2"/>
    <n v="181.8"/>
    <n v="0"/>
    <n v="0"/>
    <n v="136.31"/>
    <n v="39"/>
    <n v="0"/>
  </r>
  <r>
    <x v="0"/>
    <x v="0"/>
    <s v="SPXW"/>
    <x v="4"/>
    <x v="239"/>
    <s v="p"/>
    <n v="0"/>
    <n v="0"/>
    <n v="0"/>
    <n v="0"/>
    <n v="0"/>
    <n v="1"/>
    <n v="169.6"/>
    <n v="1"/>
    <n v="182.7"/>
    <n v="0"/>
    <n v="0"/>
    <n v="0"/>
    <n v="0"/>
    <n v="0.1721"/>
    <n v="-0.90849999999999997"/>
    <n v="1.2999999999999999E-3"/>
    <n v="-2.4380999999999999"/>
    <n v="1.2899"/>
    <n v="-0.7329"/>
    <n v="4"/>
    <n v="171.6"/>
    <n v="1"/>
    <n v="186.8"/>
    <n v="0"/>
    <n v="0"/>
    <n v="0"/>
    <n v="0"/>
    <n v="0"/>
  </r>
  <r>
    <x v="0"/>
    <x v="0"/>
    <s v="SPXW"/>
    <x v="4"/>
    <x v="240"/>
    <s v="p"/>
    <n v="0"/>
    <n v="0"/>
    <n v="0"/>
    <n v="0"/>
    <n v="0"/>
    <n v="1"/>
    <n v="174.5"/>
    <n v="1"/>
    <n v="187.6"/>
    <n v="0"/>
    <n v="0"/>
    <n v="0"/>
    <n v="0"/>
    <n v="0.17480000000000001"/>
    <n v="-0.91110000000000002"/>
    <n v="1.1999999999999999E-3"/>
    <n v="-2.4165000000000001"/>
    <n v="1.2635000000000001"/>
    <n v="-0.73519999999999996"/>
    <n v="2"/>
    <n v="176.5"/>
    <n v="2"/>
    <n v="192.5"/>
    <n v="0"/>
    <n v="0"/>
    <n v="0"/>
    <n v="0"/>
    <n v="0"/>
  </r>
  <r>
    <x v="0"/>
    <x v="0"/>
    <s v="SPXW"/>
    <x v="4"/>
    <x v="241"/>
    <s v="p"/>
    <n v="145.79"/>
    <n v="145.79"/>
    <n v="145.79"/>
    <n v="145.79"/>
    <n v="1"/>
    <n v="1"/>
    <n v="179.4"/>
    <n v="1"/>
    <n v="192.5"/>
    <n v="0"/>
    <n v="0"/>
    <n v="0"/>
    <n v="0"/>
    <n v="0.17749999999999999"/>
    <n v="-0.91349999999999998"/>
    <n v="1.1999999999999999E-3"/>
    <n v="-2.3938000000000001"/>
    <n v="1.2378"/>
    <n v="-0.73750000000000004"/>
    <n v="3"/>
    <n v="181.4"/>
    <n v="3"/>
    <n v="197.4"/>
    <n v="0"/>
    <n v="0"/>
    <n v="145.79"/>
    <n v="3"/>
    <n v="0"/>
  </r>
  <r>
    <x v="0"/>
    <x v="0"/>
    <s v="SPXW"/>
    <x v="4"/>
    <x v="242"/>
    <s v="p"/>
    <n v="0"/>
    <n v="0"/>
    <n v="0"/>
    <n v="0"/>
    <n v="0"/>
    <n v="1"/>
    <n v="185.2"/>
    <n v="1"/>
    <n v="197.4"/>
    <n v="0"/>
    <n v="0"/>
    <n v="0"/>
    <n v="0"/>
    <n v="0.1802"/>
    <n v="-0.91590000000000005"/>
    <n v="1.1000000000000001E-3"/>
    <n v="-2.37"/>
    <n v="1.2124999999999999"/>
    <n v="-0.73970000000000002"/>
    <n v="2"/>
    <n v="186.4"/>
    <n v="1"/>
    <n v="201.2"/>
    <n v="0"/>
    <n v="0"/>
    <n v="0"/>
    <n v="0"/>
    <n v="0"/>
  </r>
  <r>
    <x v="0"/>
    <x v="0"/>
    <s v="SPXW"/>
    <x v="4"/>
    <x v="243"/>
    <s v="p"/>
    <n v="0"/>
    <n v="0"/>
    <n v="0"/>
    <n v="0"/>
    <n v="0"/>
    <n v="1"/>
    <n v="189.4"/>
    <n v="1"/>
    <n v="202.4"/>
    <n v="0"/>
    <n v="0"/>
    <n v="0"/>
    <n v="0"/>
    <n v="0.1837"/>
    <n v="-0.91720000000000002"/>
    <n v="1.1000000000000001E-3"/>
    <n v="-2.3828999999999998"/>
    <n v="1.1981999999999999"/>
    <n v="-0.74109999999999998"/>
    <n v="3"/>
    <n v="191.3"/>
    <n v="1"/>
    <n v="206.2"/>
    <n v="0"/>
    <n v="0"/>
    <n v="0"/>
    <n v="6"/>
    <n v="0"/>
  </r>
  <r>
    <x v="0"/>
    <x v="0"/>
    <s v="SPXW"/>
    <x v="4"/>
    <x v="244"/>
    <s v="p"/>
    <n v="0"/>
    <n v="0"/>
    <n v="0"/>
    <n v="0"/>
    <n v="0"/>
    <n v="1"/>
    <n v="194.2"/>
    <n v="1"/>
    <n v="207.3"/>
    <n v="0"/>
    <n v="0"/>
    <n v="0"/>
    <n v="0"/>
    <n v="0.1862"/>
    <n v="-0.91949999999999998"/>
    <n v="1.1000000000000001E-3"/>
    <n v="-2.3574999999999999"/>
    <n v="1.1738"/>
    <n v="-0.74329999999999996"/>
    <n v="2"/>
    <n v="196.3"/>
    <n v="1"/>
    <n v="211"/>
    <n v="0"/>
    <n v="0"/>
    <n v="0"/>
    <n v="0"/>
    <n v="0"/>
  </r>
  <r>
    <x v="0"/>
    <x v="0"/>
    <s v="SPXW"/>
    <x v="4"/>
    <x v="245"/>
    <s v="p"/>
    <n v="0"/>
    <n v="0"/>
    <n v="0"/>
    <n v="0"/>
    <n v="0"/>
    <n v="1"/>
    <n v="200"/>
    <n v="1"/>
    <n v="212.3"/>
    <n v="0"/>
    <n v="0"/>
    <n v="0"/>
    <n v="0"/>
    <n v="0.1923"/>
    <n v="-0.91739999999999999"/>
    <n v="1E-3"/>
    <n v="-2.4904999999999999"/>
    <n v="1.1938"/>
    <n v="-0.74199999999999999"/>
    <n v="3"/>
    <n v="200.2"/>
    <n v="1"/>
    <n v="220.5"/>
    <n v="0"/>
    <n v="0"/>
    <n v="0"/>
    <n v="3"/>
    <n v="0"/>
  </r>
  <r>
    <x v="0"/>
    <x v="0"/>
    <s v="SPXW"/>
    <x v="4"/>
    <x v="246"/>
    <s v="p"/>
    <n v="0"/>
    <n v="0"/>
    <n v="0"/>
    <n v="0"/>
    <n v="0"/>
    <n v="1"/>
    <n v="205.4"/>
    <n v="1"/>
    <n v="218.4"/>
    <n v="0"/>
    <n v="0"/>
    <n v="0"/>
    <n v="0"/>
    <n v="0.20269999999999999"/>
    <n v="-0.9113"/>
    <n v="1E-3"/>
    <n v="-2.7942"/>
    <n v="1.2527999999999999"/>
    <n v="-0.73770000000000002"/>
    <n v="1"/>
    <n v="202.6"/>
    <n v="1"/>
    <n v="220.9"/>
    <n v="0"/>
    <n v="0"/>
    <n v="0"/>
    <n v="0"/>
    <n v="0"/>
  </r>
  <r>
    <x v="0"/>
    <x v="0"/>
    <s v="SPXW"/>
    <x v="4"/>
    <x v="247"/>
    <s v="p"/>
    <n v="0"/>
    <n v="0"/>
    <n v="0"/>
    <n v="0"/>
    <n v="0"/>
    <n v="1"/>
    <n v="209.1"/>
    <n v="1"/>
    <n v="222.6"/>
    <n v="0"/>
    <n v="0"/>
    <n v="0"/>
    <n v="0"/>
    <n v="0.1993"/>
    <n v="-0.92"/>
    <n v="1E-3"/>
    <n v="-2.5083000000000002"/>
    <n v="1.1649"/>
    <n v="-0.74480000000000002"/>
    <n v="2"/>
    <n v="207.2"/>
    <n v="1"/>
    <n v="227.3"/>
    <n v="0"/>
    <n v="0"/>
    <n v="0"/>
    <n v="0"/>
    <n v="0"/>
  </r>
  <r>
    <x v="0"/>
    <x v="0"/>
    <s v="SPXW"/>
    <x v="4"/>
    <x v="248"/>
    <s v="p"/>
    <n v="0"/>
    <n v="0"/>
    <n v="0"/>
    <n v="0"/>
    <n v="0"/>
    <n v="1"/>
    <n v="210.8"/>
    <n v="1"/>
    <n v="229.6"/>
    <n v="0"/>
    <n v="0"/>
    <n v="0"/>
    <n v="0"/>
    <n v="0.2195"/>
    <n v="-0.90359999999999996"/>
    <n v="1E-3"/>
    <n v="-3.2553000000000001"/>
    <n v="1.3259000000000001"/>
    <n v="-0.73250000000000004"/>
    <n v="1"/>
    <n v="213.6"/>
    <n v="1"/>
    <n v="235.6"/>
    <n v="0"/>
    <n v="0"/>
    <n v="0"/>
    <n v="0"/>
    <n v="0"/>
  </r>
  <r>
    <x v="0"/>
    <x v="0"/>
    <s v="SPXW"/>
    <x v="4"/>
    <x v="249"/>
    <s v="p"/>
    <n v="0"/>
    <n v="0"/>
    <n v="0"/>
    <n v="0"/>
    <n v="0"/>
    <n v="1"/>
    <n v="216.7"/>
    <n v="1"/>
    <n v="234.6"/>
    <n v="0"/>
    <n v="0"/>
    <n v="0"/>
    <n v="0"/>
    <n v="0.22309999999999999"/>
    <n v="-0.90480000000000005"/>
    <n v="1E-3"/>
    <n v="-3.2713000000000001"/>
    <n v="1.3129"/>
    <n v="-0.7339"/>
    <n v="1"/>
    <n v="218.5"/>
    <n v="1"/>
    <n v="240.5"/>
    <n v="0"/>
    <n v="0"/>
    <n v="0"/>
    <n v="2"/>
    <n v="0"/>
  </r>
  <r>
    <x v="0"/>
    <x v="0"/>
    <s v="SPXW"/>
    <x v="4"/>
    <x v="250"/>
    <s v="p"/>
    <n v="0"/>
    <n v="0"/>
    <n v="0"/>
    <n v="0"/>
    <n v="0"/>
    <n v="1"/>
    <n v="221.5"/>
    <n v="1"/>
    <n v="240.1"/>
    <n v="0"/>
    <n v="0"/>
    <n v="0"/>
    <n v="0"/>
    <n v="0.2306"/>
    <n v="-0.90210000000000001"/>
    <n v="1E-3"/>
    <n v="-3.4636999999999998"/>
    <n v="1.3378000000000001"/>
    <n v="-0.73219999999999996"/>
    <n v="1"/>
    <n v="223.5"/>
    <n v="1"/>
    <n v="245.5"/>
    <n v="0"/>
    <n v="0"/>
    <n v="0"/>
    <n v="0"/>
    <n v="0"/>
  </r>
  <r>
    <x v="0"/>
    <x v="0"/>
    <s v="SPXW"/>
    <x v="4"/>
    <x v="251"/>
    <s v="p"/>
    <n v="0"/>
    <n v="0"/>
    <n v="0"/>
    <n v="0"/>
    <n v="0"/>
    <n v="1"/>
    <n v="225"/>
    <n v="1"/>
    <n v="244.5"/>
    <n v="0"/>
    <n v="0"/>
    <n v="0"/>
    <n v="0"/>
    <n v="0.22939999999999999"/>
    <n v="-0.90800000000000003"/>
    <n v="1E-3"/>
    <n v="-3.2663000000000002"/>
    <n v="1.2803"/>
    <n v="-0.73699999999999999"/>
    <n v="1"/>
    <n v="228.5"/>
    <n v="1"/>
    <n v="250.5"/>
    <n v="0"/>
    <n v="0"/>
    <n v="0"/>
    <n v="0"/>
    <n v="0"/>
  </r>
  <r>
    <x v="0"/>
    <x v="0"/>
    <s v="SPXW"/>
    <x v="4"/>
    <x v="252"/>
    <s v="p"/>
    <n v="0"/>
    <n v="0"/>
    <n v="0"/>
    <n v="0"/>
    <n v="0"/>
    <n v="1"/>
    <n v="231.7"/>
    <n v="1"/>
    <n v="250.5"/>
    <n v="0"/>
    <n v="0"/>
    <n v="0"/>
    <n v="0"/>
    <n v="0.2409"/>
    <n v="-0.90149999999999997"/>
    <n v="1E-3"/>
    <n v="-3.6368999999999998"/>
    <n v="1.3416999999999999"/>
    <n v="-0.73250000000000004"/>
    <n v="1"/>
    <n v="232.4"/>
    <n v="1"/>
    <n v="250.8"/>
    <n v="0"/>
    <n v="0"/>
    <n v="0"/>
    <n v="0"/>
    <n v="0"/>
  </r>
  <r>
    <x v="0"/>
    <x v="0"/>
    <s v="SPXW"/>
    <x v="4"/>
    <x v="253"/>
    <s v="p"/>
    <n v="0"/>
    <n v="0"/>
    <n v="0"/>
    <n v="0"/>
    <n v="0"/>
    <n v="1"/>
    <n v="235"/>
    <n v="1"/>
    <n v="254.5"/>
    <n v="0"/>
    <n v="0"/>
    <n v="0"/>
    <n v="0"/>
    <n v="0.23649999999999999"/>
    <n v="-0.91020000000000001"/>
    <n v="8.9999999999999998E-4"/>
    <n v="-3.2957000000000001"/>
    <n v="1.2568999999999999"/>
    <n v="-0.73950000000000005"/>
    <n v="1"/>
    <n v="237.5"/>
    <n v="1"/>
    <n v="255.9"/>
    <n v="0"/>
    <n v="0"/>
    <n v="0"/>
    <n v="0"/>
    <n v="0"/>
  </r>
  <r>
    <x v="0"/>
    <x v="0"/>
    <s v="SPXW"/>
    <x v="4"/>
    <x v="254"/>
    <s v="p"/>
    <n v="0"/>
    <n v="0"/>
    <n v="0"/>
    <n v="0"/>
    <n v="0"/>
    <n v="1"/>
    <n v="244.9"/>
    <n v="1"/>
    <n v="264.39999999999998"/>
    <n v="0"/>
    <n v="0"/>
    <n v="0"/>
    <n v="0"/>
    <n v="0.2427"/>
    <n v="-0.91300000000000003"/>
    <n v="8.9999999999999998E-4"/>
    <n v="-3.2871000000000001"/>
    <n v="1.2272000000000001"/>
    <n v="-0.74250000000000005"/>
    <n v="1"/>
    <n v="247.7"/>
    <n v="1"/>
    <n v="270.5"/>
    <n v="0"/>
    <n v="0"/>
    <n v="0"/>
    <n v="0"/>
    <n v="0"/>
  </r>
  <r>
    <x v="0"/>
    <x v="0"/>
    <s v="SPXW"/>
    <x v="4"/>
    <x v="255"/>
    <s v="p"/>
    <n v="0"/>
    <n v="0"/>
    <n v="0"/>
    <n v="0"/>
    <n v="0"/>
    <n v="1"/>
    <n v="254.9"/>
    <n v="1"/>
    <n v="274.5"/>
    <n v="0"/>
    <n v="0"/>
    <n v="0"/>
    <n v="0"/>
    <n v="0.2505"/>
    <n v="-0.91420000000000001"/>
    <n v="8.0000000000000004E-4"/>
    <n v="-3.3512"/>
    <n v="1.2137"/>
    <n v="-0.74409999999999998"/>
    <n v="1"/>
    <n v="258.39999999999998"/>
    <n v="1"/>
    <n v="279.60000000000002"/>
    <n v="0"/>
    <n v="0"/>
    <n v="0"/>
    <n v="0"/>
    <n v="0"/>
  </r>
  <r>
    <x v="0"/>
    <x v="0"/>
    <s v="SPXW"/>
    <x v="4"/>
    <x v="256"/>
    <s v="p"/>
    <n v="0"/>
    <n v="0"/>
    <n v="0"/>
    <n v="0"/>
    <n v="0"/>
    <n v="1"/>
    <n v="259.89999999999998"/>
    <n v="1"/>
    <n v="279.5"/>
    <n v="0"/>
    <n v="0"/>
    <n v="0"/>
    <n v="0"/>
    <n v="0.25390000000000001"/>
    <n v="-0.91520000000000001"/>
    <n v="8.0000000000000004E-4"/>
    <n v="-3.3643000000000001"/>
    <n v="1.2035"/>
    <n v="-0.74529999999999996"/>
    <n v="1"/>
    <n v="263.39999999999998"/>
    <n v="1"/>
    <n v="285.3"/>
    <n v="0"/>
    <n v="0"/>
    <n v="0"/>
    <n v="0"/>
    <n v="0"/>
  </r>
  <r>
    <x v="0"/>
    <x v="0"/>
    <s v="SPXW"/>
    <x v="4"/>
    <x v="257"/>
    <s v="p"/>
    <n v="0"/>
    <n v="0"/>
    <n v="0"/>
    <n v="0"/>
    <n v="0"/>
    <n v="1"/>
    <n v="264.89999999999998"/>
    <n v="1"/>
    <n v="284.5"/>
    <n v="0"/>
    <n v="0"/>
    <n v="0"/>
    <n v="0"/>
    <n v="0.25740000000000002"/>
    <n v="-0.91610000000000003"/>
    <n v="8.0000000000000004E-4"/>
    <n v="-3.3774999999999999"/>
    <n v="1.1936"/>
    <n v="-0.74629999999999996"/>
    <n v="1"/>
    <n v="268.39999999999998"/>
    <n v="1"/>
    <n v="290.3"/>
    <n v="0"/>
    <n v="0"/>
    <n v="0"/>
    <n v="0"/>
    <n v="0"/>
  </r>
  <r>
    <x v="0"/>
    <x v="0"/>
    <s v="SPXW"/>
    <x v="4"/>
    <x v="258"/>
    <s v="p"/>
    <n v="0"/>
    <n v="0"/>
    <n v="0"/>
    <n v="0"/>
    <n v="0"/>
    <n v="1"/>
    <n v="276.10000000000002"/>
    <n v="1"/>
    <n v="294.39999999999998"/>
    <n v="0"/>
    <n v="0"/>
    <n v="0"/>
    <n v="0"/>
    <n v="0.26340000000000002"/>
    <n v="-0.91849999999999998"/>
    <n v="8.0000000000000004E-4"/>
    <n v="-3.3649"/>
    <n v="1.1669"/>
    <n v="-0.749"/>
    <n v="1"/>
    <n v="278.39999999999998"/>
    <n v="1"/>
    <n v="300.39999999999998"/>
    <n v="0"/>
    <n v="0"/>
    <n v="0"/>
    <n v="0"/>
    <n v="0"/>
  </r>
  <r>
    <x v="0"/>
    <x v="0"/>
    <s v="SPXW"/>
    <x v="4"/>
    <x v="259"/>
    <s v="p"/>
    <n v="0"/>
    <n v="0"/>
    <n v="0"/>
    <n v="0"/>
    <n v="0"/>
    <n v="1"/>
    <n v="286.10000000000002"/>
    <n v="1"/>
    <n v="304.39999999999998"/>
    <n v="0"/>
    <n v="0"/>
    <n v="0"/>
    <n v="0"/>
    <n v="0.2702"/>
    <n v="-0.92020000000000002"/>
    <n v="6.9999999999999999E-4"/>
    <n v="-3.3889999999999998"/>
    <n v="1.1484000000000001"/>
    <n v="-0.75109999999999999"/>
    <n v="3"/>
    <n v="286.89999999999998"/>
    <n v="1"/>
    <n v="305.89999999999998"/>
    <n v="0"/>
    <n v="0"/>
    <n v="0"/>
    <n v="6"/>
    <n v="0"/>
  </r>
  <r>
    <x v="0"/>
    <x v="0"/>
    <s v="SPXW"/>
    <x v="4"/>
    <x v="260"/>
    <s v="p"/>
    <n v="0"/>
    <n v="0"/>
    <n v="0"/>
    <n v="0"/>
    <n v="0"/>
    <n v="1"/>
    <n v="296.60000000000002"/>
    <n v="1"/>
    <n v="314.39999999999998"/>
    <n v="0"/>
    <n v="0"/>
    <n v="0"/>
    <n v="0"/>
    <n v="0.27689999999999998"/>
    <n v="-0.92179999999999995"/>
    <n v="6.9999999999999999E-4"/>
    <n v="-3.4123999999999999"/>
    <n v="1.1306"/>
    <n v="-0.75309999999999999"/>
    <n v="1"/>
    <n v="298.39999999999998"/>
    <n v="1"/>
    <n v="320.39999999999998"/>
    <n v="0"/>
    <n v="0"/>
    <n v="0"/>
    <n v="1"/>
    <n v="0"/>
  </r>
  <r>
    <x v="0"/>
    <x v="0"/>
    <s v="SPXW"/>
    <x v="4"/>
    <x v="261"/>
    <s v="p"/>
    <n v="0"/>
    <n v="0"/>
    <n v="0"/>
    <n v="0"/>
    <n v="0"/>
    <n v="1"/>
    <n v="306.60000000000002"/>
    <n v="1"/>
    <n v="324.3"/>
    <n v="0"/>
    <n v="0"/>
    <n v="0"/>
    <n v="0"/>
    <n v="0.28270000000000001"/>
    <n v="-0.92390000000000005"/>
    <n v="6.9999999999999999E-4"/>
    <n v="-3.3959999999999999"/>
    <n v="1.1061000000000001"/>
    <n v="-0.75560000000000005"/>
    <n v="1"/>
    <n v="307.7"/>
    <n v="1"/>
    <n v="330.4"/>
    <n v="0"/>
    <n v="0"/>
    <n v="0"/>
    <n v="1"/>
    <n v="0"/>
  </r>
  <r>
    <x v="0"/>
    <x v="0"/>
    <s v="SPXW"/>
    <x v="4"/>
    <x v="262"/>
    <s v="p"/>
    <n v="0"/>
    <n v="0"/>
    <n v="0"/>
    <n v="0"/>
    <n v="0"/>
    <n v="1"/>
    <n v="311.60000000000002"/>
    <n v="1"/>
    <n v="329.4"/>
    <n v="0"/>
    <n v="0"/>
    <n v="0"/>
    <n v="0"/>
    <n v="0.28699999999999998"/>
    <n v="-0.92400000000000004"/>
    <n v="6.9999999999999999E-4"/>
    <n v="-3.4460999999999999"/>
    <n v="1.1052"/>
    <n v="-0.75600000000000001"/>
    <n v="3"/>
    <n v="311.89999999999998"/>
    <n v="1"/>
    <n v="330.7"/>
    <n v="0"/>
    <n v="0"/>
    <n v="0"/>
    <n v="0"/>
    <n v="0"/>
  </r>
  <r>
    <x v="0"/>
    <x v="0"/>
    <s v="SPXW"/>
    <x v="4"/>
    <x v="318"/>
    <s v="p"/>
    <n v="0"/>
    <n v="0"/>
    <n v="0"/>
    <n v="0"/>
    <n v="0"/>
    <n v="1"/>
    <n v="316.10000000000002"/>
    <n v="1"/>
    <n v="334.4"/>
    <n v="0"/>
    <n v="0"/>
    <n v="0"/>
    <n v="0"/>
    <n v="0.2903"/>
    <n v="-0.92469999999999997"/>
    <n v="5.9999999999999995E-4"/>
    <n v="-3.4569999999999999"/>
    <n v="1.097"/>
    <n v="-0.75690000000000002"/>
    <n v="1"/>
    <n v="318.3"/>
    <n v="1"/>
    <n v="340.1"/>
    <n v="0"/>
    <n v="0"/>
    <n v="0"/>
    <n v="0"/>
    <n v="0"/>
  </r>
  <r>
    <x v="0"/>
    <x v="0"/>
    <s v="SPXW"/>
    <x v="4"/>
    <x v="319"/>
    <s v="p"/>
    <n v="0"/>
    <n v="0"/>
    <n v="0"/>
    <n v="0"/>
    <n v="0"/>
    <n v="1"/>
    <n v="324.8"/>
    <n v="1"/>
    <n v="344.4"/>
    <n v="0"/>
    <n v="0"/>
    <n v="0"/>
    <n v="0"/>
    <n v="0.2969"/>
    <n v="-0.92600000000000005"/>
    <n v="5.9999999999999995E-4"/>
    <n v="-3.4782999999999999"/>
    <n v="1.0811999999999999"/>
    <n v="-0.75870000000000004"/>
    <n v="1"/>
    <n v="328.3"/>
    <n v="1"/>
    <n v="350.2"/>
    <n v="0"/>
    <n v="0"/>
    <n v="0"/>
    <n v="0"/>
    <n v="0"/>
  </r>
  <r>
    <x v="0"/>
    <x v="0"/>
    <s v="SPXW"/>
    <x v="4"/>
    <x v="263"/>
    <s v="p"/>
    <n v="0"/>
    <n v="0"/>
    <n v="0"/>
    <n v="0"/>
    <n v="0"/>
    <n v="1"/>
    <n v="334.8"/>
    <n v="1"/>
    <n v="354.4"/>
    <n v="0"/>
    <n v="0"/>
    <n v="0"/>
    <n v="0"/>
    <n v="0.30349999999999999"/>
    <n v="-0.92730000000000001"/>
    <n v="5.9999999999999995E-4"/>
    <n v="-3.4990000000000001"/>
    <n v="1.0660000000000001"/>
    <n v="-0.76049999999999995"/>
    <n v="1"/>
    <n v="337.3"/>
    <n v="1"/>
    <n v="355.8"/>
    <n v="0"/>
    <n v="0"/>
    <n v="0"/>
    <n v="1"/>
    <n v="0"/>
  </r>
  <r>
    <x v="0"/>
    <x v="0"/>
    <s v="SPXW"/>
    <x v="4"/>
    <x v="320"/>
    <s v="p"/>
    <n v="0"/>
    <n v="0"/>
    <n v="0"/>
    <n v="0"/>
    <n v="0"/>
    <n v="2"/>
    <n v="344.8"/>
    <n v="1"/>
    <n v="364.4"/>
    <n v="0"/>
    <n v="0"/>
    <n v="0"/>
    <n v="0"/>
    <n v="0.31009999999999999"/>
    <n v="-0.92859999999999998"/>
    <n v="5.9999999999999995E-4"/>
    <n v="-3.5190999999999999"/>
    <n v="1.0513999999999999"/>
    <n v="-0.76219999999999999"/>
    <n v="1"/>
    <n v="348.3"/>
    <n v="1"/>
    <n v="370.4"/>
    <n v="0"/>
    <n v="0"/>
    <n v="0"/>
    <n v="0"/>
    <n v="0"/>
  </r>
  <r>
    <x v="0"/>
    <x v="0"/>
    <s v="SPXW"/>
    <x v="4"/>
    <x v="321"/>
    <s v="p"/>
    <n v="0"/>
    <n v="0"/>
    <n v="0"/>
    <n v="0"/>
    <n v="0"/>
    <n v="1"/>
    <n v="356.6"/>
    <n v="1"/>
    <n v="374.4"/>
    <n v="0"/>
    <n v="0"/>
    <n v="0"/>
    <n v="0"/>
    <n v="0.31659999999999999"/>
    <n v="-0.92969999999999997"/>
    <n v="5.9999999999999995E-4"/>
    <n v="-3.5386000000000002"/>
    <n v="1.0374000000000001"/>
    <n v="-0.76390000000000002"/>
    <n v="1"/>
    <n v="358.3"/>
    <n v="2"/>
    <n v="380.4"/>
    <n v="0"/>
    <n v="0"/>
    <n v="0"/>
    <n v="0"/>
    <n v="0"/>
  </r>
  <r>
    <x v="0"/>
    <x v="0"/>
    <s v="SPXW"/>
    <x v="4"/>
    <x v="264"/>
    <s v="p"/>
    <n v="0"/>
    <n v="0"/>
    <n v="0"/>
    <n v="0"/>
    <n v="0"/>
    <n v="1"/>
    <n v="361.6"/>
    <n v="1"/>
    <n v="379.4"/>
    <n v="0"/>
    <n v="0"/>
    <n v="0"/>
    <n v="0"/>
    <n v="0.31990000000000002"/>
    <n v="-0.93030000000000002"/>
    <n v="5.9999999999999995E-4"/>
    <n v="-3.5482"/>
    <n v="1.0306"/>
    <n v="-0.76470000000000005"/>
    <n v="3"/>
    <n v="361.8"/>
    <n v="1"/>
    <n v="380.7"/>
    <n v="0"/>
    <n v="0"/>
    <n v="0"/>
    <n v="0"/>
    <n v="0"/>
  </r>
  <r>
    <x v="0"/>
    <x v="0"/>
    <s v="SPXW"/>
    <x v="4"/>
    <x v="322"/>
    <s v="p"/>
    <n v="0"/>
    <n v="0"/>
    <n v="0"/>
    <n v="0"/>
    <n v="0"/>
    <n v="1"/>
    <n v="364.8"/>
    <n v="1"/>
    <n v="385.1"/>
    <n v="0"/>
    <n v="0"/>
    <n v="0"/>
    <n v="0"/>
    <n v="0.33"/>
    <n v="-0.92659999999999998"/>
    <n v="5.9999999999999995E-4"/>
    <n v="-3.8393999999999999"/>
    <n v="1.0716000000000001"/>
    <n v="-0.76219999999999999"/>
    <n v="2"/>
    <n v="366.8"/>
    <n v="1"/>
    <n v="385.5"/>
    <n v="0"/>
    <n v="0"/>
    <n v="0"/>
    <n v="0"/>
    <n v="0"/>
  </r>
  <r>
    <x v="0"/>
    <x v="0"/>
    <s v="SPXW"/>
    <x v="4"/>
    <x v="323"/>
    <s v="p"/>
    <n v="0"/>
    <n v="0"/>
    <n v="0"/>
    <n v="0"/>
    <n v="0"/>
    <n v="1"/>
    <n v="374.8"/>
    <n v="1"/>
    <n v="395.1"/>
    <n v="0"/>
    <n v="0"/>
    <n v="0"/>
    <n v="0"/>
    <n v="0.33660000000000001"/>
    <n v="-0.92769999999999997"/>
    <n v="5.0000000000000001E-4"/>
    <n v="-3.8597999999999999"/>
    <n v="1.0582"/>
    <n v="-0.76390000000000002"/>
    <n v="2"/>
    <n v="376.8"/>
    <n v="1"/>
    <n v="395.7"/>
    <n v="0"/>
    <n v="0"/>
    <n v="0"/>
    <n v="0"/>
    <n v="0"/>
  </r>
  <r>
    <x v="0"/>
    <x v="0"/>
    <s v="SPXW"/>
    <x v="4"/>
    <x v="265"/>
    <s v="p"/>
    <n v="0"/>
    <n v="0"/>
    <n v="0"/>
    <n v="0"/>
    <n v="0"/>
    <n v="1"/>
    <n v="386.5"/>
    <n v="1"/>
    <n v="404.3"/>
    <n v="0"/>
    <n v="0"/>
    <n v="0"/>
    <n v="0"/>
    <n v="0.33489999999999998"/>
    <n v="-0.93359999999999999"/>
    <n v="5.0000000000000001E-4"/>
    <n v="-3.5529000000000002"/>
    <n v="0.99170000000000003"/>
    <n v="-0.76919999999999999"/>
    <n v="1"/>
    <n v="387.2"/>
    <n v="1"/>
    <n v="405.5"/>
    <n v="0"/>
    <n v="0"/>
    <n v="0"/>
    <n v="0"/>
    <n v="0"/>
  </r>
  <r>
    <x v="0"/>
    <x v="0"/>
    <s v="SPXW"/>
    <x v="4"/>
    <x v="324"/>
    <s v="p"/>
    <n v="0"/>
    <n v="0"/>
    <n v="0"/>
    <n v="0"/>
    <n v="0"/>
    <n v="1"/>
    <n v="396.3"/>
    <n v="1"/>
    <n v="414.9"/>
    <n v="0"/>
    <n v="0"/>
    <n v="0"/>
    <n v="0"/>
    <n v="0.34749999999999998"/>
    <n v="-0.93100000000000005"/>
    <n v="5.0000000000000001E-4"/>
    <n v="-3.8178000000000001"/>
    <n v="1.0198"/>
    <n v="-0.76790000000000003"/>
    <n v="1"/>
    <n v="398.3"/>
    <n v="2"/>
    <n v="420.8"/>
    <n v="0"/>
    <n v="0"/>
    <n v="0"/>
    <n v="0"/>
    <n v="0"/>
  </r>
  <r>
    <x v="0"/>
    <x v="0"/>
    <s v="SPXW"/>
    <x v="4"/>
    <x v="325"/>
    <s v="p"/>
    <n v="0"/>
    <n v="0"/>
    <n v="0"/>
    <n v="0"/>
    <n v="0"/>
    <n v="1"/>
    <n v="406.5"/>
    <n v="1"/>
    <n v="424.9"/>
    <n v="0"/>
    <n v="0"/>
    <n v="0"/>
    <n v="0"/>
    <n v="0.35399999999999998"/>
    <n v="-0.93200000000000005"/>
    <n v="5.0000000000000001E-4"/>
    <n v="-3.8361000000000001"/>
    <n v="1.008"/>
    <n v="-0.76949999999999996"/>
    <n v="1"/>
    <n v="408.3"/>
    <n v="2"/>
    <n v="430.8"/>
    <n v="0"/>
    <n v="0"/>
    <n v="0"/>
    <n v="0"/>
    <n v="0"/>
  </r>
  <r>
    <x v="0"/>
    <x v="0"/>
    <s v="SPXW"/>
    <x v="4"/>
    <x v="266"/>
    <s v="p"/>
    <n v="0"/>
    <n v="0"/>
    <n v="0"/>
    <n v="0"/>
    <n v="0"/>
    <n v="1"/>
    <n v="411.5"/>
    <n v="1"/>
    <n v="429.3"/>
    <n v="0"/>
    <n v="0"/>
    <n v="0"/>
    <n v="0"/>
    <n v="0.3508"/>
    <n v="-0.93610000000000004"/>
    <n v="5.0000000000000001E-4"/>
    <n v="-3.5958000000000001"/>
    <n v="0.96289999999999998"/>
    <n v="-0.77290000000000003"/>
    <n v="1"/>
    <n v="413.3"/>
    <n v="1"/>
    <n v="435.3"/>
    <n v="0"/>
    <n v="0"/>
    <n v="0"/>
    <n v="0"/>
    <n v="0"/>
  </r>
  <r>
    <x v="0"/>
    <x v="0"/>
    <s v="SPXW"/>
    <x v="4"/>
    <x v="326"/>
    <s v="p"/>
    <n v="0"/>
    <n v="0"/>
    <n v="0"/>
    <n v="0"/>
    <n v="0"/>
    <n v="1"/>
    <n v="414.8"/>
    <n v="1"/>
    <n v="434.9"/>
    <n v="0"/>
    <n v="0"/>
    <n v="0"/>
    <n v="0"/>
    <n v="0.36030000000000001"/>
    <n v="-0.93300000000000005"/>
    <n v="5.0000000000000001E-4"/>
    <n v="-3.8540999999999999"/>
    <n v="0.99650000000000005"/>
    <n v="-0.77100000000000002"/>
    <n v="1"/>
    <n v="418.3"/>
    <n v="2"/>
    <n v="440.8"/>
    <n v="0"/>
    <n v="0"/>
    <n v="0"/>
    <n v="0"/>
    <n v="0"/>
  </r>
  <r>
    <x v="0"/>
    <x v="0"/>
    <s v="SPXW"/>
    <x v="4"/>
    <x v="327"/>
    <s v="p"/>
    <n v="0"/>
    <n v="0"/>
    <n v="0"/>
    <n v="0"/>
    <n v="0"/>
    <n v="1"/>
    <n v="426.5"/>
    <n v="1"/>
    <n v="444.9"/>
    <n v="0"/>
    <n v="0"/>
    <n v="0"/>
    <n v="0"/>
    <n v="0.36670000000000003"/>
    <n v="-0.93389999999999995"/>
    <n v="5.0000000000000001E-4"/>
    <n v="-3.8717999999999999"/>
    <n v="0.98550000000000004"/>
    <n v="-0.77239999999999998"/>
    <n v="1"/>
    <n v="428.3"/>
    <n v="2"/>
    <n v="450.8"/>
    <n v="0"/>
    <n v="0"/>
    <n v="0"/>
    <n v="0"/>
    <n v="0"/>
  </r>
  <r>
    <x v="0"/>
    <x v="0"/>
    <s v="SPXW"/>
    <x v="4"/>
    <x v="267"/>
    <s v="p"/>
    <n v="0"/>
    <n v="0"/>
    <n v="0"/>
    <n v="0"/>
    <n v="0"/>
    <n v="1"/>
    <n v="434.8"/>
    <n v="1"/>
    <n v="454.2"/>
    <n v="0"/>
    <n v="0"/>
    <n v="0"/>
    <n v="0"/>
    <n v="0.36549999999999999"/>
    <n v="-0.93889999999999996"/>
    <n v="4.0000000000000002E-4"/>
    <n v="-3.5937000000000001"/>
    <n v="0.92969999999999997"/>
    <n v="-0.77690000000000003"/>
    <n v="1"/>
    <n v="437.6"/>
    <n v="1"/>
    <n v="460.5"/>
    <n v="0"/>
    <n v="0"/>
    <n v="0"/>
    <n v="0"/>
    <n v="0"/>
  </r>
  <r>
    <x v="0"/>
    <x v="0"/>
    <s v="SPXW"/>
    <x v="4"/>
    <x v="328"/>
    <s v="p"/>
    <n v="0"/>
    <n v="0"/>
    <n v="0"/>
    <n v="0"/>
    <n v="0"/>
    <n v="1"/>
    <n v="444.8"/>
    <n v="1"/>
    <n v="465.2"/>
    <n v="0"/>
    <n v="0"/>
    <n v="0"/>
    <n v="0"/>
    <n v="0.38250000000000001"/>
    <n v="-0.93410000000000004"/>
    <n v="4.0000000000000002E-4"/>
    <n v="-4.0312000000000001"/>
    <n v="0.98299999999999998"/>
    <n v="-0.77400000000000002"/>
    <n v="2"/>
    <n v="446.8"/>
    <n v="1"/>
    <n v="465.3"/>
    <n v="0"/>
    <n v="0"/>
    <n v="0"/>
    <n v="0"/>
    <n v="0"/>
  </r>
  <r>
    <x v="0"/>
    <x v="0"/>
    <s v="SPXW"/>
    <x v="4"/>
    <x v="268"/>
    <s v="p"/>
    <n v="0"/>
    <n v="0"/>
    <n v="0"/>
    <n v="0"/>
    <n v="0"/>
    <n v="1"/>
    <n v="459.7"/>
    <n v="1"/>
    <n v="479.3"/>
    <n v="0"/>
    <n v="0"/>
    <n v="0"/>
    <n v="0"/>
    <n v="0.3821"/>
    <n v="-0.94030000000000002"/>
    <n v="4.0000000000000002E-4"/>
    <n v="-3.6745000000000001"/>
    <n v="0.91169999999999995"/>
    <n v="-0.77990000000000004"/>
    <n v="1"/>
    <n v="462.2"/>
    <n v="1"/>
    <n v="480.7"/>
    <n v="0"/>
    <n v="0"/>
    <n v="0"/>
    <n v="0"/>
    <n v="0"/>
  </r>
  <r>
    <x v="0"/>
    <x v="0"/>
    <s v="SPXW"/>
    <x v="4"/>
    <x v="269"/>
    <s v="p"/>
    <n v="496.24"/>
    <n v="496.24"/>
    <n v="496.24"/>
    <n v="496.24"/>
    <n v="1"/>
    <n v="1"/>
    <n v="484.7"/>
    <n v="1"/>
    <n v="504.3"/>
    <n v="0"/>
    <n v="0"/>
    <n v="0"/>
    <n v="0"/>
    <n v="0.39750000000000002"/>
    <n v="-0.94210000000000005"/>
    <n v="4.0000000000000002E-4"/>
    <n v="-3.7111000000000001"/>
    <n v="0.88870000000000005"/>
    <n v="-0.7833"/>
    <n v="1"/>
    <n v="488.2"/>
    <n v="1"/>
    <n v="510.3"/>
    <n v="0"/>
    <n v="0"/>
    <n v="496.24"/>
    <n v="0"/>
    <n v="0"/>
  </r>
  <r>
    <x v="0"/>
    <x v="0"/>
    <s v="SPXW"/>
    <x v="4"/>
    <x v="270"/>
    <s v="p"/>
    <n v="0"/>
    <n v="0"/>
    <n v="0"/>
    <n v="0"/>
    <n v="0"/>
    <n v="1"/>
    <n v="511.2"/>
    <n v="1"/>
    <n v="529.1"/>
    <n v="0"/>
    <n v="0"/>
    <n v="0"/>
    <n v="0"/>
    <n v="0.4103"/>
    <n v="-0.94489999999999996"/>
    <n v="4.0000000000000002E-4"/>
    <n v="-3.6575000000000002"/>
    <n v="0.85409999999999997"/>
    <n v="-0.7873"/>
    <n v="1"/>
    <n v="512.4"/>
    <n v="1"/>
    <n v="535"/>
    <n v="0"/>
    <n v="0"/>
    <n v="0"/>
    <n v="0"/>
    <n v="0"/>
  </r>
  <r>
    <x v="0"/>
    <x v="0"/>
    <s v="SPXW"/>
    <x v="4"/>
    <x v="329"/>
    <s v="p"/>
    <n v="0"/>
    <n v="0"/>
    <n v="0"/>
    <n v="0"/>
    <n v="0"/>
    <n v="1"/>
    <n v="534.70000000000005"/>
    <n v="1"/>
    <n v="554.20000000000005"/>
    <n v="0"/>
    <n v="0"/>
    <n v="0"/>
    <n v="0"/>
    <n v="0.42659999999999998"/>
    <n v="-0.94599999999999995"/>
    <n v="2.9999999999999997E-4"/>
    <n v="-3.7345000000000002"/>
    <n v="0.84040000000000004"/>
    <n v="-0.79"/>
    <n v="1"/>
    <n v="538.20000000000005"/>
    <n v="1"/>
    <n v="560.20000000000005"/>
    <n v="0"/>
    <n v="0"/>
    <n v="0"/>
    <n v="0"/>
    <n v="0"/>
  </r>
  <r>
    <x v="0"/>
    <x v="0"/>
    <s v="SPXW"/>
    <x v="4"/>
    <x v="330"/>
    <s v="p"/>
    <n v="0"/>
    <n v="0"/>
    <n v="0"/>
    <n v="0"/>
    <n v="0"/>
    <n v="1"/>
    <n v="559.70000000000005"/>
    <n v="1"/>
    <n v="579.20000000000005"/>
    <n v="0"/>
    <n v="0"/>
    <n v="0"/>
    <n v="0"/>
    <n v="0.4415"/>
    <n v="-0.94740000000000002"/>
    <n v="2.9999999999999997E-4"/>
    <n v="-3.7658"/>
    <n v="0.82140000000000002"/>
    <n v="-0.79300000000000004"/>
    <n v="1"/>
    <n v="562.1"/>
    <n v="1"/>
    <n v="580.29999999999995"/>
    <n v="0"/>
    <n v="0"/>
    <n v="0"/>
    <n v="0"/>
    <n v="0"/>
  </r>
  <r>
    <x v="0"/>
    <x v="0"/>
    <s v="SPXW"/>
    <x v="4"/>
    <x v="271"/>
    <s v="p"/>
    <n v="0"/>
    <n v="0"/>
    <n v="0"/>
    <n v="0"/>
    <n v="0"/>
    <n v="1"/>
    <n v="586.4"/>
    <n v="1"/>
    <n v="604.20000000000005"/>
    <n v="0"/>
    <n v="0"/>
    <n v="0"/>
    <n v="0"/>
    <n v="0.45629999999999998"/>
    <n v="-0.94879999999999998"/>
    <n v="2.9999999999999997E-4"/>
    <n v="-3.7957999999999998"/>
    <n v="0.80359999999999998"/>
    <n v="-0.79600000000000004"/>
    <n v="3"/>
    <n v="586.70000000000005"/>
    <n v="1"/>
    <n v="605.29999999999995"/>
    <n v="0"/>
    <n v="0"/>
    <n v="0"/>
    <n v="1"/>
    <n v="0"/>
  </r>
  <r>
    <x v="0"/>
    <x v="0"/>
    <s v="SPXW"/>
    <x v="4"/>
    <x v="331"/>
    <s v="p"/>
    <n v="0"/>
    <n v="0"/>
    <n v="0"/>
    <n v="0"/>
    <n v="0"/>
    <n v="1"/>
    <n v="611.4"/>
    <n v="1"/>
    <n v="629.20000000000005"/>
    <n v="0"/>
    <n v="0"/>
    <n v="0"/>
    <n v="0"/>
    <n v="0.47089999999999999"/>
    <n v="-0.95"/>
    <n v="2.9999999999999997E-4"/>
    <n v="-3.8247"/>
    <n v="0.78700000000000003"/>
    <n v="-0.79879999999999995"/>
    <n v="1"/>
    <n v="613.1"/>
    <n v="1"/>
    <n v="635.20000000000005"/>
    <n v="0"/>
    <n v="0"/>
    <n v="0"/>
    <n v="0"/>
    <n v="0"/>
  </r>
  <r>
    <x v="0"/>
    <x v="0"/>
    <s v="SPXW"/>
    <x v="4"/>
    <x v="332"/>
    <s v="p"/>
    <n v="0"/>
    <n v="0"/>
    <n v="0"/>
    <n v="0"/>
    <n v="0"/>
    <n v="1"/>
    <n v="635.79999999999995"/>
    <n v="1"/>
    <n v="654.20000000000005"/>
    <n v="0"/>
    <n v="0"/>
    <n v="0"/>
    <n v="0"/>
    <n v="0.4854"/>
    <n v="-0.95120000000000005"/>
    <n v="2.9999999999999997E-4"/>
    <n v="-3.8525"/>
    <n v="0.77139999999999997"/>
    <n v="-0.80159999999999998"/>
    <n v="3"/>
    <n v="636.6"/>
    <n v="1"/>
    <n v="655.5"/>
    <n v="0"/>
    <n v="0"/>
    <n v="0"/>
    <n v="0"/>
    <n v="0"/>
  </r>
  <r>
    <x v="0"/>
    <x v="0"/>
    <s v="SPXW"/>
    <x v="4"/>
    <x v="333"/>
    <s v="p"/>
    <n v="0"/>
    <n v="0"/>
    <n v="0"/>
    <n v="0"/>
    <n v="0"/>
    <n v="1"/>
    <n v="661.3"/>
    <n v="1"/>
    <n v="679.7"/>
    <n v="0"/>
    <n v="0"/>
    <n v="0"/>
    <n v="0"/>
    <n v="0.50649999999999995"/>
    <n v="-0.95009999999999994"/>
    <n v="2.9999999999999997E-4"/>
    <n v="-4.1109"/>
    <n v="0.7853"/>
    <n v="-0.80259999999999998"/>
    <n v="1"/>
    <n v="663.1"/>
    <n v="1"/>
    <n v="685.2"/>
    <n v="0"/>
    <n v="0"/>
    <n v="0"/>
    <n v="0"/>
    <n v="0"/>
  </r>
  <r>
    <x v="0"/>
    <x v="0"/>
    <s v="SPXW"/>
    <x v="4"/>
    <x v="272"/>
    <s v="p"/>
    <n v="0"/>
    <n v="0"/>
    <n v="0"/>
    <n v="0"/>
    <n v="0"/>
    <n v="1"/>
    <n v="684.6"/>
    <n v="1"/>
    <n v="704.1"/>
    <n v="0"/>
    <n v="0"/>
    <n v="0"/>
    <n v="0"/>
    <n v="0.51270000000000004"/>
    <n v="-0.95389999999999997"/>
    <n v="2.9999999999999997E-4"/>
    <n v="-3.8582000000000001"/>
    <n v="0.73740000000000006"/>
    <n v="-0.80740000000000001"/>
    <n v="3"/>
    <n v="686.6"/>
    <n v="1"/>
    <n v="705.5"/>
    <n v="0"/>
    <n v="0"/>
    <n v="0"/>
    <n v="0"/>
    <n v="0"/>
  </r>
  <r>
    <x v="0"/>
    <x v="0"/>
    <s v="SPXW"/>
    <x v="4"/>
    <x v="334"/>
    <s v="p"/>
    <n v="0"/>
    <n v="0"/>
    <n v="0"/>
    <n v="0"/>
    <n v="0"/>
    <n v="1"/>
    <n v="711.3"/>
    <n v="1"/>
    <n v="730.3"/>
    <n v="0"/>
    <n v="0"/>
    <n v="0"/>
    <n v="0"/>
    <n v="0.54320000000000002"/>
    <n v="-0.9496"/>
    <n v="2.9999999999999997E-4"/>
    <n v="-4.4429999999999996"/>
    <n v="0.78939999999999999"/>
    <n v="-0.80600000000000005"/>
    <n v="2"/>
    <n v="711.6"/>
    <n v="1"/>
    <n v="730.5"/>
    <n v="0"/>
    <n v="0"/>
    <n v="0"/>
    <n v="0"/>
    <n v="0"/>
  </r>
  <r>
    <x v="0"/>
    <x v="0"/>
    <s v="SPXW"/>
    <x v="4"/>
    <x v="335"/>
    <s v="p"/>
    <n v="0"/>
    <n v="0"/>
    <n v="0"/>
    <n v="0"/>
    <n v="0"/>
    <n v="1"/>
    <n v="736.3"/>
    <n v="1"/>
    <n v="754.7"/>
    <n v="0"/>
    <n v="0"/>
    <n v="0"/>
    <n v="0"/>
    <n v="0.5494"/>
    <n v="-0.95320000000000005"/>
    <n v="2.0000000000000001E-4"/>
    <n v="-4.1913"/>
    <n v="0.74480000000000002"/>
    <n v="-0.81059999999999999"/>
    <n v="1"/>
    <n v="738"/>
    <n v="1"/>
    <n v="760.3"/>
    <n v="0"/>
    <n v="0"/>
    <n v="0"/>
    <n v="0"/>
    <n v="0"/>
  </r>
  <r>
    <x v="0"/>
    <x v="0"/>
    <s v="SPXW"/>
    <x v="4"/>
    <x v="273"/>
    <s v="p"/>
    <n v="0"/>
    <n v="0"/>
    <n v="0"/>
    <n v="0"/>
    <n v="0"/>
    <n v="1"/>
    <n v="784.5"/>
    <n v="1"/>
    <n v="804.1"/>
    <n v="0"/>
    <n v="0"/>
    <n v="0"/>
    <n v="0"/>
    <n v="0.56879999999999997"/>
    <n v="-0.95750000000000002"/>
    <n v="2.0000000000000001E-4"/>
    <n v="-3.9529999999999998"/>
    <n v="0.6895"/>
    <n v="-0.81759999999999999"/>
    <n v="1"/>
    <n v="786.9"/>
    <n v="1"/>
    <n v="805.5"/>
    <n v="0"/>
    <n v="0"/>
    <n v="0"/>
    <n v="0"/>
    <n v="0"/>
  </r>
  <r>
    <x v="0"/>
    <x v="0"/>
    <s v="SPXW"/>
    <x v="4"/>
    <x v="336"/>
    <s v="p"/>
    <n v="0"/>
    <n v="0"/>
    <n v="0"/>
    <n v="0"/>
    <n v="0"/>
    <n v="1"/>
    <n v="886.2"/>
    <n v="1"/>
    <n v="904"/>
    <n v="0"/>
    <n v="0"/>
    <n v="0"/>
    <n v="0"/>
    <n v="0.62170000000000003"/>
    <n v="-0.96079999999999999"/>
    <n v="2.0000000000000001E-4"/>
    <n v="-3.9883000000000002"/>
    <n v="0.64390000000000003"/>
    <n v="-0.82769999999999999"/>
    <n v="1"/>
    <n v="887.9"/>
    <n v="1"/>
    <n v="910.2"/>
    <n v="0"/>
    <n v="0"/>
    <n v="0"/>
    <n v="0"/>
    <n v="0"/>
  </r>
  <r>
    <x v="0"/>
    <x v="0"/>
    <s v="SPXW"/>
    <x v="4"/>
    <x v="274"/>
    <s v="p"/>
    <n v="0"/>
    <n v="0"/>
    <n v="0"/>
    <n v="0"/>
    <n v="0"/>
    <n v="1"/>
    <n v="985.1"/>
    <n v="1"/>
    <n v="1003.9"/>
    <n v="0"/>
    <n v="0"/>
    <n v="0"/>
    <n v="0"/>
    <n v="0.67300000000000004"/>
    <n v="-0.96360000000000001"/>
    <n v="2.0000000000000001E-4"/>
    <n v="-4.0134999999999996"/>
    <n v="0.60470000000000002"/>
    <n v="-0.83730000000000004"/>
    <n v="1"/>
    <n v="986.8"/>
    <n v="1"/>
    <n v="1005.4"/>
    <n v="0"/>
    <n v="0"/>
    <n v="0"/>
    <n v="0"/>
    <n v="0"/>
  </r>
  <r>
    <x v="0"/>
    <x v="0"/>
    <s v="SPXW"/>
    <x v="4"/>
    <x v="275"/>
    <s v="p"/>
    <n v="0"/>
    <n v="0"/>
    <n v="0"/>
    <n v="0"/>
    <n v="0"/>
    <n v="1"/>
    <n v="1185.7"/>
    <n v="1"/>
    <n v="1205.2"/>
    <n v="0"/>
    <n v="0"/>
    <n v="0"/>
    <n v="0"/>
    <n v="0.77329999999999999"/>
    <n v="-0.96760000000000002"/>
    <n v="1E-4"/>
    <n v="-4.0940000000000003"/>
    <n v="0.54700000000000004"/>
    <n v="-0.85540000000000005"/>
    <n v="1"/>
    <n v="1186.3"/>
    <n v="1"/>
    <n v="1205.2"/>
    <n v="0"/>
    <n v="0"/>
    <n v="0"/>
    <n v="0"/>
    <n v="0"/>
  </r>
  <r>
    <x v="0"/>
    <x v="0"/>
    <s v="SPXW"/>
    <x v="4"/>
    <x v="276"/>
    <s v="p"/>
    <n v="0"/>
    <n v="0"/>
    <n v="0"/>
    <n v="0"/>
    <n v="0"/>
    <n v="1"/>
    <n v="1385.3"/>
    <n v="1"/>
    <n v="1403.7"/>
    <n v="0"/>
    <n v="0"/>
    <n v="0"/>
    <n v="0"/>
    <n v="0.86909999999999998"/>
    <n v="-0.97070000000000001"/>
    <n v="1E-4"/>
    <n v="-4.1553000000000004"/>
    <n v="0.50290000000000001"/>
    <n v="-0.87260000000000004"/>
    <n v="3"/>
    <n v="1386.1"/>
    <n v="1"/>
    <n v="1405.1"/>
    <n v="0"/>
    <n v="0"/>
    <n v="0"/>
    <n v="0"/>
    <n v="0"/>
  </r>
  <r>
    <x v="0"/>
    <x v="0"/>
    <s v="SPXW"/>
    <x v="4"/>
    <x v="277"/>
    <s v="p"/>
    <n v="0"/>
    <n v="0"/>
    <n v="0"/>
    <n v="0"/>
    <n v="0"/>
    <n v="1"/>
    <n v="1585.7"/>
    <n v="1"/>
    <n v="1603.5"/>
    <n v="0"/>
    <n v="0"/>
    <n v="0"/>
    <n v="0"/>
    <n v="0.9587"/>
    <n v="-0.97340000000000004"/>
    <n v="1E-4"/>
    <n v="-4.1475999999999997"/>
    <n v="0.46260000000000001"/>
    <n v="-0.88970000000000005"/>
    <n v="3"/>
    <n v="1586"/>
    <n v="1"/>
    <n v="1605.6"/>
    <n v="0"/>
    <n v="0"/>
    <n v="0"/>
    <n v="0"/>
    <n v="0"/>
  </r>
  <r>
    <x v="0"/>
    <x v="0"/>
    <s v="SPXW"/>
    <x v="4"/>
    <x v="278"/>
    <s v="p"/>
    <n v="1795.38"/>
    <n v="1795.38"/>
    <n v="1795.38"/>
    <n v="1795.38"/>
    <n v="1"/>
    <n v="1"/>
    <n v="1785.8"/>
    <n v="1"/>
    <n v="1803.4"/>
    <n v="0"/>
    <n v="0"/>
    <n v="0"/>
    <n v="0"/>
    <n v="1.0468"/>
    <n v="-0.97529999999999994"/>
    <n v="1E-4"/>
    <n v="-4.1833999999999998"/>
    <n v="0.43309999999999998"/>
    <n v="-0.90610000000000002"/>
    <n v="1"/>
    <n v="1787.3"/>
    <n v="1"/>
    <n v="1809.4"/>
    <n v="0"/>
    <n v="0"/>
    <n v="1795.38"/>
    <n v="0"/>
    <n v="0"/>
  </r>
  <r>
    <x v="0"/>
    <x v="0"/>
    <s v="SPXW"/>
    <x v="4"/>
    <x v="279"/>
    <s v="p"/>
    <n v="0"/>
    <n v="0"/>
    <n v="0"/>
    <n v="0"/>
    <n v="0"/>
    <n v="1"/>
    <n v="1983.7"/>
    <n v="1"/>
    <n v="2003.3"/>
    <n v="0"/>
    <n v="0"/>
    <n v="0"/>
    <n v="0"/>
    <n v="1.1316999999999999"/>
    <n v="-0.97689999999999999"/>
    <n v="1E-4"/>
    <n v="-4.2111000000000001"/>
    <n v="0.40870000000000001"/>
    <n v="-0.92220000000000002"/>
    <n v="1"/>
    <n v="1987.2"/>
    <n v="1"/>
    <n v="2009.3"/>
    <n v="0"/>
    <n v="0"/>
    <n v="0"/>
    <n v="0"/>
    <n v="0"/>
  </r>
  <r>
    <x v="0"/>
    <x v="0"/>
    <s v="SPXW"/>
    <x v="4"/>
    <x v="280"/>
    <s v="p"/>
    <n v="2193.5700000000002"/>
    <n v="2193.5700000000002"/>
    <n v="2190.4899999999998"/>
    <n v="2190.4899999999998"/>
    <n v="2"/>
    <n v="1"/>
    <n v="2185.3000000000002"/>
    <n v="1"/>
    <n v="2203.6999999999998"/>
    <n v="0"/>
    <n v="0"/>
    <n v="0"/>
    <n v="0"/>
    <n v="1.2265999999999999"/>
    <n v="-0.97709999999999997"/>
    <n v="1E-4"/>
    <n v="-4.5227000000000004"/>
    <n v="0.40589999999999998"/>
    <n v="-0.93720000000000003"/>
    <n v="1"/>
    <n v="2187"/>
    <n v="2"/>
    <n v="2209.6"/>
    <n v="0"/>
    <n v="0"/>
    <n v="2192.0300000000002"/>
    <n v="0"/>
    <n v="0"/>
  </r>
  <r>
    <x v="0"/>
    <x v="0"/>
    <s v="SPXW"/>
    <x v="5"/>
    <x v="1"/>
    <s v="p"/>
    <n v="0"/>
    <n v="0"/>
    <n v="0"/>
    <n v="0"/>
    <n v="0"/>
    <n v="0"/>
    <n v="0"/>
    <n v="799"/>
    <n v="0.05"/>
    <n v="0"/>
    <n v="0"/>
    <n v="0"/>
    <n v="0"/>
    <n v="1.8412999999999999"/>
    <n v="-1E-4"/>
    <n v="0"/>
    <n v="-1.9E-2"/>
    <n v="2.3999999999999998E-3"/>
    <n v="-1E-4"/>
    <n v="0"/>
    <n v="0"/>
    <n v="180"/>
    <n v="0.05"/>
    <n v="0"/>
    <n v="0"/>
    <n v="0"/>
    <n v="88"/>
    <n v="0"/>
  </r>
  <r>
    <x v="0"/>
    <x v="0"/>
    <s v="SPXW"/>
    <x v="5"/>
    <x v="2"/>
    <s v="p"/>
    <n v="0"/>
    <n v="0"/>
    <n v="0"/>
    <n v="0"/>
    <n v="0"/>
    <n v="0"/>
    <n v="0"/>
    <n v="702"/>
    <n v="0.05"/>
    <n v="0"/>
    <n v="0"/>
    <n v="0"/>
    <n v="0"/>
    <n v="1.7110000000000001"/>
    <n v="-1E-4"/>
    <n v="0"/>
    <n v="-1.89E-2"/>
    <n v="2.5999999999999999E-3"/>
    <n v="-1E-4"/>
    <n v="0"/>
    <n v="0"/>
    <n v="211"/>
    <n v="0.05"/>
    <n v="0"/>
    <n v="0"/>
    <n v="0"/>
    <n v="1"/>
    <n v="0"/>
  </r>
  <r>
    <x v="0"/>
    <x v="0"/>
    <s v="SPXW"/>
    <x v="5"/>
    <x v="3"/>
    <s v="p"/>
    <n v="0"/>
    <n v="0"/>
    <n v="0"/>
    <n v="0"/>
    <n v="0"/>
    <n v="0"/>
    <n v="0"/>
    <n v="686"/>
    <n v="0.05"/>
    <n v="0"/>
    <n v="0"/>
    <n v="0"/>
    <n v="0"/>
    <n v="1.589"/>
    <n v="-1E-4"/>
    <n v="0"/>
    <n v="-1.89E-2"/>
    <n v="2.8E-3"/>
    <n v="-1E-4"/>
    <n v="0"/>
    <n v="0"/>
    <n v="207"/>
    <n v="0.05"/>
    <n v="0"/>
    <n v="0"/>
    <n v="0"/>
    <n v="3"/>
    <n v="0"/>
  </r>
  <r>
    <x v="0"/>
    <x v="0"/>
    <s v="SPXW"/>
    <x v="5"/>
    <x v="4"/>
    <s v="p"/>
    <n v="0"/>
    <n v="0"/>
    <n v="0"/>
    <n v="0"/>
    <n v="0"/>
    <n v="0"/>
    <n v="0"/>
    <n v="662"/>
    <n v="0.05"/>
    <n v="0"/>
    <n v="0"/>
    <n v="0"/>
    <n v="0"/>
    <n v="1.4743999999999999"/>
    <n v="-1E-4"/>
    <n v="0"/>
    <n v="-1.8800000000000001E-2"/>
    <n v="3.0000000000000001E-3"/>
    <n v="-1E-4"/>
    <n v="0"/>
    <n v="0"/>
    <n v="204"/>
    <n v="0.05"/>
    <n v="0"/>
    <n v="0"/>
    <n v="0"/>
    <n v="251"/>
    <n v="0"/>
  </r>
  <r>
    <x v="0"/>
    <x v="0"/>
    <s v="SPXW"/>
    <x v="5"/>
    <x v="5"/>
    <s v="p"/>
    <n v="0.03"/>
    <n v="0.03"/>
    <n v="0.03"/>
    <n v="0.03"/>
    <n v="6"/>
    <n v="0"/>
    <n v="0"/>
    <n v="589"/>
    <n v="0.05"/>
    <n v="0"/>
    <n v="0"/>
    <n v="0"/>
    <n v="0"/>
    <n v="1.3662000000000001"/>
    <n v="-1E-4"/>
    <n v="0"/>
    <n v="-1.8800000000000001E-2"/>
    <n v="3.2000000000000002E-3"/>
    <n v="-1E-4"/>
    <n v="0"/>
    <n v="0"/>
    <n v="199"/>
    <n v="0.05"/>
    <n v="0"/>
    <n v="0"/>
    <n v="0.03"/>
    <n v="142"/>
    <n v="0"/>
  </r>
  <r>
    <x v="0"/>
    <x v="0"/>
    <s v="SPXW"/>
    <x v="5"/>
    <x v="6"/>
    <s v="p"/>
    <n v="0"/>
    <n v="0"/>
    <n v="0"/>
    <n v="0"/>
    <n v="0"/>
    <n v="0"/>
    <n v="0"/>
    <n v="599"/>
    <n v="0.05"/>
    <n v="0"/>
    <n v="0"/>
    <n v="0"/>
    <n v="0"/>
    <n v="1.2638"/>
    <n v="-1E-4"/>
    <n v="0"/>
    <n v="-1.8800000000000001E-2"/>
    <n v="3.5000000000000001E-3"/>
    <n v="-1E-4"/>
    <n v="0"/>
    <n v="0"/>
    <n v="193"/>
    <n v="0.05"/>
    <n v="0"/>
    <n v="0"/>
    <n v="0"/>
    <n v="157"/>
    <n v="0"/>
  </r>
  <r>
    <x v="0"/>
    <x v="0"/>
    <s v="SPXW"/>
    <x v="5"/>
    <x v="7"/>
    <s v="p"/>
    <n v="0"/>
    <n v="0"/>
    <n v="0"/>
    <n v="0"/>
    <n v="0"/>
    <n v="0"/>
    <n v="0"/>
    <n v="598"/>
    <n v="0.05"/>
    <n v="0"/>
    <n v="0"/>
    <n v="0"/>
    <n v="0"/>
    <n v="1.1666000000000001"/>
    <n v="-1E-4"/>
    <n v="0"/>
    <n v="-1.8700000000000001E-2"/>
    <n v="3.7000000000000002E-3"/>
    <n v="-1E-4"/>
    <n v="0"/>
    <n v="0"/>
    <n v="200"/>
    <n v="0.05"/>
    <n v="0"/>
    <n v="0"/>
    <n v="0"/>
    <n v="59"/>
    <n v="0"/>
  </r>
  <r>
    <x v="0"/>
    <x v="0"/>
    <s v="SPXW"/>
    <x v="5"/>
    <x v="8"/>
    <s v="p"/>
    <n v="0"/>
    <n v="0"/>
    <n v="0"/>
    <n v="0"/>
    <n v="0"/>
    <n v="0"/>
    <n v="0"/>
    <n v="1125"/>
    <n v="0.05"/>
    <n v="0"/>
    <n v="0"/>
    <n v="0"/>
    <n v="0"/>
    <n v="1.0739000000000001"/>
    <n v="-1E-4"/>
    <n v="0"/>
    <n v="-1.8599999999999998E-2"/>
    <n v="4.1000000000000003E-3"/>
    <n v="-1E-4"/>
    <n v="0"/>
    <n v="0"/>
    <n v="776"/>
    <n v="0.05"/>
    <n v="0"/>
    <n v="0"/>
    <n v="0"/>
    <n v="38"/>
    <n v="0"/>
  </r>
  <r>
    <x v="0"/>
    <x v="0"/>
    <s v="SPXW"/>
    <x v="5"/>
    <x v="9"/>
    <s v="p"/>
    <n v="0"/>
    <n v="0"/>
    <n v="0"/>
    <n v="0"/>
    <n v="0"/>
    <n v="0"/>
    <n v="0"/>
    <n v="1055"/>
    <n v="0.05"/>
    <n v="0"/>
    <n v="0"/>
    <n v="0"/>
    <n v="0"/>
    <n v="0.98529999999999995"/>
    <n v="-1E-4"/>
    <n v="0"/>
    <n v="-1.8599999999999998E-2"/>
    <n v="4.4000000000000003E-3"/>
    <n v="-2.0000000000000001E-4"/>
    <n v="0"/>
    <n v="0"/>
    <n v="738"/>
    <n v="0.05"/>
    <n v="0"/>
    <n v="0"/>
    <n v="0"/>
    <n v="93"/>
    <n v="0"/>
  </r>
  <r>
    <x v="0"/>
    <x v="0"/>
    <s v="SPXW"/>
    <x v="5"/>
    <x v="10"/>
    <s v="p"/>
    <n v="0"/>
    <n v="0"/>
    <n v="0"/>
    <n v="0"/>
    <n v="0"/>
    <n v="0"/>
    <n v="0"/>
    <n v="882"/>
    <n v="0.05"/>
    <n v="0"/>
    <n v="0"/>
    <n v="0"/>
    <n v="0"/>
    <n v="0.90049999999999997"/>
    <n v="-1E-4"/>
    <n v="0"/>
    <n v="-1.8499999999999999E-2"/>
    <n v="4.7999999999999996E-3"/>
    <n v="-2.0000000000000001E-4"/>
    <n v="0"/>
    <n v="0"/>
    <n v="678"/>
    <n v="0.05"/>
    <n v="0"/>
    <n v="0"/>
    <n v="0"/>
    <n v="126"/>
    <n v="0"/>
  </r>
  <r>
    <x v="0"/>
    <x v="0"/>
    <s v="SPXW"/>
    <x v="5"/>
    <x v="11"/>
    <s v="p"/>
    <n v="0.05"/>
    <n v="0.05"/>
    <n v="0.05"/>
    <n v="0.05"/>
    <n v="4"/>
    <n v="0"/>
    <n v="0"/>
    <n v="613"/>
    <n v="0.05"/>
    <n v="0"/>
    <n v="0"/>
    <n v="0"/>
    <n v="0"/>
    <n v="0.81899999999999995"/>
    <n v="-1E-4"/>
    <n v="0"/>
    <n v="-1.84E-2"/>
    <n v="5.3E-3"/>
    <n v="-2.0000000000000001E-4"/>
    <n v="0"/>
    <n v="0"/>
    <n v="572"/>
    <n v="0.05"/>
    <n v="0"/>
    <n v="0"/>
    <n v="0.05"/>
    <n v="1079"/>
    <n v="0"/>
  </r>
  <r>
    <x v="0"/>
    <x v="0"/>
    <s v="SPXW"/>
    <x v="5"/>
    <x v="12"/>
    <s v="p"/>
    <n v="0.05"/>
    <n v="7.0000000000000007E-2"/>
    <n v="0.05"/>
    <n v="0.05"/>
    <n v="1691"/>
    <n v="0"/>
    <n v="0"/>
    <n v="100"/>
    <n v="0.05"/>
    <n v="0"/>
    <n v="0"/>
    <n v="0"/>
    <n v="0"/>
    <n v="0.7409"/>
    <n v="-2.0000000000000001E-4"/>
    <n v="0"/>
    <n v="-1.83E-2"/>
    <n v="5.7999999999999996E-3"/>
    <n v="-2.0000000000000001E-4"/>
    <n v="0"/>
    <n v="0"/>
    <n v="53"/>
    <n v="0.05"/>
    <n v="0"/>
    <n v="0"/>
    <n v="5.1200000000000002E-2"/>
    <n v="752"/>
    <n v="0"/>
  </r>
  <r>
    <x v="0"/>
    <x v="0"/>
    <s v="SPXW"/>
    <x v="5"/>
    <x v="14"/>
    <s v="p"/>
    <n v="0.05"/>
    <n v="0.05"/>
    <n v="0.05"/>
    <n v="0.05"/>
    <n v="24"/>
    <n v="3"/>
    <n v="0.05"/>
    <n v="520"/>
    <n v="0.1"/>
    <n v="0"/>
    <n v="0"/>
    <n v="0"/>
    <n v="0"/>
    <n v="0.7167"/>
    <n v="-4.0000000000000002E-4"/>
    <n v="0"/>
    <n v="-5.1200000000000002E-2"/>
    <n v="1.5599999999999999E-2"/>
    <n v="-5.9999999999999995E-4"/>
    <n v="3"/>
    <n v="0.05"/>
    <n v="314"/>
    <n v="0.1"/>
    <n v="0"/>
    <n v="0"/>
    <n v="0.05"/>
    <n v="563"/>
    <n v="0"/>
  </r>
  <r>
    <x v="0"/>
    <x v="0"/>
    <s v="SPXW"/>
    <x v="5"/>
    <x v="15"/>
    <s v="p"/>
    <n v="0.09"/>
    <n v="0.09"/>
    <n v="0.09"/>
    <n v="0.09"/>
    <n v="2"/>
    <n v="1"/>
    <n v="0.05"/>
    <n v="444"/>
    <n v="0.1"/>
    <n v="0"/>
    <n v="0"/>
    <n v="0"/>
    <n v="0"/>
    <n v="0.67730000000000001"/>
    <n v="-5.0000000000000001E-4"/>
    <n v="0"/>
    <n v="-5.0999999999999997E-2"/>
    <n v="1.6400000000000001E-2"/>
    <n v="-5.9999999999999995E-4"/>
    <n v="1"/>
    <n v="0.05"/>
    <n v="159"/>
    <n v="0.1"/>
    <n v="0"/>
    <n v="0"/>
    <n v="0.09"/>
    <n v="828"/>
    <n v="0"/>
  </r>
  <r>
    <x v="0"/>
    <x v="0"/>
    <s v="SPXW"/>
    <x v="5"/>
    <x v="16"/>
    <s v="p"/>
    <n v="0.09"/>
    <n v="0.1"/>
    <n v="0.09"/>
    <n v="0.1"/>
    <n v="5"/>
    <n v="51"/>
    <n v="0.05"/>
    <n v="299"/>
    <n v="0.1"/>
    <n v="0"/>
    <n v="0"/>
    <n v="0"/>
    <n v="0"/>
    <n v="0.63849999999999996"/>
    <n v="-5.0000000000000001E-4"/>
    <n v="0"/>
    <n v="-5.0799999999999998E-2"/>
    <n v="1.7399999999999999E-2"/>
    <n v="-5.9999999999999995E-4"/>
    <n v="51"/>
    <n v="0.05"/>
    <n v="49"/>
    <n v="0.1"/>
    <n v="0"/>
    <n v="0"/>
    <n v="9.8000000000000004E-2"/>
    <n v="609"/>
    <n v="0"/>
  </r>
  <r>
    <x v="0"/>
    <x v="0"/>
    <s v="SPXW"/>
    <x v="5"/>
    <x v="18"/>
    <s v="p"/>
    <n v="0.1"/>
    <n v="0.1"/>
    <n v="0.1"/>
    <n v="0.1"/>
    <n v="35"/>
    <n v="142"/>
    <n v="0.05"/>
    <n v="76"/>
    <n v="0.1"/>
    <n v="0"/>
    <n v="0"/>
    <n v="0"/>
    <n v="0"/>
    <n v="0.60040000000000004"/>
    <n v="-5.0000000000000001E-4"/>
    <n v="0"/>
    <n v="-5.0599999999999999E-2"/>
    <n v="1.8499999999999999E-2"/>
    <n v="-6.9999999999999999E-4"/>
    <n v="142"/>
    <n v="0.05"/>
    <n v="28"/>
    <n v="0.1"/>
    <n v="0"/>
    <n v="0"/>
    <n v="0.1"/>
    <n v="794"/>
    <n v="0"/>
  </r>
  <r>
    <x v="0"/>
    <x v="0"/>
    <s v="SPXW"/>
    <x v="5"/>
    <x v="22"/>
    <s v="p"/>
    <n v="0.1"/>
    <n v="0.1"/>
    <n v="0.1"/>
    <n v="0.1"/>
    <n v="1"/>
    <n v="408"/>
    <n v="0.05"/>
    <n v="79"/>
    <n v="0.1"/>
    <n v="0"/>
    <n v="0"/>
    <n v="0"/>
    <n v="0"/>
    <n v="0.56279999999999997"/>
    <n v="-5.0000000000000001E-4"/>
    <n v="0"/>
    <n v="-5.04E-2"/>
    <n v="1.9699999999999999E-2"/>
    <n v="-6.9999999999999999E-4"/>
    <n v="68"/>
    <n v="0.05"/>
    <n v="79"/>
    <n v="0.1"/>
    <n v="0"/>
    <n v="0"/>
    <n v="0.1"/>
    <n v="371"/>
    <n v="0"/>
  </r>
  <r>
    <x v="0"/>
    <x v="0"/>
    <s v="SPXW"/>
    <x v="5"/>
    <x v="26"/>
    <s v="p"/>
    <n v="0.15"/>
    <n v="0.15"/>
    <n v="0.14000000000000001"/>
    <n v="0.14000000000000001"/>
    <n v="3"/>
    <n v="25"/>
    <n v="0.1"/>
    <n v="194"/>
    <n v="0.15"/>
    <n v="0"/>
    <n v="0"/>
    <n v="0"/>
    <n v="0"/>
    <n v="0.54710000000000003"/>
    <n v="-8.9999999999999998E-4"/>
    <n v="0"/>
    <n v="-8.0500000000000002E-2"/>
    <n v="3.1099999999999999E-2"/>
    <n v="-1.1999999999999999E-3"/>
    <n v="161"/>
    <n v="0.05"/>
    <n v="18"/>
    <n v="0.1"/>
    <n v="0"/>
    <n v="0"/>
    <n v="0.1467"/>
    <n v="229"/>
    <n v="0"/>
  </r>
  <r>
    <x v="0"/>
    <x v="0"/>
    <s v="SPXW"/>
    <x v="5"/>
    <x v="27"/>
    <s v="p"/>
    <n v="0.1"/>
    <n v="0.1"/>
    <n v="0.1"/>
    <n v="0.1"/>
    <n v="24"/>
    <n v="533"/>
    <n v="0.05"/>
    <n v="173"/>
    <n v="0.15"/>
    <n v="0"/>
    <n v="0"/>
    <n v="0"/>
    <n v="0"/>
    <n v="0.5282"/>
    <n v="-8.0000000000000004E-4"/>
    <n v="0"/>
    <n v="-6.54E-2"/>
    <n v="2.6599999999999999E-2"/>
    <n v="-1E-3"/>
    <n v="159"/>
    <n v="0.05"/>
    <n v="340"/>
    <n v="0.2"/>
    <n v="0"/>
    <n v="0"/>
    <n v="0.1"/>
    <n v="34"/>
    <n v="0"/>
  </r>
  <r>
    <x v="0"/>
    <x v="0"/>
    <s v="SPXW"/>
    <x v="5"/>
    <x v="28"/>
    <s v="p"/>
    <n v="0.17"/>
    <n v="0.17"/>
    <n v="0.1"/>
    <n v="0.1"/>
    <n v="293"/>
    <n v="817"/>
    <n v="0.05"/>
    <n v="133"/>
    <n v="0.15"/>
    <n v="0"/>
    <n v="0"/>
    <n v="0"/>
    <n v="0"/>
    <n v="0.51859999999999995"/>
    <n v="-8.0000000000000004E-4"/>
    <n v="0"/>
    <n v="-6.5299999999999997E-2"/>
    <n v="2.7099999999999999E-2"/>
    <n v="-1E-3"/>
    <n v="156"/>
    <n v="0.05"/>
    <n v="1"/>
    <n v="0.15"/>
    <n v="0"/>
    <n v="0"/>
    <n v="0.14949999999999999"/>
    <n v="196"/>
    <n v="0"/>
  </r>
  <r>
    <x v="0"/>
    <x v="0"/>
    <s v="SPXW"/>
    <x v="5"/>
    <x v="29"/>
    <s v="p"/>
    <n v="0.1"/>
    <n v="0.1"/>
    <n v="0.1"/>
    <n v="0.1"/>
    <n v="9"/>
    <n v="113"/>
    <n v="0.1"/>
    <n v="8"/>
    <n v="0.15"/>
    <n v="0"/>
    <n v="0"/>
    <n v="0"/>
    <n v="0"/>
    <n v="0.51859999999999995"/>
    <n v="-8.9999999999999998E-4"/>
    <n v="0"/>
    <n v="-8.0100000000000005E-2"/>
    <n v="3.27E-2"/>
    <n v="-1.2999999999999999E-3"/>
    <n v="184"/>
    <n v="0.05"/>
    <n v="330"/>
    <n v="0.2"/>
    <n v="0"/>
    <n v="0"/>
    <n v="0.1"/>
    <n v="14"/>
    <n v="0"/>
  </r>
  <r>
    <x v="0"/>
    <x v="0"/>
    <s v="SPXW"/>
    <x v="5"/>
    <x v="30"/>
    <s v="p"/>
    <n v="0.23"/>
    <n v="0.24"/>
    <n v="0.1"/>
    <n v="0.1"/>
    <n v="109"/>
    <n v="108"/>
    <n v="0.1"/>
    <n v="18"/>
    <n v="0.15"/>
    <n v="0"/>
    <n v="0"/>
    <n v="0"/>
    <n v="0"/>
    <n v="0.50929999999999997"/>
    <n v="-1E-3"/>
    <n v="0"/>
    <n v="-0.08"/>
    <n v="3.3300000000000003E-2"/>
    <n v="-1.2999999999999999E-3"/>
    <n v="47"/>
    <n v="0.1"/>
    <n v="327"/>
    <n v="0.2"/>
    <n v="0"/>
    <n v="0"/>
    <n v="0.1583"/>
    <n v="299"/>
    <n v="0"/>
  </r>
  <r>
    <x v="0"/>
    <x v="0"/>
    <s v="SPXW"/>
    <x v="5"/>
    <x v="31"/>
    <s v="p"/>
    <n v="0.1"/>
    <n v="0.1"/>
    <n v="0.1"/>
    <n v="0.1"/>
    <n v="4"/>
    <n v="435"/>
    <n v="0.1"/>
    <n v="11"/>
    <n v="0.15"/>
    <n v="0"/>
    <n v="0"/>
    <n v="0"/>
    <n v="0"/>
    <n v="0.49990000000000001"/>
    <n v="-1E-3"/>
    <n v="0"/>
    <n v="-7.9899999999999999E-2"/>
    <n v="3.39E-2"/>
    <n v="-1.2999999999999999E-3"/>
    <n v="48"/>
    <n v="0.1"/>
    <n v="299"/>
    <n v="0.2"/>
    <n v="0"/>
    <n v="0"/>
    <n v="0.1"/>
    <n v="83"/>
    <n v="0"/>
  </r>
  <r>
    <x v="0"/>
    <x v="0"/>
    <s v="SPXW"/>
    <x v="5"/>
    <x v="32"/>
    <s v="p"/>
    <n v="0.15"/>
    <n v="0.15"/>
    <n v="0.14000000000000001"/>
    <n v="0.14000000000000001"/>
    <n v="2"/>
    <n v="340"/>
    <n v="0.1"/>
    <n v="17"/>
    <n v="0.15"/>
    <n v="0"/>
    <n v="0"/>
    <n v="0"/>
    <n v="0"/>
    <n v="0.49049999999999999"/>
    <n v="-1E-3"/>
    <n v="0"/>
    <n v="-7.9799999999999996E-2"/>
    <n v="3.4500000000000003E-2"/>
    <n v="-1.2999999999999999E-3"/>
    <n v="59"/>
    <n v="0.1"/>
    <n v="6"/>
    <n v="0.15"/>
    <n v="0"/>
    <n v="0"/>
    <n v="0.14499999999999999"/>
    <n v="118"/>
    <n v="0"/>
  </r>
  <r>
    <x v="0"/>
    <x v="0"/>
    <s v="SPXW"/>
    <x v="5"/>
    <x v="33"/>
    <s v="p"/>
    <n v="0.1"/>
    <n v="0.15"/>
    <n v="0.1"/>
    <n v="0.15"/>
    <n v="19"/>
    <n v="612"/>
    <n v="0.1"/>
    <n v="11"/>
    <n v="0.15"/>
    <n v="0"/>
    <n v="0"/>
    <n v="0"/>
    <n v="0"/>
    <n v="0.48120000000000002"/>
    <n v="-1E-3"/>
    <n v="0"/>
    <n v="-7.9699999999999993E-2"/>
    <n v="3.5099999999999999E-2"/>
    <n v="-1.2999999999999999E-3"/>
    <n v="50"/>
    <n v="0.1"/>
    <n v="243"/>
    <n v="0.2"/>
    <n v="0"/>
    <n v="0"/>
    <n v="0.13950000000000001"/>
    <n v="96"/>
    <n v="0"/>
  </r>
  <r>
    <x v="0"/>
    <x v="0"/>
    <s v="SPXW"/>
    <x v="5"/>
    <x v="34"/>
    <s v="p"/>
    <n v="0.13"/>
    <n v="0.25"/>
    <n v="0.12"/>
    <n v="0.16"/>
    <n v="217"/>
    <n v="730"/>
    <n v="0.1"/>
    <n v="17"/>
    <n v="0.15"/>
    <n v="0"/>
    <n v="0"/>
    <n v="0"/>
    <n v="0"/>
    <n v="0.47199999999999998"/>
    <n v="-1E-3"/>
    <n v="0"/>
    <n v="-7.9600000000000004E-2"/>
    <n v="3.5799999999999998E-2"/>
    <n v="-1.4E-3"/>
    <n v="65"/>
    <n v="0.1"/>
    <n v="324"/>
    <n v="0.25"/>
    <n v="0"/>
    <n v="0"/>
    <n v="0.1797"/>
    <n v="2593"/>
    <n v="0"/>
  </r>
  <r>
    <x v="0"/>
    <x v="0"/>
    <s v="SPXW"/>
    <x v="5"/>
    <x v="35"/>
    <s v="p"/>
    <n v="0.15"/>
    <n v="0.15"/>
    <n v="0.15"/>
    <n v="0.15"/>
    <n v="11"/>
    <n v="568"/>
    <n v="0.1"/>
    <n v="212"/>
    <n v="0.2"/>
    <n v="0"/>
    <n v="0"/>
    <n v="0"/>
    <n v="0"/>
    <n v="0.46970000000000001"/>
    <n v="-1.1999999999999999E-3"/>
    <n v="0"/>
    <n v="-9.3899999999999997E-2"/>
    <n v="4.1799999999999997E-2"/>
    <n v="-1.6000000000000001E-3"/>
    <n v="118"/>
    <n v="0.1"/>
    <n v="320"/>
    <n v="0.25"/>
    <n v="0"/>
    <n v="0"/>
    <n v="0.15"/>
    <n v="82"/>
    <n v="0"/>
  </r>
  <r>
    <x v="0"/>
    <x v="0"/>
    <s v="SPXW"/>
    <x v="5"/>
    <x v="36"/>
    <s v="p"/>
    <n v="0.15"/>
    <n v="0.2"/>
    <n v="0.15"/>
    <n v="0.15"/>
    <n v="36"/>
    <n v="769"/>
    <n v="0.1"/>
    <n v="9"/>
    <n v="0.15"/>
    <n v="0"/>
    <n v="0"/>
    <n v="0"/>
    <n v="0"/>
    <n v="0.45340000000000003"/>
    <n v="-1.1000000000000001E-3"/>
    <n v="0"/>
    <n v="-7.9299999999999995E-2"/>
    <n v="3.7199999999999997E-2"/>
    <n v="-1.4E-3"/>
    <n v="190"/>
    <n v="0.1"/>
    <n v="315"/>
    <n v="0.25"/>
    <n v="0"/>
    <n v="0"/>
    <n v="0.15140000000000001"/>
    <n v="64"/>
    <n v="0"/>
  </r>
  <r>
    <x v="0"/>
    <x v="0"/>
    <s v="SPXW"/>
    <x v="5"/>
    <x v="37"/>
    <s v="p"/>
    <n v="0.2"/>
    <n v="0.2"/>
    <n v="0.15"/>
    <n v="0.15"/>
    <n v="202"/>
    <n v="299"/>
    <n v="0.15"/>
    <n v="594"/>
    <n v="0.25"/>
    <n v="0"/>
    <n v="0"/>
    <n v="0"/>
    <n v="0"/>
    <n v="0.45689999999999997"/>
    <n v="-1.4E-3"/>
    <n v="0"/>
    <n v="-0.10780000000000001"/>
    <n v="4.87E-2"/>
    <n v="-1.9E-3"/>
    <n v="168"/>
    <n v="0.1"/>
    <n v="311"/>
    <n v="0.25"/>
    <n v="0"/>
    <n v="0"/>
    <n v="0.1993"/>
    <n v="42"/>
    <n v="0"/>
  </r>
  <r>
    <x v="0"/>
    <x v="0"/>
    <s v="SPXW"/>
    <x v="5"/>
    <x v="38"/>
    <s v="p"/>
    <n v="0.2"/>
    <n v="0.25"/>
    <n v="0.13"/>
    <n v="0.14000000000000001"/>
    <n v="294"/>
    <n v="276"/>
    <n v="0.15"/>
    <n v="20"/>
    <n v="0.2"/>
    <n v="0"/>
    <n v="0"/>
    <n v="0"/>
    <n v="0"/>
    <n v="0.44769999999999999"/>
    <n v="-1.5E-3"/>
    <n v="0"/>
    <n v="-0.1076"/>
    <n v="4.9700000000000001E-2"/>
    <n v="-2E-3"/>
    <n v="45"/>
    <n v="0.15"/>
    <n v="301"/>
    <n v="0.25"/>
    <n v="0"/>
    <n v="0"/>
    <n v="0.1789"/>
    <n v="431"/>
    <n v="0"/>
  </r>
  <r>
    <x v="0"/>
    <x v="0"/>
    <s v="SPXW"/>
    <x v="5"/>
    <x v="39"/>
    <s v="p"/>
    <n v="0.15"/>
    <n v="0.15"/>
    <n v="0.15"/>
    <n v="0.15"/>
    <n v="4"/>
    <n v="579"/>
    <n v="0.15"/>
    <n v="10"/>
    <n v="0.2"/>
    <n v="0"/>
    <n v="0"/>
    <n v="0"/>
    <n v="0"/>
    <n v="0.43830000000000002"/>
    <n v="-1.5E-3"/>
    <n v="0"/>
    <n v="-0.1074"/>
    <n v="5.0700000000000002E-2"/>
    <n v="-2E-3"/>
    <n v="47"/>
    <n v="0.15"/>
    <n v="224"/>
    <n v="0.25"/>
    <n v="0"/>
    <n v="0"/>
    <n v="0.15"/>
    <n v="60"/>
    <n v="0"/>
  </r>
  <r>
    <x v="0"/>
    <x v="0"/>
    <s v="SPXW"/>
    <x v="5"/>
    <x v="40"/>
    <s v="p"/>
    <n v="0.2"/>
    <n v="0.23"/>
    <n v="0.19"/>
    <n v="0.2"/>
    <n v="178"/>
    <n v="744"/>
    <n v="0.15"/>
    <n v="15"/>
    <n v="0.2"/>
    <n v="0"/>
    <n v="0"/>
    <n v="0"/>
    <n v="0"/>
    <n v="0.4289"/>
    <n v="-1.5E-3"/>
    <n v="0"/>
    <n v="-0.1072"/>
    <n v="5.1700000000000003E-2"/>
    <n v="-2E-3"/>
    <n v="60"/>
    <n v="0.15"/>
    <n v="168"/>
    <n v="0.25"/>
    <n v="0"/>
    <n v="0"/>
    <n v="0.20250000000000001"/>
    <n v="103"/>
    <n v="0"/>
  </r>
  <r>
    <x v="0"/>
    <x v="0"/>
    <s v="SPXW"/>
    <x v="5"/>
    <x v="41"/>
    <s v="p"/>
    <n v="0.2"/>
    <n v="0.2"/>
    <n v="0.2"/>
    <n v="0.2"/>
    <n v="114"/>
    <n v="718"/>
    <n v="0.15"/>
    <n v="6"/>
    <n v="0.25"/>
    <n v="0"/>
    <n v="0"/>
    <n v="0"/>
    <n v="0"/>
    <n v="0.42459999999999998"/>
    <n v="-1.6999999999999999E-3"/>
    <n v="0"/>
    <n v="-0.1208"/>
    <n v="5.8400000000000001E-2"/>
    <n v="-2.3E-3"/>
    <n v="110"/>
    <n v="0.15"/>
    <n v="285"/>
    <n v="0.3"/>
    <n v="0"/>
    <n v="0"/>
    <n v="0.2"/>
    <n v="119"/>
    <n v="0"/>
  </r>
  <r>
    <x v="0"/>
    <x v="0"/>
    <s v="SPXW"/>
    <x v="5"/>
    <x v="42"/>
    <s v="p"/>
    <n v="0.2"/>
    <n v="0.2"/>
    <n v="0.2"/>
    <n v="0.2"/>
    <n v="21"/>
    <n v="398"/>
    <n v="0.2"/>
    <n v="18"/>
    <n v="0.25"/>
    <n v="0"/>
    <n v="0"/>
    <n v="0"/>
    <n v="0"/>
    <n v="0.41970000000000002"/>
    <n v="-2E-3"/>
    <n v="0"/>
    <n v="-0.13420000000000001"/>
    <n v="6.5000000000000002E-2"/>
    <n v="-2.5999999999999999E-3"/>
    <n v="162"/>
    <n v="0.15"/>
    <n v="275"/>
    <n v="0.3"/>
    <n v="0"/>
    <n v="0"/>
    <n v="0.2"/>
    <n v="392"/>
    <n v="0"/>
  </r>
  <r>
    <x v="0"/>
    <x v="0"/>
    <s v="SPXW"/>
    <x v="5"/>
    <x v="43"/>
    <s v="p"/>
    <n v="0.32"/>
    <n v="0.32"/>
    <n v="0.2"/>
    <n v="0.2"/>
    <n v="5"/>
    <n v="528"/>
    <n v="0.2"/>
    <n v="8"/>
    <n v="0.25"/>
    <n v="0"/>
    <n v="0"/>
    <n v="0"/>
    <n v="0"/>
    <n v="0.41010000000000002"/>
    <n v="-2E-3"/>
    <n v="0"/>
    <n v="-0.13389999999999999"/>
    <n v="6.6400000000000001E-2"/>
    <n v="-2.7000000000000001E-3"/>
    <n v="43"/>
    <n v="0.2"/>
    <n v="260"/>
    <n v="0.3"/>
    <n v="0"/>
    <n v="0"/>
    <n v="0.248"/>
    <n v="48"/>
    <n v="0"/>
  </r>
  <r>
    <x v="0"/>
    <x v="0"/>
    <s v="SPXW"/>
    <x v="5"/>
    <x v="44"/>
    <s v="p"/>
    <n v="0.25"/>
    <n v="0.5"/>
    <n v="0.25"/>
    <n v="0.25"/>
    <n v="52"/>
    <n v="721"/>
    <n v="0.2"/>
    <n v="14"/>
    <n v="0.25"/>
    <n v="0"/>
    <n v="0"/>
    <n v="0"/>
    <n v="0"/>
    <n v="0.4007"/>
    <n v="-2E-3"/>
    <n v="0"/>
    <n v="-0.1336"/>
    <n v="6.7799999999999999E-2"/>
    <n v="-2.7000000000000001E-3"/>
    <n v="56"/>
    <n v="0.2"/>
    <n v="272"/>
    <n v="0.35"/>
    <n v="0"/>
    <n v="0"/>
    <n v="0.30099999999999999"/>
    <n v="261"/>
    <n v="0"/>
  </r>
  <r>
    <x v="0"/>
    <x v="0"/>
    <s v="SPXW"/>
    <x v="5"/>
    <x v="45"/>
    <s v="p"/>
    <n v="0.25"/>
    <n v="0.25"/>
    <n v="0.25"/>
    <n v="0.25"/>
    <n v="10"/>
    <n v="324"/>
    <n v="0.25"/>
    <n v="8"/>
    <n v="0.3"/>
    <n v="0"/>
    <n v="0"/>
    <n v="0"/>
    <n v="0"/>
    <n v="0.39879999999999999"/>
    <n v="-2.5000000000000001E-3"/>
    <n v="0"/>
    <n v="-0.1598"/>
    <n v="8.0100000000000005E-2"/>
    <n v="-3.3E-3"/>
    <n v="87"/>
    <n v="0.2"/>
    <n v="261"/>
    <n v="0.35"/>
    <n v="0"/>
    <n v="0"/>
    <n v="0.25"/>
    <n v="504"/>
    <n v="0"/>
  </r>
  <r>
    <x v="0"/>
    <x v="0"/>
    <s v="SPXW"/>
    <x v="5"/>
    <x v="46"/>
    <s v="p"/>
    <n v="0.27"/>
    <n v="0.5"/>
    <n v="0.22"/>
    <n v="0.25"/>
    <n v="693"/>
    <n v="481"/>
    <n v="0.25"/>
    <n v="13"/>
    <n v="0.3"/>
    <n v="0"/>
    <n v="0"/>
    <n v="0"/>
    <n v="0"/>
    <n v="0.38919999999999999"/>
    <n v="-2.5000000000000001E-3"/>
    <n v="0"/>
    <n v="-0.15939999999999999"/>
    <n v="8.1900000000000001E-2"/>
    <n v="-3.3999999999999998E-3"/>
    <n v="157"/>
    <n v="0.2"/>
    <n v="1"/>
    <n v="0.3"/>
    <n v="0"/>
    <n v="0"/>
    <n v="0.31790000000000002"/>
    <n v="812"/>
    <n v="0"/>
  </r>
  <r>
    <x v="0"/>
    <x v="0"/>
    <s v="SPXW"/>
    <x v="5"/>
    <x v="47"/>
    <s v="p"/>
    <n v="0.3"/>
    <n v="0.3"/>
    <n v="0.3"/>
    <n v="0.3"/>
    <n v="6"/>
    <n v="664"/>
    <n v="0.25"/>
    <n v="44"/>
    <n v="0.35"/>
    <n v="0"/>
    <n v="0"/>
    <n v="0"/>
    <n v="0"/>
    <n v="0.38279999999999997"/>
    <n v="-2.8E-3"/>
    <n v="0"/>
    <n v="-0.17199999999999999"/>
    <n v="8.9300000000000004E-2"/>
    <n v="-3.7000000000000002E-3"/>
    <n v="42"/>
    <n v="0.25"/>
    <n v="199"/>
    <n v="0.35"/>
    <n v="0"/>
    <n v="0"/>
    <n v="0.3"/>
    <n v="120"/>
    <n v="0"/>
  </r>
  <r>
    <x v="0"/>
    <x v="0"/>
    <s v="SPXW"/>
    <x v="5"/>
    <x v="50"/>
    <s v="p"/>
    <n v="0.28999999999999998"/>
    <n v="0.42"/>
    <n v="0.27"/>
    <n v="0.32"/>
    <n v="349"/>
    <n v="796"/>
    <n v="0.25"/>
    <n v="298"/>
    <n v="0.4"/>
    <n v="0"/>
    <n v="0"/>
    <n v="0"/>
    <n v="0"/>
    <n v="0.37609999999999999"/>
    <n v="-3.0000000000000001E-3"/>
    <n v="0"/>
    <n v="-0.18440000000000001"/>
    <n v="9.69E-2"/>
    <n v="-4.1000000000000003E-3"/>
    <n v="83"/>
    <n v="0.25"/>
    <n v="243"/>
    <n v="0.4"/>
    <n v="0"/>
    <n v="0"/>
    <n v="0.313"/>
    <n v="160"/>
    <n v="0"/>
  </r>
  <r>
    <x v="0"/>
    <x v="0"/>
    <s v="SPXW"/>
    <x v="5"/>
    <x v="53"/>
    <s v="p"/>
    <n v="0.4"/>
    <n v="0.4"/>
    <n v="0.35"/>
    <n v="0.35"/>
    <n v="4"/>
    <n v="515"/>
    <n v="0.3"/>
    <n v="181"/>
    <n v="0.4"/>
    <n v="0"/>
    <n v="0"/>
    <n v="0"/>
    <n v="0"/>
    <n v="0.36930000000000002"/>
    <n v="-3.3E-3"/>
    <n v="0"/>
    <n v="-0.19650000000000001"/>
    <n v="0.1047"/>
    <n v="-4.4000000000000003E-3"/>
    <n v="151"/>
    <n v="0.25"/>
    <n v="235"/>
    <n v="0.4"/>
    <n v="0"/>
    <n v="0"/>
    <n v="0.36249999999999999"/>
    <n v="277"/>
    <n v="0"/>
  </r>
  <r>
    <x v="0"/>
    <x v="0"/>
    <s v="SPXW"/>
    <x v="5"/>
    <x v="56"/>
    <s v="p"/>
    <n v="0.32"/>
    <n v="0.35"/>
    <n v="0.32"/>
    <n v="0.35"/>
    <n v="32"/>
    <n v="737"/>
    <n v="0.3"/>
    <n v="478"/>
    <n v="0.45"/>
    <n v="0"/>
    <n v="0"/>
    <n v="0"/>
    <n v="0"/>
    <n v="0.36199999999999999"/>
    <n v="-3.5999999999999999E-3"/>
    <n v="0"/>
    <n v="-0.2084"/>
    <n v="0.11260000000000001"/>
    <n v="-4.7999999999999996E-3"/>
    <n v="40"/>
    <n v="0.3"/>
    <n v="182"/>
    <n v="0.4"/>
    <n v="0"/>
    <n v="0"/>
    <n v="0.34910000000000002"/>
    <n v="421"/>
    <n v="0"/>
  </r>
  <r>
    <x v="0"/>
    <x v="0"/>
    <s v="SPXW"/>
    <x v="5"/>
    <x v="59"/>
    <s v="p"/>
    <n v="0.3"/>
    <n v="0.5"/>
    <n v="0.3"/>
    <n v="0.4"/>
    <n v="17"/>
    <n v="474"/>
    <n v="0.35"/>
    <n v="99"/>
    <n v="0.45"/>
    <n v="0"/>
    <n v="0"/>
    <n v="0"/>
    <n v="0"/>
    <n v="0.3548"/>
    <n v="-3.8E-3"/>
    <n v="0"/>
    <n v="-0.22009999999999999"/>
    <n v="0.1207"/>
    <n v="-5.1999999999999998E-3"/>
    <n v="101"/>
    <n v="0.3"/>
    <n v="225"/>
    <n v="0.45"/>
    <n v="0"/>
    <n v="0"/>
    <n v="0.35"/>
    <n v="259"/>
    <n v="0"/>
  </r>
  <r>
    <x v="0"/>
    <x v="0"/>
    <s v="SPXW"/>
    <x v="5"/>
    <x v="62"/>
    <s v="p"/>
    <n v="0.5"/>
    <n v="0.5"/>
    <n v="0.4"/>
    <n v="0.4"/>
    <n v="78"/>
    <n v="740"/>
    <n v="0.35"/>
    <n v="1"/>
    <n v="0.45"/>
    <n v="0"/>
    <n v="0"/>
    <n v="0"/>
    <n v="0"/>
    <n v="0.34510000000000002"/>
    <n v="-3.8999999999999998E-3"/>
    <n v="0"/>
    <n v="-0.21940000000000001"/>
    <n v="0.1237"/>
    <n v="-5.3E-3"/>
    <n v="38"/>
    <n v="0.35"/>
    <n v="96"/>
    <n v="0.45"/>
    <n v="0"/>
    <n v="0"/>
    <n v="0.47820000000000001"/>
    <n v="184"/>
    <n v="0"/>
  </r>
  <r>
    <x v="0"/>
    <x v="0"/>
    <s v="SPXW"/>
    <x v="5"/>
    <x v="65"/>
    <s v="p"/>
    <n v="0.35"/>
    <n v="0.59"/>
    <n v="0.35"/>
    <n v="0.45"/>
    <n v="15"/>
    <n v="407"/>
    <n v="0.4"/>
    <n v="30"/>
    <n v="0.5"/>
    <n v="0"/>
    <n v="0"/>
    <n v="0"/>
    <n v="0"/>
    <n v="0.33960000000000001"/>
    <n v="-4.4000000000000003E-3"/>
    <n v="0"/>
    <n v="-0.2429"/>
    <n v="0.13780000000000001"/>
    <n v="-6.0000000000000001E-3"/>
    <n v="99"/>
    <n v="0.35"/>
    <n v="215"/>
    <n v="0.5"/>
    <n v="0"/>
    <n v="0"/>
    <n v="0.39269999999999999"/>
    <n v="50"/>
    <n v="0"/>
  </r>
  <r>
    <x v="0"/>
    <x v="0"/>
    <s v="SPXW"/>
    <x v="5"/>
    <x v="68"/>
    <s v="p"/>
    <n v="0.45"/>
    <n v="0.8"/>
    <n v="0.37"/>
    <n v="0.45"/>
    <n v="55"/>
    <n v="106"/>
    <n v="0.45"/>
    <n v="209"/>
    <n v="0.55000000000000004"/>
    <n v="0"/>
    <n v="0"/>
    <n v="0"/>
    <n v="0"/>
    <n v="0.33350000000000002"/>
    <n v="-5.0000000000000001E-3"/>
    <n v="0"/>
    <n v="-0.26569999999999999"/>
    <n v="0.15229999999999999"/>
    <n v="-6.7000000000000002E-3"/>
    <n v="63"/>
    <n v="0.4"/>
    <n v="216"/>
    <n v="0.55000000000000004"/>
    <n v="0"/>
    <n v="0"/>
    <n v="0.4798"/>
    <n v="202"/>
    <n v="0"/>
  </r>
  <r>
    <x v="0"/>
    <x v="0"/>
    <s v="SPXW"/>
    <x v="5"/>
    <x v="71"/>
    <s v="p"/>
    <n v="0.65"/>
    <n v="0.65"/>
    <n v="0.5"/>
    <n v="0.5"/>
    <n v="13"/>
    <n v="673"/>
    <n v="0.45"/>
    <n v="241"/>
    <n v="0.6"/>
    <n v="0"/>
    <n v="0"/>
    <n v="0"/>
    <n v="0"/>
    <n v="0.32529999999999998"/>
    <n v="-5.3E-3"/>
    <n v="1E-4"/>
    <n v="-0.27639999999999998"/>
    <n v="0.16200000000000001"/>
    <n v="-7.1999999999999998E-3"/>
    <n v="206"/>
    <n v="0.4"/>
    <n v="200"/>
    <n v="0.55000000000000004"/>
    <n v="0"/>
    <n v="0"/>
    <n v="0.51149999999999995"/>
    <n v="97"/>
    <n v="0"/>
  </r>
  <r>
    <x v="0"/>
    <x v="0"/>
    <s v="SPXW"/>
    <x v="5"/>
    <x v="74"/>
    <s v="p"/>
    <n v="0.45"/>
    <n v="1"/>
    <n v="0.45"/>
    <n v="0.55000000000000004"/>
    <n v="22"/>
    <n v="548"/>
    <n v="0.5"/>
    <n v="416"/>
    <n v="0.65"/>
    <n v="0"/>
    <n v="0"/>
    <n v="0"/>
    <n v="0"/>
    <n v="0.31879999999999997"/>
    <n v="-5.8999999999999999E-3"/>
    <n v="1E-4"/>
    <n v="-0.29830000000000001"/>
    <n v="0.17710000000000001"/>
    <n v="-8.0000000000000002E-3"/>
    <n v="147"/>
    <n v="0.45"/>
    <n v="202"/>
    <n v="0.6"/>
    <n v="0"/>
    <n v="0"/>
    <n v="0.55269999999999997"/>
    <n v="415"/>
    <n v="0"/>
  </r>
  <r>
    <x v="0"/>
    <x v="0"/>
    <s v="SPXW"/>
    <x v="5"/>
    <x v="77"/>
    <s v="p"/>
    <n v="0.7"/>
    <n v="0.7"/>
    <n v="0.6"/>
    <n v="0.6"/>
    <n v="4"/>
    <n v="432"/>
    <n v="0.55000000000000004"/>
    <n v="409"/>
    <n v="0.7"/>
    <n v="0"/>
    <n v="0"/>
    <n v="0"/>
    <n v="0"/>
    <n v="0.31169999999999998"/>
    <n v="-6.4999999999999997E-3"/>
    <n v="1E-4"/>
    <n v="-0.31969999999999998"/>
    <n v="0.19270000000000001"/>
    <n v="-8.8000000000000005E-3"/>
    <n v="82"/>
    <n v="0.5"/>
    <n v="196"/>
    <n v="0.65"/>
    <n v="0"/>
    <n v="0"/>
    <n v="0.65"/>
    <n v="71"/>
    <n v="0"/>
  </r>
  <r>
    <x v="0"/>
    <x v="0"/>
    <s v="SPXW"/>
    <x v="5"/>
    <x v="78"/>
    <s v="p"/>
    <n v="0.55000000000000004"/>
    <n v="0.6"/>
    <n v="0.55000000000000004"/>
    <n v="0.6"/>
    <n v="5"/>
    <n v="461"/>
    <n v="0.55000000000000004"/>
    <n v="398"/>
    <n v="0.7"/>
    <n v="0"/>
    <n v="0"/>
    <n v="0"/>
    <n v="0"/>
    <n v="0.30980000000000002"/>
    <n v="-6.4999999999999997E-3"/>
    <n v="1E-4"/>
    <n v="-0.31940000000000002"/>
    <n v="0.1938"/>
    <n v="-8.8000000000000005E-3"/>
    <n v="144"/>
    <n v="0.5"/>
    <n v="187"/>
    <n v="0.65"/>
    <n v="0"/>
    <n v="0"/>
    <n v="0.59"/>
    <n v="90"/>
    <n v="0"/>
  </r>
  <r>
    <x v="0"/>
    <x v="0"/>
    <s v="SPXW"/>
    <x v="5"/>
    <x v="79"/>
    <s v="p"/>
    <n v="0.65"/>
    <n v="0.65"/>
    <n v="0.6"/>
    <n v="0.6"/>
    <n v="7"/>
    <n v="646"/>
    <n v="0.55000000000000004"/>
    <n v="164"/>
    <n v="0.7"/>
    <n v="0"/>
    <n v="0"/>
    <n v="0"/>
    <n v="0"/>
    <n v="0.3054"/>
    <n v="-6.6E-3"/>
    <n v="1E-4"/>
    <n v="-0.31879999999999997"/>
    <n v="0.19620000000000001"/>
    <n v="-8.8999999999999999E-3"/>
    <n v="150"/>
    <n v="0.5"/>
    <n v="147"/>
    <n v="0.65"/>
    <n v="0"/>
    <n v="0"/>
    <n v="0.61429999999999996"/>
    <n v="61"/>
    <n v="0"/>
  </r>
  <r>
    <x v="0"/>
    <x v="0"/>
    <s v="SPXW"/>
    <x v="5"/>
    <x v="80"/>
    <s v="p"/>
    <n v="0.6"/>
    <n v="1.2"/>
    <n v="0.6"/>
    <n v="0.65"/>
    <n v="49"/>
    <n v="405"/>
    <n v="0.6"/>
    <n v="434"/>
    <n v="0.75"/>
    <n v="0"/>
    <n v="0"/>
    <n v="0"/>
    <n v="0"/>
    <n v="0.30430000000000001"/>
    <n v="-7.1000000000000004E-3"/>
    <n v="1E-4"/>
    <n v="-0.34050000000000002"/>
    <n v="0.20880000000000001"/>
    <n v="-9.5999999999999992E-3"/>
    <n v="40"/>
    <n v="0.55000000000000004"/>
    <n v="194"/>
    <n v="0.7"/>
    <n v="0"/>
    <n v="0"/>
    <n v="0.77980000000000005"/>
    <n v="307"/>
    <n v="0"/>
  </r>
  <r>
    <x v="0"/>
    <x v="0"/>
    <s v="SPXW"/>
    <x v="5"/>
    <x v="81"/>
    <s v="p"/>
    <n v="0.65"/>
    <n v="0.65"/>
    <n v="0.65"/>
    <n v="0.65"/>
    <n v="4"/>
    <n v="545"/>
    <n v="0.6"/>
    <n v="165"/>
    <n v="0.75"/>
    <n v="0"/>
    <n v="0"/>
    <n v="0"/>
    <n v="0"/>
    <n v="0.30009999999999998"/>
    <n v="-7.1999999999999998E-3"/>
    <n v="1E-4"/>
    <n v="-0.33989999999999998"/>
    <n v="0.2114"/>
    <n v="-9.7000000000000003E-3"/>
    <n v="137"/>
    <n v="0.55000000000000004"/>
    <n v="176"/>
    <n v="0.7"/>
    <n v="0"/>
    <n v="0"/>
    <n v="0.65"/>
    <n v="20"/>
    <n v="0"/>
  </r>
  <r>
    <x v="0"/>
    <x v="0"/>
    <s v="SPXW"/>
    <x v="5"/>
    <x v="82"/>
    <s v="p"/>
    <n v="1"/>
    <n v="1"/>
    <n v="0.65"/>
    <n v="0.65"/>
    <n v="4"/>
    <n v="80"/>
    <n v="0.65"/>
    <n v="96"/>
    <n v="0.75"/>
    <n v="0"/>
    <n v="0"/>
    <n v="0"/>
    <n v="0"/>
    <n v="0.29759999999999998"/>
    <n v="-7.4999999999999997E-3"/>
    <n v="1E-4"/>
    <n v="-0.3503"/>
    <n v="0.219"/>
    <n v="-1.01E-2"/>
    <n v="147"/>
    <n v="0.55000000000000004"/>
    <n v="47"/>
    <n v="0.7"/>
    <n v="0"/>
    <n v="0"/>
    <n v="0.83750000000000002"/>
    <n v="114"/>
    <n v="0"/>
  </r>
  <r>
    <x v="0"/>
    <x v="0"/>
    <s v="SPXW"/>
    <x v="5"/>
    <x v="83"/>
    <s v="p"/>
    <n v="1.22"/>
    <n v="1.22"/>
    <n v="0.7"/>
    <n v="0.7"/>
    <n v="3"/>
    <n v="386"/>
    <n v="0.65"/>
    <n v="390"/>
    <n v="0.8"/>
    <n v="0"/>
    <n v="0"/>
    <n v="0"/>
    <n v="0"/>
    <n v="0.29680000000000001"/>
    <n v="-7.7000000000000002E-3"/>
    <n v="1E-4"/>
    <n v="-0.36080000000000001"/>
    <n v="0.22559999999999999"/>
    <n v="-1.0500000000000001E-2"/>
    <n v="187"/>
    <n v="0.55000000000000004"/>
    <n v="187"/>
    <n v="0.75"/>
    <n v="0"/>
    <n v="0"/>
    <n v="0.87329999999999997"/>
    <n v="32"/>
    <n v="0"/>
  </r>
  <r>
    <x v="0"/>
    <x v="0"/>
    <s v="SPXW"/>
    <x v="5"/>
    <x v="84"/>
    <s v="p"/>
    <n v="0.65"/>
    <n v="1.3"/>
    <n v="0.65"/>
    <n v="0.7"/>
    <n v="35"/>
    <n v="563"/>
    <n v="0.65"/>
    <n v="241"/>
    <n v="0.8"/>
    <n v="0"/>
    <n v="0"/>
    <n v="0"/>
    <n v="0"/>
    <n v="0.29480000000000001"/>
    <n v="-7.7999999999999996E-3"/>
    <n v="1E-4"/>
    <n v="-0.36049999999999999"/>
    <n v="0.22700000000000001"/>
    <n v="-1.0500000000000001E-2"/>
    <n v="134"/>
    <n v="0.6"/>
    <n v="177"/>
    <n v="0.75"/>
    <n v="0"/>
    <n v="0"/>
    <n v="1.2454000000000001"/>
    <n v="49"/>
    <n v="0"/>
  </r>
  <r>
    <x v="0"/>
    <x v="0"/>
    <s v="SPXW"/>
    <x v="5"/>
    <x v="85"/>
    <s v="p"/>
    <n v="0.75"/>
    <n v="0.75"/>
    <n v="0.7"/>
    <n v="0.75"/>
    <n v="3"/>
    <n v="623"/>
    <n v="0.65"/>
    <n v="1"/>
    <n v="0.75"/>
    <n v="0"/>
    <n v="0"/>
    <n v="0"/>
    <n v="0"/>
    <n v="0.28949999999999998"/>
    <n v="-7.7000000000000002E-3"/>
    <n v="1E-4"/>
    <n v="-0.34899999999999998"/>
    <n v="0.22450000000000001"/>
    <n v="-1.04E-2"/>
    <n v="140"/>
    <n v="0.6"/>
    <n v="81"/>
    <n v="0.75"/>
    <n v="0"/>
    <n v="0"/>
    <n v="0.73329999999999995"/>
    <n v="5"/>
    <n v="0"/>
  </r>
  <r>
    <x v="0"/>
    <x v="0"/>
    <s v="SPXW"/>
    <x v="5"/>
    <x v="86"/>
    <s v="p"/>
    <n v="0.65"/>
    <n v="1.37"/>
    <n v="0.65"/>
    <n v="0.75"/>
    <n v="92"/>
    <n v="391"/>
    <n v="0.7"/>
    <n v="245"/>
    <n v="0.85"/>
    <n v="0"/>
    <n v="0"/>
    <n v="0"/>
    <n v="0"/>
    <n v="0.28899999999999998"/>
    <n v="-8.3999999999999995E-3"/>
    <n v="1E-4"/>
    <n v="-0.38059999999999999"/>
    <n v="0.24329999999999999"/>
    <n v="-1.14E-2"/>
    <n v="50"/>
    <n v="0.65"/>
    <n v="185"/>
    <n v="0.8"/>
    <n v="0"/>
    <n v="0"/>
    <n v="1.2818000000000001"/>
    <n v="469"/>
    <n v="0"/>
  </r>
  <r>
    <x v="0"/>
    <x v="0"/>
    <s v="SPXW"/>
    <x v="5"/>
    <x v="87"/>
    <s v="p"/>
    <n v="0.8"/>
    <n v="0.8"/>
    <n v="0.8"/>
    <n v="0.8"/>
    <n v="1"/>
    <n v="5"/>
    <n v="0.75"/>
    <n v="50"/>
    <n v="0.85"/>
    <n v="0"/>
    <n v="0"/>
    <n v="0"/>
    <n v="0"/>
    <n v="0.28489999999999999"/>
    <n v="-8.5000000000000006E-3"/>
    <n v="1E-4"/>
    <n v="-0.37980000000000003"/>
    <n v="0.24640000000000001"/>
    <n v="-1.15E-2"/>
    <n v="136"/>
    <n v="0.65"/>
    <n v="81"/>
    <n v="0.8"/>
    <n v="0"/>
    <n v="0"/>
    <n v="0.8"/>
    <n v="54"/>
    <n v="0"/>
  </r>
  <r>
    <x v="0"/>
    <x v="0"/>
    <s v="SPXW"/>
    <x v="5"/>
    <x v="88"/>
    <s v="p"/>
    <n v="0.8"/>
    <n v="0.8"/>
    <n v="0.8"/>
    <n v="0.8"/>
    <n v="2"/>
    <n v="349"/>
    <n v="0.75"/>
    <n v="1"/>
    <n v="0.85"/>
    <n v="0"/>
    <n v="0"/>
    <n v="0"/>
    <n v="0"/>
    <n v="0.28270000000000001"/>
    <n v="-9.1000000000000004E-3"/>
    <n v="1E-4"/>
    <n v="-0.40010000000000001"/>
    <n v="0.26029999999999998"/>
    <n v="-1.23E-2"/>
    <n v="50"/>
    <n v="0.7"/>
    <n v="170"/>
    <n v="0.85"/>
    <n v="0"/>
    <n v="0"/>
    <n v="0.8"/>
    <n v="3"/>
    <n v="0"/>
  </r>
  <r>
    <x v="0"/>
    <x v="0"/>
    <s v="SPXW"/>
    <x v="5"/>
    <x v="89"/>
    <s v="p"/>
    <n v="0.8"/>
    <n v="1.42"/>
    <n v="0.8"/>
    <n v="0.8"/>
    <n v="27"/>
    <n v="602"/>
    <n v="0.75"/>
    <n v="165"/>
    <n v="0.9"/>
    <n v="0"/>
    <n v="0"/>
    <n v="0"/>
    <n v="0"/>
    <n v="0.28050000000000003"/>
    <n v="-9.1000000000000004E-3"/>
    <n v="1E-4"/>
    <n v="-0.39960000000000001"/>
    <n v="0.26200000000000001"/>
    <n v="-1.24E-2"/>
    <n v="132"/>
    <n v="0.7"/>
    <n v="177"/>
    <n v="0.85"/>
    <n v="0"/>
    <n v="0"/>
    <n v="0.8407"/>
    <n v="260"/>
    <n v="0"/>
  </r>
  <r>
    <x v="0"/>
    <x v="0"/>
    <s v="SPXW"/>
    <x v="5"/>
    <x v="90"/>
    <s v="p"/>
    <n v="0.9"/>
    <n v="0.9"/>
    <n v="0.85"/>
    <n v="0.85"/>
    <n v="7"/>
    <n v="292"/>
    <n v="0.8"/>
    <n v="25"/>
    <n v="0.9"/>
    <n v="0"/>
    <n v="0"/>
    <n v="0"/>
    <n v="0"/>
    <n v="0.2787"/>
    <n v="-9.1999999999999998E-3"/>
    <n v="1E-4"/>
    <n v="-0.39929999999999999"/>
    <n v="0.26350000000000001"/>
    <n v="-1.24E-2"/>
    <n v="122"/>
    <n v="0.7"/>
    <n v="131"/>
    <n v="0.85"/>
    <n v="0"/>
    <n v="0"/>
    <n v="0.86860000000000004"/>
    <n v="32"/>
    <n v="0"/>
  </r>
  <r>
    <x v="0"/>
    <x v="0"/>
    <s v="SPXW"/>
    <x v="5"/>
    <x v="91"/>
    <s v="p"/>
    <n v="0.74"/>
    <n v="0.92"/>
    <n v="0.74"/>
    <n v="0.9"/>
    <n v="12"/>
    <n v="585"/>
    <n v="0.8"/>
    <n v="120"/>
    <n v="0.95"/>
    <n v="0"/>
    <n v="0"/>
    <n v="0"/>
    <n v="0"/>
    <n v="0.27650000000000002"/>
    <n v="-9.7000000000000003E-3"/>
    <n v="1E-4"/>
    <n v="-0.41920000000000002"/>
    <n v="0.27750000000000002"/>
    <n v="-1.32E-2"/>
    <n v="42"/>
    <n v="0.75"/>
    <n v="133"/>
    <n v="0.9"/>
    <n v="0"/>
    <n v="0"/>
    <n v="0.83579999999999999"/>
    <n v="52"/>
    <n v="0"/>
  </r>
  <r>
    <x v="0"/>
    <x v="0"/>
    <s v="SPXW"/>
    <x v="5"/>
    <x v="92"/>
    <s v="p"/>
    <n v="0.78"/>
    <n v="1.7"/>
    <n v="0.77"/>
    <n v="0.9"/>
    <n v="29"/>
    <n v="391"/>
    <n v="0.85"/>
    <n v="1"/>
    <n v="0.95"/>
    <n v="0"/>
    <n v="0"/>
    <n v="0"/>
    <n v="0"/>
    <n v="0.27350000000000002"/>
    <n v="-1.01E-2"/>
    <n v="1E-4"/>
    <n v="-0.42859999999999998"/>
    <n v="0.28599999999999998"/>
    <n v="-1.37E-2"/>
    <n v="156"/>
    <n v="0.75"/>
    <n v="50"/>
    <n v="0.9"/>
    <n v="0"/>
    <n v="0"/>
    <n v="1.0386"/>
    <n v="461"/>
    <n v="0"/>
  </r>
  <r>
    <x v="0"/>
    <x v="0"/>
    <s v="SPXW"/>
    <x v="5"/>
    <x v="93"/>
    <s v="p"/>
    <n v="0.85"/>
    <n v="1.65"/>
    <n v="0.85"/>
    <n v="0.85"/>
    <n v="14"/>
    <n v="293"/>
    <n v="0.9"/>
    <n v="306"/>
    <n v="1.05"/>
    <n v="0"/>
    <n v="0"/>
    <n v="0"/>
    <n v="0"/>
    <n v="0.2722"/>
    <n v="-1.09E-2"/>
    <n v="1E-4"/>
    <n v="-0.4582"/>
    <n v="0.30499999999999999"/>
    <n v="-1.4800000000000001E-2"/>
    <n v="83"/>
    <n v="0.8"/>
    <n v="126"/>
    <n v="0.95"/>
    <n v="0"/>
    <n v="0"/>
    <n v="0.98570000000000002"/>
    <n v="33"/>
    <n v="0"/>
  </r>
  <r>
    <x v="0"/>
    <x v="0"/>
    <s v="SPXW"/>
    <x v="5"/>
    <x v="94"/>
    <s v="p"/>
    <n v="1"/>
    <n v="1.05"/>
    <n v="0.9"/>
    <n v="0.9"/>
    <n v="11"/>
    <n v="7"/>
    <n v="0.95"/>
    <n v="16"/>
    <n v="1.05"/>
    <n v="0"/>
    <n v="0"/>
    <n v="0"/>
    <n v="0"/>
    <n v="0.2676"/>
    <n v="-1.0999999999999999E-2"/>
    <n v="1E-4"/>
    <n v="-0.45700000000000002"/>
    <n v="0.30940000000000001"/>
    <n v="-1.4999999999999999E-2"/>
    <n v="39"/>
    <n v="0.85"/>
    <n v="129"/>
    <n v="1"/>
    <n v="0"/>
    <n v="0"/>
    <n v="0.97729999999999995"/>
    <n v="81"/>
    <n v="0"/>
  </r>
  <r>
    <x v="0"/>
    <x v="0"/>
    <s v="SPXW"/>
    <x v="5"/>
    <x v="95"/>
    <s v="p"/>
    <n v="1.05"/>
    <n v="1.05"/>
    <n v="0.9"/>
    <n v="0.9"/>
    <n v="7"/>
    <n v="306"/>
    <n v="0.95"/>
    <n v="198"/>
    <n v="1.1000000000000001"/>
    <n v="0"/>
    <n v="0"/>
    <n v="0"/>
    <n v="0"/>
    <n v="0.2676"/>
    <n v="-1.15E-2"/>
    <n v="1E-4"/>
    <n v="-0.47660000000000002"/>
    <n v="0.32119999999999999"/>
    <n v="-1.5699999999999999E-2"/>
    <n v="119"/>
    <n v="0.85"/>
    <n v="123"/>
    <n v="1"/>
    <n v="0"/>
    <n v="0"/>
    <n v="1"/>
    <n v="89"/>
    <n v="0"/>
  </r>
  <r>
    <x v="0"/>
    <x v="0"/>
    <s v="SPXW"/>
    <x v="5"/>
    <x v="96"/>
    <s v="p"/>
    <n v="1.05"/>
    <n v="1.1000000000000001"/>
    <n v="0.95"/>
    <n v="0.95"/>
    <n v="9"/>
    <n v="339"/>
    <n v="0.95"/>
    <n v="119"/>
    <n v="1.1000000000000001"/>
    <n v="0"/>
    <n v="0"/>
    <n v="0"/>
    <n v="0"/>
    <n v="0.26550000000000001"/>
    <n v="-1.1599999999999999E-2"/>
    <n v="1E-4"/>
    <n v="-0.47599999999999998"/>
    <n v="0.32340000000000002"/>
    <n v="-1.5800000000000002E-2"/>
    <n v="142"/>
    <n v="0.85"/>
    <n v="29"/>
    <n v="1"/>
    <n v="0"/>
    <n v="0"/>
    <n v="1.0388999999999999"/>
    <n v="95"/>
    <n v="0"/>
  </r>
  <r>
    <x v="0"/>
    <x v="0"/>
    <s v="SPXW"/>
    <x v="5"/>
    <x v="97"/>
    <s v="p"/>
    <n v="1.22"/>
    <n v="1.22"/>
    <n v="0.95"/>
    <n v="0.95"/>
    <n v="15"/>
    <n v="368"/>
    <n v="1"/>
    <n v="1"/>
    <n v="1.1000000000000001"/>
    <n v="0"/>
    <n v="0"/>
    <n v="0"/>
    <n v="0"/>
    <n v="0.2621"/>
    <n v="-1.2E-2"/>
    <n v="1E-4"/>
    <n v="-0.48470000000000002"/>
    <n v="0.33289999999999997"/>
    <n v="-1.6299999999999999E-2"/>
    <n v="109"/>
    <n v="0.9"/>
    <n v="45"/>
    <n v="1.05"/>
    <n v="0"/>
    <n v="0"/>
    <n v="1.1007"/>
    <n v="48"/>
    <n v="0"/>
  </r>
  <r>
    <x v="0"/>
    <x v="0"/>
    <s v="SPXW"/>
    <x v="5"/>
    <x v="98"/>
    <s v="p"/>
    <n v="0.97"/>
    <n v="2"/>
    <n v="0.97"/>
    <n v="1.05"/>
    <n v="212"/>
    <n v="389"/>
    <n v="1.05"/>
    <n v="222"/>
    <n v="1.2"/>
    <n v="0"/>
    <n v="0"/>
    <n v="0"/>
    <n v="0"/>
    <n v="0.26029999999999998"/>
    <n v="-1.29E-2"/>
    <n v="1E-4"/>
    <n v="-0.51290000000000002"/>
    <n v="0.3528"/>
    <n v="-1.7500000000000002E-2"/>
    <n v="114"/>
    <n v="0.95"/>
    <n v="49"/>
    <n v="1.1000000000000001"/>
    <n v="0"/>
    <n v="0"/>
    <n v="1.1863999999999999"/>
    <n v="305"/>
    <n v="0"/>
  </r>
  <r>
    <x v="0"/>
    <x v="0"/>
    <s v="SPXW"/>
    <x v="5"/>
    <x v="99"/>
    <s v="p"/>
    <n v="1.2"/>
    <n v="1.2"/>
    <n v="1.1499999999999999"/>
    <n v="1.1499999999999999"/>
    <n v="9"/>
    <n v="341"/>
    <n v="1.1000000000000001"/>
    <n v="184"/>
    <n v="1.25"/>
    <n v="0"/>
    <n v="0"/>
    <n v="0"/>
    <n v="0"/>
    <n v="0.2576"/>
    <n v="-1.35E-2"/>
    <n v="1E-4"/>
    <n v="-0.53090000000000004"/>
    <n v="0.36780000000000002"/>
    <n v="-1.83E-2"/>
    <n v="74"/>
    <n v="1"/>
    <n v="115"/>
    <n v="1.1499999999999999"/>
    <n v="0"/>
    <n v="0"/>
    <n v="1.1833"/>
    <n v="31"/>
    <n v="0"/>
  </r>
  <r>
    <x v="0"/>
    <x v="0"/>
    <s v="SPXW"/>
    <x v="5"/>
    <x v="100"/>
    <s v="p"/>
    <n v="1.9"/>
    <n v="1.9"/>
    <n v="1.2"/>
    <n v="1.2"/>
    <n v="75"/>
    <n v="367"/>
    <n v="1.1499999999999999"/>
    <n v="210"/>
    <n v="1.3"/>
    <n v="0"/>
    <n v="0"/>
    <n v="0"/>
    <n v="0"/>
    <n v="0.25469999999999998"/>
    <n v="-1.41E-2"/>
    <n v="1E-4"/>
    <n v="-0.54859999999999998"/>
    <n v="0.3831"/>
    <n v="-1.9199999999999998E-2"/>
    <n v="40"/>
    <n v="1.05"/>
    <n v="80"/>
    <n v="1.2"/>
    <n v="0"/>
    <n v="0"/>
    <n v="1.8292999999999999"/>
    <n v="202"/>
    <n v="0"/>
  </r>
  <r>
    <x v="0"/>
    <x v="0"/>
    <s v="SPXW"/>
    <x v="5"/>
    <x v="101"/>
    <s v="p"/>
    <n v="1.21"/>
    <n v="1.3"/>
    <n v="1.21"/>
    <n v="1.3"/>
    <n v="5"/>
    <n v="129"/>
    <n v="1.2"/>
    <n v="251"/>
    <n v="1.35"/>
    <n v="0"/>
    <n v="0"/>
    <n v="0"/>
    <n v="0"/>
    <n v="0.254"/>
    <n v="-1.47E-2"/>
    <n v="2.0000000000000001E-4"/>
    <n v="-0.56679999999999997"/>
    <n v="0.3957"/>
    <n v="-0.02"/>
    <n v="25"/>
    <n v="1.1000000000000001"/>
    <n v="28"/>
    <n v="1.2"/>
    <n v="0"/>
    <n v="0"/>
    <n v="1.272"/>
    <n v="350"/>
    <n v="0"/>
  </r>
  <r>
    <x v="0"/>
    <x v="0"/>
    <s v="SPXW"/>
    <x v="5"/>
    <x v="102"/>
    <s v="p"/>
    <n v="1.05"/>
    <n v="1.35"/>
    <n v="1.05"/>
    <n v="1.25"/>
    <n v="11"/>
    <n v="345"/>
    <n v="1.2"/>
    <n v="111"/>
    <n v="1.35"/>
    <n v="0"/>
    <n v="0"/>
    <n v="0"/>
    <n v="0"/>
    <n v="0.25180000000000002"/>
    <n v="-1.4800000000000001E-2"/>
    <n v="2.0000000000000001E-4"/>
    <n v="-0.56599999999999995"/>
    <n v="0.39850000000000002"/>
    <n v="-2.01E-2"/>
    <n v="40"/>
    <n v="1.1000000000000001"/>
    <n v="47"/>
    <n v="1.25"/>
    <n v="0"/>
    <n v="0"/>
    <n v="1.2273000000000001"/>
    <n v="138"/>
    <n v="0"/>
  </r>
  <r>
    <x v="0"/>
    <x v="0"/>
    <s v="SPXW"/>
    <x v="5"/>
    <x v="103"/>
    <s v="p"/>
    <n v="1.35"/>
    <n v="1.4"/>
    <n v="1.3"/>
    <n v="1.3"/>
    <n v="9"/>
    <n v="7"/>
    <n v="1.3"/>
    <n v="41"/>
    <n v="1.4"/>
    <n v="0"/>
    <n v="0"/>
    <n v="0"/>
    <n v="0"/>
    <n v="0.2495"/>
    <n v="-1.5699999999999999E-2"/>
    <n v="2.0000000000000001E-4"/>
    <n v="-0.59230000000000005"/>
    <n v="0.41880000000000001"/>
    <n v="-2.1399999999999999E-2"/>
    <n v="72"/>
    <n v="1.1499999999999999"/>
    <n v="44"/>
    <n v="1.3"/>
    <n v="0"/>
    <n v="0"/>
    <n v="1.3555999999999999"/>
    <n v="29"/>
    <n v="0"/>
  </r>
  <r>
    <x v="0"/>
    <x v="0"/>
    <s v="SPXW"/>
    <x v="5"/>
    <x v="104"/>
    <s v="p"/>
    <n v="1.1299999999999999"/>
    <n v="2.5"/>
    <n v="1.1000000000000001"/>
    <n v="1.31"/>
    <n v="81"/>
    <n v="158"/>
    <n v="1.35"/>
    <n v="58"/>
    <n v="1.45"/>
    <n v="0"/>
    <n v="0"/>
    <n v="0"/>
    <n v="0"/>
    <n v="0.24640000000000001"/>
    <n v="-1.6400000000000001E-2"/>
    <n v="2.0000000000000001E-4"/>
    <n v="-0.60899999999999999"/>
    <n v="0.4345"/>
    <n v="-2.23E-2"/>
    <n v="100"/>
    <n v="1.2"/>
    <n v="27"/>
    <n v="1.35"/>
    <n v="0"/>
    <n v="0"/>
    <n v="1.5446"/>
    <n v="2609"/>
    <n v="0"/>
  </r>
  <r>
    <x v="0"/>
    <x v="0"/>
    <s v="SPXW"/>
    <x v="5"/>
    <x v="105"/>
    <s v="p"/>
    <n v="2.5"/>
    <n v="2.5"/>
    <n v="1.5"/>
    <n v="1.5"/>
    <n v="10"/>
    <n v="276"/>
    <n v="1.4"/>
    <n v="174"/>
    <n v="1.55"/>
    <n v="0"/>
    <n v="0"/>
    <n v="0"/>
    <n v="0"/>
    <n v="0.24390000000000001"/>
    <n v="-1.7299999999999999E-2"/>
    <n v="2.0000000000000001E-4"/>
    <n v="-0.63439999999999996"/>
    <n v="0.45500000000000002"/>
    <n v="-2.3599999999999999E-2"/>
    <n v="41"/>
    <n v="1.3"/>
    <n v="26"/>
    <n v="1.4"/>
    <n v="0"/>
    <n v="0"/>
    <n v="1.71"/>
    <n v="17"/>
    <n v="0"/>
  </r>
  <r>
    <x v="0"/>
    <x v="0"/>
    <s v="SPXW"/>
    <x v="5"/>
    <x v="107"/>
    <s v="p"/>
    <n v="2.5"/>
    <n v="2.5"/>
    <n v="1.5"/>
    <n v="1.5"/>
    <n v="11"/>
    <n v="78"/>
    <n v="1.5"/>
    <n v="172"/>
    <n v="1.65"/>
    <n v="0"/>
    <n v="0"/>
    <n v="0"/>
    <n v="0"/>
    <n v="0.2417"/>
    <n v="-1.8499999999999999E-2"/>
    <n v="2.0000000000000001E-4"/>
    <n v="-0.66820000000000002"/>
    <n v="0.48070000000000002"/>
    <n v="-2.52E-2"/>
    <n v="41"/>
    <n v="1.35"/>
    <n v="74"/>
    <n v="1.5"/>
    <n v="0"/>
    <n v="0"/>
    <n v="1.7564"/>
    <n v="43"/>
    <n v="0"/>
  </r>
  <r>
    <x v="0"/>
    <x v="0"/>
    <s v="SPXW"/>
    <x v="5"/>
    <x v="108"/>
    <s v="p"/>
    <n v="1.56"/>
    <n v="2.93"/>
    <n v="1.25"/>
    <n v="1.4"/>
    <n v="2964"/>
    <n v="7"/>
    <n v="1.55"/>
    <n v="79"/>
    <n v="1.65"/>
    <n v="0"/>
    <n v="0"/>
    <n v="0"/>
    <n v="0"/>
    <n v="0.23960000000000001"/>
    <n v="-1.8599999999999998E-2"/>
    <n v="2.0000000000000001E-4"/>
    <n v="-0.66720000000000002"/>
    <n v="0.48420000000000002"/>
    <n v="-2.5399999999999999E-2"/>
    <n v="42"/>
    <n v="1.4"/>
    <n v="23"/>
    <n v="1.5"/>
    <n v="0"/>
    <n v="0"/>
    <n v="1.9302999999999999"/>
    <n v="169"/>
    <n v="0"/>
  </r>
  <r>
    <x v="0"/>
    <x v="0"/>
    <s v="SPXW"/>
    <x v="5"/>
    <x v="109"/>
    <s v="p"/>
    <n v="1.7"/>
    <n v="1.7"/>
    <n v="1.6"/>
    <n v="1.69"/>
    <n v="10"/>
    <n v="275"/>
    <n v="1.55"/>
    <n v="80"/>
    <n v="1.7"/>
    <n v="0"/>
    <n v="0"/>
    <n v="0"/>
    <n v="0"/>
    <n v="0.23849999999999999"/>
    <n v="-1.9199999999999998E-2"/>
    <n v="2.0000000000000001E-4"/>
    <n v="-0.68379999999999996"/>
    <n v="0.49719999999999998"/>
    <n v="-2.6200000000000001E-2"/>
    <n v="27"/>
    <n v="1.45"/>
    <n v="25"/>
    <n v="1.55"/>
    <n v="0"/>
    <n v="0"/>
    <n v="1.673"/>
    <n v="17"/>
    <n v="0"/>
  </r>
  <r>
    <x v="0"/>
    <x v="0"/>
    <s v="SPXW"/>
    <x v="5"/>
    <x v="111"/>
    <s v="p"/>
    <n v="1.47"/>
    <n v="3.13"/>
    <n v="1.47"/>
    <n v="1.65"/>
    <n v="28"/>
    <n v="265"/>
    <n v="1.65"/>
    <n v="169"/>
    <n v="1.8"/>
    <n v="0"/>
    <n v="0"/>
    <n v="0"/>
    <n v="0"/>
    <n v="0.23619999999999999"/>
    <n v="-2.0400000000000001E-2"/>
    <n v="2.0000000000000001E-4"/>
    <n v="-0.71640000000000004"/>
    <n v="0.52349999999999997"/>
    <n v="-2.7900000000000001E-2"/>
    <n v="68"/>
    <n v="1.5"/>
    <n v="52"/>
    <n v="1.65"/>
    <n v="0"/>
    <n v="0"/>
    <n v="2.5204"/>
    <n v="68"/>
    <n v="0"/>
  </r>
  <r>
    <x v="0"/>
    <x v="0"/>
    <s v="SPXW"/>
    <x v="5"/>
    <x v="113"/>
    <s v="p"/>
    <n v="1.72"/>
    <n v="3.3"/>
    <n v="1.4"/>
    <n v="1.75"/>
    <n v="88"/>
    <n v="148"/>
    <n v="1.75"/>
    <n v="39"/>
    <n v="1.85"/>
    <n v="0"/>
    <n v="0"/>
    <n v="0"/>
    <n v="0"/>
    <n v="0.23319999999999999"/>
    <n v="-2.1499999999999998E-2"/>
    <n v="2.0000000000000001E-4"/>
    <n v="-0.73960000000000004"/>
    <n v="0.54559999999999997"/>
    <n v="-2.93E-2"/>
    <n v="42"/>
    <n v="1.6"/>
    <n v="51"/>
    <n v="1.75"/>
    <n v="0"/>
    <n v="0"/>
    <n v="2.0133000000000001"/>
    <n v="393"/>
    <n v="0"/>
  </r>
  <r>
    <x v="0"/>
    <x v="0"/>
    <s v="SPXW"/>
    <x v="5"/>
    <x v="115"/>
    <s v="p"/>
    <n v="1.75"/>
    <n v="3.2"/>
    <n v="1.7"/>
    <n v="1.85"/>
    <n v="77"/>
    <n v="149"/>
    <n v="1.85"/>
    <n v="31"/>
    <n v="1.95"/>
    <n v="0"/>
    <n v="0"/>
    <n v="0"/>
    <n v="0"/>
    <n v="0.2306"/>
    <n v="-2.2700000000000001E-2"/>
    <n v="2.0000000000000001E-4"/>
    <n v="-0.77080000000000004"/>
    <n v="0.57240000000000002"/>
    <n v="-3.1E-2"/>
    <n v="42"/>
    <n v="1.7"/>
    <n v="50"/>
    <n v="1.85"/>
    <n v="0"/>
    <n v="0"/>
    <n v="2.4007999999999998"/>
    <n v="59"/>
    <n v="0"/>
  </r>
  <r>
    <x v="0"/>
    <x v="0"/>
    <s v="SPXW"/>
    <x v="5"/>
    <x v="117"/>
    <s v="p"/>
    <n v="3.3"/>
    <n v="3.3"/>
    <n v="2"/>
    <n v="2"/>
    <n v="14"/>
    <n v="231"/>
    <n v="1.95"/>
    <n v="85"/>
    <n v="2.1"/>
    <n v="0"/>
    <n v="0"/>
    <n v="0"/>
    <n v="0"/>
    <n v="0.22819999999999999"/>
    <n v="-2.4299999999999999E-2"/>
    <n v="2.9999999999999997E-4"/>
    <n v="-0.80940000000000001"/>
    <n v="0.60389999999999999"/>
    <n v="-3.32E-2"/>
    <n v="42"/>
    <n v="1.8"/>
    <n v="24"/>
    <n v="1.95"/>
    <n v="0"/>
    <n v="0"/>
    <n v="2.2035999999999998"/>
    <n v="35"/>
    <n v="0"/>
  </r>
  <r>
    <x v="0"/>
    <x v="0"/>
    <s v="SPXW"/>
    <x v="5"/>
    <x v="118"/>
    <s v="p"/>
    <n v="2.0299999999999998"/>
    <n v="3.6"/>
    <n v="2"/>
    <n v="2.1"/>
    <n v="39"/>
    <n v="366"/>
    <n v="2"/>
    <n v="109"/>
    <n v="2.15"/>
    <n v="0"/>
    <n v="0"/>
    <n v="0"/>
    <n v="0"/>
    <n v="0.2268"/>
    <n v="-2.4899999999999999E-2"/>
    <n v="2.9999999999999997E-4"/>
    <n v="-0.82420000000000004"/>
    <n v="0.61750000000000005"/>
    <n v="-3.4099999999999998E-2"/>
    <n v="66"/>
    <n v="1.85"/>
    <n v="23"/>
    <n v="2"/>
    <n v="0"/>
    <n v="0"/>
    <n v="2.3527999999999998"/>
    <n v="366"/>
    <n v="0"/>
  </r>
  <r>
    <x v="0"/>
    <x v="0"/>
    <s v="SPXW"/>
    <x v="5"/>
    <x v="119"/>
    <s v="p"/>
    <n v="2.5499999999999998"/>
    <n v="2.5499999999999998"/>
    <n v="1.97"/>
    <n v="1.97"/>
    <n v="17"/>
    <n v="2"/>
    <n v="2.1"/>
    <n v="50"/>
    <n v="2.2000000000000002"/>
    <n v="0"/>
    <n v="0"/>
    <n v="0"/>
    <n v="0"/>
    <n v="0.22539999999999999"/>
    <n v="-2.5600000000000001E-2"/>
    <n v="2.9999999999999997E-4"/>
    <n v="-0.83889999999999998"/>
    <n v="0.63100000000000001"/>
    <n v="-3.5000000000000003E-2"/>
    <n v="65"/>
    <n v="1.9"/>
    <n v="22"/>
    <n v="2.0499999999999998"/>
    <n v="0"/>
    <n v="0"/>
    <n v="2.1934999999999998"/>
    <n v="110"/>
    <n v="0"/>
  </r>
  <r>
    <x v="0"/>
    <x v="0"/>
    <s v="SPXW"/>
    <x v="5"/>
    <x v="121"/>
    <s v="p"/>
    <n v="3.22"/>
    <n v="3.22"/>
    <n v="2.25"/>
    <n v="2.25"/>
    <n v="11"/>
    <n v="183"/>
    <n v="2.2000000000000002"/>
    <n v="50"/>
    <n v="2.35"/>
    <n v="0"/>
    <n v="0"/>
    <n v="0"/>
    <n v="0"/>
    <n v="0.2233"/>
    <n v="-2.7400000000000001E-2"/>
    <n v="2.9999999999999997E-4"/>
    <n v="-0.88370000000000004"/>
    <n v="0.66659999999999997"/>
    <n v="-3.7499999999999999E-2"/>
    <n v="41"/>
    <n v="2.0499999999999998"/>
    <n v="15"/>
    <n v="2.2000000000000002"/>
    <n v="0"/>
    <n v="0"/>
    <n v="2.5827"/>
    <n v="18"/>
    <n v="0"/>
  </r>
  <r>
    <x v="0"/>
    <x v="0"/>
    <s v="SPXW"/>
    <x v="5"/>
    <x v="123"/>
    <s v="p"/>
    <n v="2.25"/>
    <n v="4.71"/>
    <n v="1.68"/>
    <n v="2.2799999999999998"/>
    <n v="479"/>
    <n v="140"/>
    <n v="2.35"/>
    <n v="107"/>
    <n v="2.5"/>
    <n v="0"/>
    <n v="0"/>
    <n v="0"/>
    <n v="0"/>
    <n v="0.22109999999999999"/>
    <n v="-2.92E-2"/>
    <n v="2.9999999999999997E-4"/>
    <n v="-0.92730000000000001"/>
    <n v="0.70230000000000004"/>
    <n v="-3.9899999999999998E-2"/>
    <n v="69"/>
    <n v="2.15"/>
    <n v="82"/>
    <n v="2.35"/>
    <n v="0"/>
    <n v="0"/>
    <n v="2.5066000000000002"/>
    <n v="311"/>
    <n v="0"/>
  </r>
  <r>
    <x v="0"/>
    <x v="0"/>
    <s v="SPXW"/>
    <x v="5"/>
    <x v="125"/>
    <s v="p"/>
    <n v="2.35"/>
    <n v="4.9000000000000004"/>
    <n v="2.25"/>
    <n v="2.2999999999999998"/>
    <n v="21"/>
    <n v="197"/>
    <n v="2.5"/>
    <n v="50"/>
    <n v="2.65"/>
    <n v="0"/>
    <n v="0"/>
    <n v="0"/>
    <n v="0"/>
    <n v="0.21859999999999999"/>
    <n v="-3.1E-2"/>
    <n v="2.9999999999999997E-4"/>
    <n v="-0.96960000000000002"/>
    <n v="0.73899999999999999"/>
    <n v="-4.2500000000000003E-2"/>
    <n v="68"/>
    <n v="2.2999999999999998"/>
    <n v="37"/>
    <n v="2.5"/>
    <n v="0"/>
    <n v="0"/>
    <n v="2.9129"/>
    <n v="73"/>
    <n v="0"/>
  </r>
  <r>
    <x v="0"/>
    <x v="0"/>
    <s v="SPXW"/>
    <x v="5"/>
    <x v="127"/>
    <s v="p"/>
    <n v="4.5"/>
    <n v="4.66"/>
    <n v="2.8"/>
    <n v="2.9"/>
    <n v="26"/>
    <n v="292"/>
    <n v="2.65"/>
    <n v="10"/>
    <n v="2.8"/>
    <n v="0"/>
    <n v="0"/>
    <n v="0"/>
    <n v="0"/>
    <n v="0.21579999999999999"/>
    <n v="-3.3000000000000002E-2"/>
    <n v="2.9999999999999997E-4"/>
    <n v="-1.0103"/>
    <n v="0.77649999999999997"/>
    <n v="-4.5100000000000001E-2"/>
    <n v="39"/>
    <n v="2.5"/>
    <n v="12"/>
    <n v="2.65"/>
    <n v="0"/>
    <n v="0"/>
    <n v="3.88"/>
    <n v="108"/>
    <n v="0"/>
  </r>
  <r>
    <x v="0"/>
    <x v="0"/>
    <s v="SPXW"/>
    <x v="5"/>
    <x v="128"/>
    <s v="p"/>
    <n v="2.27"/>
    <n v="5.4"/>
    <n v="2"/>
    <n v="2.6"/>
    <n v="197"/>
    <n v="288"/>
    <n v="2.75"/>
    <n v="97"/>
    <n v="2.9"/>
    <n v="0"/>
    <n v="0"/>
    <n v="0"/>
    <n v="0"/>
    <n v="0.21479999999999999"/>
    <n v="-3.4200000000000001E-2"/>
    <n v="4.0000000000000002E-4"/>
    <n v="-1.0378000000000001"/>
    <n v="0.79910000000000003"/>
    <n v="-4.6800000000000001E-2"/>
    <n v="69"/>
    <n v="2.5499999999999998"/>
    <n v="12"/>
    <n v="2.75"/>
    <n v="0"/>
    <n v="0"/>
    <n v="3.0284"/>
    <n v="1507"/>
    <n v="0"/>
  </r>
  <r>
    <x v="0"/>
    <x v="0"/>
    <s v="SPXW"/>
    <x v="5"/>
    <x v="129"/>
    <s v="p"/>
    <n v="2.15"/>
    <n v="5"/>
    <n v="2.15"/>
    <n v="2.9"/>
    <n v="68"/>
    <n v="261"/>
    <n v="2.85"/>
    <n v="47"/>
    <n v="3"/>
    <n v="0"/>
    <n v="0"/>
    <n v="0"/>
    <n v="0"/>
    <n v="0.2137"/>
    <n v="-3.5400000000000001E-2"/>
    <n v="4.0000000000000002E-4"/>
    <n v="-1.0648"/>
    <n v="0.8216"/>
    <n v="-4.8500000000000001E-2"/>
    <n v="45"/>
    <n v="2.65"/>
    <n v="13"/>
    <n v="2.85"/>
    <n v="0"/>
    <n v="0"/>
    <n v="3.8315000000000001"/>
    <n v="142"/>
    <n v="0"/>
  </r>
  <r>
    <x v="0"/>
    <x v="0"/>
    <s v="SPXW"/>
    <x v="5"/>
    <x v="131"/>
    <s v="p"/>
    <n v="2.9"/>
    <n v="5.6"/>
    <n v="2.14"/>
    <n v="2.9"/>
    <n v="163"/>
    <n v="272"/>
    <n v="3"/>
    <n v="194"/>
    <n v="3.3"/>
    <n v="0"/>
    <n v="0"/>
    <n v="0"/>
    <n v="0"/>
    <n v="0.21190000000000001"/>
    <n v="-3.7999999999999999E-2"/>
    <n v="4.0000000000000002E-4"/>
    <n v="-1.1249"/>
    <n v="0.86939999999999995"/>
    <n v="-5.21E-2"/>
    <n v="61"/>
    <n v="2.85"/>
    <n v="71"/>
    <n v="3.1"/>
    <n v="0"/>
    <n v="0"/>
    <n v="3.7967"/>
    <n v="153"/>
    <n v="0"/>
  </r>
  <r>
    <x v="0"/>
    <x v="0"/>
    <s v="SPXW"/>
    <x v="5"/>
    <x v="133"/>
    <s v="p"/>
    <n v="2.95"/>
    <n v="6.3"/>
    <n v="2.25"/>
    <n v="3.18"/>
    <n v="443"/>
    <n v="106"/>
    <n v="3.3"/>
    <n v="123"/>
    <n v="3.5"/>
    <n v="0"/>
    <n v="0"/>
    <n v="0"/>
    <n v="0"/>
    <n v="0.20979999999999999"/>
    <n v="-4.0899999999999999E-2"/>
    <n v="4.0000000000000002E-4"/>
    <n v="-1.1894"/>
    <n v="0.92149999999999999"/>
    <n v="-5.62E-2"/>
    <n v="35"/>
    <n v="3.1"/>
    <n v="89"/>
    <n v="3.3"/>
    <n v="0"/>
    <n v="0"/>
    <n v="3.6722999999999999"/>
    <n v="1830"/>
    <n v="0"/>
  </r>
  <r>
    <x v="0"/>
    <x v="0"/>
    <s v="SPXW"/>
    <x v="5"/>
    <x v="134"/>
    <s v="p"/>
    <n v="3.08"/>
    <n v="6.7"/>
    <n v="2.4"/>
    <n v="3.6"/>
    <n v="231"/>
    <n v="250"/>
    <n v="3.4"/>
    <n v="114"/>
    <n v="3.6"/>
    <n v="0"/>
    <n v="0"/>
    <n v="0"/>
    <n v="0"/>
    <n v="0.20849999999999999"/>
    <n v="-4.2099999999999999E-2"/>
    <n v="4.0000000000000002E-4"/>
    <n v="-1.2138"/>
    <n v="0.94410000000000005"/>
    <n v="-5.79E-2"/>
    <n v="57"/>
    <n v="3.2"/>
    <n v="62"/>
    <n v="3.4"/>
    <n v="0"/>
    <n v="0"/>
    <n v="4.8952"/>
    <n v="4"/>
    <n v="0"/>
  </r>
  <r>
    <x v="0"/>
    <x v="0"/>
    <s v="SPXW"/>
    <x v="5"/>
    <x v="135"/>
    <s v="p"/>
    <n v="3.12"/>
    <n v="5.49"/>
    <n v="2.54"/>
    <n v="3.5"/>
    <n v="65"/>
    <n v="280"/>
    <n v="3.5"/>
    <n v="68"/>
    <n v="3.7"/>
    <n v="0"/>
    <n v="0"/>
    <n v="0"/>
    <n v="0"/>
    <n v="0.2072"/>
    <n v="-4.3400000000000001E-2"/>
    <n v="4.0000000000000002E-4"/>
    <n v="-1.238"/>
    <n v="0.96630000000000005"/>
    <n v="-5.96E-2"/>
    <n v="102"/>
    <n v="3.3"/>
    <n v="112"/>
    <n v="3.6"/>
    <n v="0"/>
    <n v="0"/>
    <n v="3.8635000000000002"/>
    <n v="120"/>
    <n v="0"/>
  </r>
  <r>
    <x v="0"/>
    <x v="0"/>
    <s v="SPXW"/>
    <x v="5"/>
    <x v="136"/>
    <s v="p"/>
    <n v="3.33"/>
    <n v="5.95"/>
    <n v="2.4900000000000002"/>
    <n v="3.9"/>
    <n v="107"/>
    <n v="71"/>
    <n v="3.7"/>
    <n v="116"/>
    <n v="3.9"/>
    <n v="0"/>
    <n v="0"/>
    <n v="0"/>
    <n v="0"/>
    <n v="0.20630000000000001"/>
    <n v="-4.5100000000000001E-2"/>
    <n v="5.0000000000000001E-4"/>
    <n v="-1.2751999999999999"/>
    <n v="0.99609999999999999"/>
    <n v="-6.2E-2"/>
    <n v="77"/>
    <n v="3.4"/>
    <n v="73"/>
    <n v="3.7"/>
    <n v="0"/>
    <n v="0"/>
    <n v="3.8822000000000001"/>
    <n v="24"/>
    <n v="0"/>
  </r>
  <r>
    <x v="0"/>
    <x v="0"/>
    <s v="SPXW"/>
    <x v="5"/>
    <x v="137"/>
    <s v="p"/>
    <n v="3.4"/>
    <n v="7.4"/>
    <n v="3"/>
    <n v="3.91"/>
    <n v="191"/>
    <n v="227"/>
    <n v="3.8"/>
    <n v="85"/>
    <n v="4"/>
    <n v="0"/>
    <n v="0"/>
    <n v="0"/>
    <n v="0"/>
    <n v="0.2054"/>
    <n v="-4.6800000000000001E-2"/>
    <n v="5.0000000000000001E-4"/>
    <n v="-1.3117000000000001"/>
    <n v="1.0261"/>
    <n v="-6.4299999999999996E-2"/>
    <n v="35"/>
    <n v="3.6"/>
    <n v="57"/>
    <n v="3.8"/>
    <n v="0"/>
    <n v="0"/>
    <n v="5.4116999999999997"/>
    <n v="191"/>
    <n v="0"/>
  </r>
  <r>
    <x v="0"/>
    <x v="0"/>
    <s v="SPXW"/>
    <x v="5"/>
    <x v="138"/>
    <s v="p"/>
    <n v="3.5"/>
    <n v="7.57"/>
    <n v="2.79"/>
    <n v="3.9"/>
    <n v="227"/>
    <n v="242"/>
    <n v="3.9"/>
    <n v="91"/>
    <n v="4.2"/>
    <n v="0"/>
    <n v="0"/>
    <n v="0"/>
    <n v="0"/>
    <n v="0.2044"/>
    <n v="-4.8599999999999997E-2"/>
    <n v="5.0000000000000001E-4"/>
    <n v="-1.3472999999999999"/>
    <n v="1.056"/>
    <n v="-6.6799999999999998E-2"/>
    <n v="93"/>
    <n v="3.7"/>
    <n v="114"/>
    <n v="4"/>
    <n v="0"/>
    <n v="0"/>
    <n v="4.2164999999999999"/>
    <n v="294"/>
    <n v="0"/>
  </r>
  <r>
    <x v="0"/>
    <x v="0"/>
    <s v="SPXW"/>
    <x v="5"/>
    <x v="139"/>
    <s v="p"/>
    <n v="3.6"/>
    <n v="7.19"/>
    <n v="3.18"/>
    <n v="4.0999999999999996"/>
    <n v="453"/>
    <n v="204"/>
    <n v="4.0999999999999996"/>
    <n v="75"/>
    <n v="4.3"/>
    <n v="0"/>
    <n v="0"/>
    <n v="0"/>
    <n v="0"/>
    <n v="0.20330000000000001"/>
    <n v="-5.0299999999999997E-2"/>
    <n v="5.0000000000000001E-4"/>
    <n v="-1.3822000000000001"/>
    <n v="1.0858000000000001"/>
    <n v="-6.9199999999999998E-2"/>
    <n v="20"/>
    <n v="3.9"/>
    <n v="49"/>
    <n v="4.0999999999999996"/>
    <n v="0"/>
    <n v="0"/>
    <n v="4.0487000000000002"/>
    <n v="55"/>
    <n v="0"/>
  </r>
  <r>
    <x v="0"/>
    <x v="0"/>
    <s v="SPXW"/>
    <x v="5"/>
    <x v="140"/>
    <s v="p"/>
    <n v="3.33"/>
    <n v="8"/>
    <n v="2.97"/>
    <n v="4.46"/>
    <n v="134"/>
    <n v="67"/>
    <n v="4.3"/>
    <n v="93"/>
    <n v="4.5"/>
    <n v="0"/>
    <n v="0"/>
    <n v="0"/>
    <n v="0"/>
    <n v="0.2021"/>
    <n v="-5.21E-2"/>
    <n v="5.0000000000000001E-4"/>
    <n v="-1.4161999999999999"/>
    <n v="1.1160000000000001"/>
    <n v="-7.17E-2"/>
    <n v="50"/>
    <n v="4"/>
    <n v="49"/>
    <n v="4.3"/>
    <n v="0"/>
    <n v="0"/>
    <n v="4.9375"/>
    <n v="6"/>
    <n v="0"/>
  </r>
  <r>
    <x v="0"/>
    <x v="0"/>
    <s v="SPXW"/>
    <x v="5"/>
    <x v="141"/>
    <s v="p"/>
    <n v="3.43"/>
    <n v="6.9"/>
    <n v="3.43"/>
    <n v="4.3"/>
    <n v="58"/>
    <n v="234"/>
    <n v="4.4000000000000004"/>
    <n v="84"/>
    <n v="4.7"/>
    <n v="0"/>
    <n v="0"/>
    <n v="0"/>
    <n v="0"/>
    <n v="0.20100000000000001"/>
    <n v="-5.3900000000000003E-2"/>
    <n v="5.0000000000000001E-4"/>
    <n v="-1.4497"/>
    <n v="1.1451"/>
    <n v="-7.4200000000000002E-2"/>
    <n v="57"/>
    <n v="4.2"/>
    <n v="84"/>
    <n v="4.5"/>
    <n v="0"/>
    <n v="0"/>
    <n v="4.7432999999999996"/>
    <n v="146"/>
    <n v="0"/>
  </r>
  <r>
    <x v="0"/>
    <x v="0"/>
    <s v="SPXW"/>
    <x v="5"/>
    <x v="142"/>
    <s v="p"/>
    <n v="4"/>
    <n v="8.57"/>
    <n v="3.93"/>
    <n v="4.5"/>
    <n v="1050"/>
    <n v="172"/>
    <n v="4.5999999999999996"/>
    <n v="24"/>
    <n v="4.8"/>
    <n v="0"/>
    <n v="0"/>
    <n v="0"/>
    <n v="0"/>
    <n v="0.20019999999999999"/>
    <n v="-5.6099999999999997E-2"/>
    <n v="5.9999999999999995E-4"/>
    <n v="-1.4947999999999999"/>
    <n v="1.1806000000000001"/>
    <n v="-7.7299999999999994E-2"/>
    <n v="20"/>
    <n v="4.4000000000000004"/>
    <n v="37"/>
    <n v="4.5999999999999996"/>
    <n v="0"/>
    <n v="0"/>
    <n v="6.4823000000000004"/>
    <n v="68"/>
    <n v="0"/>
  </r>
  <r>
    <x v="0"/>
    <x v="0"/>
    <s v="SPXW"/>
    <x v="5"/>
    <x v="143"/>
    <s v="p"/>
    <n v="4.3"/>
    <n v="8.85"/>
    <n v="3.24"/>
    <n v="4.75"/>
    <n v="1970"/>
    <n v="155"/>
    <n v="4.8"/>
    <n v="84"/>
    <n v="5"/>
    <n v="0"/>
    <n v="0"/>
    <n v="0"/>
    <n v="0"/>
    <n v="0.19939999999999999"/>
    <n v="-5.8299999999999998E-2"/>
    <n v="5.9999999999999995E-4"/>
    <n v="-1.5388999999999999"/>
    <n v="1.2157"/>
    <n v="-8.0399999999999999E-2"/>
    <n v="17"/>
    <n v="4.5999999999999996"/>
    <n v="47"/>
    <n v="4.8"/>
    <n v="0"/>
    <n v="0"/>
    <n v="5.8372999999999999"/>
    <n v="598"/>
    <n v="0"/>
  </r>
  <r>
    <x v="0"/>
    <x v="0"/>
    <s v="SPXW"/>
    <x v="5"/>
    <x v="144"/>
    <s v="p"/>
    <n v="4.3"/>
    <n v="7.25"/>
    <n v="3.8"/>
    <n v="4.8"/>
    <n v="45"/>
    <n v="186"/>
    <n v="4.9000000000000004"/>
    <n v="41"/>
    <n v="5.2"/>
    <n v="0"/>
    <n v="0"/>
    <n v="0"/>
    <n v="0"/>
    <n v="0.19800000000000001"/>
    <n v="-6.0199999999999997E-2"/>
    <n v="5.9999999999999995E-4"/>
    <n v="-1.5697000000000001"/>
    <n v="1.2452000000000001"/>
    <n v="-8.3000000000000004E-2"/>
    <n v="30"/>
    <n v="4.7"/>
    <n v="28"/>
    <n v="5"/>
    <n v="0"/>
    <n v="0"/>
    <n v="4.47"/>
    <n v="90"/>
    <n v="0"/>
  </r>
  <r>
    <x v="0"/>
    <x v="0"/>
    <s v="SPXW"/>
    <x v="5"/>
    <x v="145"/>
    <s v="p"/>
    <n v="4.3"/>
    <n v="8.3000000000000007"/>
    <n v="3.3"/>
    <n v="5"/>
    <n v="119"/>
    <n v="39"/>
    <n v="5.2"/>
    <n v="44"/>
    <n v="5.4"/>
    <n v="0"/>
    <n v="0"/>
    <n v="0"/>
    <n v="0"/>
    <n v="0.1973"/>
    <n v="-6.2899999999999998E-2"/>
    <n v="5.9999999999999995E-4"/>
    <n v="-1.6234"/>
    <n v="1.2868999999999999"/>
    <n v="-8.6699999999999999E-2"/>
    <n v="67"/>
    <n v="4.9000000000000004"/>
    <n v="41"/>
    <n v="5.2"/>
    <n v="0"/>
    <n v="0"/>
    <n v="6.3529"/>
    <n v="326"/>
    <n v="0"/>
  </r>
  <r>
    <x v="0"/>
    <x v="0"/>
    <s v="SPXW"/>
    <x v="5"/>
    <x v="146"/>
    <s v="p"/>
    <n v="4.54"/>
    <n v="8.75"/>
    <n v="4.3"/>
    <n v="5.5"/>
    <n v="72"/>
    <n v="124"/>
    <n v="5.4"/>
    <n v="59"/>
    <n v="5.6"/>
    <n v="0"/>
    <n v="0"/>
    <n v="0"/>
    <n v="0"/>
    <n v="0.1958"/>
    <n v="-6.4799999999999996E-2"/>
    <n v="5.9999999999999995E-4"/>
    <n v="-1.6526000000000001"/>
    <n v="1.3166"/>
    <n v="-8.9300000000000004E-2"/>
    <n v="49"/>
    <n v="5.0999999999999996"/>
    <n v="39"/>
    <n v="5.4"/>
    <n v="0"/>
    <n v="0"/>
    <n v="6.4653"/>
    <n v="46"/>
    <n v="0"/>
  </r>
  <r>
    <x v="0"/>
    <x v="0"/>
    <s v="SPXW"/>
    <x v="5"/>
    <x v="147"/>
    <s v="p"/>
    <n v="4.78"/>
    <n v="9.8000000000000007"/>
    <n v="3.7"/>
    <n v="5.58"/>
    <n v="212"/>
    <n v="132"/>
    <n v="5.6"/>
    <n v="15"/>
    <n v="5.8"/>
    <n v="0"/>
    <n v="0"/>
    <n v="0"/>
    <n v="0"/>
    <n v="0.19520000000000001"/>
    <n v="-6.7500000000000004E-2"/>
    <n v="6.9999999999999999E-4"/>
    <n v="-1.7043999999999999"/>
    <n v="1.3573999999999999"/>
    <n v="-9.2999999999999999E-2"/>
    <n v="16"/>
    <n v="5.4"/>
    <n v="38"/>
    <n v="5.6"/>
    <n v="0"/>
    <n v="0"/>
    <n v="5.7340999999999998"/>
    <n v="162"/>
    <n v="0"/>
  </r>
  <r>
    <x v="0"/>
    <x v="0"/>
    <s v="SPXW"/>
    <x v="5"/>
    <x v="148"/>
    <s v="p"/>
    <n v="5.0599999999999996"/>
    <n v="10"/>
    <n v="3.8"/>
    <n v="5.7"/>
    <n v="174"/>
    <n v="49"/>
    <n v="5.9"/>
    <n v="70"/>
    <n v="6.1"/>
    <n v="0"/>
    <n v="0"/>
    <n v="0"/>
    <n v="0"/>
    <n v="0.1943"/>
    <n v="-7.0199999999999999E-2"/>
    <n v="6.9999999999999999E-4"/>
    <n v="-1.7543"/>
    <n v="1.3992"/>
    <n v="-9.6799999999999997E-2"/>
    <n v="47"/>
    <n v="5.6"/>
    <n v="74"/>
    <n v="5.9"/>
    <n v="0"/>
    <n v="0"/>
    <n v="6.4747000000000003"/>
    <n v="574"/>
    <n v="0"/>
  </r>
  <r>
    <x v="0"/>
    <x v="0"/>
    <s v="SPXW"/>
    <x v="5"/>
    <x v="149"/>
    <s v="p"/>
    <n v="4.8499999999999996"/>
    <n v="9.76"/>
    <n v="3.84"/>
    <n v="6"/>
    <n v="186"/>
    <n v="48"/>
    <n v="6.1"/>
    <n v="56"/>
    <n v="6.3"/>
    <n v="0"/>
    <n v="0"/>
    <n v="0"/>
    <n v="0"/>
    <n v="0.19350000000000001"/>
    <n v="-7.2900000000000006E-2"/>
    <n v="6.9999999999999999E-4"/>
    <n v="-1.8032999999999999"/>
    <n v="1.4395"/>
    <n v="-0.1007"/>
    <n v="64"/>
    <n v="5.8"/>
    <n v="47"/>
    <n v="6.1"/>
    <n v="0"/>
    <n v="0"/>
    <n v="6.7013999999999996"/>
    <n v="102"/>
    <n v="0"/>
  </r>
  <r>
    <x v="0"/>
    <x v="0"/>
    <s v="SPXW"/>
    <x v="5"/>
    <x v="150"/>
    <s v="p"/>
    <n v="5.03"/>
    <n v="10"/>
    <n v="4.13"/>
    <n v="6.2"/>
    <n v="131"/>
    <n v="95"/>
    <n v="6.3"/>
    <n v="56"/>
    <n v="6.6"/>
    <n v="0"/>
    <n v="0"/>
    <n v="0"/>
    <n v="0"/>
    <n v="0.19239999999999999"/>
    <n v="-7.5700000000000003E-2"/>
    <n v="6.9999999999999999E-4"/>
    <n v="-1.8503000000000001"/>
    <n v="1.4804999999999999"/>
    <n v="-0.1046"/>
    <n v="15"/>
    <n v="6.1"/>
    <n v="13"/>
    <n v="6.3"/>
    <n v="0"/>
    <n v="0"/>
    <n v="7.4599000000000002"/>
    <n v="70"/>
    <n v="0"/>
  </r>
  <r>
    <x v="0"/>
    <x v="0"/>
    <s v="SPXW"/>
    <x v="5"/>
    <x v="151"/>
    <s v="p"/>
    <n v="5.5"/>
    <n v="11.5"/>
    <n v="5.08"/>
    <n v="6.86"/>
    <n v="733"/>
    <n v="60"/>
    <n v="6.6"/>
    <n v="13"/>
    <n v="6.8"/>
    <n v="0"/>
    <n v="0"/>
    <n v="0"/>
    <n v="0"/>
    <n v="0.1913"/>
    <n v="-7.8600000000000003E-2"/>
    <n v="8.0000000000000004E-4"/>
    <n v="-1.8959999999999999"/>
    <n v="1.5208999999999999"/>
    <n v="-0.1086"/>
    <n v="63"/>
    <n v="6.3"/>
    <n v="39"/>
    <n v="6.6"/>
    <n v="0"/>
    <n v="0"/>
    <n v="8.7001000000000008"/>
    <n v="53"/>
    <n v="0"/>
  </r>
  <r>
    <x v="0"/>
    <x v="0"/>
    <s v="SPXW"/>
    <x v="5"/>
    <x v="152"/>
    <s v="p"/>
    <n v="5.43"/>
    <n v="9.69"/>
    <n v="4.3499999999999996"/>
    <n v="6.7"/>
    <n v="158"/>
    <n v="67"/>
    <n v="6.9"/>
    <n v="56"/>
    <n v="7.1"/>
    <n v="0"/>
    <n v="0"/>
    <n v="0"/>
    <n v="0"/>
    <n v="0.19059999999999999"/>
    <n v="-8.1699999999999995E-2"/>
    <n v="8.0000000000000004E-4"/>
    <n v="-1.9514"/>
    <n v="1.5649999999999999"/>
    <n v="-0.113"/>
    <n v="37"/>
    <n v="6.6"/>
    <n v="43"/>
    <n v="6.9"/>
    <n v="0"/>
    <n v="0"/>
    <n v="7.5481999999999996"/>
    <n v="280"/>
    <n v="0"/>
  </r>
  <r>
    <x v="0"/>
    <x v="0"/>
    <s v="SPXW"/>
    <x v="5"/>
    <x v="153"/>
    <s v="p"/>
    <n v="6"/>
    <n v="11.1"/>
    <n v="4.5"/>
    <n v="7.09"/>
    <n v="853"/>
    <n v="77"/>
    <n v="7.2"/>
    <n v="67"/>
    <n v="7.4"/>
    <n v="0"/>
    <n v="0"/>
    <n v="0"/>
    <n v="0"/>
    <n v="0.18970000000000001"/>
    <n v="-8.5000000000000006E-2"/>
    <n v="8.0000000000000004E-4"/>
    <n v="-2.0049000000000001"/>
    <n v="1.6092"/>
    <n v="-0.11749999999999999"/>
    <n v="62"/>
    <n v="6.9"/>
    <n v="17"/>
    <n v="7.1"/>
    <n v="0"/>
    <n v="0"/>
    <n v="8.7255000000000003"/>
    <n v="830"/>
    <n v="0"/>
  </r>
  <r>
    <x v="0"/>
    <x v="0"/>
    <s v="SPXW"/>
    <x v="5"/>
    <x v="154"/>
    <s v="p"/>
    <n v="6.6"/>
    <n v="10.34"/>
    <n v="4.51"/>
    <n v="7.35"/>
    <n v="216"/>
    <n v="65"/>
    <n v="7.5"/>
    <n v="55"/>
    <n v="7.7"/>
    <n v="0"/>
    <n v="0"/>
    <n v="0"/>
    <n v="0"/>
    <n v="0.18870000000000001"/>
    <n v="-8.8200000000000001E-2"/>
    <n v="8.0000000000000004E-4"/>
    <n v="-2.0568"/>
    <n v="1.6534"/>
    <n v="-0.122"/>
    <n v="34"/>
    <n v="7.2"/>
    <n v="17"/>
    <n v="7.4"/>
    <n v="0"/>
    <n v="0"/>
    <n v="6.7374000000000001"/>
    <n v="73"/>
    <n v="0"/>
  </r>
  <r>
    <x v="0"/>
    <x v="0"/>
    <s v="SPXW"/>
    <x v="5"/>
    <x v="155"/>
    <s v="p"/>
    <n v="6.9"/>
    <n v="16.649999999999999"/>
    <n v="5.03"/>
    <n v="7.89"/>
    <n v="256"/>
    <n v="64"/>
    <n v="7.8"/>
    <n v="33"/>
    <n v="8"/>
    <n v="0"/>
    <n v="0"/>
    <n v="0"/>
    <n v="0"/>
    <n v="0.18770000000000001"/>
    <n v="-9.1499999999999998E-2"/>
    <n v="8.9999999999999998E-4"/>
    <n v="-2.1071"/>
    <n v="1.6976"/>
    <n v="-0.1265"/>
    <n v="53"/>
    <n v="7.5"/>
    <n v="17"/>
    <n v="7.7"/>
    <n v="0"/>
    <n v="0"/>
    <n v="7.7953999999999999"/>
    <n v="233"/>
    <n v="0"/>
  </r>
  <r>
    <x v="0"/>
    <x v="0"/>
    <s v="SPXW"/>
    <x v="5"/>
    <x v="156"/>
    <s v="p"/>
    <n v="5.9"/>
    <n v="12.1"/>
    <n v="5.01"/>
    <n v="8"/>
    <n v="231"/>
    <n v="6"/>
    <n v="8.1999999999999993"/>
    <n v="33"/>
    <n v="8.3000000000000007"/>
    <n v="0"/>
    <n v="0"/>
    <n v="0"/>
    <n v="0"/>
    <n v="0.18659999999999999"/>
    <n v="-9.4799999999999995E-2"/>
    <n v="8.9999999999999998E-4"/>
    <n v="-2.1556000000000002"/>
    <n v="1.7419"/>
    <n v="-0.13109999999999999"/>
    <n v="37"/>
    <n v="7.8"/>
    <n v="33"/>
    <n v="8.1"/>
    <n v="0"/>
    <n v="0"/>
    <n v="8.0789000000000009"/>
    <n v="91"/>
    <n v="0"/>
  </r>
  <r>
    <x v="0"/>
    <x v="0"/>
    <s v="SPXW"/>
    <x v="5"/>
    <x v="157"/>
    <s v="p"/>
    <n v="7.4"/>
    <n v="14.1"/>
    <n v="5.0999999999999996"/>
    <n v="8.4"/>
    <n v="315"/>
    <n v="58"/>
    <n v="8.5"/>
    <n v="32"/>
    <n v="8.6999999999999993"/>
    <n v="0"/>
    <n v="0"/>
    <n v="0"/>
    <n v="0"/>
    <n v="0.186"/>
    <n v="-9.8900000000000002E-2"/>
    <n v="8.9999999999999998E-4"/>
    <n v="-2.2218"/>
    <n v="1.7949999999999999"/>
    <n v="-0.1368"/>
    <n v="30"/>
    <n v="8.1999999999999993"/>
    <n v="16"/>
    <n v="8.4"/>
    <n v="0"/>
    <n v="0"/>
    <n v="8.6024999999999991"/>
    <n v="148"/>
    <n v="0"/>
  </r>
  <r>
    <x v="0"/>
    <x v="0"/>
    <s v="SPXW"/>
    <x v="5"/>
    <x v="158"/>
    <s v="p"/>
    <n v="7.5"/>
    <n v="14.35"/>
    <n v="5.3"/>
    <n v="8.6999999999999993"/>
    <n v="616"/>
    <n v="6"/>
    <n v="8.9"/>
    <n v="74"/>
    <n v="9.1"/>
    <n v="0"/>
    <n v="0"/>
    <n v="0"/>
    <n v="0"/>
    <n v="0.18479999999999999"/>
    <n v="-0.1023"/>
    <n v="1E-3"/>
    <n v="-2.2667000000000002"/>
    <n v="1.8387"/>
    <n v="-0.1416"/>
    <n v="65"/>
    <n v="8.5"/>
    <n v="42"/>
    <n v="8.8000000000000007"/>
    <n v="0"/>
    <n v="0"/>
    <n v="8.5401000000000007"/>
    <n v="403"/>
    <n v="0"/>
  </r>
  <r>
    <x v="0"/>
    <x v="0"/>
    <s v="SPXW"/>
    <x v="5"/>
    <x v="159"/>
    <s v="p"/>
    <n v="7.8"/>
    <n v="14.3"/>
    <n v="5.4"/>
    <n v="8.82"/>
    <n v="1089"/>
    <n v="62"/>
    <n v="9.1999999999999993"/>
    <n v="31"/>
    <n v="9.4"/>
    <n v="0"/>
    <n v="0"/>
    <n v="0"/>
    <n v="0"/>
    <n v="0.184"/>
    <n v="-0.10639999999999999"/>
    <n v="1E-3"/>
    <n v="-2.3285999999999998"/>
    <n v="1.8902000000000001"/>
    <n v="-0.14749999999999999"/>
    <n v="51"/>
    <n v="8.9"/>
    <n v="37"/>
    <n v="9.1999999999999993"/>
    <n v="0"/>
    <n v="0"/>
    <n v="6.94"/>
    <n v="235"/>
    <n v="0"/>
  </r>
  <r>
    <x v="0"/>
    <x v="0"/>
    <s v="SPXW"/>
    <x v="5"/>
    <x v="160"/>
    <s v="p"/>
    <n v="7.64"/>
    <n v="15.35"/>
    <n v="5.69"/>
    <n v="9.5"/>
    <n v="173"/>
    <n v="59"/>
    <n v="9.6"/>
    <n v="29"/>
    <n v="9.8000000000000007"/>
    <n v="0"/>
    <n v="0"/>
    <n v="0"/>
    <n v="0"/>
    <n v="0.18329999999999999"/>
    <n v="-0.1105"/>
    <n v="1E-3"/>
    <n v="-2.3885999999999998"/>
    <n v="1.94"/>
    <n v="-0.1532"/>
    <n v="29"/>
    <n v="9.3000000000000007"/>
    <n v="15"/>
    <n v="9.5"/>
    <n v="0"/>
    <n v="0"/>
    <n v="8.7138000000000009"/>
    <n v="93"/>
    <n v="0"/>
  </r>
  <r>
    <x v="0"/>
    <x v="0"/>
    <s v="SPXW"/>
    <x v="5"/>
    <x v="161"/>
    <s v="p"/>
    <n v="8.4"/>
    <n v="16.489999999999998"/>
    <n v="5.93"/>
    <n v="10.15"/>
    <n v="145"/>
    <n v="60"/>
    <n v="10"/>
    <n v="29"/>
    <n v="10.199999999999999"/>
    <n v="0"/>
    <n v="0"/>
    <n v="0"/>
    <n v="0"/>
    <n v="0.1822"/>
    <n v="-0.1147"/>
    <n v="1.1000000000000001E-3"/>
    <n v="-2.4451999999999998"/>
    <n v="1.9905999999999999"/>
    <n v="-0.15909999999999999"/>
    <n v="29"/>
    <n v="9.6999999999999993"/>
    <n v="36"/>
    <n v="10"/>
    <n v="0"/>
    <n v="0"/>
    <n v="10.3466"/>
    <n v="163"/>
    <n v="0"/>
  </r>
  <r>
    <x v="0"/>
    <x v="0"/>
    <s v="SPXW"/>
    <x v="5"/>
    <x v="162"/>
    <s v="p"/>
    <n v="7.42"/>
    <n v="13.99"/>
    <n v="6.12"/>
    <n v="10.18"/>
    <n v="86"/>
    <n v="59"/>
    <n v="10.4"/>
    <n v="55"/>
    <n v="10.7"/>
    <n v="0"/>
    <n v="0"/>
    <n v="0"/>
    <n v="0"/>
    <n v="0.18110000000000001"/>
    <n v="-0.11890000000000001"/>
    <n v="1.1000000000000001E-3"/>
    <n v="-2.5002"/>
    <n v="2.0402"/>
    <n v="-0.16500000000000001"/>
    <n v="32"/>
    <n v="10.1"/>
    <n v="34"/>
    <n v="10.4"/>
    <n v="0"/>
    <n v="0"/>
    <n v="10.485900000000001"/>
    <n v="32"/>
    <n v="0"/>
  </r>
  <r>
    <x v="0"/>
    <x v="0"/>
    <s v="SPXW"/>
    <x v="5"/>
    <x v="163"/>
    <s v="p"/>
    <n v="8.67"/>
    <n v="16.8"/>
    <n v="6.3"/>
    <n v="11.05"/>
    <n v="991"/>
    <n v="43"/>
    <n v="10.9"/>
    <n v="38"/>
    <n v="11.1"/>
    <n v="0"/>
    <n v="0"/>
    <n v="0"/>
    <n v="0"/>
    <n v="0.18049999999999999"/>
    <n v="-0.1239"/>
    <n v="1.1000000000000001E-3"/>
    <n v="-2.5699000000000001"/>
    <n v="2.097"/>
    <n v="-0.17180000000000001"/>
    <n v="25"/>
    <n v="10.6"/>
    <n v="20"/>
    <n v="10.8"/>
    <n v="0"/>
    <n v="0"/>
    <n v="11.521000000000001"/>
    <n v="1058"/>
    <n v="0"/>
  </r>
  <r>
    <x v="0"/>
    <x v="0"/>
    <s v="SPXW"/>
    <x v="5"/>
    <x v="164"/>
    <s v="p"/>
    <n v="9.08"/>
    <n v="17"/>
    <n v="6.54"/>
    <n v="11.2"/>
    <n v="365"/>
    <n v="27"/>
    <n v="11.4"/>
    <n v="52"/>
    <n v="11.6"/>
    <n v="0"/>
    <n v="0"/>
    <n v="0"/>
    <n v="0"/>
    <n v="0.17949999999999999"/>
    <n v="-0.1285"/>
    <n v="1.1999999999999999E-3"/>
    <n v="-2.6284000000000001"/>
    <n v="2.15"/>
    <n v="-0.17829999999999999"/>
    <n v="27"/>
    <n v="11"/>
    <n v="31"/>
    <n v="11.3"/>
    <n v="0"/>
    <n v="0"/>
    <n v="9.4705999999999992"/>
    <n v="331"/>
    <n v="0"/>
  </r>
  <r>
    <x v="0"/>
    <x v="0"/>
    <s v="SPXW"/>
    <x v="5"/>
    <x v="165"/>
    <s v="p"/>
    <n v="9.6999999999999993"/>
    <n v="17.760000000000002"/>
    <n v="6.82"/>
    <n v="11.77"/>
    <n v="264"/>
    <n v="48"/>
    <n v="11.8"/>
    <n v="55"/>
    <n v="12.1"/>
    <n v="0"/>
    <n v="0"/>
    <n v="0"/>
    <n v="0"/>
    <n v="0.17849999999999999"/>
    <n v="-0.13320000000000001"/>
    <n v="1.1999999999999999E-3"/>
    <n v="-2.6844000000000001"/>
    <n v="2.2027000000000001"/>
    <n v="-0.18490000000000001"/>
    <n v="24"/>
    <n v="11.5"/>
    <n v="35"/>
    <n v="11.8"/>
    <n v="0"/>
    <n v="0"/>
    <n v="11.9962"/>
    <n v="162"/>
    <n v="0"/>
  </r>
  <r>
    <x v="0"/>
    <x v="0"/>
    <s v="SPXW"/>
    <x v="5"/>
    <x v="166"/>
    <s v="p"/>
    <n v="9.8000000000000007"/>
    <n v="17.399999999999999"/>
    <n v="7.24"/>
    <n v="11.2"/>
    <n v="285"/>
    <n v="54"/>
    <n v="12.3"/>
    <n v="50"/>
    <n v="12.6"/>
    <n v="0"/>
    <n v="0"/>
    <n v="0"/>
    <n v="0"/>
    <n v="0.17749999999999999"/>
    <n v="-0.13830000000000001"/>
    <n v="1.1999999999999999E-3"/>
    <n v="-2.7456999999999998"/>
    <n v="2.2581000000000002"/>
    <n v="-0.192"/>
    <n v="23"/>
    <n v="12"/>
    <n v="34"/>
    <n v="12.3"/>
    <n v="0"/>
    <n v="0"/>
    <n v="12.4574"/>
    <n v="205"/>
    <n v="0"/>
  </r>
  <r>
    <x v="0"/>
    <x v="0"/>
    <s v="SPXW"/>
    <x v="5"/>
    <x v="167"/>
    <s v="p"/>
    <n v="10.5"/>
    <n v="19.77"/>
    <n v="7.35"/>
    <n v="11.9"/>
    <n v="1616"/>
    <n v="24"/>
    <n v="12.9"/>
    <n v="49"/>
    <n v="13.1"/>
    <n v="0"/>
    <n v="0"/>
    <n v="0"/>
    <n v="0"/>
    <n v="0.1767"/>
    <n v="-0.14369999999999999"/>
    <n v="1.2999999999999999E-3"/>
    <n v="-2.8117000000000001"/>
    <n v="2.3155000000000001"/>
    <n v="-0.19969999999999999"/>
    <n v="25"/>
    <n v="12.5"/>
    <n v="29"/>
    <n v="12.8"/>
    <n v="0"/>
    <n v="0"/>
    <n v="8.2032000000000007"/>
    <n v="158"/>
    <n v="0"/>
  </r>
  <r>
    <x v="0"/>
    <x v="0"/>
    <s v="SPXW"/>
    <x v="5"/>
    <x v="168"/>
    <s v="p"/>
    <n v="10.5"/>
    <n v="20.93"/>
    <n v="7.7"/>
    <n v="13.62"/>
    <n v="190"/>
    <n v="39"/>
    <n v="13.4"/>
    <n v="28"/>
    <n v="13.6"/>
    <n v="0"/>
    <n v="0"/>
    <n v="0"/>
    <n v="0"/>
    <n v="0.1759"/>
    <n v="-0.14910000000000001"/>
    <n v="1.2999999999999999E-3"/>
    <n v="-2.8746999999999998"/>
    <n v="2.3714"/>
    <n v="-0.2074"/>
    <n v="14"/>
    <n v="13.1"/>
    <n v="18"/>
    <n v="13.3"/>
    <n v="0"/>
    <n v="0"/>
    <n v="14.224299999999999"/>
    <n v="138"/>
    <n v="0"/>
  </r>
  <r>
    <x v="0"/>
    <x v="0"/>
    <s v="SPXW"/>
    <x v="5"/>
    <x v="169"/>
    <s v="p"/>
    <n v="11"/>
    <n v="19.59"/>
    <n v="8"/>
    <n v="13.64"/>
    <n v="160"/>
    <n v="24"/>
    <n v="14"/>
    <n v="28"/>
    <n v="14.2"/>
    <n v="0"/>
    <n v="0"/>
    <n v="0"/>
    <n v="0"/>
    <n v="0.17480000000000001"/>
    <n v="-0.15459999999999999"/>
    <n v="1.4E-3"/>
    <n v="-2.9342999999999999"/>
    <n v="2.4266000000000001"/>
    <n v="-0.21510000000000001"/>
    <n v="23"/>
    <n v="13.6"/>
    <n v="26"/>
    <n v="13.9"/>
    <n v="0"/>
    <n v="0"/>
    <n v="12.5878"/>
    <n v="300"/>
    <n v="0"/>
  </r>
  <r>
    <x v="0"/>
    <x v="0"/>
    <s v="SPXW"/>
    <x v="5"/>
    <x v="170"/>
    <s v="p"/>
    <n v="11.58"/>
    <n v="17.850000000000001"/>
    <n v="8.24"/>
    <n v="15.01"/>
    <n v="289"/>
    <n v="16"/>
    <n v="14.6"/>
    <n v="47"/>
    <n v="14.8"/>
    <n v="0"/>
    <n v="0"/>
    <n v="0"/>
    <n v="0"/>
    <n v="0.17399999999999999"/>
    <n v="-0.1605"/>
    <n v="1.4E-3"/>
    <n v="-2.9982000000000002"/>
    <n v="2.4838"/>
    <n v="-0.22320000000000001"/>
    <n v="20"/>
    <n v="14.2"/>
    <n v="28"/>
    <n v="14.5"/>
    <n v="0"/>
    <n v="0"/>
    <n v="11.372299999999999"/>
    <n v="71"/>
    <n v="0"/>
  </r>
  <r>
    <x v="0"/>
    <x v="0"/>
    <s v="SPXW"/>
    <x v="5"/>
    <x v="171"/>
    <s v="p"/>
    <n v="12.34"/>
    <n v="20.5"/>
    <n v="8.65"/>
    <n v="15.21"/>
    <n v="184"/>
    <n v="22"/>
    <n v="15.2"/>
    <n v="26"/>
    <n v="15.4"/>
    <n v="0"/>
    <n v="0"/>
    <n v="0"/>
    <n v="0"/>
    <n v="0.17299999999999999"/>
    <n v="-0.16639999999999999"/>
    <n v="1.4E-3"/>
    <n v="-3.0586000000000002"/>
    <n v="2.5407000000000002"/>
    <n v="-0.23139999999999999"/>
    <n v="21"/>
    <n v="14.8"/>
    <n v="27"/>
    <n v="15.1"/>
    <n v="0"/>
    <n v="0"/>
    <n v="13.7761"/>
    <n v="198"/>
    <n v="0"/>
  </r>
  <r>
    <x v="0"/>
    <x v="0"/>
    <s v="SPXW"/>
    <x v="5"/>
    <x v="172"/>
    <s v="p"/>
    <n v="13.06"/>
    <n v="25.2"/>
    <n v="9"/>
    <n v="14.4"/>
    <n v="194"/>
    <n v="22"/>
    <n v="15.8"/>
    <n v="26"/>
    <n v="16"/>
    <n v="0"/>
    <n v="0"/>
    <n v="0"/>
    <n v="0"/>
    <n v="0.1719"/>
    <n v="-0.1724"/>
    <n v="1.5E-3"/>
    <n v="-3.1156999999999999"/>
    <n v="2.5972"/>
    <n v="-0.23980000000000001"/>
    <n v="23"/>
    <n v="15.4"/>
    <n v="18"/>
    <n v="15.7"/>
    <n v="0"/>
    <n v="0"/>
    <n v="12.5014"/>
    <n v="90"/>
    <n v="0"/>
  </r>
  <r>
    <x v="0"/>
    <x v="0"/>
    <s v="SPXW"/>
    <x v="5"/>
    <x v="173"/>
    <s v="p"/>
    <n v="13.4"/>
    <n v="26.05"/>
    <n v="9.4"/>
    <n v="16.22"/>
    <n v="242"/>
    <n v="16"/>
    <n v="16.5"/>
    <n v="36"/>
    <n v="16.7"/>
    <n v="0"/>
    <n v="0"/>
    <n v="0"/>
    <n v="0"/>
    <n v="0.1709"/>
    <n v="-0.1787"/>
    <n v="1.5E-3"/>
    <n v="-3.1758000000000002"/>
    <n v="2.6556000000000002"/>
    <n v="-0.24879999999999999"/>
    <n v="14"/>
    <n v="16.100000000000001"/>
    <n v="33"/>
    <n v="16.399999999999999"/>
    <n v="0"/>
    <n v="0"/>
    <n v="16.719200000000001"/>
    <n v="449"/>
    <n v="0"/>
  </r>
  <r>
    <x v="0"/>
    <x v="0"/>
    <s v="SPXW"/>
    <x v="5"/>
    <x v="174"/>
    <s v="p"/>
    <n v="14"/>
    <n v="24.3"/>
    <n v="9.83"/>
    <n v="16.899999999999999"/>
    <n v="146"/>
    <n v="32"/>
    <n v="17.100000000000001"/>
    <n v="27"/>
    <n v="17.399999999999999"/>
    <n v="0"/>
    <n v="0"/>
    <n v="0"/>
    <n v="0"/>
    <n v="0.17"/>
    <n v="-0.18540000000000001"/>
    <n v="1.6000000000000001E-3"/>
    <n v="-3.2385999999999999"/>
    <n v="2.7151999999999998"/>
    <n v="-0.25829999999999997"/>
    <n v="15"/>
    <n v="16.8"/>
    <n v="26"/>
    <n v="17.100000000000001"/>
    <n v="0"/>
    <n v="0"/>
    <n v="15.057499999999999"/>
    <n v="53"/>
    <n v="0"/>
  </r>
  <r>
    <x v="0"/>
    <x v="0"/>
    <s v="SPXW"/>
    <x v="5"/>
    <x v="175"/>
    <s v="p"/>
    <n v="14.3"/>
    <n v="26.3"/>
    <n v="10.16"/>
    <n v="17.86"/>
    <n v="271"/>
    <n v="30"/>
    <n v="17.8"/>
    <n v="25"/>
    <n v="18.100000000000001"/>
    <n v="0"/>
    <n v="0"/>
    <n v="0"/>
    <n v="0"/>
    <n v="0.16900000000000001"/>
    <n v="-0.19209999999999999"/>
    <n v="1.6000000000000001E-3"/>
    <n v="-3.2974000000000001"/>
    <n v="2.7730999999999999"/>
    <n v="-0.26790000000000003"/>
    <n v="14"/>
    <n v="17.5"/>
    <n v="23"/>
    <n v="17.8"/>
    <n v="0"/>
    <n v="0"/>
    <n v="17.7959"/>
    <n v="246"/>
    <n v="0"/>
  </r>
  <r>
    <x v="0"/>
    <x v="0"/>
    <s v="SPXW"/>
    <x v="5"/>
    <x v="176"/>
    <s v="p"/>
    <n v="14.6"/>
    <n v="25.1"/>
    <n v="10.8"/>
    <n v="17.899999999999999"/>
    <n v="156"/>
    <n v="20"/>
    <n v="18.600000000000001"/>
    <n v="23"/>
    <n v="18.8"/>
    <n v="0"/>
    <n v="0"/>
    <n v="0"/>
    <n v="0"/>
    <n v="0.1681"/>
    <n v="-0.19919999999999999"/>
    <n v="1.6999999999999999E-3"/>
    <n v="-3.3584000000000001"/>
    <n v="2.8313999999999999"/>
    <n v="-0.27779999999999999"/>
    <n v="21"/>
    <n v="18.2"/>
    <n v="16"/>
    <n v="18.5"/>
    <n v="0"/>
    <n v="0"/>
    <n v="18.772200000000002"/>
    <n v="51"/>
    <n v="0"/>
  </r>
  <r>
    <x v="0"/>
    <x v="0"/>
    <s v="SPXW"/>
    <x v="5"/>
    <x v="177"/>
    <s v="p"/>
    <n v="15.53"/>
    <n v="27.57"/>
    <n v="11"/>
    <n v="18.600000000000001"/>
    <n v="2304"/>
    <n v="21"/>
    <n v="19.3"/>
    <n v="24"/>
    <n v="19.600000000000001"/>
    <n v="0"/>
    <n v="0"/>
    <n v="0"/>
    <n v="0"/>
    <n v="0.1671"/>
    <n v="-0.20630000000000001"/>
    <n v="1.6999999999999999E-3"/>
    <n v="-3.415"/>
    <n v="2.8885000000000001"/>
    <n v="-0.28770000000000001"/>
    <n v="19"/>
    <n v="19"/>
    <n v="21"/>
    <n v="19.3"/>
    <n v="0"/>
    <n v="0"/>
    <n v="12.8009"/>
    <n v="285"/>
    <n v="0"/>
  </r>
  <r>
    <x v="0"/>
    <x v="0"/>
    <s v="SPXW"/>
    <x v="5"/>
    <x v="178"/>
    <s v="p"/>
    <n v="16.55"/>
    <n v="28.6"/>
    <n v="11.59"/>
    <n v="19.260000000000002"/>
    <n v="180"/>
    <n v="29"/>
    <n v="20.100000000000001"/>
    <n v="28"/>
    <n v="20.399999999999999"/>
    <n v="0"/>
    <n v="0"/>
    <n v="0"/>
    <n v="0"/>
    <n v="0.1661"/>
    <n v="-0.21379999999999999"/>
    <n v="1.8E-3"/>
    <n v="-3.4735"/>
    <n v="2.9464999999999999"/>
    <n v="-0.29799999999999999"/>
    <n v="19"/>
    <n v="19.8"/>
    <n v="21"/>
    <n v="20.100000000000001"/>
    <n v="0"/>
    <n v="0"/>
    <n v="19.317799999999998"/>
    <n v="104"/>
    <n v="0"/>
  </r>
  <r>
    <x v="0"/>
    <x v="0"/>
    <s v="SPXW"/>
    <x v="5"/>
    <x v="179"/>
    <s v="p"/>
    <n v="16.829999999999998"/>
    <n v="32.200000000000003"/>
    <n v="12"/>
    <n v="21.02"/>
    <n v="192"/>
    <n v="15"/>
    <n v="21"/>
    <n v="23"/>
    <n v="21.2"/>
    <n v="0"/>
    <n v="0"/>
    <n v="0"/>
    <n v="0"/>
    <n v="0.16500000000000001"/>
    <n v="-0.2213"/>
    <n v="1.8E-3"/>
    <n v="-3.5272000000000001"/>
    <n v="3.0042"/>
    <n v="-0.30859999999999999"/>
    <n v="21"/>
    <n v="20.6"/>
    <n v="10"/>
    <n v="20.9"/>
    <n v="0"/>
    <n v="0"/>
    <n v="21.9772"/>
    <n v="245"/>
    <n v="0"/>
  </r>
  <r>
    <x v="0"/>
    <x v="0"/>
    <s v="SPXW"/>
    <x v="5"/>
    <x v="180"/>
    <s v="p"/>
    <n v="17.8"/>
    <n v="33.299999999999997"/>
    <n v="12.87"/>
    <n v="21.44"/>
    <n v="377"/>
    <n v="20"/>
    <n v="21.8"/>
    <n v="4"/>
    <n v="22"/>
    <n v="0"/>
    <n v="0"/>
    <n v="0"/>
    <n v="0"/>
    <n v="0.16400000000000001"/>
    <n v="-0.22919999999999999"/>
    <n v="1.8E-3"/>
    <n v="-3.5815000000000001"/>
    <n v="3.0627"/>
    <n v="-0.31990000000000002"/>
    <n v="18"/>
    <n v="21.5"/>
    <n v="21"/>
    <n v="21.8"/>
    <n v="0"/>
    <n v="0"/>
    <n v="17.491499999999998"/>
    <n v="74"/>
    <n v="0"/>
  </r>
  <r>
    <x v="0"/>
    <x v="0"/>
    <s v="SPXW"/>
    <x v="5"/>
    <x v="181"/>
    <s v="p"/>
    <n v="18.14"/>
    <n v="29.96"/>
    <n v="13"/>
    <n v="22.3"/>
    <n v="907"/>
    <n v="18"/>
    <n v="22.7"/>
    <n v="8"/>
    <n v="22.9"/>
    <n v="0"/>
    <n v="0"/>
    <n v="0"/>
    <n v="0"/>
    <n v="0.16300000000000001"/>
    <n v="-0.2374"/>
    <n v="1.9E-3"/>
    <n v="-3.6366000000000001"/>
    <n v="3.121"/>
    <n v="-0.33160000000000001"/>
    <n v="18"/>
    <n v="22.4"/>
    <n v="23"/>
    <n v="22.7"/>
    <n v="0"/>
    <n v="0"/>
    <n v="23.627300000000002"/>
    <n v="636"/>
    <n v="0"/>
  </r>
  <r>
    <x v="0"/>
    <x v="0"/>
    <s v="SPXW"/>
    <x v="5"/>
    <x v="182"/>
    <s v="p"/>
    <n v="18.87"/>
    <n v="29.85"/>
    <n v="13.54"/>
    <n v="24"/>
    <n v="256"/>
    <n v="18"/>
    <n v="23.6"/>
    <n v="4"/>
    <n v="23.8"/>
    <n v="0"/>
    <n v="0"/>
    <n v="0"/>
    <n v="0"/>
    <n v="0.16209999999999999"/>
    <n v="-0.24590000000000001"/>
    <n v="1.9E-3"/>
    <n v="-3.6917"/>
    <n v="3.1785000000000001"/>
    <n v="-0.34370000000000001"/>
    <n v="20"/>
    <n v="23.3"/>
    <n v="10"/>
    <n v="23.6"/>
    <n v="0"/>
    <n v="0"/>
    <n v="23.7498"/>
    <n v="146"/>
    <n v="0"/>
  </r>
  <r>
    <x v="0"/>
    <x v="0"/>
    <s v="SPXW"/>
    <x v="5"/>
    <x v="183"/>
    <s v="p"/>
    <n v="20.97"/>
    <n v="35"/>
    <n v="14.25"/>
    <n v="24.59"/>
    <n v="3230"/>
    <n v="18"/>
    <n v="24.6"/>
    <n v="20"/>
    <n v="24.8"/>
    <n v="0"/>
    <n v="0"/>
    <n v="0"/>
    <n v="0"/>
    <n v="0.16109999999999999"/>
    <n v="-0.2545"/>
    <n v="2E-3"/>
    <n v="-3.7412999999999998"/>
    <n v="3.2339000000000002"/>
    <n v="-0.35570000000000002"/>
    <n v="19"/>
    <n v="24.3"/>
    <n v="15"/>
    <n v="24.6"/>
    <n v="0"/>
    <n v="0"/>
    <n v="19.692699999999999"/>
    <n v="1872"/>
    <n v="0"/>
  </r>
  <r>
    <x v="0"/>
    <x v="0"/>
    <s v="SPXW"/>
    <x v="5"/>
    <x v="184"/>
    <s v="p"/>
    <n v="19.75"/>
    <n v="35.4"/>
    <n v="15.15"/>
    <n v="25.9"/>
    <n v="166"/>
    <n v="14"/>
    <n v="25.6"/>
    <n v="20"/>
    <n v="25.8"/>
    <n v="0"/>
    <n v="0"/>
    <n v="0"/>
    <n v="0"/>
    <n v="0.15989999999999999"/>
    <n v="-0.26319999999999999"/>
    <n v="2E-3"/>
    <n v="-3.7856999999999998"/>
    <n v="3.2873999999999999"/>
    <n v="-0.36780000000000002"/>
    <n v="19"/>
    <n v="25.3"/>
    <n v="10"/>
    <n v="25.6"/>
    <n v="0"/>
    <n v="0"/>
    <n v="25.466100000000001"/>
    <n v="88"/>
    <n v="0"/>
  </r>
  <r>
    <x v="0"/>
    <x v="0"/>
    <s v="SPXW"/>
    <x v="5"/>
    <x v="185"/>
    <s v="p"/>
    <n v="20.8"/>
    <n v="37.200000000000003"/>
    <n v="15.8"/>
    <n v="26.86"/>
    <n v="199"/>
    <n v="18"/>
    <n v="26.6"/>
    <n v="21"/>
    <n v="26.9"/>
    <n v="0"/>
    <n v="0"/>
    <n v="0"/>
    <n v="0"/>
    <n v="0.159"/>
    <n v="-0.27239999999999998"/>
    <n v="2.0999999999999999E-3"/>
    <n v="-3.8342999999999998"/>
    <n v="3.3422000000000001"/>
    <n v="-0.38069999999999998"/>
    <n v="21"/>
    <n v="26.3"/>
    <n v="10"/>
    <n v="26.6"/>
    <n v="0"/>
    <n v="0"/>
    <n v="26.338899999999999"/>
    <n v="166"/>
    <n v="0"/>
  </r>
  <r>
    <x v="0"/>
    <x v="0"/>
    <s v="SPXW"/>
    <x v="5"/>
    <x v="186"/>
    <s v="p"/>
    <n v="22.28"/>
    <n v="43.05"/>
    <n v="16.3"/>
    <n v="28.29"/>
    <n v="254"/>
    <n v="17"/>
    <n v="27.6"/>
    <n v="20"/>
    <n v="27.9"/>
    <n v="0"/>
    <n v="0"/>
    <n v="0"/>
    <n v="0"/>
    <n v="0.15790000000000001"/>
    <n v="-0.28179999999999999"/>
    <n v="2.0999999999999999E-3"/>
    <n v="-3.8767999999999998"/>
    <n v="3.3957999999999999"/>
    <n v="-0.39389999999999997"/>
    <n v="19"/>
    <n v="27.4"/>
    <n v="10"/>
    <n v="27.7"/>
    <n v="0"/>
    <n v="0"/>
    <n v="26.639700000000001"/>
    <n v="168"/>
    <n v="0"/>
  </r>
  <r>
    <x v="0"/>
    <x v="0"/>
    <s v="SPXW"/>
    <x v="5"/>
    <x v="187"/>
    <s v="p"/>
    <n v="24.99"/>
    <n v="45.38"/>
    <n v="16.920000000000002"/>
    <n v="27.28"/>
    <n v="812"/>
    <n v="17"/>
    <n v="28.7"/>
    <n v="20"/>
    <n v="29"/>
    <n v="0"/>
    <n v="0"/>
    <n v="0"/>
    <n v="0"/>
    <n v="0.15679999999999999"/>
    <n v="-0.29139999999999999"/>
    <n v="2.2000000000000001E-3"/>
    <n v="-3.9177"/>
    <n v="3.4487000000000001"/>
    <n v="-0.40760000000000002"/>
    <n v="12"/>
    <n v="28.6"/>
    <n v="15"/>
    <n v="28.9"/>
    <n v="0"/>
    <n v="0"/>
    <n v="21.306899999999999"/>
    <n v="109"/>
    <n v="0"/>
  </r>
  <r>
    <x v="0"/>
    <x v="0"/>
    <s v="SPXW"/>
    <x v="5"/>
    <x v="188"/>
    <s v="p"/>
    <n v="24.11"/>
    <n v="41.7"/>
    <n v="17.510000000000002"/>
    <n v="30.05"/>
    <n v="281"/>
    <n v="17"/>
    <n v="29.9"/>
    <n v="28"/>
    <n v="30.2"/>
    <n v="0"/>
    <n v="0"/>
    <n v="0"/>
    <n v="0"/>
    <n v="0.15570000000000001"/>
    <n v="-0.30130000000000001"/>
    <n v="2.2000000000000001E-3"/>
    <n v="-3.9567999999999999"/>
    <n v="3.5001000000000002"/>
    <n v="-0.4219"/>
    <n v="16"/>
    <n v="29.7"/>
    <n v="9"/>
    <n v="30"/>
    <n v="0"/>
    <n v="0"/>
    <n v="27.523800000000001"/>
    <n v="154"/>
    <n v="0"/>
  </r>
  <r>
    <x v="0"/>
    <x v="0"/>
    <s v="SPXW"/>
    <x v="5"/>
    <x v="189"/>
    <s v="p"/>
    <n v="24.1"/>
    <n v="41"/>
    <n v="18.5"/>
    <n v="30.99"/>
    <n v="163"/>
    <n v="15"/>
    <n v="31.1"/>
    <n v="11"/>
    <n v="31.3"/>
    <n v="0"/>
    <n v="0"/>
    <n v="0"/>
    <n v="0"/>
    <n v="0.1547"/>
    <n v="-0.31159999999999999"/>
    <n v="2.3E-3"/>
    <n v="-3.9931999999999999"/>
    <n v="3.5495999999999999"/>
    <n v="-0.43640000000000001"/>
    <n v="16"/>
    <n v="30.9"/>
    <n v="9"/>
    <n v="31.2"/>
    <n v="0"/>
    <n v="0"/>
    <n v="27.908300000000001"/>
    <n v="194"/>
    <n v="0"/>
  </r>
  <r>
    <x v="0"/>
    <x v="0"/>
    <s v="SPXW"/>
    <x v="5"/>
    <x v="190"/>
    <s v="p"/>
    <n v="26.69"/>
    <n v="41.9"/>
    <n v="19.600000000000001"/>
    <n v="32.270000000000003"/>
    <n v="319"/>
    <n v="15"/>
    <n v="32.299999999999997"/>
    <n v="19"/>
    <n v="32.6"/>
    <n v="0"/>
    <n v="0"/>
    <n v="0"/>
    <n v="0"/>
    <n v="0.1535"/>
    <n v="-0.32200000000000001"/>
    <n v="2.3E-3"/>
    <n v="-4.0232000000000001"/>
    <n v="3.5964"/>
    <n v="-0.45090000000000002"/>
    <n v="12"/>
    <n v="32.200000000000003"/>
    <n v="8"/>
    <n v="32.5"/>
    <n v="0"/>
    <n v="0"/>
    <n v="24.525500000000001"/>
    <n v="310"/>
    <n v="0"/>
  </r>
  <r>
    <x v="0"/>
    <x v="0"/>
    <s v="SPXW"/>
    <x v="5"/>
    <x v="191"/>
    <s v="p"/>
    <n v="27.25"/>
    <n v="40.049999999999997"/>
    <n v="20.3"/>
    <n v="34.25"/>
    <n v="172"/>
    <n v="14"/>
    <n v="33.6"/>
    <n v="18"/>
    <n v="33.9"/>
    <n v="0"/>
    <n v="0"/>
    <n v="0"/>
    <n v="0"/>
    <n v="0.1525"/>
    <n v="-0.33279999999999998"/>
    <n v="2.3999999999999998E-3"/>
    <n v="-4.0548000000000002"/>
    <n v="3.6421999999999999"/>
    <n v="-0.46600000000000003"/>
    <n v="12"/>
    <n v="33.5"/>
    <n v="12"/>
    <n v="33.799999999999997"/>
    <n v="0"/>
    <n v="0"/>
    <n v="30.5898"/>
    <n v="178"/>
    <n v="0"/>
  </r>
  <r>
    <x v="0"/>
    <x v="0"/>
    <s v="SPXW"/>
    <x v="5"/>
    <x v="192"/>
    <s v="p"/>
    <n v="27.95"/>
    <n v="46.25"/>
    <n v="20.67"/>
    <n v="36.29"/>
    <n v="119"/>
    <n v="14"/>
    <n v="34.9"/>
    <n v="18"/>
    <n v="35.200000000000003"/>
    <n v="0"/>
    <n v="0"/>
    <n v="0"/>
    <n v="0"/>
    <n v="0.15129999999999999"/>
    <n v="-0.34379999999999999"/>
    <n v="2.3999999999999998E-3"/>
    <n v="-4.0789999999999997"/>
    <n v="3.6861000000000002"/>
    <n v="-0.48149999999999998"/>
    <n v="16"/>
    <n v="34.799999999999997"/>
    <n v="13"/>
    <n v="35.200000000000003"/>
    <n v="0"/>
    <n v="0"/>
    <n v="31.290199999999999"/>
    <n v="97"/>
    <n v="0"/>
  </r>
  <r>
    <x v="0"/>
    <x v="0"/>
    <s v="SPXW"/>
    <x v="5"/>
    <x v="193"/>
    <s v="p"/>
    <n v="29.85"/>
    <n v="51"/>
    <n v="22"/>
    <n v="36.35"/>
    <n v="386"/>
    <n v="11"/>
    <n v="36.299999999999997"/>
    <n v="10"/>
    <n v="36.5"/>
    <n v="0"/>
    <n v="0"/>
    <n v="0"/>
    <n v="0"/>
    <n v="0.15010000000000001"/>
    <n v="-0.35499999999999998"/>
    <n v="2.5000000000000001E-3"/>
    <n v="-4.0995999999999997"/>
    <n v="3.7282999999999999"/>
    <n v="-0.49759999999999999"/>
    <n v="10"/>
    <n v="36.299999999999997"/>
    <n v="15"/>
    <n v="36.6"/>
    <n v="0"/>
    <n v="0"/>
    <n v="34.868499999999997"/>
    <n v="838"/>
    <n v="0"/>
  </r>
  <r>
    <x v="0"/>
    <x v="0"/>
    <s v="SPXW"/>
    <x v="5"/>
    <x v="194"/>
    <s v="p"/>
    <n v="31.43"/>
    <n v="48"/>
    <n v="23.11"/>
    <n v="37.75"/>
    <n v="144"/>
    <n v="13"/>
    <n v="37.700000000000003"/>
    <n v="16"/>
    <n v="38"/>
    <n v="0"/>
    <n v="0"/>
    <n v="0"/>
    <n v="0"/>
    <n v="0.14899999999999999"/>
    <n v="-0.36659999999999998"/>
    <n v="2.5000000000000001E-3"/>
    <n v="-4.1162000000000001"/>
    <n v="3.7679"/>
    <n v="-0.51419999999999999"/>
    <n v="10"/>
    <n v="37.700000000000003"/>
    <n v="8"/>
    <n v="38"/>
    <n v="0"/>
    <n v="0"/>
    <n v="37.536099999999998"/>
    <n v="97"/>
    <n v="0"/>
  </r>
  <r>
    <x v="0"/>
    <x v="0"/>
    <s v="SPXW"/>
    <x v="5"/>
    <x v="195"/>
    <s v="p"/>
    <n v="32.43"/>
    <n v="52.9"/>
    <n v="24.24"/>
    <n v="39.79"/>
    <n v="199"/>
    <n v="10"/>
    <n v="39.200000000000003"/>
    <n v="9"/>
    <n v="39.4"/>
    <n v="0"/>
    <n v="0"/>
    <n v="0"/>
    <n v="0"/>
    <n v="0.14779999999999999"/>
    <n v="-0.37840000000000001"/>
    <n v="2.5999999999999999E-3"/>
    <n v="-4.1287000000000003"/>
    <n v="3.8045"/>
    <n v="-0.53090000000000004"/>
    <n v="10"/>
    <n v="39.200000000000003"/>
    <n v="8"/>
    <n v="39.5"/>
    <n v="0"/>
    <n v="0"/>
    <n v="38.218299999999999"/>
    <n v="147"/>
    <n v="0"/>
  </r>
  <r>
    <x v="0"/>
    <x v="0"/>
    <s v="SPXW"/>
    <x v="5"/>
    <x v="196"/>
    <s v="p"/>
    <n v="30.52"/>
    <n v="48.85"/>
    <n v="24.5"/>
    <n v="41.87"/>
    <n v="121"/>
    <n v="10"/>
    <n v="40.700000000000003"/>
    <n v="17"/>
    <n v="41"/>
    <n v="0"/>
    <n v="0"/>
    <n v="0"/>
    <n v="0"/>
    <n v="0.1467"/>
    <n v="-0.39069999999999999"/>
    <n v="2.5999999999999999E-3"/>
    <n v="-4.1406999999999998"/>
    <n v="3.8380999999999998"/>
    <n v="-0.54810000000000003"/>
    <n v="10"/>
    <n v="40.799999999999997"/>
    <n v="7"/>
    <n v="41.1"/>
    <n v="0"/>
    <n v="0"/>
    <n v="38.076000000000001"/>
    <n v="107"/>
    <n v="0"/>
  </r>
  <r>
    <x v="0"/>
    <x v="0"/>
    <s v="SPXW"/>
    <x v="5"/>
    <x v="197"/>
    <s v="p"/>
    <n v="35.6"/>
    <n v="55.78"/>
    <n v="25.92"/>
    <n v="43.25"/>
    <n v="143"/>
    <n v="10"/>
    <n v="42.3"/>
    <n v="8"/>
    <n v="42.5"/>
    <n v="0"/>
    <n v="0"/>
    <n v="0"/>
    <n v="0"/>
    <n v="0.14549999999999999"/>
    <n v="-0.40310000000000001"/>
    <n v="2.7000000000000001E-3"/>
    <n v="-4.1439000000000004"/>
    <n v="3.8687"/>
    <n v="-0.56540000000000001"/>
    <n v="10"/>
    <n v="42.4"/>
    <n v="7"/>
    <n v="42.7"/>
    <n v="0"/>
    <n v="0"/>
    <n v="40.7346"/>
    <n v="734"/>
    <n v="0"/>
  </r>
  <r>
    <x v="0"/>
    <x v="0"/>
    <s v="SPXW"/>
    <x v="5"/>
    <x v="198"/>
    <s v="p"/>
    <n v="36.5"/>
    <n v="57.97"/>
    <n v="26.7"/>
    <n v="45.54"/>
    <n v="255"/>
    <n v="9"/>
    <n v="43.9"/>
    <n v="23"/>
    <n v="44.2"/>
    <n v="0"/>
    <n v="0"/>
    <n v="0"/>
    <n v="0"/>
    <n v="0.1444"/>
    <n v="-0.41589999999999999"/>
    <n v="2.7000000000000001E-3"/>
    <n v="-4.1456999999999997"/>
    <n v="3.8965999999999998"/>
    <n v="-0.58360000000000001"/>
    <n v="10"/>
    <n v="44.1"/>
    <n v="7"/>
    <n v="44.4"/>
    <n v="0"/>
    <n v="0"/>
    <n v="41.361499999999999"/>
    <n v="290"/>
    <n v="0"/>
  </r>
  <r>
    <x v="0"/>
    <x v="0"/>
    <s v="SPXW"/>
    <x v="5"/>
    <x v="199"/>
    <s v="p"/>
    <n v="37.6"/>
    <n v="60.32"/>
    <n v="27.92"/>
    <n v="46.76"/>
    <n v="182"/>
    <n v="9"/>
    <n v="45.6"/>
    <n v="16"/>
    <n v="45.9"/>
    <n v="0"/>
    <n v="0"/>
    <n v="0"/>
    <n v="0"/>
    <n v="0.1431"/>
    <n v="-0.42880000000000001"/>
    <n v="2.7000000000000001E-3"/>
    <n v="-4.1379999999999999"/>
    <n v="3.9211"/>
    <n v="-0.60219999999999996"/>
    <n v="9"/>
    <n v="45.8"/>
    <n v="7"/>
    <n v="46.1"/>
    <n v="0"/>
    <n v="0"/>
    <n v="45.311399999999999"/>
    <n v="112"/>
    <n v="0"/>
  </r>
  <r>
    <x v="0"/>
    <x v="0"/>
    <s v="SPXW"/>
    <x v="5"/>
    <x v="200"/>
    <s v="p"/>
    <n v="39.5"/>
    <n v="62.32"/>
    <n v="29.1"/>
    <n v="47.1"/>
    <n v="95"/>
    <n v="9"/>
    <n v="47.3"/>
    <n v="8"/>
    <n v="47.6"/>
    <n v="0"/>
    <n v="0"/>
    <n v="0"/>
    <n v="0"/>
    <n v="0.14199999999999999"/>
    <n v="-0.44219999999999998"/>
    <n v="2.8E-3"/>
    <n v="-4.1318999999999999"/>
    <n v="3.9418000000000002"/>
    <n v="-0.62139999999999995"/>
    <n v="9"/>
    <n v="47.6"/>
    <n v="7"/>
    <n v="47.9"/>
    <n v="0"/>
    <n v="0"/>
    <n v="44.542499999999997"/>
    <n v="41"/>
    <n v="0"/>
  </r>
  <r>
    <x v="0"/>
    <x v="0"/>
    <s v="SPXW"/>
    <x v="5"/>
    <x v="201"/>
    <s v="p"/>
    <n v="40.700000000000003"/>
    <n v="67.7"/>
    <n v="31"/>
    <n v="50"/>
    <n v="188"/>
    <n v="8"/>
    <n v="49.2"/>
    <n v="7"/>
    <n v="49.4"/>
    <n v="0"/>
    <n v="0"/>
    <n v="0"/>
    <n v="0"/>
    <n v="0.14080000000000001"/>
    <n v="-0.45579999999999998"/>
    <n v="2.8E-3"/>
    <n v="-4.1155999999999997"/>
    <n v="3.9582000000000002"/>
    <n v="-0.64049999999999996"/>
    <n v="9"/>
    <n v="49.5"/>
    <n v="11"/>
    <n v="49.8"/>
    <n v="0"/>
    <n v="0"/>
    <n v="48.4895"/>
    <n v="69"/>
    <n v="0"/>
  </r>
  <r>
    <x v="0"/>
    <x v="0"/>
    <s v="SPXW"/>
    <x v="5"/>
    <x v="202"/>
    <s v="p"/>
    <n v="41.38"/>
    <n v="60"/>
    <n v="32.6"/>
    <n v="51.8"/>
    <n v="168"/>
    <n v="8"/>
    <n v="51"/>
    <n v="7"/>
    <n v="51.3"/>
    <n v="0"/>
    <n v="0"/>
    <n v="0"/>
    <n v="0"/>
    <n v="0.13969999999999999"/>
    <n v="-0.46970000000000001"/>
    <n v="2.8E-3"/>
    <n v="-4.0967000000000002"/>
    <n v="3.9702999999999999"/>
    <n v="-0.65990000000000004"/>
    <n v="9"/>
    <n v="51.4"/>
    <n v="7"/>
    <n v="51.7"/>
    <n v="0"/>
    <n v="0"/>
    <n v="51.150100000000002"/>
    <n v="46"/>
    <n v="0"/>
  </r>
  <r>
    <x v="0"/>
    <x v="0"/>
    <s v="SPXW"/>
    <x v="5"/>
    <x v="203"/>
    <s v="p"/>
    <n v="44.56"/>
    <n v="71"/>
    <n v="33.6"/>
    <n v="54.07"/>
    <n v="759"/>
    <n v="8"/>
    <n v="53"/>
    <n v="25"/>
    <n v="53.3"/>
    <n v="0"/>
    <n v="0"/>
    <n v="0"/>
    <n v="0"/>
    <n v="0.1384"/>
    <n v="-0.48380000000000001"/>
    <n v="2.8999999999999998E-3"/>
    <n v="-4.0673000000000004"/>
    <n v="3.9781"/>
    <n v="-0.67989999999999995"/>
    <n v="9"/>
    <n v="53.4"/>
    <n v="7"/>
    <n v="53.7"/>
    <n v="0"/>
    <n v="0"/>
    <n v="50.7883"/>
    <n v="295"/>
    <n v="0"/>
  </r>
  <r>
    <x v="0"/>
    <x v="0"/>
    <s v="SPXW"/>
    <x v="5"/>
    <x v="204"/>
    <s v="p"/>
    <n v="46.5"/>
    <n v="70.400000000000006"/>
    <n v="35.49"/>
    <n v="55.3"/>
    <n v="179"/>
    <n v="8"/>
    <n v="55"/>
    <n v="13"/>
    <n v="55.3"/>
    <n v="0"/>
    <n v="0"/>
    <n v="0"/>
    <n v="0"/>
    <n v="0.13730000000000001"/>
    <n v="-0.49819999999999998"/>
    <n v="2.8999999999999998E-3"/>
    <n v="-4.0378999999999996"/>
    <n v="3.9813000000000001"/>
    <n v="-0.7006"/>
    <n v="9"/>
    <n v="55.4"/>
    <n v="11"/>
    <n v="55.8"/>
    <n v="0"/>
    <n v="0"/>
    <n v="53.668799999999997"/>
    <n v="23"/>
    <n v="0"/>
  </r>
  <r>
    <x v="0"/>
    <x v="0"/>
    <s v="SPXW"/>
    <x v="5"/>
    <x v="205"/>
    <s v="p"/>
    <n v="48.5"/>
    <n v="76.3"/>
    <n v="36.1"/>
    <n v="58.32"/>
    <n v="179"/>
    <n v="8"/>
    <n v="57.1"/>
    <n v="10"/>
    <n v="57.4"/>
    <n v="0"/>
    <n v="0"/>
    <n v="0"/>
    <n v="0"/>
    <n v="0.13600000000000001"/>
    <n v="-0.51280000000000003"/>
    <n v="2.8999999999999998E-3"/>
    <n v="-3.9973000000000001"/>
    <n v="3.9794"/>
    <n v="-0.72160000000000002"/>
    <n v="9"/>
    <n v="57.6"/>
    <n v="7"/>
    <n v="57.9"/>
    <n v="0"/>
    <n v="0"/>
    <n v="53.0625"/>
    <n v="59"/>
    <n v="0"/>
  </r>
  <r>
    <x v="0"/>
    <x v="0"/>
    <s v="SPXW"/>
    <x v="5"/>
    <x v="206"/>
    <s v="p"/>
    <n v="51.1"/>
    <n v="77.489999999999995"/>
    <n v="37.799999999999997"/>
    <n v="61.3"/>
    <n v="65"/>
    <n v="8"/>
    <n v="59.2"/>
    <n v="10"/>
    <n v="59.6"/>
    <n v="0"/>
    <n v="0"/>
    <n v="0"/>
    <n v="0"/>
    <n v="0.13489999999999999"/>
    <n v="-0.52759999999999996"/>
    <n v="2.8999999999999998E-3"/>
    <n v="-3.9561999999999999"/>
    <n v="3.9725000000000001"/>
    <n v="-0.74250000000000005"/>
    <n v="9"/>
    <n v="59.8"/>
    <n v="7"/>
    <n v="60.1"/>
    <n v="0"/>
    <n v="0"/>
    <n v="62.701700000000002"/>
    <n v="56"/>
    <n v="0"/>
  </r>
  <r>
    <x v="0"/>
    <x v="0"/>
    <s v="SPXW"/>
    <x v="5"/>
    <x v="207"/>
    <s v="p"/>
    <n v="52"/>
    <n v="81.3"/>
    <n v="39.25"/>
    <n v="61.9"/>
    <n v="201"/>
    <n v="8"/>
    <n v="61.5"/>
    <n v="10"/>
    <n v="61.8"/>
    <n v="0"/>
    <n v="0"/>
    <n v="0"/>
    <n v="0"/>
    <n v="0.1336"/>
    <n v="-0.54269999999999996"/>
    <n v="3.0000000000000001E-3"/>
    <n v="-3.9036"/>
    <n v="3.9601999999999999"/>
    <n v="-0.76370000000000005"/>
    <n v="8"/>
    <n v="62.1"/>
    <n v="6"/>
    <n v="62.4"/>
    <n v="0"/>
    <n v="0"/>
    <n v="60.6569"/>
    <n v="78"/>
    <n v="0"/>
  </r>
  <r>
    <x v="0"/>
    <x v="0"/>
    <s v="SPXW"/>
    <x v="5"/>
    <x v="208"/>
    <s v="p"/>
    <n v="52.78"/>
    <n v="79.2"/>
    <n v="41.14"/>
    <n v="64.069999999999993"/>
    <n v="169"/>
    <n v="8"/>
    <n v="63.8"/>
    <n v="7"/>
    <n v="64.099999999999994"/>
    <n v="0"/>
    <n v="0"/>
    <n v="0"/>
    <n v="0"/>
    <n v="0.1323"/>
    <n v="-0.55800000000000005"/>
    <n v="3.0000000000000001E-3"/>
    <n v="-3.8464999999999998"/>
    <n v="3.9420999999999999"/>
    <n v="-0.78549999999999998"/>
    <n v="8"/>
    <n v="64.400000000000006"/>
    <n v="6"/>
    <n v="64.8"/>
    <n v="0"/>
    <n v="0"/>
    <n v="55.444499999999998"/>
    <n v="53"/>
    <n v="0"/>
  </r>
  <r>
    <x v="0"/>
    <x v="0"/>
    <s v="SPXW"/>
    <x v="5"/>
    <x v="209"/>
    <s v="p"/>
    <n v="56.3"/>
    <n v="82.5"/>
    <n v="42.8"/>
    <n v="67.2"/>
    <n v="194"/>
    <n v="8"/>
    <n v="66.2"/>
    <n v="7"/>
    <n v="66.5"/>
    <n v="0"/>
    <n v="0"/>
    <n v="0"/>
    <n v="0"/>
    <n v="0.13120000000000001"/>
    <n v="-0.57350000000000001"/>
    <n v="3.0000000000000001E-3"/>
    <n v="-3.7846000000000002"/>
    <n v="3.9178000000000002"/>
    <n v="-0.80779999999999996"/>
    <n v="7"/>
    <n v="66.900000000000006"/>
    <n v="6"/>
    <n v="67.2"/>
    <n v="0"/>
    <n v="0"/>
    <n v="58.363100000000003"/>
    <n v="68"/>
    <n v="0"/>
  </r>
  <r>
    <x v="0"/>
    <x v="0"/>
    <s v="SPXW"/>
    <x v="5"/>
    <x v="210"/>
    <s v="p"/>
    <n v="59"/>
    <n v="75"/>
    <n v="45"/>
    <n v="70.64"/>
    <n v="52"/>
    <n v="7"/>
    <n v="68.7"/>
    <n v="9"/>
    <n v="69"/>
    <n v="0"/>
    <n v="0"/>
    <n v="0"/>
    <n v="0"/>
    <n v="0.13"/>
    <n v="-0.58909999999999996"/>
    <n v="3.0000000000000001E-3"/>
    <n v="-3.718"/>
    <n v="3.8877000000000002"/>
    <n v="-0.83009999999999995"/>
    <n v="7"/>
    <n v="69.400000000000006"/>
    <n v="6"/>
    <n v="69.7"/>
    <n v="0"/>
    <n v="0"/>
    <n v="64.63"/>
    <n v="61"/>
    <n v="0"/>
  </r>
  <r>
    <x v="0"/>
    <x v="0"/>
    <s v="SPXW"/>
    <x v="5"/>
    <x v="211"/>
    <s v="p"/>
    <n v="56.22"/>
    <n v="85"/>
    <n v="46.6"/>
    <n v="72.099999999999994"/>
    <n v="46"/>
    <n v="6"/>
    <n v="71.2"/>
    <n v="8"/>
    <n v="71.599999999999994"/>
    <n v="0"/>
    <n v="0"/>
    <n v="0"/>
    <n v="0"/>
    <n v="0.12889999999999999"/>
    <n v="-0.60470000000000002"/>
    <n v="3.0000000000000001E-3"/>
    <n v="-3.6465999999999998"/>
    <n v="3.8521000000000001"/>
    <n v="-0.85219999999999996"/>
    <n v="7"/>
    <n v="72"/>
    <n v="6"/>
    <n v="72.3"/>
    <n v="0"/>
    <n v="0"/>
    <n v="62.688299999999998"/>
    <n v="40"/>
    <n v="0"/>
  </r>
  <r>
    <x v="0"/>
    <x v="0"/>
    <s v="SPXW"/>
    <x v="5"/>
    <x v="212"/>
    <s v="p"/>
    <n v="63.45"/>
    <n v="90"/>
    <n v="48.95"/>
    <n v="75.87"/>
    <n v="157"/>
    <n v="6"/>
    <n v="73.900000000000006"/>
    <n v="6"/>
    <n v="74.2"/>
    <n v="0"/>
    <n v="0"/>
    <n v="0"/>
    <n v="0"/>
    <n v="0.12759999999999999"/>
    <n v="-0.62070000000000003"/>
    <n v="3.0000000000000001E-3"/>
    <n v="-3.5625"/>
    <n v="3.8098999999999998"/>
    <n v="-0.87470000000000003"/>
    <n v="6"/>
    <n v="74.7"/>
    <n v="5"/>
    <n v="75"/>
    <n v="0"/>
    <n v="0"/>
    <n v="63.342399999999998"/>
    <n v="17"/>
    <n v="0"/>
  </r>
  <r>
    <x v="0"/>
    <x v="0"/>
    <s v="SPXW"/>
    <x v="5"/>
    <x v="213"/>
    <s v="p"/>
    <n v="63.1"/>
    <n v="92.75"/>
    <n v="51.52"/>
    <n v="78.62"/>
    <n v="338"/>
    <n v="5"/>
    <n v="76.7"/>
    <n v="7"/>
    <n v="77"/>
    <n v="0"/>
    <n v="0"/>
    <n v="0"/>
    <n v="0"/>
    <n v="0.1265"/>
    <n v="-0.63660000000000005"/>
    <n v="3.0000000000000001E-3"/>
    <n v="-3.4775999999999998"/>
    <n v="3.7608000000000001"/>
    <n v="-0.89759999999999995"/>
    <n v="6"/>
    <n v="77.5"/>
    <n v="5"/>
    <n v="77.8"/>
    <n v="0"/>
    <n v="0"/>
    <n v="72.234999999999999"/>
    <n v="251"/>
    <n v="0"/>
  </r>
  <r>
    <x v="0"/>
    <x v="0"/>
    <s v="SPXW"/>
    <x v="5"/>
    <x v="214"/>
    <s v="p"/>
    <n v="65.989999999999995"/>
    <n v="84.8"/>
    <n v="58.44"/>
    <n v="84.8"/>
    <n v="8"/>
    <n v="5"/>
    <n v="79.400000000000006"/>
    <n v="5"/>
    <n v="79.8"/>
    <n v="0"/>
    <n v="0"/>
    <n v="0"/>
    <n v="0"/>
    <n v="0.12540000000000001"/>
    <n v="-0.65239999999999998"/>
    <n v="2.8999999999999998E-3"/>
    <n v="-3.3879999999999999"/>
    <n v="3.7050999999999998"/>
    <n v="-0.92049999999999998"/>
    <n v="5"/>
    <n v="80.3"/>
    <n v="4"/>
    <n v="80.7"/>
    <n v="0"/>
    <n v="0"/>
    <n v="75.858800000000002"/>
    <n v="51"/>
    <n v="0"/>
  </r>
  <r>
    <x v="0"/>
    <x v="0"/>
    <s v="SPXW"/>
    <x v="5"/>
    <x v="215"/>
    <s v="p"/>
    <n v="70.849999999999994"/>
    <n v="84.79"/>
    <n v="56.1"/>
    <n v="84.79"/>
    <n v="17"/>
    <n v="4"/>
    <n v="82.3"/>
    <n v="4"/>
    <n v="82.7"/>
    <n v="0"/>
    <n v="0"/>
    <n v="0"/>
    <n v="0"/>
    <n v="0.1242"/>
    <n v="-0.66839999999999999"/>
    <n v="2.8999999999999998E-3"/>
    <n v="-3.2894000000000001"/>
    <n v="3.6433"/>
    <n v="-0.94310000000000005"/>
    <n v="4"/>
    <n v="83.3"/>
    <n v="3"/>
    <n v="83.6"/>
    <n v="0"/>
    <n v="0"/>
    <n v="73.5471"/>
    <n v="35"/>
    <n v="0"/>
  </r>
  <r>
    <x v="0"/>
    <x v="0"/>
    <s v="SPXW"/>
    <x v="5"/>
    <x v="216"/>
    <s v="p"/>
    <n v="73.599999999999994"/>
    <n v="85.98"/>
    <n v="57.93"/>
    <n v="85.98"/>
    <n v="14"/>
    <n v="3"/>
    <n v="85.3"/>
    <n v="3"/>
    <n v="85.7"/>
    <n v="0"/>
    <n v="0"/>
    <n v="0"/>
    <n v="0"/>
    <n v="0.1231"/>
    <n v="-0.68440000000000001"/>
    <n v="2.8999999999999998E-3"/>
    <n v="-3.1867000000000001"/>
    <n v="3.5758999999999999"/>
    <n v="-0.9657"/>
    <n v="3"/>
    <n v="86.3"/>
    <n v="2"/>
    <n v="86.7"/>
    <n v="0"/>
    <n v="0"/>
    <n v="80.359300000000005"/>
    <n v="14"/>
    <n v="0"/>
  </r>
  <r>
    <x v="0"/>
    <x v="0"/>
    <s v="SPXW"/>
    <x v="5"/>
    <x v="217"/>
    <s v="p"/>
    <n v="60.43"/>
    <n v="98.29"/>
    <n v="60.43"/>
    <n v="90.63"/>
    <n v="28"/>
    <n v="21"/>
    <n v="87.8"/>
    <n v="2"/>
    <n v="89.1"/>
    <n v="0"/>
    <n v="0"/>
    <n v="0"/>
    <n v="0"/>
    <n v="0.1216"/>
    <n v="-0.7006"/>
    <n v="2.8999999999999998E-3"/>
    <n v="-3.0705"/>
    <n v="3.4992000000000001"/>
    <n v="-0.98909999999999998"/>
    <n v="22"/>
    <n v="88.9"/>
    <n v="15"/>
    <n v="90.3"/>
    <n v="0"/>
    <n v="0"/>
    <n v="78.052499999999995"/>
    <n v="33"/>
    <n v="0"/>
  </r>
  <r>
    <x v="0"/>
    <x v="0"/>
    <s v="SPXW"/>
    <x v="5"/>
    <x v="218"/>
    <s v="p"/>
    <n v="80.2"/>
    <n v="95.1"/>
    <n v="64.069999999999993"/>
    <n v="87.4"/>
    <n v="18"/>
    <n v="21"/>
    <n v="90.9"/>
    <n v="22"/>
    <n v="92.3"/>
    <n v="0"/>
    <n v="0"/>
    <n v="0"/>
    <n v="0"/>
    <n v="0.12039999999999999"/>
    <n v="-0.71660000000000001"/>
    <n v="2.8E-3"/>
    <n v="-2.9546000000000001"/>
    <n v="3.4159999999999999"/>
    <n v="-1.0122"/>
    <n v="24"/>
    <n v="92.1"/>
    <n v="11"/>
    <n v="93.5"/>
    <n v="0"/>
    <n v="0"/>
    <n v="74.323899999999995"/>
    <n v="210"/>
    <n v="0"/>
  </r>
  <r>
    <x v="0"/>
    <x v="0"/>
    <s v="SPXW"/>
    <x v="5"/>
    <x v="219"/>
    <s v="p"/>
    <n v="76.81"/>
    <n v="104.53"/>
    <n v="76.81"/>
    <n v="92.6"/>
    <n v="17"/>
    <n v="22"/>
    <n v="94.2"/>
    <n v="2"/>
    <n v="95.6"/>
    <n v="0"/>
    <n v="0"/>
    <n v="0"/>
    <n v="0"/>
    <n v="0.1195"/>
    <n v="-0.7319"/>
    <n v="2.8E-3"/>
    <n v="-2.8456999999999999"/>
    <n v="3.3306"/>
    <n v="-1.0339"/>
    <n v="24"/>
    <n v="95.4"/>
    <n v="18"/>
    <n v="96.9"/>
    <n v="0"/>
    <n v="0"/>
    <n v="95.673500000000004"/>
    <n v="17"/>
    <n v="0"/>
  </r>
  <r>
    <x v="0"/>
    <x v="0"/>
    <s v="SPXW"/>
    <x v="5"/>
    <x v="220"/>
    <s v="p"/>
    <n v="85.41"/>
    <n v="98.77"/>
    <n v="79.83"/>
    <n v="98.77"/>
    <n v="22"/>
    <n v="1"/>
    <n v="96.1"/>
    <n v="7"/>
    <n v="100.2"/>
    <n v="0"/>
    <n v="0"/>
    <n v="0"/>
    <n v="0"/>
    <n v="0.1182"/>
    <n v="-0.74750000000000005"/>
    <n v="2.7000000000000001E-3"/>
    <n v="-2.7214999999999998"/>
    <n v="3.2376"/>
    <n v="-1.0562"/>
    <n v="18"/>
    <n v="98.8"/>
    <n v="18"/>
    <n v="100.4"/>
    <n v="0"/>
    <n v="0"/>
    <n v="97.3018"/>
    <n v="2"/>
    <n v="0"/>
  </r>
  <r>
    <x v="0"/>
    <x v="0"/>
    <s v="SPXW"/>
    <x v="5"/>
    <x v="221"/>
    <s v="p"/>
    <n v="82.02"/>
    <n v="82.02"/>
    <n v="82.02"/>
    <n v="82.02"/>
    <n v="2"/>
    <n v="1"/>
    <n v="99.4"/>
    <n v="7"/>
    <n v="103.5"/>
    <n v="0"/>
    <n v="0"/>
    <n v="0"/>
    <n v="0"/>
    <n v="0.11650000000000001"/>
    <n v="-0.76400000000000001"/>
    <n v="2.5999999999999999E-3"/>
    <n v="-2.5771999999999999"/>
    <n v="3.1305000000000001"/>
    <n v="-1.0799000000000001"/>
    <n v="7"/>
    <n v="100.8"/>
    <n v="7"/>
    <n v="105.4"/>
    <n v="0"/>
    <n v="0"/>
    <n v="82.02"/>
    <n v="3"/>
    <n v="0"/>
  </r>
  <r>
    <x v="0"/>
    <x v="0"/>
    <s v="SPXW"/>
    <x v="5"/>
    <x v="222"/>
    <s v="p"/>
    <n v="0"/>
    <n v="0"/>
    <n v="0"/>
    <n v="0"/>
    <n v="0"/>
    <n v="1"/>
    <n v="103.3"/>
    <n v="1"/>
    <n v="107.1"/>
    <n v="0"/>
    <n v="0"/>
    <n v="0"/>
    <n v="0"/>
    <n v="0.1167"/>
    <n v="-0.77580000000000005"/>
    <n v="2.5999999999999999E-3"/>
    <n v="-2.5013000000000001"/>
    <n v="3.0470999999999999"/>
    <n v="-1.0972999999999999"/>
    <n v="7"/>
    <n v="104.3"/>
    <n v="7"/>
    <n v="109.1"/>
    <n v="0"/>
    <n v="0"/>
    <n v="0"/>
    <n v="0"/>
    <n v="0"/>
  </r>
  <r>
    <x v="0"/>
    <x v="0"/>
    <s v="SPXW"/>
    <x v="5"/>
    <x v="223"/>
    <s v="p"/>
    <n v="88.07"/>
    <n v="120.43"/>
    <n v="78.400000000000006"/>
    <n v="111.25"/>
    <n v="65"/>
    <n v="3"/>
    <n v="107.6"/>
    <n v="7"/>
    <n v="110.8"/>
    <n v="0"/>
    <n v="0"/>
    <n v="0"/>
    <n v="0"/>
    <n v="0.1163"/>
    <n v="-0.78969999999999996"/>
    <n v="2.5000000000000001E-3"/>
    <n v="-2.3923000000000001"/>
    <n v="2.9441000000000002"/>
    <n v="-1.1172"/>
    <n v="7"/>
    <n v="108"/>
    <n v="7"/>
    <n v="112.7"/>
    <n v="0"/>
    <n v="0"/>
    <n v="106.3342"/>
    <n v="11"/>
    <n v="0"/>
  </r>
  <r>
    <x v="0"/>
    <x v="0"/>
    <s v="SPXW"/>
    <x v="5"/>
    <x v="224"/>
    <s v="p"/>
    <n v="98.75"/>
    <n v="98.75"/>
    <n v="98.75"/>
    <n v="98.75"/>
    <n v="1"/>
    <n v="1"/>
    <n v="110.6"/>
    <n v="1"/>
    <n v="114.6"/>
    <n v="0"/>
    <n v="0"/>
    <n v="0"/>
    <n v="0"/>
    <n v="0.1148"/>
    <n v="-0.80420000000000003"/>
    <n v="2.3999999999999998E-3"/>
    <n v="-2.2530999999999999"/>
    <n v="2.8317000000000001"/>
    <n v="-1.1379999999999999"/>
    <n v="7"/>
    <n v="111.6"/>
    <n v="7"/>
    <n v="116.6"/>
    <n v="0"/>
    <n v="0"/>
    <n v="98.75"/>
    <n v="1"/>
    <n v="0"/>
  </r>
  <r>
    <x v="0"/>
    <x v="0"/>
    <s v="SPXW"/>
    <x v="5"/>
    <x v="225"/>
    <s v="p"/>
    <n v="113.79"/>
    <n v="116.91"/>
    <n v="113.79"/>
    <n v="116.91"/>
    <n v="11"/>
    <n v="1"/>
    <n v="114.2"/>
    <n v="7"/>
    <n v="118.7"/>
    <n v="0"/>
    <n v="0"/>
    <n v="0"/>
    <n v="0"/>
    <n v="0.1132"/>
    <n v="-0.81979999999999997"/>
    <n v="2.3E-3"/>
    <n v="-2.0994999999999999"/>
    <n v="2.7008000000000001"/>
    <n v="-1.1606000000000001"/>
    <n v="7"/>
    <n v="115.5"/>
    <n v="7"/>
    <n v="120.4"/>
    <n v="0"/>
    <n v="0"/>
    <n v="116.6264"/>
    <n v="32"/>
    <n v="0"/>
  </r>
  <r>
    <x v="0"/>
    <x v="0"/>
    <s v="SPXW"/>
    <x v="5"/>
    <x v="226"/>
    <s v="p"/>
    <n v="121.11"/>
    <n v="121.11"/>
    <n v="121.11"/>
    <n v="121.11"/>
    <n v="1"/>
    <n v="1"/>
    <n v="118"/>
    <n v="6"/>
    <n v="122.7"/>
    <n v="0"/>
    <n v="0"/>
    <n v="0"/>
    <n v="0"/>
    <n v="0.11219999999999999"/>
    <n v="-0.83309999999999995"/>
    <n v="2.2000000000000001E-3"/>
    <n v="-1.9713000000000001"/>
    <n v="2.5804999999999998"/>
    <n v="-1.1798999999999999"/>
    <n v="6"/>
    <n v="119.3"/>
    <n v="6"/>
    <n v="124.5"/>
    <n v="0"/>
    <n v="0"/>
    <n v="121.11"/>
    <n v="0"/>
    <n v="0"/>
  </r>
  <r>
    <x v="0"/>
    <x v="0"/>
    <s v="SPXW"/>
    <x v="5"/>
    <x v="227"/>
    <s v="p"/>
    <n v="121.82"/>
    <n v="121.82"/>
    <n v="121.82"/>
    <n v="121.82"/>
    <n v="1"/>
    <n v="1"/>
    <n v="122.3"/>
    <n v="6"/>
    <n v="126.7"/>
    <n v="0"/>
    <n v="0"/>
    <n v="0"/>
    <n v="0"/>
    <n v="0.1119"/>
    <n v="-0.84440000000000004"/>
    <n v="2.0999999999999999E-3"/>
    <n v="-1.8695999999999999"/>
    <n v="2.4740000000000002"/>
    <n v="-1.1962999999999999"/>
    <n v="6"/>
    <n v="123.3"/>
    <n v="6"/>
    <n v="128.5"/>
    <n v="0"/>
    <n v="0"/>
    <n v="121.82"/>
    <n v="0"/>
    <n v="0"/>
  </r>
  <r>
    <x v="0"/>
    <x v="0"/>
    <s v="SPXW"/>
    <x v="5"/>
    <x v="228"/>
    <s v="p"/>
    <n v="106.22"/>
    <n v="106.22"/>
    <n v="106.22"/>
    <n v="106.22"/>
    <n v="1"/>
    <n v="1"/>
    <n v="126.4"/>
    <n v="6"/>
    <n v="130.80000000000001"/>
    <n v="0"/>
    <n v="0"/>
    <n v="0"/>
    <n v="0"/>
    <n v="0.11210000000000001"/>
    <n v="-0.8538"/>
    <n v="2E-3"/>
    <n v="-1.7886"/>
    <n v="2.3814000000000002"/>
    <n v="-1.2102999999999999"/>
    <n v="6"/>
    <n v="127.4"/>
    <n v="6"/>
    <n v="132.6"/>
    <n v="0"/>
    <n v="0"/>
    <n v="106.22"/>
    <n v="12"/>
    <n v="0"/>
  </r>
  <r>
    <x v="0"/>
    <x v="0"/>
    <s v="SPXW"/>
    <x v="5"/>
    <x v="229"/>
    <s v="p"/>
    <n v="99.72"/>
    <n v="99.72"/>
    <n v="99.72"/>
    <n v="99.72"/>
    <n v="2"/>
    <n v="1"/>
    <n v="130.5"/>
    <n v="6"/>
    <n v="135.19999999999999"/>
    <n v="0"/>
    <n v="0"/>
    <n v="0"/>
    <n v="0"/>
    <n v="0.1108"/>
    <n v="-0.86680000000000001"/>
    <n v="1.9E-3"/>
    <n v="-1.6485000000000001"/>
    <n v="2.246"/>
    <n v="-1.2294"/>
    <n v="6"/>
    <n v="131.6"/>
    <n v="6"/>
    <n v="136.80000000000001"/>
    <n v="0"/>
    <n v="0"/>
    <n v="99.72"/>
    <n v="6"/>
    <n v="0"/>
  </r>
  <r>
    <x v="0"/>
    <x v="0"/>
    <s v="SPXW"/>
    <x v="5"/>
    <x v="230"/>
    <s v="p"/>
    <n v="108.68"/>
    <n v="115.77"/>
    <n v="108.68"/>
    <n v="115.77"/>
    <n v="2"/>
    <n v="1"/>
    <n v="134.6"/>
    <n v="6"/>
    <n v="139.5"/>
    <n v="0"/>
    <n v="0"/>
    <n v="0"/>
    <n v="0"/>
    <n v="0.1101"/>
    <n v="-0.87770000000000004"/>
    <n v="1.8E-3"/>
    <n v="-1.5338000000000001"/>
    <n v="2.1265999999999998"/>
    <n v="-1.2451000000000001"/>
    <n v="6"/>
    <n v="135.6"/>
    <n v="6"/>
    <n v="141.1"/>
    <n v="0"/>
    <n v="0"/>
    <n v="112.22499999999999"/>
    <n v="0"/>
    <n v="0"/>
  </r>
  <r>
    <x v="0"/>
    <x v="0"/>
    <s v="SPXW"/>
    <x v="5"/>
    <x v="231"/>
    <s v="p"/>
    <n v="112.63"/>
    <n v="119.77"/>
    <n v="112.63"/>
    <n v="119.77"/>
    <n v="2"/>
    <n v="1"/>
    <n v="139"/>
    <n v="6"/>
    <n v="143.4"/>
    <n v="0"/>
    <n v="0"/>
    <n v="0"/>
    <n v="0"/>
    <n v="0.1086"/>
    <n v="-0.88970000000000005"/>
    <n v="1.6999999999999999E-3"/>
    <n v="-1.3956"/>
    <n v="1.9899"/>
    <n v="-1.2625"/>
    <n v="6"/>
    <n v="140"/>
    <n v="6"/>
    <n v="145.5"/>
    <n v="0"/>
    <n v="0"/>
    <n v="116.2"/>
    <n v="3"/>
    <n v="0"/>
  </r>
  <r>
    <x v="0"/>
    <x v="0"/>
    <s v="SPXW"/>
    <x v="5"/>
    <x v="232"/>
    <s v="p"/>
    <n v="0"/>
    <n v="0"/>
    <n v="0"/>
    <n v="0"/>
    <n v="0"/>
    <n v="1"/>
    <n v="143.30000000000001"/>
    <n v="6"/>
    <n v="148.1"/>
    <n v="0"/>
    <n v="0"/>
    <n v="0"/>
    <n v="0"/>
    <n v="0.1085"/>
    <n v="-0.89810000000000001"/>
    <n v="1.6000000000000001E-3"/>
    <n v="-1.3083"/>
    <n v="1.887"/>
    <n v="-1.2753000000000001"/>
    <n v="6"/>
    <n v="144.30000000000001"/>
    <n v="6"/>
    <n v="149.9"/>
    <n v="0"/>
    <n v="0"/>
    <n v="0"/>
    <n v="0"/>
    <n v="0"/>
  </r>
  <r>
    <x v="0"/>
    <x v="0"/>
    <s v="SPXW"/>
    <x v="5"/>
    <x v="233"/>
    <s v="p"/>
    <n v="120.9"/>
    <n v="169.6"/>
    <n v="120.9"/>
    <n v="152.47"/>
    <n v="11"/>
    <n v="1"/>
    <n v="147.5"/>
    <n v="6"/>
    <n v="152.5"/>
    <n v="0"/>
    <n v="0"/>
    <n v="0"/>
    <n v="0"/>
    <n v="0.1071"/>
    <n v="-0.90869999999999995"/>
    <n v="1.5E-3"/>
    <n v="-1.1805000000000001"/>
    <n v="1.7517"/>
    <n v="-1.2908999999999999"/>
    <n v="6"/>
    <n v="148.69999999999999"/>
    <n v="6"/>
    <n v="154.30000000000001"/>
    <n v="0"/>
    <n v="0"/>
    <n v="145.9409"/>
    <n v="0"/>
    <n v="0"/>
  </r>
  <r>
    <x v="0"/>
    <x v="0"/>
    <s v="SPXW"/>
    <x v="5"/>
    <x v="234"/>
    <s v="p"/>
    <n v="0"/>
    <n v="0"/>
    <n v="0"/>
    <n v="0"/>
    <n v="0"/>
    <n v="1"/>
    <n v="151.9"/>
    <n v="6"/>
    <n v="157.1"/>
    <n v="0"/>
    <n v="0"/>
    <n v="0"/>
    <n v="0"/>
    <n v="0.1081"/>
    <n v="-0.91379999999999995"/>
    <n v="1.5E-3"/>
    <n v="-1.1361000000000001"/>
    <n v="1.6836"/>
    <n v="-1.2988"/>
    <n v="6"/>
    <n v="153.19999999999999"/>
    <n v="6"/>
    <n v="158.9"/>
    <n v="0"/>
    <n v="0"/>
    <n v="0"/>
    <n v="0"/>
    <n v="0"/>
  </r>
  <r>
    <x v="0"/>
    <x v="0"/>
    <s v="SPXW"/>
    <x v="5"/>
    <x v="235"/>
    <s v="p"/>
    <n v="124.88"/>
    <n v="153.21"/>
    <n v="123.37"/>
    <n v="153.21"/>
    <n v="7"/>
    <n v="1"/>
    <n v="156.5"/>
    <n v="6"/>
    <n v="161.6"/>
    <n v="0"/>
    <n v="0"/>
    <n v="0"/>
    <n v="0"/>
    <n v="0.1055"/>
    <n v="-0.92610000000000003"/>
    <n v="1.2999999999999999E-3"/>
    <n v="-0.97350000000000003"/>
    <n v="1.5149999999999999"/>
    <n v="-1.3169"/>
    <n v="6"/>
    <n v="157.69999999999999"/>
    <n v="6"/>
    <n v="163.4"/>
    <n v="0"/>
    <n v="0"/>
    <n v="132.1114"/>
    <n v="0"/>
    <n v="0"/>
  </r>
  <r>
    <x v="0"/>
    <x v="0"/>
    <s v="SPXW"/>
    <x v="5"/>
    <x v="236"/>
    <s v="p"/>
    <n v="129.18"/>
    <n v="129.18"/>
    <n v="129.18"/>
    <n v="129.18"/>
    <n v="1"/>
    <n v="6"/>
    <n v="160.69999999999999"/>
    <n v="6"/>
    <n v="166.5"/>
    <n v="0"/>
    <n v="0"/>
    <n v="0"/>
    <n v="0"/>
    <n v="0.1056"/>
    <n v="-0.93200000000000005"/>
    <n v="1.1999999999999999E-3"/>
    <n v="-0.90700000000000003"/>
    <n v="1.4277"/>
    <n v="-1.3260000000000001"/>
    <n v="6"/>
    <n v="162.19999999999999"/>
    <n v="6"/>
    <n v="168.1"/>
    <n v="0"/>
    <n v="0"/>
    <n v="129.18"/>
    <n v="0"/>
    <n v="0"/>
  </r>
  <r>
    <x v="0"/>
    <x v="0"/>
    <s v="SPXW"/>
    <x v="5"/>
    <x v="237"/>
    <s v="p"/>
    <n v="0"/>
    <n v="0"/>
    <n v="0"/>
    <n v="0"/>
    <n v="0"/>
    <n v="6"/>
    <n v="165.1"/>
    <n v="6"/>
    <n v="170.9"/>
    <n v="0"/>
    <n v="0"/>
    <n v="0"/>
    <n v="0"/>
    <n v="0.1055"/>
    <n v="-0.93779999999999997"/>
    <n v="1.1999999999999999E-3"/>
    <n v="-0.83919999999999995"/>
    <n v="1.3404"/>
    <n v="-1.3348"/>
    <n v="5"/>
    <n v="167.2"/>
    <n v="6"/>
    <n v="172.7"/>
    <n v="0"/>
    <n v="0"/>
    <n v="0"/>
    <n v="0"/>
    <n v="0"/>
  </r>
  <r>
    <x v="0"/>
    <x v="0"/>
    <s v="SPXW"/>
    <x v="5"/>
    <x v="238"/>
    <s v="p"/>
    <n v="142.19999999999999"/>
    <n v="192.65"/>
    <n v="142.19999999999999"/>
    <n v="192.65"/>
    <n v="8"/>
    <n v="6"/>
    <n v="169.6"/>
    <n v="6"/>
    <n v="175.4"/>
    <n v="0"/>
    <n v="0"/>
    <n v="0"/>
    <n v="0"/>
    <n v="9.9500000000000005E-2"/>
    <n v="-0.95389999999999997"/>
    <n v="1E-3"/>
    <n v="-0.60570000000000002"/>
    <n v="1.0852999999999999"/>
    <n v="-1.3579000000000001"/>
    <n v="6"/>
    <n v="171.3"/>
    <n v="6"/>
    <n v="177.4"/>
    <n v="0"/>
    <n v="0"/>
    <n v="167.07499999999999"/>
    <n v="0"/>
    <n v="0"/>
  </r>
  <r>
    <x v="0"/>
    <x v="0"/>
    <s v="SPXW"/>
    <x v="5"/>
    <x v="239"/>
    <s v="p"/>
    <n v="171.41"/>
    <n v="171.41"/>
    <n v="171.41"/>
    <n v="171.41"/>
    <n v="2"/>
    <n v="6"/>
    <n v="174.7"/>
    <n v="6"/>
    <n v="180.3"/>
    <n v="0"/>
    <n v="0"/>
    <n v="0"/>
    <n v="0"/>
    <n v="0.10299999999999999"/>
    <n v="-0.95279999999999998"/>
    <n v="1E-3"/>
    <n v="-0.63980000000000004"/>
    <n v="1.0991"/>
    <n v="-1.3575999999999999"/>
    <n v="6"/>
    <n v="176.3"/>
    <n v="6"/>
    <n v="182.2"/>
    <n v="0"/>
    <n v="0"/>
    <n v="171.41"/>
    <n v="0"/>
    <n v="0"/>
  </r>
  <r>
    <x v="0"/>
    <x v="0"/>
    <s v="SPXW"/>
    <x v="5"/>
    <x v="241"/>
    <s v="p"/>
    <n v="153.13"/>
    <n v="153.13"/>
    <n v="153.13"/>
    <n v="153.13"/>
    <n v="2"/>
    <n v="6"/>
    <n v="183.9"/>
    <n v="6"/>
    <n v="189.8"/>
    <n v="0"/>
    <n v="0"/>
    <n v="0"/>
    <n v="0"/>
    <n v="0.10100000000000001"/>
    <n v="-0.96430000000000005"/>
    <n v="8.0000000000000004E-4"/>
    <n v="-0.4854"/>
    <n v="0.89629999999999999"/>
    <n v="-1.3753"/>
    <n v="6"/>
    <n v="185.8"/>
    <n v="6"/>
    <n v="191.8"/>
    <n v="0"/>
    <n v="0"/>
    <n v="153.13"/>
    <n v="0"/>
    <n v="0"/>
  </r>
  <r>
    <x v="0"/>
    <x v="0"/>
    <s v="SPXW"/>
    <x v="5"/>
    <x v="243"/>
    <s v="p"/>
    <n v="162.27000000000001"/>
    <n v="194.15"/>
    <n v="162.27000000000001"/>
    <n v="194.15"/>
    <n v="3"/>
    <n v="6"/>
    <n v="193.9"/>
    <n v="6"/>
    <n v="199.5"/>
    <n v="0"/>
    <n v="0"/>
    <n v="0"/>
    <n v="0"/>
    <n v="0.1027"/>
    <n v="-0.96909999999999996"/>
    <n v="6.9999999999999999E-4"/>
    <n v="-0.43020000000000003"/>
    <n v="0.80149999999999999"/>
    <n v="-1.3841000000000001"/>
    <n v="6"/>
    <n v="195.4"/>
    <n v="6"/>
    <n v="201.5"/>
    <n v="0"/>
    <n v="0"/>
    <n v="172.89670000000001"/>
    <n v="7"/>
    <n v="0"/>
  </r>
  <r>
    <x v="0"/>
    <x v="0"/>
    <s v="SPXW"/>
    <x v="5"/>
    <x v="245"/>
    <s v="p"/>
    <n v="168.02"/>
    <n v="168.02"/>
    <n v="168.02"/>
    <n v="168.02"/>
    <n v="2"/>
    <n v="1"/>
    <n v="200.1"/>
    <n v="2"/>
    <n v="212.6"/>
    <n v="0"/>
    <n v="0"/>
    <n v="0"/>
    <n v="0"/>
    <n v="0.1048"/>
    <n v="-0.97260000000000002"/>
    <n v="5.9999999999999995E-4"/>
    <n v="-0.39079999999999998"/>
    <n v="0.7288"/>
    <n v="-1.391"/>
    <n v="4"/>
    <n v="200.2"/>
    <n v="3"/>
    <n v="216"/>
    <n v="0"/>
    <n v="0"/>
    <n v="168.02"/>
    <n v="1"/>
    <n v="0"/>
  </r>
  <r>
    <x v="0"/>
    <x v="0"/>
    <s v="SPXW"/>
    <x v="5"/>
    <x v="247"/>
    <s v="p"/>
    <n v="0"/>
    <n v="0"/>
    <n v="0"/>
    <n v="0"/>
    <n v="0"/>
    <n v="1"/>
    <n v="209.9"/>
    <n v="1"/>
    <n v="222.9"/>
    <n v="0"/>
    <n v="0"/>
    <n v="0"/>
    <n v="0"/>
    <n v="0.1069"/>
    <n v="-0.9758"/>
    <n v="5.0000000000000001E-4"/>
    <n v="-0.35260000000000002"/>
    <n v="0.65980000000000005"/>
    <n v="-1.3976999999999999"/>
    <n v="1"/>
    <n v="208.6"/>
    <n v="1"/>
    <n v="231.2"/>
    <n v="0"/>
    <n v="0"/>
    <n v="0"/>
    <n v="0"/>
    <n v="0"/>
  </r>
  <r>
    <x v="0"/>
    <x v="0"/>
    <s v="SPXW"/>
    <x v="5"/>
    <x v="248"/>
    <s v="p"/>
    <n v="0"/>
    <n v="0"/>
    <n v="0"/>
    <n v="0"/>
    <n v="0"/>
    <n v="1"/>
    <n v="210.8"/>
    <n v="1"/>
    <n v="230.8"/>
    <n v="0"/>
    <n v="0"/>
    <n v="0"/>
    <n v="0"/>
    <n v="0.1018"/>
    <n v="-0.98299999999999998"/>
    <n v="4.0000000000000002E-4"/>
    <n v="-0.23480000000000001"/>
    <n v="0.50629999999999997"/>
    <n v="-1.4085000000000001"/>
    <n v="3"/>
    <n v="212.2"/>
    <n v="1"/>
    <n v="230.8"/>
    <n v="0"/>
    <n v="0"/>
    <n v="0"/>
    <n v="10"/>
    <n v="0"/>
  </r>
  <r>
    <x v="0"/>
    <x v="0"/>
    <s v="SPXW"/>
    <x v="5"/>
    <x v="249"/>
    <s v="p"/>
    <n v="0"/>
    <n v="0"/>
    <n v="0"/>
    <n v="0"/>
    <n v="0"/>
    <n v="1"/>
    <n v="216.4"/>
    <n v="1"/>
    <n v="235"/>
    <n v="0"/>
    <n v="0"/>
    <n v="0"/>
    <n v="0"/>
    <n v="0.1012"/>
    <n v="-0.98540000000000005"/>
    <n v="4.0000000000000002E-4"/>
    <n v="-0.19889999999999999"/>
    <n v="0.4501"/>
    <n v="-1.4128000000000001"/>
    <n v="1"/>
    <n v="218.2"/>
    <n v="1"/>
    <n v="241"/>
    <n v="0"/>
    <n v="0"/>
    <n v="0"/>
    <n v="0"/>
    <n v="0"/>
  </r>
  <r>
    <x v="0"/>
    <x v="0"/>
    <s v="SPXW"/>
    <x v="5"/>
    <x v="251"/>
    <s v="p"/>
    <n v="0"/>
    <n v="0"/>
    <n v="0"/>
    <n v="0"/>
    <n v="0"/>
    <n v="1"/>
    <n v="225.5"/>
    <n v="1"/>
    <n v="245.4"/>
    <n v="0"/>
    <n v="0"/>
    <n v="0"/>
    <n v="0"/>
    <n v="0.18679999999999999"/>
    <n v="-0.88959999999999995"/>
    <n v="1E-3"/>
    <n v="-2.3992"/>
    <n v="1.9406000000000001"/>
    <n v="-1.2861"/>
    <n v="2"/>
    <n v="227.1"/>
    <n v="1"/>
    <n v="246.3"/>
    <n v="0"/>
    <n v="0"/>
    <n v="0"/>
    <n v="0"/>
    <n v="0"/>
  </r>
  <r>
    <x v="0"/>
    <x v="0"/>
    <s v="SPXW"/>
    <x v="5"/>
    <x v="253"/>
    <s v="p"/>
    <n v="0"/>
    <n v="0"/>
    <n v="0"/>
    <n v="0"/>
    <n v="0"/>
    <n v="1"/>
    <n v="236.2"/>
    <n v="1"/>
    <n v="255.2"/>
    <n v="0"/>
    <n v="0"/>
    <n v="0"/>
    <n v="0"/>
    <n v="0.10929999999999999"/>
    <n v="-0.9859"/>
    <n v="2.9999999999999997E-4"/>
    <n v="-0.20549999999999999"/>
    <n v="0.4294"/>
    <n v="-1.4180999999999999"/>
    <n v="3"/>
    <n v="237"/>
    <n v="1"/>
    <n v="255.6"/>
    <n v="0"/>
    <n v="0"/>
    <n v="0"/>
    <n v="0"/>
    <n v="0"/>
  </r>
  <r>
    <x v="0"/>
    <x v="0"/>
    <s v="SPXW"/>
    <x v="5"/>
    <x v="256"/>
    <s v="p"/>
    <n v="0"/>
    <n v="0"/>
    <n v="0"/>
    <n v="0"/>
    <n v="0"/>
    <n v="1"/>
    <n v="260.60000000000002"/>
    <n v="1"/>
    <n v="280.10000000000002"/>
    <n v="0"/>
    <n v="0"/>
    <n v="0"/>
    <n v="0"/>
    <n v="0.1047"/>
    <n v="-0.99419999999999997"/>
    <n v="2.0000000000000001E-4"/>
    <n v="-6.5799999999999997E-2"/>
    <n v="0.21240000000000001"/>
    <n v="-1.4347000000000001"/>
    <n v="1"/>
    <n v="262.3"/>
    <n v="1"/>
    <n v="280.39999999999998"/>
    <n v="0"/>
    <n v="0"/>
    <n v="0"/>
    <n v="0"/>
    <n v="0"/>
  </r>
  <r>
    <x v="0"/>
    <x v="0"/>
    <s v="SPXW"/>
    <x v="5"/>
    <x v="259"/>
    <s v="p"/>
    <n v="0"/>
    <n v="0"/>
    <n v="0"/>
    <n v="0"/>
    <n v="0"/>
    <n v="1"/>
    <n v="285.10000000000002"/>
    <n v="1"/>
    <n v="305.3"/>
    <n v="0"/>
    <n v="0"/>
    <n v="0"/>
    <n v="0"/>
    <n v="0.2205"/>
    <n v="-0.90200000000000002"/>
    <n v="8.0000000000000004E-4"/>
    <n v="-2.5712000000000002"/>
    <n v="1.7723"/>
    <n v="-1.3166"/>
    <n v="1"/>
    <n v="287.3"/>
    <n v="1"/>
    <n v="305.3"/>
    <n v="0"/>
    <n v="0"/>
    <n v="0"/>
    <n v="3"/>
    <n v="0"/>
  </r>
  <r>
    <x v="0"/>
    <x v="0"/>
    <s v="SPXW"/>
    <x v="5"/>
    <x v="262"/>
    <s v="p"/>
    <n v="0"/>
    <n v="0"/>
    <n v="0"/>
    <n v="0"/>
    <n v="0"/>
    <n v="1"/>
    <n v="311"/>
    <n v="1"/>
    <n v="330"/>
    <n v="0"/>
    <n v="0"/>
    <n v="0"/>
    <n v="0"/>
    <n v="0.13159999999999999"/>
    <n v="-0.99109999999999998"/>
    <n v="2.0000000000000001E-4"/>
    <n v="-0.14710000000000001"/>
    <n v="0.28699999999999998"/>
    <n v="-1.4417"/>
    <n v="3"/>
    <n v="311.7"/>
    <n v="1"/>
    <n v="330.3"/>
    <n v="0"/>
    <n v="0"/>
    <n v="0"/>
    <n v="0"/>
    <n v="0"/>
  </r>
  <r>
    <x v="0"/>
    <x v="0"/>
    <s v="SPXW"/>
    <x v="5"/>
    <x v="263"/>
    <s v="p"/>
    <n v="0"/>
    <n v="0"/>
    <n v="0"/>
    <n v="0"/>
    <n v="0"/>
    <n v="1"/>
    <n v="335.7"/>
    <n v="1"/>
    <n v="355"/>
    <n v="0"/>
    <n v="0"/>
    <n v="0"/>
    <n v="0"/>
    <n v="0.13350000000000001"/>
    <n v="-0.99399999999999999"/>
    <n v="1E-4"/>
    <n v="-8.7599999999999997E-2"/>
    <n v="0.2051"/>
    <n v="-1.4513"/>
    <n v="3"/>
    <n v="336.7"/>
    <n v="1"/>
    <n v="355.3"/>
    <n v="0"/>
    <n v="0"/>
    <n v="0"/>
    <n v="0"/>
    <n v="0"/>
  </r>
  <r>
    <x v="0"/>
    <x v="0"/>
    <s v="SPXW"/>
    <x v="5"/>
    <x v="264"/>
    <s v="p"/>
    <n v="0"/>
    <n v="0"/>
    <n v="0"/>
    <n v="0"/>
    <n v="0"/>
    <n v="1"/>
    <n v="360.9"/>
    <n v="1"/>
    <n v="379.9"/>
    <n v="0"/>
    <n v="0"/>
    <n v="0"/>
    <n v="0"/>
    <n v="0.1459"/>
    <n v="-0.99309999999999998"/>
    <n v="1E-4"/>
    <n v="-0.1177"/>
    <n v="0.22789999999999999"/>
    <n v="-1.4556"/>
    <n v="1"/>
    <n v="361.7"/>
    <n v="1"/>
    <n v="380.3"/>
    <n v="0"/>
    <n v="0"/>
    <n v="0"/>
    <n v="0"/>
    <n v="0"/>
  </r>
  <r>
    <x v="0"/>
    <x v="0"/>
    <s v="SPXW"/>
    <x v="5"/>
    <x v="265"/>
    <s v="p"/>
    <n v="0"/>
    <n v="0"/>
    <n v="0"/>
    <n v="0"/>
    <n v="0"/>
    <n v="1"/>
    <n v="385"/>
    <n v="1"/>
    <n v="404.1"/>
    <n v="0"/>
    <n v="0"/>
    <n v="0"/>
    <n v="0"/>
    <n v="0.26700000000000002"/>
    <n v="-0.92169999999999996"/>
    <n v="5.9999999999999995E-4"/>
    <n v="-2.5842999999999998"/>
    <n v="1.498"/>
    <n v="-1.3657999999999999"/>
    <n v="1"/>
    <n v="387.3"/>
    <n v="3"/>
    <n v="410.6"/>
    <n v="0"/>
    <n v="0"/>
    <n v="0"/>
    <n v="0"/>
    <n v="0"/>
  </r>
  <r>
    <x v="0"/>
    <x v="0"/>
    <s v="SPXW"/>
    <x v="5"/>
    <x v="266"/>
    <s v="p"/>
    <n v="0"/>
    <n v="0"/>
    <n v="0"/>
    <n v="0"/>
    <n v="0"/>
    <n v="1"/>
    <n v="410.7"/>
    <n v="1"/>
    <n v="430.2"/>
    <n v="0"/>
    <n v="0"/>
    <n v="0"/>
    <n v="0"/>
    <n v="0.16750000000000001"/>
    <n v="-0.99229999999999996"/>
    <n v="1E-4"/>
    <n v="-0.15459999999999999"/>
    <n v="0.24229999999999999"/>
    <n v="-1.4657"/>
    <n v="3"/>
    <n v="411.6"/>
    <n v="1"/>
    <n v="430.2"/>
    <n v="0"/>
    <n v="0"/>
    <n v="0"/>
    <n v="0"/>
    <n v="0"/>
  </r>
  <r>
    <x v="0"/>
    <x v="0"/>
    <s v="SPXW"/>
    <x v="5"/>
    <x v="267"/>
    <s v="p"/>
    <n v="0"/>
    <n v="0"/>
    <n v="0"/>
    <n v="0"/>
    <n v="0"/>
    <n v="1"/>
    <n v="435"/>
    <n v="1"/>
    <n v="454.5"/>
    <n v="0"/>
    <n v="0"/>
    <n v="0"/>
    <n v="0"/>
    <n v="0.29459999999999997"/>
    <n v="-0.92510000000000003"/>
    <n v="5.0000000000000001E-4"/>
    <n v="-2.7431999999999999"/>
    <n v="1.4431"/>
    <n v="-1.3816999999999999"/>
    <n v="1"/>
    <n v="438"/>
    <n v="1"/>
    <n v="460.5"/>
    <n v="0"/>
    <n v="0"/>
    <n v="0"/>
    <n v="0"/>
    <n v="0"/>
  </r>
  <r>
    <x v="0"/>
    <x v="0"/>
    <s v="SPXW"/>
    <x v="5"/>
    <x v="268"/>
    <s v="p"/>
    <n v="0"/>
    <n v="0"/>
    <n v="0"/>
    <n v="0"/>
    <n v="0"/>
    <n v="1"/>
    <n v="460.9"/>
    <n v="1"/>
    <n v="479.9"/>
    <n v="0"/>
    <n v="0"/>
    <n v="0"/>
    <n v="0"/>
    <n v="0.18379999999999999"/>
    <n v="-0.99309999999999998"/>
    <n v="1E-4"/>
    <n v="-0.14680000000000001"/>
    <n v="0.21779999999999999"/>
    <n v="-1.478"/>
    <n v="3"/>
    <n v="461.5"/>
    <n v="1"/>
    <n v="480.1"/>
    <n v="0"/>
    <n v="0"/>
    <n v="0"/>
    <n v="0"/>
    <n v="0"/>
  </r>
  <r>
    <x v="0"/>
    <x v="0"/>
    <s v="SPXW"/>
    <x v="5"/>
    <x v="269"/>
    <s v="p"/>
    <n v="0"/>
    <n v="0"/>
    <n v="0"/>
    <n v="0"/>
    <n v="0"/>
    <n v="1"/>
    <n v="485.8"/>
    <n v="1"/>
    <n v="504.8"/>
    <n v="0"/>
    <n v="0"/>
    <n v="0"/>
    <n v="0"/>
    <n v="0.18720000000000001"/>
    <n v="-0.99450000000000005"/>
    <n v="1E-4"/>
    <n v="-0.108"/>
    <n v="0.17929999999999999"/>
    <n v="-1.4854000000000001"/>
    <n v="3"/>
    <n v="486.5"/>
    <n v="1"/>
    <n v="505.2"/>
    <n v="0"/>
    <n v="0"/>
    <n v="0"/>
    <n v="0"/>
    <n v="0"/>
  </r>
  <r>
    <x v="0"/>
    <x v="0"/>
    <s v="SPXW"/>
    <x v="5"/>
    <x v="270"/>
    <s v="p"/>
    <n v="0"/>
    <n v="0"/>
    <n v="0"/>
    <n v="0"/>
    <n v="0"/>
    <n v="1"/>
    <n v="510.3"/>
    <n v="1"/>
    <n v="529.70000000000005"/>
    <n v="0"/>
    <n v="0"/>
    <n v="0"/>
    <n v="0"/>
    <n v="0.3286"/>
    <n v="-0.93330000000000002"/>
    <n v="4.0000000000000002E-4"/>
    <n v="-2.7663000000000002"/>
    <n v="1.3165"/>
    <n v="-1.4100999999999999"/>
    <n v="1"/>
    <n v="512.9"/>
    <n v="2"/>
    <n v="535.5"/>
    <n v="0"/>
    <n v="0"/>
    <n v="0"/>
    <n v="0"/>
    <n v="0"/>
  </r>
  <r>
    <x v="0"/>
    <x v="0"/>
    <s v="SPXW"/>
    <x v="5"/>
    <x v="271"/>
    <s v="p"/>
    <n v="0"/>
    <n v="0"/>
    <n v="0"/>
    <n v="0"/>
    <n v="0"/>
    <n v="1"/>
    <n v="585.79999999999995"/>
    <n v="1"/>
    <n v="604.79999999999995"/>
    <n v="0"/>
    <n v="0"/>
    <n v="0"/>
    <n v="0"/>
    <n v="0.22450000000000001"/>
    <n v="-0.99429999999999996"/>
    <n v="1E-4"/>
    <n v="-0.1371"/>
    <n v="0.18060000000000001"/>
    <n v="-1.5075000000000001"/>
    <n v="3"/>
    <n v="586.4"/>
    <n v="1"/>
    <n v="605.20000000000005"/>
    <n v="0"/>
    <n v="0"/>
    <n v="0"/>
    <n v="0"/>
    <n v="0"/>
  </r>
  <r>
    <x v="0"/>
    <x v="0"/>
    <s v="SPXW"/>
    <x v="5"/>
    <x v="272"/>
    <s v="p"/>
    <n v="0"/>
    <n v="0"/>
    <n v="0"/>
    <n v="0"/>
    <n v="0"/>
    <n v="1"/>
    <n v="685.7"/>
    <n v="1"/>
    <n v="704.7"/>
    <n v="0"/>
    <n v="0"/>
    <n v="0"/>
    <n v="0"/>
    <n v="0.25459999999999999"/>
    <n v="-0.99509999999999998"/>
    <n v="1E-4"/>
    <n v="-0.11890000000000001"/>
    <n v="0.15359999999999999"/>
    <n v="-1.5309999999999999"/>
    <n v="3"/>
    <n v="686.3"/>
    <n v="1"/>
    <n v="704.9"/>
    <n v="0"/>
    <n v="0"/>
    <n v="0"/>
    <n v="0"/>
    <n v="0"/>
  </r>
  <r>
    <x v="0"/>
    <x v="0"/>
    <s v="SPXW"/>
    <x v="5"/>
    <x v="273"/>
    <s v="p"/>
    <n v="0"/>
    <n v="0"/>
    <n v="0"/>
    <n v="0"/>
    <n v="0"/>
    <n v="1"/>
    <n v="784.7"/>
    <n v="1"/>
    <n v="804.6"/>
    <n v="0"/>
    <n v="0"/>
    <n v="0"/>
    <n v="0"/>
    <n v="0.45779999999999998"/>
    <n v="-0.94630000000000003"/>
    <n v="2.0000000000000001E-4"/>
    <n v="-3.1798999999999999"/>
    <n v="1.1031"/>
    <n v="-1.4890000000000001"/>
    <n v="3"/>
    <n v="786.2"/>
    <n v="1"/>
    <n v="805.1"/>
    <n v="0"/>
    <n v="0"/>
    <n v="0"/>
    <n v="0"/>
    <n v="0"/>
  </r>
  <r>
    <x v="0"/>
    <x v="0"/>
    <s v="SPXW"/>
    <x v="5"/>
    <x v="274"/>
    <s v="p"/>
    <n v="0"/>
    <n v="0"/>
    <n v="0"/>
    <n v="0"/>
    <n v="0"/>
    <n v="1"/>
    <n v="984.5"/>
    <n v="1"/>
    <n v="1004.3"/>
    <n v="0"/>
    <n v="0"/>
    <n v="0"/>
    <n v="0"/>
    <n v="0.54"/>
    <n v="-0.95379999999999998"/>
    <n v="2.0000000000000001E-4"/>
    <n v="-3.2698"/>
    <n v="0.97519999999999996"/>
    <n v="-1.5439000000000001"/>
    <n v="3"/>
    <n v="986.1"/>
    <n v="1"/>
    <n v="1004.8"/>
    <n v="0"/>
    <n v="0"/>
    <n v="0"/>
    <n v="0"/>
    <n v="0"/>
  </r>
  <r>
    <x v="0"/>
    <x v="0"/>
    <s v="SPXW"/>
    <x v="5"/>
    <x v="275"/>
    <s v="p"/>
    <n v="0"/>
    <n v="0"/>
    <n v="0"/>
    <n v="0"/>
    <n v="0"/>
    <n v="1"/>
    <n v="1184.4000000000001"/>
    <n v="1"/>
    <n v="1203.5"/>
    <n v="0"/>
    <n v="0"/>
    <n v="0"/>
    <n v="0"/>
    <n v="0.60509999999999997"/>
    <n v="-0.96240000000000003"/>
    <n v="1E-4"/>
    <n v="-3.0164"/>
    <n v="0.82199999999999995"/>
    <n v="-1.6006"/>
    <n v="1"/>
    <n v="1186.7"/>
    <n v="1"/>
    <n v="1209.8"/>
    <n v="0"/>
    <n v="0"/>
    <n v="0"/>
    <n v="0"/>
    <n v="0"/>
  </r>
  <r>
    <x v="0"/>
    <x v="0"/>
    <s v="SPXW"/>
    <x v="5"/>
    <x v="276"/>
    <s v="p"/>
    <n v="0"/>
    <n v="0"/>
    <n v="0"/>
    <n v="0"/>
    <n v="0"/>
    <n v="1"/>
    <n v="1384.2"/>
    <n v="1"/>
    <n v="1403.6"/>
    <n v="0"/>
    <n v="0"/>
    <n v="0"/>
    <n v="0"/>
    <n v="0.68989999999999996"/>
    <n v="-0.96360000000000001"/>
    <n v="1E-4"/>
    <n v="-3.3332000000000002"/>
    <n v="0.79800000000000004"/>
    <n v="-1.6467000000000001"/>
    <n v="1"/>
    <n v="1387.2"/>
    <n v="2"/>
    <n v="1409.7"/>
    <n v="0"/>
    <n v="0"/>
    <n v="0"/>
    <n v="0"/>
    <n v="0"/>
  </r>
  <r>
    <x v="0"/>
    <x v="0"/>
    <s v="SPXW"/>
    <x v="5"/>
    <x v="277"/>
    <s v="p"/>
    <n v="0"/>
    <n v="0"/>
    <n v="0"/>
    <n v="0"/>
    <n v="0"/>
    <n v="1"/>
    <n v="1584.1"/>
    <n v="1"/>
    <n v="1604.1"/>
    <n v="0"/>
    <n v="0"/>
    <n v="0"/>
    <n v="0"/>
    <n v="0.77080000000000004"/>
    <n v="-0.96479999999999999"/>
    <n v="1E-4"/>
    <n v="-3.6013999999999999"/>
    <n v="0.77439999999999998"/>
    <n v="-1.6931"/>
    <n v="3"/>
    <n v="1585.6"/>
    <n v="1"/>
    <n v="1604.8"/>
    <n v="0"/>
    <n v="0"/>
    <n v="0"/>
    <n v="0"/>
    <n v="0"/>
  </r>
  <r>
    <x v="0"/>
    <x v="0"/>
    <s v="SPXW"/>
    <x v="5"/>
    <x v="278"/>
    <s v="p"/>
    <n v="0"/>
    <n v="0"/>
    <n v="0"/>
    <n v="0"/>
    <n v="0"/>
    <n v="1"/>
    <n v="1784.8"/>
    <n v="1"/>
    <n v="1803.8"/>
    <n v="0"/>
    <n v="0"/>
    <n v="0"/>
    <n v="0"/>
    <n v="0.55330000000000001"/>
    <n v="-0.99790000000000001"/>
    <n v="0"/>
    <n v="0"/>
    <n v="6.8599999999999994E-2"/>
    <n v="-1.7803"/>
    <n v="1"/>
    <n v="1785.5"/>
    <n v="1"/>
    <n v="1804.1"/>
    <n v="0"/>
    <n v="0"/>
    <n v="0"/>
    <n v="0"/>
    <n v="0"/>
  </r>
  <r>
    <x v="0"/>
    <x v="0"/>
    <s v="SPXW"/>
    <x v="5"/>
    <x v="279"/>
    <s v="p"/>
    <n v="0"/>
    <n v="0"/>
    <n v="0"/>
    <n v="0"/>
    <n v="0"/>
    <n v="1"/>
    <n v="1984.4"/>
    <n v="1"/>
    <n v="2003.7"/>
    <n v="0"/>
    <n v="0"/>
    <n v="0"/>
    <n v="0"/>
    <n v="0.58389999999999997"/>
    <n v="-0.99850000000000005"/>
    <n v="0"/>
    <n v="0"/>
    <n v="4.8399999999999999E-2"/>
    <n v="-1.8258000000000001"/>
    <n v="3"/>
    <n v="1985.3"/>
    <n v="1"/>
    <n v="2003.9"/>
    <n v="0"/>
    <n v="0"/>
    <n v="0"/>
    <n v="0"/>
    <n v="0"/>
  </r>
  <r>
    <x v="0"/>
    <x v="0"/>
    <s v="SPXW"/>
    <x v="5"/>
    <x v="280"/>
    <s v="p"/>
    <n v="0"/>
    <n v="0"/>
    <n v="0"/>
    <n v="0"/>
    <n v="0"/>
    <n v="1"/>
    <n v="2184.5"/>
    <n v="1"/>
    <n v="2203.8000000000002"/>
    <n v="0"/>
    <n v="0"/>
    <n v="0"/>
    <n v="0"/>
    <n v="0.96689999999999998"/>
    <n v="-0.9718"/>
    <n v="1E-4"/>
    <n v="-3.6236000000000002"/>
    <n v="0.64159999999999995"/>
    <n v="-1.837"/>
    <n v="2"/>
    <n v="2185.1"/>
    <n v="1"/>
    <n v="2204.8000000000002"/>
    <n v="0"/>
    <n v="0"/>
    <n v="0"/>
    <n v="0"/>
    <n v="0"/>
  </r>
  <r>
    <x v="0"/>
    <x v="0"/>
    <s v="SPXW"/>
    <x v="6"/>
    <x v="1"/>
    <s v="p"/>
    <n v="0"/>
    <n v="0"/>
    <n v="0"/>
    <n v="0"/>
    <n v="0"/>
    <n v="0"/>
    <n v="0"/>
    <n v="489"/>
    <n v="0.05"/>
    <n v="0"/>
    <n v="0"/>
    <n v="0"/>
    <n v="0"/>
    <n v="1.7226999999999999"/>
    <n v="-1E-4"/>
    <n v="0"/>
    <n v="-1.7500000000000002E-2"/>
    <n v="2.5999999999999999E-3"/>
    <n v="-1E-4"/>
    <n v="0"/>
    <n v="0"/>
    <n v="415"/>
    <n v="0.1"/>
    <n v="0"/>
    <n v="0"/>
    <n v="0"/>
    <n v="1"/>
    <n v="0"/>
  </r>
  <r>
    <x v="0"/>
    <x v="0"/>
    <s v="SPXW"/>
    <x v="6"/>
    <x v="2"/>
    <s v="p"/>
    <n v="0"/>
    <n v="0"/>
    <n v="0"/>
    <n v="0"/>
    <n v="0"/>
    <n v="0"/>
    <n v="0"/>
    <n v="505"/>
    <n v="0.05"/>
    <n v="0"/>
    <n v="0"/>
    <n v="0"/>
    <n v="0"/>
    <n v="1.6008"/>
    <n v="-1E-4"/>
    <n v="0"/>
    <n v="-1.7500000000000002E-2"/>
    <n v="2.8E-3"/>
    <n v="-1E-4"/>
    <n v="0"/>
    <n v="0"/>
    <n v="440"/>
    <n v="0.1"/>
    <n v="0"/>
    <n v="0"/>
    <n v="0"/>
    <n v="10"/>
    <n v="0"/>
  </r>
  <r>
    <x v="0"/>
    <x v="0"/>
    <s v="SPXW"/>
    <x v="6"/>
    <x v="3"/>
    <s v="p"/>
    <n v="0"/>
    <n v="0"/>
    <n v="0"/>
    <n v="0"/>
    <n v="0"/>
    <n v="0"/>
    <n v="0"/>
    <n v="485"/>
    <n v="0.05"/>
    <n v="0"/>
    <n v="0"/>
    <n v="0"/>
    <n v="0"/>
    <n v="1.4866999999999999"/>
    <n v="-1E-4"/>
    <n v="0"/>
    <n v="-1.7399999999999999E-2"/>
    <n v="3.0000000000000001E-3"/>
    <n v="-1E-4"/>
    <n v="0"/>
    <n v="0"/>
    <n v="432"/>
    <n v="0.1"/>
    <n v="0"/>
    <n v="0"/>
    <n v="0"/>
    <n v="3"/>
    <n v="0"/>
  </r>
  <r>
    <x v="0"/>
    <x v="0"/>
    <s v="SPXW"/>
    <x v="6"/>
    <x v="4"/>
    <s v="p"/>
    <n v="0"/>
    <n v="0"/>
    <n v="0"/>
    <n v="0"/>
    <n v="0"/>
    <n v="0"/>
    <n v="0"/>
    <n v="428"/>
    <n v="0.05"/>
    <n v="0"/>
    <n v="0"/>
    <n v="0"/>
    <n v="0"/>
    <n v="1.3794"/>
    <n v="-1E-4"/>
    <n v="0"/>
    <n v="-1.7399999999999999E-2"/>
    <n v="3.2000000000000002E-3"/>
    <n v="-1E-4"/>
    <n v="0"/>
    <n v="0"/>
    <n v="423"/>
    <n v="0.1"/>
    <n v="0"/>
    <n v="0"/>
    <n v="0"/>
    <n v="7"/>
    <n v="0"/>
  </r>
  <r>
    <x v="0"/>
    <x v="0"/>
    <s v="SPXW"/>
    <x v="6"/>
    <x v="5"/>
    <s v="p"/>
    <n v="0.05"/>
    <n v="0.05"/>
    <n v="0.05"/>
    <n v="0.05"/>
    <n v="1"/>
    <n v="0"/>
    <n v="0"/>
    <n v="430"/>
    <n v="0.05"/>
    <n v="0"/>
    <n v="0"/>
    <n v="0"/>
    <n v="0"/>
    <n v="1.2783"/>
    <n v="-1E-4"/>
    <n v="0"/>
    <n v="-1.7299999999999999E-2"/>
    <n v="3.3999999999999998E-3"/>
    <n v="-1E-4"/>
    <n v="0"/>
    <n v="0"/>
    <n v="412"/>
    <n v="0.1"/>
    <n v="0"/>
    <n v="0"/>
    <n v="0.05"/>
    <n v="12"/>
    <n v="0"/>
  </r>
  <r>
    <x v="0"/>
    <x v="0"/>
    <s v="SPXW"/>
    <x v="6"/>
    <x v="6"/>
    <s v="p"/>
    <n v="0"/>
    <n v="0"/>
    <n v="0"/>
    <n v="0"/>
    <n v="0"/>
    <n v="0"/>
    <n v="0"/>
    <n v="395"/>
    <n v="0.05"/>
    <n v="0"/>
    <n v="0"/>
    <n v="0"/>
    <n v="0"/>
    <n v="1.1825000000000001"/>
    <n v="-1E-4"/>
    <n v="0"/>
    <n v="-1.7299999999999999E-2"/>
    <n v="3.7000000000000002E-3"/>
    <n v="-1E-4"/>
    <n v="0"/>
    <n v="0"/>
    <n v="401"/>
    <n v="0.1"/>
    <n v="0"/>
    <n v="0"/>
    <n v="0"/>
    <n v="150"/>
    <n v="0"/>
  </r>
  <r>
    <x v="0"/>
    <x v="0"/>
    <s v="SPXW"/>
    <x v="6"/>
    <x v="7"/>
    <s v="p"/>
    <n v="0"/>
    <n v="0"/>
    <n v="0"/>
    <n v="0"/>
    <n v="0"/>
    <n v="0"/>
    <n v="0"/>
    <n v="319"/>
    <n v="0.05"/>
    <n v="0"/>
    <n v="0"/>
    <n v="0"/>
    <n v="0"/>
    <n v="1.0914999999999999"/>
    <n v="-1E-4"/>
    <n v="0"/>
    <n v="-1.72E-2"/>
    <n v="4.0000000000000001E-3"/>
    <n v="-2.0000000000000001E-4"/>
    <n v="0"/>
    <n v="0"/>
    <n v="387"/>
    <n v="0.1"/>
    <n v="0"/>
    <n v="0"/>
    <n v="0"/>
    <n v="131"/>
    <n v="0"/>
  </r>
  <r>
    <x v="0"/>
    <x v="0"/>
    <s v="SPXW"/>
    <x v="6"/>
    <x v="8"/>
    <s v="p"/>
    <n v="0"/>
    <n v="0"/>
    <n v="0"/>
    <n v="0"/>
    <n v="0"/>
    <n v="0"/>
    <n v="0"/>
    <n v="248"/>
    <n v="0.05"/>
    <n v="0"/>
    <n v="0"/>
    <n v="0"/>
    <n v="0"/>
    <n v="1.0046999999999999"/>
    <n v="-1E-4"/>
    <n v="0"/>
    <n v="-1.72E-2"/>
    <n v="4.4000000000000003E-3"/>
    <n v="-2.0000000000000001E-4"/>
    <n v="0"/>
    <n v="0"/>
    <n v="365"/>
    <n v="0.1"/>
    <n v="0"/>
    <n v="0"/>
    <n v="0"/>
    <n v="1043"/>
    <n v="0"/>
  </r>
  <r>
    <x v="0"/>
    <x v="0"/>
    <s v="SPXW"/>
    <x v="6"/>
    <x v="9"/>
    <s v="p"/>
    <n v="0"/>
    <n v="0"/>
    <n v="0"/>
    <n v="0"/>
    <n v="0"/>
    <n v="0"/>
    <n v="0"/>
    <n v="142"/>
    <n v="0.05"/>
    <n v="0"/>
    <n v="0"/>
    <n v="0"/>
    <n v="0"/>
    <n v="0.92190000000000005"/>
    <n v="-1E-4"/>
    <n v="0"/>
    <n v="-1.7100000000000001E-2"/>
    <n v="4.7999999999999996E-3"/>
    <n v="-2.0000000000000001E-4"/>
    <n v="0"/>
    <n v="0"/>
    <n v="345"/>
    <n v="0.1"/>
    <n v="0"/>
    <n v="0"/>
    <n v="0"/>
    <n v="17"/>
    <n v="0"/>
  </r>
  <r>
    <x v="0"/>
    <x v="0"/>
    <s v="SPXW"/>
    <x v="6"/>
    <x v="10"/>
    <s v="p"/>
    <n v="0"/>
    <n v="0"/>
    <n v="0"/>
    <n v="0"/>
    <n v="0"/>
    <n v="0"/>
    <n v="0"/>
    <n v="1"/>
    <n v="0.05"/>
    <n v="0"/>
    <n v="0"/>
    <n v="0"/>
    <n v="0"/>
    <n v="0.84250000000000003"/>
    <n v="-1E-4"/>
    <n v="0"/>
    <n v="-1.7000000000000001E-2"/>
    <n v="5.1999999999999998E-3"/>
    <n v="-2.0000000000000001E-4"/>
    <n v="0"/>
    <n v="0"/>
    <n v="1"/>
    <n v="0.05"/>
    <n v="0"/>
    <n v="0"/>
    <n v="0"/>
    <n v="78"/>
    <n v="0"/>
  </r>
  <r>
    <x v="0"/>
    <x v="0"/>
    <s v="SPXW"/>
    <x v="6"/>
    <x v="11"/>
    <s v="p"/>
    <n v="0"/>
    <n v="0"/>
    <n v="0"/>
    <n v="0"/>
    <n v="0"/>
    <n v="0"/>
    <n v="0"/>
    <n v="646"/>
    <n v="0.1"/>
    <n v="0"/>
    <n v="0"/>
    <n v="0"/>
    <n v="0"/>
    <n v="0.80169999999999997"/>
    <n v="-2.9999999999999997E-4"/>
    <n v="0"/>
    <n v="-3.2500000000000001E-2"/>
    <n v="0.01"/>
    <n v="-4.0000000000000002E-4"/>
    <n v="0"/>
    <n v="0"/>
    <n v="25"/>
    <n v="0.05"/>
    <n v="0"/>
    <n v="0"/>
    <n v="0"/>
    <n v="335"/>
    <n v="0"/>
  </r>
  <r>
    <x v="0"/>
    <x v="0"/>
    <s v="SPXW"/>
    <x v="6"/>
    <x v="12"/>
    <s v="p"/>
    <n v="0.05"/>
    <n v="7.0000000000000007E-2"/>
    <n v="0.05"/>
    <n v="0.05"/>
    <n v="38"/>
    <n v="0"/>
    <n v="0"/>
    <n v="275"/>
    <n v="0.1"/>
    <n v="0"/>
    <n v="0"/>
    <n v="0"/>
    <n v="0"/>
    <n v="0.72529999999999994"/>
    <n v="-2.9999999999999997E-4"/>
    <n v="0"/>
    <n v="-3.2300000000000002E-2"/>
    <n v="1.0999999999999999E-2"/>
    <n v="-4.0000000000000002E-4"/>
    <n v="10"/>
    <n v="0.05"/>
    <n v="1"/>
    <n v="0.1"/>
    <n v="0"/>
    <n v="0"/>
    <n v="5.6800000000000003E-2"/>
    <n v="171"/>
    <n v="0"/>
  </r>
  <r>
    <x v="0"/>
    <x v="0"/>
    <s v="SPXW"/>
    <x v="6"/>
    <x v="14"/>
    <s v="p"/>
    <n v="0.1"/>
    <n v="0.1"/>
    <n v="0.1"/>
    <n v="0.1"/>
    <n v="1"/>
    <n v="5"/>
    <n v="0.05"/>
    <n v="559"/>
    <n v="0.15"/>
    <n v="0"/>
    <n v="0"/>
    <n v="0"/>
    <n v="0"/>
    <n v="0.68500000000000005"/>
    <n v="-5.9999999999999995E-4"/>
    <n v="0"/>
    <n v="-6.0999999999999999E-2"/>
    <n v="2.1000000000000001E-2"/>
    <n v="-8.0000000000000004E-4"/>
    <n v="5"/>
    <n v="0.05"/>
    <n v="268"/>
    <n v="0.15"/>
    <n v="0"/>
    <n v="0"/>
    <n v="0.1"/>
    <n v="1031"/>
    <n v="0"/>
  </r>
  <r>
    <x v="0"/>
    <x v="0"/>
    <s v="SPXW"/>
    <x v="6"/>
    <x v="15"/>
    <s v="p"/>
    <n v="0"/>
    <n v="0"/>
    <n v="0"/>
    <n v="0"/>
    <n v="0"/>
    <n v="0"/>
    <n v="0"/>
    <n v="353"/>
    <n v="0.15"/>
    <n v="0"/>
    <n v="0"/>
    <n v="0"/>
    <n v="0"/>
    <n v="0.63380000000000003"/>
    <n v="-5.0000000000000001E-4"/>
    <n v="0"/>
    <n v="-4.6600000000000003E-2"/>
    <n v="1.77E-2"/>
    <n v="-6.9999999999999999E-4"/>
    <n v="0"/>
    <n v="0"/>
    <n v="195"/>
    <n v="0.15"/>
    <n v="0"/>
    <n v="0"/>
    <n v="0"/>
    <n v="678"/>
    <n v="0"/>
  </r>
  <r>
    <x v="0"/>
    <x v="0"/>
    <s v="SPXW"/>
    <x v="6"/>
    <x v="16"/>
    <s v="p"/>
    <n v="0"/>
    <n v="0"/>
    <n v="0"/>
    <n v="0"/>
    <n v="0"/>
    <n v="279"/>
    <n v="0.05"/>
    <n v="188"/>
    <n v="0.15"/>
    <n v="0"/>
    <n v="0"/>
    <n v="0"/>
    <n v="0"/>
    <n v="0.61050000000000004"/>
    <n v="-5.9999999999999995E-4"/>
    <n v="0"/>
    <n v="-6.0499999999999998E-2"/>
    <n v="2.3400000000000001E-2"/>
    <n v="-8.9999999999999998E-4"/>
    <n v="0"/>
    <n v="0"/>
    <n v="324"/>
    <n v="0.2"/>
    <n v="0"/>
    <n v="0"/>
    <n v="0"/>
    <n v="138"/>
    <n v="0"/>
  </r>
  <r>
    <x v="0"/>
    <x v="0"/>
    <s v="SPXW"/>
    <x v="6"/>
    <x v="18"/>
    <s v="p"/>
    <n v="0"/>
    <n v="0"/>
    <n v="0"/>
    <n v="0"/>
    <n v="0"/>
    <n v="654"/>
    <n v="0.05"/>
    <n v="547"/>
    <n v="0.2"/>
    <n v="0"/>
    <n v="0"/>
    <n v="0"/>
    <n v="0"/>
    <n v="0.58420000000000005"/>
    <n v="-8.0000000000000004E-4"/>
    <n v="0"/>
    <n v="-7.3899999999999993E-2"/>
    <n v="2.9399999999999999E-2"/>
    <n v="-1.1999999999999999E-3"/>
    <n v="222"/>
    <n v="0.05"/>
    <n v="201"/>
    <n v="0.2"/>
    <n v="0"/>
    <n v="0"/>
    <n v="0"/>
    <n v="204"/>
    <n v="0"/>
  </r>
  <r>
    <x v="0"/>
    <x v="0"/>
    <s v="SPXW"/>
    <x v="6"/>
    <x v="22"/>
    <s v="p"/>
    <n v="0.14000000000000001"/>
    <n v="0.14000000000000001"/>
    <n v="0.14000000000000001"/>
    <n v="0.14000000000000001"/>
    <n v="60"/>
    <n v="172"/>
    <n v="0.1"/>
    <n v="314"/>
    <n v="0.2"/>
    <n v="0"/>
    <n v="0"/>
    <n v="0"/>
    <n v="0"/>
    <n v="0.55569999999999997"/>
    <n v="-1E-3"/>
    <n v="0"/>
    <n v="-8.6900000000000005E-2"/>
    <n v="3.61E-2"/>
    <n v="-1.5E-3"/>
    <n v="144"/>
    <n v="0.05"/>
    <n v="313"/>
    <n v="0.25"/>
    <n v="0"/>
    <n v="0"/>
    <n v="0.14000000000000001"/>
    <n v="1002"/>
    <n v="0"/>
  </r>
  <r>
    <x v="0"/>
    <x v="0"/>
    <s v="SPXW"/>
    <x v="6"/>
    <x v="26"/>
    <s v="p"/>
    <n v="0.14000000000000001"/>
    <n v="0.15"/>
    <n v="0.14000000000000001"/>
    <n v="0.15"/>
    <n v="2"/>
    <n v="588"/>
    <n v="0.1"/>
    <n v="394"/>
    <n v="0.25"/>
    <n v="0"/>
    <n v="0"/>
    <n v="0"/>
    <n v="0"/>
    <n v="0.52639999999999998"/>
    <n v="-1.1999999999999999E-3"/>
    <n v="0"/>
    <n v="-9.9500000000000005E-2"/>
    <n v="4.3099999999999999E-2"/>
    <n v="-1.8E-3"/>
    <n v="45"/>
    <n v="0.1"/>
    <n v="197"/>
    <n v="0.25"/>
    <n v="0"/>
    <n v="0"/>
    <n v="0.14499999999999999"/>
    <n v="335"/>
    <n v="0"/>
  </r>
  <r>
    <x v="0"/>
    <x v="0"/>
    <s v="SPXW"/>
    <x v="6"/>
    <x v="27"/>
    <s v="p"/>
    <n v="0"/>
    <n v="0"/>
    <n v="0"/>
    <n v="0"/>
    <n v="0"/>
    <n v="476"/>
    <n v="0.1"/>
    <n v="331"/>
    <n v="0.25"/>
    <n v="0"/>
    <n v="0"/>
    <n v="0"/>
    <n v="0"/>
    <n v="0.51729999999999998"/>
    <n v="-1.1999999999999999E-3"/>
    <n v="0"/>
    <n v="-9.9299999999999999E-2"/>
    <n v="4.3799999999999999E-2"/>
    <n v="-1.8E-3"/>
    <n v="73"/>
    <n v="0.1"/>
    <n v="202"/>
    <n v="0.25"/>
    <n v="0"/>
    <n v="0"/>
    <n v="0"/>
    <n v="179"/>
    <n v="0"/>
  </r>
  <r>
    <x v="0"/>
    <x v="0"/>
    <s v="SPXW"/>
    <x v="6"/>
    <x v="28"/>
    <s v="p"/>
    <n v="0"/>
    <n v="0"/>
    <n v="0"/>
    <n v="0"/>
    <n v="0"/>
    <n v="676"/>
    <n v="0.1"/>
    <n v="203"/>
    <n v="0.25"/>
    <n v="0"/>
    <n v="0"/>
    <n v="0"/>
    <n v="0"/>
    <n v="0.50819999999999999"/>
    <n v="-1.1999999999999999E-3"/>
    <n v="0"/>
    <n v="-9.9199999999999997E-2"/>
    <n v="4.4499999999999998E-2"/>
    <n v="-1.9E-3"/>
    <n v="133"/>
    <n v="0.1"/>
    <n v="289"/>
    <n v="0.3"/>
    <n v="0"/>
    <n v="0"/>
    <n v="0"/>
    <n v="181"/>
    <n v="0"/>
  </r>
  <r>
    <x v="0"/>
    <x v="0"/>
    <s v="SPXW"/>
    <x v="6"/>
    <x v="29"/>
    <s v="p"/>
    <n v="0"/>
    <n v="0"/>
    <n v="0"/>
    <n v="0"/>
    <n v="0"/>
    <n v="303"/>
    <n v="0.15"/>
    <n v="471"/>
    <n v="0.3"/>
    <n v="0"/>
    <n v="0"/>
    <n v="0"/>
    <n v="0"/>
    <n v="0.5101"/>
    <n v="-1.5E-3"/>
    <n v="0"/>
    <n v="-0.1244"/>
    <n v="5.4699999999999999E-2"/>
    <n v="-2.3E-3"/>
    <n v="144"/>
    <n v="0.1"/>
    <n v="249"/>
    <n v="0.3"/>
    <n v="0"/>
    <n v="0"/>
    <n v="0"/>
    <n v="155"/>
    <n v="0"/>
  </r>
  <r>
    <x v="0"/>
    <x v="0"/>
    <s v="SPXW"/>
    <x v="6"/>
    <x v="30"/>
    <s v="p"/>
    <n v="0.19"/>
    <n v="0.3"/>
    <n v="0.19"/>
    <n v="0.3"/>
    <n v="5"/>
    <n v="511"/>
    <n v="0.15"/>
    <n v="405"/>
    <n v="0.3"/>
    <n v="0"/>
    <n v="0"/>
    <n v="0"/>
    <n v="0"/>
    <n v="0.50090000000000001"/>
    <n v="-1.6000000000000001E-3"/>
    <n v="0"/>
    <n v="-0.1242"/>
    <n v="5.5599999999999997E-2"/>
    <n v="-2.3999999999999998E-3"/>
    <n v="152"/>
    <n v="0.1"/>
    <n v="208"/>
    <n v="0.3"/>
    <n v="0"/>
    <n v="0"/>
    <n v="0.25800000000000001"/>
    <n v="287"/>
    <n v="0"/>
  </r>
  <r>
    <x v="0"/>
    <x v="0"/>
    <s v="SPXW"/>
    <x v="6"/>
    <x v="31"/>
    <s v="p"/>
    <n v="0"/>
    <n v="0"/>
    <n v="0"/>
    <n v="0"/>
    <n v="0"/>
    <n v="402"/>
    <n v="0.15"/>
    <n v="331"/>
    <n v="0.3"/>
    <n v="0"/>
    <n v="0"/>
    <n v="0"/>
    <n v="0"/>
    <n v="0.49170000000000003"/>
    <n v="-1.6000000000000001E-3"/>
    <n v="0"/>
    <n v="-0.124"/>
    <n v="5.6599999999999998E-2"/>
    <n v="-2.3999999999999998E-3"/>
    <n v="18"/>
    <n v="0.15"/>
    <n v="174"/>
    <n v="0.3"/>
    <n v="0"/>
    <n v="0"/>
    <n v="0"/>
    <n v="7"/>
    <n v="0"/>
  </r>
  <r>
    <x v="0"/>
    <x v="0"/>
    <s v="SPXW"/>
    <x v="6"/>
    <x v="32"/>
    <s v="p"/>
    <n v="0"/>
    <n v="0"/>
    <n v="0"/>
    <n v="0"/>
    <n v="0"/>
    <n v="621"/>
    <n v="0.15"/>
    <n v="428"/>
    <n v="0.3"/>
    <n v="0"/>
    <n v="0"/>
    <n v="0"/>
    <n v="0"/>
    <n v="0.48259999999999997"/>
    <n v="-1.6000000000000001E-3"/>
    <n v="0"/>
    <n v="-0.12379999999999999"/>
    <n v="5.7599999999999998E-2"/>
    <n v="-2.5000000000000001E-3"/>
    <n v="59"/>
    <n v="0.15"/>
    <n v="169"/>
    <n v="0.3"/>
    <n v="0"/>
    <n v="0"/>
    <n v="0"/>
    <n v="57"/>
    <n v="0"/>
  </r>
  <r>
    <x v="0"/>
    <x v="0"/>
    <s v="SPXW"/>
    <x v="6"/>
    <x v="33"/>
    <s v="p"/>
    <n v="0"/>
    <n v="0"/>
    <n v="0"/>
    <n v="0"/>
    <n v="0"/>
    <n v="170"/>
    <n v="0.2"/>
    <n v="182"/>
    <n v="0.3"/>
    <n v="0"/>
    <n v="0"/>
    <n v="0"/>
    <n v="0"/>
    <n v="0.47760000000000002"/>
    <n v="-1.8E-3"/>
    <n v="0"/>
    <n v="-0.13589999999999999"/>
    <n v="6.3500000000000001E-2"/>
    <n v="-2.7000000000000001E-3"/>
    <n v="66"/>
    <n v="0.15"/>
    <n v="165"/>
    <n v="0.3"/>
    <n v="0"/>
    <n v="0"/>
    <n v="0"/>
    <n v="19"/>
    <n v="0"/>
  </r>
  <r>
    <x v="0"/>
    <x v="0"/>
    <s v="SPXW"/>
    <x v="6"/>
    <x v="34"/>
    <s v="p"/>
    <n v="0.23"/>
    <n v="0.37"/>
    <n v="0.2"/>
    <n v="0.27"/>
    <n v="44"/>
    <n v="230"/>
    <n v="0.2"/>
    <n v="178"/>
    <n v="0.3"/>
    <n v="0"/>
    <n v="0"/>
    <n v="0"/>
    <n v="0"/>
    <n v="0.46870000000000001"/>
    <n v="-1.8E-3"/>
    <n v="0"/>
    <n v="-0.1356"/>
    <n v="6.4600000000000005E-2"/>
    <n v="-2.8E-3"/>
    <n v="136"/>
    <n v="0.15"/>
    <n v="232"/>
    <n v="0.35"/>
    <n v="0"/>
    <n v="0"/>
    <n v="0.26390000000000002"/>
    <n v="207"/>
    <n v="0"/>
  </r>
  <r>
    <x v="0"/>
    <x v="0"/>
    <s v="SPXW"/>
    <x v="6"/>
    <x v="35"/>
    <s v="p"/>
    <n v="0.25"/>
    <n v="0.25"/>
    <n v="0.25"/>
    <n v="0.25"/>
    <n v="1"/>
    <n v="533"/>
    <n v="0.2"/>
    <n v="292"/>
    <n v="0.35"/>
    <n v="0"/>
    <n v="0"/>
    <n v="0"/>
    <n v="0"/>
    <n v="0.46339999999999998"/>
    <n v="-2E-3"/>
    <n v="0"/>
    <n v="-0.14749999999999999"/>
    <n v="7.0599999999999996E-2"/>
    <n v="-3.0999999999999999E-3"/>
    <n v="147"/>
    <n v="0.15"/>
    <n v="167"/>
    <n v="0.35"/>
    <n v="0"/>
    <n v="0"/>
    <n v="0.25"/>
    <n v="281"/>
    <n v="0"/>
  </r>
  <r>
    <x v="0"/>
    <x v="0"/>
    <s v="SPXW"/>
    <x v="6"/>
    <x v="36"/>
    <s v="p"/>
    <n v="0.3"/>
    <n v="0.3"/>
    <n v="0.3"/>
    <n v="0.3"/>
    <n v="1"/>
    <n v="593"/>
    <n v="0.2"/>
    <n v="181"/>
    <n v="0.35"/>
    <n v="0"/>
    <n v="0"/>
    <n v="0"/>
    <n v="0"/>
    <n v="0.4546"/>
    <n v="-2E-3"/>
    <n v="0"/>
    <n v="-0.1472"/>
    <n v="7.1900000000000006E-2"/>
    <n v="-3.0999999999999999E-3"/>
    <n v="159"/>
    <n v="0.15"/>
    <n v="153"/>
    <n v="0.35"/>
    <n v="0"/>
    <n v="0"/>
    <n v="0.3"/>
    <n v="280"/>
    <n v="0"/>
  </r>
  <r>
    <x v="0"/>
    <x v="0"/>
    <s v="SPXW"/>
    <x v="6"/>
    <x v="37"/>
    <s v="p"/>
    <n v="0.25"/>
    <n v="0.25"/>
    <n v="0.25"/>
    <n v="0.25"/>
    <n v="1"/>
    <n v="165"/>
    <n v="0.25"/>
    <n v="167"/>
    <n v="0.35"/>
    <n v="0"/>
    <n v="0"/>
    <n v="0"/>
    <n v="0"/>
    <n v="0.4491"/>
    <n v="-2.2000000000000001E-3"/>
    <n v="0"/>
    <n v="-0.1588"/>
    <n v="7.8E-2"/>
    <n v="-3.3999999999999998E-3"/>
    <n v="59"/>
    <n v="0.2"/>
    <n v="150"/>
    <n v="0.35"/>
    <n v="0"/>
    <n v="0"/>
    <n v="0.25"/>
    <n v="47"/>
    <n v="0"/>
  </r>
  <r>
    <x v="0"/>
    <x v="0"/>
    <s v="SPXW"/>
    <x v="6"/>
    <x v="38"/>
    <s v="p"/>
    <n v="0.35"/>
    <n v="0.37"/>
    <n v="0.35"/>
    <n v="0.37"/>
    <n v="6"/>
    <n v="264"/>
    <n v="0.25"/>
    <n v="134"/>
    <n v="0.35"/>
    <n v="0"/>
    <n v="0"/>
    <n v="0"/>
    <n v="0"/>
    <n v="0.43980000000000002"/>
    <n v="-2.3E-3"/>
    <n v="0"/>
    <n v="-0.1585"/>
    <n v="7.9500000000000001E-2"/>
    <n v="-3.5000000000000001E-3"/>
    <n v="131"/>
    <n v="0.2"/>
    <n v="146"/>
    <n v="0.35"/>
    <n v="0"/>
    <n v="0"/>
    <n v="0.36"/>
    <n v="174"/>
    <n v="0"/>
  </r>
  <r>
    <x v="0"/>
    <x v="0"/>
    <s v="SPXW"/>
    <x v="6"/>
    <x v="39"/>
    <s v="p"/>
    <n v="0"/>
    <n v="0"/>
    <n v="0"/>
    <n v="0"/>
    <n v="0"/>
    <n v="369"/>
    <n v="0.25"/>
    <n v="393"/>
    <n v="0.4"/>
    <n v="0"/>
    <n v="0"/>
    <n v="0"/>
    <n v="0"/>
    <n v="0.434"/>
    <n v="-2.5000000000000001E-3"/>
    <n v="0"/>
    <n v="-0.17"/>
    <n v="8.5800000000000001E-2"/>
    <n v="-3.8E-3"/>
    <n v="142"/>
    <n v="0.2"/>
    <n v="142"/>
    <n v="0.4"/>
    <n v="0"/>
    <n v="0"/>
    <n v="0"/>
    <n v="31"/>
    <n v="0"/>
  </r>
  <r>
    <x v="0"/>
    <x v="0"/>
    <s v="SPXW"/>
    <x v="6"/>
    <x v="40"/>
    <s v="p"/>
    <n v="0"/>
    <n v="0"/>
    <n v="0"/>
    <n v="0"/>
    <n v="0"/>
    <n v="432"/>
    <n v="0.25"/>
    <n v="157"/>
    <n v="0.4"/>
    <n v="0"/>
    <n v="0"/>
    <n v="0"/>
    <n v="0"/>
    <n v="0.42480000000000001"/>
    <n v="-2.5000000000000001E-3"/>
    <n v="0"/>
    <n v="-0.1696"/>
    <n v="8.7499999999999994E-2"/>
    <n v="-3.8999999999999998E-3"/>
    <n v="53"/>
    <n v="0.25"/>
    <n v="149"/>
    <n v="0.4"/>
    <n v="0"/>
    <n v="0"/>
    <n v="0"/>
    <n v="48"/>
    <n v="0"/>
  </r>
  <r>
    <x v="0"/>
    <x v="0"/>
    <s v="SPXW"/>
    <x v="6"/>
    <x v="41"/>
    <s v="p"/>
    <n v="0.5"/>
    <n v="0.5"/>
    <n v="0.5"/>
    <n v="0.5"/>
    <n v="40"/>
    <n v="405"/>
    <n v="0.3"/>
    <n v="124"/>
    <n v="0.4"/>
    <n v="0"/>
    <n v="0"/>
    <n v="0"/>
    <n v="0"/>
    <n v="0.41860000000000003"/>
    <n v="-2.7000000000000001E-3"/>
    <n v="0"/>
    <n v="-0.18079999999999999"/>
    <n v="9.4299999999999995E-2"/>
    <n v="-4.1999999999999997E-3"/>
    <n v="56"/>
    <n v="0.25"/>
    <n v="136"/>
    <n v="0.4"/>
    <n v="0"/>
    <n v="0"/>
    <n v="0.5"/>
    <n v="239"/>
    <n v="0"/>
  </r>
  <r>
    <x v="0"/>
    <x v="0"/>
    <s v="SPXW"/>
    <x v="6"/>
    <x v="42"/>
    <s v="p"/>
    <n v="0.4"/>
    <n v="0.4"/>
    <n v="0.4"/>
    <n v="0.4"/>
    <n v="1"/>
    <n v="518"/>
    <n v="0.3"/>
    <n v="366"/>
    <n v="0.45"/>
    <n v="0"/>
    <n v="0"/>
    <n v="0"/>
    <n v="0"/>
    <n v="0.4123"/>
    <n v="-3.0000000000000001E-3"/>
    <n v="0"/>
    <n v="-0.1918"/>
    <n v="0.1012"/>
    <n v="-4.5999999999999999E-3"/>
    <n v="135"/>
    <n v="0.25"/>
    <n v="132"/>
    <n v="0.45"/>
    <n v="0"/>
    <n v="0"/>
    <n v="0.4"/>
    <n v="283"/>
    <n v="0"/>
  </r>
  <r>
    <x v="0"/>
    <x v="0"/>
    <s v="SPXW"/>
    <x v="6"/>
    <x v="43"/>
    <s v="p"/>
    <n v="0.55000000000000004"/>
    <n v="0.55000000000000004"/>
    <n v="0.55000000000000004"/>
    <n v="0.55000000000000004"/>
    <n v="90"/>
    <n v="147"/>
    <n v="0.35"/>
    <n v="147"/>
    <n v="0.45"/>
    <n v="0"/>
    <n v="0"/>
    <n v="0"/>
    <n v="0"/>
    <n v="0.40560000000000002"/>
    <n v="-3.2000000000000002E-3"/>
    <n v="0"/>
    <n v="-0.2026"/>
    <n v="0.10829999999999999"/>
    <n v="-4.8999999999999998E-3"/>
    <n v="51"/>
    <n v="0.3"/>
    <n v="129"/>
    <n v="0.45"/>
    <n v="0"/>
    <n v="0"/>
    <n v="0.55000000000000004"/>
    <n v="94"/>
    <n v="0"/>
  </r>
  <r>
    <x v="0"/>
    <x v="0"/>
    <s v="SPXW"/>
    <x v="6"/>
    <x v="44"/>
    <s v="p"/>
    <n v="0.5"/>
    <n v="0.5"/>
    <n v="0.47"/>
    <n v="0.47"/>
    <n v="16"/>
    <n v="455"/>
    <n v="0.35"/>
    <n v="238"/>
    <n v="0.5"/>
    <n v="0"/>
    <n v="0"/>
    <n v="0"/>
    <n v="0"/>
    <n v="0.39879999999999999"/>
    <n v="-3.3999999999999998E-3"/>
    <n v="0"/>
    <n v="-0.21329999999999999"/>
    <n v="0.1154"/>
    <n v="-5.3E-3"/>
    <n v="59"/>
    <n v="0.3"/>
    <n v="146"/>
    <n v="0.5"/>
    <n v="0"/>
    <n v="0"/>
    <n v="0.47560000000000002"/>
    <n v="74"/>
    <n v="0"/>
  </r>
  <r>
    <x v="0"/>
    <x v="0"/>
    <s v="SPXW"/>
    <x v="6"/>
    <x v="45"/>
    <s v="p"/>
    <n v="0.38"/>
    <n v="0.5"/>
    <n v="0.35"/>
    <n v="0.5"/>
    <n v="11"/>
    <n v="432"/>
    <n v="0.35"/>
    <n v="142"/>
    <n v="0.5"/>
    <n v="0"/>
    <n v="0"/>
    <n v="0"/>
    <n v="0"/>
    <n v="0.38950000000000001"/>
    <n v="-3.5000000000000001E-3"/>
    <n v="0"/>
    <n v="-0.2127"/>
    <n v="0.1179"/>
    <n v="-5.4000000000000003E-3"/>
    <n v="50"/>
    <n v="0.35"/>
    <n v="123"/>
    <n v="0.5"/>
    <n v="0"/>
    <n v="0"/>
    <n v="0.43730000000000002"/>
    <n v="22"/>
    <n v="0"/>
  </r>
  <r>
    <x v="0"/>
    <x v="0"/>
    <s v="SPXW"/>
    <x v="6"/>
    <x v="46"/>
    <s v="p"/>
    <n v="0.42"/>
    <n v="0.52"/>
    <n v="0.37"/>
    <n v="0.52"/>
    <n v="47"/>
    <n v="451"/>
    <n v="0.4"/>
    <n v="266"/>
    <n v="0.55000000000000004"/>
    <n v="0"/>
    <n v="0"/>
    <n v="0"/>
    <n v="0"/>
    <n v="0.38469999999999999"/>
    <n v="-3.8999999999999998E-3"/>
    <n v="0"/>
    <n v="-0.2341"/>
    <n v="0.13020000000000001"/>
    <n v="-6.0000000000000001E-3"/>
    <n v="50"/>
    <n v="0.35"/>
    <n v="326"/>
    <n v="0.55000000000000004"/>
    <n v="0"/>
    <n v="0"/>
    <n v="0.41639999999999999"/>
    <n v="103"/>
    <n v="0"/>
  </r>
  <r>
    <x v="0"/>
    <x v="0"/>
    <s v="SPXW"/>
    <x v="6"/>
    <x v="47"/>
    <s v="p"/>
    <n v="0"/>
    <n v="0"/>
    <n v="0"/>
    <n v="0"/>
    <n v="0"/>
    <n v="143"/>
    <n v="0.45"/>
    <n v="318"/>
    <n v="0.6"/>
    <n v="0"/>
    <n v="0"/>
    <n v="0"/>
    <n v="0"/>
    <n v="0.37930000000000003"/>
    <n v="-4.3E-3"/>
    <n v="0"/>
    <n v="-0.255"/>
    <n v="0.14269999999999999"/>
    <n v="-6.7000000000000002E-3"/>
    <n v="49"/>
    <n v="0.4"/>
    <n v="117"/>
    <n v="0.55000000000000004"/>
    <n v="0"/>
    <n v="0"/>
    <n v="0"/>
    <n v="82"/>
    <n v="0"/>
  </r>
  <r>
    <x v="0"/>
    <x v="0"/>
    <s v="SPXW"/>
    <x v="6"/>
    <x v="50"/>
    <s v="p"/>
    <n v="0.47"/>
    <n v="0.47"/>
    <n v="0.47"/>
    <n v="0.47"/>
    <n v="10"/>
    <n v="416"/>
    <n v="0.45"/>
    <n v="221"/>
    <n v="0.6"/>
    <n v="0"/>
    <n v="0"/>
    <n v="0"/>
    <n v="0"/>
    <n v="0.36980000000000002"/>
    <n v="-4.4000000000000003E-3"/>
    <n v="0"/>
    <n v="-0.25419999999999998"/>
    <n v="0.14599999999999999"/>
    <n v="-6.8999999999999999E-3"/>
    <n v="115"/>
    <n v="0.4"/>
    <n v="124"/>
    <n v="0.6"/>
    <n v="0"/>
    <n v="0"/>
    <n v="0.47"/>
    <n v="76"/>
    <n v="0"/>
  </r>
  <r>
    <x v="0"/>
    <x v="0"/>
    <s v="SPXW"/>
    <x v="6"/>
    <x v="53"/>
    <s v="p"/>
    <n v="0.5"/>
    <n v="0.6"/>
    <n v="0.5"/>
    <n v="0.6"/>
    <n v="2"/>
    <n v="147"/>
    <n v="0.5"/>
    <n v="272"/>
    <n v="0.65"/>
    <n v="0"/>
    <n v="0"/>
    <n v="0"/>
    <n v="0"/>
    <n v="0.36409999999999998"/>
    <n v="-4.8999999999999998E-3"/>
    <n v="0"/>
    <n v="-0.27460000000000001"/>
    <n v="0.1593"/>
    <n v="-7.6E-3"/>
    <n v="48"/>
    <n v="0.45"/>
    <n v="122"/>
    <n v="0.6"/>
    <n v="0"/>
    <n v="0"/>
    <n v="0.55000000000000004"/>
    <n v="28"/>
    <n v="0"/>
  </r>
  <r>
    <x v="0"/>
    <x v="0"/>
    <s v="SPXW"/>
    <x v="6"/>
    <x v="56"/>
    <s v="p"/>
    <n v="0.5"/>
    <n v="0.62"/>
    <n v="0.5"/>
    <n v="0.55000000000000004"/>
    <n v="4"/>
    <n v="103"/>
    <n v="0.55000000000000004"/>
    <n v="319"/>
    <n v="0.7"/>
    <n v="0"/>
    <n v="0"/>
    <n v="0"/>
    <n v="0"/>
    <n v="0.35780000000000001"/>
    <n v="-5.4000000000000003E-3"/>
    <n v="0"/>
    <n v="-0.2944"/>
    <n v="0.1729"/>
    <n v="-8.3000000000000001E-3"/>
    <n v="48"/>
    <n v="0.5"/>
    <n v="109"/>
    <n v="0.65"/>
    <n v="0"/>
    <n v="0"/>
    <n v="0.57250000000000001"/>
    <n v="352"/>
    <n v="0"/>
  </r>
  <r>
    <x v="0"/>
    <x v="0"/>
    <s v="SPXW"/>
    <x v="6"/>
    <x v="59"/>
    <s v="p"/>
    <n v="0.5"/>
    <n v="0.59"/>
    <n v="0.5"/>
    <n v="0.59"/>
    <n v="12"/>
    <n v="211"/>
    <n v="0.55000000000000004"/>
    <n v="312"/>
    <n v="0.7"/>
    <n v="0"/>
    <n v="0"/>
    <n v="0"/>
    <n v="0"/>
    <n v="0.34839999999999999"/>
    <n v="-5.4999999999999997E-3"/>
    <n v="0"/>
    <n v="-0.29339999999999999"/>
    <n v="0.17710000000000001"/>
    <n v="-8.5000000000000006E-3"/>
    <n v="18"/>
    <n v="0.55000000000000004"/>
    <n v="246"/>
    <n v="0.7"/>
    <n v="0"/>
    <n v="0"/>
    <n v="0.51500000000000001"/>
    <n v="124"/>
    <n v="0"/>
  </r>
  <r>
    <x v="0"/>
    <x v="0"/>
    <s v="SPXW"/>
    <x v="6"/>
    <x v="62"/>
    <s v="p"/>
    <n v="0.9"/>
    <n v="0.9"/>
    <n v="0.72"/>
    <n v="0.72"/>
    <n v="3"/>
    <n v="155"/>
    <n v="0.6"/>
    <n v="217"/>
    <n v="0.75"/>
    <n v="0"/>
    <n v="0"/>
    <n v="0"/>
    <n v="0"/>
    <n v="0.34179999999999999"/>
    <n v="-6.0000000000000001E-3"/>
    <n v="1E-4"/>
    <n v="-0.31269999999999998"/>
    <n v="0.1913"/>
    <n v="-9.2999999999999992E-3"/>
    <n v="103"/>
    <n v="0.55000000000000004"/>
    <n v="321"/>
    <n v="0.75"/>
    <n v="0"/>
    <n v="0"/>
    <n v="0.78"/>
    <n v="257"/>
    <n v="0"/>
  </r>
  <r>
    <x v="0"/>
    <x v="0"/>
    <s v="SPXW"/>
    <x v="6"/>
    <x v="65"/>
    <s v="p"/>
    <n v="0.56999999999999995"/>
    <n v="0.72"/>
    <n v="0.56999999999999995"/>
    <n v="0.72"/>
    <n v="18"/>
    <n v="146"/>
    <n v="0.65"/>
    <n v="229"/>
    <n v="0.8"/>
    <n v="0"/>
    <n v="0"/>
    <n v="0"/>
    <n v="0"/>
    <n v="0.33510000000000001"/>
    <n v="-6.4999999999999997E-3"/>
    <n v="1E-4"/>
    <n v="-0.33150000000000002"/>
    <n v="0.20569999999999999"/>
    <n v="-1.01E-2"/>
    <n v="100"/>
    <n v="0.6"/>
    <n v="101"/>
    <n v="0.75"/>
    <n v="0"/>
    <n v="0"/>
    <n v="0.63670000000000004"/>
    <n v="129"/>
    <n v="0"/>
  </r>
  <r>
    <x v="0"/>
    <x v="0"/>
    <s v="SPXW"/>
    <x v="6"/>
    <x v="68"/>
    <s v="p"/>
    <n v="0.65"/>
    <n v="1.3"/>
    <n v="0.65"/>
    <n v="0.83"/>
    <n v="12"/>
    <n v="61"/>
    <n v="0.7"/>
    <n v="224"/>
    <n v="0.85"/>
    <n v="0"/>
    <n v="0"/>
    <n v="0"/>
    <n v="0"/>
    <n v="0.32800000000000001"/>
    <n v="-7.0000000000000001E-3"/>
    <n v="1E-4"/>
    <n v="-0.34989999999999999"/>
    <n v="0.22070000000000001"/>
    <n v="-1.09E-2"/>
    <n v="48"/>
    <n v="0.65"/>
    <n v="108"/>
    <n v="0.8"/>
    <n v="0"/>
    <n v="0"/>
    <n v="0.90580000000000005"/>
    <n v="281"/>
    <n v="0"/>
  </r>
  <r>
    <x v="0"/>
    <x v="0"/>
    <s v="SPXW"/>
    <x v="6"/>
    <x v="71"/>
    <s v="p"/>
    <n v="0.68"/>
    <n v="0.68"/>
    <n v="0.68"/>
    <n v="0.68"/>
    <n v="20"/>
    <n v="61"/>
    <n v="0.75"/>
    <n v="206"/>
    <n v="0.9"/>
    <n v="0"/>
    <n v="0"/>
    <n v="0"/>
    <n v="0"/>
    <n v="0.32069999999999999"/>
    <n v="-7.6E-3"/>
    <n v="1E-4"/>
    <n v="-0.3679"/>
    <n v="0.23619999999999999"/>
    <n v="-1.18E-2"/>
    <n v="48"/>
    <n v="0.7"/>
    <n v="96"/>
    <n v="0.85"/>
    <n v="0"/>
    <n v="0"/>
    <n v="0.68"/>
    <n v="29"/>
    <n v="0"/>
  </r>
  <r>
    <x v="0"/>
    <x v="0"/>
    <s v="SPXW"/>
    <x v="6"/>
    <x v="74"/>
    <s v="p"/>
    <n v="0.7"/>
    <n v="0.7"/>
    <n v="0.7"/>
    <n v="0.7"/>
    <n v="1"/>
    <n v="145"/>
    <n v="0.8"/>
    <n v="287"/>
    <n v="0.95"/>
    <n v="0"/>
    <n v="0"/>
    <n v="0"/>
    <n v="0"/>
    <n v="0.31340000000000001"/>
    <n v="-8.2000000000000007E-3"/>
    <n v="1E-4"/>
    <n v="-0.38540000000000002"/>
    <n v="0.25240000000000001"/>
    <n v="-1.2699999999999999E-2"/>
    <n v="93"/>
    <n v="0.75"/>
    <n v="100"/>
    <n v="0.9"/>
    <n v="0"/>
    <n v="0"/>
    <n v="0.7"/>
    <n v="71"/>
    <n v="0"/>
  </r>
  <r>
    <x v="0"/>
    <x v="0"/>
    <s v="SPXW"/>
    <x v="6"/>
    <x v="77"/>
    <s v="p"/>
    <n v="0"/>
    <n v="0"/>
    <n v="0"/>
    <n v="0"/>
    <n v="0"/>
    <n v="185"/>
    <n v="0.85"/>
    <n v="196"/>
    <n v="1"/>
    <n v="0"/>
    <n v="0"/>
    <n v="0"/>
    <n v="0"/>
    <n v="0.30570000000000003"/>
    <n v="-8.8000000000000005E-3"/>
    <n v="1E-4"/>
    <n v="-0.40250000000000002"/>
    <n v="0.26939999999999997"/>
    <n v="-1.3599999999999999E-2"/>
    <n v="90"/>
    <n v="0.8"/>
    <n v="192"/>
    <n v="1"/>
    <n v="0"/>
    <n v="0"/>
    <n v="0"/>
    <n v="32"/>
    <n v="0"/>
  </r>
  <r>
    <x v="0"/>
    <x v="0"/>
    <s v="SPXW"/>
    <x v="6"/>
    <x v="78"/>
    <s v="p"/>
    <n v="0"/>
    <n v="0"/>
    <n v="0"/>
    <n v="0"/>
    <n v="0"/>
    <n v="145"/>
    <n v="0.9"/>
    <n v="200"/>
    <n v="1.05"/>
    <n v="0"/>
    <n v="0"/>
    <n v="0"/>
    <n v="0"/>
    <n v="0.30580000000000002"/>
    <n v="-9.1999999999999998E-3"/>
    <n v="1E-4"/>
    <n v="-0.42080000000000001"/>
    <n v="0.28039999999999998"/>
    <n v="-1.43E-2"/>
    <n v="47"/>
    <n v="0.85"/>
    <n v="169"/>
    <n v="1"/>
    <n v="0"/>
    <n v="0"/>
    <n v="0"/>
    <n v="89"/>
    <n v="0"/>
  </r>
  <r>
    <x v="0"/>
    <x v="0"/>
    <s v="SPXW"/>
    <x v="6"/>
    <x v="79"/>
    <s v="p"/>
    <n v="1.27"/>
    <n v="1.27"/>
    <n v="1.27"/>
    <n v="1.27"/>
    <n v="2"/>
    <n v="145"/>
    <n v="0.9"/>
    <n v="148"/>
    <n v="1.05"/>
    <n v="0"/>
    <n v="0"/>
    <n v="0"/>
    <n v="0"/>
    <n v="0.30180000000000001"/>
    <n v="-9.2999999999999992E-3"/>
    <n v="1E-4"/>
    <n v="-0.4199"/>
    <n v="0.28370000000000001"/>
    <n v="-1.4500000000000001E-2"/>
    <n v="81"/>
    <n v="0.85"/>
    <n v="198"/>
    <n v="1.05"/>
    <n v="0"/>
    <n v="0"/>
    <n v="1.27"/>
    <n v="72"/>
    <n v="0"/>
  </r>
  <r>
    <x v="0"/>
    <x v="0"/>
    <s v="SPXW"/>
    <x v="6"/>
    <x v="80"/>
    <s v="p"/>
    <n v="0.94"/>
    <n v="1.8"/>
    <n v="0.85"/>
    <n v="1"/>
    <n v="15"/>
    <n v="139"/>
    <n v="0.95"/>
    <n v="220"/>
    <n v="1.1000000000000001"/>
    <n v="0"/>
    <n v="0"/>
    <n v="0"/>
    <n v="0"/>
    <n v="0.29980000000000001"/>
    <n v="-9.7999999999999997E-3"/>
    <n v="1E-4"/>
    <n v="-0.4375"/>
    <n v="0.29630000000000001"/>
    <n v="-1.52E-2"/>
    <n v="36"/>
    <n v="0.9"/>
    <n v="83"/>
    <n v="1.05"/>
    <n v="0"/>
    <n v="0"/>
    <n v="0.98470000000000002"/>
    <n v="191"/>
    <n v="0"/>
  </r>
  <r>
    <x v="0"/>
    <x v="0"/>
    <s v="SPXW"/>
    <x v="6"/>
    <x v="81"/>
    <s v="p"/>
    <n v="0"/>
    <n v="0"/>
    <n v="0"/>
    <n v="0"/>
    <n v="0"/>
    <n v="107"/>
    <n v="0.95"/>
    <n v="203"/>
    <n v="1.1499999999999999"/>
    <n v="0"/>
    <n v="0"/>
    <n v="0"/>
    <n v="0"/>
    <n v="0.29680000000000001"/>
    <n v="-1.01E-2"/>
    <n v="1E-4"/>
    <n v="-0.44569999999999999"/>
    <n v="0.3044"/>
    <n v="-1.5699999999999999E-2"/>
    <n v="75"/>
    <n v="0.9"/>
    <n v="171"/>
    <n v="1.1000000000000001"/>
    <n v="0"/>
    <n v="0"/>
    <n v="0"/>
    <n v="43"/>
    <n v="0"/>
  </r>
  <r>
    <x v="0"/>
    <x v="0"/>
    <s v="SPXW"/>
    <x v="6"/>
    <x v="82"/>
    <s v="p"/>
    <n v="1.42"/>
    <n v="1.42"/>
    <n v="1.42"/>
    <n v="1.42"/>
    <n v="2"/>
    <n v="132"/>
    <n v="1"/>
    <n v="260"/>
    <n v="1.1499999999999999"/>
    <n v="0"/>
    <n v="0"/>
    <n v="0"/>
    <n v="0"/>
    <n v="0.29370000000000002"/>
    <n v="-1.04E-2"/>
    <n v="1E-4"/>
    <n v="-0.45379999999999998"/>
    <n v="0.3125"/>
    <n v="-1.6199999999999999E-2"/>
    <n v="36"/>
    <n v="0.95"/>
    <n v="89"/>
    <n v="1.1000000000000001"/>
    <n v="0"/>
    <n v="0"/>
    <n v="1.42"/>
    <n v="101"/>
    <n v="0"/>
  </r>
  <r>
    <x v="0"/>
    <x v="0"/>
    <s v="SPXW"/>
    <x v="6"/>
    <x v="83"/>
    <s v="p"/>
    <n v="0.9"/>
    <n v="1.26"/>
    <n v="0.9"/>
    <n v="1.26"/>
    <n v="2"/>
    <n v="2"/>
    <n v="1.05"/>
    <n v="192"/>
    <n v="1.2"/>
    <n v="0"/>
    <n v="0"/>
    <n v="0"/>
    <n v="0"/>
    <n v="0.29260000000000003"/>
    <n v="-1.0699999999999999E-2"/>
    <n v="1E-4"/>
    <n v="-0.46239999999999998"/>
    <n v="0.31900000000000001"/>
    <n v="-1.66E-2"/>
    <n v="74"/>
    <n v="0.95"/>
    <n v="167"/>
    <n v="1.1499999999999999"/>
    <n v="0"/>
    <n v="0"/>
    <n v="1.08"/>
    <n v="71"/>
    <n v="0"/>
  </r>
  <r>
    <x v="0"/>
    <x v="0"/>
    <s v="SPXW"/>
    <x v="6"/>
    <x v="84"/>
    <s v="p"/>
    <n v="0"/>
    <n v="0"/>
    <n v="0"/>
    <n v="0"/>
    <n v="0"/>
    <n v="132"/>
    <n v="1.05"/>
    <n v="253"/>
    <n v="1.2"/>
    <n v="0"/>
    <n v="0"/>
    <n v="0"/>
    <n v="0"/>
    <n v="0.29139999999999999"/>
    <n v="-1.09E-2"/>
    <n v="1E-4"/>
    <n v="-0.47089999999999999"/>
    <n v="0.32550000000000001"/>
    <n v="-1.7000000000000001E-2"/>
    <n v="37"/>
    <n v="1"/>
    <n v="89"/>
    <n v="1.1499999999999999"/>
    <n v="0"/>
    <n v="0"/>
    <n v="0"/>
    <n v="7"/>
    <n v="0"/>
  </r>
  <r>
    <x v="0"/>
    <x v="0"/>
    <s v="SPXW"/>
    <x v="6"/>
    <x v="85"/>
    <s v="p"/>
    <n v="0"/>
    <n v="0"/>
    <n v="0"/>
    <n v="0"/>
    <n v="0"/>
    <n v="147"/>
    <n v="1.1000000000000001"/>
    <n v="169"/>
    <n v="1.25"/>
    <n v="0"/>
    <n v="0"/>
    <n v="0"/>
    <n v="0"/>
    <n v="0.28910000000000002"/>
    <n v="-1.15E-2"/>
    <n v="1E-4"/>
    <n v="-0.48759999999999998"/>
    <n v="0.33860000000000001"/>
    <n v="-1.78E-2"/>
    <n v="74"/>
    <n v="1"/>
    <n v="160"/>
    <n v="1.2"/>
    <n v="0"/>
    <n v="0"/>
    <n v="0"/>
    <n v="12"/>
    <n v="0"/>
  </r>
  <r>
    <x v="0"/>
    <x v="0"/>
    <s v="SPXW"/>
    <x v="6"/>
    <x v="86"/>
    <s v="p"/>
    <n v="1.1499999999999999"/>
    <n v="1.72"/>
    <n v="1.05"/>
    <n v="1.33"/>
    <n v="9"/>
    <n v="178"/>
    <n v="1.1000000000000001"/>
    <n v="186"/>
    <n v="1.3"/>
    <n v="0"/>
    <n v="0"/>
    <n v="0"/>
    <n v="0"/>
    <n v="0.28589999999999999"/>
    <n v="-1.18E-2"/>
    <n v="1E-4"/>
    <n v="-0.49530000000000002"/>
    <n v="0.34720000000000001"/>
    <n v="-1.83E-2"/>
    <n v="73"/>
    <n v="1.05"/>
    <n v="175"/>
    <n v="1.25"/>
    <n v="0"/>
    <n v="0"/>
    <n v="1.3022"/>
    <n v="102"/>
    <n v="0"/>
  </r>
  <r>
    <x v="0"/>
    <x v="0"/>
    <s v="SPXW"/>
    <x v="6"/>
    <x v="87"/>
    <s v="p"/>
    <n v="0"/>
    <n v="0"/>
    <n v="0"/>
    <n v="0"/>
    <n v="0"/>
    <n v="131"/>
    <n v="1.1499999999999999"/>
    <n v="72"/>
    <n v="1.3"/>
    <n v="0"/>
    <n v="0"/>
    <n v="0"/>
    <n v="0"/>
    <n v="0.28249999999999997"/>
    <n v="-1.21E-2"/>
    <n v="1E-4"/>
    <n v="-0.50290000000000001"/>
    <n v="0.35630000000000001"/>
    <n v="-1.8800000000000001E-2"/>
    <n v="38"/>
    <n v="1.1000000000000001"/>
    <n v="84"/>
    <n v="1.25"/>
    <n v="0"/>
    <n v="0"/>
    <n v="0"/>
    <n v="25"/>
    <n v="0"/>
  </r>
  <r>
    <x v="0"/>
    <x v="0"/>
    <s v="SPXW"/>
    <x v="6"/>
    <x v="88"/>
    <s v="p"/>
    <n v="0"/>
    <n v="0"/>
    <n v="0"/>
    <n v="0"/>
    <n v="0"/>
    <n v="131"/>
    <n v="1.2"/>
    <n v="177"/>
    <n v="1.35"/>
    <n v="0"/>
    <n v="0"/>
    <n v="0"/>
    <n v="0"/>
    <n v="0.28010000000000002"/>
    <n v="-1.2699999999999999E-2"/>
    <n v="1E-4"/>
    <n v="-0.51910000000000001"/>
    <n v="0.36990000000000001"/>
    <n v="-1.9699999999999999E-2"/>
    <n v="38"/>
    <n v="1.1499999999999999"/>
    <n v="81"/>
    <n v="1.3"/>
    <n v="0"/>
    <n v="0"/>
    <n v="0"/>
    <n v="5"/>
    <n v="0"/>
  </r>
  <r>
    <x v="0"/>
    <x v="0"/>
    <s v="SPXW"/>
    <x v="6"/>
    <x v="89"/>
    <s v="p"/>
    <n v="1.42"/>
    <n v="1.42"/>
    <n v="1.42"/>
    <n v="1.42"/>
    <n v="1"/>
    <n v="17"/>
    <n v="1.25"/>
    <n v="159"/>
    <n v="1.4"/>
    <n v="0"/>
    <n v="0"/>
    <n v="0"/>
    <n v="0"/>
    <n v="0.27889999999999998"/>
    <n v="-1.29E-2"/>
    <n v="1E-4"/>
    <n v="-0.52710000000000001"/>
    <n v="0.37680000000000002"/>
    <n v="-2.01E-2"/>
    <n v="71"/>
    <n v="1.1499999999999999"/>
    <n v="161"/>
    <n v="1.35"/>
    <n v="0"/>
    <n v="0"/>
    <n v="1.42"/>
    <n v="27"/>
    <n v="0"/>
  </r>
  <r>
    <x v="0"/>
    <x v="0"/>
    <s v="SPXW"/>
    <x v="6"/>
    <x v="90"/>
    <s v="p"/>
    <n v="1.2"/>
    <n v="1.2"/>
    <n v="1.2"/>
    <n v="1.2"/>
    <n v="3"/>
    <n v="131"/>
    <n v="1.25"/>
    <n v="163"/>
    <n v="1.4"/>
    <n v="0"/>
    <n v="0"/>
    <n v="0"/>
    <n v="0"/>
    <n v="0.27760000000000001"/>
    <n v="-1.32E-2"/>
    <n v="1E-4"/>
    <n v="-0.53500000000000003"/>
    <n v="0.38379999999999997"/>
    <n v="-2.0500000000000001E-2"/>
    <n v="38"/>
    <n v="1.2"/>
    <n v="75"/>
    <n v="1.35"/>
    <n v="0"/>
    <n v="0"/>
    <n v="1.2"/>
    <n v="26"/>
    <n v="0"/>
  </r>
  <r>
    <x v="0"/>
    <x v="0"/>
    <s v="SPXW"/>
    <x v="6"/>
    <x v="91"/>
    <s v="p"/>
    <n v="0"/>
    <n v="0"/>
    <n v="0"/>
    <n v="0"/>
    <n v="0"/>
    <n v="131"/>
    <n v="1.3"/>
    <n v="161"/>
    <n v="1.45"/>
    <n v="0"/>
    <n v="0"/>
    <n v="0"/>
    <n v="0"/>
    <n v="0.27489999999999998"/>
    <n v="-1.38E-2"/>
    <n v="1E-4"/>
    <n v="-0.55069999999999997"/>
    <n v="0.39789999999999998"/>
    <n v="-2.1399999999999999E-2"/>
    <n v="69"/>
    <n v="1.2"/>
    <n v="80"/>
    <n v="1.4"/>
    <n v="0"/>
    <n v="0"/>
    <n v="0"/>
    <n v="20"/>
    <n v="0"/>
  </r>
  <r>
    <x v="0"/>
    <x v="0"/>
    <s v="SPXW"/>
    <x v="6"/>
    <x v="92"/>
    <s v="p"/>
    <n v="1.1399999999999999"/>
    <n v="2.1"/>
    <n v="1.1399999999999999"/>
    <n v="1.35"/>
    <n v="40"/>
    <n v="165"/>
    <n v="1.35"/>
    <n v="201"/>
    <n v="1.5"/>
    <n v="0"/>
    <n v="0"/>
    <n v="0"/>
    <n v="0"/>
    <n v="0.27200000000000002"/>
    <n v="-1.44E-2"/>
    <n v="1E-4"/>
    <n v="-0.56610000000000005"/>
    <n v="0.41239999999999999"/>
    <n v="-2.23E-2"/>
    <n v="39"/>
    <n v="1.3"/>
    <n v="78"/>
    <n v="1.45"/>
    <n v="0"/>
    <n v="0"/>
    <n v="1.9368000000000001"/>
    <n v="67"/>
    <n v="0"/>
  </r>
  <r>
    <x v="0"/>
    <x v="0"/>
    <s v="SPXW"/>
    <x v="6"/>
    <x v="93"/>
    <s v="p"/>
    <n v="0"/>
    <n v="0"/>
    <n v="0"/>
    <n v="0"/>
    <n v="0"/>
    <n v="139"/>
    <n v="1.4"/>
    <n v="67"/>
    <n v="1.55"/>
    <n v="0"/>
    <n v="0"/>
    <n v="0"/>
    <n v="0"/>
    <n v="0.26889999999999997"/>
    <n v="-1.4999999999999999E-2"/>
    <n v="1E-4"/>
    <n v="-0.58109999999999995"/>
    <n v="0.42720000000000002"/>
    <n v="-2.3300000000000001E-2"/>
    <n v="39"/>
    <n v="1.35"/>
    <n v="73"/>
    <n v="1.5"/>
    <n v="0"/>
    <n v="0"/>
    <n v="0"/>
    <n v="4"/>
    <n v="0"/>
  </r>
  <r>
    <x v="0"/>
    <x v="0"/>
    <s v="SPXW"/>
    <x v="6"/>
    <x v="94"/>
    <s v="p"/>
    <n v="2.2999999999999998"/>
    <n v="2.2999999999999998"/>
    <n v="2.2999999999999998"/>
    <n v="2.2999999999999998"/>
    <n v="2"/>
    <n v="130"/>
    <n v="1.45"/>
    <n v="321"/>
    <n v="1.65"/>
    <n v="0"/>
    <n v="0"/>
    <n v="0"/>
    <n v="0"/>
    <n v="0.26719999999999999"/>
    <n v="-1.5699999999999999E-2"/>
    <n v="1E-4"/>
    <n v="-0.60450000000000004"/>
    <n v="0.44540000000000002"/>
    <n v="-2.4500000000000001E-2"/>
    <n v="40"/>
    <n v="1.4"/>
    <n v="77"/>
    <n v="1.55"/>
    <n v="0"/>
    <n v="0"/>
    <n v="2.2999999999999998"/>
    <n v="67"/>
    <n v="0"/>
  </r>
  <r>
    <x v="0"/>
    <x v="0"/>
    <s v="SPXW"/>
    <x v="6"/>
    <x v="95"/>
    <s v="p"/>
    <n v="1.51"/>
    <n v="1.6"/>
    <n v="1.35"/>
    <n v="1.6"/>
    <n v="5"/>
    <n v="130"/>
    <n v="1.5"/>
    <n v="155"/>
    <n v="1.65"/>
    <n v="0"/>
    <n v="0"/>
    <n v="0"/>
    <n v="0"/>
    <n v="0.26569999999999999"/>
    <n v="-1.6E-2"/>
    <n v="1E-4"/>
    <n v="-0.6119"/>
    <n v="0.45279999999999998"/>
    <n v="-2.5000000000000001E-2"/>
    <n v="69"/>
    <n v="1.4"/>
    <n v="143"/>
    <n v="1.6"/>
    <n v="0"/>
    <n v="0"/>
    <n v="1.532"/>
    <n v="40"/>
    <n v="0"/>
  </r>
  <r>
    <x v="0"/>
    <x v="0"/>
    <s v="SPXW"/>
    <x v="6"/>
    <x v="96"/>
    <s v="p"/>
    <n v="3"/>
    <n v="3"/>
    <n v="1.71"/>
    <n v="1.71"/>
    <n v="3"/>
    <n v="17"/>
    <n v="1.55"/>
    <n v="198"/>
    <n v="1.7"/>
    <n v="0"/>
    <n v="0"/>
    <n v="0"/>
    <n v="0"/>
    <n v="0.26479999999999998"/>
    <n v="-1.6500000000000001E-2"/>
    <n v="1E-4"/>
    <n v="-0.62729999999999997"/>
    <n v="0.46450000000000002"/>
    <n v="-2.5700000000000001E-2"/>
    <n v="40"/>
    <n v="1.45"/>
    <n v="27"/>
    <n v="1.6"/>
    <n v="0"/>
    <n v="0"/>
    <n v="2.14"/>
    <n v="33"/>
    <n v="0"/>
  </r>
  <r>
    <x v="0"/>
    <x v="0"/>
    <s v="SPXW"/>
    <x v="6"/>
    <x v="97"/>
    <s v="p"/>
    <n v="1.4"/>
    <n v="2.85"/>
    <n v="1.4"/>
    <n v="2.85"/>
    <n v="4"/>
    <n v="130"/>
    <n v="1.6"/>
    <n v="124"/>
    <n v="1.75"/>
    <n v="0"/>
    <n v="0"/>
    <n v="0"/>
    <n v="0"/>
    <n v="0.26179999999999998"/>
    <n v="-1.7100000000000001E-2"/>
    <n v="2.0000000000000001E-4"/>
    <n v="-0.64149999999999996"/>
    <n v="0.47920000000000001"/>
    <n v="-2.6700000000000002E-2"/>
    <n v="68"/>
    <n v="1.5"/>
    <n v="144"/>
    <n v="1.7"/>
    <n v="0"/>
    <n v="0"/>
    <n v="2.125"/>
    <n v="31"/>
    <n v="0"/>
  </r>
  <r>
    <x v="0"/>
    <x v="0"/>
    <s v="SPXW"/>
    <x v="6"/>
    <x v="98"/>
    <s v="p"/>
    <n v="2.69"/>
    <n v="2.89"/>
    <n v="1.85"/>
    <n v="1.9"/>
    <n v="116"/>
    <n v="163"/>
    <n v="1.65"/>
    <n v="56"/>
    <n v="1.8"/>
    <n v="0"/>
    <n v="0"/>
    <n v="0"/>
    <n v="0"/>
    <n v="0.2586"/>
    <n v="-1.78E-2"/>
    <n v="2.0000000000000001E-4"/>
    <n v="-0.65549999999999997"/>
    <n v="0.49440000000000001"/>
    <n v="-2.7699999999999999E-2"/>
    <n v="16"/>
    <n v="1.6"/>
    <n v="74"/>
    <n v="1.75"/>
    <n v="0"/>
    <n v="0"/>
    <n v="1.9181999999999999"/>
    <n v="55"/>
    <n v="0"/>
  </r>
  <r>
    <x v="0"/>
    <x v="0"/>
    <s v="SPXW"/>
    <x v="6"/>
    <x v="99"/>
    <s v="p"/>
    <n v="1.84"/>
    <n v="1.84"/>
    <n v="1.84"/>
    <n v="1.84"/>
    <n v="2"/>
    <n v="126"/>
    <n v="1.75"/>
    <n v="189"/>
    <n v="1.9"/>
    <n v="0"/>
    <n v="0"/>
    <n v="0"/>
    <n v="0"/>
    <n v="0.25669999999999998"/>
    <n v="-1.8800000000000001E-2"/>
    <n v="2.0000000000000001E-4"/>
    <n v="-0.68520000000000003"/>
    <n v="0.51829999999999998"/>
    <n v="-2.93E-2"/>
    <n v="41"/>
    <n v="1.65"/>
    <n v="140"/>
    <n v="1.85"/>
    <n v="0"/>
    <n v="0"/>
    <n v="1.84"/>
    <n v="215"/>
    <n v="0"/>
  </r>
  <r>
    <x v="0"/>
    <x v="0"/>
    <s v="SPXW"/>
    <x v="6"/>
    <x v="100"/>
    <s v="p"/>
    <n v="0"/>
    <n v="0"/>
    <n v="0"/>
    <n v="0"/>
    <n v="0"/>
    <n v="17"/>
    <n v="1.85"/>
    <n v="290"/>
    <n v="2"/>
    <n v="0"/>
    <n v="0"/>
    <n v="0"/>
    <n v="0"/>
    <n v="0.254"/>
    <n v="-1.9699999999999999E-2"/>
    <n v="2.0000000000000001E-4"/>
    <n v="-0.70630000000000004"/>
    <n v="0.53839999999999999"/>
    <n v="-3.0599999999999999E-2"/>
    <n v="16"/>
    <n v="1.75"/>
    <n v="71"/>
    <n v="1.9"/>
    <n v="0"/>
    <n v="0"/>
    <n v="0"/>
    <n v="10"/>
    <n v="0"/>
  </r>
  <r>
    <x v="0"/>
    <x v="0"/>
    <s v="SPXW"/>
    <x v="6"/>
    <x v="101"/>
    <s v="p"/>
    <n v="0"/>
    <n v="0"/>
    <n v="0"/>
    <n v="0"/>
    <n v="0"/>
    <n v="129"/>
    <n v="1.85"/>
    <n v="37"/>
    <n v="2"/>
    <n v="0"/>
    <n v="0"/>
    <n v="0"/>
    <n v="0"/>
    <n v="0.2525"/>
    <n v="-0.02"/>
    <n v="2.0000000000000001E-4"/>
    <n v="-0.71289999999999998"/>
    <n v="0.54630000000000001"/>
    <n v="-3.1199999999999999E-2"/>
    <n v="77"/>
    <n v="1.75"/>
    <n v="73"/>
    <n v="1.95"/>
    <n v="0"/>
    <n v="0"/>
    <n v="0"/>
    <n v="37"/>
    <n v="0"/>
  </r>
  <r>
    <x v="0"/>
    <x v="0"/>
    <s v="SPXW"/>
    <x v="6"/>
    <x v="102"/>
    <s v="p"/>
    <n v="2.13"/>
    <n v="2.13"/>
    <n v="1.85"/>
    <n v="1.85"/>
    <n v="3"/>
    <n v="129"/>
    <n v="1.9"/>
    <n v="63"/>
    <n v="2.0499999999999998"/>
    <n v="0"/>
    <n v="0"/>
    <n v="0"/>
    <n v="0"/>
    <n v="0.25130000000000002"/>
    <n v="-2.0500000000000001E-2"/>
    <n v="2.0000000000000001E-4"/>
    <n v="-0.72709999999999997"/>
    <n v="0.55869999999999997"/>
    <n v="-3.2000000000000001E-2"/>
    <n v="69"/>
    <n v="1.8"/>
    <n v="70"/>
    <n v="2"/>
    <n v="0"/>
    <n v="0"/>
    <n v="2.0367000000000002"/>
    <n v="235"/>
    <n v="0"/>
  </r>
  <r>
    <x v="0"/>
    <x v="0"/>
    <s v="SPXW"/>
    <x v="6"/>
    <x v="103"/>
    <s v="p"/>
    <n v="2"/>
    <n v="2"/>
    <n v="2"/>
    <n v="2"/>
    <n v="290"/>
    <n v="127"/>
    <n v="2"/>
    <n v="62"/>
    <n v="2.15"/>
    <n v="0"/>
    <n v="0"/>
    <n v="0"/>
    <n v="0"/>
    <n v="0.249"/>
    <n v="-2.1600000000000001E-2"/>
    <n v="2.0000000000000001E-4"/>
    <n v="-0.755"/>
    <n v="0.58360000000000001"/>
    <n v="-3.3700000000000001E-2"/>
    <n v="42"/>
    <n v="1.9"/>
    <n v="25"/>
    <n v="2.0499999999999998"/>
    <n v="0"/>
    <n v="0"/>
    <n v="2"/>
    <n v="62"/>
    <n v="0"/>
  </r>
  <r>
    <x v="0"/>
    <x v="0"/>
    <s v="SPXW"/>
    <x v="6"/>
    <x v="104"/>
    <s v="p"/>
    <n v="2.0699999999999998"/>
    <n v="3.09"/>
    <n v="1.7"/>
    <n v="2.1"/>
    <n v="25"/>
    <n v="127"/>
    <n v="2.1"/>
    <n v="61"/>
    <n v="2.25"/>
    <n v="0"/>
    <n v="0"/>
    <n v="0"/>
    <n v="0"/>
    <n v="0.2465"/>
    <n v="-2.2700000000000001E-2"/>
    <n v="2.0000000000000001E-4"/>
    <n v="-0.7823"/>
    <n v="0.60870000000000002"/>
    <n v="-3.5499999999999997E-2"/>
    <n v="16"/>
    <n v="2"/>
    <n v="25"/>
    <n v="2.15"/>
    <n v="0"/>
    <n v="0"/>
    <n v="2.0823999999999998"/>
    <n v="132"/>
    <n v="0"/>
  </r>
  <r>
    <x v="0"/>
    <x v="0"/>
    <s v="SPXW"/>
    <x v="6"/>
    <x v="105"/>
    <s v="p"/>
    <n v="3.38"/>
    <n v="3.38"/>
    <n v="2.54"/>
    <n v="2.54"/>
    <n v="242"/>
    <n v="168"/>
    <n v="2.2000000000000002"/>
    <n v="64"/>
    <n v="2.35"/>
    <n v="0"/>
    <n v="0"/>
    <n v="0"/>
    <n v="0"/>
    <n v="0.24390000000000001"/>
    <n v="-2.3900000000000001E-2"/>
    <n v="2.0000000000000001E-4"/>
    <n v="-0.80900000000000005"/>
    <n v="0.63390000000000002"/>
    <n v="-3.73E-2"/>
    <n v="42"/>
    <n v="2.1"/>
    <n v="25"/>
    <n v="2.25"/>
    <n v="0"/>
    <n v="0"/>
    <n v="3.2342"/>
    <n v="23"/>
    <n v="0"/>
  </r>
  <r>
    <x v="0"/>
    <x v="0"/>
    <s v="SPXW"/>
    <x v="6"/>
    <x v="107"/>
    <s v="p"/>
    <n v="2.4300000000000002"/>
    <n v="2.4300000000000002"/>
    <n v="2.4"/>
    <n v="2.4"/>
    <n v="4"/>
    <n v="127"/>
    <n v="2.2999999999999998"/>
    <n v="172"/>
    <n v="2.5"/>
    <n v="0"/>
    <n v="0"/>
    <n v="0"/>
    <n v="0"/>
    <n v="0.24129999999999999"/>
    <n v="-2.5000000000000001E-2"/>
    <n v="2.0000000000000001E-4"/>
    <n v="-0.83499999999999996"/>
    <n v="0.65910000000000002"/>
    <n v="-3.9100000000000003E-2"/>
    <n v="72"/>
    <n v="2.2000000000000002"/>
    <n v="66"/>
    <n v="2.4"/>
    <n v="0"/>
    <n v="0"/>
    <n v="2.415"/>
    <n v="9"/>
    <n v="0"/>
  </r>
  <r>
    <x v="0"/>
    <x v="0"/>
    <s v="SPXW"/>
    <x v="6"/>
    <x v="108"/>
    <s v="p"/>
    <n v="2.25"/>
    <n v="2.4500000000000002"/>
    <n v="2"/>
    <n v="2.4"/>
    <n v="21"/>
    <n v="112"/>
    <n v="2.35"/>
    <n v="142"/>
    <n v="2.5499999999999998"/>
    <n v="0"/>
    <n v="0"/>
    <n v="0"/>
    <n v="0"/>
    <n v="0.24030000000000001"/>
    <n v="-2.58E-2"/>
    <n v="2.0000000000000001E-4"/>
    <n v="-0.85499999999999998"/>
    <n v="0.67579999999999996"/>
    <n v="-4.0399999999999998E-2"/>
    <n v="66"/>
    <n v="2.25"/>
    <n v="48"/>
    <n v="2.4500000000000002"/>
    <n v="0"/>
    <n v="0"/>
    <n v="2.2290000000000001"/>
    <n v="224"/>
    <n v="0"/>
  </r>
  <r>
    <x v="0"/>
    <x v="0"/>
    <s v="SPXW"/>
    <x v="6"/>
    <x v="109"/>
    <s v="p"/>
    <n v="0"/>
    <n v="0"/>
    <n v="0"/>
    <n v="0"/>
    <n v="0"/>
    <n v="17"/>
    <n v="2.4500000000000002"/>
    <n v="34"/>
    <n v="2.6"/>
    <n v="0"/>
    <n v="0"/>
    <n v="0"/>
    <n v="0"/>
    <n v="0.2389"/>
    <n v="-2.64E-2"/>
    <n v="2.0000000000000001E-4"/>
    <n v="-0.86760000000000004"/>
    <n v="0.6885"/>
    <n v="-4.1300000000000003E-2"/>
    <n v="65"/>
    <n v="2.2999999999999998"/>
    <n v="24"/>
    <n v="2.5"/>
    <n v="0"/>
    <n v="0"/>
    <n v="0"/>
    <n v="16"/>
    <n v="0"/>
  </r>
  <r>
    <x v="0"/>
    <x v="0"/>
    <s v="SPXW"/>
    <x v="6"/>
    <x v="111"/>
    <s v="p"/>
    <n v="4.7"/>
    <n v="4.7"/>
    <n v="2.9"/>
    <n v="2.9"/>
    <n v="2"/>
    <n v="108"/>
    <n v="2.5499999999999998"/>
    <n v="144"/>
    <n v="2.75"/>
    <n v="0"/>
    <n v="0"/>
    <n v="0"/>
    <n v="0"/>
    <n v="0.23680000000000001"/>
    <n v="-2.8000000000000001E-2"/>
    <n v="2.9999999999999997E-4"/>
    <n v="-0.90639999999999998"/>
    <n v="0.72209999999999996"/>
    <n v="-4.3799999999999999E-2"/>
    <n v="71"/>
    <n v="2.4500000000000002"/>
    <n v="65"/>
    <n v="2.65"/>
    <n v="0"/>
    <n v="0"/>
    <n v="3.8"/>
    <n v="24"/>
    <n v="0"/>
  </r>
  <r>
    <x v="0"/>
    <x v="0"/>
    <s v="SPXW"/>
    <x v="6"/>
    <x v="113"/>
    <s v="p"/>
    <n v="2.7"/>
    <n v="4.04"/>
    <n v="2.02"/>
    <n v="4.04"/>
    <n v="30"/>
    <n v="136"/>
    <n v="2.7"/>
    <n v="29"/>
    <n v="2.85"/>
    <n v="0"/>
    <n v="0"/>
    <n v="0"/>
    <n v="0"/>
    <n v="0.23419999999999999"/>
    <n v="-2.9399999999999999E-2"/>
    <n v="2.9999999999999997E-4"/>
    <n v="-0.93730000000000002"/>
    <n v="0.75219999999999998"/>
    <n v="-4.5999999999999999E-2"/>
    <n v="63"/>
    <n v="2.5499999999999998"/>
    <n v="140"/>
    <n v="2.8"/>
    <n v="0"/>
    <n v="0"/>
    <n v="2.4533"/>
    <n v="142"/>
    <n v="0"/>
  </r>
  <r>
    <x v="0"/>
    <x v="0"/>
    <s v="SPXW"/>
    <x v="6"/>
    <x v="115"/>
    <s v="p"/>
    <n v="0"/>
    <n v="0"/>
    <n v="0"/>
    <n v="0"/>
    <n v="0"/>
    <n v="135"/>
    <n v="2.85"/>
    <n v="220"/>
    <n v="3.1"/>
    <n v="0"/>
    <n v="0"/>
    <n v="0"/>
    <n v="0"/>
    <n v="0.23169999999999999"/>
    <n v="-3.1099999999999999E-2"/>
    <n v="2.9999999999999997E-4"/>
    <n v="-0.97409999999999997"/>
    <n v="0.78700000000000003"/>
    <n v="-4.8599999999999997E-2"/>
    <n v="63"/>
    <n v="2.7"/>
    <n v="62"/>
    <n v="2.95"/>
    <n v="0"/>
    <n v="0"/>
    <n v="0"/>
    <n v="202"/>
    <n v="0"/>
  </r>
  <r>
    <x v="0"/>
    <x v="0"/>
    <s v="SPXW"/>
    <x v="6"/>
    <x v="117"/>
    <s v="p"/>
    <n v="5.9"/>
    <n v="5.9"/>
    <n v="5.9"/>
    <n v="5.9"/>
    <n v="2"/>
    <n v="181"/>
    <n v="3"/>
    <n v="32"/>
    <n v="3.2"/>
    <n v="0"/>
    <n v="0"/>
    <n v="0"/>
    <n v="0"/>
    <n v="0.22969999999999999"/>
    <n v="-3.2899999999999999E-2"/>
    <n v="2.9999999999999997E-4"/>
    <n v="-1.0166999999999999"/>
    <n v="0.82550000000000001"/>
    <n v="-5.1499999999999997E-2"/>
    <n v="61"/>
    <n v="2.85"/>
    <n v="23"/>
    <n v="3.1"/>
    <n v="0"/>
    <n v="0"/>
    <n v="5.9"/>
    <n v="24"/>
    <n v="0"/>
  </r>
  <r>
    <x v="0"/>
    <x v="0"/>
    <s v="SPXW"/>
    <x v="6"/>
    <x v="118"/>
    <s v="p"/>
    <n v="2.27"/>
    <n v="5.4"/>
    <n v="2.27"/>
    <n v="3.99"/>
    <n v="28"/>
    <n v="119"/>
    <n v="3.1"/>
    <n v="93"/>
    <n v="3.3"/>
    <n v="0"/>
    <n v="0"/>
    <n v="0"/>
    <n v="0"/>
    <n v="0.22869999999999999"/>
    <n v="-3.4000000000000002E-2"/>
    <n v="2.9999999999999997E-4"/>
    <n v="-1.0407"/>
    <n v="0.84670000000000001"/>
    <n v="-5.3199999999999997E-2"/>
    <n v="61"/>
    <n v="2.95"/>
    <n v="59"/>
    <n v="3.2"/>
    <n v="0"/>
    <n v="0"/>
    <n v="4.5914000000000001"/>
    <n v="154"/>
    <n v="0"/>
  </r>
  <r>
    <x v="0"/>
    <x v="0"/>
    <s v="SPXW"/>
    <x v="6"/>
    <x v="119"/>
    <s v="p"/>
    <n v="2.59"/>
    <n v="5.0999999999999996"/>
    <n v="2.37"/>
    <n v="4.0999999999999996"/>
    <n v="180"/>
    <n v="91"/>
    <n v="3.2"/>
    <n v="126"/>
    <n v="3.4"/>
    <n v="0"/>
    <n v="0"/>
    <n v="0"/>
    <n v="0"/>
    <n v="0.2276"/>
    <n v="-3.5000000000000003E-2"/>
    <n v="2.9999999999999997E-4"/>
    <n v="-1.0643"/>
    <n v="0.86809999999999998"/>
    <n v="-5.4899999999999997E-2"/>
    <n v="69"/>
    <n v="3"/>
    <n v="59"/>
    <n v="3.3"/>
    <n v="0"/>
    <n v="0"/>
    <n v="4.4579000000000004"/>
    <n v="62"/>
    <n v="0"/>
  </r>
  <r>
    <x v="0"/>
    <x v="0"/>
    <s v="SPXW"/>
    <x v="6"/>
    <x v="121"/>
    <s v="p"/>
    <n v="2.79"/>
    <n v="5.7"/>
    <n v="2.72"/>
    <n v="5.36"/>
    <n v="32"/>
    <n v="275"/>
    <n v="3.3"/>
    <n v="119"/>
    <n v="3.6"/>
    <n v="0"/>
    <n v="0"/>
    <n v="0"/>
    <n v="0"/>
    <n v="0.22470000000000001"/>
    <n v="-3.6799999999999999E-2"/>
    <n v="2.9999999999999997E-4"/>
    <n v="-1.0975999999999999"/>
    <n v="0.90359999999999996"/>
    <n v="-5.7700000000000001E-2"/>
    <n v="69"/>
    <n v="3.2"/>
    <n v="60"/>
    <n v="3.5"/>
    <n v="0"/>
    <n v="0"/>
    <n v="5.2022000000000004"/>
    <n v="13"/>
    <n v="0"/>
  </r>
  <r>
    <x v="0"/>
    <x v="0"/>
    <s v="SPXW"/>
    <x v="6"/>
    <x v="123"/>
    <s v="p"/>
    <n v="3.36"/>
    <n v="6.64"/>
    <n v="2.62"/>
    <n v="3.9"/>
    <n v="168"/>
    <n v="269"/>
    <n v="3.5"/>
    <n v="57"/>
    <n v="3.8"/>
    <n v="0"/>
    <n v="0"/>
    <n v="0"/>
    <n v="0"/>
    <n v="0.22239999999999999"/>
    <n v="-3.9E-2"/>
    <n v="4.0000000000000002E-4"/>
    <n v="-1.1427"/>
    <n v="0.9456"/>
    <n v="-6.1199999999999997E-2"/>
    <n v="66"/>
    <n v="3.4"/>
    <n v="57"/>
    <n v="3.7"/>
    <n v="0"/>
    <n v="0"/>
    <n v="4.7637"/>
    <n v="601"/>
    <n v="0"/>
  </r>
  <r>
    <x v="0"/>
    <x v="0"/>
    <s v="SPXW"/>
    <x v="6"/>
    <x v="125"/>
    <s v="p"/>
    <n v="6.1"/>
    <n v="6.3"/>
    <n v="6.1"/>
    <n v="6.2"/>
    <n v="20"/>
    <n v="160"/>
    <n v="3.8"/>
    <n v="29"/>
    <n v="4"/>
    <n v="0"/>
    <n v="0"/>
    <n v="0"/>
    <n v="0"/>
    <n v="0.22070000000000001"/>
    <n v="-4.1500000000000002E-2"/>
    <n v="4.0000000000000002E-4"/>
    <n v="-1.1989000000000001"/>
    <n v="0.99409999999999998"/>
    <n v="-6.5199999999999994E-2"/>
    <n v="58"/>
    <n v="3.6"/>
    <n v="21"/>
    <n v="3.9"/>
    <n v="0"/>
    <n v="0"/>
    <n v="6.2350000000000003"/>
    <n v="34"/>
    <n v="0"/>
  </r>
  <r>
    <x v="0"/>
    <x v="0"/>
    <s v="SPXW"/>
    <x v="6"/>
    <x v="127"/>
    <s v="p"/>
    <n v="3.35"/>
    <n v="4.8"/>
    <n v="3"/>
    <n v="4.49"/>
    <n v="23"/>
    <n v="233"/>
    <n v="4"/>
    <n v="103"/>
    <n v="4.3"/>
    <n v="0"/>
    <n v="0"/>
    <n v="0"/>
    <n v="0"/>
    <n v="0.21859999999999999"/>
    <n v="-4.4200000000000003E-2"/>
    <n v="4.0000000000000002E-4"/>
    <n v="-1.2528999999999999"/>
    <n v="1.0435000000000001"/>
    <n v="-6.93E-2"/>
    <n v="56"/>
    <n v="3.9"/>
    <n v="57"/>
    <n v="4.2"/>
    <n v="0"/>
    <n v="0"/>
    <n v="4.3960999999999997"/>
    <n v="111"/>
    <n v="0"/>
  </r>
  <r>
    <x v="0"/>
    <x v="0"/>
    <s v="SPXW"/>
    <x v="6"/>
    <x v="128"/>
    <s v="p"/>
    <n v="3.9"/>
    <n v="5.72"/>
    <n v="2.9"/>
    <n v="4.37"/>
    <n v="112"/>
    <n v="96"/>
    <n v="4.2"/>
    <n v="46"/>
    <n v="4.4000000000000004"/>
    <n v="0"/>
    <n v="0"/>
    <n v="0"/>
    <n v="0"/>
    <n v="0.21709999999999999"/>
    <n v="-4.53E-2"/>
    <n v="4.0000000000000002E-4"/>
    <n v="-1.2730999999999999"/>
    <n v="1.0657000000000001"/>
    <n v="-7.1199999999999999E-2"/>
    <n v="66"/>
    <n v="4"/>
    <n v="29"/>
    <n v="4.3"/>
    <n v="0"/>
    <n v="0"/>
    <n v="4.5145999999999997"/>
    <n v="2250"/>
    <n v="0"/>
  </r>
  <r>
    <x v="0"/>
    <x v="0"/>
    <s v="SPXW"/>
    <x v="6"/>
    <x v="129"/>
    <s v="p"/>
    <n v="3.55"/>
    <n v="5.0999999999999996"/>
    <n v="3.3"/>
    <n v="4.5"/>
    <n v="78"/>
    <n v="142"/>
    <n v="4.3"/>
    <n v="137"/>
    <n v="4.5999999999999996"/>
    <n v="0"/>
    <n v="0"/>
    <n v="0"/>
    <n v="0"/>
    <n v="0.2162"/>
    <n v="-4.6899999999999997E-2"/>
    <n v="4.0000000000000002E-4"/>
    <n v="-1.3047"/>
    <n v="1.0941000000000001"/>
    <n v="-7.3599999999999999E-2"/>
    <n v="61"/>
    <n v="4.0999999999999996"/>
    <n v="19"/>
    <n v="4.4000000000000004"/>
    <n v="0"/>
    <n v="0"/>
    <n v="4.6007999999999996"/>
    <n v="114"/>
    <n v="0"/>
  </r>
  <r>
    <x v="0"/>
    <x v="0"/>
    <s v="SPXW"/>
    <x v="6"/>
    <x v="131"/>
    <s v="p"/>
    <n v="4.3"/>
    <n v="7.28"/>
    <n v="4.3"/>
    <n v="4.7"/>
    <n v="92"/>
    <n v="156"/>
    <n v="4.5999999999999996"/>
    <n v="14"/>
    <n v="4.8"/>
    <n v="0"/>
    <n v="0"/>
    <n v="0"/>
    <n v="0"/>
    <n v="0.21429999999999999"/>
    <n v="-0.05"/>
    <n v="5.0000000000000001E-4"/>
    <n v="-1.3664000000000001"/>
    <n v="1.1507000000000001"/>
    <n v="-7.85E-2"/>
    <n v="9"/>
    <n v="4.5"/>
    <n v="28"/>
    <n v="4.7"/>
    <n v="0"/>
    <n v="0"/>
    <n v="5.1298000000000004"/>
    <n v="241"/>
    <n v="0"/>
  </r>
  <r>
    <x v="0"/>
    <x v="0"/>
    <s v="SPXW"/>
    <x v="6"/>
    <x v="133"/>
    <s v="p"/>
    <n v="3.9"/>
    <n v="8.8000000000000007"/>
    <n v="3.9"/>
    <n v="5.2"/>
    <n v="90"/>
    <n v="150"/>
    <n v="4.9000000000000004"/>
    <n v="86"/>
    <n v="5.2"/>
    <n v="0"/>
    <n v="0"/>
    <n v="0"/>
    <n v="0"/>
    <n v="0.21260000000000001"/>
    <n v="-5.3499999999999999E-2"/>
    <n v="5.0000000000000001E-4"/>
    <n v="-1.4368000000000001"/>
    <n v="1.2128000000000001"/>
    <n v="-8.4099999999999994E-2"/>
    <n v="39"/>
    <n v="4.7"/>
    <n v="39"/>
    <n v="5.0999999999999996"/>
    <n v="0"/>
    <n v="0"/>
    <n v="5.1801000000000004"/>
    <n v="159"/>
    <n v="0"/>
  </r>
  <r>
    <x v="0"/>
    <x v="0"/>
    <s v="SPXW"/>
    <x v="6"/>
    <x v="134"/>
    <s v="p"/>
    <n v="4"/>
    <n v="5.16"/>
    <n v="4"/>
    <n v="5.16"/>
    <n v="5"/>
    <n v="25"/>
    <n v="5.0999999999999996"/>
    <n v="91"/>
    <n v="5.4"/>
    <n v="0"/>
    <n v="0"/>
    <n v="0"/>
    <n v="0"/>
    <n v="0.21079999999999999"/>
    <n v="-5.4800000000000001E-2"/>
    <n v="5.0000000000000001E-4"/>
    <n v="-1.4539"/>
    <n v="1.2357"/>
    <n v="-8.6199999999999999E-2"/>
    <n v="19"/>
    <n v="4.9000000000000004"/>
    <n v="19"/>
    <n v="5.2"/>
    <n v="0"/>
    <n v="0"/>
    <n v="4.9160000000000004"/>
    <n v="11"/>
    <n v="0"/>
  </r>
  <r>
    <x v="0"/>
    <x v="0"/>
    <s v="SPXW"/>
    <x v="6"/>
    <x v="135"/>
    <s v="p"/>
    <n v="4.0999999999999996"/>
    <n v="7.36"/>
    <n v="4.0999999999999996"/>
    <n v="7.36"/>
    <n v="4"/>
    <n v="118"/>
    <n v="5.2"/>
    <n v="25"/>
    <n v="5.5"/>
    <n v="0"/>
    <n v="0"/>
    <n v="0"/>
    <n v="0"/>
    <n v="0.21010000000000001"/>
    <n v="-5.67E-2"/>
    <n v="5.0000000000000001E-4"/>
    <n v="-1.4930000000000001"/>
    <n v="1.2690999999999999"/>
    <n v="-8.9300000000000004E-2"/>
    <n v="38"/>
    <n v="5.0999999999999996"/>
    <n v="38"/>
    <n v="5.4"/>
    <n v="0"/>
    <n v="0"/>
    <n v="6.0075000000000003"/>
    <n v="36"/>
    <n v="0"/>
  </r>
  <r>
    <x v="0"/>
    <x v="0"/>
    <s v="SPXW"/>
    <x v="6"/>
    <x v="136"/>
    <s v="p"/>
    <n v="4.2"/>
    <n v="7.33"/>
    <n v="4.2"/>
    <n v="7.33"/>
    <n v="2"/>
    <n v="119"/>
    <n v="5.4"/>
    <n v="26"/>
    <n v="5.7"/>
    <n v="0"/>
    <n v="0"/>
    <n v="0"/>
    <n v="0"/>
    <n v="0.20949999999999999"/>
    <n v="-5.8700000000000002E-2"/>
    <n v="5.0000000000000001E-4"/>
    <n v="-1.5316000000000001"/>
    <n v="1.3019000000000001"/>
    <n v="-9.2399999999999996E-2"/>
    <n v="20"/>
    <n v="5.2"/>
    <n v="18"/>
    <n v="5.6"/>
    <n v="0"/>
    <n v="0"/>
    <n v="5.7649999999999997"/>
    <n v="1"/>
    <n v="0"/>
  </r>
  <r>
    <x v="0"/>
    <x v="0"/>
    <s v="SPXW"/>
    <x v="6"/>
    <x v="137"/>
    <s v="p"/>
    <n v="4.3"/>
    <n v="4.3"/>
    <n v="4"/>
    <n v="4.0999999999999996"/>
    <n v="4"/>
    <n v="136"/>
    <n v="5.6"/>
    <n v="79"/>
    <n v="5.9"/>
    <n v="0"/>
    <n v="0"/>
    <n v="0"/>
    <n v="0"/>
    <n v="0.20860000000000001"/>
    <n v="-6.0699999999999997E-2"/>
    <n v="5.0000000000000001E-4"/>
    <n v="-1.5689"/>
    <n v="1.3352999999999999"/>
    <n v="-9.5600000000000004E-2"/>
    <n v="37"/>
    <n v="5.4"/>
    <n v="38"/>
    <n v="5.8"/>
    <n v="0"/>
    <n v="0"/>
    <n v="4.125"/>
    <n v="82"/>
    <n v="0"/>
  </r>
  <r>
    <x v="0"/>
    <x v="0"/>
    <s v="SPXW"/>
    <x v="6"/>
    <x v="138"/>
    <s v="p"/>
    <n v="4.57"/>
    <n v="7.44"/>
    <n v="3.89"/>
    <n v="5.85"/>
    <n v="218"/>
    <n v="63"/>
    <n v="5.8"/>
    <n v="79"/>
    <n v="6.1"/>
    <n v="0"/>
    <n v="0"/>
    <n v="0"/>
    <n v="0"/>
    <n v="0.20760000000000001"/>
    <n v="-6.2700000000000006E-2"/>
    <n v="5.9999999999999995E-4"/>
    <n v="-1.6053999999999999"/>
    <n v="1.3689"/>
    <n v="-9.8699999999999996E-2"/>
    <n v="37"/>
    <n v="5.6"/>
    <n v="37"/>
    <n v="6"/>
    <n v="0"/>
    <n v="0"/>
    <n v="4.7401"/>
    <n v="166"/>
    <n v="0"/>
  </r>
  <r>
    <x v="0"/>
    <x v="0"/>
    <s v="SPXW"/>
    <x v="6"/>
    <x v="139"/>
    <s v="p"/>
    <n v="4.92"/>
    <n v="10.75"/>
    <n v="4.9000000000000004"/>
    <n v="5.95"/>
    <n v="28"/>
    <n v="63"/>
    <n v="6"/>
    <n v="75"/>
    <n v="6.3"/>
    <n v="0"/>
    <n v="0"/>
    <n v="0"/>
    <n v="0"/>
    <n v="0.20660000000000001"/>
    <n v="-6.4699999999999994E-2"/>
    <n v="5.9999999999999995E-4"/>
    <n v="-1.641"/>
    <n v="1.4027000000000001"/>
    <n v="-0.1019"/>
    <n v="37"/>
    <n v="5.8"/>
    <n v="37"/>
    <n v="6.2"/>
    <n v="0"/>
    <n v="0"/>
    <n v="7.6181999999999999"/>
    <n v="215"/>
    <n v="0"/>
  </r>
  <r>
    <x v="0"/>
    <x v="0"/>
    <s v="SPXW"/>
    <x v="6"/>
    <x v="140"/>
    <s v="p"/>
    <n v="4.5"/>
    <n v="4.5"/>
    <n v="4.5"/>
    <n v="4.5"/>
    <n v="2"/>
    <n v="43"/>
    <n v="6.2"/>
    <n v="25"/>
    <n v="6.5"/>
    <n v="0"/>
    <n v="0"/>
    <n v="0"/>
    <n v="0"/>
    <n v="0.20549999999999999"/>
    <n v="-6.6799999999999998E-2"/>
    <n v="5.9999999999999995E-4"/>
    <n v="-1.6758"/>
    <n v="1.4366000000000001"/>
    <n v="-0.1052"/>
    <n v="19"/>
    <n v="6"/>
    <n v="18"/>
    <n v="6.4"/>
    <n v="0"/>
    <n v="0"/>
    <n v="4.5"/>
    <n v="14"/>
    <n v="0"/>
  </r>
  <r>
    <x v="0"/>
    <x v="0"/>
    <s v="SPXW"/>
    <x v="6"/>
    <x v="141"/>
    <s v="p"/>
    <n v="8.7200000000000006"/>
    <n v="8.7200000000000006"/>
    <n v="8.7200000000000006"/>
    <n v="8.7200000000000006"/>
    <n v="1"/>
    <n v="95"/>
    <n v="6.4"/>
    <n v="23"/>
    <n v="6.7"/>
    <n v="0"/>
    <n v="0"/>
    <n v="0"/>
    <n v="0"/>
    <n v="0.2044"/>
    <n v="-6.8900000000000003E-2"/>
    <n v="5.9999999999999995E-4"/>
    <n v="-1.7098"/>
    <n v="1.4705999999999999"/>
    <n v="-0.1085"/>
    <n v="36"/>
    <n v="6.3"/>
    <n v="36"/>
    <n v="6.6"/>
    <n v="0"/>
    <n v="0"/>
    <n v="8.7200000000000006"/>
    <n v="90"/>
    <n v="0"/>
  </r>
  <r>
    <x v="0"/>
    <x v="0"/>
    <s v="SPXW"/>
    <x v="6"/>
    <x v="142"/>
    <s v="p"/>
    <n v="9.01"/>
    <n v="9.6300000000000008"/>
    <n v="9.01"/>
    <n v="9.6300000000000008"/>
    <n v="26"/>
    <n v="41"/>
    <n v="6.7"/>
    <n v="61"/>
    <n v="7"/>
    <n v="0"/>
    <n v="0"/>
    <n v="0"/>
    <n v="0"/>
    <n v="0.20349999999999999"/>
    <n v="-7.1400000000000005E-2"/>
    <n v="5.9999999999999995E-4"/>
    <n v="-1.7525999999999999"/>
    <n v="1.5103"/>
    <n v="-0.1125"/>
    <n v="18"/>
    <n v="6.5"/>
    <n v="17"/>
    <n v="6.8"/>
    <n v="0"/>
    <n v="0"/>
    <n v="9.3341999999999992"/>
    <n v="5"/>
    <n v="0"/>
  </r>
  <r>
    <x v="0"/>
    <x v="0"/>
    <s v="SPXW"/>
    <x v="6"/>
    <x v="143"/>
    <s v="p"/>
    <n v="5.57"/>
    <n v="12.05"/>
    <n v="4.51"/>
    <n v="6.8"/>
    <n v="81"/>
    <n v="67"/>
    <n v="6.9"/>
    <n v="40"/>
    <n v="7.2"/>
    <n v="0"/>
    <n v="0"/>
    <n v="0"/>
    <n v="0"/>
    <n v="0.20269999999999999"/>
    <n v="-7.3800000000000004E-2"/>
    <n v="5.9999999999999995E-4"/>
    <n v="-1.7948"/>
    <n v="1.5485"/>
    <n v="-0.1164"/>
    <n v="44"/>
    <n v="6.7"/>
    <n v="8"/>
    <n v="7"/>
    <n v="0"/>
    <n v="0"/>
    <n v="8.0737000000000005"/>
    <n v="1740"/>
    <n v="0"/>
  </r>
  <r>
    <x v="0"/>
    <x v="0"/>
    <s v="SPXW"/>
    <x v="6"/>
    <x v="144"/>
    <s v="p"/>
    <n v="10"/>
    <n v="10"/>
    <n v="8.26"/>
    <n v="8.26"/>
    <n v="17"/>
    <n v="22"/>
    <n v="7.2"/>
    <n v="59"/>
    <n v="7.5"/>
    <n v="0"/>
    <n v="0"/>
    <n v="0"/>
    <n v="0"/>
    <n v="0.20130000000000001"/>
    <n v="-7.5999999999999998E-2"/>
    <n v="6.9999999999999999E-4"/>
    <n v="-1.8257000000000001"/>
    <n v="1.5826"/>
    <n v="-0.11990000000000001"/>
    <n v="18"/>
    <n v="7"/>
    <n v="17"/>
    <n v="7.3"/>
    <n v="0"/>
    <n v="0"/>
    <n v="9.1376000000000008"/>
    <n v="17"/>
    <n v="0"/>
  </r>
  <r>
    <x v="0"/>
    <x v="0"/>
    <s v="SPXW"/>
    <x v="6"/>
    <x v="145"/>
    <s v="p"/>
    <n v="7.47"/>
    <n v="10.74"/>
    <n v="7.47"/>
    <n v="7.88"/>
    <n v="40"/>
    <n v="57"/>
    <n v="7.4"/>
    <n v="22"/>
    <n v="7.7"/>
    <n v="0"/>
    <n v="0"/>
    <n v="0"/>
    <n v="0"/>
    <n v="0.20069999999999999"/>
    <n v="-7.8799999999999995E-2"/>
    <n v="6.9999999999999999E-4"/>
    <n v="-1.8753"/>
    <n v="1.625"/>
    <n v="-0.1244"/>
    <n v="35"/>
    <n v="7.2"/>
    <n v="36"/>
    <n v="7.6"/>
    <n v="0"/>
    <n v="0"/>
    <n v="8.1918000000000006"/>
    <n v="50"/>
    <n v="0"/>
  </r>
  <r>
    <x v="0"/>
    <x v="0"/>
    <s v="SPXW"/>
    <x v="6"/>
    <x v="146"/>
    <s v="p"/>
    <n v="5.7"/>
    <n v="10.65"/>
    <n v="5.7"/>
    <n v="10.65"/>
    <n v="6"/>
    <n v="45"/>
    <n v="7.7"/>
    <n v="29"/>
    <n v="8"/>
    <n v="0"/>
    <n v="0"/>
    <n v="0"/>
    <n v="0"/>
    <n v="0.2"/>
    <n v="-8.1600000000000006E-2"/>
    <n v="6.9999999999999999E-4"/>
    <n v="-1.9232"/>
    <n v="1.6674"/>
    <n v="-0.12889999999999999"/>
    <n v="17"/>
    <n v="7.5"/>
    <n v="15"/>
    <n v="7.8"/>
    <n v="0"/>
    <n v="0"/>
    <n v="9.8249999999999993"/>
    <n v="1"/>
    <n v="0"/>
  </r>
  <r>
    <x v="0"/>
    <x v="0"/>
    <s v="SPXW"/>
    <x v="6"/>
    <x v="147"/>
    <s v="p"/>
    <n v="9.69"/>
    <n v="11.89"/>
    <n v="8.59"/>
    <n v="8.59"/>
    <n v="27"/>
    <n v="80"/>
    <n v="8"/>
    <n v="46"/>
    <n v="8.3000000000000007"/>
    <n v="0"/>
    <n v="0"/>
    <n v="0"/>
    <n v="0"/>
    <n v="0.1988"/>
    <n v="-8.4199999999999997E-2"/>
    <n v="6.9999999999999999E-4"/>
    <n v="-1.9603999999999999"/>
    <n v="1.7056"/>
    <n v="-0.13300000000000001"/>
    <n v="43"/>
    <n v="7.8"/>
    <n v="31"/>
    <n v="8.1"/>
    <n v="0"/>
    <n v="0"/>
    <n v="10.542199999999999"/>
    <n v="134"/>
    <n v="0"/>
  </r>
  <r>
    <x v="0"/>
    <x v="0"/>
    <s v="SPXW"/>
    <x v="6"/>
    <x v="148"/>
    <s v="p"/>
    <n v="6.13"/>
    <n v="11.74"/>
    <n v="5.7"/>
    <n v="8"/>
    <n v="256"/>
    <n v="61"/>
    <n v="8.3000000000000007"/>
    <n v="46"/>
    <n v="8.6"/>
    <n v="0"/>
    <n v="0"/>
    <n v="0"/>
    <n v="0"/>
    <n v="0.19789999999999999"/>
    <n v="-8.7099999999999997E-2"/>
    <n v="8.0000000000000004E-4"/>
    <n v="-2.0057999999999998"/>
    <n v="1.7479"/>
    <n v="-0.1376"/>
    <n v="43"/>
    <n v="8.1"/>
    <n v="30"/>
    <n v="8.4"/>
    <n v="0"/>
    <n v="0"/>
    <n v="7.0128000000000004"/>
    <n v="685"/>
    <n v="0"/>
  </r>
  <r>
    <x v="0"/>
    <x v="0"/>
    <s v="SPXW"/>
    <x v="6"/>
    <x v="149"/>
    <s v="p"/>
    <n v="11.28"/>
    <n v="11.28"/>
    <n v="8.75"/>
    <n v="8.76"/>
    <n v="16"/>
    <n v="44"/>
    <n v="8.6"/>
    <n v="30"/>
    <n v="8.9"/>
    <n v="0"/>
    <n v="0"/>
    <n v="0"/>
    <n v="0"/>
    <n v="0.19719999999999999"/>
    <n v="-9.0399999999999994E-2"/>
    <n v="8.0000000000000004E-4"/>
    <n v="-2.0586000000000002"/>
    <n v="1.7945"/>
    <n v="-0.14269999999999999"/>
    <n v="36"/>
    <n v="8.4"/>
    <n v="23"/>
    <n v="8.6999999999999993"/>
    <n v="0"/>
    <n v="0"/>
    <n v="9.8519000000000005"/>
    <n v="142"/>
    <n v="0"/>
  </r>
  <r>
    <x v="0"/>
    <x v="0"/>
    <s v="SPXW"/>
    <x v="6"/>
    <x v="150"/>
    <s v="p"/>
    <n v="6.44"/>
    <n v="9.1999999999999993"/>
    <n v="6"/>
    <n v="9.1999999999999993"/>
    <n v="8"/>
    <n v="43"/>
    <n v="8.9"/>
    <n v="29"/>
    <n v="9.1999999999999993"/>
    <n v="0"/>
    <n v="0"/>
    <n v="0"/>
    <n v="0"/>
    <n v="0.19620000000000001"/>
    <n v="-9.3299999999999994E-2"/>
    <n v="8.0000000000000004E-4"/>
    <n v="-2.1013000000000002"/>
    <n v="1.8368"/>
    <n v="-0.1474"/>
    <n v="19"/>
    <n v="8.6999999999999993"/>
    <n v="23"/>
    <n v="9"/>
    <n v="0"/>
    <n v="0"/>
    <n v="6.97"/>
    <n v="13"/>
    <n v="0"/>
  </r>
  <r>
    <x v="0"/>
    <x v="0"/>
    <s v="SPXW"/>
    <x v="6"/>
    <x v="151"/>
    <s v="p"/>
    <n v="6.78"/>
    <n v="10.39"/>
    <n v="6.78"/>
    <n v="9.1199999999999992"/>
    <n v="78"/>
    <n v="74"/>
    <n v="9.1999999999999993"/>
    <n v="36"/>
    <n v="9.5"/>
    <n v="0"/>
    <n v="0"/>
    <n v="0"/>
    <n v="0"/>
    <n v="0.1951"/>
    <n v="-9.6299999999999997E-2"/>
    <n v="8.0000000000000004E-4"/>
    <n v="-2.1427999999999998"/>
    <n v="1.8792"/>
    <n v="-0.15210000000000001"/>
    <n v="43"/>
    <n v="9"/>
    <n v="6"/>
    <n v="9.3000000000000007"/>
    <n v="0"/>
    <n v="0"/>
    <n v="9.3302999999999994"/>
    <n v="140"/>
    <n v="0"/>
  </r>
  <r>
    <x v="0"/>
    <x v="0"/>
    <s v="SPXW"/>
    <x v="6"/>
    <x v="152"/>
    <s v="p"/>
    <n v="7.8"/>
    <n v="9.24"/>
    <n v="7.45"/>
    <n v="9.24"/>
    <n v="19"/>
    <n v="40"/>
    <n v="9.6"/>
    <n v="30"/>
    <n v="9.9"/>
    <n v="0"/>
    <n v="0"/>
    <n v="0"/>
    <n v="0"/>
    <n v="0.19420000000000001"/>
    <n v="-9.9599999999999994E-2"/>
    <n v="8.0000000000000004E-4"/>
    <n v="-2.1911"/>
    <n v="1.9256"/>
    <n v="-0.1575"/>
    <n v="19"/>
    <n v="9.4"/>
    <n v="23"/>
    <n v="9.6999999999999993"/>
    <n v="0"/>
    <n v="0"/>
    <n v="8.7667999999999999"/>
    <n v="97"/>
    <n v="0"/>
  </r>
  <r>
    <x v="0"/>
    <x v="0"/>
    <s v="SPXW"/>
    <x v="6"/>
    <x v="153"/>
    <s v="p"/>
    <n v="8.07"/>
    <n v="14.97"/>
    <n v="6.52"/>
    <n v="9.75"/>
    <n v="166"/>
    <n v="69"/>
    <n v="9.9"/>
    <n v="35"/>
    <n v="10.199999999999999"/>
    <n v="0"/>
    <n v="0"/>
    <n v="0"/>
    <n v="0"/>
    <n v="0.1933"/>
    <n v="-0.10299999999999999"/>
    <n v="8.9999999999999998E-4"/>
    <n v="-2.238"/>
    <n v="1.9714"/>
    <n v="-0.16289999999999999"/>
    <n v="43"/>
    <n v="9.6999999999999993"/>
    <n v="6"/>
    <n v="10"/>
    <n v="0"/>
    <n v="0"/>
    <n v="9.6775000000000002"/>
    <n v="137"/>
    <n v="0"/>
  </r>
  <r>
    <x v="0"/>
    <x v="0"/>
    <s v="SPXW"/>
    <x v="6"/>
    <x v="154"/>
    <s v="p"/>
    <n v="7.95"/>
    <n v="13.13"/>
    <n v="7.95"/>
    <n v="10.19"/>
    <n v="6"/>
    <n v="42"/>
    <n v="10.3"/>
    <n v="31"/>
    <n v="10.6"/>
    <n v="0"/>
    <n v="0"/>
    <n v="0"/>
    <n v="0"/>
    <n v="0.19270000000000001"/>
    <n v="-0.1066"/>
    <n v="8.9999999999999998E-4"/>
    <n v="-2.2917999999999998"/>
    <n v="2.0198"/>
    <n v="-0.16880000000000001"/>
    <n v="18"/>
    <n v="10.1"/>
    <n v="23"/>
    <n v="10.4"/>
    <n v="0"/>
    <n v="0"/>
    <n v="10.45"/>
    <n v="42"/>
    <n v="0"/>
  </r>
  <r>
    <x v="0"/>
    <x v="0"/>
    <s v="SPXW"/>
    <x v="6"/>
    <x v="155"/>
    <s v="p"/>
    <n v="8.6300000000000008"/>
    <n v="13.05"/>
    <n v="6.85"/>
    <n v="11.03"/>
    <n v="23"/>
    <n v="42"/>
    <n v="10.7"/>
    <n v="30"/>
    <n v="11"/>
    <n v="0"/>
    <n v="0"/>
    <n v="0"/>
    <n v="0"/>
    <n v="0.19170000000000001"/>
    <n v="-0.1104"/>
    <n v="8.9999999999999998E-4"/>
    <n v="-2.3428"/>
    <n v="2.0689000000000002"/>
    <n v="-0.1749"/>
    <n v="18"/>
    <n v="10.5"/>
    <n v="23"/>
    <n v="10.8"/>
    <n v="0"/>
    <n v="0"/>
    <n v="11.405200000000001"/>
    <n v="69"/>
    <n v="0"/>
  </r>
  <r>
    <x v="0"/>
    <x v="0"/>
    <s v="SPXW"/>
    <x v="6"/>
    <x v="156"/>
    <s v="p"/>
    <n v="8.69"/>
    <n v="14.55"/>
    <n v="8.69"/>
    <n v="11.07"/>
    <n v="6"/>
    <n v="39"/>
    <n v="11.1"/>
    <n v="29"/>
    <n v="11.4"/>
    <n v="0"/>
    <n v="0"/>
    <n v="0"/>
    <n v="0"/>
    <n v="0.1908"/>
    <n v="-0.11409999999999999"/>
    <n v="8.9999999999999998E-4"/>
    <n v="-2.3923999999999999"/>
    <n v="2.1166"/>
    <n v="-0.18079999999999999"/>
    <n v="18"/>
    <n v="10.9"/>
    <n v="23"/>
    <n v="11.2"/>
    <n v="0"/>
    <n v="0"/>
    <n v="11.4133"/>
    <n v="14"/>
    <n v="0"/>
  </r>
  <r>
    <x v="0"/>
    <x v="0"/>
    <s v="SPXW"/>
    <x v="6"/>
    <x v="157"/>
    <s v="p"/>
    <n v="9.1"/>
    <n v="15.05"/>
    <n v="9.1"/>
    <n v="11.03"/>
    <n v="11"/>
    <n v="39"/>
    <n v="11.5"/>
    <n v="29"/>
    <n v="11.8"/>
    <n v="0"/>
    <n v="0"/>
    <n v="0"/>
    <n v="0"/>
    <n v="0.1898"/>
    <n v="-0.1179"/>
    <n v="1E-3"/>
    <n v="-2.4403999999999999"/>
    <n v="2.1640999999999999"/>
    <n v="-0.18679999999999999"/>
    <n v="17"/>
    <n v="11.3"/>
    <n v="22"/>
    <n v="11.6"/>
    <n v="0"/>
    <n v="0"/>
    <n v="11.2445"/>
    <n v="40"/>
    <n v="0"/>
  </r>
  <r>
    <x v="0"/>
    <x v="0"/>
    <s v="SPXW"/>
    <x v="6"/>
    <x v="158"/>
    <s v="p"/>
    <n v="8.6199999999999992"/>
    <n v="14.35"/>
    <n v="8.4700000000000006"/>
    <n v="12.2"/>
    <n v="65"/>
    <n v="39"/>
    <n v="11.9"/>
    <n v="20"/>
    <n v="12.2"/>
    <n v="0"/>
    <n v="0"/>
    <n v="0"/>
    <n v="0"/>
    <n v="0.18890000000000001"/>
    <n v="-0.1216"/>
    <n v="1E-3"/>
    <n v="-2.4872000000000001"/>
    <n v="2.2105999999999999"/>
    <n v="-0.19270000000000001"/>
    <n v="17"/>
    <n v="11.7"/>
    <n v="5"/>
    <n v="12"/>
    <n v="0"/>
    <n v="0"/>
    <n v="10.839700000000001"/>
    <n v="147"/>
    <n v="0"/>
  </r>
  <r>
    <x v="0"/>
    <x v="0"/>
    <s v="SPXW"/>
    <x v="6"/>
    <x v="159"/>
    <s v="p"/>
    <n v="16.8"/>
    <n v="16.8"/>
    <n v="12.47"/>
    <n v="12.65"/>
    <n v="5"/>
    <n v="28"/>
    <n v="12.4"/>
    <n v="28"/>
    <n v="12.7"/>
    <n v="0"/>
    <n v="0"/>
    <n v="0"/>
    <n v="0"/>
    <n v="0.18790000000000001"/>
    <n v="-0.1258"/>
    <n v="1E-3"/>
    <n v="-2.5383"/>
    <n v="2.2625000000000002"/>
    <n v="-0.19939999999999999"/>
    <n v="34"/>
    <n v="12.1"/>
    <n v="22"/>
    <n v="12.5"/>
    <n v="0"/>
    <n v="0"/>
    <n v="13.884"/>
    <n v="206"/>
    <n v="0"/>
  </r>
  <r>
    <x v="0"/>
    <x v="0"/>
    <s v="SPXW"/>
    <x v="6"/>
    <x v="160"/>
    <s v="p"/>
    <n v="11.32"/>
    <n v="15.88"/>
    <n v="9.6999999999999993"/>
    <n v="13.96"/>
    <n v="6"/>
    <n v="37"/>
    <n v="12.8"/>
    <n v="29"/>
    <n v="13.2"/>
    <n v="0"/>
    <n v="0"/>
    <n v="0"/>
    <n v="0"/>
    <n v="0.187"/>
    <n v="-0.13"/>
    <n v="1.1000000000000001E-3"/>
    <n v="-2.5880999999999998"/>
    <n v="2.3132000000000001"/>
    <n v="-0.20599999999999999"/>
    <n v="17"/>
    <n v="12.6"/>
    <n v="5"/>
    <n v="12.9"/>
    <n v="0"/>
    <n v="0"/>
    <n v="12.808299999999999"/>
    <n v="25"/>
    <n v="0"/>
  </r>
  <r>
    <x v="0"/>
    <x v="0"/>
    <s v="SPXW"/>
    <x v="6"/>
    <x v="161"/>
    <s v="p"/>
    <n v="10.1"/>
    <n v="19.510000000000002"/>
    <n v="8.6999999999999993"/>
    <n v="13.12"/>
    <n v="67"/>
    <n v="48"/>
    <n v="13.3"/>
    <n v="35"/>
    <n v="13.6"/>
    <n v="0"/>
    <n v="0"/>
    <n v="0"/>
    <n v="0"/>
    <n v="0.18609999999999999"/>
    <n v="-0.13450000000000001"/>
    <n v="1.1000000000000001E-3"/>
    <n v="-2.6427"/>
    <n v="2.367"/>
    <n v="-0.21329999999999999"/>
    <n v="22"/>
    <n v="13.1"/>
    <n v="11"/>
    <n v="13.4"/>
    <n v="0"/>
    <n v="0"/>
    <n v="11.727600000000001"/>
    <n v="215"/>
    <n v="0"/>
  </r>
  <r>
    <x v="0"/>
    <x v="0"/>
    <s v="SPXW"/>
    <x v="6"/>
    <x v="162"/>
    <s v="p"/>
    <n v="11"/>
    <n v="14.6"/>
    <n v="9.8699999999999992"/>
    <n v="14.05"/>
    <n v="17"/>
    <n v="29"/>
    <n v="13.8"/>
    <n v="22"/>
    <n v="14.1"/>
    <n v="0"/>
    <n v="0"/>
    <n v="0"/>
    <n v="0"/>
    <n v="0.18529999999999999"/>
    <n v="-0.1391"/>
    <n v="1.1000000000000001E-3"/>
    <n v="-2.6951000000000001"/>
    <n v="2.4199000000000002"/>
    <n v="-0.22070000000000001"/>
    <n v="16"/>
    <n v="13.6"/>
    <n v="8"/>
    <n v="13.9"/>
    <n v="0"/>
    <n v="0"/>
    <n v="13.1"/>
    <n v="53"/>
    <n v="0"/>
  </r>
  <r>
    <x v="0"/>
    <x v="0"/>
    <s v="SPXW"/>
    <x v="6"/>
    <x v="163"/>
    <s v="p"/>
    <n v="10.3"/>
    <n v="20.66"/>
    <n v="8.98"/>
    <n v="13.84"/>
    <n v="99"/>
    <n v="45"/>
    <n v="14.3"/>
    <n v="34"/>
    <n v="14.6"/>
    <n v="0"/>
    <n v="0"/>
    <n v="0"/>
    <n v="0"/>
    <n v="0.18429999999999999"/>
    <n v="-0.14369999999999999"/>
    <n v="1.1999999999999999E-3"/>
    <n v="-2.7452000000000001"/>
    <n v="2.4719000000000002"/>
    <n v="-0.2281"/>
    <n v="22"/>
    <n v="14.1"/>
    <n v="11"/>
    <n v="14.4"/>
    <n v="0"/>
    <n v="0"/>
    <n v="13.3165"/>
    <n v="1835"/>
    <n v="0"/>
  </r>
  <r>
    <x v="0"/>
    <x v="0"/>
    <s v="SPXW"/>
    <x v="6"/>
    <x v="164"/>
    <s v="p"/>
    <n v="9.32"/>
    <n v="22.27"/>
    <n v="9.32"/>
    <n v="14.67"/>
    <n v="136"/>
    <n v="45"/>
    <n v="14.8"/>
    <n v="37"/>
    <n v="15.2"/>
    <n v="0"/>
    <n v="0"/>
    <n v="0"/>
    <n v="0"/>
    <n v="0.1832"/>
    <n v="-0.14829999999999999"/>
    <n v="1.1999999999999999E-3"/>
    <n v="-2.7932000000000001"/>
    <n v="2.5228999999999999"/>
    <n v="-0.2356"/>
    <n v="21"/>
    <n v="14.6"/>
    <n v="26"/>
    <n v="15"/>
    <n v="0"/>
    <n v="0"/>
    <n v="10.639699999999999"/>
    <n v="43"/>
    <n v="0"/>
  </r>
  <r>
    <x v="0"/>
    <x v="0"/>
    <s v="SPXW"/>
    <x v="6"/>
    <x v="165"/>
    <s v="p"/>
    <n v="13.42"/>
    <n v="20.96"/>
    <n v="10.92"/>
    <n v="15.71"/>
    <n v="71"/>
    <n v="39"/>
    <n v="15.4"/>
    <n v="33"/>
    <n v="15.7"/>
    <n v="0"/>
    <n v="0"/>
    <n v="0"/>
    <n v="0"/>
    <n v="0.18229999999999999"/>
    <n v="-0.1532"/>
    <n v="1.1999999999999999E-3"/>
    <n v="-2.8452999999999999"/>
    <n v="2.5760000000000001"/>
    <n v="-0.24349999999999999"/>
    <n v="21"/>
    <n v="15.2"/>
    <n v="11"/>
    <n v="15.5"/>
    <n v="0"/>
    <n v="0"/>
    <n v="15.258900000000001"/>
    <n v="80"/>
    <n v="0"/>
  </r>
  <r>
    <x v="0"/>
    <x v="0"/>
    <s v="SPXW"/>
    <x v="6"/>
    <x v="166"/>
    <s v="p"/>
    <n v="10.07"/>
    <n v="23.67"/>
    <n v="9.99"/>
    <n v="15.77"/>
    <n v="29"/>
    <n v="16"/>
    <n v="16"/>
    <n v="24"/>
    <n v="16.3"/>
    <n v="0"/>
    <n v="0"/>
    <n v="0"/>
    <n v="0"/>
    <n v="0.18149999999999999"/>
    <n v="-0.1585"/>
    <n v="1.1999999999999999E-3"/>
    <n v="-2.9015"/>
    <n v="2.6309"/>
    <n v="-0.25169999999999998"/>
    <n v="15"/>
    <n v="15.7"/>
    <n v="20"/>
    <n v="16.100000000000001"/>
    <n v="0"/>
    <n v="0"/>
    <n v="18.218599999999999"/>
    <n v="80"/>
    <n v="0"/>
  </r>
  <r>
    <x v="0"/>
    <x v="0"/>
    <s v="SPXW"/>
    <x v="6"/>
    <x v="167"/>
    <s v="p"/>
    <n v="14.28"/>
    <n v="22.61"/>
    <n v="13.02"/>
    <n v="16.399999999999999"/>
    <n v="54"/>
    <n v="16"/>
    <n v="16.600000000000001"/>
    <n v="36"/>
    <n v="16.899999999999999"/>
    <n v="0"/>
    <n v="0"/>
    <n v="0"/>
    <n v="0"/>
    <n v="0.1804"/>
    <n v="-0.16350000000000001"/>
    <n v="1.2999999999999999E-3"/>
    <n v="-2.9483000000000001"/>
    <n v="2.6833999999999998"/>
    <n v="-0.25969999999999999"/>
    <n v="20"/>
    <n v="16.3"/>
    <n v="25"/>
    <n v="16.7"/>
    <n v="0"/>
    <n v="0"/>
    <n v="15.4754"/>
    <n v="107"/>
    <n v="0"/>
  </r>
  <r>
    <x v="0"/>
    <x v="0"/>
    <s v="SPXW"/>
    <x v="6"/>
    <x v="168"/>
    <s v="p"/>
    <n v="10.72"/>
    <n v="22.77"/>
    <n v="10.72"/>
    <n v="16.899999999999999"/>
    <n v="144"/>
    <n v="16"/>
    <n v="17.2"/>
    <n v="34"/>
    <n v="17.5"/>
    <n v="0"/>
    <n v="0"/>
    <n v="0"/>
    <n v="0"/>
    <n v="0.17960000000000001"/>
    <n v="-0.1691"/>
    <n v="1.2999999999999999E-3"/>
    <n v="-3.0049999999999999"/>
    <n v="2.7406000000000001"/>
    <n v="-0.26869999999999999"/>
    <n v="20"/>
    <n v="16.899999999999999"/>
    <n v="23"/>
    <n v="17.3"/>
    <n v="0"/>
    <n v="0"/>
    <n v="12.601900000000001"/>
    <n v="542"/>
    <n v="0"/>
  </r>
  <r>
    <x v="0"/>
    <x v="0"/>
    <s v="SPXW"/>
    <x v="6"/>
    <x v="169"/>
    <s v="p"/>
    <n v="13.97"/>
    <n v="26.2"/>
    <n v="10.81"/>
    <n v="17.760000000000002"/>
    <n v="82"/>
    <n v="38"/>
    <n v="17.8"/>
    <n v="31"/>
    <n v="18.100000000000001"/>
    <n v="0"/>
    <n v="0"/>
    <n v="0"/>
    <n v="0"/>
    <n v="0.17860000000000001"/>
    <n v="-0.17449999999999999"/>
    <n v="1.2999999999999999E-3"/>
    <n v="-3.0528"/>
    <n v="2.7949999999999999"/>
    <n v="-0.27739999999999998"/>
    <n v="20"/>
    <n v="17.600000000000001"/>
    <n v="5"/>
    <n v="17.899999999999999"/>
    <n v="0"/>
    <n v="0"/>
    <n v="14.6571"/>
    <n v="141"/>
    <n v="0"/>
  </r>
  <r>
    <x v="0"/>
    <x v="0"/>
    <s v="SPXW"/>
    <x v="6"/>
    <x v="170"/>
    <s v="p"/>
    <n v="15.96"/>
    <n v="25.7"/>
    <n v="11.35"/>
    <n v="18.670000000000002"/>
    <n v="66"/>
    <n v="40"/>
    <n v="18.399999999999999"/>
    <n v="33"/>
    <n v="18.8"/>
    <n v="0"/>
    <n v="0"/>
    <n v="0"/>
    <n v="0"/>
    <n v="0.17760000000000001"/>
    <n v="-0.1802"/>
    <n v="1.4E-3"/>
    <n v="-3.1036999999999999"/>
    <n v="2.8508"/>
    <n v="-0.28670000000000001"/>
    <n v="20"/>
    <n v="18.2"/>
    <n v="23"/>
    <n v="18.600000000000001"/>
    <n v="0"/>
    <n v="0"/>
    <n v="19.086500000000001"/>
    <n v="57"/>
    <n v="0"/>
  </r>
  <r>
    <x v="0"/>
    <x v="0"/>
    <s v="SPXW"/>
    <x v="6"/>
    <x v="171"/>
    <s v="p"/>
    <n v="16.48"/>
    <n v="27.35"/>
    <n v="11.9"/>
    <n v="19.32"/>
    <n v="131"/>
    <n v="40"/>
    <n v="19.100000000000001"/>
    <n v="33"/>
    <n v="19.5"/>
    <n v="0"/>
    <n v="0"/>
    <n v="0"/>
    <n v="0"/>
    <n v="0.17680000000000001"/>
    <n v="-0.1862"/>
    <n v="1.4E-3"/>
    <n v="-3.1573000000000002"/>
    <n v="2.9077999999999999"/>
    <n v="-0.2964"/>
    <n v="20"/>
    <n v="18.899999999999999"/>
    <n v="22"/>
    <n v="19.3"/>
    <n v="0"/>
    <n v="0"/>
    <n v="19.241199999999999"/>
    <n v="112"/>
    <n v="0"/>
  </r>
  <r>
    <x v="0"/>
    <x v="0"/>
    <s v="SPXW"/>
    <x v="6"/>
    <x v="172"/>
    <s v="p"/>
    <n v="14.17"/>
    <n v="24.25"/>
    <n v="14.17"/>
    <n v="19.7"/>
    <n v="22"/>
    <n v="25"/>
    <n v="19.8"/>
    <n v="22"/>
    <n v="20.2"/>
    <n v="0"/>
    <n v="0"/>
    <n v="0"/>
    <n v="0"/>
    <n v="0.17580000000000001"/>
    <n v="-0.1923"/>
    <n v="1.5E-3"/>
    <n v="-3.2077"/>
    <n v="2.9634"/>
    <n v="-0.30620000000000003"/>
    <n v="14"/>
    <n v="19.600000000000001"/>
    <n v="17"/>
    <n v="20"/>
    <n v="0"/>
    <n v="0"/>
    <n v="21.754100000000001"/>
    <n v="11"/>
    <n v="0"/>
  </r>
  <r>
    <x v="0"/>
    <x v="0"/>
    <s v="SPXW"/>
    <x v="6"/>
    <x v="173"/>
    <s v="p"/>
    <n v="16.05"/>
    <n v="29.1"/>
    <n v="12.75"/>
    <n v="20.3"/>
    <n v="254"/>
    <n v="40"/>
    <n v="20.5"/>
    <n v="30"/>
    <n v="20.9"/>
    <n v="0"/>
    <n v="0"/>
    <n v="0"/>
    <n v="0"/>
    <n v="0.1749"/>
    <n v="-0.19869999999999999"/>
    <n v="1.5E-3"/>
    <n v="-3.2601"/>
    <n v="3.0196999999999998"/>
    <n v="-0.31640000000000001"/>
    <n v="34"/>
    <n v="20.3"/>
    <n v="5"/>
    <n v="20.7"/>
    <n v="0"/>
    <n v="0"/>
    <n v="21.2759"/>
    <n v="174"/>
    <n v="0"/>
  </r>
  <r>
    <x v="0"/>
    <x v="0"/>
    <s v="SPXW"/>
    <x v="6"/>
    <x v="174"/>
    <s v="p"/>
    <n v="18.46"/>
    <n v="23.03"/>
    <n v="13.15"/>
    <n v="21.68"/>
    <n v="14"/>
    <n v="20"/>
    <n v="21.3"/>
    <n v="22"/>
    <n v="21.7"/>
    <n v="0"/>
    <n v="0"/>
    <n v="0"/>
    <n v="0"/>
    <n v="0.17380000000000001"/>
    <n v="-0.2049"/>
    <n v="1.5E-3"/>
    <n v="-3.3039000000000001"/>
    <n v="3.073"/>
    <n v="-0.32629999999999998"/>
    <n v="14"/>
    <n v="21.1"/>
    <n v="17"/>
    <n v="21.5"/>
    <n v="0"/>
    <n v="0"/>
    <n v="17.6036"/>
    <n v="22"/>
    <n v="0"/>
  </r>
  <r>
    <x v="0"/>
    <x v="0"/>
    <s v="SPXW"/>
    <x v="6"/>
    <x v="175"/>
    <s v="p"/>
    <n v="18.149999999999999"/>
    <n v="28"/>
    <n v="13.57"/>
    <n v="22.6"/>
    <n v="40"/>
    <n v="20"/>
    <n v="22.1"/>
    <n v="14"/>
    <n v="22.4"/>
    <n v="0"/>
    <n v="0"/>
    <n v="0"/>
    <n v="0"/>
    <n v="0.1729"/>
    <n v="-0.21160000000000001"/>
    <n v="1.6000000000000001E-3"/>
    <n v="-3.3552"/>
    <n v="3.1292"/>
    <n v="-0.33689999999999998"/>
    <n v="14"/>
    <n v="21.9"/>
    <n v="17"/>
    <n v="22.3"/>
    <n v="0"/>
    <n v="0"/>
    <n v="22.823"/>
    <n v="40"/>
    <n v="0"/>
  </r>
  <r>
    <x v="0"/>
    <x v="0"/>
    <s v="SPXW"/>
    <x v="6"/>
    <x v="176"/>
    <s v="p"/>
    <n v="18.79"/>
    <n v="25.66"/>
    <n v="14.15"/>
    <n v="25.66"/>
    <n v="5"/>
    <n v="20"/>
    <n v="22.9"/>
    <n v="14"/>
    <n v="23.2"/>
    <n v="0"/>
    <n v="0"/>
    <n v="0"/>
    <n v="0"/>
    <n v="0.1719"/>
    <n v="-0.21840000000000001"/>
    <n v="1.6000000000000001E-3"/>
    <n v="-3.4024999999999999"/>
    <n v="3.1850999999999998"/>
    <n v="-0.34770000000000001"/>
    <n v="14"/>
    <n v="22.7"/>
    <n v="17"/>
    <n v="23.1"/>
    <n v="0"/>
    <n v="0"/>
    <n v="17.603999999999999"/>
    <n v="18"/>
    <n v="0"/>
  </r>
  <r>
    <x v="0"/>
    <x v="0"/>
    <s v="SPXW"/>
    <x v="6"/>
    <x v="177"/>
    <s v="p"/>
    <n v="19.600000000000001"/>
    <n v="30.75"/>
    <n v="15.2"/>
    <n v="24.25"/>
    <n v="36"/>
    <n v="23"/>
    <n v="23.7"/>
    <n v="21"/>
    <n v="24.1"/>
    <n v="0"/>
    <n v="0"/>
    <n v="0"/>
    <n v="0"/>
    <n v="0.17100000000000001"/>
    <n v="-0.22539999999999999"/>
    <n v="1.6000000000000001E-3"/>
    <n v="-3.4514999999999998"/>
    <n v="3.2416999999999998"/>
    <n v="-0.35909999999999997"/>
    <n v="13"/>
    <n v="23.5"/>
    <n v="17"/>
    <n v="24"/>
    <n v="0"/>
    <n v="0"/>
    <n v="23.073599999999999"/>
    <n v="70"/>
    <n v="0"/>
  </r>
  <r>
    <x v="0"/>
    <x v="0"/>
    <s v="SPXW"/>
    <x v="6"/>
    <x v="178"/>
    <s v="p"/>
    <n v="19.43"/>
    <n v="32.36"/>
    <n v="15.13"/>
    <n v="26.25"/>
    <n v="80"/>
    <n v="30"/>
    <n v="24.6"/>
    <n v="14"/>
    <n v="24.9"/>
    <n v="0"/>
    <n v="0"/>
    <n v="0"/>
    <n v="0"/>
    <n v="0.17"/>
    <n v="-0.23250000000000001"/>
    <n v="1.6999999999999999E-3"/>
    <n v="-3.4963000000000002"/>
    <n v="3.2974000000000001"/>
    <n v="-0.37069999999999997"/>
    <n v="18"/>
    <n v="24.4"/>
    <n v="15"/>
    <n v="24.8"/>
    <n v="0"/>
    <n v="0"/>
    <n v="28.4664"/>
    <n v="417"/>
    <n v="0"/>
  </r>
  <r>
    <x v="0"/>
    <x v="0"/>
    <s v="SPXW"/>
    <x v="6"/>
    <x v="179"/>
    <s v="p"/>
    <n v="19.52"/>
    <n v="35.880000000000003"/>
    <n v="16.100000000000001"/>
    <n v="25.17"/>
    <n v="29"/>
    <n v="14"/>
    <n v="25.5"/>
    <n v="14"/>
    <n v="25.8"/>
    <n v="0"/>
    <n v="0"/>
    <n v="0"/>
    <n v="0"/>
    <n v="0.16900000000000001"/>
    <n v="-0.2399"/>
    <n v="1.6999999999999999E-3"/>
    <n v="-3.5419"/>
    <n v="3.3529"/>
    <n v="-0.38279999999999997"/>
    <n v="13"/>
    <n v="25.3"/>
    <n v="10"/>
    <n v="25.7"/>
    <n v="0"/>
    <n v="0"/>
    <n v="24.444800000000001"/>
    <n v="32"/>
    <n v="0"/>
  </r>
  <r>
    <x v="0"/>
    <x v="0"/>
    <s v="SPXW"/>
    <x v="6"/>
    <x v="180"/>
    <s v="p"/>
    <n v="27.14"/>
    <n v="28.85"/>
    <n v="26.3"/>
    <n v="26.3"/>
    <n v="7"/>
    <n v="18"/>
    <n v="26.4"/>
    <n v="21"/>
    <n v="26.8"/>
    <n v="0"/>
    <n v="0"/>
    <n v="0"/>
    <n v="0"/>
    <n v="0.16800000000000001"/>
    <n v="-0.2475"/>
    <n v="1.8E-3"/>
    <n v="-3.5830000000000002"/>
    <n v="3.4068000000000001"/>
    <n v="-0.39500000000000002"/>
    <n v="13"/>
    <n v="26.2"/>
    <n v="16"/>
    <n v="26.7"/>
    <n v="0"/>
    <n v="0"/>
    <n v="27.1129"/>
    <n v="23"/>
    <n v="0"/>
  </r>
  <r>
    <x v="0"/>
    <x v="0"/>
    <s v="SPXW"/>
    <x v="6"/>
    <x v="181"/>
    <s v="p"/>
    <n v="21.86"/>
    <n v="36.82"/>
    <n v="18.45"/>
    <n v="27.87"/>
    <n v="215"/>
    <n v="17"/>
    <n v="27.3"/>
    <n v="13"/>
    <n v="27.7"/>
    <n v="0"/>
    <n v="0"/>
    <n v="0"/>
    <n v="0"/>
    <n v="0.16700000000000001"/>
    <n v="-0.25519999999999998"/>
    <n v="1.8E-3"/>
    <n v="-3.6252"/>
    <n v="3.4598"/>
    <n v="-0.40739999999999998"/>
    <n v="13"/>
    <n v="27.2"/>
    <n v="10"/>
    <n v="27.6"/>
    <n v="0"/>
    <n v="0"/>
    <n v="27.7652"/>
    <n v="101"/>
    <n v="0"/>
  </r>
  <r>
    <x v="0"/>
    <x v="0"/>
    <s v="SPXW"/>
    <x v="6"/>
    <x v="182"/>
    <s v="p"/>
    <n v="20.92"/>
    <n v="31.47"/>
    <n v="17.739999999999998"/>
    <n v="27.52"/>
    <n v="13"/>
    <n v="17"/>
    <n v="28.3"/>
    <n v="4"/>
    <n v="28.7"/>
    <n v="0"/>
    <n v="0"/>
    <n v="0"/>
    <n v="0"/>
    <n v="0.16600000000000001"/>
    <n v="-0.26329999999999998"/>
    <n v="1.8E-3"/>
    <n v="-3.6671999999999998"/>
    <n v="3.5127999999999999"/>
    <n v="-0.42020000000000002"/>
    <n v="13"/>
    <n v="28.2"/>
    <n v="13"/>
    <n v="28.7"/>
    <n v="0"/>
    <n v="0"/>
    <n v="24.183800000000002"/>
    <n v="7"/>
    <n v="0"/>
  </r>
  <r>
    <x v="0"/>
    <x v="0"/>
    <s v="SPXW"/>
    <x v="6"/>
    <x v="183"/>
    <s v="p"/>
    <n v="22.89"/>
    <n v="40.4"/>
    <n v="18.420000000000002"/>
    <n v="29.3"/>
    <n v="83"/>
    <n v="13"/>
    <n v="29.4"/>
    <n v="13"/>
    <n v="29.7"/>
    <n v="0"/>
    <n v="0"/>
    <n v="0"/>
    <n v="0"/>
    <n v="0.16500000000000001"/>
    <n v="-0.27139999999999997"/>
    <n v="1.9E-3"/>
    <n v="-3.7046000000000001"/>
    <n v="3.5647000000000002"/>
    <n v="-0.43309999999999998"/>
    <n v="18"/>
    <n v="29.2"/>
    <n v="17"/>
    <n v="29.7"/>
    <n v="0"/>
    <n v="0"/>
    <n v="28.049199999999999"/>
    <n v="419"/>
    <n v="0"/>
  </r>
  <r>
    <x v="0"/>
    <x v="0"/>
    <s v="SPXW"/>
    <x v="6"/>
    <x v="184"/>
    <s v="p"/>
    <n v="18.82"/>
    <n v="37.9"/>
    <n v="18.82"/>
    <n v="30.36"/>
    <n v="18"/>
    <n v="16"/>
    <n v="30.4"/>
    <n v="19"/>
    <n v="30.8"/>
    <n v="0"/>
    <n v="0"/>
    <n v="0"/>
    <n v="0"/>
    <n v="0.16389999999999999"/>
    <n v="-0.27979999999999999"/>
    <n v="1.9E-3"/>
    <n v="-3.7414000000000001"/>
    <n v="3.6168999999999998"/>
    <n v="-0.44669999999999999"/>
    <n v="13"/>
    <n v="30.3"/>
    <n v="13"/>
    <n v="30.8"/>
    <n v="0"/>
    <n v="0"/>
    <n v="31.008299999999998"/>
    <n v="26"/>
    <n v="0"/>
  </r>
  <r>
    <x v="0"/>
    <x v="0"/>
    <s v="SPXW"/>
    <x v="6"/>
    <x v="185"/>
    <s v="p"/>
    <n v="21.31"/>
    <n v="37.58"/>
    <n v="21.31"/>
    <n v="32.229999999999997"/>
    <n v="13"/>
    <n v="16"/>
    <n v="31.5"/>
    <n v="19"/>
    <n v="31.9"/>
    <n v="0"/>
    <n v="0"/>
    <n v="0"/>
    <n v="0"/>
    <n v="0.16300000000000001"/>
    <n v="-0.28849999999999998"/>
    <n v="2E-3"/>
    <n v="-3.7782"/>
    <n v="3.6682999999999999"/>
    <n v="-0.46079999999999999"/>
    <n v="13"/>
    <n v="31.4"/>
    <n v="13"/>
    <n v="31.9"/>
    <n v="0"/>
    <n v="0"/>
    <n v="30.387699999999999"/>
    <n v="58"/>
    <n v="0"/>
  </r>
  <r>
    <x v="0"/>
    <x v="0"/>
    <s v="SPXW"/>
    <x v="6"/>
    <x v="186"/>
    <s v="p"/>
    <n v="32.78"/>
    <n v="37.770000000000003"/>
    <n v="32.229999999999997"/>
    <n v="32.4"/>
    <n v="13"/>
    <n v="16"/>
    <n v="32.6"/>
    <n v="16"/>
    <n v="33"/>
    <n v="0"/>
    <n v="0"/>
    <n v="0"/>
    <n v="0"/>
    <n v="0.16189999999999999"/>
    <n v="-0.29720000000000002"/>
    <n v="2E-3"/>
    <n v="-3.8094000000000001"/>
    <n v="3.718"/>
    <n v="-0.47520000000000001"/>
    <n v="13"/>
    <n v="32.6"/>
    <n v="10"/>
    <n v="33"/>
    <n v="0"/>
    <n v="0"/>
    <n v="33.313800000000001"/>
    <n v="49"/>
    <n v="0"/>
  </r>
  <r>
    <x v="0"/>
    <x v="0"/>
    <s v="SPXW"/>
    <x v="6"/>
    <x v="187"/>
    <s v="p"/>
    <n v="27.8"/>
    <n v="39.450000000000003"/>
    <n v="22.35"/>
    <n v="34.700000000000003"/>
    <n v="157"/>
    <n v="34"/>
    <n v="33.700000000000003"/>
    <n v="20"/>
    <n v="34.200000000000003"/>
    <n v="0"/>
    <n v="0"/>
    <n v="0"/>
    <n v="0"/>
    <n v="0.16089999999999999"/>
    <n v="-0.30649999999999999"/>
    <n v="2E-3"/>
    <n v="-3.8431999999999999"/>
    <n v="3.7671999999999999"/>
    <n v="-0.49009999999999998"/>
    <n v="11"/>
    <n v="33.799999999999997"/>
    <n v="13"/>
    <n v="34.200000000000003"/>
    <n v="0"/>
    <n v="0"/>
    <n v="33.053400000000003"/>
    <n v="203"/>
    <n v="0"/>
  </r>
  <r>
    <x v="0"/>
    <x v="0"/>
    <s v="SPXW"/>
    <x v="6"/>
    <x v="188"/>
    <s v="p"/>
    <n v="27.2"/>
    <n v="44.46"/>
    <n v="21.92"/>
    <n v="34.72"/>
    <n v="93"/>
    <n v="33"/>
    <n v="34.9"/>
    <n v="11"/>
    <n v="35.299999999999997"/>
    <n v="0"/>
    <n v="0"/>
    <n v="0"/>
    <n v="0"/>
    <n v="0.15989999999999999"/>
    <n v="-0.31580000000000003"/>
    <n v="2.0999999999999999E-3"/>
    <n v="-3.8719000000000001"/>
    <n v="3.8136999999999999"/>
    <n v="-0.50509999999999999"/>
    <n v="16"/>
    <n v="35"/>
    <n v="13"/>
    <n v="35.4"/>
    <n v="0"/>
    <n v="0"/>
    <n v="33.247300000000003"/>
    <n v="125"/>
    <n v="0"/>
  </r>
  <r>
    <x v="0"/>
    <x v="0"/>
    <s v="SPXW"/>
    <x v="6"/>
    <x v="189"/>
    <s v="p"/>
    <n v="29.91"/>
    <n v="40.700000000000003"/>
    <n v="23.4"/>
    <n v="38.18"/>
    <n v="50"/>
    <n v="14"/>
    <n v="36.200000000000003"/>
    <n v="20"/>
    <n v="36.6"/>
    <n v="0"/>
    <n v="0"/>
    <n v="0"/>
    <n v="0"/>
    <n v="0.15870000000000001"/>
    <n v="-0.32519999999999999"/>
    <n v="2.0999999999999999E-3"/>
    <n v="-3.8950999999999998"/>
    <n v="3.8580999999999999"/>
    <n v="-0.52010000000000001"/>
    <n v="16"/>
    <n v="36.200000000000003"/>
    <n v="12"/>
    <n v="36.700000000000003"/>
    <n v="0"/>
    <n v="0"/>
    <n v="32.022199999999998"/>
    <n v="87"/>
    <n v="0"/>
  </r>
  <r>
    <x v="0"/>
    <x v="0"/>
    <s v="SPXW"/>
    <x v="6"/>
    <x v="190"/>
    <s v="p"/>
    <n v="27.88"/>
    <n v="41.34"/>
    <n v="25.06"/>
    <n v="36.549999999999997"/>
    <n v="24"/>
    <n v="11"/>
    <n v="37.5"/>
    <n v="14"/>
    <n v="37.9"/>
    <n v="0"/>
    <n v="0"/>
    <n v="0"/>
    <n v="0"/>
    <n v="0.15770000000000001"/>
    <n v="-0.33500000000000002"/>
    <n v="2.2000000000000001E-3"/>
    <n v="-3.9203999999999999"/>
    <n v="3.9020000000000001"/>
    <n v="-0.53569999999999995"/>
    <n v="11"/>
    <n v="37.6"/>
    <n v="12"/>
    <n v="38"/>
    <n v="0"/>
    <n v="0"/>
    <n v="35.142099999999999"/>
    <n v="46"/>
    <n v="0"/>
  </r>
  <r>
    <x v="0"/>
    <x v="0"/>
    <s v="SPXW"/>
    <x v="6"/>
    <x v="191"/>
    <s v="p"/>
    <n v="30.7"/>
    <n v="47.76"/>
    <n v="25.64"/>
    <n v="40.049999999999997"/>
    <n v="40"/>
    <n v="14"/>
    <n v="38.799999999999997"/>
    <n v="11"/>
    <n v="39.200000000000003"/>
    <n v="0"/>
    <n v="0"/>
    <n v="0"/>
    <n v="0"/>
    <n v="0.15659999999999999"/>
    <n v="-0.34489999999999998"/>
    <n v="2.2000000000000001E-3"/>
    <n v="-3.9397000000000002"/>
    <n v="3.9443000000000001"/>
    <n v="-0.55179999999999996"/>
    <n v="12"/>
    <n v="38.9"/>
    <n v="9"/>
    <n v="39.4"/>
    <n v="0"/>
    <n v="0"/>
    <n v="39.784999999999997"/>
    <n v="132"/>
    <n v="0"/>
  </r>
  <r>
    <x v="0"/>
    <x v="0"/>
    <s v="SPXW"/>
    <x v="6"/>
    <x v="192"/>
    <s v="p"/>
    <n v="30.08"/>
    <n v="51.66"/>
    <n v="30.08"/>
    <n v="38.96"/>
    <n v="24"/>
    <n v="4"/>
    <n v="40.1"/>
    <n v="10"/>
    <n v="40.5"/>
    <n v="0"/>
    <n v="0"/>
    <n v="0"/>
    <n v="0"/>
    <n v="0.15540000000000001"/>
    <n v="-0.35499999999999998"/>
    <n v="2.2000000000000001E-3"/>
    <n v="-3.9529999999999998"/>
    <n v="3.9845000000000002"/>
    <n v="-0.56830000000000003"/>
    <n v="11"/>
    <n v="40.299999999999997"/>
    <n v="9"/>
    <n v="40.799999999999997"/>
    <n v="0"/>
    <n v="0"/>
    <n v="38.268799999999999"/>
    <n v="76"/>
    <n v="0"/>
  </r>
  <r>
    <x v="0"/>
    <x v="0"/>
    <s v="SPXW"/>
    <x v="6"/>
    <x v="193"/>
    <s v="p"/>
    <n v="34.25"/>
    <n v="55.39"/>
    <n v="26.32"/>
    <n v="41.49"/>
    <n v="610"/>
    <n v="16"/>
    <n v="41.5"/>
    <n v="10"/>
    <n v="42"/>
    <n v="0"/>
    <n v="0"/>
    <n v="0"/>
    <n v="0"/>
    <n v="0.15440000000000001"/>
    <n v="-0.36559999999999998"/>
    <n v="2.3E-3"/>
    <n v="-3.9708000000000001"/>
    <n v="4.0233999999999996"/>
    <n v="-0.58550000000000002"/>
    <n v="15"/>
    <n v="41.7"/>
    <n v="12"/>
    <n v="42.2"/>
    <n v="0"/>
    <n v="0"/>
    <n v="41.373699999999999"/>
    <n v="275"/>
    <n v="0"/>
  </r>
  <r>
    <x v="0"/>
    <x v="0"/>
    <s v="SPXW"/>
    <x v="6"/>
    <x v="194"/>
    <s v="p"/>
    <n v="30.35"/>
    <n v="52"/>
    <n v="30.35"/>
    <n v="42.01"/>
    <n v="24"/>
    <n v="14"/>
    <n v="43"/>
    <n v="10"/>
    <n v="43.4"/>
    <n v="0"/>
    <n v="0"/>
    <n v="0"/>
    <n v="0"/>
    <n v="0.15329999999999999"/>
    <n v="-0.37619999999999998"/>
    <n v="2.3E-3"/>
    <n v="-3.9821"/>
    <n v="4.0591999999999997"/>
    <n v="-0.6028"/>
    <n v="11"/>
    <n v="43.2"/>
    <n v="8"/>
    <n v="43.7"/>
    <n v="0"/>
    <n v="0"/>
    <n v="41.514200000000002"/>
    <n v="66"/>
    <n v="0"/>
  </r>
  <r>
    <x v="0"/>
    <x v="0"/>
    <s v="SPXW"/>
    <x v="6"/>
    <x v="195"/>
    <s v="p"/>
    <n v="37.28"/>
    <n v="57.46"/>
    <n v="28.35"/>
    <n v="43.81"/>
    <n v="57"/>
    <n v="19"/>
    <n v="44.4"/>
    <n v="14"/>
    <n v="45"/>
    <n v="0"/>
    <n v="0"/>
    <n v="0"/>
    <n v="0"/>
    <n v="0.1522"/>
    <n v="-0.38719999999999999"/>
    <n v="2.3999999999999998E-3"/>
    <n v="-3.9901"/>
    <n v="4.0922999999999998"/>
    <n v="-0.62029999999999996"/>
    <n v="11"/>
    <n v="44.8"/>
    <n v="8"/>
    <n v="45.3"/>
    <n v="0"/>
    <n v="0"/>
    <n v="45.932299999999998"/>
    <n v="149"/>
    <n v="0"/>
  </r>
  <r>
    <x v="0"/>
    <x v="0"/>
    <s v="SPXW"/>
    <x v="6"/>
    <x v="196"/>
    <s v="p"/>
    <n v="35.1"/>
    <n v="50.83"/>
    <n v="29.85"/>
    <n v="50.83"/>
    <n v="13"/>
    <n v="9"/>
    <n v="46.1"/>
    <n v="14"/>
    <n v="46.6"/>
    <n v="0"/>
    <n v="0"/>
    <n v="0"/>
    <n v="0"/>
    <n v="0.1512"/>
    <n v="-0.39839999999999998"/>
    <n v="2.3999999999999998E-3"/>
    <n v="-3.9984000000000002"/>
    <n v="4.1231"/>
    <n v="-0.63829999999999998"/>
    <n v="11"/>
    <n v="46.4"/>
    <n v="8"/>
    <n v="46.9"/>
    <n v="0"/>
    <n v="0"/>
    <n v="47.573099999999997"/>
    <n v="26"/>
    <n v="0"/>
  </r>
  <r>
    <x v="0"/>
    <x v="0"/>
    <s v="SPXW"/>
    <x v="6"/>
    <x v="197"/>
    <s v="p"/>
    <n v="36.93"/>
    <n v="54.52"/>
    <n v="30.8"/>
    <n v="48.76"/>
    <n v="38"/>
    <n v="17"/>
    <n v="47.6"/>
    <n v="9"/>
    <n v="48.1"/>
    <n v="0"/>
    <n v="0"/>
    <n v="0"/>
    <n v="0"/>
    <n v="0.15010000000000001"/>
    <n v="-0.4098"/>
    <n v="2.3999999999999998E-3"/>
    <n v="-3.9994999999999998"/>
    <n v="4.1513"/>
    <n v="-0.65659999999999996"/>
    <n v="11"/>
    <n v="48"/>
    <n v="7"/>
    <n v="48.5"/>
    <n v="0"/>
    <n v="0"/>
    <n v="45.1997"/>
    <n v="78"/>
    <n v="0"/>
  </r>
  <r>
    <x v="0"/>
    <x v="0"/>
    <s v="SPXW"/>
    <x v="6"/>
    <x v="198"/>
    <s v="p"/>
    <n v="55.4"/>
    <n v="57.88"/>
    <n v="46.43"/>
    <n v="50.28"/>
    <n v="79"/>
    <n v="16"/>
    <n v="49.2"/>
    <n v="8"/>
    <n v="49.8"/>
    <n v="0"/>
    <n v="0"/>
    <n v="0"/>
    <n v="0"/>
    <n v="0.14879999999999999"/>
    <n v="-0.4214"/>
    <n v="2.5000000000000001E-3"/>
    <n v="-3.9931999999999999"/>
    <n v="4.1765999999999996"/>
    <n v="-0.67549999999999999"/>
    <n v="16"/>
    <n v="49.7"/>
    <n v="11"/>
    <n v="50.2"/>
    <n v="0"/>
    <n v="0"/>
    <n v="50.237000000000002"/>
    <n v="142"/>
    <n v="0"/>
  </r>
  <r>
    <x v="0"/>
    <x v="0"/>
    <s v="SPXW"/>
    <x v="6"/>
    <x v="199"/>
    <s v="p"/>
    <n v="42.1"/>
    <n v="55.35"/>
    <n v="34"/>
    <n v="52.07"/>
    <n v="15"/>
    <n v="14"/>
    <n v="51"/>
    <n v="13"/>
    <n v="51.6"/>
    <n v="0"/>
    <n v="0"/>
    <n v="0"/>
    <n v="0"/>
    <n v="0.14779999999999999"/>
    <n v="-0.43330000000000002"/>
    <n v="2.5000000000000001E-3"/>
    <n v="-3.9893999999999998"/>
    <n v="4.1990999999999996"/>
    <n v="-0.69510000000000005"/>
    <n v="10"/>
    <n v="51.5"/>
    <n v="8"/>
    <n v="52"/>
    <n v="0"/>
    <n v="0"/>
    <n v="44.651299999999999"/>
    <n v="50"/>
    <n v="0"/>
  </r>
  <r>
    <x v="0"/>
    <x v="0"/>
    <s v="SPXW"/>
    <x v="6"/>
    <x v="200"/>
    <s v="p"/>
    <n v="40.46"/>
    <n v="66.19"/>
    <n v="40.46"/>
    <n v="53.6"/>
    <n v="17"/>
    <n v="8"/>
    <n v="52.8"/>
    <n v="4"/>
    <n v="53.3"/>
    <n v="0"/>
    <n v="0"/>
    <n v="0"/>
    <n v="0"/>
    <n v="0.1467"/>
    <n v="-0.44540000000000002"/>
    <n v="2.5000000000000001E-3"/>
    <n v="-3.9777999999999998"/>
    <n v="4.2179000000000002"/>
    <n v="-0.71479999999999999"/>
    <n v="10"/>
    <n v="53.3"/>
    <n v="8"/>
    <n v="53.8"/>
    <n v="0"/>
    <n v="0"/>
    <n v="60.67"/>
    <n v="59"/>
    <n v="0"/>
  </r>
  <r>
    <x v="0"/>
    <x v="0"/>
    <s v="SPXW"/>
    <x v="6"/>
    <x v="201"/>
    <s v="p"/>
    <n v="42.93"/>
    <n v="69.599999999999994"/>
    <n v="39"/>
    <n v="56.72"/>
    <n v="54"/>
    <n v="14"/>
    <n v="54.6"/>
    <n v="13"/>
    <n v="55.2"/>
    <n v="0"/>
    <n v="0"/>
    <n v="0"/>
    <n v="0"/>
    <n v="0.14560000000000001"/>
    <n v="-0.4577"/>
    <n v="2.5000000000000001E-3"/>
    <n v="-3.9649000000000001"/>
    <n v="4.2329999999999997"/>
    <n v="-0.73460000000000003"/>
    <n v="10"/>
    <n v="55.2"/>
    <n v="8"/>
    <n v="55.7"/>
    <n v="0"/>
    <n v="0"/>
    <n v="52.631500000000003"/>
    <n v="29"/>
    <n v="0"/>
  </r>
  <r>
    <x v="0"/>
    <x v="0"/>
    <s v="SPXW"/>
    <x v="6"/>
    <x v="202"/>
    <s v="p"/>
    <n v="46.24"/>
    <n v="65"/>
    <n v="40.590000000000003"/>
    <n v="55.26"/>
    <n v="20"/>
    <n v="23"/>
    <n v="56.4"/>
    <n v="8"/>
    <n v="57"/>
    <n v="0"/>
    <n v="0"/>
    <n v="0"/>
    <n v="0"/>
    <n v="0.14449999999999999"/>
    <n v="-0.4703"/>
    <n v="2.5999999999999999E-3"/>
    <n v="-3.9472"/>
    <n v="4.2443999999999997"/>
    <n v="-0.75470000000000004"/>
    <n v="10"/>
    <n v="57.1"/>
    <n v="12"/>
    <n v="57.6"/>
    <n v="0"/>
    <n v="0"/>
    <n v="57.261000000000003"/>
    <n v="43"/>
    <n v="0"/>
  </r>
  <r>
    <x v="0"/>
    <x v="0"/>
    <s v="SPXW"/>
    <x v="6"/>
    <x v="203"/>
    <s v="p"/>
    <n v="49.7"/>
    <n v="68.5"/>
    <n v="39.799999999999997"/>
    <n v="60.37"/>
    <n v="217"/>
    <n v="24"/>
    <n v="58.4"/>
    <n v="13"/>
    <n v="59"/>
    <n v="0"/>
    <n v="0"/>
    <n v="0"/>
    <n v="0"/>
    <n v="0.1434"/>
    <n v="-0.48309999999999997"/>
    <n v="2.5999999999999999E-3"/>
    <n v="-3.9243999999999999"/>
    <n v="4.2519999999999998"/>
    <n v="-0.77529999999999999"/>
    <n v="10"/>
    <n v="59.1"/>
    <n v="12"/>
    <n v="59.6"/>
    <n v="0"/>
    <n v="0"/>
    <n v="53.7224"/>
    <n v="99"/>
    <n v="0"/>
  </r>
  <r>
    <x v="0"/>
    <x v="0"/>
    <s v="SPXW"/>
    <x v="6"/>
    <x v="204"/>
    <s v="p"/>
    <n v="47.64"/>
    <n v="64.040000000000006"/>
    <n v="46.98"/>
    <n v="64.040000000000006"/>
    <n v="71"/>
    <n v="14"/>
    <n v="60.4"/>
    <n v="12"/>
    <n v="61"/>
    <n v="0"/>
    <n v="0"/>
    <n v="0"/>
    <n v="0"/>
    <n v="0.14230000000000001"/>
    <n v="-0.49609999999999999"/>
    <n v="2.5999999999999999E-3"/>
    <n v="-3.8961999999999999"/>
    <n v="4.2554999999999996"/>
    <n v="-0.79659999999999997"/>
    <n v="9"/>
    <n v="61.2"/>
    <n v="1"/>
    <n v="61.7"/>
    <n v="0"/>
    <n v="0"/>
    <n v="55.520099999999999"/>
    <n v="11"/>
    <n v="0"/>
  </r>
  <r>
    <x v="0"/>
    <x v="0"/>
    <s v="SPXW"/>
    <x v="6"/>
    <x v="205"/>
    <s v="p"/>
    <n v="53.35"/>
    <n v="78.58"/>
    <n v="48.29"/>
    <n v="61.83"/>
    <n v="72"/>
    <n v="8"/>
    <n v="62.6"/>
    <n v="1"/>
    <n v="63.1"/>
    <n v="0"/>
    <n v="0"/>
    <n v="0"/>
    <n v="0"/>
    <n v="0.14119999999999999"/>
    <n v="-0.50919999999999999"/>
    <n v="2.5999999999999999E-3"/>
    <n v="-3.8656999999999999"/>
    <n v="4.2546999999999997"/>
    <n v="-0.81820000000000004"/>
    <n v="9"/>
    <n v="63.3"/>
    <n v="8"/>
    <n v="63.8"/>
    <n v="0"/>
    <n v="0"/>
    <n v="60.452500000000001"/>
    <n v="29"/>
    <n v="0"/>
  </r>
  <r>
    <x v="0"/>
    <x v="0"/>
    <s v="SPXW"/>
    <x v="6"/>
    <x v="206"/>
    <s v="p"/>
    <n v="51.49"/>
    <n v="75.040000000000006"/>
    <n v="43.88"/>
    <n v="63.3"/>
    <n v="31"/>
    <n v="20"/>
    <n v="64.599999999999994"/>
    <n v="8"/>
    <n v="65.2"/>
    <n v="0"/>
    <n v="0"/>
    <n v="0"/>
    <n v="0"/>
    <n v="0.1401"/>
    <n v="-0.52259999999999995"/>
    <n v="2.7000000000000001E-3"/>
    <n v="-3.8294000000000001"/>
    <n v="4.2493999999999996"/>
    <n v="-0.83989999999999998"/>
    <n v="9"/>
    <n v="65.5"/>
    <n v="7"/>
    <n v="66"/>
    <n v="0"/>
    <n v="0"/>
    <n v="50.8765"/>
    <n v="7"/>
    <n v="0"/>
  </r>
  <r>
    <x v="0"/>
    <x v="0"/>
    <s v="SPXW"/>
    <x v="6"/>
    <x v="207"/>
    <s v="p"/>
    <n v="56.5"/>
    <n v="70.69"/>
    <n v="45.02"/>
    <n v="67.69"/>
    <n v="273"/>
    <n v="8"/>
    <n v="67"/>
    <n v="8"/>
    <n v="67.400000000000006"/>
    <n v="0"/>
    <n v="0"/>
    <n v="0"/>
    <n v="0"/>
    <n v="0.1389"/>
    <n v="-0.53590000000000004"/>
    <n v="2.7000000000000001E-3"/>
    <n v="-3.7869999999999999"/>
    <n v="4.2397999999999998"/>
    <n v="-0.86129999999999995"/>
    <n v="10"/>
    <n v="67.7"/>
    <n v="11"/>
    <n v="68.2"/>
    <n v="0"/>
    <n v="0"/>
    <n v="56.331800000000001"/>
    <n v="29"/>
    <n v="0"/>
  </r>
  <r>
    <x v="0"/>
    <x v="0"/>
    <s v="SPXW"/>
    <x v="6"/>
    <x v="208"/>
    <s v="p"/>
    <n v="59.7"/>
    <n v="71.650000000000006"/>
    <n v="47"/>
    <n v="70"/>
    <n v="147"/>
    <n v="7"/>
    <n v="69.2"/>
    <n v="8"/>
    <n v="69.8"/>
    <n v="0"/>
    <n v="0"/>
    <n v="0"/>
    <n v="0"/>
    <n v="0.13789999999999999"/>
    <n v="-0.54979999999999996"/>
    <n v="2.7000000000000001E-3"/>
    <n v="-3.7425000000000002"/>
    <n v="4.2248999999999999"/>
    <n v="-0.88370000000000004"/>
    <n v="9"/>
    <n v="70"/>
    <n v="6"/>
    <n v="70.599999999999994"/>
    <n v="0"/>
    <n v="0"/>
    <n v="60.867100000000001"/>
    <n v="27"/>
    <n v="0"/>
  </r>
  <r>
    <x v="0"/>
    <x v="0"/>
    <s v="SPXW"/>
    <x v="6"/>
    <x v="209"/>
    <s v="p"/>
    <n v="56.62"/>
    <n v="72.819999999999993"/>
    <n v="56.62"/>
    <n v="72.819999999999993"/>
    <n v="42"/>
    <n v="7"/>
    <n v="71.599999999999994"/>
    <n v="1"/>
    <n v="72.099999999999994"/>
    <n v="0"/>
    <n v="0"/>
    <n v="0"/>
    <n v="0"/>
    <n v="0.13669999999999999"/>
    <n v="-0.5635"/>
    <n v="2.7000000000000001E-3"/>
    <n v="-3.6911"/>
    <n v="4.2051999999999996"/>
    <n v="-0.90610000000000002"/>
    <n v="9"/>
    <n v="72.400000000000006"/>
    <n v="6"/>
    <n v="73"/>
    <n v="0"/>
    <n v="0"/>
    <n v="72.338999999999999"/>
    <n v="60"/>
    <n v="0"/>
  </r>
  <r>
    <x v="0"/>
    <x v="0"/>
    <s v="SPXW"/>
    <x v="6"/>
    <x v="210"/>
    <s v="p"/>
    <n v="65.3"/>
    <n v="77.099999999999994"/>
    <n v="65.3"/>
    <n v="77.099999999999994"/>
    <n v="14"/>
    <n v="7"/>
    <n v="74"/>
    <n v="1"/>
    <n v="74.5"/>
    <n v="0"/>
    <n v="0"/>
    <n v="0"/>
    <n v="0"/>
    <n v="0.13539999999999999"/>
    <n v="-0.57779999999999998"/>
    <n v="2.7000000000000001E-3"/>
    <n v="-3.6307999999999998"/>
    <n v="4.1792999999999996"/>
    <n v="-0.92959999999999998"/>
    <n v="8"/>
    <n v="74.900000000000006"/>
    <n v="6"/>
    <n v="75.400000000000006"/>
    <n v="0"/>
    <n v="0"/>
    <n v="68.628600000000006"/>
    <n v="3"/>
    <n v="0"/>
  </r>
  <r>
    <x v="0"/>
    <x v="0"/>
    <s v="SPXW"/>
    <x v="6"/>
    <x v="211"/>
    <s v="p"/>
    <n v="66.77"/>
    <n v="82.3"/>
    <n v="52.3"/>
    <n v="73.040000000000006"/>
    <n v="139"/>
    <n v="18"/>
    <n v="76.400000000000006"/>
    <n v="8"/>
    <n v="77"/>
    <n v="0"/>
    <n v="0"/>
    <n v="0"/>
    <n v="0"/>
    <n v="0.13439999999999999"/>
    <n v="-0.59189999999999998"/>
    <n v="2.7000000000000001E-3"/>
    <n v="-3.5735000000000001"/>
    <n v="4.149"/>
    <n v="-0.95250000000000001"/>
    <n v="8"/>
    <n v="77.400000000000006"/>
    <n v="6"/>
    <n v="78"/>
    <n v="0"/>
    <n v="0"/>
    <n v="56.974200000000003"/>
    <n v="22"/>
    <n v="0"/>
  </r>
  <r>
    <x v="0"/>
    <x v="0"/>
    <s v="SPXW"/>
    <x v="6"/>
    <x v="212"/>
    <s v="p"/>
    <n v="68.489999999999995"/>
    <n v="84.65"/>
    <n v="58.17"/>
    <n v="80.72"/>
    <n v="27"/>
    <n v="6"/>
    <n v="79"/>
    <n v="6"/>
    <n v="79.599999999999994"/>
    <n v="0"/>
    <n v="0"/>
    <n v="0"/>
    <n v="0"/>
    <n v="0.13339999999999999"/>
    <n v="-0.60609999999999997"/>
    <n v="2.7000000000000001E-3"/>
    <n v="-3.5099"/>
    <n v="4.1138000000000003"/>
    <n v="-0.97529999999999994"/>
    <n v="7"/>
    <n v="80"/>
    <n v="5"/>
    <n v="80.599999999999994"/>
    <n v="0"/>
    <n v="0"/>
    <n v="73.978499999999997"/>
    <n v="28"/>
    <n v="0"/>
  </r>
  <r>
    <x v="0"/>
    <x v="0"/>
    <s v="SPXW"/>
    <x v="6"/>
    <x v="213"/>
    <s v="p"/>
    <n v="65.64"/>
    <n v="81.5"/>
    <n v="58.12"/>
    <n v="80.13"/>
    <n v="5"/>
    <n v="6"/>
    <n v="81.8"/>
    <n v="6"/>
    <n v="82.2"/>
    <n v="0"/>
    <n v="0"/>
    <n v="0"/>
    <n v="0"/>
    <n v="0.13239999999999999"/>
    <n v="-0.62029999999999996"/>
    <n v="2.7000000000000001E-3"/>
    <n v="-3.4434"/>
    <n v="4.0732999999999997"/>
    <n v="-0.99819999999999998"/>
    <n v="6"/>
    <n v="82.8"/>
    <n v="5"/>
    <n v="83.4"/>
    <n v="0"/>
    <n v="0"/>
    <n v="72.524000000000001"/>
    <n v="11"/>
    <n v="0"/>
  </r>
  <r>
    <x v="0"/>
    <x v="0"/>
    <s v="SPXW"/>
    <x v="6"/>
    <x v="214"/>
    <s v="p"/>
    <n v="68.459999999999994"/>
    <n v="87.42"/>
    <n v="60.6"/>
    <n v="87.42"/>
    <n v="4"/>
    <n v="5"/>
    <n v="84.4"/>
    <n v="5"/>
    <n v="85"/>
    <n v="0"/>
    <n v="0"/>
    <n v="0"/>
    <n v="0"/>
    <n v="0.13120000000000001"/>
    <n v="-0.63470000000000004"/>
    <n v="2.7000000000000001E-3"/>
    <n v="-3.3668"/>
    <n v="4.0259999999999998"/>
    <n v="-1.0219"/>
    <n v="6"/>
    <n v="85.5"/>
    <n v="5"/>
    <n v="86.2"/>
    <n v="0"/>
    <n v="0"/>
    <n v="75.974999999999994"/>
    <n v="55"/>
    <n v="0"/>
  </r>
  <r>
    <x v="0"/>
    <x v="0"/>
    <s v="SPXW"/>
    <x v="6"/>
    <x v="215"/>
    <s v="p"/>
    <n v="71.010000000000005"/>
    <n v="90.28"/>
    <n v="62.85"/>
    <n v="90.28"/>
    <n v="8"/>
    <n v="5"/>
    <n v="87.2"/>
    <n v="5"/>
    <n v="87.8"/>
    <n v="0"/>
    <n v="0"/>
    <n v="0"/>
    <n v="0"/>
    <n v="0.13009999999999999"/>
    <n v="-0.64910000000000001"/>
    <n v="2.7000000000000001E-3"/>
    <n v="-3.2869999999999999"/>
    <n v="3.9727000000000001"/>
    <n v="-1.0457000000000001"/>
    <n v="5"/>
    <n v="88.4"/>
    <n v="4"/>
    <n v="89"/>
    <n v="0"/>
    <n v="0"/>
    <n v="77.166300000000007"/>
    <n v="16"/>
    <n v="0"/>
  </r>
  <r>
    <x v="0"/>
    <x v="0"/>
    <s v="SPXW"/>
    <x v="6"/>
    <x v="216"/>
    <s v="p"/>
    <n v="0"/>
    <n v="0"/>
    <n v="0"/>
    <n v="0"/>
    <n v="0"/>
    <n v="4"/>
    <n v="90.2"/>
    <n v="4"/>
    <n v="90.8"/>
    <n v="0"/>
    <n v="0"/>
    <n v="0"/>
    <n v="0"/>
    <n v="0.12920000000000001"/>
    <n v="-0.66339999999999999"/>
    <n v="2.5999999999999999E-3"/>
    <n v="-3.2082000000000002"/>
    <n v="3.9150999999999998"/>
    <n v="-1.0689"/>
    <n v="5"/>
    <n v="91.3"/>
    <n v="3"/>
    <n v="91.8"/>
    <n v="0"/>
    <n v="0"/>
    <n v="0"/>
    <n v="10"/>
    <n v="0"/>
  </r>
  <r>
    <x v="0"/>
    <x v="0"/>
    <s v="SPXW"/>
    <x v="6"/>
    <x v="217"/>
    <s v="p"/>
    <n v="95.12"/>
    <n v="95.12"/>
    <n v="90.33"/>
    <n v="90.33"/>
    <n v="2"/>
    <n v="3"/>
    <n v="93.2"/>
    <n v="3"/>
    <n v="93.8"/>
    <n v="0"/>
    <n v="0"/>
    <n v="0"/>
    <n v="0"/>
    <n v="0.128"/>
    <n v="-0.67779999999999996"/>
    <n v="2.5999999999999999E-3"/>
    <n v="-3.1191"/>
    <n v="3.8517999999999999"/>
    <n v="-1.0922000000000001"/>
    <n v="4"/>
    <n v="94.3"/>
    <n v="3"/>
    <n v="95"/>
    <n v="0"/>
    <n v="0"/>
    <n v="92.724999999999994"/>
    <n v="42"/>
    <n v="0"/>
  </r>
  <r>
    <x v="0"/>
    <x v="0"/>
    <s v="SPXW"/>
    <x v="6"/>
    <x v="218"/>
    <s v="p"/>
    <n v="69.13"/>
    <n v="101.1"/>
    <n v="69.13"/>
    <n v="101.1"/>
    <n v="5"/>
    <n v="3"/>
    <n v="96.2"/>
    <n v="3"/>
    <n v="96.8"/>
    <n v="0"/>
    <n v="0"/>
    <n v="0"/>
    <n v="0"/>
    <n v="0.1268"/>
    <n v="-0.69240000000000002"/>
    <n v="2.5999999999999999E-3"/>
    <n v="-3.0236000000000001"/>
    <n v="3.7820999999999998"/>
    <n v="-1.1158999999999999"/>
    <n v="15"/>
    <n v="95.5"/>
    <n v="8"/>
    <n v="99.4"/>
    <n v="0"/>
    <n v="0"/>
    <n v="88.311999999999998"/>
    <n v="7"/>
    <n v="0"/>
  </r>
  <r>
    <x v="0"/>
    <x v="0"/>
    <s v="SPXW"/>
    <x v="6"/>
    <x v="219"/>
    <s v="p"/>
    <n v="96.55"/>
    <n v="96.55"/>
    <n v="96.55"/>
    <n v="96.55"/>
    <n v="1"/>
    <n v="10"/>
    <n v="97.5"/>
    <n v="15"/>
    <n v="101.5"/>
    <n v="0"/>
    <n v="0"/>
    <n v="0"/>
    <n v="0"/>
    <n v="0.12590000000000001"/>
    <n v="-0.70640000000000003"/>
    <n v="2.5999999999999999E-3"/>
    <n v="-2.9340000000000002"/>
    <n v="3.7078000000000002"/>
    <n v="-1.1391"/>
    <n v="15"/>
    <n v="98.6"/>
    <n v="8"/>
    <n v="102.6"/>
    <n v="0"/>
    <n v="0"/>
    <n v="96.55"/>
    <n v="1"/>
    <n v="0"/>
  </r>
  <r>
    <x v="0"/>
    <x v="0"/>
    <s v="SPXW"/>
    <x v="6"/>
    <x v="220"/>
    <s v="p"/>
    <n v="0"/>
    <n v="0"/>
    <n v="0"/>
    <n v="0"/>
    <n v="0"/>
    <n v="1"/>
    <n v="100.6"/>
    <n v="7"/>
    <n v="104.7"/>
    <n v="0"/>
    <n v="0"/>
    <n v="0"/>
    <n v="0"/>
    <n v="0.12470000000000001"/>
    <n v="-0.72089999999999999"/>
    <n v="2.5000000000000001E-3"/>
    <n v="-2.8296000000000001"/>
    <n v="3.6248999999999998"/>
    <n v="-1.1629"/>
    <n v="7"/>
    <n v="101.8"/>
    <n v="7"/>
    <n v="106.3"/>
    <n v="0"/>
    <n v="0"/>
    <n v="0"/>
    <n v="0"/>
    <n v="0"/>
  </r>
  <r>
    <x v="0"/>
    <x v="0"/>
    <s v="SPXW"/>
    <x v="6"/>
    <x v="221"/>
    <s v="p"/>
    <n v="0"/>
    <n v="0"/>
    <n v="0"/>
    <n v="0"/>
    <n v="0"/>
    <n v="9"/>
    <n v="104"/>
    <n v="7"/>
    <n v="107.8"/>
    <n v="0"/>
    <n v="0"/>
    <n v="0"/>
    <n v="0"/>
    <n v="0.1235"/>
    <n v="-0.73499999999999999"/>
    <n v="2.5000000000000001E-3"/>
    <n v="-2.7258"/>
    <n v="3.5392000000000001"/>
    <n v="-1.1857"/>
    <n v="13"/>
    <n v="105.1"/>
    <n v="13"/>
    <n v="109.6"/>
    <n v="0"/>
    <n v="0"/>
    <n v="0"/>
    <n v="12"/>
    <n v="0"/>
  </r>
  <r>
    <x v="0"/>
    <x v="0"/>
    <s v="SPXW"/>
    <x v="6"/>
    <x v="222"/>
    <s v="p"/>
    <n v="109.5"/>
    <n v="111.9"/>
    <n v="109.5"/>
    <n v="111.9"/>
    <n v="5"/>
    <n v="1"/>
    <n v="107.3"/>
    <n v="7"/>
    <n v="111.3"/>
    <n v="0"/>
    <n v="0"/>
    <n v="0"/>
    <n v="0"/>
    <n v="0.1225"/>
    <n v="-0.74880000000000002"/>
    <n v="2.3999999999999998E-3"/>
    <n v="-2.6230000000000002"/>
    <n v="3.4499"/>
    <n v="-1.2082999999999999"/>
    <n v="7"/>
    <n v="108.5"/>
    <n v="7"/>
    <n v="113.2"/>
    <n v="0"/>
    <n v="0"/>
    <n v="110.54"/>
    <n v="0"/>
    <n v="0"/>
  </r>
  <r>
    <x v="0"/>
    <x v="0"/>
    <s v="SPXW"/>
    <x v="6"/>
    <x v="223"/>
    <s v="p"/>
    <n v="124.88"/>
    <n v="124.88"/>
    <n v="124.88"/>
    <n v="124.88"/>
    <n v="30"/>
    <n v="1"/>
    <n v="110.8"/>
    <n v="7"/>
    <n v="115"/>
    <n v="0"/>
    <n v="0"/>
    <n v="0"/>
    <n v="0"/>
    <n v="0.12189999999999999"/>
    <n v="-0.76200000000000001"/>
    <n v="2.3999999999999998E-3"/>
    <n v="-2.5270000000000001"/>
    <n v="3.3580000000000001"/>
    <n v="-1.2301"/>
    <n v="7"/>
    <n v="112"/>
    <n v="7"/>
    <n v="116.6"/>
    <n v="0"/>
    <n v="0"/>
    <n v="124.88"/>
    <n v="3"/>
    <n v="0"/>
  </r>
  <r>
    <x v="0"/>
    <x v="0"/>
    <s v="SPXW"/>
    <x v="6"/>
    <x v="224"/>
    <s v="p"/>
    <n v="0"/>
    <n v="0"/>
    <n v="0"/>
    <n v="0"/>
    <n v="0"/>
    <n v="1"/>
    <n v="114.5"/>
    <n v="7"/>
    <n v="118.4"/>
    <n v="0"/>
    <n v="0"/>
    <n v="0"/>
    <n v="0"/>
    <n v="0.12089999999999999"/>
    <n v="-0.77539999999999998"/>
    <n v="2.3E-3"/>
    <n v="-2.4192"/>
    <n v="3.2574000000000001"/>
    <n v="-1.2523"/>
    <n v="7"/>
    <n v="115.5"/>
    <n v="7"/>
    <n v="120.3"/>
    <n v="0"/>
    <n v="0"/>
    <n v="0"/>
    <n v="0"/>
    <n v="0"/>
  </r>
  <r>
    <x v="0"/>
    <x v="0"/>
    <s v="SPXW"/>
    <x v="6"/>
    <x v="225"/>
    <s v="p"/>
    <n v="0"/>
    <n v="0"/>
    <n v="0"/>
    <n v="0"/>
    <n v="0"/>
    <n v="1"/>
    <n v="117.9"/>
    <n v="7"/>
    <n v="122.2"/>
    <n v="0"/>
    <n v="0"/>
    <n v="0"/>
    <n v="0"/>
    <n v="0.1198"/>
    <n v="-0.78879999999999995"/>
    <n v="2.3E-3"/>
    <n v="-2.3065000000000002"/>
    <n v="3.1522000000000001"/>
    <n v="-1.274"/>
    <n v="7"/>
    <n v="119.1"/>
    <n v="7"/>
    <n v="123.9"/>
    <n v="0"/>
    <n v="0"/>
    <n v="0"/>
    <n v="0"/>
    <n v="0"/>
  </r>
  <r>
    <x v="0"/>
    <x v="0"/>
    <s v="SPXW"/>
    <x v="6"/>
    <x v="226"/>
    <s v="p"/>
    <n v="0"/>
    <n v="0"/>
    <n v="0"/>
    <n v="0"/>
    <n v="0"/>
    <n v="1"/>
    <n v="121.6"/>
    <n v="7"/>
    <n v="126.2"/>
    <n v="0"/>
    <n v="0"/>
    <n v="0"/>
    <n v="0"/>
    <n v="0.11840000000000001"/>
    <n v="-0.8024"/>
    <n v="2.2000000000000001E-3"/>
    <n v="-2.1836000000000002"/>
    <n v="3.0396000000000001"/>
    <n v="-1.2963"/>
    <n v="7"/>
    <n v="122.7"/>
    <n v="7"/>
    <n v="127.8"/>
    <n v="0"/>
    <n v="0"/>
    <n v="0"/>
    <n v="0"/>
    <n v="0"/>
  </r>
  <r>
    <x v="0"/>
    <x v="0"/>
    <s v="SPXW"/>
    <x v="6"/>
    <x v="227"/>
    <s v="p"/>
    <n v="0"/>
    <n v="0"/>
    <n v="0"/>
    <n v="0"/>
    <n v="0"/>
    <n v="1"/>
    <n v="125.3"/>
    <n v="7"/>
    <n v="130"/>
    <n v="0"/>
    <n v="0"/>
    <n v="0"/>
    <n v="0"/>
    <n v="0.1182"/>
    <n v="-0.8135"/>
    <n v="2.0999999999999999E-3"/>
    <n v="-2.097"/>
    <n v="2.9418000000000002"/>
    <n v="-1.3148"/>
    <n v="7"/>
    <n v="126.6"/>
    <n v="7"/>
    <n v="131.6"/>
    <n v="0"/>
    <n v="0"/>
    <n v="0"/>
    <n v="0"/>
    <n v="0"/>
  </r>
  <r>
    <x v="0"/>
    <x v="0"/>
    <s v="SPXW"/>
    <x v="6"/>
    <x v="228"/>
    <s v="p"/>
    <n v="0"/>
    <n v="0"/>
    <n v="0"/>
    <n v="0"/>
    <n v="0"/>
    <n v="1"/>
    <n v="129.19999999999999"/>
    <n v="7"/>
    <n v="133.80000000000001"/>
    <n v="0"/>
    <n v="0"/>
    <n v="0"/>
    <n v="0"/>
    <n v="0.1172"/>
    <n v="-0.82569999999999999"/>
    <n v="2.0999999999999999E-3"/>
    <n v="-1.9844999999999999"/>
    <n v="2.8267000000000002"/>
    <n v="-1.3352999999999999"/>
    <n v="6"/>
    <n v="130.4"/>
    <n v="6"/>
    <n v="135.5"/>
    <n v="0"/>
    <n v="0"/>
    <n v="0"/>
    <n v="0"/>
    <n v="0"/>
  </r>
  <r>
    <x v="0"/>
    <x v="0"/>
    <s v="SPXW"/>
    <x v="6"/>
    <x v="229"/>
    <s v="p"/>
    <n v="0"/>
    <n v="0"/>
    <n v="0"/>
    <n v="0"/>
    <n v="0"/>
    <n v="1"/>
    <n v="133.19999999999999"/>
    <n v="6"/>
    <n v="137.80000000000001"/>
    <n v="0"/>
    <n v="0"/>
    <n v="0"/>
    <n v="0"/>
    <n v="0.11650000000000001"/>
    <n v="-0.83699999999999997"/>
    <n v="2E-3"/>
    <n v="-1.8818999999999999"/>
    <n v="2.7157"/>
    <n v="-1.3537999999999999"/>
    <n v="6"/>
    <n v="134.4"/>
    <n v="6"/>
    <n v="139.5"/>
    <n v="0"/>
    <n v="0"/>
    <n v="0"/>
    <n v="0"/>
    <n v="0"/>
  </r>
  <r>
    <x v="0"/>
    <x v="0"/>
    <s v="SPXW"/>
    <x v="6"/>
    <x v="230"/>
    <s v="p"/>
    <n v="0"/>
    <n v="0"/>
    <n v="0"/>
    <n v="0"/>
    <n v="0"/>
    <n v="1"/>
    <n v="137.1"/>
    <n v="6"/>
    <n v="141.69999999999999"/>
    <n v="0"/>
    <n v="0"/>
    <n v="0"/>
    <n v="0"/>
    <n v="0.11600000000000001"/>
    <n v="-0.84719999999999995"/>
    <n v="1.9E-3"/>
    <n v="-1.7890999999999999"/>
    <n v="2.6126999999999998"/>
    <n v="-1.3706"/>
    <n v="6"/>
    <n v="138.30000000000001"/>
    <n v="6"/>
    <n v="143.6"/>
    <n v="0"/>
    <n v="0"/>
    <n v="0"/>
    <n v="1"/>
    <n v="0"/>
  </r>
  <r>
    <x v="0"/>
    <x v="0"/>
    <s v="SPXW"/>
    <x v="6"/>
    <x v="231"/>
    <s v="p"/>
    <n v="0"/>
    <n v="0"/>
    <n v="0"/>
    <n v="0"/>
    <n v="0"/>
    <n v="1"/>
    <n v="141.19999999999999"/>
    <n v="6"/>
    <n v="146"/>
    <n v="0"/>
    <n v="0"/>
    <n v="0"/>
    <n v="0"/>
    <n v="0.1148"/>
    <n v="-0.85929999999999995"/>
    <n v="1.8E-3"/>
    <n v="-1.6659999999999999"/>
    <n v="2.4830000000000001"/>
    <n v="-1.3908"/>
    <n v="6"/>
    <n v="142.5"/>
    <n v="6"/>
    <n v="147.69999999999999"/>
    <n v="0"/>
    <n v="0"/>
    <n v="0"/>
    <n v="0"/>
    <n v="0"/>
  </r>
  <r>
    <x v="0"/>
    <x v="0"/>
    <s v="SPXW"/>
    <x v="6"/>
    <x v="232"/>
    <s v="p"/>
    <n v="0"/>
    <n v="0"/>
    <n v="0"/>
    <n v="0"/>
    <n v="0"/>
    <n v="1"/>
    <n v="145.30000000000001"/>
    <n v="6"/>
    <n v="150.19999999999999"/>
    <n v="0"/>
    <n v="0"/>
    <n v="0"/>
    <n v="0"/>
    <n v="0.114"/>
    <n v="-0.86980000000000002"/>
    <n v="1.6999999999999999E-3"/>
    <n v="-1.56"/>
    <n v="2.3633000000000002"/>
    <n v="-1.4084000000000001"/>
    <n v="6"/>
    <n v="146.6"/>
    <n v="6"/>
    <n v="152"/>
    <n v="0"/>
    <n v="0"/>
    <n v="0"/>
    <n v="0"/>
    <n v="0"/>
  </r>
  <r>
    <x v="0"/>
    <x v="0"/>
    <s v="SPXW"/>
    <x v="6"/>
    <x v="233"/>
    <s v="p"/>
    <n v="152.01"/>
    <n v="152.01"/>
    <n v="152.01"/>
    <n v="152.01"/>
    <n v="1"/>
    <n v="1"/>
    <n v="149.6"/>
    <n v="6"/>
    <n v="154.19999999999999"/>
    <n v="0"/>
    <n v="0"/>
    <n v="0"/>
    <n v="0"/>
    <n v="0.1128"/>
    <n v="-0.88049999999999995"/>
    <n v="1.6999999999999999E-3"/>
    <n v="-1.4461999999999999"/>
    <n v="2.2364000000000002"/>
    <n v="-1.4259999999999999"/>
    <n v="6"/>
    <n v="150.80000000000001"/>
    <n v="6"/>
    <n v="156.19999999999999"/>
    <n v="0"/>
    <n v="0"/>
    <n v="152.01"/>
    <n v="7"/>
    <n v="0"/>
  </r>
  <r>
    <x v="0"/>
    <x v="0"/>
    <s v="SPXW"/>
    <x v="6"/>
    <x v="234"/>
    <s v="p"/>
    <n v="0"/>
    <n v="0"/>
    <n v="0"/>
    <n v="0"/>
    <n v="0"/>
    <n v="1"/>
    <n v="153.80000000000001"/>
    <n v="6"/>
    <n v="158.80000000000001"/>
    <n v="0"/>
    <n v="0"/>
    <n v="0"/>
    <n v="0"/>
    <n v="0.11260000000000001"/>
    <n v="-0.88880000000000003"/>
    <n v="1.6000000000000001E-3"/>
    <n v="-1.3645"/>
    <n v="2.1337000000000002"/>
    <n v="-1.4400999999999999"/>
    <n v="6"/>
    <n v="155"/>
    <n v="6"/>
    <n v="160.6"/>
    <n v="0"/>
    <n v="0"/>
    <n v="0"/>
    <n v="0"/>
    <n v="0"/>
  </r>
  <r>
    <x v="0"/>
    <x v="0"/>
    <s v="SPXW"/>
    <x v="6"/>
    <x v="235"/>
    <s v="p"/>
    <n v="0"/>
    <n v="0"/>
    <n v="0"/>
    <n v="0"/>
    <n v="0"/>
    <n v="1"/>
    <n v="158.30000000000001"/>
    <n v="6"/>
    <n v="163"/>
    <n v="0"/>
    <n v="0"/>
    <n v="0"/>
    <n v="0"/>
    <n v="0.1119"/>
    <n v="-0.89770000000000005"/>
    <n v="1.5E-3"/>
    <n v="-1.2689999999999999"/>
    <n v="2.0188000000000001"/>
    <n v="-1.4553"/>
    <n v="6"/>
    <n v="159.4"/>
    <n v="6"/>
    <n v="164.9"/>
    <n v="0"/>
    <n v="0"/>
    <n v="0"/>
    <n v="0"/>
    <n v="0"/>
  </r>
  <r>
    <x v="0"/>
    <x v="0"/>
    <s v="SPXW"/>
    <x v="6"/>
    <x v="236"/>
    <s v="p"/>
    <n v="0"/>
    <n v="0"/>
    <n v="0"/>
    <n v="0"/>
    <n v="0"/>
    <n v="1"/>
    <n v="162.6"/>
    <n v="1"/>
    <n v="167.3"/>
    <n v="0"/>
    <n v="0"/>
    <n v="0"/>
    <n v="0"/>
    <n v="0.11070000000000001"/>
    <n v="-0.9073"/>
    <n v="1.4E-3"/>
    <n v="-1.1581999999999999"/>
    <n v="1.8882000000000001"/>
    <n v="-1.4713000000000001"/>
    <n v="6"/>
    <n v="163.69999999999999"/>
    <n v="6"/>
    <n v="169.4"/>
    <n v="0"/>
    <n v="0"/>
    <n v="0"/>
    <n v="0"/>
    <n v="0"/>
  </r>
  <r>
    <x v="0"/>
    <x v="0"/>
    <s v="SPXW"/>
    <x v="6"/>
    <x v="237"/>
    <s v="p"/>
    <n v="0"/>
    <n v="0"/>
    <n v="0"/>
    <n v="0"/>
    <n v="0"/>
    <n v="1"/>
    <n v="166.9"/>
    <n v="6"/>
    <n v="171.9"/>
    <n v="0"/>
    <n v="0"/>
    <n v="0"/>
    <n v="0"/>
    <n v="0.1101"/>
    <n v="-0.91500000000000004"/>
    <n v="1.2999999999999999E-3"/>
    <n v="-1.0729"/>
    <n v="1.7793000000000001"/>
    <n v="-1.4843"/>
    <n v="6"/>
    <n v="168.2"/>
    <n v="6"/>
    <n v="173.9"/>
    <n v="0"/>
    <n v="0"/>
    <n v="0"/>
    <n v="0"/>
    <n v="0"/>
  </r>
  <r>
    <x v="0"/>
    <x v="0"/>
    <s v="SPXW"/>
    <x v="6"/>
    <x v="238"/>
    <s v="p"/>
    <n v="0"/>
    <n v="0"/>
    <n v="0"/>
    <n v="0"/>
    <n v="0"/>
    <n v="1"/>
    <n v="171.5"/>
    <n v="6"/>
    <n v="176.8"/>
    <n v="0"/>
    <n v="0"/>
    <n v="0"/>
    <n v="0"/>
    <n v="0.1109"/>
    <n v="-0.91990000000000005"/>
    <n v="1.2999999999999999E-3"/>
    <n v="-1.0285"/>
    <n v="1.7073"/>
    <n v="-1.4930000000000001"/>
    <n v="6"/>
    <n v="172.7"/>
    <n v="6"/>
    <n v="178.5"/>
    <n v="0"/>
    <n v="0"/>
    <n v="0"/>
    <n v="1"/>
    <n v="0"/>
  </r>
  <r>
    <x v="0"/>
    <x v="0"/>
    <s v="SPXW"/>
    <x v="6"/>
    <x v="239"/>
    <s v="p"/>
    <n v="190.74"/>
    <n v="190.74"/>
    <n v="190.74"/>
    <n v="190.74"/>
    <n v="30"/>
    <n v="6"/>
    <n v="175.7"/>
    <n v="6"/>
    <n v="181"/>
    <n v="0"/>
    <n v="0"/>
    <n v="0"/>
    <n v="0"/>
    <n v="0.1079"/>
    <n v="-0.93130000000000002"/>
    <n v="1.1000000000000001E-3"/>
    <n v="-0.87790000000000001"/>
    <n v="1.5345"/>
    <n v="-1.5121"/>
    <n v="6"/>
    <n v="177.2"/>
    <n v="6"/>
    <n v="183"/>
    <n v="0"/>
    <n v="0"/>
    <n v="190.74"/>
    <n v="0"/>
    <n v="0"/>
  </r>
  <r>
    <x v="0"/>
    <x v="0"/>
    <s v="SPXW"/>
    <x v="6"/>
    <x v="241"/>
    <s v="p"/>
    <n v="0"/>
    <n v="0"/>
    <n v="0"/>
    <n v="0"/>
    <n v="0"/>
    <n v="6"/>
    <n v="184.9"/>
    <n v="6"/>
    <n v="190.4"/>
    <n v="0"/>
    <n v="0"/>
    <n v="0"/>
    <n v="0"/>
    <n v="0.1074"/>
    <n v="-0.94269999999999998"/>
    <n v="1E-3"/>
    <n v="-0.74719999999999998"/>
    <n v="1.3486"/>
    <n v="-1.5318000000000001"/>
    <n v="5"/>
    <n v="186.7"/>
    <n v="6"/>
    <n v="192.3"/>
    <n v="0"/>
    <n v="0"/>
    <n v="0"/>
    <n v="0"/>
    <n v="0"/>
  </r>
  <r>
    <x v="0"/>
    <x v="0"/>
    <s v="SPXW"/>
    <x v="6"/>
    <x v="243"/>
    <s v="p"/>
    <n v="0"/>
    <n v="0"/>
    <n v="0"/>
    <n v="0"/>
    <n v="0"/>
    <n v="6"/>
    <n v="193.8"/>
    <n v="6"/>
    <n v="199.9"/>
    <n v="0"/>
    <n v="0"/>
    <n v="0"/>
    <n v="0"/>
    <n v="0.1042"/>
    <n v="-0.95669999999999999"/>
    <n v="8.0000000000000004E-4"/>
    <n v="-0.56310000000000004"/>
    <n v="1.1005"/>
    <n v="-1.5559000000000001"/>
    <n v="6"/>
    <n v="195.9"/>
    <n v="6"/>
    <n v="201.8"/>
    <n v="0"/>
    <n v="0"/>
    <n v="0"/>
    <n v="3"/>
    <n v="0"/>
  </r>
  <r>
    <x v="0"/>
    <x v="0"/>
    <s v="SPXW"/>
    <x v="6"/>
    <x v="245"/>
    <s v="p"/>
    <n v="0"/>
    <n v="0"/>
    <n v="0"/>
    <n v="0"/>
    <n v="0"/>
    <n v="1"/>
    <n v="200.5"/>
    <n v="2"/>
    <n v="212.6"/>
    <n v="0"/>
    <n v="0"/>
    <n v="0"/>
    <n v="0"/>
    <n v="0.1061"/>
    <n v="-0.96150000000000002"/>
    <n v="6.9999999999999999E-4"/>
    <n v="-0.51470000000000005"/>
    <n v="1.0065"/>
    <n v="-1.5654999999999999"/>
    <n v="2"/>
    <n v="200.7"/>
    <n v="2"/>
    <n v="216.7"/>
    <n v="0"/>
    <n v="0"/>
    <n v="0"/>
    <n v="0"/>
    <n v="0"/>
  </r>
  <r>
    <x v="0"/>
    <x v="0"/>
    <s v="SPXW"/>
    <x v="6"/>
    <x v="247"/>
    <s v="p"/>
    <n v="0"/>
    <n v="0"/>
    <n v="0"/>
    <n v="0"/>
    <n v="0"/>
    <n v="1"/>
    <n v="209.7"/>
    <n v="1"/>
    <n v="223.2"/>
    <n v="0"/>
    <n v="0"/>
    <n v="0"/>
    <n v="0"/>
    <n v="0.1048"/>
    <n v="-0.97"/>
    <n v="5.9999999999999995E-4"/>
    <n v="-0.40050000000000002"/>
    <n v="0.8337"/>
    <n v="-1.5811999999999999"/>
    <n v="1"/>
    <n v="208.6"/>
    <n v="1"/>
    <n v="227.1"/>
    <n v="0"/>
    <n v="0"/>
    <n v="0"/>
    <n v="0"/>
    <n v="0"/>
  </r>
  <r>
    <x v="0"/>
    <x v="0"/>
    <s v="SPXW"/>
    <x v="6"/>
    <x v="248"/>
    <s v="p"/>
    <n v="0"/>
    <n v="0"/>
    <n v="0"/>
    <n v="0"/>
    <n v="0"/>
    <n v="1"/>
    <n v="210.7"/>
    <n v="2"/>
    <n v="230.2"/>
    <n v="0"/>
    <n v="0"/>
    <n v="0"/>
    <n v="0"/>
    <n v="0.1"/>
    <n v="-0.97789999999999999"/>
    <n v="5.0000000000000001E-4"/>
    <n v="-0.28339999999999999"/>
    <n v="0.6653"/>
    <n v="-1.5944"/>
    <n v="3"/>
    <n v="212.2"/>
    <n v="1"/>
    <n v="232"/>
    <n v="0"/>
    <n v="0"/>
    <n v="0"/>
    <n v="1"/>
    <n v="0"/>
  </r>
  <r>
    <x v="0"/>
    <x v="0"/>
    <s v="SPXW"/>
    <x v="6"/>
    <x v="249"/>
    <s v="p"/>
    <n v="0"/>
    <n v="0"/>
    <n v="0"/>
    <n v="0"/>
    <n v="0"/>
    <n v="1"/>
    <n v="216.2"/>
    <n v="1"/>
    <n v="235.3"/>
    <n v="0"/>
    <n v="0"/>
    <n v="0"/>
    <n v="0"/>
    <n v="0.107"/>
    <n v="-0.97270000000000001"/>
    <n v="5.9999999999999995E-4"/>
    <n v="-0.37409999999999999"/>
    <n v="0.77449999999999997"/>
    <n v="-1.5873999999999999"/>
    <n v="2"/>
    <n v="217.1"/>
    <n v="1"/>
    <n v="237.1"/>
    <n v="0"/>
    <n v="0"/>
    <n v="0"/>
    <n v="0"/>
    <n v="0"/>
  </r>
  <r>
    <x v="0"/>
    <x v="0"/>
    <s v="SPXW"/>
    <x v="6"/>
    <x v="251"/>
    <s v="p"/>
    <n v="0"/>
    <n v="0"/>
    <n v="0"/>
    <n v="0"/>
    <n v="0"/>
    <n v="1"/>
    <n v="225.8"/>
    <n v="1"/>
    <n v="245.6"/>
    <n v="0"/>
    <n v="0"/>
    <n v="0"/>
    <n v="0"/>
    <n v="0.11020000000000001"/>
    <n v="-0.97419999999999995"/>
    <n v="5.0000000000000001E-4"/>
    <n v="-0.36420000000000002"/>
    <n v="0.73740000000000006"/>
    <n v="-1.5920000000000001"/>
    <n v="1"/>
    <n v="226.9"/>
    <n v="1"/>
    <n v="246.9"/>
    <n v="0"/>
    <n v="0"/>
    <n v="0"/>
    <n v="0"/>
    <n v="0"/>
  </r>
  <r>
    <x v="0"/>
    <x v="0"/>
    <s v="SPXW"/>
    <x v="6"/>
    <x v="253"/>
    <s v="p"/>
    <n v="0"/>
    <n v="0"/>
    <n v="0"/>
    <n v="0"/>
    <n v="0"/>
    <n v="1"/>
    <n v="235.5"/>
    <n v="1"/>
    <n v="254.9"/>
    <n v="0"/>
    <n v="0"/>
    <n v="0"/>
    <n v="0"/>
    <n v="0.1045"/>
    <n v="-0.9839"/>
    <n v="4.0000000000000002E-4"/>
    <n v="-0.2132"/>
    <n v="0.51529999999999998"/>
    <n v="-1.6092"/>
    <n v="3"/>
    <n v="236.7"/>
    <n v="1"/>
    <n v="255.3"/>
    <n v="0"/>
    <n v="0"/>
    <n v="0"/>
    <n v="0"/>
    <n v="0"/>
  </r>
  <r>
    <x v="0"/>
    <x v="0"/>
    <s v="SPXW"/>
    <x v="6"/>
    <x v="256"/>
    <s v="p"/>
    <n v="0"/>
    <n v="0"/>
    <n v="0"/>
    <n v="0"/>
    <n v="0"/>
    <n v="1"/>
    <n v="260"/>
    <n v="1"/>
    <n v="279.8"/>
    <n v="0"/>
    <n v="0"/>
    <n v="0"/>
    <n v="0"/>
    <n v="0.1048"/>
    <n v="-0.99060000000000004"/>
    <n v="2.0000000000000001E-4"/>
    <n v="-0.1153"/>
    <n v="0.33450000000000002"/>
    <n v="-1.6252"/>
    <n v="1"/>
    <n v="261.5"/>
    <n v="1"/>
    <n v="279.89999999999998"/>
    <n v="0"/>
    <n v="0"/>
    <n v="0"/>
    <n v="0"/>
    <n v="0"/>
  </r>
  <r>
    <x v="0"/>
    <x v="0"/>
    <s v="SPXW"/>
    <x v="6"/>
    <x v="259"/>
    <s v="p"/>
    <n v="0"/>
    <n v="0"/>
    <n v="0"/>
    <n v="0"/>
    <n v="0"/>
    <n v="1"/>
    <n v="285.60000000000002"/>
    <n v="1"/>
    <n v="305"/>
    <n v="0"/>
    <n v="0"/>
    <n v="0"/>
    <n v="0"/>
    <n v="0.1196"/>
    <n v="-0.98770000000000002"/>
    <n v="2.9999999999999997E-4"/>
    <n v="-0.1812"/>
    <n v="0.40479999999999999"/>
    <n v="-1.6262000000000001"/>
    <n v="3"/>
    <n v="286.3"/>
    <n v="1"/>
    <n v="305"/>
    <n v="0"/>
    <n v="0"/>
    <n v="0"/>
    <n v="0"/>
    <n v="0"/>
  </r>
  <r>
    <x v="0"/>
    <x v="0"/>
    <s v="SPXW"/>
    <x v="6"/>
    <x v="262"/>
    <s v="p"/>
    <n v="0"/>
    <n v="0"/>
    <n v="0"/>
    <n v="0"/>
    <n v="0"/>
    <n v="1"/>
    <n v="310.5"/>
    <n v="1"/>
    <n v="329.5"/>
    <n v="0"/>
    <n v="0"/>
    <n v="0"/>
    <n v="0"/>
    <n v="0.124"/>
    <n v="-0.99060000000000004"/>
    <n v="2.0000000000000001E-4"/>
    <n v="-0.13769999999999999"/>
    <n v="0.32469999999999999"/>
    <n v="-1.6362000000000001"/>
    <n v="3"/>
    <n v="311.2"/>
    <n v="1"/>
    <n v="330"/>
    <n v="0"/>
    <n v="0"/>
    <n v="0"/>
    <n v="0"/>
    <n v="0"/>
  </r>
  <r>
    <x v="0"/>
    <x v="0"/>
    <s v="SPXW"/>
    <x v="6"/>
    <x v="263"/>
    <s v="p"/>
    <n v="0"/>
    <n v="0"/>
    <n v="0"/>
    <n v="0"/>
    <n v="0"/>
    <n v="1"/>
    <n v="335.4"/>
    <n v="1"/>
    <n v="354.4"/>
    <n v="0"/>
    <n v="0"/>
    <n v="0"/>
    <n v="0"/>
    <n v="0.1323"/>
    <n v="-0.99099999999999999"/>
    <n v="2.0000000000000001E-4"/>
    <n v="-0.13750000000000001"/>
    <n v="0.307"/>
    <n v="-1.6426000000000001"/>
    <n v="3"/>
    <n v="336.1"/>
    <n v="1"/>
    <n v="355.4"/>
    <n v="0"/>
    <n v="0"/>
    <n v="0"/>
    <n v="0"/>
    <n v="0"/>
  </r>
  <r>
    <x v="0"/>
    <x v="0"/>
    <s v="SPXW"/>
    <x v="6"/>
    <x v="264"/>
    <s v="p"/>
    <n v="0"/>
    <n v="0"/>
    <n v="0"/>
    <n v="0"/>
    <n v="0"/>
    <n v="1"/>
    <n v="360.2"/>
    <n v="1"/>
    <n v="379.4"/>
    <n v="0"/>
    <n v="0"/>
    <n v="0"/>
    <n v="0"/>
    <n v="0.13689999999999999"/>
    <n v="-0.99280000000000002"/>
    <n v="1E-4"/>
    <n v="-0.10589999999999999"/>
    <n v="0.25319999999999998"/>
    <n v="-1.6509"/>
    <n v="3"/>
    <n v="361.1"/>
    <n v="1"/>
    <n v="380.4"/>
    <n v="0"/>
    <n v="0"/>
    <n v="0"/>
    <n v="0"/>
    <n v="0"/>
  </r>
  <r>
    <x v="0"/>
    <x v="0"/>
    <s v="SPXW"/>
    <x v="6"/>
    <x v="265"/>
    <s v="p"/>
    <n v="0"/>
    <n v="0"/>
    <n v="0"/>
    <n v="0"/>
    <n v="0"/>
    <n v="1"/>
    <n v="384.5"/>
    <n v="1"/>
    <n v="404.6"/>
    <n v="0"/>
    <n v="0"/>
    <n v="0"/>
    <n v="0"/>
    <n v="0.1275"/>
    <n v="-0.99750000000000005"/>
    <n v="1E-4"/>
    <n v="-5.7000000000000002E-3"/>
    <n v="0.1066"/>
    <n v="-1.6636"/>
    <n v="3"/>
    <n v="386.1"/>
    <n v="1"/>
    <n v="404.6"/>
    <n v="0"/>
    <n v="0"/>
    <n v="0"/>
    <n v="0"/>
    <n v="0"/>
  </r>
  <r>
    <x v="0"/>
    <x v="0"/>
    <s v="SPXW"/>
    <x v="6"/>
    <x v="266"/>
    <s v="p"/>
    <n v="0"/>
    <n v="0"/>
    <n v="0"/>
    <n v="0"/>
    <n v="0"/>
    <n v="1"/>
    <n v="410.4"/>
    <n v="1"/>
    <n v="429.9"/>
    <n v="0"/>
    <n v="0"/>
    <n v="0"/>
    <n v="0"/>
    <n v="0.16819999999999999"/>
    <n v="-0.98780000000000001"/>
    <n v="2.0000000000000001E-4"/>
    <n v="-0.25190000000000001"/>
    <n v="0.37959999999999999"/>
    <n v="-1.6544000000000001"/>
    <n v="3"/>
    <n v="411"/>
    <n v="1"/>
    <n v="430"/>
    <n v="0"/>
    <n v="0"/>
    <n v="0"/>
    <n v="0"/>
    <n v="0"/>
  </r>
  <r>
    <x v="0"/>
    <x v="0"/>
    <s v="SPXW"/>
    <x v="6"/>
    <x v="267"/>
    <s v="p"/>
    <n v="0"/>
    <n v="0"/>
    <n v="0"/>
    <n v="0"/>
    <n v="0"/>
    <n v="1"/>
    <n v="435.1"/>
    <n v="2"/>
    <n v="455.2"/>
    <n v="0"/>
    <n v="0"/>
    <n v="0"/>
    <n v="0"/>
    <n v="0.17730000000000001"/>
    <n v="-0.98799999999999999"/>
    <n v="2.0000000000000001E-4"/>
    <n v="-0.2596"/>
    <n v="0.37090000000000001"/>
    <n v="-1.6603000000000001"/>
    <n v="3"/>
    <n v="436"/>
    <n v="1"/>
    <n v="455.8"/>
    <n v="0"/>
    <n v="0"/>
    <n v="0"/>
    <n v="0"/>
    <n v="0"/>
  </r>
  <r>
    <x v="0"/>
    <x v="0"/>
    <s v="SPXW"/>
    <x v="6"/>
    <x v="268"/>
    <s v="p"/>
    <n v="0"/>
    <n v="0"/>
    <n v="0"/>
    <n v="0"/>
    <n v="0"/>
    <n v="1"/>
    <n v="459.2"/>
    <n v="2"/>
    <n v="480.1"/>
    <n v="0"/>
    <n v="0"/>
    <n v="0"/>
    <n v="0"/>
    <n v="0.16439999999999999"/>
    <n v="-0.995"/>
    <n v="1E-4"/>
    <n v="-7.3599999999999999E-2"/>
    <n v="0.18140000000000001"/>
    <n v="-1.6765000000000001"/>
    <n v="2"/>
    <n v="461"/>
    <n v="1"/>
    <n v="480.6"/>
    <n v="0"/>
    <n v="0"/>
    <n v="0"/>
    <n v="0"/>
    <n v="0"/>
  </r>
  <r>
    <x v="0"/>
    <x v="0"/>
    <s v="SPXW"/>
    <x v="6"/>
    <x v="269"/>
    <s v="p"/>
    <n v="0"/>
    <n v="0"/>
    <n v="0"/>
    <n v="0"/>
    <n v="0"/>
    <n v="1"/>
    <n v="484.4"/>
    <n v="1"/>
    <n v="503.6"/>
    <n v="0"/>
    <n v="0"/>
    <n v="0"/>
    <n v="0"/>
    <n v="0.29620000000000002"/>
    <n v="-0.93089999999999995"/>
    <n v="4.0000000000000002E-4"/>
    <n v="-2.4161999999999999"/>
    <n v="1.4507000000000001"/>
    <n v="-1.5844"/>
    <n v="1"/>
    <n v="486.9"/>
    <n v="1"/>
    <n v="509.5"/>
    <n v="0"/>
    <n v="0"/>
    <n v="0"/>
    <n v="0"/>
    <n v="0"/>
  </r>
  <r>
    <x v="0"/>
    <x v="0"/>
    <s v="SPXW"/>
    <x v="6"/>
    <x v="270"/>
    <s v="p"/>
    <n v="0"/>
    <n v="0"/>
    <n v="0"/>
    <n v="0"/>
    <n v="0"/>
    <n v="1"/>
    <n v="510.3"/>
    <n v="1"/>
    <n v="528.6"/>
    <n v="0"/>
    <n v="0"/>
    <n v="0"/>
    <n v="0"/>
    <n v="0.30359999999999998"/>
    <n v="-0.93559999999999999"/>
    <n v="4.0000000000000002E-4"/>
    <n v="-2.3283999999999998"/>
    <n v="1.3745000000000001"/>
    <n v="-1.5974999999999999"/>
    <n v="1"/>
    <n v="511.9"/>
    <n v="2"/>
    <n v="534.9"/>
    <n v="0"/>
    <n v="0"/>
    <n v="0"/>
    <n v="0"/>
    <n v="0"/>
  </r>
  <r>
    <x v="0"/>
    <x v="0"/>
    <s v="SPXW"/>
    <x v="6"/>
    <x v="271"/>
    <s v="p"/>
    <n v="0"/>
    <n v="0"/>
    <n v="0"/>
    <n v="0"/>
    <n v="0"/>
    <n v="1"/>
    <n v="585.20000000000005"/>
    <n v="1"/>
    <n v="604.20000000000005"/>
    <n v="0"/>
    <n v="0"/>
    <n v="0"/>
    <n v="0"/>
    <n v="0.21199999999999999"/>
    <n v="-0.99380000000000002"/>
    <n v="1E-4"/>
    <n v="-0.13159999999999999"/>
    <n v="0.2074"/>
    <n v="-1.7027000000000001"/>
    <n v="3"/>
    <n v="585.79999999999995"/>
    <n v="1"/>
    <n v="609.20000000000005"/>
    <n v="0"/>
    <n v="0"/>
    <n v="0"/>
    <n v="0"/>
    <n v="0"/>
  </r>
  <r>
    <x v="0"/>
    <x v="0"/>
    <s v="SPXW"/>
    <x v="6"/>
    <x v="272"/>
    <s v="p"/>
    <n v="0"/>
    <n v="0"/>
    <n v="0"/>
    <n v="0"/>
    <n v="0"/>
    <n v="1"/>
    <n v="685.1"/>
    <n v="2"/>
    <n v="704.9"/>
    <n v="0"/>
    <n v="0"/>
    <n v="0"/>
    <n v="0"/>
    <n v="0.26069999999999999"/>
    <n v="-0.99080000000000001"/>
    <n v="1E-4"/>
    <n v="-0.2792"/>
    <n v="0.2853"/>
    <n v="-1.7203999999999999"/>
    <n v="3"/>
    <n v="685.7"/>
    <n v="1"/>
    <n v="705.5"/>
    <n v="0"/>
    <n v="0"/>
    <n v="0"/>
    <n v="0"/>
    <n v="0"/>
  </r>
  <r>
    <x v="0"/>
    <x v="0"/>
    <s v="SPXW"/>
    <x v="6"/>
    <x v="273"/>
    <s v="p"/>
    <n v="0"/>
    <n v="0"/>
    <n v="0"/>
    <n v="0"/>
    <n v="0"/>
    <n v="1"/>
    <n v="784.7"/>
    <n v="1"/>
    <n v="804.5"/>
    <n v="0"/>
    <n v="0"/>
    <n v="0"/>
    <n v="0"/>
    <n v="0.27600000000000002"/>
    <n v="-0.99429999999999996"/>
    <n v="1E-4"/>
    <n v="-0.14929999999999999"/>
    <n v="0.1867"/>
    <n v="-1.7481"/>
    <n v="3"/>
    <n v="785.6"/>
    <n v="1"/>
    <n v="808.3"/>
    <n v="0"/>
    <n v="0"/>
    <n v="0"/>
    <n v="0"/>
    <n v="0"/>
  </r>
  <r>
    <x v="0"/>
    <x v="0"/>
    <s v="SPXW"/>
    <x v="6"/>
    <x v="274"/>
    <s v="p"/>
    <n v="0"/>
    <n v="0"/>
    <n v="0"/>
    <n v="0"/>
    <n v="0"/>
    <n v="1"/>
    <n v="984.8"/>
    <n v="1"/>
    <n v="1003.8"/>
    <n v="0"/>
    <n v="0"/>
    <n v="0"/>
    <n v="0"/>
    <n v="0.32350000000000001"/>
    <n v="-0.99619999999999997"/>
    <n v="0"/>
    <n v="-7.9500000000000001E-2"/>
    <n v="0.12970000000000001"/>
    <n v="-1.7956000000000001"/>
    <n v="3"/>
    <n v="985.4"/>
    <n v="1"/>
    <n v="1008.8"/>
    <n v="0"/>
    <n v="0"/>
    <n v="0"/>
    <n v="0"/>
    <n v="0"/>
  </r>
  <r>
    <x v="0"/>
    <x v="0"/>
    <s v="SPXW"/>
    <x v="6"/>
    <x v="275"/>
    <s v="p"/>
    <n v="0"/>
    <n v="0"/>
    <n v="0"/>
    <n v="0"/>
    <n v="0"/>
    <n v="1"/>
    <n v="1183.7"/>
    <n v="1"/>
    <n v="1203.9000000000001"/>
    <n v="0"/>
    <n v="0"/>
    <n v="0"/>
    <n v="0"/>
    <n v="0.31890000000000002"/>
    <n v="-0.99939999999999996"/>
    <n v="0"/>
    <n v="0"/>
    <n v="2.6100000000000002E-2"/>
    <n v="-1.845"/>
    <n v="3"/>
    <n v="1185.2"/>
    <n v="1"/>
    <n v="1203.9000000000001"/>
    <n v="0"/>
    <n v="0"/>
    <n v="0"/>
    <n v="0"/>
    <n v="0"/>
  </r>
  <r>
    <x v="0"/>
    <x v="0"/>
    <s v="SPXW"/>
    <x v="6"/>
    <x v="276"/>
    <s v="p"/>
    <n v="0"/>
    <n v="0"/>
    <n v="0"/>
    <n v="0"/>
    <n v="0"/>
    <n v="1"/>
    <n v="1383.5"/>
    <n v="1"/>
    <n v="1403.3"/>
    <n v="0"/>
    <n v="0"/>
    <n v="0"/>
    <n v="0"/>
    <n v="0.6502"/>
    <n v="-0.96240000000000003"/>
    <n v="1E-4"/>
    <n v="-3.0476999999999999"/>
    <n v="0.87749999999999995"/>
    <n v="-1.8348"/>
    <n v="1"/>
    <n v="1385.1"/>
    <n v="1"/>
    <n v="1403.9"/>
    <n v="0"/>
    <n v="0"/>
    <n v="0"/>
    <n v="0"/>
    <n v="0"/>
  </r>
  <r>
    <x v="0"/>
    <x v="0"/>
    <s v="SPXW"/>
    <x v="6"/>
    <x v="277"/>
    <s v="p"/>
    <n v="0"/>
    <n v="0"/>
    <n v="0"/>
    <n v="0"/>
    <n v="0"/>
    <n v="1"/>
    <n v="1583.6"/>
    <n v="1"/>
    <n v="1603.7"/>
    <n v="0"/>
    <n v="0"/>
    <n v="0"/>
    <n v="0"/>
    <n v="0.46179999999999999"/>
    <n v="-0.998"/>
    <n v="0"/>
    <n v="0"/>
    <n v="6.9199999999999998E-2"/>
    <n v="-1.9323999999999999"/>
    <n v="3"/>
    <n v="1584.9"/>
    <n v="1"/>
    <n v="1603.7"/>
    <n v="0"/>
    <n v="0"/>
    <n v="0"/>
    <n v="0"/>
    <n v="0"/>
  </r>
  <r>
    <x v="0"/>
    <x v="0"/>
    <s v="SPXW"/>
    <x v="6"/>
    <x v="278"/>
    <s v="p"/>
    <n v="0"/>
    <n v="0"/>
    <n v="0"/>
    <n v="0"/>
    <n v="0"/>
    <n v="1"/>
    <n v="1783.8"/>
    <n v="2"/>
    <n v="1803.9"/>
    <n v="0"/>
    <n v="0"/>
    <n v="0"/>
    <n v="0"/>
    <n v="0.55289999999999995"/>
    <n v="-0.99619999999999997"/>
    <n v="0"/>
    <n v="-0.1242"/>
    <n v="0.12379999999999999"/>
    <n v="-1.9742999999999999"/>
    <n v="3"/>
    <n v="1784.7"/>
    <n v="1"/>
    <n v="1807.4"/>
    <n v="0"/>
    <n v="0"/>
    <n v="0"/>
    <n v="0"/>
    <n v="0"/>
  </r>
  <r>
    <x v="0"/>
    <x v="0"/>
    <s v="SPXW"/>
    <x v="6"/>
    <x v="279"/>
    <s v="p"/>
    <n v="0"/>
    <n v="0"/>
    <n v="0"/>
    <n v="0"/>
    <n v="0"/>
    <n v="1"/>
    <n v="1983.9"/>
    <n v="1"/>
    <n v="2002.9"/>
    <n v="0"/>
    <n v="0"/>
    <n v="0"/>
    <n v="0"/>
    <n v="0.57050000000000001"/>
    <n v="-0.99780000000000002"/>
    <n v="0"/>
    <n v="0"/>
    <n v="7.6100000000000001E-2"/>
    <n v="-2.0213000000000001"/>
    <n v="3"/>
    <n v="1984.5"/>
    <n v="1"/>
    <n v="2003.1"/>
    <n v="0"/>
    <n v="0"/>
    <n v="0"/>
    <n v="0"/>
    <n v="0"/>
  </r>
  <r>
    <x v="0"/>
    <x v="0"/>
    <s v="SPXW"/>
    <x v="6"/>
    <x v="280"/>
    <s v="p"/>
    <n v="0"/>
    <n v="0"/>
    <n v="0"/>
    <n v="0"/>
    <n v="0"/>
    <n v="1"/>
    <n v="2182.8000000000002"/>
    <n v="1"/>
    <n v="2202.9"/>
    <n v="0"/>
    <n v="0"/>
    <n v="0"/>
    <n v="0"/>
    <n v="0.90100000000000002"/>
    <n v="-0.97230000000000005"/>
    <n v="1E-4"/>
    <n v="-3.1223000000000001"/>
    <n v="0.67669999999999997"/>
    <n v="-2.0291999999999999"/>
    <n v="2"/>
    <n v="2184.3000000000002"/>
    <n v="1"/>
    <n v="2202.9"/>
    <n v="0"/>
    <n v="0"/>
    <n v="0"/>
    <n v="0"/>
    <n v="0"/>
  </r>
  <r>
    <x v="0"/>
    <x v="0"/>
    <s v="SPXW"/>
    <x v="7"/>
    <x v="1"/>
    <s v="p"/>
    <n v="0"/>
    <n v="0"/>
    <n v="0"/>
    <n v="0"/>
    <n v="0"/>
    <n v="0"/>
    <n v="0"/>
    <n v="455"/>
    <n v="0.05"/>
    <n v="0"/>
    <n v="0"/>
    <n v="0"/>
    <n v="0"/>
    <n v="1.6244000000000001"/>
    <n v="-1E-4"/>
    <n v="0"/>
    <n v="-1.6400000000000001E-2"/>
    <n v="2.7000000000000001E-3"/>
    <n v="-1E-4"/>
    <n v="0"/>
    <n v="0"/>
    <n v="443"/>
    <n v="0.1"/>
    <n v="0"/>
    <n v="0"/>
    <n v="0"/>
    <n v="1"/>
    <n v="0"/>
  </r>
  <r>
    <x v="0"/>
    <x v="0"/>
    <s v="SPXW"/>
    <x v="7"/>
    <x v="2"/>
    <s v="p"/>
    <n v="0"/>
    <n v="0"/>
    <n v="0"/>
    <n v="0"/>
    <n v="0"/>
    <n v="0"/>
    <n v="0"/>
    <n v="466"/>
    <n v="0.05"/>
    <n v="0"/>
    <n v="0"/>
    <n v="0"/>
    <n v="0"/>
    <n v="1.5094000000000001"/>
    <n v="-1E-4"/>
    <n v="0"/>
    <n v="-1.6400000000000001E-2"/>
    <n v="2.8999999999999998E-3"/>
    <n v="-1E-4"/>
    <n v="0"/>
    <n v="0"/>
    <n v="465"/>
    <n v="0.1"/>
    <n v="0"/>
    <n v="0"/>
    <n v="0"/>
    <n v="1"/>
    <n v="0"/>
  </r>
  <r>
    <x v="0"/>
    <x v="0"/>
    <s v="SPXW"/>
    <x v="7"/>
    <x v="3"/>
    <s v="p"/>
    <n v="0"/>
    <n v="0"/>
    <n v="0"/>
    <n v="0"/>
    <n v="0"/>
    <n v="0"/>
    <n v="0"/>
    <n v="441"/>
    <n v="0.05"/>
    <n v="0"/>
    <n v="0"/>
    <n v="0"/>
    <n v="0"/>
    <n v="1.4018999999999999"/>
    <n v="-1E-4"/>
    <n v="0"/>
    <n v="-1.6400000000000001E-2"/>
    <n v="3.2000000000000002E-3"/>
    <n v="-1E-4"/>
    <n v="0"/>
    <n v="0"/>
    <n v="455"/>
    <n v="0.1"/>
    <n v="0"/>
    <n v="0"/>
    <n v="0"/>
    <n v="5"/>
    <n v="0"/>
  </r>
  <r>
    <x v="0"/>
    <x v="0"/>
    <s v="SPXW"/>
    <x v="7"/>
    <x v="4"/>
    <s v="p"/>
    <n v="0"/>
    <n v="0"/>
    <n v="0"/>
    <n v="0"/>
    <n v="0"/>
    <n v="0"/>
    <n v="0"/>
    <n v="409"/>
    <n v="0.05"/>
    <n v="0"/>
    <n v="0"/>
    <n v="0"/>
    <n v="0"/>
    <n v="1.3008"/>
    <n v="-1E-4"/>
    <n v="0"/>
    <n v="-1.6299999999999999E-2"/>
    <n v="3.3999999999999998E-3"/>
    <n v="-1E-4"/>
    <n v="0"/>
    <n v="0"/>
    <n v="444"/>
    <n v="0.1"/>
    <n v="0"/>
    <n v="0"/>
    <n v="0"/>
    <n v="151"/>
    <n v="0"/>
  </r>
  <r>
    <x v="0"/>
    <x v="0"/>
    <s v="SPXW"/>
    <x v="7"/>
    <x v="5"/>
    <s v="p"/>
    <n v="0"/>
    <n v="0"/>
    <n v="0"/>
    <n v="0"/>
    <n v="0"/>
    <n v="0"/>
    <n v="0"/>
    <n v="372"/>
    <n v="0.05"/>
    <n v="0"/>
    <n v="0"/>
    <n v="0"/>
    <n v="0"/>
    <n v="1.2054"/>
    <n v="-1E-4"/>
    <n v="0"/>
    <n v="-1.6299999999999999E-2"/>
    <n v="3.7000000000000002E-3"/>
    <n v="-1E-4"/>
    <n v="0"/>
    <n v="0"/>
    <n v="431"/>
    <n v="0.1"/>
    <n v="0"/>
    <n v="0"/>
    <n v="0"/>
    <n v="7"/>
    <n v="0"/>
  </r>
  <r>
    <x v="0"/>
    <x v="0"/>
    <s v="SPXW"/>
    <x v="7"/>
    <x v="6"/>
    <s v="p"/>
    <n v="0"/>
    <n v="0"/>
    <n v="0"/>
    <n v="0"/>
    <n v="0"/>
    <n v="0"/>
    <n v="0"/>
    <n v="294"/>
    <n v="0.05"/>
    <n v="0"/>
    <n v="0"/>
    <n v="0"/>
    <n v="0"/>
    <n v="1.1149"/>
    <n v="-1E-4"/>
    <n v="0"/>
    <n v="-1.6199999999999999E-2"/>
    <n v="4.0000000000000001E-3"/>
    <n v="-2.0000000000000001E-4"/>
    <n v="0"/>
    <n v="0"/>
    <n v="412"/>
    <n v="0.1"/>
    <n v="0"/>
    <n v="0"/>
    <n v="0"/>
    <n v="39"/>
    <n v="0"/>
  </r>
  <r>
    <x v="0"/>
    <x v="0"/>
    <s v="SPXW"/>
    <x v="7"/>
    <x v="7"/>
    <s v="p"/>
    <n v="0"/>
    <n v="0"/>
    <n v="0"/>
    <n v="0"/>
    <n v="0"/>
    <n v="0"/>
    <n v="0"/>
    <n v="232"/>
    <n v="0.05"/>
    <n v="0"/>
    <n v="0"/>
    <n v="0"/>
    <n v="0"/>
    <n v="1.0291999999999999"/>
    <n v="-1E-4"/>
    <n v="0"/>
    <n v="-1.61E-2"/>
    <n v="4.3E-3"/>
    <n v="-2.0000000000000001E-4"/>
    <n v="0"/>
    <n v="0"/>
    <n v="393"/>
    <n v="0.1"/>
    <n v="0"/>
    <n v="0"/>
    <n v="0"/>
    <n v="48"/>
    <n v="0"/>
  </r>
  <r>
    <x v="0"/>
    <x v="0"/>
    <s v="SPXW"/>
    <x v="7"/>
    <x v="8"/>
    <s v="p"/>
    <n v="0"/>
    <n v="0"/>
    <n v="0"/>
    <n v="0"/>
    <n v="0"/>
    <n v="0"/>
    <n v="0"/>
    <n v="893"/>
    <n v="0.1"/>
    <n v="0"/>
    <n v="0"/>
    <n v="0"/>
    <n v="0"/>
    <n v="0.99009999999999998"/>
    <n v="-2.0000000000000001E-4"/>
    <n v="0"/>
    <n v="-3.0700000000000002E-2"/>
    <n v="8.0999999999999996E-3"/>
    <n v="-2.9999999999999997E-4"/>
    <n v="0"/>
    <n v="0"/>
    <n v="369"/>
    <n v="0.1"/>
    <n v="0"/>
    <n v="0"/>
    <n v="0"/>
    <n v="13"/>
    <n v="0"/>
  </r>
  <r>
    <x v="0"/>
    <x v="0"/>
    <s v="SPXW"/>
    <x v="7"/>
    <x v="9"/>
    <s v="p"/>
    <n v="0"/>
    <n v="0"/>
    <n v="0"/>
    <n v="0"/>
    <n v="0"/>
    <n v="0"/>
    <n v="0"/>
    <n v="751"/>
    <n v="0.1"/>
    <n v="0"/>
    <n v="0"/>
    <n v="0"/>
    <n v="0"/>
    <n v="0.90880000000000005"/>
    <n v="-2.0000000000000001E-4"/>
    <n v="0"/>
    <n v="-3.0599999999999999E-2"/>
    <n v="8.8999999999999999E-3"/>
    <n v="-4.0000000000000002E-4"/>
    <n v="0"/>
    <n v="0"/>
    <n v="302"/>
    <n v="0.1"/>
    <n v="0"/>
    <n v="0"/>
    <n v="0"/>
    <n v="102"/>
    <n v="0"/>
  </r>
  <r>
    <x v="0"/>
    <x v="0"/>
    <s v="SPXW"/>
    <x v="7"/>
    <x v="10"/>
    <s v="p"/>
    <n v="0.05"/>
    <n v="0.05"/>
    <n v="0.05"/>
    <n v="0.05"/>
    <n v="283"/>
    <n v="0"/>
    <n v="0"/>
    <n v="217"/>
    <n v="0.05"/>
    <n v="0"/>
    <n v="0"/>
    <n v="0"/>
    <n v="0"/>
    <n v="0.79449999999999998"/>
    <n v="-1E-4"/>
    <n v="0"/>
    <n v="-1.5900000000000001E-2"/>
    <n v="5.4999999999999997E-3"/>
    <n v="-2.0000000000000001E-4"/>
    <n v="0"/>
    <n v="0"/>
    <n v="217"/>
    <n v="0.05"/>
    <n v="0"/>
    <n v="0"/>
    <n v="0.05"/>
    <n v="553"/>
    <n v="0"/>
  </r>
  <r>
    <x v="0"/>
    <x v="0"/>
    <s v="SPXW"/>
    <x v="7"/>
    <x v="11"/>
    <s v="p"/>
    <n v="0.05"/>
    <n v="0.05"/>
    <n v="0.05"/>
    <n v="0.05"/>
    <n v="125"/>
    <n v="25"/>
    <n v="0.05"/>
    <n v="232"/>
    <n v="0.1"/>
    <n v="0"/>
    <n v="0"/>
    <n v="0"/>
    <n v="0"/>
    <n v="0.77759999999999996"/>
    <n v="-4.0000000000000002E-4"/>
    <n v="0"/>
    <n v="-4.3999999999999997E-2"/>
    <n v="1.46E-2"/>
    <n v="-5.9999999999999995E-4"/>
    <n v="0"/>
    <n v="0"/>
    <n v="25"/>
    <n v="0.05"/>
    <n v="0"/>
    <n v="0"/>
    <n v="0.05"/>
    <n v="787"/>
    <n v="0"/>
  </r>
  <r>
    <x v="0"/>
    <x v="0"/>
    <s v="SPXW"/>
    <x v="7"/>
    <x v="12"/>
    <s v="p"/>
    <n v="0.12"/>
    <n v="0.12"/>
    <n v="0.09"/>
    <n v="0.1"/>
    <n v="660"/>
    <n v="47"/>
    <n v="0.05"/>
    <n v="1"/>
    <n v="0.1"/>
    <n v="0"/>
    <n v="0"/>
    <n v="0"/>
    <n v="0"/>
    <n v="0.70369999999999999"/>
    <n v="-4.0000000000000002E-4"/>
    <n v="0"/>
    <n v="-4.3700000000000003E-2"/>
    <n v="1.61E-2"/>
    <n v="-6.9999999999999999E-4"/>
    <n v="0"/>
    <n v="0"/>
    <n v="1"/>
    <n v="0.1"/>
    <n v="0"/>
    <n v="0"/>
    <n v="0.1142"/>
    <n v="1697"/>
    <n v="0"/>
  </r>
  <r>
    <x v="0"/>
    <x v="0"/>
    <s v="SPXW"/>
    <x v="7"/>
    <x v="14"/>
    <s v="p"/>
    <n v="0.15"/>
    <n v="0.15"/>
    <n v="0.15"/>
    <n v="0.15"/>
    <n v="10"/>
    <n v="495"/>
    <n v="0.05"/>
    <n v="224"/>
    <n v="0.15"/>
    <n v="0"/>
    <n v="0"/>
    <n v="0"/>
    <n v="0"/>
    <n v="0.64600000000000002"/>
    <n v="-5.9999999999999995E-4"/>
    <n v="0"/>
    <n v="-5.6500000000000002E-2"/>
    <n v="2.24E-2"/>
    <n v="-8.9999999999999998E-4"/>
    <n v="53"/>
    <n v="0.05"/>
    <n v="343"/>
    <n v="0.2"/>
    <n v="0"/>
    <n v="0"/>
    <n v="0.15"/>
    <n v="3674"/>
    <n v="0"/>
  </r>
  <r>
    <x v="0"/>
    <x v="0"/>
    <s v="SPXW"/>
    <x v="7"/>
    <x v="15"/>
    <s v="p"/>
    <n v="0.1"/>
    <n v="0.15"/>
    <n v="0.1"/>
    <n v="0.15"/>
    <n v="44"/>
    <n v="595"/>
    <n v="0.05"/>
    <n v="532"/>
    <n v="0.2"/>
    <n v="0"/>
    <n v="0"/>
    <n v="0"/>
    <n v="0"/>
    <n v="0.62119999999999997"/>
    <n v="-6.9999999999999999E-4"/>
    <n v="0"/>
    <n v="-6.9000000000000006E-2"/>
    <n v="2.8000000000000001E-2"/>
    <n v="-1.1999999999999999E-3"/>
    <n v="55"/>
    <n v="0.05"/>
    <n v="273"/>
    <n v="0.2"/>
    <n v="0"/>
    <n v="0"/>
    <n v="0.12839999999999999"/>
    <n v="537"/>
    <n v="0"/>
  </r>
  <r>
    <x v="0"/>
    <x v="0"/>
    <s v="SPXW"/>
    <x v="7"/>
    <x v="16"/>
    <s v="p"/>
    <n v="0.16"/>
    <n v="0.16"/>
    <n v="0.15"/>
    <n v="0.15"/>
    <n v="60"/>
    <n v="236"/>
    <n v="0.1"/>
    <n v="365"/>
    <n v="0.2"/>
    <n v="0"/>
    <n v="0"/>
    <n v="0"/>
    <n v="0"/>
    <n v="0.59440000000000004"/>
    <n v="-8.9999999999999998E-4"/>
    <n v="0"/>
    <n v="-8.1100000000000005E-2"/>
    <n v="3.4099999999999998E-2"/>
    <n v="-1.5E-3"/>
    <n v="15"/>
    <n v="0.1"/>
    <n v="342"/>
    <n v="0.25"/>
    <n v="0"/>
    <n v="0"/>
    <n v="0.1517"/>
    <n v="296"/>
    <n v="0"/>
  </r>
  <r>
    <x v="0"/>
    <x v="0"/>
    <s v="SPXW"/>
    <x v="7"/>
    <x v="18"/>
    <s v="p"/>
    <n v="0.15"/>
    <n v="0.2"/>
    <n v="0.15"/>
    <n v="0.2"/>
    <n v="82"/>
    <n v="471"/>
    <n v="0.1"/>
    <n v="475"/>
    <n v="0.25"/>
    <n v="0"/>
    <n v="0"/>
    <n v="0"/>
    <n v="0"/>
    <n v="0.56620000000000004"/>
    <n v="-1E-3"/>
    <n v="0"/>
    <n v="-9.2700000000000005E-2"/>
    <n v="4.0599999999999997E-2"/>
    <n v="-1.8E-3"/>
    <n v="54"/>
    <n v="0.1"/>
    <n v="201"/>
    <n v="0.25"/>
    <n v="0"/>
    <n v="0"/>
    <n v="0.19409999999999999"/>
    <n v="329"/>
    <n v="0"/>
  </r>
  <r>
    <x v="0"/>
    <x v="0"/>
    <s v="SPXW"/>
    <x v="7"/>
    <x v="22"/>
    <s v="p"/>
    <n v="0.19"/>
    <n v="0.19"/>
    <n v="0.18"/>
    <n v="0.18"/>
    <n v="60"/>
    <n v="336"/>
    <n v="0.15"/>
    <n v="458"/>
    <n v="0.3"/>
    <n v="0"/>
    <n v="0"/>
    <n v="0"/>
    <n v="0"/>
    <n v="0.54249999999999998"/>
    <n v="-1.4E-3"/>
    <n v="0"/>
    <n v="-0.1157"/>
    <n v="5.1999999999999998E-2"/>
    <n v="-2.3999999999999998E-3"/>
    <n v="35"/>
    <n v="0.15"/>
    <n v="290"/>
    <n v="0.3"/>
    <n v="0"/>
    <n v="0"/>
    <n v="0.1883"/>
    <n v="381"/>
    <n v="0"/>
  </r>
  <r>
    <x v="0"/>
    <x v="0"/>
    <s v="SPXW"/>
    <x v="7"/>
    <x v="26"/>
    <s v="p"/>
    <n v="0.22"/>
    <n v="0.27"/>
    <n v="0.2"/>
    <n v="0.26"/>
    <n v="56"/>
    <n v="516"/>
    <n v="0.2"/>
    <n v="442"/>
    <n v="0.35"/>
    <n v="0"/>
    <n v="0"/>
    <n v="0"/>
    <n v="0"/>
    <n v="0.51600000000000001"/>
    <n v="-1.6999999999999999E-3"/>
    <n v="0"/>
    <n v="-0.13769999999999999"/>
    <n v="6.4500000000000002E-2"/>
    <n v="-3.0000000000000001E-3"/>
    <n v="15"/>
    <n v="0.2"/>
    <n v="272"/>
    <n v="0.35"/>
    <n v="0"/>
    <n v="0"/>
    <n v="0.2455"/>
    <n v="677"/>
    <n v="0"/>
  </r>
  <r>
    <x v="0"/>
    <x v="0"/>
    <s v="SPXW"/>
    <x v="7"/>
    <x v="30"/>
    <s v="p"/>
    <n v="0.25"/>
    <n v="0.4"/>
    <n v="0.25"/>
    <n v="0.34"/>
    <n v="54"/>
    <n v="342"/>
    <n v="0.25"/>
    <n v="365"/>
    <n v="0.4"/>
    <n v="0"/>
    <n v="0"/>
    <n v="0"/>
    <n v="0"/>
    <n v="0.48820000000000002"/>
    <n v="-2.0999999999999999E-3"/>
    <n v="0"/>
    <n v="-0.15870000000000001"/>
    <n v="7.7899999999999997E-2"/>
    <n v="-3.5999999999999999E-3"/>
    <n v="15"/>
    <n v="0.25"/>
    <n v="424"/>
    <n v="0.4"/>
    <n v="0"/>
    <n v="0"/>
    <n v="0.35930000000000001"/>
    <n v="488"/>
    <n v="0"/>
  </r>
  <r>
    <x v="0"/>
    <x v="0"/>
    <s v="SPXW"/>
    <x v="7"/>
    <x v="32"/>
    <s v="p"/>
    <n v="0.3"/>
    <n v="0.35"/>
    <n v="0.3"/>
    <n v="0.35"/>
    <n v="2"/>
    <n v="630"/>
    <n v="0.25"/>
    <n v="398"/>
    <n v="0.45"/>
    <n v="0"/>
    <n v="0"/>
    <n v="0"/>
    <n v="0"/>
    <n v="0.4738"/>
    <n v="-2.3E-3"/>
    <n v="0"/>
    <n v="-0.16889999999999999"/>
    <n v="8.4900000000000003E-2"/>
    <n v="-4.0000000000000001E-3"/>
    <n v="49"/>
    <n v="0.25"/>
    <n v="248"/>
    <n v="0.45"/>
    <n v="0"/>
    <n v="0"/>
    <n v="0.32500000000000001"/>
    <n v="107"/>
    <n v="0"/>
  </r>
  <r>
    <x v="0"/>
    <x v="0"/>
    <s v="SPXW"/>
    <x v="7"/>
    <x v="33"/>
    <s v="p"/>
    <n v="0"/>
    <n v="0"/>
    <n v="0"/>
    <n v="0"/>
    <n v="0"/>
    <n v="470"/>
    <n v="0.3"/>
    <n v="311"/>
    <n v="0.45"/>
    <n v="0"/>
    <n v="0"/>
    <n v="0"/>
    <n v="0"/>
    <n v="0.46789999999999998"/>
    <n v="-2.5000000000000001E-3"/>
    <n v="0"/>
    <n v="-0.1792"/>
    <n v="9.0899999999999995E-2"/>
    <n v="-4.3E-3"/>
    <n v="15"/>
    <n v="0.3"/>
    <n v="408"/>
    <n v="0.45"/>
    <n v="0"/>
    <n v="0"/>
    <n v="0"/>
    <n v="30"/>
    <n v="0"/>
  </r>
  <r>
    <x v="0"/>
    <x v="0"/>
    <s v="SPXW"/>
    <x v="7"/>
    <x v="34"/>
    <s v="p"/>
    <n v="0.33"/>
    <n v="0.33"/>
    <n v="0.31"/>
    <n v="0.31"/>
    <n v="30"/>
    <n v="544"/>
    <n v="0.3"/>
    <n v="399"/>
    <n v="0.45"/>
    <n v="0"/>
    <n v="0"/>
    <n v="0"/>
    <n v="0"/>
    <n v="0.45910000000000001"/>
    <n v="-2.5000000000000001E-3"/>
    <n v="0"/>
    <n v="-0.1789"/>
    <n v="9.2499999999999999E-2"/>
    <n v="-4.4000000000000003E-3"/>
    <n v="49"/>
    <n v="0.3"/>
    <n v="157"/>
    <n v="0.45"/>
    <n v="0"/>
    <n v="0"/>
    <n v="0.32669999999999999"/>
    <n v="442"/>
    <n v="0"/>
  </r>
  <r>
    <x v="0"/>
    <x v="0"/>
    <s v="SPXW"/>
    <x v="7"/>
    <x v="35"/>
    <s v="p"/>
    <n v="0.35"/>
    <n v="0.35"/>
    <n v="0.35"/>
    <n v="0.35"/>
    <n v="1"/>
    <n v="147"/>
    <n v="0.35"/>
    <n v="352"/>
    <n v="0.5"/>
    <n v="0"/>
    <n v="0"/>
    <n v="0"/>
    <n v="0"/>
    <n v="0.45590000000000003"/>
    <n v="-2.8999999999999998E-3"/>
    <n v="0"/>
    <n v="-0.19950000000000001"/>
    <n v="0.1032"/>
    <n v="-5.0000000000000001E-3"/>
    <n v="47"/>
    <n v="0.3"/>
    <n v="225"/>
    <n v="0.5"/>
    <n v="0"/>
    <n v="0"/>
    <n v="0.35"/>
    <n v="111"/>
    <n v="0"/>
  </r>
  <r>
    <x v="0"/>
    <x v="0"/>
    <s v="SPXW"/>
    <x v="7"/>
    <x v="36"/>
    <s v="p"/>
    <n v="0.5"/>
    <n v="0.5"/>
    <n v="0.5"/>
    <n v="0.5"/>
    <n v="9"/>
    <n v="389"/>
    <n v="0.35"/>
    <n v="264"/>
    <n v="0.5"/>
    <n v="0"/>
    <n v="0"/>
    <n v="0"/>
    <n v="0"/>
    <n v="0.44690000000000002"/>
    <n v="-2.8999999999999998E-3"/>
    <n v="0"/>
    <n v="-0.19900000000000001"/>
    <n v="0.1051"/>
    <n v="-5.1000000000000004E-3"/>
    <n v="35"/>
    <n v="0.35"/>
    <n v="173"/>
    <n v="0.5"/>
    <n v="0"/>
    <n v="0"/>
    <n v="0.5"/>
    <n v="137"/>
    <n v="0"/>
  </r>
  <r>
    <x v="0"/>
    <x v="0"/>
    <s v="SPXW"/>
    <x v="7"/>
    <x v="37"/>
    <s v="p"/>
    <n v="0"/>
    <n v="0"/>
    <n v="0"/>
    <n v="0"/>
    <n v="0"/>
    <n v="117"/>
    <n v="0.4"/>
    <n v="377"/>
    <n v="0.55000000000000004"/>
    <n v="0"/>
    <n v="0"/>
    <n v="0"/>
    <n v="0"/>
    <n v="0.44280000000000003"/>
    <n v="-3.3E-3"/>
    <n v="0"/>
    <n v="-0.21909999999999999"/>
    <n v="0.11600000000000001"/>
    <n v="-5.7000000000000002E-3"/>
    <n v="47"/>
    <n v="0.35"/>
    <n v="226"/>
    <n v="0.55000000000000004"/>
    <n v="0"/>
    <n v="0"/>
    <n v="0"/>
    <n v="178"/>
    <n v="0"/>
  </r>
  <r>
    <x v="0"/>
    <x v="0"/>
    <s v="SPXW"/>
    <x v="7"/>
    <x v="38"/>
    <s v="p"/>
    <n v="0.39"/>
    <n v="0.65"/>
    <n v="0.39"/>
    <n v="0.52"/>
    <n v="95"/>
    <n v="364"/>
    <n v="0.4"/>
    <n v="307"/>
    <n v="0.55000000000000004"/>
    <n v="0"/>
    <n v="0"/>
    <n v="0"/>
    <n v="0"/>
    <n v="0.43390000000000001"/>
    <n v="-3.3E-3"/>
    <n v="0"/>
    <n v="-0.2185"/>
    <n v="0.1182"/>
    <n v="-5.7999999999999996E-3"/>
    <n v="15"/>
    <n v="0.4"/>
    <n v="396"/>
    <n v="0.55000000000000004"/>
    <n v="0"/>
    <n v="0"/>
    <n v="0.59050000000000002"/>
    <n v="502"/>
    <n v="0"/>
  </r>
  <r>
    <x v="0"/>
    <x v="0"/>
    <s v="SPXW"/>
    <x v="7"/>
    <x v="39"/>
    <s v="p"/>
    <n v="0"/>
    <n v="0"/>
    <n v="0"/>
    <n v="0"/>
    <n v="0"/>
    <n v="117"/>
    <n v="0.45"/>
    <n v="383"/>
    <n v="0.6"/>
    <n v="0"/>
    <n v="0"/>
    <n v="0"/>
    <n v="0"/>
    <n v="0.42930000000000001"/>
    <n v="-3.7000000000000002E-3"/>
    <n v="0"/>
    <n v="-0.23810000000000001"/>
    <n v="0.12920000000000001"/>
    <n v="-6.4000000000000003E-3"/>
    <n v="45"/>
    <n v="0.4"/>
    <n v="222"/>
    <n v="0.6"/>
    <n v="0"/>
    <n v="0"/>
    <n v="0"/>
    <n v="116"/>
    <n v="0"/>
  </r>
  <r>
    <x v="0"/>
    <x v="0"/>
    <s v="SPXW"/>
    <x v="7"/>
    <x v="40"/>
    <s v="p"/>
    <n v="0.7"/>
    <n v="0.75"/>
    <n v="0.7"/>
    <n v="0.75"/>
    <n v="70"/>
    <n v="269"/>
    <n v="0.45"/>
    <n v="311"/>
    <n v="0.6"/>
    <n v="0"/>
    <n v="0"/>
    <n v="0"/>
    <n v="0"/>
    <n v="0.42020000000000002"/>
    <n v="-3.7000000000000002E-3"/>
    <n v="0"/>
    <n v="-0.2374"/>
    <n v="0.13170000000000001"/>
    <n v="-6.4999999999999997E-3"/>
    <n v="15"/>
    <n v="0.45"/>
    <n v="356"/>
    <n v="0.6"/>
    <n v="0"/>
    <n v="0"/>
    <n v="0.70709999999999995"/>
    <n v="193"/>
    <n v="0"/>
  </r>
  <r>
    <x v="0"/>
    <x v="0"/>
    <s v="SPXW"/>
    <x v="7"/>
    <x v="41"/>
    <s v="p"/>
    <n v="0.5"/>
    <n v="0.8"/>
    <n v="0.5"/>
    <n v="0.8"/>
    <n v="52"/>
    <n v="147"/>
    <n v="0.5"/>
    <n v="226"/>
    <n v="0.6"/>
    <n v="0"/>
    <n v="0"/>
    <n v="0"/>
    <n v="0"/>
    <n v="0.4133"/>
    <n v="-4.0000000000000001E-3"/>
    <n v="0"/>
    <n v="-0.2467"/>
    <n v="0.13869999999999999"/>
    <n v="-6.8999999999999999E-3"/>
    <n v="126"/>
    <n v="0.45"/>
    <n v="212"/>
    <n v="0.65"/>
    <n v="0"/>
    <n v="0"/>
    <n v="0.76629999999999998"/>
    <n v="104"/>
    <n v="0"/>
  </r>
  <r>
    <x v="0"/>
    <x v="0"/>
    <s v="SPXW"/>
    <x v="7"/>
    <x v="42"/>
    <s v="p"/>
    <n v="0.8"/>
    <n v="0.8"/>
    <n v="0.8"/>
    <n v="0.8"/>
    <n v="50"/>
    <n v="262"/>
    <n v="0.5"/>
    <n v="218"/>
    <n v="0.65"/>
    <n v="0"/>
    <n v="0"/>
    <n v="0"/>
    <n v="0"/>
    <n v="0.40600000000000003"/>
    <n v="-4.1999999999999997E-3"/>
    <n v="0"/>
    <n v="-0.25580000000000003"/>
    <n v="0.14599999999999999"/>
    <n v="-7.3000000000000001E-3"/>
    <n v="24"/>
    <n v="0.5"/>
    <n v="369"/>
    <n v="0.65"/>
    <n v="0"/>
    <n v="0"/>
    <n v="0.8"/>
    <n v="136"/>
    <n v="0"/>
  </r>
  <r>
    <x v="0"/>
    <x v="0"/>
    <s v="SPXW"/>
    <x v="7"/>
    <x v="43"/>
    <s v="p"/>
    <n v="0.65"/>
    <n v="0.65"/>
    <n v="0.65"/>
    <n v="0.65"/>
    <n v="1"/>
    <n v="226"/>
    <n v="0.55000000000000004"/>
    <n v="330"/>
    <n v="0.7"/>
    <n v="0"/>
    <n v="0"/>
    <n v="0"/>
    <n v="0"/>
    <n v="0.40060000000000001"/>
    <n v="-4.5999999999999999E-3"/>
    <n v="0"/>
    <n v="-0.27439999999999998"/>
    <n v="0.15790000000000001"/>
    <n v="-8.0000000000000002E-3"/>
    <n v="15"/>
    <n v="0.55000000000000004"/>
    <n v="197"/>
    <n v="0.7"/>
    <n v="0"/>
    <n v="0"/>
    <n v="0.65"/>
    <n v="64"/>
    <n v="0"/>
  </r>
  <r>
    <x v="0"/>
    <x v="0"/>
    <s v="SPXW"/>
    <x v="7"/>
    <x v="44"/>
    <s v="p"/>
    <n v="0.95"/>
    <n v="0.95"/>
    <n v="0.95"/>
    <n v="0.95"/>
    <n v="1"/>
    <n v="142"/>
    <n v="0.6"/>
    <n v="210"/>
    <n v="0.7"/>
    <n v="0"/>
    <n v="0"/>
    <n v="0"/>
    <n v="0"/>
    <n v="0.39329999999999998"/>
    <n v="-4.7999999999999996E-3"/>
    <n v="0"/>
    <n v="-0.28310000000000002"/>
    <n v="0.16569999999999999"/>
    <n v="-8.3999999999999995E-3"/>
    <n v="116"/>
    <n v="0.55000000000000004"/>
    <n v="298"/>
    <n v="0.7"/>
    <n v="0"/>
    <n v="0"/>
    <n v="0.95"/>
    <n v="735"/>
    <n v="0"/>
  </r>
  <r>
    <x v="0"/>
    <x v="0"/>
    <s v="SPXW"/>
    <x v="7"/>
    <x v="45"/>
    <s v="p"/>
    <n v="0"/>
    <n v="0"/>
    <n v="0"/>
    <n v="0"/>
    <n v="0"/>
    <n v="221"/>
    <n v="0.6"/>
    <n v="166"/>
    <n v="0.75"/>
    <n v="0"/>
    <n v="0"/>
    <n v="0"/>
    <n v="0"/>
    <n v="0.38569999999999999"/>
    <n v="-5.1000000000000004E-3"/>
    <n v="0"/>
    <n v="-0.29170000000000001"/>
    <n v="0.17380000000000001"/>
    <n v="-8.8000000000000005E-3"/>
    <n v="92"/>
    <n v="0.6"/>
    <n v="278"/>
    <n v="0.75"/>
    <n v="0"/>
    <n v="0"/>
    <n v="0"/>
    <n v="203"/>
    <n v="0"/>
  </r>
  <r>
    <x v="0"/>
    <x v="0"/>
    <s v="SPXW"/>
    <x v="7"/>
    <x v="46"/>
    <s v="p"/>
    <n v="0"/>
    <n v="0"/>
    <n v="0"/>
    <n v="0"/>
    <n v="0"/>
    <n v="218"/>
    <n v="0.65"/>
    <n v="83"/>
    <n v="0.75"/>
    <n v="0"/>
    <n v="0"/>
    <n v="0"/>
    <n v="0"/>
    <n v="0.37819999999999998"/>
    <n v="-5.4000000000000003E-3"/>
    <n v="0"/>
    <n v="-0.30020000000000002"/>
    <n v="0.18210000000000001"/>
    <n v="-9.2999999999999992E-3"/>
    <n v="15"/>
    <n v="0.65"/>
    <n v="184"/>
    <n v="0.8"/>
    <n v="0"/>
    <n v="0"/>
    <n v="0"/>
    <n v="248"/>
    <n v="0"/>
  </r>
  <r>
    <x v="0"/>
    <x v="0"/>
    <s v="SPXW"/>
    <x v="7"/>
    <x v="47"/>
    <s v="p"/>
    <n v="0"/>
    <n v="0"/>
    <n v="0"/>
    <n v="0"/>
    <n v="0"/>
    <n v="213"/>
    <n v="0.7"/>
    <n v="106"/>
    <n v="0.8"/>
    <n v="0"/>
    <n v="0"/>
    <n v="0"/>
    <n v="0"/>
    <n v="0.372"/>
    <n v="-5.7999999999999996E-3"/>
    <n v="0"/>
    <n v="-0.31769999999999998"/>
    <n v="0.1951"/>
    <n v="-1.01E-2"/>
    <n v="107"/>
    <n v="0.65"/>
    <n v="177"/>
    <n v="0.8"/>
    <n v="0"/>
    <n v="0"/>
    <n v="0"/>
    <n v="52"/>
    <n v="0"/>
  </r>
  <r>
    <x v="0"/>
    <x v="0"/>
    <s v="SPXW"/>
    <x v="7"/>
    <x v="50"/>
    <s v="p"/>
    <n v="0"/>
    <n v="0"/>
    <n v="0"/>
    <n v="0"/>
    <n v="0"/>
    <n v="178"/>
    <n v="0.75"/>
    <n v="84"/>
    <n v="0.85"/>
    <n v="0"/>
    <n v="0"/>
    <n v="0"/>
    <n v="0"/>
    <n v="0.36549999999999999"/>
    <n v="-6.1999999999999998E-3"/>
    <n v="0"/>
    <n v="-0.33479999999999999"/>
    <n v="0.20830000000000001"/>
    <n v="-1.0800000000000001E-2"/>
    <n v="103"/>
    <n v="0.7"/>
    <n v="233"/>
    <n v="0.85"/>
    <n v="0"/>
    <n v="0"/>
    <n v="0"/>
    <n v="232"/>
    <n v="0"/>
  </r>
  <r>
    <x v="0"/>
    <x v="0"/>
    <s v="SPXW"/>
    <x v="7"/>
    <x v="53"/>
    <s v="p"/>
    <n v="0.9"/>
    <n v="0.9"/>
    <n v="0.9"/>
    <n v="0.9"/>
    <n v="1"/>
    <n v="156"/>
    <n v="0.8"/>
    <n v="98"/>
    <n v="0.9"/>
    <n v="0"/>
    <n v="0"/>
    <n v="0"/>
    <n v="0"/>
    <n v="0.35880000000000001"/>
    <n v="-6.7000000000000002E-3"/>
    <n v="1E-4"/>
    <n v="-0.35160000000000002"/>
    <n v="0.22189999999999999"/>
    <n v="-1.1599999999999999E-2"/>
    <n v="102"/>
    <n v="0.75"/>
    <n v="335"/>
    <n v="0.9"/>
    <n v="0"/>
    <n v="0"/>
    <n v="0.9"/>
    <n v="410"/>
    <n v="0"/>
  </r>
  <r>
    <x v="0"/>
    <x v="0"/>
    <s v="SPXW"/>
    <x v="7"/>
    <x v="56"/>
    <s v="p"/>
    <n v="0.77"/>
    <n v="0.9"/>
    <n v="0.77"/>
    <n v="0.9"/>
    <n v="36"/>
    <n v="97"/>
    <n v="0.85"/>
    <n v="99"/>
    <n v="0.95"/>
    <n v="0"/>
    <n v="0"/>
    <n v="0"/>
    <n v="0"/>
    <n v="0.35199999999999998"/>
    <n v="-7.1999999999999998E-3"/>
    <n v="1E-4"/>
    <n v="-0.36799999999999999"/>
    <n v="0.23580000000000001"/>
    <n v="-1.2500000000000001E-2"/>
    <n v="99"/>
    <n v="0.8"/>
    <n v="247"/>
    <n v="0.95"/>
    <n v="0"/>
    <n v="0"/>
    <n v="0.89359999999999995"/>
    <n v="284"/>
    <n v="0"/>
  </r>
  <r>
    <x v="0"/>
    <x v="0"/>
    <s v="SPXW"/>
    <x v="7"/>
    <x v="59"/>
    <s v="p"/>
    <n v="0.81"/>
    <n v="0.81"/>
    <n v="0.81"/>
    <n v="0.81"/>
    <n v="10"/>
    <n v="159"/>
    <n v="0.9"/>
    <n v="85"/>
    <n v="1"/>
    <n v="0"/>
    <n v="0"/>
    <n v="0"/>
    <n v="0"/>
    <n v="0.34449999999999997"/>
    <n v="-7.7000000000000002E-3"/>
    <n v="1E-4"/>
    <n v="-0.38390000000000002"/>
    <n v="0.25059999999999999"/>
    <n v="-1.3299999999999999E-2"/>
    <n v="98"/>
    <n v="0.85"/>
    <n v="281"/>
    <n v="1"/>
    <n v="0"/>
    <n v="0"/>
    <n v="0.81"/>
    <n v="276"/>
    <n v="0"/>
  </r>
  <r>
    <x v="0"/>
    <x v="0"/>
    <s v="SPXW"/>
    <x v="7"/>
    <x v="62"/>
    <s v="p"/>
    <n v="0"/>
    <n v="0"/>
    <n v="0"/>
    <n v="0"/>
    <n v="0"/>
    <n v="171"/>
    <n v="0.95"/>
    <n v="166"/>
    <n v="1.05"/>
    <n v="0"/>
    <n v="0"/>
    <n v="0"/>
    <n v="0"/>
    <n v="0.3377"/>
    <n v="-8.2000000000000007E-3"/>
    <n v="1E-4"/>
    <n v="-0.3997"/>
    <n v="0.26550000000000001"/>
    <n v="-1.4200000000000001E-2"/>
    <n v="95"/>
    <n v="0.9"/>
    <n v="297"/>
    <n v="1.05"/>
    <n v="0"/>
    <n v="0"/>
    <n v="0"/>
    <n v="496"/>
    <n v="0"/>
  </r>
  <r>
    <x v="0"/>
    <x v="0"/>
    <s v="SPXW"/>
    <x v="7"/>
    <x v="65"/>
    <s v="p"/>
    <n v="0.92"/>
    <n v="0.92"/>
    <n v="0.92"/>
    <n v="0.92"/>
    <n v="10"/>
    <n v="192"/>
    <n v="1"/>
    <n v="73"/>
    <n v="1.1000000000000001"/>
    <n v="0"/>
    <n v="0"/>
    <n v="0"/>
    <n v="0"/>
    <n v="0.33040000000000003"/>
    <n v="-8.6999999999999994E-3"/>
    <n v="1E-4"/>
    <n v="-0.41489999999999999"/>
    <n v="0.28110000000000002"/>
    <n v="-1.52E-2"/>
    <n v="92"/>
    <n v="0.95"/>
    <n v="139"/>
    <n v="1.1000000000000001"/>
    <n v="0"/>
    <n v="0"/>
    <n v="0.92"/>
    <n v="162"/>
    <n v="0"/>
  </r>
  <r>
    <x v="0"/>
    <x v="0"/>
    <s v="SPXW"/>
    <x v="7"/>
    <x v="68"/>
    <s v="p"/>
    <n v="1"/>
    <n v="1.24"/>
    <n v="1"/>
    <n v="1.24"/>
    <n v="22"/>
    <n v="190"/>
    <n v="1.05"/>
    <n v="156"/>
    <n v="1.2"/>
    <n v="0"/>
    <n v="0"/>
    <n v="0"/>
    <n v="0"/>
    <n v="0.32379999999999998"/>
    <n v="-9.4000000000000004E-3"/>
    <n v="1E-4"/>
    <n v="-0.43819999999999998"/>
    <n v="0.30170000000000002"/>
    <n v="-1.6500000000000001E-2"/>
    <n v="18"/>
    <n v="1.05"/>
    <n v="72"/>
    <n v="1.1499999999999999"/>
    <n v="0"/>
    <n v="0"/>
    <n v="1.2181999999999999"/>
    <n v="223"/>
    <n v="0"/>
  </r>
  <r>
    <x v="0"/>
    <x v="0"/>
    <s v="SPXW"/>
    <x v="7"/>
    <x v="71"/>
    <s v="p"/>
    <n v="0"/>
    <n v="0"/>
    <n v="0"/>
    <n v="0"/>
    <n v="0"/>
    <n v="187"/>
    <n v="1.1499999999999999"/>
    <n v="71"/>
    <n v="1.25"/>
    <n v="0"/>
    <n v="0"/>
    <n v="0"/>
    <n v="0"/>
    <n v="0.317"/>
    <n v="-1.0200000000000001E-2"/>
    <n v="1E-4"/>
    <n v="-0.46079999999999999"/>
    <n v="0.3226"/>
    <n v="-1.78E-2"/>
    <n v="78"/>
    <n v="1.1000000000000001"/>
    <n v="174"/>
    <n v="1.25"/>
    <n v="0"/>
    <n v="0"/>
    <n v="0"/>
    <n v="267"/>
    <n v="0"/>
  </r>
  <r>
    <x v="0"/>
    <x v="0"/>
    <s v="SPXW"/>
    <x v="7"/>
    <x v="74"/>
    <s v="p"/>
    <n v="1"/>
    <n v="2.02"/>
    <n v="1"/>
    <n v="2.02"/>
    <n v="2"/>
    <n v="187"/>
    <n v="1.2"/>
    <n v="154"/>
    <n v="1.35"/>
    <n v="0"/>
    <n v="0"/>
    <n v="0"/>
    <n v="0"/>
    <n v="0.30990000000000001"/>
    <n v="-1.0999999999999999E-2"/>
    <n v="1E-4"/>
    <n v="-0.48270000000000002"/>
    <n v="0.34420000000000001"/>
    <n v="-1.9199999999999998E-2"/>
    <n v="19"/>
    <n v="1.2"/>
    <n v="242"/>
    <n v="1.35"/>
    <n v="0"/>
    <n v="0"/>
    <n v="1.51"/>
    <n v="443"/>
    <n v="0"/>
  </r>
  <r>
    <x v="0"/>
    <x v="0"/>
    <s v="SPXW"/>
    <x v="7"/>
    <x v="77"/>
    <s v="p"/>
    <n v="2.17"/>
    <n v="2.17"/>
    <n v="2.17"/>
    <n v="2.17"/>
    <n v="1"/>
    <n v="184"/>
    <n v="1.3"/>
    <n v="146"/>
    <n v="1.45"/>
    <n v="0"/>
    <n v="0"/>
    <n v="0"/>
    <n v="0"/>
    <n v="0.30299999999999999"/>
    <n v="-1.2E-2"/>
    <n v="1E-4"/>
    <n v="-0.51190000000000002"/>
    <n v="0.37130000000000002"/>
    <n v="-2.0899999999999998E-2"/>
    <n v="75"/>
    <n v="1.25"/>
    <n v="68"/>
    <n v="1.4"/>
    <n v="0"/>
    <n v="0"/>
    <n v="2.17"/>
    <n v="73"/>
    <n v="0"/>
  </r>
  <r>
    <x v="0"/>
    <x v="0"/>
    <s v="SPXW"/>
    <x v="7"/>
    <x v="80"/>
    <s v="p"/>
    <n v="1.3"/>
    <n v="1.3"/>
    <n v="1.3"/>
    <n v="1.3"/>
    <n v="1"/>
    <n v="182"/>
    <n v="1.4"/>
    <n v="147"/>
    <n v="1.55"/>
    <n v="0"/>
    <n v="0"/>
    <n v="0"/>
    <n v="0"/>
    <n v="0.29620000000000002"/>
    <n v="-1.2999999999999999E-2"/>
    <n v="1E-4"/>
    <n v="-0.54020000000000001"/>
    <n v="0.3992"/>
    <n v="-2.2700000000000001E-2"/>
    <n v="74"/>
    <n v="1.35"/>
    <n v="230"/>
    <n v="1.55"/>
    <n v="0"/>
    <n v="0"/>
    <n v="1.3"/>
    <n v="210"/>
    <n v="0"/>
  </r>
  <r>
    <x v="0"/>
    <x v="0"/>
    <s v="SPXW"/>
    <x v="7"/>
    <x v="83"/>
    <s v="p"/>
    <n v="1.54"/>
    <n v="1.54"/>
    <n v="1.54"/>
    <n v="1.54"/>
    <n v="4"/>
    <n v="39"/>
    <n v="1.55"/>
    <n v="137"/>
    <n v="1.7"/>
    <n v="0"/>
    <n v="0"/>
    <n v="0"/>
    <n v="0"/>
    <n v="0.29020000000000001"/>
    <n v="-1.4200000000000001E-2"/>
    <n v="1E-4"/>
    <n v="-0.57530000000000003"/>
    <n v="0.43190000000000001"/>
    <n v="-2.4899999999999999E-2"/>
    <n v="37"/>
    <n v="1.5"/>
    <n v="196"/>
    <n v="1.65"/>
    <n v="0"/>
    <n v="0"/>
    <n v="1.54"/>
    <n v="69"/>
    <n v="0"/>
  </r>
  <r>
    <x v="0"/>
    <x v="0"/>
    <s v="SPXW"/>
    <x v="7"/>
    <x v="86"/>
    <s v="p"/>
    <n v="1.45"/>
    <n v="1.45"/>
    <n v="1.45"/>
    <n v="1.45"/>
    <n v="1"/>
    <n v="179"/>
    <n v="1.65"/>
    <n v="338"/>
    <n v="1.85"/>
    <n v="0"/>
    <n v="0"/>
    <n v="0"/>
    <n v="0"/>
    <n v="0.28299999999999997"/>
    <n v="-1.5599999999999999E-2"/>
    <n v="1E-4"/>
    <n v="-0.60860000000000003"/>
    <n v="0.46639999999999998"/>
    <n v="-2.7300000000000001E-2"/>
    <n v="72"/>
    <n v="1.6"/>
    <n v="217"/>
    <n v="1.8"/>
    <n v="0"/>
    <n v="0"/>
    <n v="1.45"/>
    <n v="47"/>
    <n v="0"/>
  </r>
  <r>
    <x v="0"/>
    <x v="0"/>
    <s v="SPXW"/>
    <x v="7"/>
    <x v="89"/>
    <s v="p"/>
    <n v="0"/>
    <n v="0"/>
    <n v="0"/>
    <n v="0"/>
    <n v="0"/>
    <n v="178"/>
    <n v="1.8"/>
    <n v="249"/>
    <n v="2"/>
    <n v="0"/>
    <n v="0"/>
    <n v="0"/>
    <n v="0"/>
    <n v="0.27750000000000002"/>
    <n v="-1.72E-2"/>
    <n v="1E-4"/>
    <n v="-0.65559999999999996"/>
    <n v="0.50849999999999995"/>
    <n v="-3.0200000000000001E-2"/>
    <n v="71"/>
    <n v="1.75"/>
    <n v="210"/>
    <n v="1.95"/>
    <n v="0"/>
    <n v="0"/>
    <n v="0"/>
    <n v="56"/>
    <n v="0"/>
  </r>
  <r>
    <x v="0"/>
    <x v="0"/>
    <s v="SPXW"/>
    <x v="7"/>
    <x v="92"/>
    <s v="p"/>
    <n v="1.7"/>
    <n v="1.7"/>
    <n v="1.7"/>
    <n v="1.7"/>
    <n v="2"/>
    <n v="173"/>
    <n v="2"/>
    <n v="159"/>
    <n v="2.15"/>
    <n v="0"/>
    <n v="0"/>
    <n v="0"/>
    <n v="0"/>
    <n v="0.27110000000000001"/>
    <n v="-1.9E-2"/>
    <n v="2.0000000000000001E-4"/>
    <n v="-0.70050000000000001"/>
    <n v="0.55269999999999997"/>
    <n v="-3.3300000000000003E-2"/>
    <n v="72"/>
    <n v="1.9"/>
    <n v="144"/>
    <n v="2.1"/>
    <n v="0"/>
    <n v="0"/>
    <n v="1.7"/>
    <n v="314"/>
    <n v="0"/>
  </r>
  <r>
    <x v="0"/>
    <x v="0"/>
    <s v="SPXW"/>
    <x v="7"/>
    <x v="95"/>
    <s v="p"/>
    <n v="2.25"/>
    <n v="2.25"/>
    <n v="2.25"/>
    <n v="2.25"/>
    <n v="1"/>
    <n v="126"/>
    <n v="2.2000000000000002"/>
    <n v="93"/>
    <n v="2.35"/>
    <n v="0"/>
    <n v="0"/>
    <n v="0"/>
    <n v="0"/>
    <n v="0.26469999999999999"/>
    <n v="-2.1100000000000001E-2"/>
    <n v="2.0000000000000001E-4"/>
    <n v="-0.75019999999999998"/>
    <n v="0.60289999999999999"/>
    <n v="-3.6900000000000002E-2"/>
    <n v="72"/>
    <n v="2.1"/>
    <n v="175"/>
    <n v="2.2999999999999998"/>
    <n v="0"/>
    <n v="0"/>
    <n v="2.25"/>
    <n v="147"/>
    <n v="0"/>
  </r>
  <r>
    <x v="0"/>
    <x v="0"/>
    <s v="SPXW"/>
    <x v="7"/>
    <x v="97"/>
    <s v="p"/>
    <n v="3.5"/>
    <n v="3.5"/>
    <n v="3.5"/>
    <n v="3.5"/>
    <n v="2"/>
    <n v="173"/>
    <n v="2.2999999999999998"/>
    <n v="154"/>
    <n v="2.5"/>
    <n v="0"/>
    <n v="0"/>
    <n v="0"/>
    <n v="0"/>
    <n v="0.26079999999999998"/>
    <n v="-2.24E-2"/>
    <n v="2.0000000000000001E-4"/>
    <n v="-0.78029999999999999"/>
    <n v="0.63429999999999997"/>
    <n v="-3.9300000000000002E-2"/>
    <n v="71"/>
    <n v="2.25"/>
    <n v="213"/>
    <n v="2.4500000000000002"/>
    <n v="0"/>
    <n v="0"/>
    <n v="3.5"/>
    <n v="291"/>
    <n v="0"/>
  </r>
  <r>
    <x v="0"/>
    <x v="0"/>
    <s v="SPXW"/>
    <x v="7"/>
    <x v="98"/>
    <s v="p"/>
    <n v="2.82"/>
    <n v="2.82"/>
    <n v="2.42"/>
    <n v="2.42"/>
    <n v="3"/>
    <n v="171"/>
    <n v="2.4"/>
    <n v="154"/>
    <n v="2.6"/>
    <n v="0"/>
    <n v="0"/>
    <n v="0"/>
    <n v="0"/>
    <n v="0.25840000000000002"/>
    <n v="-2.3400000000000001E-2"/>
    <n v="2.0000000000000001E-4"/>
    <n v="-0.80420000000000003"/>
    <n v="0.65810000000000002"/>
    <n v="-4.1099999999999998E-2"/>
    <n v="70"/>
    <n v="2.35"/>
    <n v="173"/>
    <n v="2.5499999999999998"/>
    <n v="0"/>
    <n v="0"/>
    <n v="2.6867000000000001"/>
    <n v="93"/>
    <n v="0"/>
  </r>
  <r>
    <x v="0"/>
    <x v="0"/>
    <s v="SPXW"/>
    <x v="7"/>
    <x v="99"/>
    <s v="p"/>
    <n v="0"/>
    <n v="0"/>
    <n v="0"/>
    <n v="0"/>
    <n v="0"/>
    <n v="171"/>
    <n v="2.5"/>
    <n v="156"/>
    <n v="2.7"/>
    <n v="0"/>
    <n v="0"/>
    <n v="0"/>
    <n v="0"/>
    <n v="0.25590000000000002"/>
    <n v="-2.4400000000000002E-2"/>
    <n v="2.0000000000000001E-4"/>
    <n v="-0.82769999999999999"/>
    <n v="0.68200000000000005"/>
    <n v="-4.2900000000000001E-2"/>
    <n v="70"/>
    <n v="2.4500000000000002"/>
    <n v="208"/>
    <n v="2.65"/>
    <n v="0"/>
    <n v="0"/>
    <n v="0"/>
    <n v="13"/>
    <n v="0"/>
  </r>
  <r>
    <x v="0"/>
    <x v="0"/>
    <s v="SPXW"/>
    <x v="7"/>
    <x v="100"/>
    <s v="p"/>
    <n v="0"/>
    <n v="0"/>
    <n v="0"/>
    <n v="0"/>
    <n v="0"/>
    <n v="171"/>
    <n v="2.6"/>
    <n v="89"/>
    <n v="2.8"/>
    <n v="0"/>
    <n v="0"/>
    <n v="0"/>
    <n v="0"/>
    <n v="0.25309999999999999"/>
    <n v="-2.5499999999999998E-2"/>
    <n v="2.0000000000000001E-4"/>
    <n v="-0.85050000000000003"/>
    <n v="0.70630000000000004"/>
    <n v="-4.48E-2"/>
    <n v="69"/>
    <n v="2.5499999999999998"/>
    <n v="209"/>
    <n v="2.75"/>
    <n v="0"/>
    <n v="0"/>
    <n v="0"/>
    <n v="33"/>
    <n v="0"/>
  </r>
  <r>
    <x v="0"/>
    <x v="0"/>
    <s v="SPXW"/>
    <x v="7"/>
    <x v="101"/>
    <s v="p"/>
    <n v="2.56"/>
    <n v="3.75"/>
    <n v="2.0699999999999998"/>
    <n v="3.16"/>
    <n v="33"/>
    <n v="152"/>
    <n v="2.7"/>
    <n v="34"/>
    <n v="2.85"/>
    <n v="0"/>
    <n v="0"/>
    <n v="0"/>
    <n v="0"/>
    <n v="0.25190000000000001"/>
    <n v="-2.5999999999999999E-2"/>
    <n v="2.0000000000000001E-4"/>
    <n v="-0.86180000000000001"/>
    <n v="0.71830000000000005"/>
    <n v="-4.5699999999999998E-2"/>
    <n v="75"/>
    <n v="2.6"/>
    <n v="172"/>
    <n v="2.8"/>
    <n v="0"/>
    <n v="0"/>
    <n v="3.1629999999999998"/>
    <n v="102"/>
    <n v="0"/>
  </r>
  <r>
    <x v="0"/>
    <x v="0"/>
    <s v="SPXW"/>
    <x v="7"/>
    <x v="102"/>
    <s v="p"/>
    <n v="0"/>
    <n v="0"/>
    <n v="0"/>
    <n v="0"/>
    <n v="0"/>
    <n v="159"/>
    <n v="2.75"/>
    <n v="159"/>
    <n v="2.95"/>
    <n v="0"/>
    <n v="0"/>
    <n v="0"/>
    <n v="0"/>
    <n v="0.25140000000000001"/>
    <n v="-2.6800000000000001E-2"/>
    <n v="2.0000000000000001E-4"/>
    <n v="-0.88570000000000004"/>
    <n v="0.73760000000000003"/>
    <n v="-4.7199999999999999E-2"/>
    <n v="74"/>
    <n v="2.65"/>
    <n v="118"/>
    <n v="2.85"/>
    <n v="0"/>
    <n v="0"/>
    <n v="0"/>
    <n v="95"/>
    <n v="0"/>
  </r>
  <r>
    <x v="0"/>
    <x v="0"/>
    <s v="SPXW"/>
    <x v="7"/>
    <x v="103"/>
    <s v="p"/>
    <n v="0"/>
    <n v="0"/>
    <n v="0"/>
    <n v="0"/>
    <n v="0"/>
    <n v="167"/>
    <n v="2.85"/>
    <n v="224"/>
    <n v="3.1"/>
    <n v="0"/>
    <n v="0"/>
    <n v="0"/>
    <n v="0"/>
    <n v="0.24879999999999999"/>
    <n v="-2.81E-2"/>
    <n v="2.0000000000000001E-4"/>
    <n v="-0.91359999999999997"/>
    <n v="0.76619999999999999"/>
    <n v="-4.9500000000000002E-2"/>
    <n v="68"/>
    <n v="2.75"/>
    <n v="216"/>
    <n v="3"/>
    <n v="0"/>
    <n v="0"/>
    <n v="0"/>
    <n v="22"/>
    <n v="0"/>
  </r>
  <r>
    <x v="0"/>
    <x v="0"/>
    <s v="SPXW"/>
    <x v="7"/>
    <x v="104"/>
    <s v="p"/>
    <n v="2.74"/>
    <n v="4.3"/>
    <n v="2.27"/>
    <n v="2.93"/>
    <n v="35"/>
    <n v="187"/>
    <n v="3"/>
    <n v="146"/>
    <n v="3.2"/>
    <n v="0"/>
    <n v="0"/>
    <n v="0"/>
    <n v="0"/>
    <n v="0.24629999999999999"/>
    <n v="-2.9399999999999999E-2"/>
    <n v="2.0000000000000001E-4"/>
    <n v="-0.94099999999999995"/>
    <n v="0.79479999999999995"/>
    <n v="-5.1700000000000003E-2"/>
    <n v="66"/>
    <n v="2.9"/>
    <n v="23"/>
    <n v="3.1"/>
    <n v="0"/>
    <n v="0"/>
    <n v="3.4716999999999998"/>
    <n v="216"/>
    <n v="0"/>
  </r>
  <r>
    <x v="0"/>
    <x v="0"/>
    <s v="SPXW"/>
    <x v="7"/>
    <x v="105"/>
    <s v="p"/>
    <n v="0"/>
    <n v="0"/>
    <n v="0"/>
    <n v="0"/>
    <n v="0"/>
    <n v="167"/>
    <n v="3.1"/>
    <n v="158"/>
    <n v="3.4"/>
    <n v="0"/>
    <n v="0"/>
    <n v="0"/>
    <n v="0"/>
    <n v="0.2442"/>
    <n v="-3.09E-2"/>
    <n v="2.9999999999999997E-4"/>
    <n v="-0.97389999999999999"/>
    <n v="0.82730000000000004"/>
    <n v="-5.4300000000000001E-2"/>
    <n v="66"/>
    <n v="3"/>
    <n v="129"/>
    <n v="3.3"/>
    <n v="0"/>
    <n v="0"/>
    <n v="0"/>
    <n v="644"/>
    <n v="0"/>
  </r>
  <r>
    <x v="0"/>
    <x v="0"/>
    <s v="SPXW"/>
    <x v="7"/>
    <x v="107"/>
    <s v="p"/>
    <n v="0"/>
    <n v="0"/>
    <n v="0"/>
    <n v="0"/>
    <n v="0"/>
    <n v="154"/>
    <n v="3.3"/>
    <n v="112"/>
    <n v="3.5"/>
    <n v="0"/>
    <n v="0"/>
    <n v="0"/>
    <n v="0"/>
    <n v="0.2417"/>
    <n v="-3.2399999999999998E-2"/>
    <n v="2.9999999999999997E-4"/>
    <n v="-1.0058"/>
    <n v="0.86070000000000002"/>
    <n v="-5.7000000000000002E-2"/>
    <n v="65"/>
    <n v="3.2"/>
    <n v="23"/>
    <n v="3.4"/>
    <n v="0"/>
    <n v="0"/>
    <n v="0"/>
    <n v="11"/>
    <n v="0"/>
  </r>
  <r>
    <x v="0"/>
    <x v="0"/>
    <s v="SPXW"/>
    <x v="7"/>
    <x v="108"/>
    <s v="p"/>
    <n v="5.5"/>
    <n v="5.5"/>
    <n v="5.5"/>
    <n v="5.5"/>
    <n v="1"/>
    <n v="239"/>
    <n v="3.3"/>
    <n v="128"/>
    <n v="3.6"/>
    <n v="0"/>
    <n v="0"/>
    <n v="0"/>
    <n v="0"/>
    <n v="0.2402"/>
    <n v="-3.3000000000000002E-2"/>
    <n v="2.9999999999999997E-4"/>
    <n v="-1.0156000000000001"/>
    <n v="0.874"/>
    <n v="-5.8099999999999999E-2"/>
    <n v="64"/>
    <n v="3.2"/>
    <n v="37"/>
    <n v="3.5"/>
    <n v="0"/>
    <n v="0"/>
    <n v="5.5"/>
    <n v="191"/>
    <n v="0"/>
  </r>
  <r>
    <x v="0"/>
    <x v="0"/>
    <s v="SPXW"/>
    <x v="7"/>
    <x v="109"/>
    <s v="p"/>
    <n v="0"/>
    <n v="0"/>
    <n v="0"/>
    <n v="0"/>
    <n v="0"/>
    <n v="235"/>
    <n v="3.4"/>
    <n v="125"/>
    <n v="3.7"/>
    <n v="0"/>
    <n v="0"/>
    <n v="0"/>
    <n v="0"/>
    <n v="0.2394"/>
    <n v="-3.39E-2"/>
    <n v="2.9999999999999997E-4"/>
    <n v="-1.0370999999999999"/>
    <n v="0.89380000000000004"/>
    <n v="-5.9700000000000003E-2"/>
    <n v="64"/>
    <n v="3.3"/>
    <n v="144"/>
    <n v="3.6"/>
    <n v="0"/>
    <n v="0"/>
    <n v="0"/>
    <n v="43"/>
    <n v="0"/>
  </r>
  <r>
    <x v="0"/>
    <x v="0"/>
    <s v="SPXW"/>
    <x v="7"/>
    <x v="111"/>
    <s v="p"/>
    <n v="3.25"/>
    <n v="3.25"/>
    <n v="3.25"/>
    <n v="3.25"/>
    <n v="1"/>
    <n v="157"/>
    <n v="3.6"/>
    <n v="166"/>
    <n v="3.9"/>
    <n v="0"/>
    <n v="0"/>
    <n v="0"/>
    <n v="0"/>
    <n v="0.2374"/>
    <n v="-3.5799999999999998E-2"/>
    <n v="2.9999999999999997E-4"/>
    <n v="-1.0789"/>
    <n v="0.93420000000000003"/>
    <n v="-6.3100000000000003E-2"/>
    <n v="63"/>
    <n v="3.5"/>
    <n v="120"/>
    <n v="3.8"/>
    <n v="0"/>
    <n v="0"/>
    <n v="3.25"/>
    <n v="73"/>
    <n v="0"/>
  </r>
  <r>
    <x v="0"/>
    <x v="0"/>
    <s v="SPXW"/>
    <x v="7"/>
    <x v="113"/>
    <s v="p"/>
    <n v="3.4"/>
    <n v="5.4"/>
    <n v="2.8"/>
    <n v="5.4"/>
    <n v="10"/>
    <n v="153"/>
    <n v="3.8"/>
    <n v="184"/>
    <n v="4.0999999999999996"/>
    <n v="0"/>
    <n v="0"/>
    <n v="0"/>
    <n v="0"/>
    <n v="0.2346"/>
    <n v="-3.7400000000000003E-2"/>
    <n v="2.9999999999999997E-4"/>
    <n v="-1.1081000000000001"/>
    <n v="0.96799999999999997"/>
    <n v="-6.6000000000000003E-2"/>
    <n v="61"/>
    <n v="3.7"/>
    <n v="118"/>
    <n v="4"/>
    <n v="0"/>
    <n v="0"/>
    <n v="3.226"/>
    <n v="155"/>
    <n v="0"/>
  </r>
  <r>
    <x v="0"/>
    <x v="0"/>
    <s v="SPXW"/>
    <x v="7"/>
    <x v="115"/>
    <s v="p"/>
    <n v="5.3"/>
    <n v="5.3"/>
    <n v="5.23"/>
    <n v="5.23"/>
    <n v="3"/>
    <n v="152"/>
    <n v="4"/>
    <n v="144"/>
    <n v="4.3"/>
    <n v="0"/>
    <n v="0"/>
    <n v="0"/>
    <n v="0"/>
    <n v="0.23230000000000001"/>
    <n v="-3.9399999999999998E-2"/>
    <n v="2.9999999999999997E-4"/>
    <n v="-1.1476"/>
    <n v="1.0084"/>
    <n v="-6.9599999999999995E-2"/>
    <n v="61"/>
    <n v="3.9"/>
    <n v="116"/>
    <n v="4.2"/>
    <n v="0"/>
    <n v="0"/>
    <n v="5.2533000000000003"/>
    <n v="46"/>
    <n v="0"/>
  </r>
  <r>
    <x v="0"/>
    <x v="0"/>
    <s v="SPXW"/>
    <x v="7"/>
    <x v="117"/>
    <s v="p"/>
    <n v="4.38"/>
    <n v="4.3899999999999997"/>
    <n v="4.2300000000000004"/>
    <n v="4.2300000000000004"/>
    <n v="75"/>
    <n v="152"/>
    <n v="4.2"/>
    <n v="106"/>
    <n v="4.5"/>
    <n v="0"/>
    <n v="0"/>
    <n v="0"/>
    <n v="0"/>
    <n v="0.2306"/>
    <n v="-4.1700000000000001E-2"/>
    <n v="2.9999999999999997E-4"/>
    <n v="-1.1972"/>
    <n v="1.0547"/>
    <n v="-7.3599999999999999E-2"/>
    <n v="59"/>
    <n v="4.0999999999999996"/>
    <n v="136"/>
    <n v="4.4000000000000004"/>
    <n v="0"/>
    <n v="0"/>
    <n v="4.3479999999999999"/>
    <n v="106"/>
    <n v="0"/>
  </r>
  <r>
    <x v="0"/>
    <x v="0"/>
    <s v="SPXW"/>
    <x v="7"/>
    <x v="118"/>
    <s v="p"/>
    <n v="5.6"/>
    <n v="5.6"/>
    <n v="5.04"/>
    <n v="5.04"/>
    <n v="21"/>
    <n v="213"/>
    <n v="4.3"/>
    <n v="115"/>
    <n v="4.5999999999999996"/>
    <n v="0"/>
    <n v="0"/>
    <n v="0"/>
    <n v="0"/>
    <n v="0.22939999999999999"/>
    <n v="-4.2700000000000002E-2"/>
    <n v="4.0000000000000002E-4"/>
    <n v="-1.2158"/>
    <n v="1.0751999999999999"/>
    <n v="-7.5399999999999995E-2"/>
    <n v="59"/>
    <n v="4.2"/>
    <n v="59"/>
    <n v="4.5"/>
    <n v="0"/>
    <n v="0"/>
    <n v="5.5732999999999997"/>
    <n v="223"/>
    <n v="0"/>
  </r>
  <r>
    <x v="0"/>
    <x v="0"/>
    <s v="SPXW"/>
    <x v="7"/>
    <x v="119"/>
    <s v="p"/>
    <n v="5.9"/>
    <n v="5.9"/>
    <n v="5.9"/>
    <n v="5.9"/>
    <n v="1"/>
    <n v="224"/>
    <n v="4.4000000000000004"/>
    <n v="30"/>
    <n v="4.7"/>
    <n v="0"/>
    <n v="0"/>
    <n v="0"/>
    <n v="0"/>
    <n v="0.2281"/>
    <n v="-4.3799999999999999E-2"/>
    <n v="4.0000000000000002E-4"/>
    <n v="-1.2343"/>
    <n v="1.0958000000000001"/>
    <n v="-7.7200000000000005E-2"/>
    <n v="66"/>
    <n v="4.3"/>
    <n v="21"/>
    <n v="4.5999999999999996"/>
    <n v="0"/>
    <n v="0"/>
    <n v="5.9"/>
    <n v="63"/>
    <n v="0"/>
  </r>
  <r>
    <x v="0"/>
    <x v="0"/>
    <s v="SPXW"/>
    <x v="7"/>
    <x v="121"/>
    <s v="p"/>
    <n v="4.8"/>
    <n v="4.8"/>
    <n v="4.8"/>
    <n v="4.8"/>
    <n v="2"/>
    <n v="125"/>
    <n v="4.7"/>
    <n v="2"/>
    <n v="4.9000000000000004"/>
    <n v="0"/>
    <n v="0"/>
    <n v="0"/>
    <n v="0"/>
    <n v="0.22600000000000001"/>
    <n v="-4.6199999999999998E-2"/>
    <n v="4.0000000000000002E-4"/>
    <n v="-1.2806999999999999"/>
    <n v="1.1437999999999999"/>
    <n v="-8.1500000000000003E-2"/>
    <n v="53"/>
    <n v="4.5999999999999996"/>
    <n v="129"/>
    <n v="4.9000000000000004"/>
    <n v="0"/>
    <n v="0"/>
    <n v="4.8"/>
    <n v="36"/>
    <n v="0"/>
  </r>
  <r>
    <x v="0"/>
    <x v="0"/>
    <s v="SPXW"/>
    <x v="7"/>
    <x v="123"/>
    <s v="p"/>
    <n v="3.9"/>
    <n v="6.69"/>
    <n v="3.76"/>
    <n v="5.03"/>
    <n v="27"/>
    <n v="26"/>
    <n v="5"/>
    <n v="28"/>
    <n v="5.2"/>
    <n v="0"/>
    <n v="0"/>
    <n v="0"/>
    <n v="0"/>
    <n v="0.2235"/>
    <n v="-4.87E-2"/>
    <n v="4.0000000000000002E-4"/>
    <n v="-1.3251999999999999"/>
    <n v="1.1931"/>
    <n v="-8.5999999999999993E-2"/>
    <n v="42"/>
    <n v="4.8"/>
    <n v="1"/>
    <n v="5.0999999999999996"/>
    <n v="0"/>
    <n v="0"/>
    <n v="5.2695999999999996"/>
    <n v="188"/>
    <n v="0"/>
  </r>
  <r>
    <x v="0"/>
    <x v="0"/>
    <s v="SPXW"/>
    <x v="7"/>
    <x v="125"/>
    <s v="p"/>
    <n v="0"/>
    <n v="0"/>
    <n v="0"/>
    <n v="0"/>
    <n v="0"/>
    <n v="185"/>
    <n v="5.2"/>
    <n v="28"/>
    <n v="5.5"/>
    <n v="0"/>
    <n v="0"/>
    <n v="0"/>
    <n v="0"/>
    <n v="0.22170000000000001"/>
    <n v="-5.1499999999999997E-2"/>
    <n v="4.0000000000000002E-4"/>
    <n v="-1.379"/>
    <n v="1.2466999999999999"/>
    <n v="-9.11E-2"/>
    <n v="41"/>
    <n v="5.0999999999999996"/>
    <n v="1"/>
    <n v="5.4"/>
    <n v="0"/>
    <n v="0"/>
    <n v="0"/>
    <n v="35"/>
    <n v="0"/>
  </r>
  <r>
    <x v="0"/>
    <x v="0"/>
    <s v="SPXW"/>
    <x v="7"/>
    <x v="127"/>
    <s v="p"/>
    <n v="0"/>
    <n v="0"/>
    <n v="0"/>
    <n v="0"/>
    <n v="0"/>
    <n v="25"/>
    <n v="5.6"/>
    <n v="2"/>
    <n v="5.8"/>
    <n v="0"/>
    <n v="0"/>
    <n v="0"/>
    <n v="0"/>
    <n v="0.21959999999999999"/>
    <n v="-5.4399999999999997E-2"/>
    <n v="4.0000000000000002E-4"/>
    <n v="-1.4305000000000001"/>
    <n v="1.3006"/>
    <n v="-9.6299999999999997E-2"/>
    <n v="40"/>
    <n v="5.4"/>
    <n v="1"/>
    <n v="5.7"/>
    <n v="0"/>
    <n v="0"/>
    <n v="0"/>
    <n v="33"/>
    <n v="0"/>
  </r>
  <r>
    <x v="0"/>
    <x v="0"/>
    <s v="SPXW"/>
    <x v="7"/>
    <x v="128"/>
    <s v="p"/>
    <n v="5.88"/>
    <n v="9.3699999999999992"/>
    <n v="5.88"/>
    <n v="9.3699999999999992"/>
    <n v="12"/>
    <n v="175"/>
    <n v="5.7"/>
    <n v="27"/>
    <n v="6"/>
    <n v="0"/>
    <n v="0"/>
    <n v="0"/>
    <n v="0"/>
    <n v="0.21890000000000001"/>
    <n v="-5.62E-2"/>
    <n v="5.0000000000000001E-4"/>
    <n v="-1.4652000000000001"/>
    <n v="1.333"/>
    <n v="-9.9500000000000005E-2"/>
    <n v="40"/>
    <n v="5.6"/>
    <n v="40"/>
    <n v="5.9"/>
    <n v="0"/>
    <n v="0"/>
    <n v="6.1707999999999998"/>
    <n v="603"/>
    <n v="0"/>
  </r>
  <r>
    <x v="0"/>
    <x v="0"/>
    <s v="SPXW"/>
    <x v="7"/>
    <x v="129"/>
    <s v="p"/>
    <n v="7.43"/>
    <n v="7.97"/>
    <n v="6.2"/>
    <n v="6.2"/>
    <n v="13"/>
    <n v="47"/>
    <n v="5.9"/>
    <n v="2"/>
    <n v="6.1"/>
    <n v="0"/>
    <n v="0"/>
    <n v="0"/>
    <n v="0"/>
    <n v="0.2177"/>
    <n v="-5.7700000000000001E-2"/>
    <n v="5.0000000000000001E-4"/>
    <n v="-1.4896"/>
    <n v="1.3599000000000001"/>
    <n v="-0.1021"/>
    <n v="40"/>
    <n v="5.8"/>
    <n v="41"/>
    <n v="6.1"/>
    <n v="0"/>
    <n v="0"/>
    <n v="7.2191999999999998"/>
    <n v="123"/>
    <n v="0"/>
  </r>
  <r>
    <x v="0"/>
    <x v="0"/>
    <s v="SPXW"/>
    <x v="7"/>
    <x v="131"/>
    <s v="p"/>
    <n v="5.19"/>
    <n v="8.5500000000000007"/>
    <n v="5.19"/>
    <n v="8.5500000000000007"/>
    <n v="75"/>
    <n v="24"/>
    <n v="6.3"/>
    <n v="18"/>
    <n v="6.5"/>
    <n v="0"/>
    <n v="0"/>
    <n v="0"/>
    <n v="0"/>
    <n v="0.21560000000000001"/>
    <n v="-6.0999999999999999E-2"/>
    <n v="5.0000000000000001E-4"/>
    <n v="-1.5463"/>
    <n v="1.4191"/>
    <n v="-0.108"/>
    <n v="47"/>
    <n v="6.1"/>
    <n v="9"/>
    <n v="6.4"/>
    <n v="0"/>
    <n v="0"/>
    <n v="6.0663"/>
    <n v="96"/>
    <n v="0"/>
  </r>
  <r>
    <x v="0"/>
    <x v="0"/>
    <s v="SPXW"/>
    <x v="7"/>
    <x v="133"/>
    <s v="p"/>
    <n v="5.05"/>
    <n v="10.8"/>
    <n v="5.05"/>
    <n v="8.59"/>
    <n v="12"/>
    <n v="99"/>
    <n v="6.6"/>
    <n v="1"/>
    <n v="6.9"/>
    <n v="0"/>
    <n v="0"/>
    <n v="0"/>
    <n v="0"/>
    <n v="0.2137"/>
    <n v="-6.4699999999999994E-2"/>
    <n v="5.0000000000000001E-4"/>
    <n v="-1.61"/>
    <n v="1.4841"/>
    <n v="-0.1145"/>
    <n v="38"/>
    <n v="6.5"/>
    <n v="1"/>
    <n v="6.8"/>
    <n v="0"/>
    <n v="0"/>
    <n v="7.8724999999999996"/>
    <n v="681"/>
    <n v="0"/>
  </r>
  <r>
    <x v="0"/>
    <x v="0"/>
    <s v="SPXW"/>
    <x v="7"/>
    <x v="134"/>
    <s v="p"/>
    <n v="7.67"/>
    <n v="7.67"/>
    <n v="7.67"/>
    <n v="7.67"/>
    <n v="2"/>
    <n v="66"/>
    <n v="6.8"/>
    <n v="1"/>
    <n v="7.1"/>
    <n v="0"/>
    <n v="0"/>
    <n v="0"/>
    <n v="0"/>
    <n v="0.2127"/>
    <n v="-6.6600000000000006E-2"/>
    <n v="5.0000000000000001E-4"/>
    <n v="-1.6409"/>
    <n v="1.5168999999999999"/>
    <n v="-0.1179"/>
    <n v="18"/>
    <n v="6.7"/>
    <n v="1"/>
    <n v="7"/>
    <n v="0"/>
    <n v="0"/>
    <n v="7.67"/>
    <n v="36"/>
    <n v="0"/>
  </r>
  <r>
    <x v="0"/>
    <x v="0"/>
    <s v="SPXW"/>
    <x v="7"/>
    <x v="135"/>
    <s v="p"/>
    <n v="7.11"/>
    <n v="7.11"/>
    <n v="7.11"/>
    <n v="7.11"/>
    <n v="1"/>
    <n v="23"/>
    <n v="7.1"/>
    <n v="1"/>
    <n v="7.3"/>
    <n v="0"/>
    <n v="0"/>
    <n v="0"/>
    <n v="0"/>
    <n v="0.21160000000000001"/>
    <n v="-6.8500000000000005E-2"/>
    <n v="5.9999999999999995E-4"/>
    <n v="-1.6709000000000001"/>
    <n v="1.5499000000000001"/>
    <n v="-0.12130000000000001"/>
    <n v="38"/>
    <n v="6.9"/>
    <n v="1"/>
    <n v="7.2"/>
    <n v="0"/>
    <n v="0"/>
    <n v="7.11"/>
    <n v="41"/>
    <n v="0"/>
  </r>
  <r>
    <x v="0"/>
    <x v="0"/>
    <s v="SPXW"/>
    <x v="7"/>
    <x v="136"/>
    <s v="p"/>
    <n v="5.0599999999999996"/>
    <n v="5.0599999999999996"/>
    <n v="5.0599999999999996"/>
    <n v="5.0599999999999996"/>
    <n v="2"/>
    <n v="23"/>
    <n v="7.3"/>
    <n v="1"/>
    <n v="7.5"/>
    <n v="0"/>
    <n v="0"/>
    <n v="0"/>
    <n v="0"/>
    <n v="0.2107"/>
    <n v="-7.0699999999999999E-2"/>
    <n v="5.9999999999999995E-4"/>
    <n v="-1.7088000000000001"/>
    <n v="1.5884"/>
    <n v="-0.12529999999999999"/>
    <n v="18"/>
    <n v="7.1"/>
    <n v="1"/>
    <n v="7.4"/>
    <n v="0"/>
    <n v="0"/>
    <n v="5.0599999999999996"/>
    <n v="0"/>
    <n v="0"/>
  </r>
  <r>
    <x v="0"/>
    <x v="0"/>
    <s v="SPXW"/>
    <x v="7"/>
    <x v="137"/>
    <s v="p"/>
    <n v="8.6300000000000008"/>
    <n v="10.24"/>
    <n v="8"/>
    <n v="8"/>
    <n v="9"/>
    <n v="47"/>
    <n v="7.5"/>
    <n v="24"/>
    <n v="7.8"/>
    <n v="0"/>
    <n v="0"/>
    <n v="0"/>
    <n v="0"/>
    <n v="0.20960000000000001"/>
    <n v="-7.2700000000000001E-2"/>
    <n v="5.9999999999999995E-4"/>
    <n v="-1.7375"/>
    <n v="1.6211"/>
    <n v="-0.1288"/>
    <n v="18"/>
    <n v="7.4"/>
    <n v="39"/>
    <n v="7.7"/>
    <n v="0"/>
    <n v="0"/>
    <n v="9.4077999999999999"/>
    <n v="144"/>
    <n v="0"/>
  </r>
  <r>
    <x v="0"/>
    <x v="0"/>
    <s v="SPXW"/>
    <x v="7"/>
    <x v="138"/>
    <s v="p"/>
    <n v="6.07"/>
    <n v="12.11"/>
    <n v="5.19"/>
    <n v="7.9"/>
    <n v="14"/>
    <n v="81"/>
    <n v="7.7"/>
    <n v="1"/>
    <n v="8"/>
    <n v="0"/>
    <n v="0"/>
    <n v="0"/>
    <n v="0"/>
    <n v="0.2089"/>
    <n v="-7.4899999999999994E-2"/>
    <n v="5.9999999999999995E-4"/>
    <n v="-1.7744"/>
    <n v="1.6577999999999999"/>
    <n v="-0.13289999999999999"/>
    <n v="37"/>
    <n v="7.6"/>
    <n v="1"/>
    <n v="7.9"/>
    <n v="0"/>
    <n v="0"/>
    <n v="6.5979000000000001"/>
    <n v="159"/>
    <n v="0"/>
  </r>
  <r>
    <x v="0"/>
    <x v="0"/>
    <s v="SPXW"/>
    <x v="7"/>
    <x v="139"/>
    <s v="p"/>
    <n v="6.4"/>
    <n v="10.55"/>
    <n v="6.4"/>
    <n v="7.6"/>
    <n v="165"/>
    <n v="61"/>
    <n v="8"/>
    <n v="17"/>
    <n v="8.1999999999999993"/>
    <n v="0"/>
    <n v="0"/>
    <n v="0"/>
    <n v="0"/>
    <n v="0.2079"/>
    <n v="-7.7200000000000005E-2"/>
    <n v="5.9999999999999995E-4"/>
    <n v="-1.8099000000000001"/>
    <n v="1.6951000000000001"/>
    <n v="-0.13700000000000001"/>
    <n v="45"/>
    <n v="7.8"/>
    <n v="9"/>
    <n v="8.1"/>
    <n v="0"/>
    <n v="0"/>
    <n v="7.6689999999999996"/>
    <n v="191"/>
    <n v="0"/>
  </r>
  <r>
    <x v="0"/>
    <x v="0"/>
    <s v="SPXW"/>
    <x v="7"/>
    <x v="140"/>
    <s v="p"/>
    <n v="0"/>
    <n v="0"/>
    <n v="0"/>
    <n v="0"/>
    <n v="0"/>
    <n v="67"/>
    <n v="8.1999999999999993"/>
    <n v="1"/>
    <n v="8.5"/>
    <n v="0"/>
    <n v="0"/>
    <n v="0"/>
    <n v="0"/>
    <n v="0.20699999999999999"/>
    <n v="-7.9399999999999998E-2"/>
    <n v="5.9999999999999995E-4"/>
    <n v="-1.8448"/>
    <n v="1.7316"/>
    <n v="-0.1411"/>
    <n v="17"/>
    <n v="8.1"/>
    <n v="17"/>
    <n v="8.4"/>
    <n v="0"/>
    <n v="0"/>
    <n v="0"/>
    <n v="1"/>
    <n v="0"/>
  </r>
  <r>
    <x v="0"/>
    <x v="0"/>
    <s v="SPXW"/>
    <x v="7"/>
    <x v="141"/>
    <s v="p"/>
    <n v="6.71"/>
    <n v="11.15"/>
    <n v="6.71"/>
    <n v="9.5500000000000007"/>
    <n v="77"/>
    <n v="69"/>
    <n v="8.5"/>
    <n v="47"/>
    <n v="8.8000000000000007"/>
    <n v="0"/>
    <n v="0"/>
    <n v="0"/>
    <n v="0"/>
    <n v="0.20580000000000001"/>
    <n v="-8.1799999999999998E-2"/>
    <n v="6.9999999999999999E-4"/>
    <n v="-1.8782000000000001"/>
    <n v="1.7689999999999999"/>
    <n v="-0.14530000000000001"/>
    <n v="19"/>
    <n v="8.4"/>
    <n v="46"/>
    <n v="8.6999999999999993"/>
    <n v="0"/>
    <n v="0"/>
    <n v="8.0409000000000006"/>
    <n v="263"/>
    <n v="0"/>
  </r>
  <r>
    <x v="0"/>
    <x v="0"/>
    <s v="SPXW"/>
    <x v="7"/>
    <x v="142"/>
    <s v="p"/>
    <n v="11.64"/>
    <n v="11.64"/>
    <n v="8.76"/>
    <n v="8.82"/>
    <n v="3"/>
    <n v="34"/>
    <n v="8.8000000000000007"/>
    <n v="1"/>
    <n v="9"/>
    <n v="0"/>
    <n v="0"/>
    <n v="0"/>
    <n v="0"/>
    <n v="0.2051"/>
    <n v="-8.4400000000000003E-2"/>
    <n v="6.9999999999999999E-4"/>
    <n v="-1.9196"/>
    <n v="1.8092999999999999"/>
    <n v="-0.14990000000000001"/>
    <n v="19"/>
    <n v="8.6"/>
    <n v="1"/>
    <n v="8.9"/>
    <n v="0"/>
    <n v="0"/>
    <n v="9.74"/>
    <n v="0"/>
    <n v="0"/>
  </r>
  <r>
    <x v="0"/>
    <x v="0"/>
    <s v="SPXW"/>
    <x v="7"/>
    <x v="143"/>
    <s v="p"/>
    <n v="6.75"/>
    <n v="11.77"/>
    <n v="6.27"/>
    <n v="9"/>
    <n v="27"/>
    <n v="34"/>
    <n v="9.1"/>
    <n v="1"/>
    <n v="9.3000000000000007"/>
    <n v="0"/>
    <n v="0"/>
    <n v="0"/>
    <n v="0"/>
    <n v="0.2039"/>
    <n v="-8.6800000000000002E-2"/>
    <n v="6.9999999999999999E-4"/>
    <n v="-1.9513"/>
    <n v="1.8466"/>
    <n v="-0.1542"/>
    <n v="37"/>
    <n v="8.9"/>
    <n v="18"/>
    <n v="9.1999999999999993"/>
    <n v="0"/>
    <n v="0"/>
    <n v="9.1896000000000004"/>
    <n v="395"/>
    <n v="0"/>
  </r>
  <r>
    <x v="0"/>
    <x v="0"/>
    <s v="SPXW"/>
    <x v="7"/>
    <x v="144"/>
    <s v="p"/>
    <n v="10.050000000000001"/>
    <n v="10.32"/>
    <n v="10.050000000000001"/>
    <n v="10.32"/>
    <n v="20"/>
    <n v="29"/>
    <n v="9.4"/>
    <n v="1"/>
    <n v="9.6"/>
    <n v="0"/>
    <n v="0"/>
    <n v="0"/>
    <n v="0"/>
    <n v="0.20300000000000001"/>
    <n v="-8.9499999999999996E-2"/>
    <n v="6.9999999999999999E-4"/>
    <n v="-1.9903999999999999"/>
    <n v="1.8875"/>
    <n v="-0.15890000000000001"/>
    <n v="18"/>
    <n v="9.1999999999999993"/>
    <n v="18"/>
    <n v="9.5"/>
    <n v="0"/>
    <n v="0"/>
    <n v="10.131"/>
    <n v="1"/>
    <n v="0"/>
  </r>
  <r>
    <x v="0"/>
    <x v="0"/>
    <s v="SPXW"/>
    <x v="7"/>
    <x v="145"/>
    <s v="p"/>
    <n v="12.42"/>
    <n v="12.42"/>
    <n v="10.35"/>
    <n v="10.67"/>
    <n v="18"/>
    <n v="30"/>
    <n v="9.6999999999999993"/>
    <n v="1"/>
    <n v="9.9"/>
    <n v="0"/>
    <n v="0"/>
    <n v="0"/>
    <n v="0"/>
    <n v="0.20200000000000001"/>
    <n v="-9.2200000000000004E-2"/>
    <n v="6.9999999999999999E-4"/>
    <n v="-2.0283000000000002"/>
    <n v="1.9288000000000001"/>
    <n v="-0.16370000000000001"/>
    <n v="18"/>
    <n v="9.5"/>
    <n v="18"/>
    <n v="9.8000000000000007"/>
    <n v="0"/>
    <n v="0"/>
    <n v="11.244999999999999"/>
    <n v="127"/>
    <n v="0"/>
  </r>
  <r>
    <x v="0"/>
    <x v="0"/>
    <s v="SPXW"/>
    <x v="7"/>
    <x v="146"/>
    <s v="p"/>
    <n v="12.5"/>
    <n v="12.5"/>
    <n v="9.75"/>
    <n v="9.75"/>
    <n v="2"/>
    <n v="32"/>
    <n v="10"/>
    <n v="1"/>
    <n v="10.199999999999999"/>
    <n v="0"/>
    <n v="0"/>
    <n v="0"/>
    <n v="0"/>
    <n v="0.20100000000000001"/>
    <n v="-9.4899999999999998E-2"/>
    <n v="6.9999999999999999E-4"/>
    <n v="-2.0651999999999999"/>
    <n v="1.97"/>
    <n v="-0.1686"/>
    <n v="18"/>
    <n v="9.8000000000000007"/>
    <n v="1"/>
    <n v="10.1"/>
    <n v="0"/>
    <n v="0"/>
    <n v="11.125"/>
    <n v="21"/>
    <n v="0"/>
  </r>
  <r>
    <x v="0"/>
    <x v="0"/>
    <s v="SPXW"/>
    <x v="7"/>
    <x v="147"/>
    <s v="p"/>
    <n v="7.6"/>
    <n v="12.51"/>
    <n v="7.6"/>
    <n v="12.51"/>
    <n v="12"/>
    <n v="32"/>
    <n v="10.3"/>
    <n v="29"/>
    <n v="10.6"/>
    <n v="0"/>
    <n v="0"/>
    <n v="0"/>
    <n v="0"/>
    <n v="0.20019999999999999"/>
    <n v="-9.7900000000000001E-2"/>
    <n v="8.0000000000000004E-4"/>
    <n v="-2.1084999999999998"/>
    <n v="2.0152999999999999"/>
    <n v="-0.1741"/>
    <n v="37"/>
    <n v="10.1"/>
    <n v="44"/>
    <n v="10.5"/>
    <n v="0"/>
    <n v="0"/>
    <n v="11.5542"/>
    <n v="286"/>
    <n v="0"/>
  </r>
  <r>
    <x v="0"/>
    <x v="0"/>
    <s v="SPXW"/>
    <x v="7"/>
    <x v="148"/>
    <s v="p"/>
    <n v="8.1199999999999992"/>
    <n v="11.57"/>
    <n v="6.91"/>
    <n v="11.57"/>
    <n v="15"/>
    <n v="53"/>
    <n v="10.6"/>
    <n v="1"/>
    <n v="10.9"/>
    <n v="0"/>
    <n v="0"/>
    <n v="0"/>
    <n v="0"/>
    <n v="0.19950000000000001"/>
    <n v="-0.10100000000000001"/>
    <n v="8.0000000000000004E-4"/>
    <n v="-2.1511"/>
    <n v="2.0596000000000001"/>
    <n v="-0.17960000000000001"/>
    <n v="18"/>
    <n v="10.5"/>
    <n v="23"/>
    <n v="10.8"/>
    <n v="0"/>
    <n v="0"/>
    <n v="8.4499999999999993"/>
    <n v="345"/>
    <n v="0"/>
  </r>
  <r>
    <x v="0"/>
    <x v="0"/>
    <s v="SPXW"/>
    <x v="7"/>
    <x v="149"/>
    <s v="p"/>
    <n v="13.22"/>
    <n v="14.4"/>
    <n v="10.75"/>
    <n v="11.04"/>
    <n v="26"/>
    <n v="31"/>
    <n v="11"/>
    <n v="45"/>
    <n v="11.3"/>
    <n v="0"/>
    <n v="0"/>
    <n v="0"/>
    <n v="0"/>
    <n v="0.19839999999999999"/>
    <n v="-0.1041"/>
    <n v="8.0000000000000004E-4"/>
    <n v="-2.1913"/>
    <n v="2.1046999999999998"/>
    <n v="-0.18529999999999999"/>
    <n v="25"/>
    <n v="10.8"/>
    <n v="7"/>
    <n v="11.1"/>
    <n v="0"/>
    <n v="0"/>
    <n v="13.324999999999999"/>
    <n v="106"/>
    <n v="0"/>
  </r>
  <r>
    <x v="0"/>
    <x v="0"/>
    <s v="SPXW"/>
    <x v="7"/>
    <x v="150"/>
    <s v="p"/>
    <n v="8.43"/>
    <n v="8.43"/>
    <n v="8.43"/>
    <n v="8.43"/>
    <n v="1"/>
    <n v="31"/>
    <n v="11.3"/>
    <n v="4"/>
    <n v="11.6"/>
    <n v="0"/>
    <n v="0"/>
    <n v="0"/>
    <n v="0"/>
    <n v="0.19750000000000001"/>
    <n v="-0.1072"/>
    <n v="8.0000000000000004E-4"/>
    <n v="-2.2307000000000001"/>
    <n v="2.1484999999999999"/>
    <n v="-0.19089999999999999"/>
    <n v="18"/>
    <n v="11.2"/>
    <n v="18"/>
    <n v="11.5"/>
    <n v="0"/>
    <n v="0"/>
    <n v="8.43"/>
    <n v="1"/>
    <n v="0"/>
  </r>
  <r>
    <x v="0"/>
    <x v="0"/>
    <s v="SPXW"/>
    <x v="7"/>
    <x v="151"/>
    <s v="p"/>
    <n v="8.4"/>
    <n v="15.02"/>
    <n v="8.4"/>
    <n v="15.02"/>
    <n v="8"/>
    <n v="31"/>
    <n v="11.7"/>
    <n v="25"/>
    <n v="12"/>
    <n v="0"/>
    <n v="0"/>
    <n v="0"/>
    <n v="0"/>
    <n v="0.19670000000000001"/>
    <n v="-0.1106"/>
    <n v="8.0000000000000004E-4"/>
    <n v="-2.2757999999999998"/>
    <n v="2.1956000000000002"/>
    <n v="-0.1971"/>
    <n v="36"/>
    <n v="11.5"/>
    <n v="24"/>
    <n v="11.9"/>
    <n v="0"/>
    <n v="0"/>
    <n v="12.99"/>
    <n v="55"/>
    <n v="0"/>
  </r>
  <r>
    <x v="0"/>
    <x v="0"/>
    <s v="SPXW"/>
    <x v="7"/>
    <x v="152"/>
    <s v="p"/>
    <n v="10"/>
    <n v="12.25"/>
    <n v="10"/>
    <n v="12.25"/>
    <n v="4"/>
    <n v="31"/>
    <n v="12.1"/>
    <n v="24"/>
    <n v="12.4"/>
    <n v="0"/>
    <n v="0"/>
    <n v="0"/>
    <n v="0"/>
    <n v="0.19589999999999999"/>
    <n v="-0.114"/>
    <n v="8.9999999999999998E-4"/>
    <n v="-2.3199999999999998"/>
    <n v="2.2414000000000001"/>
    <n v="-0.2031"/>
    <n v="17"/>
    <n v="11.9"/>
    <n v="25"/>
    <n v="12.3"/>
    <n v="0"/>
    <n v="0"/>
    <n v="11.6875"/>
    <n v="1"/>
    <n v="0"/>
  </r>
  <r>
    <x v="0"/>
    <x v="0"/>
    <s v="SPXW"/>
    <x v="7"/>
    <x v="153"/>
    <s v="p"/>
    <n v="9.6999999999999993"/>
    <n v="16.52"/>
    <n v="7.92"/>
    <n v="12.47"/>
    <n v="36"/>
    <n v="30"/>
    <n v="12.5"/>
    <n v="24"/>
    <n v="12.8"/>
    <n v="0"/>
    <n v="0"/>
    <n v="0"/>
    <n v="0"/>
    <n v="0.1948"/>
    <n v="-0.11749999999999999"/>
    <n v="8.9999999999999998E-4"/>
    <n v="-2.3616000000000001"/>
    <n v="2.2885"/>
    <n v="-0.2094"/>
    <n v="17"/>
    <n v="12.3"/>
    <n v="25"/>
    <n v="12.7"/>
    <n v="0"/>
    <n v="0"/>
    <n v="12.818099999999999"/>
    <n v="414"/>
    <n v="0"/>
  </r>
  <r>
    <x v="0"/>
    <x v="0"/>
    <s v="SPXW"/>
    <x v="7"/>
    <x v="154"/>
    <s v="p"/>
    <n v="15.45"/>
    <n v="17.93"/>
    <n v="15.45"/>
    <n v="17.93"/>
    <n v="4"/>
    <n v="30"/>
    <n v="12.9"/>
    <n v="24"/>
    <n v="13.2"/>
    <n v="0"/>
    <n v="0"/>
    <n v="0"/>
    <n v="0"/>
    <n v="0.19389999999999999"/>
    <n v="-0.121"/>
    <n v="8.9999999999999998E-4"/>
    <n v="-2.4024999999999999"/>
    <n v="2.3347000000000002"/>
    <n v="-0.21560000000000001"/>
    <n v="17"/>
    <n v="12.7"/>
    <n v="23"/>
    <n v="13.1"/>
    <n v="0"/>
    <n v="0"/>
    <n v="16.07"/>
    <n v="0"/>
    <n v="0"/>
  </r>
  <r>
    <x v="0"/>
    <x v="0"/>
    <s v="SPXW"/>
    <x v="7"/>
    <x v="155"/>
    <s v="p"/>
    <n v="11.61"/>
    <n v="16.05"/>
    <n v="8.75"/>
    <n v="13.28"/>
    <n v="125"/>
    <n v="62"/>
    <n v="13.3"/>
    <n v="13"/>
    <n v="13.6"/>
    <n v="0"/>
    <n v="0"/>
    <n v="0"/>
    <n v="0"/>
    <n v="0.193"/>
    <n v="-0.1245"/>
    <n v="8.9999999999999998E-4"/>
    <n v="-2.4424000000000001"/>
    <n v="2.3801999999999999"/>
    <n v="-0.2218"/>
    <n v="22"/>
    <n v="13.2"/>
    <n v="23"/>
    <n v="13.5"/>
    <n v="0"/>
    <n v="0"/>
    <n v="10.438599999999999"/>
    <n v="44"/>
    <n v="0"/>
  </r>
  <r>
    <x v="0"/>
    <x v="0"/>
    <s v="SPXW"/>
    <x v="7"/>
    <x v="156"/>
    <s v="p"/>
    <n v="15.8"/>
    <n v="18.93"/>
    <n v="15.7"/>
    <n v="18.93"/>
    <n v="16"/>
    <n v="29"/>
    <n v="13.8"/>
    <n v="28"/>
    <n v="14.1"/>
    <n v="0"/>
    <n v="0"/>
    <n v="0"/>
    <n v="0"/>
    <n v="0.19189999999999999"/>
    <n v="-0.12839999999999999"/>
    <n v="1E-3"/>
    <n v="-2.4861"/>
    <n v="2.4308000000000001"/>
    <n v="-0.2288"/>
    <n v="16"/>
    <n v="13.6"/>
    <n v="23"/>
    <n v="14"/>
    <n v="0"/>
    <n v="0"/>
    <n v="17.578099999999999"/>
    <n v="33"/>
    <n v="0"/>
  </r>
  <r>
    <x v="0"/>
    <x v="0"/>
    <s v="SPXW"/>
    <x v="7"/>
    <x v="157"/>
    <s v="p"/>
    <n v="11.7"/>
    <n v="16.100000000000001"/>
    <n v="9.35"/>
    <n v="16.100000000000001"/>
    <n v="14"/>
    <n v="25"/>
    <n v="14.2"/>
    <n v="28"/>
    <n v="14.6"/>
    <n v="0"/>
    <n v="0"/>
    <n v="0"/>
    <n v="0"/>
    <n v="0.191"/>
    <n v="-0.1323"/>
    <n v="1E-3"/>
    <n v="-2.5287000000000002"/>
    <n v="2.4803999999999999"/>
    <n v="-0.23580000000000001"/>
    <n v="16"/>
    <n v="14.1"/>
    <n v="3"/>
    <n v="14.4"/>
    <n v="0"/>
    <n v="0"/>
    <n v="14.7593"/>
    <n v="231"/>
    <n v="0"/>
  </r>
  <r>
    <x v="0"/>
    <x v="0"/>
    <s v="SPXW"/>
    <x v="7"/>
    <x v="158"/>
    <s v="p"/>
    <n v="10.7"/>
    <n v="15.57"/>
    <n v="9.4"/>
    <n v="15.57"/>
    <n v="117"/>
    <n v="41"/>
    <n v="14.7"/>
    <n v="17"/>
    <n v="15"/>
    <n v="0"/>
    <n v="0"/>
    <n v="0"/>
    <n v="0"/>
    <n v="0.19020000000000001"/>
    <n v="-0.13650000000000001"/>
    <n v="1E-3"/>
    <n v="-2.5758000000000001"/>
    <n v="2.5325000000000002"/>
    <n v="-0.24340000000000001"/>
    <n v="22"/>
    <n v="14.5"/>
    <n v="23"/>
    <n v="14.9"/>
    <n v="0"/>
    <n v="0"/>
    <n v="11.1439"/>
    <n v="299"/>
    <n v="0"/>
  </r>
  <r>
    <x v="0"/>
    <x v="0"/>
    <s v="SPXW"/>
    <x v="7"/>
    <x v="159"/>
    <s v="p"/>
    <n v="12.5"/>
    <n v="17.899999999999999"/>
    <n v="9.7100000000000009"/>
    <n v="14.75"/>
    <n v="6"/>
    <n v="24"/>
    <n v="15.2"/>
    <n v="4"/>
    <n v="15.5"/>
    <n v="0"/>
    <n v="0"/>
    <n v="0"/>
    <n v="0"/>
    <n v="0.1893"/>
    <n v="-0.14069999999999999"/>
    <n v="1E-3"/>
    <n v="-2.621"/>
    <n v="2.5838999999999999"/>
    <n v="-0.251"/>
    <n v="15"/>
    <n v="15"/>
    <n v="16"/>
    <n v="15.4"/>
    <n v="0"/>
    <n v="0"/>
    <n v="14.4467"/>
    <n v="55"/>
    <n v="0"/>
  </r>
  <r>
    <x v="0"/>
    <x v="0"/>
    <s v="SPXW"/>
    <x v="7"/>
    <x v="160"/>
    <s v="p"/>
    <n v="10.54"/>
    <n v="19.43"/>
    <n v="9.8699999999999992"/>
    <n v="15.86"/>
    <n v="15"/>
    <n v="23"/>
    <n v="15.7"/>
    <n v="3"/>
    <n v="16"/>
    <n v="0"/>
    <n v="0"/>
    <n v="0"/>
    <n v="0"/>
    <n v="0.1883"/>
    <n v="-0.1449"/>
    <n v="1.1000000000000001E-3"/>
    <n v="-2.6644000000000001"/>
    <n v="2.6345000000000001"/>
    <n v="-0.25869999999999999"/>
    <n v="15"/>
    <n v="15.5"/>
    <n v="16"/>
    <n v="15.9"/>
    <n v="0"/>
    <n v="0"/>
    <n v="15.586"/>
    <n v="20"/>
    <n v="0"/>
  </r>
  <r>
    <x v="0"/>
    <x v="0"/>
    <s v="SPXW"/>
    <x v="7"/>
    <x v="161"/>
    <s v="p"/>
    <n v="11.88"/>
    <n v="19.649999999999999"/>
    <n v="10.17"/>
    <n v="15.9"/>
    <n v="35"/>
    <n v="23"/>
    <n v="16.2"/>
    <n v="25"/>
    <n v="16.600000000000001"/>
    <n v="0"/>
    <n v="0"/>
    <n v="0"/>
    <n v="0"/>
    <n v="0.18729999999999999"/>
    <n v="-0.1492"/>
    <n v="1.1000000000000001E-3"/>
    <n v="-2.7058"/>
    <n v="2.6842999999999999"/>
    <n v="-0.26650000000000001"/>
    <n v="15"/>
    <n v="16"/>
    <n v="15"/>
    <n v="16.399999999999999"/>
    <n v="0"/>
    <n v="0"/>
    <n v="16.171399999999998"/>
    <n v="74"/>
    <n v="0"/>
  </r>
  <r>
    <x v="0"/>
    <x v="0"/>
    <s v="SPXW"/>
    <x v="7"/>
    <x v="162"/>
    <s v="p"/>
    <n v="10.65"/>
    <n v="18.5"/>
    <n v="10.65"/>
    <n v="16.95"/>
    <n v="23"/>
    <n v="16"/>
    <n v="16.8"/>
    <n v="24"/>
    <n v="17.100000000000001"/>
    <n v="0"/>
    <n v="0"/>
    <n v="0"/>
    <n v="0"/>
    <n v="0.18640000000000001"/>
    <n v="-0.1537"/>
    <n v="1.1000000000000001E-3"/>
    <n v="-2.7511999999999999"/>
    <n v="2.7361"/>
    <n v="-0.27460000000000001"/>
    <n v="15"/>
    <n v="16.600000000000001"/>
    <n v="20"/>
    <n v="17"/>
    <n v="0"/>
    <n v="0"/>
    <n v="17.373899999999999"/>
    <n v="104"/>
    <n v="0"/>
  </r>
  <r>
    <x v="0"/>
    <x v="0"/>
    <s v="SPXW"/>
    <x v="7"/>
    <x v="163"/>
    <s v="p"/>
    <n v="14.92"/>
    <n v="22.69"/>
    <n v="10.82"/>
    <n v="16.75"/>
    <n v="69"/>
    <n v="38"/>
    <n v="17.3"/>
    <n v="37"/>
    <n v="17.7"/>
    <n v="0"/>
    <n v="0"/>
    <n v="0"/>
    <n v="0"/>
    <n v="0.1855"/>
    <n v="-0.15840000000000001"/>
    <n v="1.1999999999999999E-3"/>
    <n v="-2.7946"/>
    <n v="2.7875000000000001"/>
    <n v="-0.2828"/>
    <n v="39"/>
    <n v="17.100000000000001"/>
    <n v="21"/>
    <n v="17.5"/>
    <n v="0"/>
    <n v="0"/>
    <n v="16.887699999999999"/>
    <n v="201"/>
    <n v="0"/>
  </r>
  <r>
    <x v="0"/>
    <x v="0"/>
    <s v="SPXW"/>
    <x v="7"/>
    <x v="164"/>
    <s v="p"/>
    <n v="0"/>
    <n v="0"/>
    <n v="0"/>
    <n v="0"/>
    <n v="0"/>
    <n v="22"/>
    <n v="17.899999999999999"/>
    <n v="19"/>
    <n v="18.2"/>
    <n v="0"/>
    <n v="0"/>
    <n v="0"/>
    <n v="0"/>
    <n v="0.18440000000000001"/>
    <n v="-0.16300000000000001"/>
    <n v="1.1999999999999999E-3"/>
    <n v="-2.8359000000000001"/>
    <n v="2.8388"/>
    <n v="-0.29110000000000003"/>
    <n v="15"/>
    <n v="17.7"/>
    <n v="15"/>
    <n v="18.100000000000001"/>
    <n v="0"/>
    <n v="0"/>
    <n v="0"/>
    <n v="137"/>
    <n v="0"/>
  </r>
  <r>
    <x v="0"/>
    <x v="0"/>
    <s v="SPXW"/>
    <x v="7"/>
    <x v="165"/>
    <s v="p"/>
    <n v="17.350000000000001"/>
    <n v="17.350000000000001"/>
    <n v="17.350000000000001"/>
    <n v="17.350000000000001"/>
    <n v="6"/>
    <n v="21"/>
    <n v="18.5"/>
    <n v="16"/>
    <n v="18.8"/>
    <n v="0"/>
    <n v="0"/>
    <n v="0"/>
    <n v="0"/>
    <n v="0.1835"/>
    <n v="-0.16800000000000001"/>
    <n v="1.1999999999999999E-3"/>
    <n v="-2.8805999999999998"/>
    <n v="2.8925000000000001"/>
    <n v="-0.3"/>
    <n v="14"/>
    <n v="18.3"/>
    <n v="15"/>
    <n v="18.7"/>
    <n v="0"/>
    <n v="0"/>
    <n v="17.350000000000001"/>
    <n v="72"/>
    <n v="0"/>
  </r>
  <r>
    <x v="0"/>
    <x v="0"/>
    <s v="SPXW"/>
    <x v="7"/>
    <x v="166"/>
    <s v="p"/>
    <n v="14.72"/>
    <n v="19.48"/>
    <n v="13.85"/>
    <n v="19.48"/>
    <n v="3"/>
    <n v="22"/>
    <n v="19.100000000000001"/>
    <n v="25"/>
    <n v="19.5"/>
    <n v="0"/>
    <n v="0"/>
    <n v="0"/>
    <n v="0"/>
    <n v="0.1827"/>
    <n v="-0.17319999999999999"/>
    <n v="1.1999999999999999E-3"/>
    <n v="-2.9281999999999999"/>
    <n v="2.9483000000000001"/>
    <n v="-0.30940000000000001"/>
    <n v="14"/>
    <n v="18.899999999999999"/>
    <n v="12"/>
    <n v="19.3"/>
    <n v="0"/>
    <n v="0"/>
    <n v="16.0167"/>
    <n v="23"/>
    <n v="0"/>
  </r>
  <r>
    <x v="0"/>
    <x v="0"/>
    <s v="SPXW"/>
    <x v="7"/>
    <x v="167"/>
    <s v="p"/>
    <n v="17.02"/>
    <n v="20.52"/>
    <n v="12.39"/>
    <n v="19.579999999999998"/>
    <n v="12"/>
    <n v="20"/>
    <n v="19.7"/>
    <n v="23"/>
    <n v="20.100000000000001"/>
    <n v="0"/>
    <n v="0"/>
    <n v="0"/>
    <n v="0"/>
    <n v="0.1817"/>
    <n v="-0.1782"/>
    <n v="1.2999999999999999E-3"/>
    <n v="-2.9683999999999999"/>
    <n v="3.0009999999999999"/>
    <n v="-0.31850000000000001"/>
    <n v="14"/>
    <n v="19.600000000000001"/>
    <n v="15"/>
    <n v="20"/>
    <n v="0"/>
    <n v="0"/>
    <n v="15.8675"/>
    <n v="42"/>
    <n v="0"/>
  </r>
  <r>
    <x v="0"/>
    <x v="0"/>
    <s v="SPXW"/>
    <x v="7"/>
    <x v="168"/>
    <s v="p"/>
    <n v="15.72"/>
    <n v="26.21"/>
    <n v="13.83"/>
    <n v="20.92"/>
    <n v="74"/>
    <n v="34"/>
    <n v="20.399999999999999"/>
    <n v="11"/>
    <n v="20.7"/>
    <n v="0"/>
    <n v="0"/>
    <n v="0"/>
    <n v="0"/>
    <n v="0.1807"/>
    <n v="-0.1835"/>
    <n v="1.2999999999999999E-3"/>
    <n v="-3.0114000000000001"/>
    <n v="3.0552999999999999"/>
    <n v="-0.32829999999999998"/>
    <n v="20"/>
    <n v="20.2"/>
    <n v="18"/>
    <n v="20.6"/>
    <n v="0"/>
    <n v="0"/>
    <n v="16.566099999999999"/>
    <n v="39"/>
    <n v="0"/>
  </r>
  <r>
    <x v="0"/>
    <x v="0"/>
    <s v="SPXW"/>
    <x v="7"/>
    <x v="169"/>
    <s v="p"/>
    <n v="16.8"/>
    <n v="23.5"/>
    <n v="13.25"/>
    <n v="20.94"/>
    <n v="32"/>
    <n v="15"/>
    <n v="21.1"/>
    <n v="18"/>
    <n v="21.4"/>
    <n v="0"/>
    <n v="0"/>
    <n v="0"/>
    <n v="0"/>
    <n v="0.17979999999999999"/>
    <n v="-0.18909999999999999"/>
    <n v="1.2999999999999999E-3"/>
    <n v="-3.0568"/>
    <n v="3.1105"/>
    <n v="-0.33850000000000002"/>
    <n v="15"/>
    <n v="20.9"/>
    <n v="13"/>
    <n v="21.3"/>
    <n v="0"/>
    <n v="0"/>
    <n v="18.4556"/>
    <n v="67"/>
    <n v="0"/>
  </r>
  <r>
    <x v="0"/>
    <x v="0"/>
    <s v="SPXW"/>
    <x v="7"/>
    <x v="170"/>
    <s v="p"/>
    <n v="18.73"/>
    <n v="24.55"/>
    <n v="18.73"/>
    <n v="21.51"/>
    <n v="3"/>
    <n v="15"/>
    <n v="21.8"/>
    <n v="18"/>
    <n v="22.1"/>
    <n v="0"/>
    <n v="0"/>
    <n v="0"/>
    <n v="0"/>
    <n v="0.1789"/>
    <n v="-0.19470000000000001"/>
    <n v="1.4E-3"/>
    <n v="-3.0996000000000001"/>
    <n v="3.1644999999999999"/>
    <n v="-0.34870000000000001"/>
    <n v="14"/>
    <n v="21.6"/>
    <n v="13"/>
    <n v="22"/>
    <n v="0"/>
    <n v="0"/>
    <n v="21.596699999999998"/>
    <n v="12"/>
    <n v="0"/>
  </r>
  <r>
    <x v="0"/>
    <x v="0"/>
    <s v="SPXW"/>
    <x v="7"/>
    <x v="171"/>
    <s v="p"/>
    <n v="18.05"/>
    <n v="29.2"/>
    <n v="14.15"/>
    <n v="25"/>
    <n v="45"/>
    <n v="20"/>
    <n v="22.5"/>
    <n v="24"/>
    <n v="22.9"/>
    <n v="0"/>
    <n v="0"/>
    <n v="0"/>
    <n v="0"/>
    <n v="0.17780000000000001"/>
    <n v="-0.20039999999999999"/>
    <n v="1.4E-3"/>
    <n v="-3.1398000000000001"/>
    <n v="3.2174999999999998"/>
    <n v="-0.3589"/>
    <n v="35"/>
    <n v="22.3"/>
    <n v="5"/>
    <n v="22.7"/>
    <n v="0"/>
    <n v="0"/>
    <n v="16.7242"/>
    <n v="258"/>
    <n v="0"/>
  </r>
  <r>
    <x v="0"/>
    <x v="0"/>
    <s v="SPXW"/>
    <x v="7"/>
    <x v="172"/>
    <s v="p"/>
    <n v="15.05"/>
    <n v="23.76"/>
    <n v="15.05"/>
    <n v="23.76"/>
    <n v="2"/>
    <n v="19"/>
    <n v="23.2"/>
    <n v="23"/>
    <n v="23.6"/>
    <n v="0"/>
    <n v="0"/>
    <n v="0"/>
    <n v="0"/>
    <n v="0.17699999999999999"/>
    <n v="-0.20660000000000001"/>
    <n v="1.4E-3"/>
    <n v="-3.1865999999999999"/>
    <n v="3.2732999999999999"/>
    <n v="-0.36990000000000001"/>
    <n v="14"/>
    <n v="23.1"/>
    <n v="13"/>
    <n v="23.5"/>
    <n v="0"/>
    <n v="0"/>
    <n v="19.405000000000001"/>
    <n v="17"/>
    <n v="0"/>
  </r>
  <r>
    <x v="0"/>
    <x v="0"/>
    <s v="SPXW"/>
    <x v="7"/>
    <x v="173"/>
    <s v="p"/>
    <n v="19.649999999999999"/>
    <n v="30.9"/>
    <n v="15.09"/>
    <n v="23.69"/>
    <n v="39"/>
    <n v="19"/>
    <n v="24"/>
    <n v="21"/>
    <n v="24.4"/>
    <n v="0"/>
    <n v="0"/>
    <n v="0"/>
    <n v="0"/>
    <n v="0.17599999999999999"/>
    <n v="-0.21260000000000001"/>
    <n v="1.5E-3"/>
    <n v="-3.226"/>
    <n v="3.3268"/>
    <n v="-0.38059999999999999"/>
    <n v="14"/>
    <n v="23.9"/>
    <n v="13"/>
    <n v="24.3"/>
    <n v="0"/>
    <n v="0"/>
    <n v="18.874099999999999"/>
    <n v="87"/>
    <n v="0"/>
  </r>
  <r>
    <x v="0"/>
    <x v="0"/>
    <s v="SPXW"/>
    <x v="7"/>
    <x v="174"/>
    <s v="p"/>
    <n v="20.03"/>
    <n v="21.24"/>
    <n v="15.96"/>
    <n v="21.24"/>
    <n v="16"/>
    <n v="18"/>
    <n v="24.8"/>
    <n v="21"/>
    <n v="25.2"/>
    <n v="0"/>
    <n v="0"/>
    <n v="0"/>
    <n v="0"/>
    <n v="0.1749"/>
    <n v="-0.21870000000000001"/>
    <n v="1.5E-3"/>
    <n v="-3.2627000000000002"/>
    <n v="3.3799000000000001"/>
    <n v="-0.39150000000000001"/>
    <n v="14"/>
    <n v="24.7"/>
    <n v="13"/>
    <n v="25.1"/>
    <n v="0"/>
    <n v="0"/>
    <n v="19.482500000000002"/>
    <n v="24"/>
    <n v="0"/>
  </r>
  <r>
    <x v="0"/>
    <x v="0"/>
    <s v="SPXW"/>
    <x v="7"/>
    <x v="175"/>
    <s v="p"/>
    <n v="19.78"/>
    <n v="26.6"/>
    <n v="16.350000000000001"/>
    <n v="25.29"/>
    <n v="21"/>
    <n v="18"/>
    <n v="25.6"/>
    <n v="21"/>
    <n v="26"/>
    <n v="0"/>
    <n v="0"/>
    <n v="0"/>
    <n v="0"/>
    <n v="0.1741"/>
    <n v="-0.2253"/>
    <n v="1.5E-3"/>
    <n v="-3.3050000000000002"/>
    <n v="3.4358"/>
    <n v="-0.40350000000000003"/>
    <n v="13"/>
    <n v="25.5"/>
    <n v="10"/>
    <n v="25.9"/>
    <n v="0"/>
    <n v="0"/>
    <n v="23.810500000000001"/>
    <n v="119"/>
    <n v="0"/>
  </r>
  <r>
    <x v="0"/>
    <x v="0"/>
    <s v="SPXW"/>
    <x v="7"/>
    <x v="176"/>
    <s v="p"/>
    <n v="25.9"/>
    <n v="25.9"/>
    <n v="25.9"/>
    <n v="25.9"/>
    <n v="1"/>
    <n v="14"/>
    <n v="26.5"/>
    <n v="14"/>
    <n v="26.8"/>
    <n v="0"/>
    <n v="0"/>
    <n v="0"/>
    <n v="0"/>
    <n v="0.1731"/>
    <n v="-0.23180000000000001"/>
    <n v="1.6000000000000001E-3"/>
    <n v="-3.3445"/>
    <n v="3.4904999999999999"/>
    <n v="-0.41549999999999998"/>
    <n v="13"/>
    <n v="26.3"/>
    <n v="12"/>
    <n v="26.8"/>
    <n v="0"/>
    <n v="0"/>
    <n v="25.9"/>
    <n v="4"/>
    <n v="0"/>
  </r>
  <r>
    <x v="0"/>
    <x v="0"/>
    <s v="SPXW"/>
    <x v="7"/>
    <x v="177"/>
    <s v="p"/>
    <n v="20.11"/>
    <n v="30.1"/>
    <n v="17.850000000000001"/>
    <n v="27.8"/>
    <n v="14"/>
    <n v="18"/>
    <n v="27.3"/>
    <n v="17"/>
    <n v="27.7"/>
    <n v="0"/>
    <n v="0"/>
    <n v="0"/>
    <n v="0"/>
    <n v="0.17219999999999999"/>
    <n v="-0.2387"/>
    <n v="1.6000000000000001E-3"/>
    <n v="-3.3845999999999998"/>
    <n v="3.5455000000000001"/>
    <n v="-0.42809999999999998"/>
    <n v="13"/>
    <n v="27.2"/>
    <n v="12"/>
    <n v="27.7"/>
    <n v="0"/>
    <n v="0"/>
    <n v="21.492899999999999"/>
    <n v="39"/>
    <n v="0"/>
  </r>
  <r>
    <x v="0"/>
    <x v="0"/>
    <s v="SPXW"/>
    <x v="7"/>
    <x v="178"/>
    <s v="p"/>
    <n v="22.28"/>
    <n v="31.97"/>
    <n v="18.05"/>
    <n v="28.17"/>
    <n v="35"/>
    <n v="18"/>
    <n v="28.2"/>
    <n v="14"/>
    <n v="28.6"/>
    <n v="0"/>
    <n v="0"/>
    <n v="0"/>
    <n v="0"/>
    <n v="0.17119999999999999"/>
    <n v="-0.2457"/>
    <n v="1.6000000000000001E-3"/>
    <n v="-3.4214000000000002"/>
    <n v="3.5987"/>
    <n v="-0.44080000000000003"/>
    <n v="28"/>
    <n v="28.1"/>
    <n v="12"/>
    <n v="28.6"/>
    <n v="0"/>
    <n v="0"/>
    <n v="23.777999999999999"/>
    <n v="157"/>
    <n v="0"/>
  </r>
  <r>
    <x v="0"/>
    <x v="0"/>
    <s v="SPXW"/>
    <x v="7"/>
    <x v="179"/>
    <s v="p"/>
    <n v="18.670000000000002"/>
    <n v="32.450000000000003"/>
    <n v="18.670000000000002"/>
    <n v="29.19"/>
    <n v="70"/>
    <n v="13"/>
    <n v="29.2"/>
    <n v="21"/>
    <n v="29.6"/>
    <n v="0"/>
    <n v="0"/>
    <n v="0"/>
    <n v="0"/>
    <n v="0.17019999999999999"/>
    <n v="-0.25259999999999999"/>
    <n v="1.6999999999999999E-3"/>
    <n v="-3.4550999999999998"/>
    <n v="3.6501000000000001"/>
    <n v="-0.45340000000000003"/>
    <n v="18"/>
    <n v="29.1"/>
    <n v="15"/>
    <n v="29.5"/>
    <n v="0"/>
    <n v="0"/>
    <n v="30.027699999999999"/>
    <n v="70"/>
    <n v="0"/>
  </r>
  <r>
    <x v="0"/>
    <x v="0"/>
    <s v="SPXW"/>
    <x v="7"/>
    <x v="180"/>
    <s v="p"/>
    <n v="29.3"/>
    <n v="34.97"/>
    <n v="29.06"/>
    <n v="29.06"/>
    <n v="5"/>
    <n v="13"/>
    <n v="30.1"/>
    <n v="16"/>
    <n v="30.5"/>
    <n v="0"/>
    <n v="0"/>
    <n v="0"/>
    <n v="0"/>
    <n v="0.16930000000000001"/>
    <n v="-0.2601"/>
    <n v="1.6999999999999999E-3"/>
    <n v="-3.4929000000000001"/>
    <n v="3.7029000000000001"/>
    <n v="-0.4667"/>
    <n v="13"/>
    <n v="30.1"/>
    <n v="10"/>
    <n v="30.5"/>
    <n v="0"/>
    <n v="0"/>
    <n v="32.654000000000003"/>
    <n v="35"/>
    <n v="0"/>
  </r>
  <r>
    <x v="0"/>
    <x v="0"/>
    <s v="SPXW"/>
    <x v="7"/>
    <x v="181"/>
    <s v="p"/>
    <n v="24.42"/>
    <n v="38.21"/>
    <n v="20.149999999999999"/>
    <n v="31.65"/>
    <n v="33"/>
    <n v="13"/>
    <n v="31.1"/>
    <n v="16"/>
    <n v="31.5"/>
    <n v="0"/>
    <n v="0"/>
    <n v="0"/>
    <n v="0"/>
    <n v="0.16819999999999999"/>
    <n v="-0.26750000000000002"/>
    <n v="1.6999999999999999E-3"/>
    <n v="-3.5232000000000001"/>
    <n v="3.7534000000000001"/>
    <n v="-0.4798"/>
    <n v="13"/>
    <n v="31.1"/>
    <n v="10"/>
    <n v="31.5"/>
    <n v="0"/>
    <n v="0"/>
    <n v="30.033300000000001"/>
    <n v="77"/>
    <n v="0"/>
  </r>
  <r>
    <x v="0"/>
    <x v="0"/>
    <s v="SPXW"/>
    <x v="7"/>
    <x v="182"/>
    <s v="p"/>
    <n v="36.6"/>
    <n v="36.6"/>
    <n v="34.07"/>
    <n v="34.07"/>
    <n v="7"/>
    <n v="16"/>
    <n v="32.1"/>
    <n v="12"/>
    <n v="32.5"/>
    <n v="0"/>
    <n v="0"/>
    <n v="0"/>
    <n v="0"/>
    <n v="0.16719999999999999"/>
    <n v="-0.2752"/>
    <n v="1.8E-3"/>
    <n v="-3.5577000000000001"/>
    <n v="3.8050999999999999"/>
    <n v="-0.49380000000000002"/>
    <n v="13"/>
    <n v="32.1"/>
    <n v="12"/>
    <n v="32.6"/>
    <n v="0"/>
    <n v="0"/>
    <n v="35.435699999999997"/>
    <n v="54"/>
    <n v="0"/>
  </r>
  <r>
    <x v="0"/>
    <x v="0"/>
    <s v="SPXW"/>
    <x v="7"/>
    <x v="183"/>
    <s v="p"/>
    <n v="28.07"/>
    <n v="40.85"/>
    <n v="21.42"/>
    <n v="33.5"/>
    <n v="156"/>
    <n v="12"/>
    <n v="33.200000000000003"/>
    <n v="29"/>
    <n v="33.6"/>
    <n v="0"/>
    <n v="0"/>
    <n v="0"/>
    <n v="0"/>
    <n v="0.1661"/>
    <n v="-0.28289999999999998"/>
    <n v="1.8E-3"/>
    <n v="-3.5847000000000002"/>
    <n v="3.8548"/>
    <n v="-0.50770000000000004"/>
    <n v="18"/>
    <n v="33.200000000000003"/>
    <n v="10"/>
    <n v="33.6"/>
    <n v="0"/>
    <n v="0"/>
    <n v="31.8642"/>
    <n v="105"/>
    <n v="0"/>
  </r>
  <r>
    <x v="0"/>
    <x v="0"/>
    <s v="SPXW"/>
    <x v="7"/>
    <x v="184"/>
    <s v="p"/>
    <n v="29.02"/>
    <n v="46.2"/>
    <n v="28.12"/>
    <n v="39.869999999999997"/>
    <n v="76"/>
    <n v="12"/>
    <n v="34.299999999999997"/>
    <n v="29"/>
    <n v="34.700000000000003"/>
    <n v="0"/>
    <n v="0"/>
    <n v="0"/>
    <n v="0"/>
    <n v="0.16520000000000001"/>
    <n v="-0.29099999999999998"/>
    <n v="1.8E-3"/>
    <n v="-3.6149"/>
    <n v="3.9051999999999998"/>
    <n v="-0.52259999999999995"/>
    <n v="18"/>
    <n v="34.299999999999997"/>
    <n v="15"/>
    <n v="34.700000000000003"/>
    <n v="0"/>
    <n v="0"/>
    <n v="34.6447"/>
    <n v="49"/>
    <n v="0"/>
  </r>
  <r>
    <x v="0"/>
    <x v="0"/>
    <s v="SPXW"/>
    <x v="7"/>
    <x v="185"/>
    <s v="p"/>
    <n v="29.11"/>
    <n v="42.98"/>
    <n v="26.72"/>
    <n v="34"/>
    <n v="16"/>
    <n v="12"/>
    <n v="35.4"/>
    <n v="19"/>
    <n v="35.799999999999997"/>
    <n v="0"/>
    <n v="0"/>
    <n v="0"/>
    <n v="0"/>
    <n v="0.1641"/>
    <n v="-0.29909999999999998"/>
    <n v="1.9E-3"/>
    <n v="-3.6408"/>
    <n v="3.9535999999999998"/>
    <n v="-0.53759999999999997"/>
    <n v="12"/>
    <n v="35.4"/>
    <n v="9"/>
    <n v="35.9"/>
    <n v="0"/>
    <n v="0"/>
    <n v="30.59"/>
    <n v="76"/>
    <n v="0"/>
  </r>
  <r>
    <x v="0"/>
    <x v="0"/>
    <s v="SPXW"/>
    <x v="7"/>
    <x v="186"/>
    <s v="p"/>
    <n v="29.48"/>
    <n v="48.84"/>
    <n v="27.44"/>
    <n v="36.700000000000003"/>
    <n v="21"/>
    <n v="12"/>
    <n v="36.6"/>
    <n v="12"/>
    <n v="36.9"/>
    <n v="0"/>
    <n v="0"/>
    <n v="0"/>
    <n v="0"/>
    <n v="0.16320000000000001"/>
    <n v="-0.30769999999999997"/>
    <n v="1.9E-3"/>
    <n v="-3.6692999999999998"/>
    <n v="4.0015999999999998"/>
    <n v="-0.55320000000000003"/>
    <n v="12"/>
    <n v="36.6"/>
    <n v="16"/>
    <n v="37.200000000000003"/>
    <n v="0"/>
    <n v="0"/>
    <n v="41.381"/>
    <n v="5"/>
    <n v="0"/>
  </r>
  <r>
    <x v="0"/>
    <x v="0"/>
    <s v="SPXW"/>
    <x v="7"/>
    <x v="187"/>
    <s v="p"/>
    <n v="28.85"/>
    <n v="49"/>
    <n v="26.6"/>
    <n v="37.14"/>
    <n v="51"/>
    <n v="25"/>
    <n v="37.700000000000003"/>
    <n v="11"/>
    <n v="38.1"/>
    <n v="0"/>
    <n v="0"/>
    <n v="0"/>
    <n v="0"/>
    <n v="0.16189999999999999"/>
    <n v="-0.31609999999999999"/>
    <n v="1.9E-3"/>
    <n v="-3.6867000000000001"/>
    <n v="4.0460000000000003"/>
    <n v="-0.56840000000000002"/>
    <n v="16"/>
    <n v="37.799999999999997"/>
    <n v="13"/>
    <n v="38.299999999999997"/>
    <n v="0"/>
    <n v="0"/>
    <n v="38.626100000000001"/>
    <n v="70"/>
    <n v="0"/>
  </r>
  <r>
    <x v="0"/>
    <x v="0"/>
    <s v="SPXW"/>
    <x v="7"/>
    <x v="188"/>
    <s v="p"/>
    <n v="32.32"/>
    <n v="50.61"/>
    <n v="25.55"/>
    <n v="39.42"/>
    <n v="621"/>
    <n v="32"/>
    <n v="38.9"/>
    <n v="17"/>
    <n v="39.4"/>
    <n v="0"/>
    <n v="0"/>
    <n v="0"/>
    <n v="0"/>
    <n v="0.16109999999999999"/>
    <n v="-0.3251"/>
    <n v="2E-3"/>
    <n v="-3.7134999999999998"/>
    <n v="4.0911"/>
    <n v="-0.58450000000000002"/>
    <n v="5"/>
    <n v="39.1"/>
    <n v="12"/>
    <n v="39.5"/>
    <n v="0"/>
    <n v="0"/>
    <n v="38.3889"/>
    <n v="156"/>
    <n v="0"/>
  </r>
  <r>
    <x v="0"/>
    <x v="0"/>
    <s v="SPXW"/>
    <x v="7"/>
    <x v="189"/>
    <s v="p"/>
    <n v="30.4"/>
    <n v="43.38"/>
    <n v="30.4"/>
    <n v="43.38"/>
    <n v="3"/>
    <n v="11"/>
    <n v="40.200000000000003"/>
    <n v="11"/>
    <n v="40.6"/>
    <n v="0"/>
    <n v="0"/>
    <n v="0"/>
    <n v="0"/>
    <n v="0.15989999999999999"/>
    <n v="-0.33400000000000002"/>
    <n v="2E-3"/>
    <n v="-3.7288000000000001"/>
    <n v="4.1334999999999997"/>
    <n v="-0.60040000000000004"/>
    <n v="12"/>
    <n v="40.299999999999997"/>
    <n v="8"/>
    <n v="40.799999999999997"/>
    <n v="0"/>
    <n v="0"/>
    <n v="38.19"/>
    <n v="77"/>
    <n v="0"/>
  </r>
  <r>
    <x v="0"/>
    <x v="0"/>
    <s v="SPXW"/>
    <x v="7"/>
    <x v="190"/>
    <s v="p"/>
    <n v="31.4"/>
    <n v="39.65"/>
    <n v="31.4"/>
    <n v="39.65"/>
    <n v="4"/>
    <n v="4"/>
    <n v="41.5"/>
    <n v="11"/>
    <n v="41.9"/>
    <n v="0"/>
    <n v="0"/>
    <n v="0"/>
    <n v="0"/>
    <n v="0.1588"/>
    <n v="-0.34329999999999999"/>
    <n v="2E-3"/>
    <n v="-3.7461000000000002"/>
    <n v="4.1753999999999998"/>
    <n v="-0.61719999999999997"/>
    <n v="15"/>
    <n v="41.6"/>
    <n v="8"/>
    <n v="42.2"/>
    <n v="0"/>
    <n v="0"/>
    <n v="33.462499999999999"/>
    <n v="32"/>
    <n v="0"/>
  </r>
  <r>
    <x v="0"/>
    <x v="0"/>
    <s v="SPXW"/>
    <x v="7"/>
    <x v="191"/>
    <s v="p"/>
    <n v="34.4"/>
    <n v="48.52"/>
    <n v="29.95"/>
    <n v="43.15"/>
    <n v="31"/>
    <n v="15"/>
    <n v="42.8"/>
    <n v="12"/>
    <n v="43.3"/>
    <n v="0"/>
    <n v="0"/>
    <n v="0"/>
    <n v="0"/>
    <n v="0.15790000000000001"/>
    <n v="-0.3528"/>
    <n v="2.0999999999999999E-3"/>
    <n v="-3.7648999999999999"/>
    <n v="4.2164999999999999"/>
    <n v="-0.63470000000000004"/>
    <n v="11"/>
    <n v="43"/>
    <n v="8"/>
    <n v="43.5"/>
    <n v="0"/>
    <n v="0"/>
    <n v="42.238700000000001"/>
    <n v="82"/>
    <n v="0"/>
  </r>
  <r>
    <x v="0"/>
    <x v="0"/>
    <s v="SPXW"/>
    <x v="7"/>
    <x v="192"/>
    <s v="p"/>
    <n v="34"/>
    <n v="50.6"/>
    <n v="28.82"/>
    <n v="44"/>
    <n v="16"/>
    <n v="15"/>
    <n v="44.2"/>
    <n v="16"/>
    <n v="44.7"/>
    <n v="0"/>
    <n v="0"/>
    <n v="0"/>
    <n v="0"/>
    <n v="0.15679999999999999"/>
    <n v="-0.3624"/>
    <n v="2.0999999999999999E-3"/>
    <n v="-3.7751999999999999"/>
    <n v="4.2548000000000004"/>
    <n v="-0.65239999999999998"/>
    <n v="10"/>
    <n v="44.5"/>
    <n v="9"/>
    <n v="45"/>
    <n v="0"/>
    <n v="0"/>
    <n v="36.833799999999997"/>
    <n v="24"/>
    <n v="0"/>
  </r>
  <r>
    <x v="0"/>
    <x v="0"/>
    <s v="SPXW"/>
    <x v="7"/>
    <x v="193"/>
    <s v="p"/>
    <n v="38.549999999999997"/>
    <n v="55.66"/>
    <n v="30.27"/>
    <n v="45.9"/>
    <n v="68"/>
    <n v="10"/>
    <n v="45.7"/>
    <n v="19"/>
    <n v="46.1"/>
    <n v="0"/>
    <n v="0"/>
    <n v="0"/>
    <n v="0"/>
    <n v="0.15579999999999999"/>
    <n v="-0.37230000000000002"/>
    <n v="2.0999999999999999E-3"/>
    <n v="-3.7866"/>
    <n v="4.2911999999999999"/>
    <n v="-0.67049999999999998"/>
    <n v="15"/>
    <n v="45.9"/>
    <n v="12"/>
    <n v="46.4"/>
    <n v="0"/>
    <n v="0"/>
    <n v="41.218800000000002"/>
    <n v="139"/>
    <n v="0"/>
  </r>
  <r>
    <x v="0"/>
    <x v="0"/>
    <s v="SPXW"/>
    <x v="7"/>
    <x v="194"/>
    <s v="p"/>
    <n v="39.31"/>
    <n v="40.200000000000003"/>
    <n v="39.31"/>
    <n v="40.200000000000003"/>
    <n v="21"/>
    <n v="4"/>
    <n v="47.1"/>
    <n v="12"/>
    <n v="47.6"/>
    <n v="0"/>
    <n v="0"/>
    <n v="0"/>
    <n v="0"/>
    <n v="0.1547"/>
    <n v="-0.38229999999999997"/>
    <n v="2.2000000000000001E-3"/>
    <n v="-3.7925"/>
    <n v="4.3247999999999998"/>
    <n v="-0.68859999999999999"/>
    <n v="13"/>
    <n v="47.4"/>
    <n v="7"/>
    <n v="47.9"/>
    <n v="0"/>
    <n v="0"/>
    <n v="39.442900000000002"/>
    <n v="22"/>
    <n v="0"/>
  </r>
  <r>
    <x v="0"/>
    <x v="0"/>
    <s v="SPXW"/>
    <x v="7"/>
    <x v="195"/>
    <s v="p"/>
    <n v="41.33"/>
    <n v="47.93"/>
    <n v="32.950000000000003"/>
    <n v="47.93"/>
    <n v="5"/>
    <n v="9"/>
    <n v="48.7"/>
    <n v="9"/>
    <n v="49.1"/>
    <n v="0"/>
    <n v="0"/>
    <n v="0"/>
    <n v="0"/>
    <n v="0.1537"/>
    <n v="-0.39269999999999999"/>
    <n v="2.2000000000000001E-3"/>
    <n v="-3.7991999999999999"/>
    <n v="4.3563000000000001"/>
    <n v="-0.70709999999999995"/>
    <n v="11"/>
    <n v="49"/>
    <n v="7"/>
    <n v="49.5"/>
    <n v="0"/>
    <n v="0"/>
    <n v="41.99"/>
    <n v="63"/>
    <n v="0"/>
  </r>
  <r>
    <x v="0"/>
    <x v="0"/>
    <s v="SPXW"/>
    <x v="7"/>
    <x v="196"/>
    <s v="p"/>
    <n v="42.9"/>
    <n v="52.3"/>
    <n v="42.9"/>
    <n v="50.96"/>
    <n v="7"/>
    <n v="14"/>
    <n v="50.2"/>
    <n v="5"/>
    <n v="50.7"/>
    <n v="0"/>
    <n v="0"/>
    <n v="0"/>
    <n v="0"/>
    <n v="0.15260000000000001"/>
    <n v="-0.40310000000000001"/>
    <n v="2.2000000000000001E-3"/>
    <n v="-3.8001"/>
    <n v="4.3853999999999997"/>
    <n v="-0.72589999999999999"/>
    <n v="11"/>
    <n v="50.6"/>
    <n v="7"/>
    <n v="51.1"/>
    <n v="0"/>
    <n v="0"/>
    <n v="50"/>
    <n v="18"/>
    <n v="0"/>
  </r>
  <r>
    <x v="0"/>
    <x v="0"/>
    <s v="SPXW"/>
    <x v="7"/>
    <x v="197"/>
    <s v="p"/>
    <n v="40"/>
    <n v="57.6"/>
    <n v="37.99"/>
    <n v="54.35"/>
    <n v="9"/>
    <n v="13"/>
    <n v="51.8"/>
    <n v="10"/>
    <n v="52.4"/>
    <n v="0"/>
    <n v="0"/>
    <n v="0"/>
    <n v="0"/>
    <n v="0.1515"/>
    <n v="-0.4138"/>
    <n v="2.3E-3"/>
    <n v="-3.7982"/>
    <n v="4.4122000000000003"/>
    <n v="-0.74539999999999995"/>
    <n v="10"/>
    <n v="52.3"/>
    <n v="8"/>
    <n v="52.8"/>
    <n v="0"/>
    <n v="0"/>
    <n v="47.324399999999997"/>
    <n v="14"/>
    <n v="0"/>
  </r>
  <r>
    <x v="0"/>
    <x v="0"/>
    <s v="SPXW"/>
    <x v="7"/>
    <x v="198"/>
    <s v="p"/>
    <n v="44.68"/>
    <n v="56.1"/>
    <n v="41.06"/>
    <n v="56.1"/>
    <n v="5"/>
    <n v="4"/>
    <n v="53.5"/>
    <n v="13"/>
    <n v="54"/>
    <n v="0"/>
    <n v="0"/>
    <n v="0"/>
    <n v="0"/>
    <n v="0.15040000000000001"/>
    <n v="-0.42470000000000002"/>
    <n v="2.3E-3"/>
    <n v="-3.7932000000000001"/>
    <n v="4.4364999999999997"/>
    <n v="-0.76539999999999997"/>
    <n v="10"/>
    <n v="54"/>
    <n v="8"/>
    <n v="54.6"/>
    <n v="0"/>
    <n v="0"/>
    <n v="47.55"/>
    <n v="169"/>
    <n v="0"/>
  </r>
  <r>
    <x v="0"/>
    <x v="0"/>
    <s v="SPXW"/>
    <x v="7"/>
    <x v="199"/>
    <s v="p"/>
    <n v="46.52"/>
    <n v="62.85"/>
    <n v="46.52"/>
    <n v="53.1"/>
    <n v="38"/>
    <n v="22"/>
    <n v="55.2"/>
    <n v="1"/>
    <n v="55.7"/>
    <n v="0"/>
    <n v="0"/>
    <n v="0"/>
    <n v="0"/>
    <n v="0.14940000000000001"/>
    <n v="-0.43590000000000001"/>
    <n v="2.3E-3"/>
    <n v="-3.7877999999999998"/>
    <n v="4.4577999999999998"/>
    <n v="-0.78600000000000003"/>
    <n v="15"/>
    <n v="55.7"/>
    <n v="11"/>
    <n v="56.2"/>
    <n v="0"/>
    <n v="0"/>
    <n v="52.718200000000003"/>
    <n v="43"/>
    <n v="0"/>
  </r>
  <r>
    <x v="0"/>
    <x v="0"/>
    <s v="SPXW"/>
    <x v="7"/>
    <x v="200"/>
    <s v="p"/>
    <n v="47.78"/>
    <n v="72.28"/>
    <n v="40.090000000000003"/>
    <n v="60"/>
    <n v="6"/>
    <n v="8"/>
    <n v="57"/>
    <n v="4"/>
    <n v="57.5"/>
    <n v="0"/>
    <n v="0"/>
    <n v="0"/>
    <n v="0"/>
    <n v="0.1482"/>
    <n v="-0.44719999999999999"/>
    <n v="2.3999999999999998E-3"/>
    <n v="-3.7759999999999998"/>
    <n v="4.4756999999999998"/>
    <n v="-0.80649999999999999"/>
    <n v="11"/>
    <n v="57.5"/>
    <n v="1"/>
    <n v="58.1"/>
    <n v="0"/>
    <n v="0"/>
    <n v="57.091700000000003"/>
    <n v="14"/>
    <n v="0"/>
  </r>
  <r>
    <x v="0"/>
    <x v="0"/>
    <s v="SPXW"/>
    <x v="7"/>
    <x v="201"/>
    <s v="p"/>
    <n v="49.7"/>
    <n v="73.22"/>
    <n v="46.09"/>
    <n v="59.4"/>
    <n v="39"/>
    <n v="22"/>
    <n v="58.8"/>
    <n v="1"/>
    <n v="59.3"/>
    <n v="0"/>
    <n v="0"/>
    <n v="0"/>
    <n v="0"/>
    <n v="0.1472"/>
    <n v="-0.4587"/>
    <n v="2.3999999999999998E-3"/>
    <n v="-3.7633999999999999"/>
    <n v="4.4903000000000004"/>
    <n v="-0.82730000000000004"/>
    <n v="15"/>
    <n v="59.4"/>
    <n v="11"/>
    <n v="59.9"/>
    <n v="0"/>
    <n v="0"/>
    <n v="57.570300000000003"/>
    <n v="55"/>
    <n v="0"/>
  </r>
  <r>
    <x v="0"/>
    <x v="0"/>
    <s v="SPXW"/>
    <x v="7"/>
    <x v="202"/>
    <s v="p"/>
    <n v="60.77"/>
    <n v="65.28"/>
    <n v="58.5"/>
    <n v="60.84"/>
    <n v="26"/>
    <n v="12"/>
    <n v="60.6"/>
    <n v="12"/>
    <n v="61.2"/>
    <n v="0"/>
    <n v="0"/>
    <n v="0"/>
    <n v="0"/>
    <n v="0.1462"/>
    <n v="-0.47039999999999998"/>
    <n v="2.3999999999999998E-3"/>
    <n v="-3.7471999999999999"/>
    <n v="4.5014000000000003"/>
    <n v="-0.84840000000000004"/>
    <n v="11"/>
    <n v="61.3"/>
    <n v="1"/>
    <n v="61.9"/>
    <n v="0"/>
    <n v="0"/>
    <n v="62.570799999999998"/>
    <n v="3"/>
    <n v="0"/>
  </r>
  <r>
    <x v="0"/>
    <x v="0"/>
    <s v="SPXW"/>
    <x v="7"/>
    <x v="203"/>
    <s v="p"/>
    <n v="54"/>
    <n v="70.900000000000006"/>
    <n v="43.74"/>
    <n v="64.53"/>
    <n v="83"/>
    <n v="4"/>
    <n v="62.7"/>
    <n v="13"/>
    <n v="63.2"/>
    <n v="0"/>
    <n v="0"/>
    <n v="0"/>
    <n v="0"/>
    <n v="0.14510000000000001"/>
    <n v="-0.48230000000000001"/>
    <n v="2.3999999999999998E-3"/>
    <n v="-3.7269999999999999"/>
    <n v="4.5090000000000003"/>
    <n v="-0.87"/>
    <n v="15"/>
    <n v="63.3"/>
    <n v="11"/>
    <n v="63.8"/>
    <n v="0"/>
    <n v="0"/>
    <n v="59.2164"/>
    <n v="35"/>
    <n v="0"/>
  </r>
  <r>
    <x v="0"/>
    <x v="0"/>
    <s v="SPXW"/>
    <x v="7"/>
    <x v="204"/>
    <s v="p"/>
    <n v="0"/>
    <n v="0"/>
    <n v="0"/>
    <n v="0"/>
    <n v="0"/>
    <n v="4"/>
    <n v="64.7"/>
    <n v="12"/>
    <n v="65.2"/>
    <n v="0"/>
    <n v="0"/>
    <n v="0"/>
    <n v="0"/>
    <n v="0.14399999999999999"/>
    <n v="-0.49440000000000001"/>
    <n v="2.3999999999999998E-3"/>
    <n v="-3.7025000000000001"/>
    <n v="4.5129000000000001"/>
    <n v="-0.89229999999999998"/>
    <n v="10"/>
    <n v="65.3"/>
    <n v="8"/>
    <n v="66"/>
    <n v="0"/>
    <n v="0"/>
    <n v="0"/>
    <n v="24"/>
    <n v="0"/>
  </r>
  <r>
    <x v="0"/>
    <x v="0"/>
    <s v="SPXW"/>
    <x v="7"/>
    <x v="205"/>
    <s v="p"/>
    <n v="57.6"/>
    <n v="82.58"/>
    <n v="56.35"/>
    <n v="67.989999999999995"/>
    <n v="19"/>
    <n v="17"/>
    <n v="66.599999999999994"/>
    <n v="9"/>
    <n v="67.2"/>
    <n v="0"/>
    <n v="0"/>
    <n v="0"/>
    <n v="0"/>
    <n v="0.1429"/>
    <n v="-0.50649999999999995"/>
    <n v="2.5000000000000001E-3"/>
    <n v="-3.6732999999999998"/>
    <n v="4.5129000000000001"/>
    <n v="-0.91459999999999997"/>
    <n v="15"/>
    <n v="67.400000000000006"/>
    <n v="11"/>
    <n v="68"/>
    <n v="0"/>
    <n v="0"/>
    <n v="67.446299999999994"/>
    <n v="26"/>
    <n v="0"/>
  </r>
  <r>
    <x v="0"/>
    <x v="0"/>
    <s v="SPXW"/>
    <x v="7"/>
    <x v="206"/>
    <s v="p"/>
    <n v="48.81"/>
    <n v="73.209999999999994"/>
    <n v="48.81"/>
    <n v="72.900000000000006"/>
    <n v="12"/>
    <n v="8"/>
    <n v="68.8"/>
    <n v="9"/>
    <n v="69.400000000000006"/>
    <n v="0"/>
    <n v="0"/>
    <n v="0"/>
    <n v="0"/>
    <n v="0.14180000000000001"/>
    <n v="-0.51910000000000001"/>
    <n v="2.5000000000000001E-3"/>
    <n v="-3.6404000000000001"/>
    <n v="4.5086000000000004"/>
    <n v="-0.93759999999999999"/>
    <n v="11"/>
    <n v="69.599999999999994"/>
    <n v="7"/>
    <n v="70.099999999999994"/>
    <n v="0"/>
    <n v="0"/>
    <n v="68.991699999999994"/>
    <n v="5"/>
    <n v="0"/>
  </r>
  <r>
    <x v="0"/>
    <x v="0"/>
    <s v="SPXW"/>
    <x v="7"/>
    <x v="207"/>
    <s v="p"/>
    <n v="61.14"/>
    <n v="80.599999999999994"/>
    <n v="53.5"/>
    <n v="71.069999999999993"/>
    <n v="62"/>
    <n v="8"/>
    <n v="71"/>
    <n v="9"/>
    <n v="71.599999999999994"/>
    <n v="0"/>
    <n v="0"/>
    <n v="0"/>
    <n v="0"/>
    <n v="0.14080000000000001"/>
    <n v="-0.53169999999999995"/>
    <n v="2.5000000000000001E-3"/>
    <n v="-3.6053999999999999"/>
    <n v="4.5002000000000004"/>
    <n v="-0.96030000000000004"/>
    <n v="11"/>
    <n v="71.8"/>
    <n v="7"/>
    <n v="72.400000000000006"/>
    <n v="0"/>
    <n v="0"/>
    <n v="64.982299999999995"/>
    <n v="55"/>
    <n v="0"/>
  </r>
  <r>
    <x v="0"/>
    <x v="0"/>
    <s v="SPXW"/>
    <x v="7"/>
    <x v="208"/>
    <s v="p"/>
    <n v="63.65"/>
    <n v="80.3"/>
    <n v="57.62"/>
    <n v="73.680000000000007"/>
    <n v="23"/>
    <n v="17"/>
    <n v="73.2"/>
    <n v="9"/>
    <n v="73.8"/>
    <n v="0"/>
    <n v="0"/>
    <n v="0"/>
    <n v="0"/>
    <n v="0.13969999999999999"/>
    <n v="-0.5444"/>
    <n v="2.5000000000000001E-3"/>
    <n v="-3.5657000000000001"/>
    <n v="4.4874000000000001"/>
    <n v="-0.98329999999999995"/>
    <n v="10"/>
    <n v="74.099999999999994"/>
    <n v="7"/>
    <n v="74.8"/>
    <n v="0"/>
    <n v="0"/>
    <n v="64.966499999999996"/>
    <n v="13"/>
    <n v="0"/>
  </r>
  <r>
    <x v="0"/>
    <x v="0"/>
    <s v="SPXW"/>
    <x v="7"/>
    <x v="209"/>
    <s v="p"/>
    <n v="61.98"/>
    <n v="72.790000000000006"/>
    <n v="59.62"/>
    <n v="71"/>
    <n v="42"/>
    <n v="7"/>
    <n v="75.599999999999994"/>
    <n v="1"/>
    <n v="76.099999999999994"/>
    <n v="0"/>
    <n v="0"/>
    <n v="0"/>
    <n v="0"/>
    <n v="0.13850000000000001"/>
    <n v="-0.55740000000000001"/>
    <n v="2.5000000000000001E-3"/>
    <n v="-3.5184000000000002"/>
    <n v="4.4698000000000002"/>
    <n v="-1.0069999999999999"/>
    <n v="8"/>
    <n v="76.5"/>
    <n v="6"/>
    <n v="77"/>
    <n v="0"/>
    <n v="0"/>
    <n v="61.892600000000002"/>
    <n v="21"/>
    <n v="0"/>
  </r>
  <r>
    <x v="0"/>
    <x v="0"/>
    <s v="SPXW"/>
    <x v="7"/>
    <x v="210"/>
    <s v="p"/>
    <n v="63.66"/>
    <n v="84"/>
    <n v="60.1"/>
    <n v="84"/>
    <n v="8"/>
    <n v="7"/>
    <n v="78"/>
    <n v="1"/>
    <n v="78.5"/>
    <n v="0"/>
    <n v="0"/>
    <n v="0"/>
    <n v="0"/>
    <n v="0.1376"/>
    <n v="-0.57040000000000002"/>
    <n v="2.5000000000000001E-3"/>
    <n v="-3.4746999999999999"/>
    <n v="4.4473000000000003"/>
    <n v="-1.0309999999999999"/>
    <n v="9"/>
    <n v="78.900000000000006"/>
    <n v="6"/>
    <n v="79.400000000000006"/>
    <n v="0"/>
    <n v="0"/>
    <n v="64.907499999999999"/>
    <n v="18"/>
    <n v="0"/>
  </r>
  <r>
    <x v="0"/>
    <x v="0"/>
    <s v="SPXW"/>
    <x v="7"/>
    <x v="211"/>
    <s v="p"/>
    <n v="70"/>
    <n v="70"/>
    <n v="58.01"/>
    <n v="58.24"/>
    <n v="15"/>
    <n v="7"/>
    <n v="80.400000000000006"/>
    <n v="8"/>
    <n v="81"/>
    <n v="0"/>
    <n v="0"/>
    <n v="0"/>
    <n v="0"/>
    <n v="0.13650000000000001"/>
    <n v="-0.58350000000000002"/>
    <n v="2.5000000000000001E-3"/>
    <n v="-3.4230999999999998"/>
    <n v="4.4199000000000002"/>
    <n v="-1.0551999999999999"/>
    <n v="8"/>
    <n v="81.400000000000006"/>
    <n v="6"/>
    <n v="81.900000000000006"/>
    <n v="0"/>
    <n v="0"/>
    <n v="66.147300000000001"/>
    <n v="65"/>
    <n v="0"/>
  </r>
  <r>
    <x v="0"/>
    <x v="0"/>
    <s v="SPXW"/>
    <x v="7"/>
    <x v="212"/>
    <s v="p"/>
    <n v="92.1"/>
    <n v="92.1"/>
    <n v="92.1"/>
    <n v="92.1"/>
    <n v="10"/>
    <n v="7"/>
    <n v="83"/>
    <n v="7"/>
    <n v="83.6"/>
    <n v="0"/>
    <n v="0"/>
    <n v="0"/>
    <n v="0"/>
    <n v="0.13550000000000001"/>
    <n v="-0.59670000000000001"/>
    <n v="2.5000000000000001E-3"/>
    <n v="-3.3692000000000002"/>
    <n v="4.3879999999999999"/>
    <n v="-1.0790999999999999"/>
    <n v="7"/>
    <n v="84"/>
    <n v="5"/>
    <n v="84.6"/>
    <n v="0"/>
    <n v="0"/>
    <n v="92.1"/>
    <n v="14"/>
    <n v="0"/>
  </r>
  <r>
    <x v="0"/>
    <x v="0"/>
    <s v="SPXW"/>
    <x v="7"/>
    <x v="213"/>
    <s v="p"/>
    <n v="75"/>
    <n v="95.28"/>
    <n v="60.5"/>
    <n v="95.28"/>
    <n v="304"/>
    <n v="6"/>
    <n v="85.6"/>
    <n v="6"/>
    <n v="86.2"/>
    <n v="0"/>
    <n v="0"/>
    <n v="0"/>
    <n v="0"/>
    <n v="0.1343"/>
    <n v="-0.61009999999999998"/>
    <n v="2.5000000000000001E-3"/>
    <n v="-3.3073000000000001"/>
    <n v="4.3512000000000004"/>
    <n v="-1.1032999999999999"/>
    <n v="7"/>
    <n v="86.6"/>
    <n v="5"/>
    <n v="87.1"/>
    <n v="0"/>
    <n v="0"/>
    <n v="75.779600000000002"/>
    <n v="75"/>
    <n v="0"/>
  </r>
  <r>
    <x v="0"/>
    <x v="0"/>
    <s v="SPXW"/>
    <x v="7"/>
    <x v="214"/>
    <s v="p"/>
    <n v="97.6"/>
    <n v="97.6"/>
    <n v="97.6"/>
    <n v="97.6"/>
    <n v="10"/>
    <n v="6"/>
    <n v="88.2"/>
    <n v="6"/>
    <n v="88.8"/>
    <n v="0"/>
    <n v="0"/>
    <n v="0"/>
    <n v="0"/>
    <n v="0.1333"/>
    <n v="-0.62339999999999995"/>
    <n v="2.5000000000000001E-3"/>
    <n v="-3.2464"/>
    <n v="4.3094000000000001"/>
    <n v="-1.1275999999999999"/>
    <n v="6"/>
    <n v="89.2"/>
    <n v="5"/>
    <n v="89.8"/>
    <n v="0"/>
    <n v="0"/>
    <n v="97.6"/>
    <n v="11"/>
    <n v="0"/>
  </r>
  <r>
    <x v="0"/>
    <x v="0"/>
    <s v="SPXW"/>
    <x v="7"/>
    <x v="215"/>
    <s v="p"/>
    <n v="94.28"/>
    <n v="94.28"/>
    <n v="94.28"/>
    <n v="94.28"/>
    <n v="1"/>
    <n v="5"/>
    <n v="91"/>
    <n v="5"/>
    <n v="91.6"/>
    <n v="0"/>
    <n v="0"/>
    <n v="0"/>
    <n v="0"/>
    <n v="0.13239999999999999"/>
    <n v="-0.63670000000000004"/>
    <n v="2.5000000000000001E-3"/>
    <n v="-3.1835"/>
    <n v="4.2621000000000002"/>
    <n v="-1.1521999999999999"/>
    <n v="6"/>
    <n v="92"/>
    <n v="5"/>
    <n v="92.6"/>
    <n v="0"/>
    <n v="0"/>
    <n v="94.28"/>
    <n v="1"/>
    <n v="0"/>
  </r>
  <r>
    <x v="0"/>
    <x v="0"/>
    <s v="SPXW"/>
    <x v="7"/>
    <x v="216"/>
    <s v="p"/>
    <n v="0"/>
    <n v="0"/>
    <n v="0"/>
    <n v="0"/>
    <n v="0"/>
    <n v="5"/>
    <n v="93.8"/>
    <n v="5"/>
    <n v="94.4"/>
    <n v="0"/>
    <n v="0"/>
    <n v="0"/>
    <n v="0"/>
    <n v="0.13109999999999999"/>
    <n v="-0.65049999999999997"/>
    <n v="2.5000000000000001E-3"/>
    <n v="-3.1053999999999999"/>
    <n v="4.2074999999999996"/>
    <n v="-1.1777"/>
    <n v="5"/>
    <n v="94.9"/>
    <n v="4"/>
    <n v="95.6"/>
    <n v="0"/>
    <n v="0"/>
    <n v="0"/>
    <n v="10"/>
    <n v="0"/>
  </r>
  <r>
    <x v="0"/>
    <x v="0"/>
    <s v="SPXW"/>
    <x v="7"/>
    <x v="217"/>
    <s v="p"/>
    <n v="75.98"/>
    <n v="75.98"/>
    <n v="75.98"/>
    <n v="75.98"/>
    <n v="1"/>
    <n v="4"/>
    <n v="96.6"/>
    <n v="4"/>
    <n v="97.2"/>
    <n v="0"/>
    <n v="0"/>
    <n v="0"/>
    <n v="0"/>
    <n v="0.13020000000000001"/>
    <n v="-0.66379999999999995"/>
    <n v="2.5000000000000001E-3"/>
    <n v="-3.0352999999999999"/>
    <n v="4.1500000000000004"/>
    <n v="-1.202"/>
    <n v="5"/>
    <n v="97.8"/>
    <n v="3"/>
    <n v="98.4"/>
    <n v="0"/>
    <n v="0"/>
    <n v="75.98"/>
    <n v="4"/>
    <n v="0"/>
  </r>
  <r>
    <x v="0"/>
    <x v="0"/>
    <s v="SPXW"/>
    <x v="7"/>
    <x v="218"/>
    <s v="p"/>
    <n v="0"/>
    <n v="0"/>
    <n v="0"/>
    <n v="0"/>
    <n v="0"/>
    <n v="3"/>
    <n v="99.6"/>
    <n v="3"/>
    <n v="100.2"/>
    <n v="0"/>
    <n v="0"/>
    <n v="0"/>
    <n v="0"/>
    <n v="0.129"/>
    <n v="-0.67749999999999999"/>
    <n v="2.5000000000000001E-3"/>
    <n v="-2.9531999999999998"/>
    <n v="4.0865"/>
    <n v="-1.2266999999999999"/>
    <n v="4"/>
    <n v="100.8"/>
    <n v="3"/>
    <n v="101.4"/>
    <n v="0"/>
    <n v="0"/>
    <n v="0"/>
    <n v="6"/>
    <n v="0"/>
  </r>
  <r>
    <x v="0"/>
    <x v="0"/>
    <s v="SPXW"/>
    <x v="7"/>
    <x v="219"/>
    <s v="p"/>
    <n v="75.599999999999994"/>
    <n v="100"/>
    <n v="75.599999999999994"/>
    <n v="100"/>
    <n v="2"/>
    <n v="3"/>
    <n v="102.8"/>
    <n v="3"/>
    <n v="103.4"/>
    <n v="0"/>
    <n v="0"/>
    <n v="0"/>
    <n v="0"/>
    <n v="0.12809999999999999"/>
    <n v="-0.69069999999999998"/>
    <n v="2.3999999999999998E-3"/>
    <n v="-2.8765999999999998"/>
    <n v="4.0194999999999999"/>
    <n v="-1.2509999999999999"/>
    <n v="15"/>
    <n v="102"/>
    <n v="8"/>
    <n v="105.9"/>
    <n v="0"/>
    <n v="0"/>
    <n v="87.8"/>
    <n v="6"/>
    <n v="0"/>
  </r>
  <r>
    <x v="0"/>
    <x v="0"/>
    <s v="SPXW"/>
    <x v="7"/>
    <x v="220"/>
    <s v="p"/>
    <n v="0"/>
    <n v="0"/>
    <n v="0"/>
    <n v="0"/>
    <n v="0"/>
    <n v="1"/>
    <n v="104.2"/>
    <n v="8"/>
    <n v="108"/>
    <n v="0"/>
    <n v="0"/>
    <n v="0"/>
    <n v="0"/>
    <n v="0.1275"/>
    <n v="-0.70340000000000003"/>
    <n v="2.3999999999999998E-3"/>
    <n v="-2.8065000000000002"/>
    <n v="3.9491999999999998"/>
    <n v="-1.2746"/>
    <n v="8"/>
    <n v="105.1"/>
    <n v="8"/>
    <n v="109.6"/>
    <n v="0"/>
    <n v="0"/>
    <n v="0"/>
    <n v="1"/>
    <n v="0"/>
  </r>
  <r>
    <x v="0"/>
    <x v="0"/>
    <s v="SPXW"/>
    <x v="7"/>
    <x v="221"/>
    <s v="p"/>
    <n v="0"/>
    <n v="0"/>
    <n v="0"/>
    <n v="0"/>
    <n v="0"/>
    <n v="8"/>
    <n v="107.2"/>
    <n v="13"/>
    <n v="111.3"/>
    <n v="0"/>
    <n v="0"/>
    <n v="0"/>
    <n v="0"/>
    <n v="0.12640000000000001"/>
    <n v="-0.71689999999999998"/>
    <n v="2.3999999999999998E-3"/>
    <n v="-2.7166999999999999"/>
    <n v="3.8687999999999998"/>
    <n v="-1.2995000000000001"/>
    <n v="13"/>
    <n v="108.4"/>
    <n v="13"/>
    <n v="112.8"/>
    <n v="0"/>
    <n v="0"/>
    <n v="0"/>
    <n v="5"/>
    <n v="0"/>
  </r>
  <r>
    <x v="0"/>
    <x v="0"/>
    <s v="SPXW"/>
    <x v="7"/>
    <x v="222"/>
    <s v="p"/>
    <n v="0"/>
    <n v="0"/>
    <n v="0"/>
    <n v="0"/>
    <n v="0"/>
    <n v="1"/>
    <n v="110.4"/>
    <n v="7"/>
    <n v="114.7"/>
    <n v="0"/>
    <n v="0"/>
    <n v="0"/>
    <n v="0"/>
    <n v="0.1255"/>
    <n v="-0.72989999999999999"/>
    <n v="2.3E-3"/>
    <n v="-2.6299000000000001"/>
    <n v="3.7863000000000002"/>
    <n v="-1.3232999999999999"/>
    <n v="7"/>
    <n v="111.6"/>
    <n v="7"/>
    <n v="116.2"/>
    <n v="0"/>
    <n v="0"/>
    <n v="0"/>
    <n v="1"/>
    <n v="0"/>
  </r>
  <r>
    <x v="0"/>
    <x v="0"/>
    <s v="SPXW"/>
    <x v="7"/>
    <x v="223"/>
    <s v="p"/>
    <n v="92.54"/>
    <n v="117.97"/>
    <n v="92.54"/>
    <n v="117.97"/>
    <n v="9"/>
    <n v="8"/>
    <n v="113.7"/>
    <n v="7"/>
    <n v="117.7"/>
    <n v="0"/>
    <n v="0"/>
    <n v="0"/>
    <n v="0"/>
    <n v="0.1239"/>
    <n v="-0.74390000000000001"/>
    <n v="2.3E-3"/>
    <n v="-2.5221"/>
    <n v="3.6930000000000001"/>
    <n v="-1.3486"/>
    <n v="13"/>
    <n v="115"/>
    <n v="7"/>
    <n v="119.1"/>
    <n v="0"/>
    <n v="0"/>
    <n v="109.4933"/>
    <n v="19"/>
    <n v="0"/>
  </r>
  <r>
    <x v="0"/>
    <x v="0"/>
    <s v="SPXW"/>
    <x v="7"/>
    <x v="224"/>
    <s v="p"/>
    <n v="0"/>
    <n v="0"/>
    <n v="0"/>
    <n v="0"/>
    <n v="0"/>
    <n v="1"/>
    <n v="117.2"/>
    <n v="7"/>
    <n v="121.4"/>
    <n v="0"/>
    <n v="0"/>
    <n v="0"/>
    <n v="0"/>
    <n v="0.1234"/>
    <n v="-0.75590000000000002"/>
    <n v="2.2000000000000001E-3"/>
    <n v="-2.4432"/>
    <n v="3.6065999999999998"/>
    <n v="-1.371"/>
    <n v="7"/>
    <n v="118.4"/>
    <n v="7"/>
    <n v="123.1"/>
    <n v="0"/>
    <n v="0"/>
    <n v="0"/>
    <n v="3"/>
    <n v="0"/>
  </r>
  <r>
    <x v="0"/>
    <x v="0"/>
    <s v="SPXW"/>
    <x v="7"/>
    <x v="225"/>
    <s v="p"/>
    <n v="0"/>
    <n v="0"/>
    <n v="0"/>
    <n v="0"/>
    <n v="0"/>
    <n v="1"/>
    <n v="120.7"/>
    <n v="7"/>
    <n v="125.1"/>
    <n v="0"/>
    <n v="0"/>
    <n v="0"/>
    <n v="0"/>
    <n v="0.1227"/>
    <n v="-0.7681"/>
    <n v="2.2000000000000001E-3"/>
    <n v="-2.3569"/>
    <n v="3.5129999999999999"/>
    <n v="-1.3936999999999999"/>
    <n v="7"/>
    <n v="121.9"/>
    <n v="7"/>
    <n v="126.6"/>
    <n v="0"/>
    <n v="0"/>
    <n v="0"/>
    <n v="5"/>
    <n v="0"/>
  </r>
  <r>
    <x v="0"/>
    <x v="0"/>
    <s v="SPXW"/>
    <x v="7"/>
    <x v="226"/>
    <s v="p"/>
    <n v="0"/>
    <n v="0"/>
    <n v="0"/>
    <n v="0"/>
    <n v="0"/>
    <n v="1"/>
    <n v="124.3"/>
    <n v="7"/>
    <n v="128.80000000000001"/>
    <n v="0"/>
    <n v="0"/>
    <n v="0"/>
    <n v="0"/>
    <n v="0.122"/>
    <n v="-0.78010000000000002"/>
    <n v="2.0999999999999999E-3"/>
    <n v="-2.2671000000000001"/>
    <n v="3.4148000000000001"/>
    <n v="-1.4159999999999999"/>
    <n v="7"/>
    <n v="125.5"/>
    <n v="7"/>
    <n v="130.30000000000001"/>
    <n v="0"/>
    <n v="0"/>
    <n v="0"/>
    <n v="0"/>
    <n v="0"/>
  </r>
  <r>
    <x v="0"/>
    <x v="0"/>
    <s v="SPXW"/>
    <x v="7"/>
    <x v="227"/>
    <s v="p"/>
    <n v="0"/>
    <n v="0"/>
    <n v="0"/>
    <n v="0"/>
    <n v="0"/>
    <n v="1"/>
    <n v="127.7"/>
    <n v="7"/>
    <n v="132.30000000000001"/>
    <n v="0"/>
    <n v="0"/>
    <n v="0"/>
    <n v="0"/>
    <n v="0.1205"/>
    <n v="-0.79339999999999999"/>
    <n v="2.0999999999999999E-3"/>
    <n v="-2.153"/>
    <n v="3.3029000000000002"/>
    <n v="-1.44"/>
    <n v="7"/>
    <n v="129.19999999999999"/>
    <n v="7"/>
    <n v="134"/>
    <n v="0"/>
    <n v="0"/>
    <n v="0"/>
    <n v="0"/>
    <n v="0"/>
  </r>
  <r>
    <x v="0"/>
    <x v="0"/>
    <s v="SPXW"/>
    <x v="7"/>
    <x v="228"/>
    <s v="p"/>
    <n v="0"/>
    <n v="0"/>
    <n v="0"/>
    <n v="0"/>
    <n v="0"/>
    <n v="1"/>
    <n v="131.4"/>
    <n v="7"/>
    <n v="136.1"/>
    <n v="0"/>
    <n v="0"/>
    <n v="0"/>
    <n v="0"/>
    <n v="0.1195"/>
    <n v="-0.8054"/>
    <n v="2E-3"/>
    <n v="-2.0539000000000001"/>
    <n v="3.1951999999999998"/>
    <n v="-1.4622999999999999"/>
    <n v="7"/>
    <n v="132.9"/>
    <n v="7"/>
    <n v="137.80000000000001"/>
    <n v="0"/>
    <n v="0"/>
    <n v="0"/>
    <n v="0"/>
    <n v="0"/>
  </r>
  <r>
    <x v="0"/>
    <x v="0"/>
    <s v="SPXW"/>
    <x v="7"/>
    <x v="229"/>
    <s v="p"/>
    <n v="0"/>
    <n v="0"/>
    <n v="0"/>
    <n v="0"/>
    <n v="0"/>
    <n v="8"/>
    <n v="135.1"/>
    <n v="7"/>
    <n v="140.1"/>
    <n v="0"/>
    <n v="0"/>
    <n v="0"/>
    <n v="0"/>
    <n v="0.1188"/>
    <n v="-0.81679999999999997"/>
    <n v="2E-3"/>
    <n v="-1.9601999999999999"/>
    <n v="3.0869"/>
    <n v="-1.4836"/>
    <n v="7"/>
    <n v="136.69999999999999"/>
    <n v="7"/>
    <n v="141.69999999999999"/>
    <n v="0"/>
    <n v="0"/>
    <n v="0"/>
    <n v="3"/>
    <n v="0"/>
  </r>
  <r>
    <x v="0"/>
    <x v="0"/>
    <s v="SPXW"/>
    <x v="7"/>
    <x v="230"/>
    <s v="p"/>
    <n v="0"/>
    <n v="0"/>
    <n v="0"/>
    <n v="0"/>
    <n v="0"/>
    <n v="1"/>
    <n v="138.80000000000001"/>
    <n v="7"/>
    <n v="143.69999999999999"/>
    <n v="0"/>
    <n v="0"/>
    <n v="0"/>
    <n v="0"/>
    <n v="0.1171"/>
    <n v="-0.82979999999999998"/>
    <n v="1.9E-3"/>
    <n v="-1.8368"/>
    <n v="2.9559000000000002"/>
    <n v="-1.5076000000000001"/>
    <n v="5"/>
    <n v="140.69999999999999"/>
    <n v="6"/>
    <n v="145.69999999999999"/>
    <n v="0"/>
    <n v="0"/>
    <n v="0"/>
    <n v="0"/>
    <n v="0"/>
  </r>
  <r>
    <x v="0"/>
    <x v="0"/>
    <s v="SPXW"/>
    <x v="7"/>
    <x v="231"/>
    <s v="p"/>
    <n v="0"/>
    <n v="0"/>
    <n v="0"/>
    <n v="0"/>
    <n v="0"/>
    <n v="7"/>
    <n v="142.6"/>
    <n v="6"/>
    <n v="147.80000000000001"/>
    <n v="0"/>
    <n v="0"/>
    <n v="0"/>
    <n v="0"/>
    <n v="0.1162"/>
    <n v="-0.84089999999999998"/>
    <n v="1.8E-3"/>
    <n v="-1.7382"/>
    <n v="2.8393000000000002"/>
    <n v="-1.5279"/>
    <n v="6"/>
    <n v="144.5"/>
    <n v="6"/>
    <n v="149.6"/>
    <n v="0"/>
    <n v="0"/>
    <n v="0"/>
    <n v="0"/>
    <n v="0"/>
  </r>
  <r>
    <x v="0"/>
    <x v="0"/>
    <s v="SPXW"/>
    <x v="7"/>
    <x v="232"/>
    <s v="p"/>
    <n v="0"/>
    <n v="0"/>
    <n v="0"/>
    <n v="0"/>
    <n v="0"/>
    <n v="7"/>
    <n v="146.69999999999999"/>
    <n v="6"/>
    <n v="152"/>
    <n v="0"/>
    <n v="0"/>
    <n v="0"/>
    <n v="0"/>
    <n v="0.1158"/>
    <n v="-0.85050000000000003"/>
    <n v="1.8E-3"/>
    <n v="-1.6561999999999999"/>
    <n v="2.7336"/>
    <n v="-1.546"/>
    <n v="6"/>
    <n v="148.5"/>
    <n v="6"/>
    <n v="153.80000000000001"/>
    <n v="0"/>
    <n v="0"/>
    <n v="0"/>
    <n v="0"/>
    <n v="0"/>
  </r>
  <r>
    <x v="0"/>
    <x v="0"/>
    <s v="SPXW"/>
    <x v="7"/>
    <x v="233"/>
    <s v="p"/>
    <n v="0"/>
    <n v="0"/>
    <n v="0"/>
    <n v="0"/>
    <n v="0"/>
    <n v="7"/>
    <n v="151"/>
    <n v="6"/>
    <n v="156.1"/>
    <n v="0"/>
    <n v="0"/>
    <n v="0"/>
    <n v="0"/>
    <n v="0.1154"/>
    <n v="-0.85980000000000001"/>
    <n v="1.6999999999999999E-3"/>
    <n v="-1.5746"/>
    <n v="2.6263000000000001"/>
    <n v="-1.5636000000000001"/>
    <n v="6"/>
    <n v="152.6"/>
    <n v="6"/>
    <n v="157.9"/>
    <n v="0"/>
    <n v="0"/>
    <n v="0"/>
    <n v="8"/>
    <n v="0"/>
  </r>
  <r>
    <x v="0"/>
    <x v="0"/>
    <s v="SPXW"/>
    <x v="7"/>
    <x v="234"/>
    <s v="p"/>
    <n v="0"/>
    <n v="0"/>
    <n v="0"/>
    <n v="0"/>
    <n v="0"/>
    <n v="7"/>
    <n v="155"/>
    <n v="6"/>
    <n v="160.5"/>
    <n v="0"/>
    <n v="0"/>
    <n v="0"/>
    <n v="0"/>
    <n v="0.1148"/>
    <n v="-0.86919999999999997"/>
    <n v="1.6000000000000001E-3"/>
    <n v="-1.4873000000000001"/>
    <n v="2.5124"/>
    <n v="-1.5812999999999999"/>
    <n v="6"/>
    <n v="156.69999999999999"/>
    <n v="6"/>
    <n v="162.1"/>
    <n v="0"/>
    <n v="0"/>
    <n v="0"/>
    <n v="0"/>
    <n v="0"/>
  </r>
  <r>
    <x v="0"/>
    <x v="0"/>
    <s v="SPXW"/>
    <x v="7"/>
    <x v="235"/>
    <s v="p"/>
    <n v="0"/>
    <n v="0"/>
    <n v="0"/>
    <n v="0"/>
    <n v="0"/>
    <n v="7"/>
    <n v="158.9"/>
    <n v="6"/>
    <n v="164.4"/>
    <n v="0"/>
    <n v="0"/>
    <n v="0"/>
    <n v="0"/>
    <n v="0.11269999999999999"/>
    <n v="-0.88160000000000005"/>
    <n v="1.6000000000000001E-3"/>
    <n v="-1.3529"/>
    <n v="2.3578000000000001"/>
    <n v="-1.6037999999999999"/>
    <n v="6"/>
    <n v="161"/>
    <n v="6"/>
    <n v="166.3"/>
    <n v="0"/>
    <n v="0"/>
    <n v="0"/>
    <n v="0"/>
    <n v="0"/>
  </r>
  <r>
    <x v="0"/>
    <x v="0"/>
    <s v="SPXW"/>
    <x v="7"/>
    <x v="236"/>
    <s v="p"/>
    <n v="0"/>
    <n v="0"/>
    <n v="0"/>
    <n v="0"/>
    <n v="0"/>
    <n v="7"/>
    <n v="163.4"/>
    <n v="6"/>
    <n v="169.1"/>
    <n v="0"/>
    <n v="0"/>
    <n v="0"/>
    <n v="0"/>
    <n v="0.1134"/>
    <n v="-0.88749999999999996"/>
    <n v="1.5E-3"/>
    <n v="-1.3087"/>
    <n v="2.2797000000000001"/>
    <n v="-1.6153"/>
    <n v="6"/>
    <n v="165.1"/>
    <n v="6"/>
    <n v="170.7"/>
    <n v="0"/>
    <n v="0"/>
    <n v="0"/>
    <n v="0"/>
    <n v="0"/>
  </r>
  <r>
    <x v="0"/>
    <x v="0"/>
    <s v="SPXW"/>
    <x v="7"/>
    <x v="237"/>
    <s v="p"/>
    <n v="0"/>
    <n v="0"/>
    <n v="0"/>
    <n v="0"/>
    <n v="0"/>
    <n v="7"/>
    <n v="167.9"/>
    <n v="6"/>
    <n v="173"/>
    <n v="0"/>
    <n v="0"/>
    <n v="0"/>
    <n v="0"/>
    <n v="0.112"/>
    <n v="-0.89729999999999999"/>
    <n v="1.4E-3"/>
    <n v="-1.2029000000000001"/>
    <n v="2.1461999999999999"/>
    <n v="-1.6338999999999999"/>
    <n v="6"/>
    <n v="169.5"/>
    <n v="6"/>
    <n v="175.1"/>
    <n v="0"/>
    <n v="0"/>
    <n v="0"/>
    <n v="0"/>
    <n v="0"/>
  </r>
  <r>
    <x v="0"/>
    <x v="0"/>
    <s v="SPXW"/>
    <x v="7"/>
    <x v="238"/>
    <s v="p"/>
    <n v="0"/>
    <n v="0"/>
    <n v="0"/>
    <n v="0"/>
    <n v="0"/>
    <n v="7"/>
    <n v="172.3"/>
    <n v="6"/>
    <n v="177.4"/>
    <n v="0"/>
    <n v="0"/>
    <n v="0"/>
    <n v="0"/>
    <n v="0.1114"/>
    <n v="-0.90529999999999999"/>
    <n v="1.2999999999999999E-3"/>
    <n v="-1.1208"/>
    <n v="2.0316000000000001"/>
    <n v="-1.649"/>
    <n v="6"/>
    <n v="173.9"/>
    <n v="6"/>
    <n v="179.5"/>
    <n v="0"/>
    <n v="0"/>
    <n v="0"/>
    <n v="1"/>
    <n v="0"/>
  </r>
  <r>
    <x v="0"/>
    <x v="0"/>
    <s v="SPXW"/>
    <x v="7"/>
    <x v="239"/>
    <s v="p"/>
    <n v="0"/>
    <n v="0"/>
    <n v="0"/>
    <n v="0"/>
    <n v="0"/>
    <n v="7"/>
    <n v="176.7"/>
    <n v="6"/>
    <n v="182"/>
    <n v="0"/>
    <n v="0"/>
    <n v="0"/>
    <n v="0"/>
    <n v="0.11119999999999999"/>
    <n v="-0.91190000000000004"/>
    <n v="1.2999999999999999E-3"/>
    <n v="-1.0547"/>
    <n v="1.9326000000000001"/>
    <n v="-1.6617"/>
    <n v="6"/>
    <n v="178.3"/>
    <n v="6"/>
    <n v="184"/>
    <n v="0"/>
    <n v="0"/>
    <n v="0"/>
    <n v="0"/>
    <n v="0"/>
  </r>
  <r>
    <x v="0"/>
    <x v="0"/>
    <s v="SPXW"/>
    <x v="7"/>
    <x v="241"/>
    <s v="p"/>
    <n v="0"/>
    <n v="0"/>
    <n v="0"/>
    <n v="0"/>
    <n v="0"/>
    <n v="1"/>
    <n v="185.5"/>
    <n v="6"/>
    <n v="191.3"/>
    <n v="0"/>
    <n v="0"/>
    <n v="0"/>
    <n v="0"/>
    <n v="0.1101"/>
    <n v="-0.92589999999999995"/>
    <n v="1.1000000000000001E-3"/>
    <n v="-0.90429999999999999"/>
    <n v="1.7159"/>
    <n v="-1.6883999999999999"/>
    <n v="6"/>
    <n v="187.3"/>
    <n v="6"/>
    <n v="193.1"/>
    <n v="0"/>
    <n v="0"/>
    <n v="0"/>
    <n v="0"/>
    <n v="0"/>
  </r>
  <r>
    <x v="0"/>
    <x v="0"/>
    <s v="SPXW"/>
    <x v="7"/>
    <x v="243"/>
    <s v="p"/>
    <n v="0"/>
    <n v="0"/>
    <n v="0"/>
    <n v="0"/>
    <n v="0"/>
    <n v="6"/>
    <n v="194.9"/>
    <n v="6"/>
    <n v="200.5"/>
    <n v="0"/>
    <n v="0"/>
    <n v="0"/>
    <n v="0"/>
    <n v="0.1104"/>
    <n v="-0.93559999999999999"/>
    <n v="1E-3"/>
    <n v="-0.80369999999999997"/>
    <n v="1.5507"/>
    <n v="-1.7077"/>
    <n v="6"/>
    <n v="196.5"/>
    <n v="6"/>
    <n v="202.3"/>
    <n v="0"/>
    <n v="0"/>
    <n v="0"/>
    <n v="1"/>
    <n v="0"/>
  </r>
  <r>
    <x v="0"/>
    <x v="0"/>
    <s v="SPXW"/>
    <x v="7"/>
    <x v="245"/>
    <s v="p"/>
    <n v="0"/>
    <n v="0"/>
    <n v="0"/>
    <n v="0"/>
    <n v="0"/>
    <n v="1"/>
    <n v="200.6"/>
    <n v="2"/>
    <n v="213"/>
    <n v="0"/>
    <n v="0"/>
    <n v="0"/>
    <n v="0"/>
    <n v="0.107"/>
    <n v="-0.95030000000000003"/>
    <n v="8.0000000000000004E-4"/>
    <n v="-0.62019999999999997"/>
    <n v="1.2884"/>
    <n v="-1.7358"/>
    <n v="2"/>
    <n v="201"/>
    <n v="1"/>
    <n v="223.2"/>
    <n v="0"/>
    <n v="0"/>
    <n v="0"/>
    <n v="1"/>
    <n v="0"/>
  </r>
  <r>
    <x v="0"/>
    <x v="0"/>
    <s v="SPXW"/>
    <x v="7"/>
    <x v="247"/>
    <s v="p"/>
    <n v="0"/>
    <n v="0"/>
    <n v="0"/>
    <n v="0"/>
    <n v="0"/>
    <n v="1"/>
    <n v="210.1"/>
    <n v="1"/>
    <n v="223.8"/>
    <n v="0"/>
    <n v="0"/>
    <n v="0"/>
    <n v="0"/>
    <n v="0.1148"/>
    <n v="-0.94610000000000005"/>
    <n v="8.0000000000000004E-4"/>
    <n v="-0.71609999999999996"/>
    <n v="1.3593"/>
    <n v="-1.7304999999999999"/>
    <n v="1"/>
    <n v="208.7"/>
    <n v="1"/>
    <n v="227.7"/>
    <n v="0"/>
    <n v="0"/>
    <n v="0"/>
    <n v="0"/>
    <n v="0"/>
  </r>
  <r>
    <x v="0"/>
    <x v="0"/>
    <s v="SPXW"/>
    <x v="7"/>
    <x v="248"/>
    <s v="p"/>
    <n v="0"/>
    <n v="0"/>
    <n v="0"/>
    <n v="0"/>
    <n v="0"/>
    <n v="1"/>
    <n v="210.8"/>
    <n v="1"/>
    <n v="228.7"/>
    <n v="0"/>
    <n v="0"/>
    <n v="0"/>
    <n v="0"/>
    <n v="9.3299999999999994E-2"/>
    <n v="-0.97870000000000001"/>
    <n v="5.0000000000000001E-4"/>
    <n v="-0.24129999999999999"/>
    <n v="0.6946"/>
    <n v="-1.7887"/>
    <n v="2"/>
    <n v="212.4"/>
    <n v="1"/>
    <n v="236"/>
    <n v="0"/>
    <n v="0"/>
    <n v="0"/>
    <n v="2"/>
    <n v="0"/>
  </r>
  <r>
    <x v="0"/>
    <x v="0"/>
    <s v="SPXW"/>
    <x v="7"/>
    <x v="249"/>
    <s v="p"/>
    <n v="0"/>
    <n v="0"/>
    <n v="0"/>
    <n v="0"/>
    <n v="0"/>
    <n v="1"/>
    <n v="215.6"/>
    <n v="1"/>
    <n v="234.2"/>
    <n v="0"/>
    <n v="0"/>
    <n v="0"/>
    <n v="0"/>
    <n v="8.77E-2"/>
    <n v="-0.98660000000000003"/>
    <n v="2.9999999999999997E-4"/>
    <n v="-0.1386"/>
    <n v="0.49259999999999998"/>
    <n v="-1.8032999999999999"/>
    <n v="1"/>
    <n v="217.4"/>
    <n v="3"/>
    <n v="241"/>
    <n v="0"/>
    <n v="0"/>
    <n v="0"/>
    <n v="0"/>
    <n v="0"/>
  </r>
  <r>
    <x v="0"/>
    <x v="0"/>
    <s v="SPXW"/>
    <x v="7"/>
    <x v="251"/>
    <s v="p"/>
    <n v="0"/>
    <n v="0"/>
    <n v="0"/>
    <n v="0"/>
    <n v="0"/>
    <n v="1"/>
    <n v="225.8"/>
    <n v="2"/>
    <n v="244.3"/>
    <n v="0"/>
    <n v="0"/>
    <n v="0"/>
    <n v="0"/>
    <n v="0.16109999999999999"/>
    <n v="-0.89449999999999996"/>
    <n v="1E-3"/>
    <n v="-1.7655000000000001"/>
    <n v="2.1440000000000001"/>
    <n v="-1.6454"/>
    <n v="1"/>
    <n v="227.5"/>
    <n v="3"/>
    <n v="250.7"/>
    <n v="0"/>
    <n v="0"/>
    <n v="0"/>
    <n v="0"/>
    <n v="0"/>
  </r>
  <r>
    <x v="0"/>
    <x v="0"/>
    <s v="SPXW"/>
    <x v="7"/>
    <x v="253"/>
    <s v="p"/>
    <n v="0"/>
    <n v="0"/>
    <n v="0"/>
    <n v="0"/>
    <n v="0"/>
    <n v="1"/>
    <n v="234.9"/>
    <n v="1"/>
    <n v="254"/>
    <n v="0"/>
    <n v="0"/>
    <n v="0"/>
    <n v="0"/>
    <n v="0.16800000000000001"/>
    <n v="-0.89339999999999997"/>
    <n v="1E-3"/>
    <n v="-1.8575999999999999"/>
    <n v="2.1568999999999998"/>
    <n v="-1.6458999999999999"/>
    <n v="1"/>
    <n v="237.3"/>
    <n v="2"/>
    <n v="260.3"/>
    <n v="0"/>
    <n v="0"/>
    <n v="0"/>
    <n v="3"/>
    <n v="0"/>
  </r>
  <r>
    <x v="0"/>
    <x v="0"/>
    <s v="SPXW"/>
    <x v="7"/>
    <x v="256"/>
    <s v="p"/>
    <n v="0"/>
    <n v="0"/>
    <n v="0"/>
    <n v="0"/>
    <n v="0"/>
    <n v="1"/>
    <n v="259.2"/>
    <n v="1"/>
    <n v="279.89999999999998"/>
    <n v="0"/>
    <n v="0"/>
    <n v="0"/>
    <n v="0"/>
    <n v="0.10539999999999999"/>
    <n v="-0.98599999999999999"/>
    <n v="2.9999999999999997E-4"/>
    <n v="-0.17449999999999999"/>
    <n v="0.48830000000000001"/>
    <n v="-1.8124"/>
    <n v="3"/>
    <n v="261.10000000000002"/>
    <n v="1"/>
    <n v="281.2"/>
    <n v="0"/>
    <n v="0"/>
    <n v="0"/>
    <n v="0"/>
    <n v="0"/>
  </r>
  <r>
    <x v="0"/>
    <x v="0"/>
    <s v="SPXW"/>
    <x v="7"/>
    <x v="259"/>
    <s v="p"/>
    <n v="0"/>
    <n v="0"/>
    <n v="0"/>
    <n v="0"/>
    <n v="0"/>
    <n v="1"/>
    <n v="285.2"/>
    <n v="1"/>
    <n v="304"/>
    <n v="0"/>
    <n v="0"/>
    <n v="0"/>
    <n v="0"/>
    <n v="0.11559999999999999"/>
    <n v="-0.98560000000000003"/>
    <n v="2.9999999999999997E-4"/>
    <n v="-0.19789999999999999"/>
    <n v="0.49130000000000001"/>
    <n v="-1.8171999999999999"/>
    <n v="1"/>
    <n v="287.3"/>
    <n v="3"/>
    <n v="309.89999999999998"/>
    <n v="0"/>
    <n v="0"/>
    <n v="0"/>
    <n v="0"/>
    <n v="0"/>
  </r>
  <r>
    <x v="0"/>
    <x v="0"/>
    <s v="SPXW"/>
    <x v="7"/>
    <x v="262"/>
    <s v="p"/>
    <n v="0"/>
    <n v="0"/>
    <n v="0"/>
    <n v="0"/>
    <n v="0"/>
    <n v="1"/>
    <n v="310.10000000000002"/>
    <n v="1"/>
    <n v="329.3"/>
    <n v="0"/>
    <n v="0"/>
    <n v="0"/>
    <n v="0"/>
    <n v="0.12690000000000001"/>
    <n v="-0.98440000000000005"/>
    <n v="2.9999999999999997E-4"/>
    <n v="-0.23630000000000001"/>
    <n v="0.5141"/>
    <n v="-1.8208"/>
    <n v="3"/>
    <n v="310.8"/>
    <n v="1"/>
    <n v="329.7"/>
    <n v="0"/>
    <n v="0"/>
    <n v="0"/>
    <n v="0"/>
    <n v="0"/>
  </r>
  <r>
    <x v="0"/>
    <x v="0"/>
    <s v="SPXW"/>
    <x v="7"/>
    <x v="263"/>
    <s v="p"/>
    <n v="0"/>
    <n v="0"/>
    <n v="0"/>
    <n v="0"/>
    <n v="0"/>
    <n v="1"/>
    <n v="335"/>
    <n v="1"/>
    <n v="354.5"/>
    <n v="0"/>
    <n v="0"/>
    <n v="0"/>
    <n v="0"/>
    <n v="0.13700000000000001"/>
    <n v="-0.98419999999999996"/>
    <n v="2.9999999999999997E-4"/>
    <n v="-0.2596"/>
    <n v="0.51459999999999995"/>
    <n v="-1.8259000000000001"/>
    <n v="3"/>
    <n v="335.7"/>
    <n v="1"/>
    <n v="354.5"/>
    <n v="0"/>
    <n v="0"/>
    <n v="0"/>
    <n v="0"/>
    <n v="0"/>
  </r>
  <r>
    <x v="0"/>
    <x v="0"/>
    <s v="SPXW"/>
    <x v="7"/>
    <x v="264"/>
    <s v="p"/>
    <n v="0"/>
    <n v="0"/>
    <n v="0"/>
    <n v="0"/>
    <n v="0"/>
    <n v="1"/>
    <n v="359.9"/>
    <n v="1"/>
    <n v="379.1"/>
    <n v="0"/>
    <n v="0"/>
    <n v="0"/>
    <n v="0"/>
    <n v="0.13930000000000001"/>
    <n v="-0.98819999999999997"/>
    <n v="2.0000000000000001E-4"/>
    <n v="-0.1898"/>
    <n v="0.40410000000000001"/>
    <n v="-1.8385"/>
    <n v="3"/>
    <n v="360.6"/>
    <n v="1"/>
    <n v="380.4"/>
    <n v="0"/>
    <n v="0"/>
    <n v="0"/>
    <n v="0"/>
    <n v="0"/>
  </r>
  <r>
    <x v="0"/>
    <x v="0"/>
    <s v="SPXW"/>
    <x v="7"/>
    <x v="265"/>
    <s v="p"/>
    <n v="0"/>
    <n v="0"/>
    <n v="0"/>
    <n v="0"/>
    <n v="0"/>
    <n v="1"/>
    <n v="384.6"/>
    <n v="1"/>
    <n v="403.8"/>
    <n v="0"/>
    <n v="0"/>
    <n v="0"/>
    <n v="0"/>
    <n v="0.13689999999999999"/>
    <n v="-0.99299999999999999"/>
    <n v="1E-4"/>
    <n v="-9.5000000000000001E-2"/>
    <n v="0.26350000000000001"/>
    <n v="-1.8523000000000001"/>
    <n v="2"/>
    <n v="385.6"/>
    <n v="1"/>
    <n v="405.1"/>
    <n v="0"/>
    <n v="0"/>
    <n v="0"/>
    <n v="0"/>
    <n v="0"/>
  </r>
  <r>
    <x v="0"/>
    <x v="0"/>
    <s v="SPXW"/>
    <x v="7"/>
    <x v="266"/>
    <s v="p"/>
    <n v="0"/>
    <n v="0"/>
    <n v="0"/>
    <n v="0"/>
    <n v="0"/>
    <n v="1"/>
    <n v="409.1"/>
    <n v="1"/>
    <n v="428.8"/>
    <n v="0"/>
    <n v="0"/>
    <n v="0"/>
    <n v="0"/>
    <n v="0.12839999999999999"/>
    <n v="-0.99729999999999996"/>
    <n v="1E-4"/>
    <n v="-5.1000000000000004E-3"/>
    <n v="0.1191"/>
    <n v="-1.8653999999999999"/>
    <n v="3"/>
    <n v="410.5"/>
    <n v="1"/>
    <n v="429.4"/>
    <n v="0"/>
    <n v="0"/>
    <n v="0"/>
    <n v="0"/>
    <n v="0"/>
  </r>
  <r>
    <x v="0"/>
    <x v="0"/>
    <s v="SPXW"/>
    <x v="7"/>
    <x v="267"/>
    <s v="p"/>
    <n v="0"/>
    <n v="0"/>
    <n v="0"/>
    <n v="0"/>
    <n v="0"/>
    <n v="1"/>
    <n v="434.8"/>
    <n v="1"/>
    <n v="452"/>
    <n v="0"/>
    <n v="0"/>
    <n v="0"/>
    <n v="0"/>
    <n v="0.2475"/>
    <n v="-0.93469999999999998"/>
    <n v="5.0000000000000001E-4"/>
    <n v="-1.8206"/>
    <n v="1.4856"/>
    <n v="-1.7634000000000001"/>
    <n v="2"/>
    <n v="435.5"/>
    <n v="1"/>
    <n v="459.2"/>
    <n v="0"/>
    <n v="0"/>
    <n v="0"/>
    <n v="0"/>
    <n v="0"/>
  </r>
  <r>
    <x v="0"/>
    <x v="0"/>
    <s v="SPXW"/>
    <x v="7"/>
    <x v="268"/>
    <s v="p"/>
    <n v="0"/>
    <n v="0"/>
    <n v="0"/>
    <n v="0"/>
    <n v="0"/>
    <n v="1"/>
    <n v="459"/>
    <n v="1"/>
    <n v="478.7"/>
    <n v="0"/>
    <n v="0"/>
    <n v="0"/>
    <n v="0"/>
    <n v="0.13389999999999999"/>
    <n v="-0.99860000000000004"/>
    <n v="0"/>
    <n v="0"/>
    <n v="6.9500000000000006E-2"/>
    <n v="-1.8786"/>
    <n v="3"/>
    <n v="460.4"/>
    <n v="1"/>
    <n v="479.3"/>
    <n v="0"/>
    <n v="0"/>
    <n v="0"/>
    <n v="0"/>
    <n v="0"/>
  </r>
  <r>
    <x v="0"/>
    <x v="0"/>
    <s v="SPXW"/>
    <x v="7"/>
    <x v="269"/>
    <s v="p"/>
    <n v="0"/>
    <n v="0"/>
    <n v="0"/>
    <n v="0"/>
    <n v="0"/>
    <n v="1"/>
    <n v="484"/>
    <n v="1"/>
    <n v="502.8"/>
    <n v="0"/>
    <n v="0"/>
    <n v="0"/>
    <n v="0"/>
    <n v="0.2742"/>
    <n v="-0.93469999999999998"/>
    <n v="4.0000000000000002E-4"/>
    <n v="-2.0173000000000001"/>
    <n v="1.4802"/>
    <n v="-1.7746"/>
    <n v="1"/>
    <n v="486.1"/>
    <n v="1"/>
    <n v="509.3"/>
    <n v="0"/>
    <n v="0"/>
    <n v="0"/>
    <n v="0"/>
    <n v="0"/>
  </r>
  <r>
    <x v="0"/>
    <x v="0"/>
    <s v="SPXW"/>
    <x v="7"/>
    <x v="270"/>
    <s v="p"/>
    <n v="0"/>
    <n v="0"/>
    <n v="0"/>
    <n v="0"/>
    <n v="0"/>
    <n v="1"/>
    <n v="509.4"/>
    <n v="2"/>
    <n v="529.5"/>
    <n v="0"/>
    <n v="0"/>
    <n v="0"/>
    <n v="0"/>
    <n v="0.1401"/>
    <n v="-0.99919999999999998"/>
    <n v="0"/>
    <n v="0"/>
    <n v="4.2099999999999999E-2"/>
    <n v="-1.8912"/>
    <n v="2"/>
    <n v="510.3"/>
    <n v="1"/>
    <n v="533"/>
    <n v="0"/>
    <n v="0"/>
    <n v="0"/>
    <n v="0"/>
    <n v="0"/>
  </r>
  <r>
    <x v="0"/>
    <x v="0"/>
    <s v="SPXW"/>
    <x v="7"/>
    <x v="271"/>
    <s v="p"/>
    <n v="0"/>
    <n v="0"/>
    <n v="0"/>
    <n v="0"/>
    <n v="0"/>
    <n v="1"/>
    <n v="584.6"/>
    <n v="1"/>
    <n v="602.20000000000005"/>
    <n v="0"/>
    <n v="0"/>
    <n v="0"/>
    <n v="0"/>
    <n v="0.31090000000000001"/>
    <n v="-0.94410000000000005"/>
    <n v="2.9999999999999997E-4"/>
    <n v="-1.9954000000000001"/>
    <n v="1.3082"/>
    <n v="-1.8134999999999999"/>
    <n v="1"/>
    <n v="585.5"/>
    <n v="3"/>
    <n v="609.20000000000005"/>
    <n v="0"/>
    <n v="0"/>
    <n v="0"/>
    <n v="0"/>
    <n v="0"/>
  </r>
  <r>
    <x v="0"/>
    <x v="0"/>
    <s v="SPXW"/>
    <x v="7"/>
    <x v="272"/>
    <s v="p"/>
    <n v="0"/>
    <n v="0"/>
    <n v="0"/>
    <n v="0"/>
    <n v="0"/>
    <n v="1"/>
    <n v="684.4"/>
    <n v="1"/>
    <n v="703.2"/>
    <n v="0"/>
    <n v="0"/>
    <n v="0"/>
    <n v="0"/>
    <n v="0.21429999999999999"/>
    <n v="-0.99660000000000004"/>
    <n v="0"/>
    <n v="-3.15E-2"/>
    <n v="0.13059999999999999"/>
    <n v="-1.9256"/>
    <n v="1"/>
    <n v="686.5"/>
    <n v="3"/>
    <n v="709.1"/>
    <n v="0"/>
    <n v="0"/>
    <n v="0"/>
    <n v="0"/>
    <n v="0"/>
  </r>
  <r>
    <x v="0"/>
    <x v="0"/>
    <s v="SPXW"/>
    <x v="7"/>
    <x v="273"/>
    <s v="p"/>
    <n v="0"/>
    <n v="0"/>
    <n v="0"/>
    <n v="0"/>
    <n v="0"/>
    <n v="1"/>
    <n v="783.4"/>
    <n v="1"/>
    <n v="803.2"/>
    <n v="0"/>
    <n v="0"/>
    <n v="0"/>
    <n v="0"/>
    <n v="0.40239999999999998"/>
    <n v="-0.9466"/>
    <n v="2.0000000000000001E-4"/>
    <n v="-2.4748999999999999"/>
    <n v="1.2491000000000001"/>
    <n v="-1.8628"/>
    <n v="1"/>
    <n v="786.4"/>
    <n v="3"/>
    <n v="809"/>
    <n v="0"/>
    <n v="0"/>
    <n v="0"/>
    <n v="0"/>
    <n v="0"/>
  </r>
  <r>
    <x v="0"/>
    <x v="0"/>
    <s v="SPXW"/>
    <x v="7"/>
    <x v="274"/>
    <s v="p"/>
    <n v="0"/>
    <n v="0"/>
    <n v="0"/>
    <n v="0"/>
    <n v="0"/>
    <n v="1"/>
    <n v="983.2"/>
    <n v="1"/>
    <n v="1003.1"/>
    <n v="0"/>
    <n v="0"/>
    <n v="0"/>
    <n v="0"/>
    <n v="0.47710000000000002"/>
    <n v="-0.95330000000000004"/>
    <n v="2.0000000000000001E-4"/>
    <n v="-2.6002000000000001"/>
    <n v="1.1188"/>
    <n v="-1.9191"/>
    <n v="1"/>
    <n v="986.3"/>
    <n v="3"/>
    <n v="1008.8"/>
    <n v="0"/>
    <n v="0"/>
    <n v="0"/>
    <n v="0"/>
    <n v="0"/>
  </r>
  <r>
    <x v="0"/>
    <x v="0"/>
    <s v="SPXW"/>
    <x v="7"/>
    <x v="275"/>
    <s v="p"/>
    <n v="0"/>
    <n v="0"/>
    <n v="0"/>
    <n v="0"/>
    <n v="0"/>
    <n v="1"/>
    <n v="1183.7"/>
    <n v="1"/>
    <n v="1202.9000000000001"/>
    <n v="0"/>
    <n v="0"/>
    <n v="0"/>
    <n v="0"/>
    <n v="0.33929999999999999"/>
    <n v="-0.99780000000000002"/>
    <n v="0"/>
    <n v="0"/>
    <n v="8.48E-2"/>
    <n v="-2.0392000000000001"/>
    <n v="3"/>
    <n v="1184.5999999999999"/>
    <n v="1"/>
    <n v="1203.5"/>
    <n v="0"/>
    <n v="0"/>
    <n v="0"/>
    <n v="0"/>
    <n v="0"/>
  </r>
  <r>
    <x v="0"/>
    <x v="0"/>
    <s v="SPXW"/>
    <x v="7"/>
    <x v="276"/>
    <s v="p"/>
    <n v="0"/>
    <n v="0"/>
    <n v="0"/>
    <n v="0"/>
    <n v="0"/>
    <n v="1"/>
    <n v="1382.8"/>
    <n v="1"/>
    <n v="1401.5"/>
    <n v="0"/>
    <n v="0"/>
    <n v="0"/>
    <n v="0"/>
    <n v="0.58919999999999995"/>
    <n v="-0.96830000000000005"/>
    <n v="1E-4"/>
    <n v="-2.2282999999999999"/>
    <n v="0.81240000000000001"/>
    <n v="-2.0343"/>
    <n v="1"/>
    <n v="1384.8"/>
    <n v="3"/>
    <n v="1408.4"/>
    <n v="0"/>
    <n v="0"/>
    <n v="0"/>
    <n v="0"/>
    <n v="0"/>
  </r>
  <r>
    <x v="0"/>
    <x v="0"/>
    <s v="SPXW"/>
    <x v="7"/>
    <x v="277"/>
    <s v="p"/>
    <n v="0"/>
    <n v="0"/>
    <n v="0"/>
    <n v="0"/>
    <n v="0"/>
    <n v="1"/>
    <n v="1582.6"/>
    <n v="1"/>
    <n v="1601.3"/>
    <n v="0"/>
    <n v="0"/>
    <n v="0"/>
    <n v="0"/>
    <n v="0.65139999999999998"/>
    <n v="-0.9708"/>
    <n v="1E-4"/>
    <n v="-2.2660999999999998"/>
    <n v="0.75619999999999998"/>
    <n v="-2.0834999999999999"/>
    <n v="1"/>
    <n v="1584.6"/>
    <n v="3"/>
    <n v="1608.2"/>
    <n v="0"/>
    <n v="0"/>
    <n v="0"/>
    <n v="0"/>
    <n v="0"/>
  </r>
  <r>
    <x v="0"/>
    <x v="0"/>
    <s v="SPXW"/>
    <x v="7"/>
    <x v="278"/>
    <s v="p"/>
    <n v="0"/>
    <n v="0"/>
    <n v="0"/>
    <n v="0"/>
    <n v="0"/>
    <n v="1"/>
    <n v="1782.3"/>
    <n v="1"/>
    <n v="1801.4"/>
    <n v="0"/>
    <n v="0"/>
    <n v="0"/>
    <n v="0"/>
    <n v="0.72070000000000001"/>
    <n v="-0.97109999999999996"/>
    <n v="1E-4"/>
    <n v="-2.4773999999999998"/>
    <n v="0.74780000000000002"/>
    <n v="-2.1291000000000002"/>
    <n v="1"/>
    <n v="1784.6"/>
    <n v="3"/>
    <n v="1808"/>
    <n v="0"/>
    <n v="0"/>
    <n v="0"/>
    <n v="0"/>
    <n v="0"/>
  </r>
  <r>
    <x v="0"/>
    <x v="0"/>
    <s v="SPXW"/>
    <x v="7"/>
    <x v="279"/>
    <s v="p"/>
    <n v="0"/>
    <n v="0"/>
    <n v="0"/>
    <n v="0"/>
    <n v="0"/>
    <n v="1"/>
    <n v="1982.3"/>
    <n v="1"/>
    <n v="2002.6"/>
    <n v="0"/>
    <n v="0"/>
    <n v="0"/>
    <n v="0"/>
    <n v="0.50629999999999997"/>
    <n v="-0.99880000000000002"/>
    <n v="0"/>
    <n v="0"/>
    <n v="4.7699999999999999E-2"/>
    <n v="-2.2195"/>
    <n v="3"/>
    <n v="1983.8"/>
    <n v="1"/>
    <n v="2002.6"/>
    <n v="0"/>
    <n v="0"/>
    <n v="0"/>
    <n v="0"/>
    <n v="0"/>
  </r>
  <r>
    <x v="0"/>
    <x v="0"/>
    <s v="SPXW"/>
    <x v="7"/>
    <x v="280"/>
    <s v="p"/>
    <n v="0"/>
    <n v="0"/>
    <n v="0"/>
    <n v="0"/>
    <n v="0"/>
    <n v="1"/>
    <n v="2183.1"/>
    <n v="2"/>
    <n v="2202.8000000000002"/>
    <n v="0"/>
    <n v="0"/>
    <n v="0"/>
    <n v="0"/>
    <n v="0.55269999999999997"/>
    <n v="-0.99870000000000003"/>
    <n v="0"/>
    <n v="0"/>
    <n v="4.9200000000000001E-2"/>
    <n v="-2.2644000000000002"/>
    <n v="2"/>
    <n v="2183.6"/>
    <n v="1"/>
    <n v="2207.1"/>
    <n v="0"/>
    <n v="0"/>
    <n v="0"/>
    <n v="0"/>
    <n v="0"/>
  </r>
  <r>
    <x v="0"/>
    <x v="0"/>
    <s v="SPXW"/>
    <x v="8"/>
    <x v="1"/>
    <s v="p"/>
    <n v="0"/>
    <n v="0"/>
    <n v="0"/>
    <n v="0"/>
    <n v="0"/>
    <n v="0"/>
    <n v="0"/>
    <n v="319"/>
    <n v="0.05"/>
    <n v="0"/>
    <n v="0"/>
    <n v="0"/>
    <n v="0"/>
    <n v="1.5412999999999999"/>
    <n v="-1E-4"/>
    <n v="0"/>
    <n v="-1.5599999999999999E-2"/>
    <n v="2.8999999999999998E-3"/>
    <n v="-1E-4"/>
    <n v="0"/>
    <n v="0"/>
    <n v="409"/>
    <n v="0.1"/>
    <n v="0"/>
    <n v="0"/>
    <n v="0"/>
    <n v="11"/>
    <n v="0"/>
  </r>
  <r>
    <x v="0"/>
    <x v="0"/>
    <s v="SPXW"/>
    <x v="8"/>
    <x v="2"/>
    <s v="p"/>
    <n v="0"/>
    <n v="0"/>
    <n v="0"/>
    <n v="0"/>
    <n v="0"/>
    <n v="0"/>
    <n v="0"/>
    <n v="328"/>
    <n v="0.05"/>
    <n v="0"/>
    <n v="0"/>
    <n v="0"/>
    <n v="0"/>
    <n v="1.4321999999999999"/>
    <n v="-1E-4"/>
    <n v="0"/>
    <n v="-1.5599999999999999E-2"/>
    <n v="3.0999999999999999E-3"/>
    <n v="-1E-4"/>
    <n v="0"/>
    <n v="0"/>
    <n v="430"/>
    <n v="0.1"/>
    <n v="0"/>
    <n v="0"/>
    <n v="0"/>
    <n v="3"/>
    <n v="0"/>
  </r>
  <r>
    <x v="0"/>
    <x v="0"/>
    <s v="SPXW"/>
    <x v="8"/>
    <x v="3"/>
    <s v="p"/>
    <n v="0"/>
    <n v="0"/>
    <n v="0"/>
    <n v="0"/>
    <n v="0"/>
    <n v="0"/>
    <n v="0"/>
    <n v="302"/>
    <n v="0.05"/>
    <n v="0"/>
    <n v="0"/>
    <n v="0"/>
    <n v="0"/>
    <n v="1.3302"/>
    <n v="-1E-4"/>
    <n v="0"/>
    <n v="-1.55E-2"/>
    <n v="3.3E-3"/>
    <n v="-1E-4"/>
    <n v="0"/>
    <n v="0"/>
    <n v="420"/>
    <n v="0.1"/>
    <n v="0"/>
    <n v="0"/>
    <n v="0"/>
    <n v="2"/>
    <n v="0"/>
  </r>
  <r>
    <x v="0"/>
    <x v="0"/>
    <s v="SPXW"/>
    <x v="8"/>
    <x v="4"/>
    <s v="p"/>
    <n v="0"/>
    <n v="0"/>
    <n v="0"/>
    <n v="0"/>
    <n v="0"/>
    <n v="0"/>
    <n v="0"/>
    <n v="271"/>
    <n v="0.05"/>
    <n v="0"/>
    <n v="0"/>
    <n v="0"/>
    <n v="0"/>
    <n v="1.2342"/>
    <n v="-1E-4"/>
    <n v="0"/>
    <n v="-1.55E-2"/>
    <n v="3.5999999999999999E-3"/>
    <n v="-2.0000000000000001E-4"/>
    <n v="0"/>
    <n v="0"/>
    <n v="408"/>
    <n v="0.1"/>
    <n v="0"/>
    <n v="0"/>
    <n v="0"/>
    <n v="43"/>
    <n v="0"/>
  </r>
  <r>
    <x v="0"/>
    <x v="0"/>
    <s v="SPXW"/>
    <x v="8"/>
    <x v="5"/>
    <s v="p"/>
    <n v="0"/>
    <n v="0"/>
    <n v="0"/>
    <n v="0"/>
    <n v="0"/>
    <n v="0"/>
    <n v="0"/>
    <n v="229"/>
    <n v="0.05"/>
    <n v="0"/>
    <n v="0"/>
    <n v="0"/>
    <n v="0"/>
    <n v="1.1436999999999999"/>
    <n v="-1E-4"/>
    <n v="0"/>
    <n v="-1.54E-2"/>
    <n v="3.8999999999999998E-3"/>
    <n v="-2.0000000000000001E-4"/>
    <n v="0"/>
    <n v="0"/>
    <n v="391"/>
    <n v="0.1"/>
    <n v="0"/>
    <n v="0"/>
    <n v="0"/>
    <n v="81"/>
    <n v="0"/>
  </r>
  <r>
    <x v="0"/>
    <x v="0"/>
    <s v="SPXW"/>
    <x v="8"/>
    <x v="6"/>
    <s v="p"/>
    <n v="0"/>
    <n v="0"/>
    <n v="0"/>
    <n v="0"/>
    <n v="0"/>
    <n v="0"/>
    <n v="0"/>
    <n v="799"/>
    <n v="0.1"/>
    <n v="0"/>
    <n v="0"/>
    <n v="0"/>
    <n v="0"/>
    <n v="1.1051"/>
    <n v="-2.0000000000000001E-4"/>
    <n v="0"/>
    <n v="-2.92E-2"/>
    <n v="7.3000000000000001E-3"/>
    <n v="-2.9999999999999997E-4"/>
    <n v="0"/>
    <n v="0"/>
    <n v="374"/>
    <n v="0.1"/>
    <n v="0"/>
    <n v="0"/>
    <n v="0"/>
    <n v="26"/>
    <n v="0"/>
  </r>
  <r>
    <x v="0"/>
    <x v="0"/>
    <s v="SPXW"/>
    <x v="8"/>
    <x v="7"/>
    <s v="p"/>
    <n v="0"/>
    <n v="0"/>
    <n v="0"/>
    <n v="0"/>
    <n v="0"/>
    <n v="0"/>
    <n v="0"/>
    <n v="712"/>
    <n v="0.1"/>
    <n v="0"/>
    <n v="0"/>
    <n v="0"/>
    <n v="0"/>
    <n v="1.0203"/>
    <n v="-2.0000000000000001E-4"/>
    <n v="0"/>
    <n v="-2.9100000000000001E-2"/>
    <n v="7.9000000000000008E-3"/>
    <n v="-2.9999999999999997E-4"/>
    <n v="0"/>
    <n v="0"/>
    <n v="25"/>
    <n v="0.05"/>
    <n v="0"/>
    <n v="0"/>
    <n v="0"/>
    <n v="74"/>
    <n v="0"/>
  </r>
  <r>
    <x v="0"/>
    <x v="0"/>
    <s v="SPXW"/>
    <x v="8"/>
    <x v="8"/>
    <s v="p"/>
    <n v="0"/>
    <n v="0"/>
    <n v="0"/>
    <n v="0"/>
    <n v="0"/>
    <n v="0"/>
    <n v="0"/>
    <n v="750"/>
    <n v="0.05"/>
    <n v="0"/>
    <n v="0"/>
    <n v="0"/>
    <n v="0"/>
    <n v="0.89910000000000001"/>
    <n v="-1E-4"/>
    <n v="0"/>
    <n v="-1.52E-2"/>
    <n v="4.8999999999999998E-3"/>
    <n v="-2.0000000000000001E-4"/>
    <n v="0"/>
    <n v="0"/>
    <n v="750"/>
    <n v="0.05"/>
    <n v="0"/>
    <n v="0"/>
    <n v="0"/>
    <n v="95"/>
    <n v="0"/>
  </r>
  <r>
    <x v="0"/>
    <x v="0"/>
    <s v="SPXW"/>
    <x v="8"/>
    <x v="9"/>
    <s v="p"/>
    <n v="0"/>
    <n v="0"/>
    <n v="0"/>
    <n v="0"/>
    <n v="0"/>
    <n v="0"/>
    <n v="0"/>
    <n v="474"/>
    <n v="0.1"/>
    <n v="0"/>
    <n v="0"/>
    <n v="0"/>
    <n v="0"/>
    <n v="0.86229999999999996"/>
    <n v="-2.0000000000000001E-4"/>
    <n v="0"/>
    <n v="-2.8799999999999999E-2"/>
    <n v="9.4000000000000004E-3"/>
    <n v="-4.0000000000000002E-4"/>
    <n v="0"/>
    <n v="0"/>
    <n v="395"/>
    <n v="0.15"/>
    <n v="0"/>
    <n v="0"/>
    <n v="0"/>
    <n v="2273"/>
    <n v="0"/>
  </r>
  <r>
    <x v="0"/>
    <x v="0"/>
    <s v="SPXW"/>
    <x v="8"/>
    <x v="10"/>
    <s v="p"/>
    <n v="0.05"/>
    <n v="0.05"/>
    <n v="0.05"/>
    <n v="0.05"/>
    <n v="500"/>
    <n v="0"/>
    <n v="0"/>
    <n v="173"/>
    <n v="0.1"/>
    <n v="0"/>
    <n v="0"/>
    <n v="0"/>
    <n v="0"/>
    <n v="0.78839999999999999"/>
    <n v="-2.0000000000000001E-4"/>
    <n v="0"/>
    <n v="-2.87E-2"/>
    <n v="1.0200000000000001E-2"/>
    <n v="-4.0000000000000002E-4"/>
    <n v="0"/>
    <n v="0"/>
    <n v="344"/>
    <n v="0.15"/>
    <n v="0"/>
    <n v="0"/>
    <n v="0.05"/>
    <n v="1219"/>
    <n v="0"/>
  </r>
  <r>
    <x v="0"/>
    <x v="0"/>
    <s v="SPXW"/>
    <x v="8"/>
    <x v="11"/>
    <s v="p"/>
    <n v="0.1"/>
    <n v="0.1"/>
    <n v="0.1"/>
    <n v="0.1"/>
    <n v="1"/>
    <n v="0"/>
    <n v="0"/>
    <n v="308"/>
    <n v="0.15"/>
    <n v="0"/>
    <n v="0"/>
    <n v="0"/>
    <n v="0"/>
    <n v="0.7379"/>
    <n v="-4.0000000000000002E-4"/>
    <n v="0"/>
    <n v="-4.1399999999999999E-2"/>
    <n v="1.54E-2"/>
    <n v="-6.9999999999999999E-4"/>
    <n v="0"/>
    <n v="0"/>
    <n v="374"/>
    <n v="0.2"/>
    <n v="0"/>
    <n v="0"/>
    <n v="0.1"/>
    <n v="235"/>
    <n v="0"/>
  </r>
  <r>
    <x v="0"/>
    <x v="0"/>
    <s v="SPXW"/>
    <x v="8"/>
    <x v="12"/>
    <s v="p"/>
    <n v="0.15"/>
    <n v="0.17"/>
    <n v="0.15"/>
    <n v="0.17"/>
    <n v="14"/>
    <n v="25"/>
    <n v="0.1"/>
    <n v="51"/>
    <n v="0.15"/>
    <n v="0"/>
    <n v="0"/>
    <n v="0"/>
    <n v="0"/>
    <n v="0.69350000000000001"/>
    <n v="-5.9999999999999995E-4"/>
    <n v="0"/>
    <n v="-6.54E-2"/>
    <n v="2.5399999999999999E-2"/>
    <n v="-1.1999999999999999E-3"/>
    <n v="21"/>
    <n v="0.05"/>
    <n v="1"/>
    <n v="0.15"/>
    <n v="0"/>
    <n v="0"/>
    <n v="0.1686"/>
    <n v="1423"/>
    <n v="0"/>
  </r>
  <r>
    <x v="0"/>
    <x v="0"/>
    <s v="SPXW"/>
    <x v="8"/>
    <x v="14"/>
    <s v="p"/>
    <n v="0.15"/>
    <n v="0.15"/>
    <n v="0.15"/>
    <n v="0.15"/>
    <n v="1"/>
    <n v="113"/>
    <n v="0.1"/>
    <n v="618"/>
    <n v="0.25"/>
    <n v="0"/>
    <n v="0"/>
    <n v="0"/>
    <n v="0"/>
    <n v="0.64039999999999997"/>
    <n v="-8.9999999999999998E-4"/>
    <n v="0"/>
    <n v="-8.7900000000000006E-2"/>
    <n v="3.6400000000000002E-2"/>
    <n v="-1.6999999999999999E-3"/>
    <n v="10"/>
    <n v="0.1"/>
    <n v="281"/>
    <n v="0.25"/>
    <n v="0"/>
    <n v="0"/>
    <n v="0.15"/>
    <n v="851"/>
    <n v="0"/>
  </r>
  <r>
    <x v="0"/>
    <x v="0"/>
    <s v="SPXW"/>
    <x v="8"/>
    <x v="15"/>
    <s v="p"/>
    <n v="0"/>
    <n v="0"/>
    <n v="0"/>
    <n v="0"/>
    <n v="0"/>
    <n v="476"/>
    <n v="0.1"/>
    <n v="376"/>
    <n v="0.25"/>
    <n v="0"/>
    <n v="0"/>
    <n v="0"/>
    <n v="0"/>
    <n v="0.60540000000000005"/>
    <n v="-8.9999999999999998E-4"/>
    <n v="0"/>
    <n v="-8.7499999999999994E-2"/>
    <n v="3.8399999999999997E-2"/>
    <n v="-1.8E-3"/>
    <n v="46"/>
    <n v="0.1"/>
    <n v="345"/>
    <n v="0.3"/>
    <n v="0"/>
    <n v="0"/>
    <n v="0"/>
    <n v="2614"/>
    <n v="0"/>
  </r>
  <r>
    <x v="0"/>
    <x v="0"/>
    <s v="SPXW"/>
    <x v="8"/>
    <x v="16"/>
    <s v="p"/>
    <n v="0.25"/>
    <n v="0.25"/>
    <n v="0.25"/>
    <n v="0.25"/>
    <n v="100"/>
    <n v="400"/>
    <n v="0.15"/>
    <n v="395"/>
    <n v="0.3"/>
    <n v="0"/>
    <n v="0"/>
    <n v="0"/>
    <n v="0"/>
    <n v="0.58330000000000004"/>
    <n v="-1.1999999999999999E-3"/>
    <n v="0"/>
    <n v="-0.1091"/>
    <n v="4.9000000000000002E-2"/>
    <n v="-2.3E-3"/>
    <n v="30"/>
    <n v="0.15"/>
    <n v="345"/>
    <n v="0.35"/>
    <n v="0"/>
    <n v="0"/>
    <n v="0.25"/>
    <n v="126"/>
    <n v="0"/>
  </r>
  <r>
    <x v="0"/>
    <x v="0"/>
    <s v="SPXW"/>
    <x v="8"/>
    <x v="18"/>
    <s v="p"/>
    <n v="0.2"/>
    <n v="0.2"/>
    <n v="0.2"/>
    <n v="0.2"/>
    <n v="1"/>
    <n v="485"/>
    <n v="0.2"/>
    <n v="340"/>
    <n v="0.35"/>
    <n v="0"/>
    <n v="0"/>
    <n v="0"/>
    <n v="0"/>
    <n v="0.55830000000000002"/>
    <n v="-1.5E-3"/>
    <n v="0"/>
    <n v="-0.1298"/>
    <n v="6.0400000000000002E-2"/>
    <n v="-2.8999999999999998E-3"/>
    <n v="10"/>
    <n v="0.2"/>
    <n v="198"/>
    <n v="0.35"/>
    <n v="0"/>
    <n v="0"/>
    <n v="0.2"/>
    <n v="219"/>
    <n v="0"/>
  </r>
  <r>
    <x v="0"/>
    <x v="0"/>
    <s v="SPXW"/>
    <x v="8"/>
    <x v="22"/>
    <s v="p"/>
    <n v="0.34"/>
    <n v="0.55000000000000004"/>
    <n v="0.25"/>
    <n v="0.31"/>
    <n v="24"/>
    <n v="554"/>
    <n v="0.25"/>
    <n v="239"/>
    <n v="0.4"/>
    <n v="0"/>
    <n v="0"/>
    <n v="0"/>
    <n v="0"/>
    <n v="0.53200000000000003"/>
    <n v="-1.9E-3"/>
    <n v="0"/>
    <n v="-0.14960000000000001"/>
    <n v="7.2599999999999998E-2"/>
    <n v="-3.5999999999999999E-3"/>
    <n v="10"/>
    <n v="0.25"/>
    <n v="191"/>
    <n v="0.4"/>
    <n v="0"/>
    <n v="0"/>
    <n v="0.35"/>
    <n v="568"/>
    <n v="0"/>
  </r>
  <r>
    <x v="0"/>
    <x v="0"/>
    <s v="SPXW"/>
    <x v="8"/>
    <x v="26"/>
    <s v="p"/>
    <n v="0.3"/>
    <n v="0.6"/>
    <n v="0.3"/>
    <n v="0.4"/>
    <n v="32"/>
    <n v="496"/>
    <n v="0.3"/>
    <n v="169"/>
    <n v="0.45"/>
    <n v="0"/>
    <n v="0"/>
    <n v="0"/>
    <n v="0"/>
    <n v="0.50409999999999999"/>
    <n v="-2.2000000000000001E-3"/>
    <n v="0"/>
    <n v="-0.1686"/>
    <n v="8.5699999999999998E-2"/>
    <n v="-4.3E-3"/>
    <n v="43"/>
    <n v="0.3"/>
    <n v="410"/>
    <n v="0.5"/>
    <n v="0"/>
    <n v="0"/>
    <n v="0.4375"/>
    <n v="275"/>
    <n v="0"/>
  </r>
  <r>
    <x v="0"/>
    <x v="0"/>
    <s v="SPXW"/>
    <x v="8"/>
    <x v="30"/>
    <s v="p"/>
    <n v="0.35"/>
    <n v="0.7"/>
    <n v="0.35"/>
    <n v="0.5"/>
    <n v="115"/>
    <n v="326"/>
    <n v="0.4"/>
    <n v="207"/>
    <n v="0.55000000000000004"/>
    <n v="0"/>
    <n v="0"/>
    <n v="0"/>
    <n v="0"/>
    <n v="0.48070000000000002"/>
    <n v="-2.8999999999999998E-3"/>
    <n v="0"/>
    <n v="-0.20610000000000001"/>
    <n v="0.1086"/>
    <n v="-5.5999999999999999E-3"/>
    <n v="229"/>
    <n v="0.35"/>
    <n v="164"/>
    <n v="0.55000000000000004"/>
    <n v="0"/>
    <n v="0"/>
    <n v="0.58199999999999996"/>
    <n v="630"/>
    <n v="0"/>
  </r>
  <r>
    <x v="0"/>
    <x v="0"/>
    <s v="SPXW"/>
    <x v="8"/>
    <x v="33"/>
    <s v="p"/>
    <n v="0.42"/>
    <n v="0.85"/>
    <n v="0.42"/>
    <n v="0.75"/>
    <n v="107"/>
    <n v="627"/>
    <n v="0.45"/>
    <n v="101"/>
    <n v="0.6"/>
    <n v="0"/>
    <n v="0"/>
    <n v="0"/>
    <n v="0"/>
    <n v="0.45910000000000001"/>
    <n v="-3.3E-3"/>
    <n v="0"/>
    <n v="-0.2235"/>
    <n v="0.12280000000000001"/>
    <n v="-6.4000000000000003E-3"/>
    <n v="40"/>
    <n v="0.45"/>
    <n v="155"/>
    <n v="0.6"/>
    <n v="0"/>
    <n v="0"/>
    <n v="0.70499999999999996"/>
    <n v="511"/>
    <n v="0"/>
  </r>
  <r>
    <x v="0"/>
    <x v="0"/>
    <s v="SPXW"/>
    <x v="8"/>
    <x v="34"/>
    <s v="p"/>
    <n v="0.63"/>
    <n v="0.83"/>
    <n v="0.56999999999999995"/>
    <n v="0.56999999999999995"/>
    <n v="2060"/>
    <n v="358"/>
    <n v="0.5"/>
    <n v="194"/>
    <n v="0.65"/>
    <n v="0"/>
    <n v="0"/>
    <n v="0"/>
    <n v="0"/>
    <n v="0.4546"/>
    <n v="-3.5999999999999999E-3"/>
    <n v="0"/>
    <n v="-0.2414"/>
    <n v="0.1333"/>
    <n v="-7.0000000000000001E-3"/>
    <n v="135"/>
    <n v="0.45"/>
    <n v="152"/>
    <n v="0.65"/>
    <n v="0"/>
    <n v="0"/>
    <n v="0.82650000000000001"/>
    <n v="406"/>
    <n v="0"/>
  </r>
  <r>
    <x v="0"/>
    <x v="0"/>
    <s v="SPXW"/>
    <x v="8"/>
    <x v="35"/>
    <s v="p"/>
    <n v="0.5"/>
    <n v="0.8"/>
    <n v="0.47"/>
    <n v="0.55000000000000004"/>
    <n v="69"/>
    <n v="609"/>
    <n v="0.5"/>
    <n v="300"/>
    <n v="0.7"/>
    <n v="0"/>
    <n v="0"/>
    <n v="0"/>
    <n v="0"/>
    <n v="0.44800000000000001"/>
    <n v="-3.8E-3"/>
    <n v="0"/>
    <n v="-0.25"/>
    <n v="0.13969999999999999"/>
    <n v="-7.4000000000000003E-3"/>
    <n v="123"/>
    <n v="0.5"/>
    <n v="139"/>
    <n v="0.65"/>
    <n v="0"/>
    <n v="0"/>
    <n v="0.70779999999999998"/>
    <n v="12"/>
    <n v="0"/>
  </r>
  <r>
    <x v="0"/>
    <x v="0"/>
    <s v="SPXW"/>
    <x v="8"/>
    <x v="36"/>
    <s v="p"/>
    <n v="0.7"/>
    <n v="0.7"/>
    <n v="0.7"/>
    <n v="0.7"/>
    <n v="21"/>
    <n v="489"/>
    <n v="0.55000000000000004"/>
    <n v="159"/>
    <n v="0.7"/>
    <n v="0"/>
    <n v="0"/>
    <n v="0"/>
    <n v="0"/>
    <n v="0.441"/>
    <n v="-4.0000000000000001E-3"/>
    <n v="0"/>
    <n v="-0.25840000000000002"/>
    <n v="0.14630000000000001"/>
    <n v="-7.7999999999999996E-3"/>
    <n v="18"/>
    <n v="0.55000000000000004"/>
    <n v="147"/>
    <n v="0.7"/>
    <n v="0"/>
    <n v="0"/>
    <n v="0.7"/>
    <n v="389"/>
    <n v="0"/>
  </r>
  <r>
    <x v="0"/>
    <x v="0"/>
    <s v="SPXW"/>
    <x v="8"/>
    <x v="37"/>
    <s v="p"/>
    <n v="0.61"/>
    <n v="1"/>
    <n v="0.6"/>
    <n v="0.7"/>
    <n v="93"/>
    <n v="231"/>
    <n v="0.6"/>
    <n v="273"/>
    <n v="0.75"/>
    <n v="0"/>
    <n v="0"/>
    <n v="0"/>
    <n v="0"/>
    <n v="0.43590000000000001"/>
    <n v="-4.3E-3"/>
    <n v="0"/>
    <n v="-0.27560000000000001"/>
    <n v="0.15720000000000001"/>
    <n v="-8.3999999999999995E-3"/>
    <n v="127"/>
    <n v="0.55000000000000004"/>
    <n v="351"/>
    <n v="0.75"/>
    <n v="0"/>
    <n v="0"/>
    <n v="0.82599999999999996"/>
    <n v="827"/>
    <n v="0"/>
  </r>
  <r>
    <x v="0"/>
    <x v="0"/>
    <s v="SPXW"/>
    <x v="8"/>
    <x v="38"/>
    <s v="p"/>
    <n v="0.8"/>
    <n v="0.8"/>
    <n v="0.7"/>
    <n v="0.7"/>
    <n v="20"/>
    <n v="523"/>
    <n v="0.6"/>
    <n v="58"/>
    <n v="0.75"/>
    <n v="0"/>
    <n v="0"/>
    <n v="0"/>
    <n v="0"/>
    <n v="0.42699999999999999"/>
    <n v="-4.4000000000000003E-3"/>
    <n v="0"/>
    <n v="-0.27479999999999999"/>
    <n v="0.16009999999999999"/>
    <n v="-8.6E-3"/>
    <n v="93"/>
    <n v="0.6"/>
    <n v="131"/>
    <n v="0.75"/>
    <n v="0"/>
    <n v="0"/>
    <n v="0.72499999999999998"/>
    <n v="425"/>
    <n v="0"/>
  </r>
  <r>
    <x v="0"/>
    <x v="0"/>
    <s v="SPXW"/>
    <x v="8"/>
    <x v="39"/>
    <s v="p"/>
    <n v="0.75"/>
    <n v="0.95"/>
    <n v="0.7"/>
    <n v="0.7"/>
    <n v="95"/>
    <n v="256"/>
    <n v="0.65"/>
    <n v="326"/>
    <n v="0.8"/>
    <n v="0"/>
    <n v="0"/>
    <n v="0"/>
    <n v="0"/>
    <n v="0.42149999999999999"/>
    <n v="-4.7999999999999996E-3"/>
    <n v="0"/>
    <n v="-0.29160000000000003"/>
    <n v="0.1716"/>
    <n v="-9.1999999999999998E-3"/>
    <n v="82"/>
    <n v="0.65"/>
    <n v="139"/>
    <n v="0.8"/>
    <n v="0"/>
    <n v="0"/>
    <n v="0.86050000000000004"/>
    <n v="95"/>
    <n v="0"/>
  </r>
  <r>
    <x v="0"/>
    <x v="0"/>
    <s v="SPXW"/>
    <x v="8"/>
    <x v="40"/>
    <s v="p"/>
    <n v="0.62"/>
    <n v="1.2"/>
    <n v="0.62"/>
    <n v="1.2"/>
    <n v="116"/>
    <n v="215"/>
    <n v="0.7"/>
    <n v="279"/>
    <n v="0.85"/>
    <n v="0"/>
    <n v="0"/>
    <n v="0"/>
    <n v="0"/>
    <n v="0.41570000000000001"/>
    <n v="-5.1000000000000004E-3"/>
    <n v="0"/>
    <n v="-0.308"/>
    <n v="0.18329999999999999"/>
    <n v="-9.9000000000000008E-3"/>
    <n v="115"/>
    <n v="0.65"/>
    <n v="335"/>
    <n v="0.85"/>
    <n v="0"/>
    <n v="0"/>
    <n v="0.96870000000000001"/>
    <n v="120"/>
    <n v="0"/>
  </r>
  <r>
    <x v="0"/>
    <x v="0"/>
    <s v="SPXW"/>
    <x v="8"/>
    <x v="41"/>
    <s v="p"/>
    <n v="0.7"/>
    <n v="1.1000000000000001"/>
    <n v="0.7"/>
    <n v="1.1000000000000001"/>
    <n v="95"/>
    <n v="147"/>
    <n v="0.75"/>
    <n v="58"/>
    <n v="0.85"/>
    <n v="0"/>
    <n v="0"/>
    <n v="0"/>
    <n v="0"/>
    <n v="0.40839999999999999"/>
    <n v="-5.4000000000000003E-3"/>
    <n v="0"/>
    <n v="-0.31569999999999998"/>
    <n v="0.191"/>
    <n v="-1.04E-2"/>
    <n v="87"/>
    <n v="0.7"/>
    <n v="57"/>
    <n v="0.85"/>
    <n v="0"/>
    <n v="0"/>
    <n v="1"/>
    <n v="128"/>
    <n v="0"/>
  </r>
  <r>
    <x v="0"/>
    <x v="0"/>
    <s v="SPXW"/>
    <x v="8"/>
    <x v="42"/>
    <s v="p"/>
    <n v="0.72"/>
    <n v="1.1000000000000001"/>
    <n v="0.69"/>
    <n v="1.1000000000000001"/>
    <n v="96"/>
    <n v="248"/>
    <n v="0.75"/>
    <n v="318"/>
    <n v="0.9"/>
    <n v="0"/>
    <n v="0"/>
    <n v="0"/>
    <n v="0"/>
    <n v="0.40089999999999998"/>
    <n v="-5.5999999999999999E-3"/>
    <n v="0"/>
    <n v="-0.32319999999999999"/>
    <n v="0.19889999999999999"/>
    <n v="-1.09E-2"/>
    <n v="85"/>
    <n v="0.75"/>
    <n v="131"/>
    <n v="0.9"/>
    <n v="0"/>
    <n v="0"/>
    <n v="1.032"/>
    <n v="347"/>
    <n v="0"/>
  </r>
  <r>
    <x v="0"/>
    <x v="0"/>
    <s v="SPXW"/>
    <x v="8"/>
    <x v="43"/>
    <s v="p"/>
    <n v="1.1000000000000001"/>
    <n v="1.1499999999999999"/>
    <n v="1.1000000000000001"/>
    <n v="1.1499999999999999"/>
    <n v="70"/>
    <n v="244"/>
    <n v="0.8"/>
    <n v="184"/>
    <n v="0.95"/>
    <n v="0"/>
    <n v="0"/>
    <n v="0"/>
    <n v="0"/>
    <n v="0.3947"/>
    <n v="-6.0000000000000001E-3"/>
    <n v="0"/>
    <n v="-0.33889999999999998"/>
    <n v="0.2112"/>
    <n v="-1.17E-2"/>
    <n v="73"/>
    <n v="0.8"/>
    <n v="272"/>
    <n v="0.95"/>
    <n v="0"/>
    <n v="0"/>
    <n v="1.1429"/>
    <n v="213"/>
    <n v="0"/>
  </r>
  <r>
    <x v="0"/>
    <x v="0"/>
    <s v="SPXW"/>
    <x v="8"/>
    <x v="44"/>
    <s v="p"/>
    <n v="0.72"/>
    <n v="0.72"/>
    <n v="0.72"/>
    <n v="0.72"/>
    <n v="3"/>
    <n v="174"/>
    <n v="0.85"/>
    <n v="171"/>
    <n v="1"/>
    <n v="0"/>
    <n v="0"/>
    <n v="0"/>
    <n v="0"/>
    <n v="0.38829999999999998"/>
    <n v="-6.4000000000000003E-3"/>
    <n v="0"/>
    <n v="-0.3543"/>
    <n v="0.22359999999999999"/>
    <n v="-1.24E-2"/>
    <n v="108"/>
    <n v="0.8"/>
    <n v="310"/>
    <n v="1"/>
    <n v="0"/>
    <n v="0"/>
    <n v="0.72"/>
    <n v="46"/>
    <n v="0"/>
  </r>
  <r>
    <x v="0"/>
    <x v="0"/>
    <s v="SPXW"/>
    <x v="8"/>
    <x v="45"/>
    <s v="p"/>
    <n v="0.77"/>
    <n v="0.77"/>
    <n v="0.77"/>
    <n v="0.77"/>
    <n v="3"/>
    <n v="97"/>
    <n v="0.9"/>
    <n v="183"/>
    <n v="1.05"/>
    <n v="0"/>
    <n v="0"/>
    <n v="0"/>
    <n v="0"/>
    <n v="0.38169999999999998"/>
    <n v="-6.7999999999999996E-3"/>
    <n v="0"/>
    <n v="-0.36940000000000001"/>
    <n v="0.2364"/>
    <n v="-1.3299999999999999E-2"/>
    <n v="101"/>
    <n v="0.85"/>
    <n v="313"/>
    <n v="1.05"/>
    <n v="0"/>
    <n v="0"/>
    <n v="0.77"/>
    <n v="41"/>
    <n v="0"/>
  </r>
  <r>
    <x v="0"/>
    <x v="0"/>
    <s v="SPXW"/>
    <x v="8"/>
    <x v="46"/>
    <s v="p"/>
    <n v="1.05"/>
    <n v="1.05"/>
    <n v="1.05"/>
    <n v="1.05"/>
    <n v="1"/>
    <n v="170"/>
    <n v="0.95"/>
    <n v="185"/>
    <n v="1.1000000000000001"/>
    <n v="0"/>
    <n v="0"/>
    <n v="0"/>
    <n v="0"/>
    <n v="0.37490000000000001"/>
    <n v="-7.1999999999999998E-3"/>
    <n v="0"/>
    <n v="-0.38419999999999999"/>
    <n v="0.24959999999999999"/>
    <n v="-1.41E-2"/>
    <n v="96"/>
    <n v="0.9"/>
    <n v="315"/>
    <n v="1.1000000000000001"/>
    <n v="0"/>
    <n v="0"/>
    <n v="1.05"/>
    <n v="556"/>
    <n v="0"/>
  </r>
  <r>
    <x v="0"/>
    <x v="0"/>
    <s v="SPXW"/>
    <x v="8"/>
    <x v="47"/>
    <s v="p"/>
    <n v="0"/>
    <n v="0"/>
    <n v="0"/>
    <n v="0"/>
    <n v="0"/>
    <n v="93"/>
    <n v="1"/>
    <n v="180"/>
    <n v="1.1499999999999999"/>
    <n v="0"/>
    <n v="0"/>
    <n v="0"/>
    <n v="0"/>
    <n v="0.36809999999999998"/>
    <n v="-7.7000000000000002E-3"/>
    <n v="1E-4"/>
    <n v="-0.3987"/>
    <n v="0.26329999999999998"/>
    <n v="-1.49E-2"/>
    <n v="99"/>
    <n v="0.95"/>
    <n v="308"/>
    <n v="1.1499999999999999"/>
    <n v="0"/>
    <n v="0"/>
    <n v="0"/>
    <n v="61"/>
    <n v="0"/>
  </r>
  <r>
    <x v="0"/>
    <x v="0"/>
    <s v="SPXW"/>
    <x v="8"/>
    <x v="50"/>
    <s v="p"/>
    <n v="1.8"/>
    <n v="1.8"/>
    <n v="1.8"/>
    <n v="1.8"/>
    <n v="3"/>
    <n v="166"/>
    <n v="1.05"/>
    <n v="158"/>
    <n v="1.2"/>
    <n v="0"/>
    <n v="0"/>
    <n v="0"/>
    <n v="0"/>
    <n v="0.36120000000000002"/>
    <n v="-8.0999999999999996E-3"/>
    <n v="1E-4"/>
    <n v="-0.41299999999999998"/>
    <n v="0.27739999999999998"/>
    <n v="-1.5800000000000002E-2"/>
    <n v="91"/>
    <n v="1"/>
    <n v="294"/>
    <n v="1.2"/>
    <n v="0"/>
    <n v="0"/>
    <n v="1.8"/>
    <n v="52"/>
    <n v="0"/>
  </r>
  <r>
    <x v="0"/>
    <x v="0"/>
    <s v="SPXW"/>
    <x v="8"/>
    <x v="53"/>
    <s v="p"/>
    <n v="1.2"/>
    <n v="1.22"/>
    <n v="1.2"/>
    <n v="1.22"/>
    <n v="2"/>
    <n v="193"/>
    <n v="1.1000000000000001"/>
    <n v="233"/>
    <n v="1.25"/>
    <n v="0"/>
    <n v="0"/>
    <n v="0"/>
    <n v="0"/>
    <n v="0.35399999999999998"/>
    <n v="-8.6E-3"/>
    <n v="1E-4"/>
    <n v="-0.42680000000000001"/>
    <n v="0.29210000000000003"/>
    <n v="-1.6799999999999999E-2"/>
    <n v="63"/>
    <n v="1.1000000000000001"/>
    <n v="233"/>
    <n v="1.25"/>
    <n v="0"/>
    <n v="0"/>
    <n v="1.21"/>
    <n v="446"/>
    <n v="0"/>
  </r>
  <r>
    <x v="0"/>
    <x v="0"/>
    <s v="SPXW"/>
    <x v="8"/>
    <x v="56"/>
    <s v="p"/>
    <n v="1.03"/>
    <n v="1.2"/>
    <n v="1.03"/>
    <n v="1.2"/>
    <n v="12"/>
    <n v="191"/>
    <n v="1.1499999999999999"/>
    <n v="102"/>
    <n v="1.3"/>
    <n v="0"/>
    <n v="0"/>
    <n v="0"/>
    <n v="0"/>
    <n v="0.3468"/>
    <n v="-9.1000000000000004E-3"/>
    <n v="1E-4"/>
    <n v="-0.44040000000000001"/>
    <n v="0.30709999999999998"/>
    <n v="-1.78E-2"/>
    <n v="61"/>
    <n v="1.1499999999999999"/>
    <n v="191"/>
    <n v="1.3"/>
    <n v="0"/>
    <n v="0"/>
    <n v="1.0608"/>
    <n v="432"/>
    <n v="0"/>
  </r>
  <r>
    <x v="0"/>
    <x v="0"/>
    <s v="SPXW"/>
    <x v="8"/>
    <x v="59"/>
    <s v="p"/>
    <n v="1.34"/>
    <n v="1.34"/>
    <n v="1.34"/>
    <n v="1.34"/>
    <n v="2"/>
    <n v="159"/>
    <n v="1.25"/>
    <n v="152"/>
    <n v="1.4"/>
    <n v="0"/>
    <n v="0"/>
    <n v="0"/>
    <n v="0"/>
    <n v="0.3412"/>
    <n v="-9.9000000000000008E-3"/>
    <n v="1E-4"/>
    <n v="-0.46870000000000001"/>
    <n v="0.3306"/>
    <n v="-1.9400000000000001E-2"/>
    <n v="75"/>
    <n v="1.2"/>
    <n v="262"/>
    <n v="1.4"/>
    <n v="0"/>
    <n v="0"/>
    <n v="1.34"/>
    <n v="118"/>
    <n v="0"/>
  </r>
  <r>
    <x v="0"/>
    <x v="0"/>
    <s v="SPXW"/>
    <x v="8"/>
    <x v="62"/>
    <s v="p"/>
    <n v="1.17"/>
    <n v="1.65"/>
    <n v="1.17"/>
    <n v="1.42"/>
    <n v="41"/>
    <n v="142"/>
    <n v="1.3"/>
    <n v="91"/>
    <n v="1.45"/>
    <n v="0"/>
    <n v="0"/>
    <n v="0"/>
    <n v="0"/>
    <n v="0.33360000000000001"/>
    <n v="-1.0500000000000001E-2"/>
    <n v="1E-4"/>
    <n v="-0.48130000000000001"/>
    <n v="0.34649999999999997"/>
    <n v="-2.0400000000000001E-2"/>
    <n v="59"/>
    <n v="1.3"/>
    <n v="222"/>
    <n v="1.45"/>
    <n v="0"/>
    <n v="0"/>
    <n v="1.5273000000000001"/>
    <n v="876"/>
    <n v="0"/>
  </r>
  <r>
    <x v="0"/>
    <x v="0"/>
    <s v="SPXW"/>
    <x v="8"/>
    <x v="65"/>
    <s v="p"/>
    <n v="2.13"/>
    <n v="2.13"/>
    <n v="2.13"/>
    <n v="2.13"/>
    <n v="2000"/>
    <n v="185"/>
    <n v="1.4"/>
    <n v="218"/>
    <n v="1.55"/>
    <n v="0"/>
    <n v="0"/>
    <n v="0"/>
    <n v="0"/>
    <n v="0.32729999999999998"/>
    <n v="-1.1299999999999999E-2"/>
    <n v="1E-4"/>
    <n v="-0.50829999999999997"/>
    <n v="0.37119999999999997"/>
    <n v="-2.2100000000000002E-2"/>
    <n v="73"/>
    <n v="1.35"/>
    <n v="213"/>
    <n v="1.55"/>
    <n v="0"/>
    <n v="0"/>
    <n v="2.13"/>
    <n v="101"/>
    <n v="0"/>
  </r>
  <r>
    <x v="0"/>
    <x v="0"/>
    <s v="SPXW"/>
    <x v="8"/>
    <x v="68"/>
    <s v="p"/>
    <n v="1.26"/>
    <n v="2.4"/>
    <n v="1.26"/>
    <n v="1.69"/>
    <n v="24"/>
    <n v="153"/>
    <n v="1.5"/>
    <n v="221"/>
    <n v="1.65"/>
    <n v="0"/>
    <n v="0"/>
    <n v="0"/>
    <n v="0"/>
    <n v="0.3211"/>
    <n v="-1.2200000000000001E-2"/>
    <n v="1E-4"/>
    <n v="-0.53449999999999998"/>
    <n v="0.39650000000000002"/>
    <n v="-2.3800000000000002E-2"/>
    <n v="72"/>
    <n v="1.45"/>
    <n v="216"/>
    <n v="1.65"/>
    <n v="0"/>
    <n v="0"/>
    <n v="1.7045999999999999"/>
    <n v="579"/>
    <n v="0"/>
  </r>
  <r>
    <x v="0"/>
    <x v="0"/>
    <s v="SPXW"/>
    <x v="8"/>
    <x v="71"/>
    <s v="p"/>
    <n v="1.42"/>
    <n v="1.42"/>
    <n v="1.42"/>
    <n v="1.42"/>
    <n v="1"/>
    <n v="152"/>
    <n v="1.6"/>
    <n v="220"/>
    <n v="1.75"/>
    <n v="0"/>
    <n v="0"/>
    <n v="0"/>
    <n v="0"/>
    <n v="0.3145"/>
    <n v="-1.32E-2"/>
    <n v="1E-4"/>
    <n v="-0.55989999999999995"/>
    <n v="0.4229"/>
    <n v="-2.5700000000000001E-2"/>
    <n v="70"/>
    <n v="1.55"/>
    <n v="204"/>
    <n v="1.75"/>
    <n v="0"/>
    <n v="0"/>
    <n v="1.42"/>
    <n v="62"/>
    <n v="0"/>
  </r>
  <r>
    <x v="0"/>
    <x v="0"/>
    <s v="SPXW"/>
    <x v="8"/>
    <x v="74"/>
    <s v="p"/>
    <n v="1.54"/>
    <n v="1.54"/>
    <n v="1.4"/>
    <n v="1.4"/>
    <n v="12"/>
    <n v="182"/>
    <n v="1.7"/>
    <n v="183"/>
    <n v="1.9"/>
    <n v="0"/>
    <n v="0"/>
    <n v="0"/>
    <n v="0"/>
    <n v="0.30819999999999997"/>
    <n v="-1.43E-2"/>
    <n v="1E-4"/>
    <n v="-0.59130000000000005"/>
    <n v="0.45419999999999999"/>
    <n v="-2.7900000000000001E-2"/>
    <n v="73"/>
    <n v="1.65"/>
    <n v="177"/>
    <n v="1.85"/>
    <n v="0"/>
    <n v="0"/>
    <n v="1.5266999999999999"/>
    <n v="272"/>
    <n v="0"/>
  </r>
  <r>
    <x v="0"/>
    <x v="0"/>
    <s v="SPXW"/>
    <x v="8"/>
    <x v="77"/>
    <s v="p"/>
    <n v="1.75"/>
    <n v="1.94"/>
    <n v="1.65"/>
    <n v="1.94"/>
    <n v="3"/>
    <n v="113"/>
    <n v="1.85"/>
    <n v="206"/>
    <n v="2"/>
    <n v="0"/>
    <n v="0"/>
    <n v="0"/>
    <n v="0"/>
    <n v="0.30170000000000002"/>
    <n v="-1.54E-2"/>
    <n v="1E-4"/>
    <n v="-0.62160000000000004"/>
    <n v="0.48599999999999999"/>
    <n v="-3.0200000000000001E-2"/>
    <n v="72"/>
    <n v="1.8"/>
    <n v="204"/>
    <n v="2"/>
    <n v="0"/>
    <n v="0"/>
    <n v="1.78"/>
    <n v="413"/>
    <n v="0"/>
  </r>
  <r>
    <x v="0"/>
    <x v="0"/>
    <s v="SPXW"/>
    <x v="8"/>
    <x v="80"/>
    <s v="p"/>
    <n v="1.95"/>
    <n v="2.8"/>
    <n v="1.75"/>
    <n v="2.8"/>
    <n v="6"/>
    <n v="113"/>
    <n v="2"/>
    <n v="207"/>
    <n v="2.15"/>
    <n v="0"/>
    <n v="0"/>
    <n v="0"/>
    <n v="0"/>
    <n v="0.2954"/>
    <n v="-1.6799999999999999E-2"/>
    <n v="1E-4"/>
    <n v="-0.65749999999999997"/>
    <n v="0.52229999999999999"/>
    <n v="-3.2899999999999999E-2"/>
    <n v="57"/>
    <n v="1.95"/>
    <n v="43"/>
    <n v="2.1"/>
    <n v="0"/>
    <n v="0"/>
    <n v="1.9917"/>
    <n v="390"/>
    <n v="0"/>
  </r>
  <r>
    <x v="0"/>
    <x v="0"/>
    <s v="SPXW"/>
    <x v="8"/>
    <x v="83"/>
    <s v="p"/>
    <n v="2.0499999999999998"/>
    <n v="2.0499999999999998"/>
    <n v="1.9"/>
    <n v="1.9"/>
    <n v="3"/>
    <n v="112"/>
    <n v="2.15"/>
    <n v="30"/>
    <n v="2.2999999999999998"/>
    <n v="0"/>
    <n v="0"/>
    <n v="0"/>
    <n v="0"/>
    <n v="0.28889999999999999"/>
    <n v="-1.8200000000000001E-2"/>
    <n v="1E-4"/>
    <n v="-0.69210000000000005"/>
    <n v="0.55969999999999998"/>
    <n v="-3.5700000000000003E-2"/>
    <n v="78"/>
    <n v="2.1"/>
    <n v="193"/>
    <n v="2.2999999999999998"/>
    <n v="0"/>
    <n v="0"/>
    <n v="1.95"/>
    <n v="83"/>
    <n v="0"/>
  </r>
  <r>
    <x v="0"/>
    <x v="0"/>
    <s v="SPXW"/>
    <x v="8"/>
    <x v="86"/>
    <s v="p"/>
    <n v="1.95"/>
    <n v="2.75"/>
    <n v="1.95"/>
    <n v="2.37"/>
    <n v="6"/>
    <n v="173"/>
    <n v="2.2999999999999998"/>
    <n v="69"/>
    <n v="2.5"/>
    <n v="0"/>
    <n v="0"/>
    <n v="0"/>
    <n v="0"/>
    <n v="0.28249999999999997"/>
    <n v="-1.9900000000000001E-2"/>
    <n v="1E-4"/>
    <n v="-0.73160000000000003"/>
    <n v="0.60240000000000005"/>
    <n v="-3.8899999999999997E-2"/>
    <n v="74"/>
    <n v="2.25"/>
    <n v="74"/>
    <n v="2.4500000000000002"/>
    <n v="0"/>
    <n v="0"/>
    <n v="2.4900000000000002"/>
    <n v="266"/>
    <n v="0"/>
  </r>
  <r>
    <x v="0"/>
    <x v="0"/>
    <s v="SPXW"/>
    <x v="8"/>
    <x v="89"/>
    <s v="p"/>
    <n v="2.65"/>
    <n v="2.65"/>
    <n v="2.65"/>
    <n v="2.65"/>
    <n v="1"/>
    <n v="89"/>
    <n v="2.5499999999999998"/>
    <n v="96"/>
    <n v="2.7"/>
    <n v="0"/>
    <n v="0"/>
    <n v="0"/>
    <n v="0"/>
    <n v="0.27660000000000001"/>
    <n v="-2.1899999999999999E-2"/>
    <n v="2.0000000000000001E-4"/>
    <n v="-0.78169999999999995"/>
    <n v="0.65439999999999998"/>
    <n v="-4.2900000000000001E-2"/>
    <n v="74"/>
    <n v="2.4500000000000002"/>
    <n v="47"/>
    <n v="2.65"/>
    <n v="0"/>
    <n v="0"/>
    <n v="2.65"/>
    <n v="1046"/>
    <n v="0"/>
  </r>
  <r>
    <x v="0"/>
    <x v="0"/>
    <s v="SPXW"/>
    <x v="8"/>
    <x v="92"/>
    <s v="p"/>
    <n v="2.5499999999999998"/>
    <n v="2.5499999999999998"/>
    <n v="2.21"/>
    <n v="2.21"/>
    <n v="4"/>
    <n v="172"/>
    <n v="2.75"/>
    <n v="67"/>
    <n v="2.95"/>
    <n v="0"/>
    <n v="0"/>
    <n v="0"/>
    <n v="0"/>
    <n v="0.27039999999999997"/>
    <n v="-2.4E-2"/>
    <n v="2.0000000000000001E-4"/>
    <n v="-0.82950000000000002"/>
    <n v="0.70720000000000005"/>
    <n v="-4.7100000000000003E-2"/>
    <n v="72"/>
    <n v="2.7"/>
    <n v="176"/>
    <n v="2.9"/>
    <n v="0"/>
    <n v="0"/>
    <n v="2.3149999999999999"/>
    <n v="136"/>
    <n v="0"/>
  </r>
  <r>
    <x v="0"/>
    <x v="0"/>
    <s v="SPXW"/>
    <x v="8"/>
    <x v="95"/>
    <s v="p"/>
    <n v="3.5"/>
    <n v="3.5"/>
    <n v="3.08"/>
    <n v="3.08"/>
    <n v="2"/>
    <n v="169"/>
    <n v="3"/>
    <n v="49"/>
    <n v="3.2"/>
    <n v="0"/>
    <n v="0"/>
    <n v="0"/>
    <n v="0"/>
    <n v="0.26390000000000002"/>
    <n v="-2.64E-2"/>
    <n v="2.0000000000000001E-4"/>
    <n v="-0.88060000000000005"/>
    <n v="0.76459999999999995"/>
    <n v="-5.1900000000000002E-2"/>
    <n v="70"/>
    <n v="2.95"/>
    <n v="203"/>
    <n v="3.2"/>
    <n v="0"/>
    <n v="0"/>
    <n v="3.29"/>
    <n v="414"/>
    <n v="0"/>
  </r>
  <r>
    <x v="0"/>
    <x v="0"/>
    <s v="SPXW"/>
    <x v="8"/>
    <x v="98"/>
    <s v="p"/>
    <n v="2.85"/>
    <n v="2.85"/>
    <n v="2.85"/>
    <n v="2.85"/>
    <n v="1"/>
    <n v="252"/>
    <n v="3.3"/>
    <n v="203"/>
    <n v="3.6"/>
    <n v="0"/>
    <n v="0"/>
    <n v="0"/>
    <n v="0"/>
    <n v="0.25790000000000002"/>
    <n v="-2.92E-2"/>
    <n v="2.0000000000000001E-4"/>
    <n v="-0.9405"/>
    <n v="0.8306"/>
    <n v="-5.7299999999999997E-2"/>
    <n v="69"/>
    <n v="3.2"/>
    <n v="203"/>
    <n v="3.5"/>
    <n v="0"/>
    <n v="0"/>
    <n v="2.85"/>
    <n v="127"/>
    <n v="0"/>
  </r>
  <r>
    <x v="0"/>
    <x v="0"/>
    <s v="SPXW"/>
    <x v="8"/>
    <x v="101"/>
    <s v="p"/>
    <n v="2.92"/>
    <n v="5.37"/>
    <n v="2.92"/>
    <n v="5.37"/>
    <n v="22"/>
    <n v="32"/>
    <n v="3.7"/>
    <n v="64"/>
    <n v="3.9"/>
    <n v="0"/>
    <n v="0"/>
    <n v="0"/>
    <n v="0"/>
    <n v="0.252"/>
    <n v="-3.2399999999999998E-2"/>
    <n v="2.0000000000000001E-4"/>
    <n v="-1.0078"/>
    <n v="0.90610000000000002"/>
    <n v="-6.3700000000000007E-2"/>
    <n v="66"/>
    <n v="3.6"/>
    <n v="129"/>
    <n v="3.9"/>
    <n v="0"/>
    <n v="0"/>
    <n v="4.8132000000000001"/>
    <n v="84"/>
    <n v="0"/>
  </r>
  <r>
    <x v="0"/>
    <x v="0"/>
    <s v="SPXW"/>
    <x v="8"/>
    <x v="102"/>
    <s v="p"/>
    <n v="0"/>
    <n v="0"/>
    <n v="0"/>
    <n v="0"/>
    <n v="0"/>
    <n v="231"/>
    <n v="3.7"/>
    <n v="153"/>
    <n v="4"/>
    <n v="0"/>
    <n v="0"/>
    <n v="0"/>
    <n v="0"/>
    <n v="0.25130000000000002"/>
    <n v="-3.3300000000000003E-2"/>
    <n v="2.9999999999999997E-4"/>
    <n v="-1.0274000000000001"/>
    <n v="0.92500000000000004"/>
    <n v="-6.54E-2"/>
    <n v="66"/>
    <n v="3.6"/>
    <n v="38"/>
    <n v="3.9"/>
    <n v="0"/>
    <n v="0"/>
    <n v="0"/>
    <n v="36"/>
    <n v="0"/>
  </r>
  <r>
    <x v="0"/>
    <x v="0"/>
    <s v="SPXW"/>
    <x v="8"/>
    <x v="103"/>
    <s v="p"/>
    <n v="4.04"/>
    <n v="4.04"/>
    <n v="4.04"/>
    <n v="4.04"/>
    <n v="1"/>
    <n v="157"/>
    <n v="3.9"/>
    <n v="17"/>
    <n v="4.0999999999999996"/>
    <n v="0"/>
    <n v="0"/>
    <n v="0"/>
    <n v="0"/>
    <n v="0.24879999999999999"/>
    <n v="-3.4700000000000002E-2"/>
    <n v="2.9999999999999997E-4"/>
    <n v="-1.0548"/>
    <n v="0.95740000000000003"/>
    <n v="-6.8199999999999997E-2"/>
    <n v="65"/>
    <n v="3.8"/>
    <n v="66"/>
    <n v="4.0999999999999996"/>
    <n v="0"/>
    <n v="0"/>
    <n v="4.04"/>
    <n v="392"/>
    <n v="0"/>
  </r>
  <r>
    <x v="0"/>
    <x v="0"/>
    <s v="SPXW"/>
    <x v="8"/>
    <x v="104"/>
    <s v="p"/>
    <n v="3.1"/>
    <n v="5.81"/>
    <n v="3.1"/>
    <n v="4.12"/>
    <n v="26"/>
    <n v="79"/>
    <n v="4.0999999999999996"/>
    <n v="166"/>
    <n v="4.3"/>
    <n v="0"/>
    <n v="0"/>
    <n v="0"/>
    <n v="0"/>
    <n v="0.24690000000000001"/>
    <n v="-3.6400000000000002E-2"/>
    <n v="2.9999999999999997E-4"/>
    <n v="-1.0921000000000001"/>
    <n v="0.99570000000000003"/>
    <n v="-7.17E-2"/>
    <n v="65"/>
    <n v="4"/>
    <n v="65"/>
    <n v="4.3"/>
    <n v="0"/>
    <n v="0"/>
    <n v="5.0231000000000003"/>
    <n v="434"/>
    <n v="0"/>
  </r>
  <r>
    <x v="0"/>
    <x v="0"/>
    <s v="SPXW"/>
    <x v="8"/>
    <x v="105"/>
    <s v="p"/>
    <n v="0"/>
    <n v="0"/>
    <n v="0"/>
    <n v="0"/>
    <n v="0"/>
    <n v="155"/>
    <n v="4.2"/>
    <n v="137"/>
    <n v="4.5"/>
    <n v="0"/>
    <n v="0"/>
    <n v="0"/>
    <n v="0"/>
    <n v="0.24429999999999999"/>
    <n v="-3.7900000000000003E-2"/>
    <n v="2.9999999999999997E-4"/>
    <n v="-1.1181000000000001"/>
    <n v="1.0277000000000001"/>
    <n v="-7.46E-2"/>
    <n v="73"/>
    <n v="4.0999999999999996"/>
    <n v="36"/>
    <n v="4.4000000000000004"/>
    <n v="0"/>
    <n v="0"/>
    <n v="0"/>
    <n v="96"/>
    <n v="0"/>
  </r>
  <r>
    <x v="0"/>
    <x v="0"/>
    <s v="SPXW"/>
    <x v="8"/>
    <x v="107"/>
    <s v="p"/>
    <n v="6.8"/>
    <n v="6.8"/>
    <n v="6.8"/>
    <n v="6.8"/>
    <n v="2"/>
    <n v="150"/>
    <n v="4.4000000000000004"/>
    <n v="121"/>
    <n v="4.7"/>
    <n v="0"/>
    <n v="0"/>
    <n v="0"/>
    <n v="0"/>
    <n v="0.24210000000000001"/>
    <n v="-3.9699999999999999E-2"/>
    <n v="2.9999999999999997E-4"/>
    <n v="-1.1534"/>
    <n v="1.0663"/>
    <n v="-7.8200000000000006E-2"/>
    <n v="73"/>
    <n v="4.3"/>
    <n v="39"/>
    <n v="4.5999999999999996"/>
    <n v="0"/>
    <n v="0"/>
    <n v="6.8"/>
    <n v="23"/>
    <n v="0"/>
  </r>
  <r>
    <x v="0"/>
    <x v="0"/>
    <s v="SPXW"/>
    <x v="8"/>
    <x v="108"/>
    <s v="p"/>
    <n v="3.59"/>
    <n v="4.63"/>
    <n v="3.59"/>
    <n v="4.63"/>
    <n v="7"/>
    <n v="152"/>
    <n v="4.5"/>
    <n v="121"/>
    <n v="4.8"/>
    <n v="0"/>
    <n v="0"/>
    <n v="0"/>
    <n v="0"/>
    <n v="0.24099999999999999"/>
    <n v="-4.0599999999999997E-2"/>
    <n v="2.9999999999999997E-4"/>
    <n v="-1.1708000000000001"/>
    <n v="1.0857000000000001"/>
    <n v="-0.08"/>
    <n v="71"/>
    <n v="4.4000000000000004"/>
    <n v="69"/>
    <n v="4.8"/>
    <n v="0"/>
    <n v="0"/>
    <n v="3.7385999999999999"/>
    <n v="151"/>
    <n v="0"/>
  </r>
  <r>
    <x v="0"/>
    <x v="0"/>
    <s v="SPXW"/>
    <x v="8"/>
    <x v="109"/>
    <s v="p"/>
    <n v="5.3"/>
    <n v="5.3"/>
    <n v="5.3"/>
    <n v="5.3"/>
    <n v="2"/>
    <n v="29"/>
    <n v="4.7"/>
    <n v="121"/>
    <n v="4.9000000000000004"/>
    <n v="0"/>
    <n v="0"/>
    <n v="0"/>
    <n v="0"/>
    <n v="0.23980000000000001"/>
    <n v="-4.1500000000000002E-2"/>
    <n v="2.9999999999999997E-4"/>
    <n v="-1.1878"/>
    <n v="1.1052"/>
    <n v="-8.1799999999999998E-2"/>
    <n v="62"/>
    <n v="4.5"/>
    <n v="62"/>
    <n v="4.9000000000000004"/>
    <n v="0"/>
    <n v="0"/>
    <n v="5.3"/>
    <n v="36"/>
    <n v="0"/>
  </r>
  <r>
    <x v="0"/>
    <x v="0"/>
    <s v="SPXW"/>
    <x v="8"/>
    <x v="111"/>
    <s v="p"/>
    <n v="0"/>
    <n v="0"/>
    <n v="0"/>
    <n v="0"/>
    <n v="0"/>
    <n v="68"/>
    <n v="4.9000000000000004"/>
    <n v="17"/>
    <n v="5.0999999999999996"/>
    <n v="0"/>
    <n v="0"/>
    <n v="0"/>
    <n v="0"/>
    <n v="0.2379"/>
    <n v="-4.3700000000000003E-2"/>
    <n v="2.9999999999999997E-4"/>
    <n v="-1.2309000000000001"/>
    <n v="1.1507000000000001"/>
    <n v="-8.5999999999999993E-2"/>
    <n v="61"/>
    <n v="4.8"/>
    <n v="62"/>
    <n v="5.0999999999999996"/>
    <n v="0"/>
    <n v="0"/>
    <n v="0"/>
    <n v="29"/>
    <n v="0"/>
  </r>
  <r>
    <x v="0"/>
    <x v="0"/>
    <s v="SPXW"/>
    <x v="8"/>
    <x v="113"/>
    <s v="p"/>
    <n v="4"/>
    <n v="5.61"/>
    <n v="3.8"/>
    <n v="5.6"/>
    <n v="14"/>
    <n v="113"/>
    <n v="5.0999999999999996"/>
    <n v="104"/>
    <n v="5.4"/>
    <n v="0"/>
    <n v="0"/>
    <n v="0"/>
    <n v="0"/>
    <n v="0.2359"/>
    <n v="-4.5900000000000003E-2"/>
    <n v="2.9999999999999997E-4"/>
    <n v="-1.2726"/>
    <n v="1.1968000000000001"/>
    <n v="-9.0399999999999994E-2"/>
    <n v="44"/>
    <n v="5"/>
    <n v="45"/>
    <n v="5.3"/>
    <n v="0"/>
    <n v="0"/>
    <n v="4.4006999999999996"/>
    <n v="309"/>
    <n v="0"/>
  </r>
  <r>
    <x v="0"/>
    <x v="0"/>
    <s v="SPXW"/>
    <x v="8"/>
    <x v="115"/>
    <s v="p"/>
    <n v="4.7"/>
    <n v="7.9"/>
    <n v="4.7"/>
    <n v="5.2"/>
    <n v="12"/>
    <n v="27"/>
    <n v="5.4"/>
    <n v="2"/>
    <n v="5.6"/>
    <n v="0"/>
    <n v="0"/>
    <n v="0"/>
    <n v="0"/>
    <n v="0.23369999999999999"/>
    <n v="-4.82E-2"/>
    <n v="4.0000000000000002E-4"/>
    <n v="-1.3129999999999999"/>
    <n v="1.2432000000000001"/>
    <n v="-9.4899999999999998E-2"/>
    <n v="44"/>
    <n v="5.3"/>
    <n v="45"/>
    <n v="5.6"/>
    <n v="0"/>
    <n v="0"/>
    <n v="5.8608000000000002"/>
    <n v="400"/>
    <n v="0"/>
  </r>
  <r>
    <x v="0"/>
    <x v="0"/>
    <s v="SPXW"/>
    <x v="8"/>
    <x v="117"/>
    <s v="p"/>
    <n v="0"/>
    <n v="0"/>
    <n v="0"/>
    <n v="0"/>
    <n v="0"/>
    <n v="114"/>
    <n v="5.6"/>
    <n v="77"/>
    <n v="5.9"/>
    <n v="0"/>
    <n v="0"/>
    <n v="0"/>
    <n v="0"/>
    <n v="0.23139999999999999"/>
    <n v="-5.04E-2"/>
    <n v="4.0000000000000002E-4"/>
    <n v="-1.3522000000000001"/>
    <n v="1.2897000000000001"/>
    <n v="-9.9400000000000002E-2"/>
    <n v="43"/>
    <n v="5.5"/>
    <n v="44"/>
    <n v="5.9"/>
    <n v="0"/>
    <n v="0"/>
    <n v="0"/>
    <n v="219"/>
    <n v="0"/>
  </r>
  <r>
    <x v="0"/>
    <x v="0"/>
    <s v="SPXW"/>
    <x v="8"/>
    <x v="118"/>
    <s v="p"/>
    <n v="4.13"/>
    <n v="4.13"/>
    <n v="4.13"/>
    <n v="4.13"/>
    <n v="1"/>
    <n v="50"/>
    <n v="5.8"/>
    <n v="2"/>
    <n v="6"/>
    <n v="0"/>
    <n v="0"/>
    <n v="0"/>
    <n v="0"/>
    <n v="0.23039999999999999"/>
    <n v="-5.1700000000000003E-2"/>
    <n v="4.0000000000000002E-4"/>
    <n v="-1.3757999999999999"/>
    <n v="1.3158000000000001"/>
    <n v="-0.1021"/>
    <n v="42"/>
    <n v="5.7"/>
    <n v="44"/>
    <n v="6"/>
    <n v="0"/>
    <n v="0"/>
    <n v="4.13"/>
    <n v="572"/>
    <n v="0"/>
  </r>
  <r>
    <x v="0"/>
    <x v="0"/>
    <s v="SPXW"/>
    <x v="8"/>
    <x v="119"/>
    <s v="p"/>
    <n v="7.95"/>
    <n v="8.8000000000000007"/>
    <n v="7.95"/>
    <n v="8.8000000000000007"/>
    <n v="8"/>
    <n v="106"/>
    <n v="5.9"/>
    <n v="102"/>
    <n v="6.2"/>
    <n v="0"/>
    <n v="0"/>
    <n v="0"/>
    <n v="0"/>
    <n v="0.22939999999999999"/>
    <n v="-5.2999999999999999E-2"/>
    <n v="4.0000000000000002E-4"/>
    <n v="-1.399"/>
    <n v="1.3416999999999999"/>
    <n v="-0.1047"/>
    <n v="42"/>
    <n v="5.8"/>
    <n v="1"/>
    <n v="6.1"/>
    <n v="0"/>
    <n v="0"/>
    <n v="8.4162999999999997"/>
    <n v="48"/>
    <n v="0"/>
  </r>
  <r>
    <x v="0"/>
    <x v="0"/>
    <s v="SPXW"/>
    <x v="8"/>
    <x v="121"/>
    <s v="p"/>
    <n v="0"/>
    <n v="0"/>
    <n v="0"/>
    <n v="0"/>
    <n v="0"/>
    <n v="110"/>
    <n v="6.2"/>
    <n v="2"/>
    <n v="6.5"/>
    <n v="0"/>
    <n v="0"/>
    <n v="0"/>
    <n v="0"/>
    <n v="0.2273"/>
    <n v="-5.57E-2"/>
    <n v="4.0000000000000002E-4"/>
    <n v="-1.4441999999999999"/>
    <n v="1.3934"/>
    <n v="-0.1101"/>
    <n v="42"/>
    <n v="6.1"/>
    <n v="43"/>
    <n v="6.5"/>
    <n v="0"/>
    <n v="0"/>
    <n v="0"/>
    <n v="39"/>
    <n v="0"/>
  </r>
  <r>
    <x v="0"/>
    <x v="0"/>
    <s v="SPXW"/>
    <x v="8"/>
    <x v="123"/>
    <s v="p"/>
    <n v="4.5999999999999996"/>
    <n v="9.65"/>
    <n v="4.5999999999999996"/>
    <n v="9.65"/>
    <n v="12"/>
    <n v="25"/>
    <n v="6.6"/>
    <n v="1"/>
    <n v="6.8"/>
    <n v="0"/>
    <n v="0"/>
    <n v="0"/>
    <n v="0"/>
    <n v="0.22539999999999999"/>
    <n v="-5.8700000000000002E-2"/>
    <n v="4.0000000000000002E-4"/>
    <n v="-1.4962"/>
    <n v="1.4504999999999999"/>
    <n v="-0.11600000000000001"/>
    <n v="19"/>
    <n v="6.5"/>
    <n v="43"/>
    <n v="6.8"/>
    <n v="0"/>
    <n v="0"/>
    <n v="8.2891999999999992"/>
    <n v="777"/>
    <n v="0"/>
  </r>
  <r>
    <x v="0"/>
    <x v="0"/>
    <s v="SPXW"/>
    <x v="8"/>
    <x v="125"/>
    <s v="p"/>
    <n v="7.2"/>
    <n v="7.2"/>
    <n v="7.2"/>
    <n v="7.2"/>
    <n v="2"/>
    <n v="85"/>
    <n v="6.9"/>
    <n v="1"/>
    <n v="7.2"/>
    <n v="0"/>
    <n v="0"/>
    <n v="0"/>
    <n v="0"/>
    <n v="0.2233"/>
    <n v="-6.1800000000000001E-2"/>
    <n v="5.0000000000000001E-4"/>
    <n v="-1.5464"/>
    <n v="1.5077"/>
    <n v="-0.1221"/>
    <n v="40"/>
    <n v="6.8"/>
    <n v="1"/>
    <n v="7.1"/>
    <n v="0"/>
    <n v="0"/>
    <n v="7.2"/>
    <n v="17"/>
    <n v="0"/>
  </r>
  <r>
    <x v="0"/>
    <x v="0"/>
    <s v="SPXW"/>
    <x v="8"/>
    <x v="127"/>
    <s v="p"/>
    <n v="5.63"/>
    <n v="8.41"/>
    <n v="5.63"/>
    <n v="7.2"/>
    <n v="7"/>
    <n v="47"/>
    <n v="7.3"/>
    <n v="27"/>
    <n v="7.6"/>
    <n v="0"/>
    <n v="0"/>
    <n v="0"/>
    <n v="0"/>
    <n v="0.22120000000000001"/>
    <n v="-6.4899999999999999E-2"/>
    <n v="5.0000000000000001E-4"/>
    <n v="-1.5948"/>
    <n v="1.5653999999999999"/>
    <n v="-0.12820000000000001"/>
    <n v="18"/>
    <n v="7.2"/>
    <n v="1"/>
    <n v="7.5"/>
    <n v="0"/>
    <n v="0"/>
    <n v="7.27"/>
    <n v="32"/>
    <n v="0"/>
  </r>
  <r>
    <x v="0"/>
    <x v="0"/>
    <s v="SPXW"/>
    <x v="8"/>
    <x v="128"/>
    <s v="p"/>
    <n v="5.78"/>
    <n v="8.25"/>
    <n v="5.78"/>
    <n v="8.25"/>
    <n v="6"/>
    <n v="46"/>
    <n v="7.5"/>
    <n v="27"/>
    <n v="7.8"/>
    <n v="0"/>
    <n v="0"/>
    <n v="0"/>
    <n v="0"/>
    <n v="0.22020000000000001"/>
    <n v="-6.6600000000000006E-2"/>
    <n v="5.0000000000000001E-4"/>
    <n v="-1.6223000000000001"/>
    <n v="1.597"/>
    <n v="-0.13159999999999999"/>
    <n v="18"/>
    <n v="7.4"/>
    <n v="40"/>
    <n v="7.7"/>
    <n v="0"/>
    <n v="0"/>
    <n v="6.3367000000000004"/>
    <n v="364"/>
    <n v="0"/>
  </r>
  <r>
    <x v="0"/>
    <x v="0"/>
    <s v="SPXW"/>
    <x v="8"/>
    <x v="129"/>
    <s v="p"/>
    <n v="6.1"/>
    <n v="8.4499999999999993"/>
    <n v="5.3"/>
    <n v="8.4499999999999993"/>
    <n v="6"/>
    <n v="45"/>
    <n v="7.7"/>
    <n v="3"/>
    <n v="8"/>
    <n v="0"/>
    <n v="0"/>
    <n v="0"/>
    <n v="0"/>
    <n v="0.2195"/>
    <n v="-6.8699999999999997E-2"/>
    <n v="5.0000000000000001E-4"/>
    <n v="-1.6571"/>
    <n v="1.6338999999999999"/>
    <n v="-0.13569999999999999"/>
    <n v="18"/>
    <n v="7.6"/>
    <n v="1"/>
    <n v="7.9"/>
    <n v="0"/>
    <n v="0"/>
    <n v="6.4183000000000003"/>
    <n v="55"/>
    <n v="0"/>
  </r>
  <r>
    <x v="0"/>
    <x v="0"/>
    <s v="SPXW"/>
    <x v="8"/>
    <x v="131"/>
    <s v="p"/>
    <n v="5.6"/>
    <n v="9.19"/>
    <n v="5.6"/>
    <n v="9.19"/>
    <n v="5"/>
    <n v="23"/>
    <n v="8.1999999999999993"/>
    <n v="1"/>
    <n v="8.4"/>
    <n v="0"/>
    <n v="0"/>
    <n v="0"/>
    <n v="0"/>
    <n v="0.2172"/>
    <n v="-7.22E-2"/>
    <n v="5.0000000000000001E-4"/>
    <n v="-1.7088000000000001"/>
    <n v="1.6978"/>
    <n v="-0.14280000000000001"/>
    <n v="39"/>
    <n v="8"/>
    <n v="41"/>
    <n v="8.4"/>
    <n v="0"/>
    <n v="0"/>
    <n v="8.4719999999999995"/>
    <n v="217"/>
    <n v="0"/>
  </r>
  <r>
    <x v="0"/>
    <x v="0"/>
    <s v="SPXW"/>
    <x v="8"/>
    <x v="133"/>
    <s v="p"/>
    <n v="6.69"/>
    <n v="12.1"/>
    <n v="5.93"/>
    <n v="9"/>
    <n v="17"/>
    <n v="60"/>
    <n v="8.6"/>
    <n v="19"/>
    <n v="8.9"/>
    <n v="0"/>
    <n v="0"/>
    <n v="0"/>
    <n v="0"/>
    <n v="0.2152"/>
    <n v="-7.6100000000000001E-2"/>
    <n v="5.9999999999999995E-4"/>
    <n v="-1.7661"/>
    <n v="1.7655000000000001"/>
    <n v="-0.15060000000000001"/>
    <n v="17"/>
    <n v="8.5"/>
    <n v="31"/>
    <n v="8.8000000000000007"/>
    <n v="0"/>
    <n v="0"/>
    <n v="7.9782000000000002"/>
    <n v="1383"/>
    <n v="0"/>
  </r>
  <r>
    <x v="0"/>
    <x v="0"/>
    <s v="SPXW"/>
    <x v="8"/>
    <x v="135"/>
    <s v="p"/>
    <n v="13.65"/>
    <n v="13.65"/>
    <n v="13.65"/>
    <n v="13.65"/>
    <n v="3"/>
    <n v="43"/>
    <n v="9.1"/>
    <n v="3"/>
    <n v="9.4"/>
    <n v="0"/>
    <n v="0"/>
    <n v="0"/>
    <n v="0"/>
    <n v="0.21329999999999999"/>
    <n v="-8.0299999999999996E-2"/>
    <n v="5.9999999999999995E-4"/>
    <n v="-1.8283"/>
    <n v="1.8367"/>
    <n v="-0.15909999999999999"/>
    <n v="17"/>
    <n v="9"/>
    <n v="1"/>
    <n v="9.3000000000000007"/>
    <n v="0"/>
    <n v="0"/>
    <n v="13.65"/>
    <n v="105"/>
    <n v="0"/>
  </r>
  <r>
    <x v="0"/>
    <x v="0"/>
    <s v="SPXW"/>
    <x v="8"/>
    <x v="137"/>
    <s v="p"/>
    <n v="7.47"/>
    <n v="14.35"/>
    <n v="7.47"/>
    <n v="14.34"/>
    <n v="4"/>
    <n v="24"/>
    <n v="9.6999999999999993"/>
    <n v="1"/>
    <n v="9.9"/>
    <n v="0"/>
    <n v="0"/>
    <n v="0"/>
    <n v="0"/>
    <n v="0.21160000000000001"/>
    <n v="-8.48E-2"/>
    <n v="5.9999999999999995E-4"/>
    <n v="-1.8947000000000001"/>
    <n v="1.9117"/>
    <n v="-0.1681"/>
    <n v="19"/>
    <n v="9.5"/>
    <n v="45"/>
    <n v="9.9"/>
    <n v="0"/>
    <n v="0"/>
    <n v="12.625"/>
    <n v="59"/>
    <n v="0"/>
  </r>
  <r>
    <x v="0"/>
    <x v="0"/>
    <s v="SPXW"/>
    <x v="8"/>
    <x v="138"/>
    <s v="p"/>
    <n v="6.87"/>
    <n v="12"/>
    <n v="6.47"/>
    <n v="10.35"/>
    <n v="40"/>
    <n v="54"/>
    <n v="9.9"/>
    <n v="1"/>
    <n v="10.199999999999999"/>
    <n v="0"/>
    <n v="0"/>
    <n v="0"/>
    <n v="0"/>
    <n v="0.21079999999999999"/>
    <n v="-8.7300000000000003E-2"/>
    <n v="5.9999999999999995E-4"/>
    <n v="-1.9306000000000001"/>
    <n v="1.9508000000000001"/>
    <n v="-0.1729"/>
    <n v="18"/>
    <n v="9.8000000000000007"/>
    <n v="46"/>
    <n v="10.1"/>
    <n v="0"/>
    <n v="0"/>
    <n v="11.012499999999999"/>
    <n v="92"/>
    <n v="0"/>
  </r>
  <r>
    <x v="0"/>
    <x v="0"/>
    <s v="SPXW"/>
    <x v="8"/>
    <x v="139"/>
    <s v="p"/>
    <n v="7.57"/>
    <n v="13.95"/>
    <n v="7.57"/>
    <n v="13.95"/>
    <n v="18"/>
    <n v="31"/>
    <n v="10.199999999999999"/>
    <n v="24"/>
    <n v="10.5"/>
    <n v="0"/>
    <n v="0"/>
    <n v="0"/>
    <n v="0"/>
    <n v="0.20960000000000001"/>
    <n v="-8.9499999999999996E-2"/>
    <n v="5.9999999999999995E-4"/>
    <n v="-1.958"/>
    <n v="1.9871000000000001"/>
    <n v="-0.17730000000000001"/>
    <n v="18"/>
    <n v="10.1"/>
    <n v="46"/>
    <n v="10.4"/>
    <n v="0"/>
    <n v="0"/>
    <n v="12.158300000000001"/>
    <n v="103"/>
    <n v="0"/>
  </r>
  <r>
    <x v="0"/>
    <x v="0"/>
    <s v="SPXW"/>
    <x v="8"/>
    <x v="141"/>
    <s v="p"/>
    <n v="7.3"/>
    <n v="13.45"/>
    <n v="7.3"/>
    <n v="11.12"/>
    <n v="17"/>
    <n v="31"/>
    <n v="10.8"/>
    <n v="24"/>
    <n v="11.1"/>
    <n v="0"/>
    <n v="0"/>
    <n v="0"/>
    <n v="0"/>
    <n v="0.2077"/>
    <n v="-9.4500000000000001E-2"/>
    <n v="6.9999999999999999E-4"/>
    <n v="-2.0247999999999999"/>
    <n v="2.0670000000000002"/>
    <n v="-0.18720000000000001"/>
    <n v="18"/>
    <n v="10.7"/>
    <n v="46"/>
    <n v="11"/>
    <n v="0"/>
    <n v="0"/>
    <n v="11.4482"/>
    <n v="172"/>
    <n v="0"/>
  </r>
  <r>
    <x v="0"/>
    <x v="0"/>
    <s v="SPXW"/>
    <x v="8"/>
    <x v="143"/>
    <s v="p"/>
    <n v="9.6"/>
    <n v="16.649999999999999"/>
    <n v="7.82"/>
    <n v="11.77"/>
    <n v="75"/>
    <n v="22"/>
    <n v="11.5"/>
    <n v="17"/>
    <n v="11.7"/>
    <n v="0"/>
    <n v="0"/>
    <n v="0"/>
    <n v="0"/>
    <n v="0.2059"/>
    <n v="-9.98E-2"/>
    <n v="6.9999999999999999E-4"/>
    <n v="-2.0948000000000002"/>
    <n v="2.1505999999999998"/>
    <n v="-0.19800000000000001"/>
    <n v="25"/>
    <n v="11.3"/>
    <n v="8"/>
    <n v="11.6"/>
    <n v="0"/>
    <n v="0"/>
    <n v="12.0748"/>
    <n v="810"/>
    <n v="0"/>
  </r>
  <r>
    <x v="0"/>
    <x v="0"/>
    <s v="SPXW"/>
    <x v="8"/>
    <x v="145"/>
    <s v="p"/>
    <n v="7.85"/>
    <n v="12.42"/>
    <n v="7.85"/>
    <n v="12.42"/>
    <n v="9"/>
    <n v="21"/>
    <n v="12.2"/>
    <n v="5"/>
    <n v="12.4"/>
    <n v="0"/>
    <n v="0"/>
    <n v="0"/>
    <n v="0"/>
    <n v="0.20430000000000001"/>
    <n v="-0.10539999999999999"/>
    <n v="8.0000000000000004E-4"/>
    <n v="-2.1676000000000002"/>
    <n v="2.2361"/>
    <n v="-0.2094"/>
    <n v="18"/>
    <n v="12"/>
    <n v="47"/>
    <n v="12.4"/>
    <n v="0"/>
    <n v="0"/>
    <n v="8.4277999999999995"/>
    <n v="126"/>
    <n v="0"/>
  </r>
  <r>
    <x v="0"/>
    <x v="0"/>
    <s v="SPXW"/>
    <x v="8"/>
    <x v="147"/>
    <s v="p"/>
    <n v="9.23"/>
    <n v="13.77"/>
    <n v="9.23"/>
    <n v="11.66"/>
    <n v="8"/>
    <n v="21"/>
    <n v="12.9"/>
    <n v="19"/>
    <n v="13.1"/>
    <n v="0"/>
    <n v="0"/>
    <n v="0"/>
    <n v="0"/>
    <n v="0.2024"/>
    <n v="-0.1115"/>
    <n v="8.0000000000000004E-4"/>
    <n v="-2.2416999999999998"/>
    <n v="2.3249"/>
    <n v="-0.22170000000000001"/>
    <n v="24"/>
    <n v="12.7"/>
    <n v="8"/>
    <n v="13"/>
    <n v="0"/>
    <n v="0"/>
    <n v="12.585000000000001"/>
    <n v="42"/>
    <n v="0"/>
  </r>
  <r>
    <x v="0"/>
    <x v="0"/>
    <s v="SPXW"/>
    <x v="8"/>
    <x v="148"/>
    <s v="p"/>
    <n v="9.7200000000000006"/>
    <n v="16.98"/>
    <n v="8.5500000000000007"/>
    <n v="12.11"/>
    <n v="53"/>
    <n v="20"/>
    <n v="13.3"/>
    <n v="19"/>
    <n v="13.5"/>
    <n v="0"/>
    <n v="0"/>
    <n v="0"/>
    <n v="0"/>
    <n v="0.20130000000000001"/>
    <n v="-0.1145"/>
    <n v="8.0000000000000004E-4"/>
    <n v="-2.2740999999999998"/>
    <n v="2.3666"/>
    <n v="-0.22750000000000001"/>
    <n v="17"/>
    <n v="13.1"/>
    <n v="8"/>
    <n v="13.4"/>
    <n v="0"/>
    <n v="0"/>
    <n v="12.762600000000001"/>
    <n v="757"/>
    <n v="0"/>
  </r>
  <r>
    <x v="0"/>
    <x v="0"/>
    <s v="SPXW"/>
    <x v="8"/>
    <x v="149"/>
    <s v="p"/>
    <n v="11.2"/>
    <n v="11.2"/>
    <n v="8.75"/>
    <n v="9.9"/>
    <n v="10"/>
    <n v="20"/>
    <n v="13.7"/>
    <n v="5"/>
    <n v="13.9"/>
    <n v="0"/>
    <n v="0"/>
    <n v="0"/>
    <n v="0"/>
    <n v="0.20039999999999999"/>
    <n v="-0.1177"/>
    <n v="8.0000000000000004E-4"/>
    <n v="-2.3115999999999999"/>
    <n v="2.4116"/>
    <n v="-0.23380000000000001"/>
    <n v="17"/>
    <n v="13.5"/>
    <n v="46"/>
    <n v="13.9"/>
    <n v="0"/>
    <n v="0"/>
    <n v="9.2769999999999992"/>
    <n v="55"/>
    <n v="0"/>
  </r>
  <r>
    <x v="0"/>
    <x v="0"/>
    <s v="SPXW"/>
    <x v="8"/>
    <x v="150"/>
    <s v="p"/>
    <n v="11.42"/>
    <n v="17.579999999999998"/>
    <n v="9.3699999999999992"/>
    <n v="14.25"/>
    <n v="57"/>
    <n v="19"/>
    <n v="14.1"/>
    <n v="19"/>
    <n v="14.3"/>
    <n v="0"/>
    <n v="0"/>
    <n v="0"/>
    <n v="0"/>
    <n v="0.19950000000000001"/>
    <n v="-0.12089999999999999"/>
    <n v="8.0000000000000004E-4"/>
    <n v="-2.3477999999999999"/>
    <n v="2.4567000000000001"/>
    <n v="-0.2402"/>
    <n v="17"/>
    <n v="13.9"/>
    <n v="7"/>
    <n v="14.2"/>
    <n v="0"/>
    <n v="0"/>
    <n v="13.8667"/>
    <n v="10"/>
    <n v="0"/>
  </r>
  <r>
    <x v="0"/>
    <x v="0"/>
    <s v="SPXW"/>
    <x v="8"/>
    <x v="151"/>
    <s v="p"/>
    <n v="19.38"/>
    <n v="19.38"/>
    <n v="13.95"/>
    <n v="14.68"/>
    <n v="24"/>
    <n v="19"/>
    <n v="14.5"/>
    <n v="1"/>
    <n v="14.7"/>
    <n v="0"/>
    <n v="0"/>
    <n v="0"/>
    <n v="0"/>
    <n v="0.19850000000000001"/>
    <n v="-0.1242"/>
    <n v="8.9999999999999998E-4"/>
    <n v="-2.3828999999999998"/>
    <n v="2.5017999999999998"/>
    <n v="-0.2467"/>
    <n v="16"/>
    <n v="14.3"/>
    <n v="45"/>
    <n v="14.7"/>
    <n v="0"/>
    <n v="0"/>
    <n v="15.786300000000001"/>
    <n v="41"/>
    <n v="0"/>
  </r>
  <r>
    <x v="0"/>
    <x v="0"/>
    <s v="SPXW"/>
    <x v="8"/>
    <x v="152"/>
    <s v="p"/>
    <n v="0"/>
    <n v="0"/>
    <n v="0"/>
    <n v="0"/>
    <n v="0"/>
    <n v="24"/>
    <n v="14.9"/>
    <n v="5"/>
    <n v="15.2"/>
    <n v="0"/>
    <n v="0"/>
    <n v="0"/>
    <n v="0"/>
    <n v="0.19800000000000001"/>
    <n v="-0.12790000000000001"/>
    <n v="8.9999999999999998E-4"/>
    <n v="-2.4287999999999998"/>
    <n v="2.5526"/>
    <n v="-0.25419999999999998"/>
    <n v="16"/>
    <n v="14.8"/>
    <n v="9"/>
    <n v="15.1"/>
    <n v="0"/>
    <n v="0"/>
    <n v="0"/>
    <n v="0"/>
    <n v="0"/>
  </r>
  <r>
    <x v="0"/>
    <x v="0"/>
    <s v="SPXW"/>
    <x v="8"/>
    <x v="153"/>
    <s v="p"/>
    <n v="11.42"/>
    <n v="21.44"/>
    <n v="10.050000000000001"/>
    <n v="16.5"/>
    <n v="75"/>
    <n v="18"/>
    <n v="15.4"/>
    <n v="14"/>
    <n v="15.6"/>
    <n v="0"/>
    <n v="0"/>
    <n v="0"/>
    <n v="0"/>
    <n v="0.19670000000000001"/>
    <n v="-0.1313"/>
    <n v="8.9999999999999998E-4"/>
    <n v="-2.4607000000000001"/>
    <n v="2.5985"/>
    <n v="-0.26100000000000001"/>
    <n v="16"/>
    <n v="15.2"/>
    <n v="7"/>
    <n v="15.5"/>
    <n v="0"/>
    <n v="0"/>
    <n v="15.067299999999999"/>
    <n v="241"/>
    <n v="0"/>
  </r>
  <r>
    <x v="0"/>
    <x v="0"/>
    <s v="SPXW"/>
    <x v="8"/>
    <x v="154"/>
    <s v="p"/>
    <n v="11.03"/>
    <n v="19.54"/>
    <n v="11.03"/>
    <n v="15.9"/>
    <n v="57"/>
    <n v="22"/>
    <n v="15.8"/>
    <n v="18"/>
    <n v="16.100000000000001"/>
    <n v="0"/>
    <n v="0"/>
    <n v="0"/>
    <n v="0"/>
    <n v="0.1961"/>
    <n v="-0.1351"/>
    <n v="8.9999999999999998E-4"/>
    <n v="-2.5036999999999998"/>
    <n v="2.6486000000000001"/>
    <n v="-0.26860000000000001"/>
    <n v="16"/>
    <n v="15.7"/>
    <n v="7"/>
    <n v="16"/>
    <n v="0"/>
    <n v="0"/>
    <n v="15.6479"/>
    <n v="0"/>
    <n v="0"/>
  </r>
  <r>
    <x v="0"/>
    <x v="0"/>
    <s v="SPXW"/>
    <x v="8"/>
    <x v="155"/>
    <s v="p"/>
    <n v="10.82"/>
    <n v="12.19"/>
    <n v="10.75"/>
    <n v="12.19"/>
    <n v="7"/>
    <n v="17"/>
    <n v="16.3"/>
    <n v="5"/>
    <n v="16.600000000000001"/>
    <n v="0"/>
    <n v="0"/>
    <n v="0"/>
    <n v="0"/>
    <n v="0.19520000000000001"/>
    <n v="-0.13900000000000001"/>
    <n v="1E-3"/>
    <n v="-2.5440999999999998"/>
    <n v="2.6995"/>
    <n v="-0.27660000000000001"/>
    <n v="15"/>
    <n v="16.100000000000001"/>
    <n v="22"/>
    <n v="16.5"/>
    <n v="0"/>
    <n v="0"/>
    <n v="11.2014"/>
    <n v="39"/>
    <n v="0"/>
  </r>
  <r>
    <x v="0"/>
    <x v="0"/>
    <s v="SPXW"/>
    <x v="8"/>
    <x v="156"/>
    <s v="p"/>
    <n v="12.47"/>
    <n v="20.51"/>
    <n v="11.22"/>
    <n v="16.52"/>
    <n v="35"/>
    <n v="17"/>
    <n v="16.8"/>
    <n v="27"/>
    <n v="17.100000000000001"/>
    <n v="0"/>
    <n v="0"/>
    <n v="0"/>
    <n v="0"/>
    <n v="0.19389999999999999"/>
    <n v="-0.1424"/>
    <n v="1E-3"/>
    <n v="-2.5722999999999998"/>
    <n v="2.7437"/>
    <n v="-0.28360000000000002"/>
    <n v="21"/>
    <n v="16.600000000000001"/>
    <n v="28"/>
    <n v="17"/>
    <n v="0"/>
    <n v="0"/>
    <n v="16.217400000000001"/>
    <n v="28"/>
    <n v="0"/>
  </r>
  <r>
    <x v="0"/>
    <x v="0"/>
    <s v="SPXW"/>
    <x v="8"/>
    <x v="157"/>
    <s v="p"/>
    <n v="13.03"/>
    <n v="21.3"/>
    <n v="13.03"/>
    <n v="18.920000000000002"/>
    <n v="12"/>
    <n v="16"/>
    <n v="17.3"/>
    <n v="21"/>
    <n v="17.600000000000001"/>
    <n v="0"/>
    <n v="0"/>
    <n v="0"/>
    <n v="0"/>
    <n v="0.19289999999999999"/>
    <n v="-0.1464"/>
    <n v="1E-3"/>
    <n v="-2.6101000000000001"/>
    <n v="2.7928000000000002"/>
    <n v="-0.29160000000000003"/>
    <n v="15"/>
    <n v="17.100000000000001"/>
    <n v="21"/>
    <n v="17.5"/>
    <n v="0"/>
    <n v="0"/>
    <n v="18.162500000000001"/>
    <n v="28"/>
    <n v="0"/>
  </r>
  <r>
    <x v="0"/>
    <x v="0"/>
    <s v="SPXW"/>
    <x v="8"/>
    <x v="158"/>
    <s v="p"/>
    <n v="15.64"/>
    <n v="24.19"/>
    <n v="11.31"/>
    <n v="17.8"/>
    <n v="38"/>
    <n v="16"/>
    <n v="17.8"/>
    <n v="16"/>
    <n v="18.100000000000001"/>
    <n v="0"/>
    <n v="0"/>
    <n v="0"/>
    <n v="0"/>
    <n v="0.1923"/>
    <n v="-0.15079999999999999"/>
    <n v="1E-3"/>
    <n v="-2.657"/>
    <n v="2.8460999999999999"/>
    <n v="-0.3004"/>
    <n v="15"/>
    <n v="17.7"/>
    <n v="7"/>
    <n v="18"/>
    <n v="0"/>
    <n v="0"/>
    <n v="18.831600000000002"/>
    <n v="127"/>
    <n v="0"/>
  </r>
  <r>
    <x v="0"/>
    <x v="0"/>
    <s v="SPXW"/>
    <x v="8"/>
    <x v="159"/>
    <s v="p"/>
    <n v="15.05"/>
    <n v="20.88"/>
    <n v="15.05"/>
    <n v="20.65"/>
    <n v="35"/>
    <n v="22"/>
    <n v="18.3"/>
    <n v="1"/>
    <n v="18.600000000000001"/>
    <n v="0"/>
    <n v="0"/>
    <n v="0"/>
    <n v="0"/>
    <n v="0.1913"/>
    <n v="-0.15479999999999999"/>
    <n v="1E-3"/>
    <n v="-2.6915"/>
    <n v="2.8940999999999999"/>
    <n v="-0.30840000000000001"/>
    <n v="15"/>
    <n v="18.2"/>
    <n v="21"/>
    <n v="18.600000000000001"/>
    <n v="0"/>
    <n v="0"/>
    <n v="18.771100000000001"/>
    <n v="48"/>
    <n v="0"/>
  </r>
  <r>
    <x v="0"/>
    <x v="0"/>
    <s v="SPXW"/>
    <x v="8"/>
    <x v="160"/>
    <s v="p"/>
    <n v="16.489999999999998"/>
    <n v="20.9"/>
    <n v="16.489999999999998"/>
    <n v="18.57"/>
    <n v="6"/>
    <n v="15"/>
    <n v="18.899999999999999"/>
    <n v="16"/>
    <n v="19.2"/>
    <n v="0"/>
    <n v="0"/>
    <n v="0"/>
    <n v="0"/>
    <n v="0.1903"/>
    <n v="-0.159"/>
    <n v="1.1000000000000001E-3"/>
    <n v="-2.7296"/>
    <n v="2.9441000000000002"/>
    <n v="-0.31690000000000002"/>
    <n v="21"/>
    <n v="18.7"/>
    <n v="10"/>
    <n v="19.100000000000001"/>
    <n v="0"/>
    <n v="0"/>
    <n v="18.708300000000001"/>
    <n v="22"/>
    <n v="0"/>
  </r>
  <r>
    <x v="0"/>
    <x v="0"/>
    <s v="SPXW"/>
    <x v="8"/>
    <x v="161"/>
    <s v="p"/>
    <n v="14.37"/>
    <n v="24.1"/>
    <n v="13.02"/>
    <n v="19.95"/>
    <n v="58"/>
    <n v="16"/>
    <n v="19.5"/>
    <n v="37"/>
    <n v="19.8"/>
    <n v="0"/>
    <n v="0"/>
    <n v="0"/>
    <n v="0"/>
    <n v="0.1893"/>
    <n v="-0.16339999999999999"/>
    <n v="1.1000000000000001E-3"/>
    <n v="-2.7660999999999998"/>
    <n v="2.9942000000000002"/>
    <n v="-0.32550000000000001"/>
    <n v="21"/>
    <n v="19.3"/>
    <n v="27"/>
    <n v="19.7"/>
    <n v="0"/>
    <n v="0"/>
    <n v="18.2867"/>
    <n v="111"/>
    <n v="0"/>
  </r>
  <r>
    <x v="0"/>
    <x v="0"/>
    <s v="SPXW"/>
    <x v="8"/>
    <x v="162"/>
    <s v="p"/>
    <n v="15.18"/>
    <n v="24.48"/>
    <n v="15.18"/>
    <n v="24.48"/>
    <n v="3"/>
    <n v="22"/>
    <n v="20"/>
    <n v="1"/>
    <n v="20.3"/>
    <n v="0"/>
    <n v="0"/>
    <n v="0"/>
    <n v="0"/>
    <n v="0.1885"/>
    <n v="-0.16789999999999999"/>
    <n v="1.1000000000000001E-3"/>
    <n v="-2.8056000000000001"/>
    <n v="3.0464000000000002"/>
    <n v="-0.33460000000000001"/>
    <n v="14"/>
    <n v="19.899999999999999"/>
    <n v="21"/>
    <n v="20.3"/>
    <n v="0"/>
    <n v="0"/>
    <n v="20.503299999999999"/>
    <n v="35"/>
    <n v="0"/>
  </r>
  <r>
    <x v="0"/>
    <x v="0"/>
    <s v="SPXW"/>
    <x v="8"/>
    <x v="163"/>
    <s v="p"/>
    <n v="15.8"/>
    <n v="28.03"/>
    <n v="13.77"/>
    <n v="21.03"/>
    <n v="105"/>
    <n v="34"/>
    <n v="20.6"/>
    <n v="1"/>
    <n v="20.9"/>
    <n v="0"/>
    <n v="0"/>
    <n v="0"/>
    <n v="0"/>
    <n v="0.1875"/>
    <n v="-0.17249999999999999"/>
    <n v="1.1000000000000001E-3"/>
    <n v="-2.8433000000000002"/>
    <n v="3.0985"/>
    <n v="-0.34379999999999999"/>
    <n v="20"/>
    <n v="20.5"/>
    <n v="22"/>
    <n v="20.9"/>
    <n v="0"/>
    <n v="0"/>
    <n v="22.2362"/>
    <n v="324"/>
    <n v="0"/>
  </r>
  <r>
    <x v="0"/>
    <x v="0"/>
    <s v="SPXW"/>
    <x v="8"/>
    <x v="164"/>
    <s v="p"/>
    <n v="16.440000000000001"/>
    <n v="25.88"/>
    <n v="16.440000000000001"/>
    <n v="21.15"/>
    <n v="4"/>
    <n v="15"/>
    <n v="21.3"/>
    <n v="19"/>
    <n v="21.6"/>
    <n v="0"/>
    <n v="0"/>
    <n v="0"/>
    <n v="0"/>
    <n v="0.1865"/>
    <n v="-0.1772"/>
    <n v="1.1999999999999999E-3"/>
    <n v="-2.8792"/>
    <n v="3.1503000000000001"/>
    <n v="-0.3533"/>
    <n v="14"/>
    <n v="21.1"/>
    <n v="16"/>
    <n v="21.5"/>
    <n v="0"/>
    <n v="0"/>
    <n v="21.39"/>
    <n v="4"/>
    <n v="0"/>
  </r>
  <r>
    <x v="0"/>
    <x v="0"/>
    <s v="SPXW"/>
    <x v="8"/>
    <x v="165"/>
    <s v="p"/>
    <n v="16.149999999999999"/>
    <n v="22.28"/>
    <n v="15.97"/>
    <n v="22.28"/>
    <n v="17"/>
    <n v="15"/>
    <n v="21.9"/>
    <n v="4"/>
    <n v="22.2"/>
    <n v="0"/>
    <n v="0"/>
    <n v="0"/>
    <n v="0"/>
    <n v="0.18579999999999999"/>
    <n v="-0.18229999999999999"/>
    <n v="1.1999999999999999E-3"/>
    <n v="-2.9222999999999999"/>
    <n v="3.2054999999999998"/>
    <n v="-0.36370000000000002"/>
    <n v="20"/>
    <n v="21.8"/>
    <n v="6"/>
    <n v="22.1"/>
    <n v="0"/>
    <n v="0"/>
    <n v="19.372900000000001"/>
    <n v="29"/>
    <n v="0"/>
  </r>
  <r>
    <x v="0"/>
    <x v="0"/>
    <s v="SPXW"/>
    <x v="8"/>
    <x v="166"/>
    <s v="p"/>
    <n v="16.7"/>
    <n v="28.4"/>
    <n v="16.7"/>
    <n v="22.5"/>
    <n v="32"/>
    <n v="15"/>
    <n v="22.6"/>
    <n v="4"/>
    <n v="22.9"/>
    <n v="0"/>
    <n v="0"/>
    <n v="0"/>
    <n v="0"/>
    <n v="0.18479999999999999"/>
    <n v="-0.18729999999999999"/>
    <n v="1.1999999999999999E-3"/>
    <n v="-2.9586000000000001"/>
    <n v="3.2578999999999998"/>
    <n v="-0.37390000000000001"/>
    <n v="15"/>
    <n v="22.4"/>
    <n v="18"/>
    <n v="22.9"/>
    <n v="0"/>
    <n v="0"/>
    <n v="20.418099999999999"/>
    <n v="35"/>
    <n v="0"/>
  </r>
  <r>
    <x v="0"/>
    <x v="0"/>
    <s v="SPXW"/>
    <x v="8"/>
    <x v="167"/>
    <s v="p"/>
    <n v="19.75"/>
    <n v="28.9"/>
    <n v="15.07"/>
    <n v="23.46"/>
    <n v="53"/>
    <n v="15"/>
    <n v="23.3"/>
    <n v="34"/>
    <n v="23.6"/>
    <n v="0"/>
    <n v="0"/>
    <n v="0"/>
    <n v="0"/>
    <n v="0.18379999999999999"/>
    <n v="-0.19220000000000001"/>
    <n v="1.1999999999999999E-3"/>
    <n v="-2.9929999999999999"/>
    <n v="3.3089"/>
    <n v="-0.38400000000000001"/>
    <n v="19"/>
    <n v="23.1"/>
    <n v="8"/>
    <n v="23.5"/>
    <n v="0"/>
    <n v="0"/>
    <n v="18.7011"/>
    <n v="135"/>
    <n v="0"/>
  </r>
  <r>
    <x v="0"/>
    <x v="0"/>
    <s v="SPXW"/>
    <x v="8"/>
    <x v="168"/>
    <s v="p"/>
    <n v="20.350000000000001"/>
    <n v="28.83"/>
    <n v="15.75"/>
    <n v="23.9"/>
    <n v="24"/>
    <n v="15"/>
    <n v="24"/>
    <n v="19"/>
    <n v="24.3"/>
    <n v="0"/>
    <n v="0"/>
    <n v="0"/>
    <n v="0"/>
    <n v="0.18279999999999999"/>
    <n v="-0.19750000000000001"/>
    <n v="1.2999999999999999E-3"/>
    <n v="-3.0295999999999998"/>
    <n v="3.3611"/>
    <n v="-0.39450000000000002"/>
    <n v="14"/>
    <n v="23.8"/>
    <n v="18"/>
    <n v="24.3"/>
    <n v="0"/>
    <n v="0"/>
    <n v="23.090800000000002"/>
    <n v="50"/>
    <n v="0"/>
  </r>
  <r>
    <x v="0"/>
    <x v="0"/>
    <s v="SPXW"/>
    <x v="8"/>
    <x v="169"/>
    <s v="p"/>
    <n v="18.399999999999999"/>
    <n v="29.34"/>
    <n v="16.45"/>
    <n v="26.47"/>
    <n v="20"/>
    <n v="15"/>
    <n v="24.7"/>
    <n v="4"/>
    <n v="25"/>
    <n v="0"/>
    <n v="0"/>
    <n v="0"/>
    <n v="0"/>
    <n v="0.18190000000000001"/>
    <n v="-0.20300000000000001"/>
    <n v="1.2999999999999999E-3"/>
    <n v="-3.0684"/>
    <n v="3.4142000000000001"/>
    <n v="-0.40550000000000003"/>
    <n v="14"/>
    <n v="24.6"/>
    <n v="14"/>
    <n v="25"/>
    <n v="0"/>
    <n v="0"/>
    <n v="23.5335"/>
    <n v="64"/>
    <n v="0"/>
  </r>
  <r>
    <x v="0"/>
    <x v="0"/>
    <s v="SPXW"/>
    <x v="8"/>
    <x v="170"/>
    <s v="p"/>
    <n v="17.739999999999998"/>
    <n v="31.6"/>
    <n v="17.739999999999998"/>
    <n v="31.6"/>
    <n v="4"/>
    <n v="15"/>
    <n v="25.4"/>
    <n v="1"/>
    <n v="25.7"/>
    <n v="0"/>
    <n v="0"/>
    <n v="0"/>
    <n v="0"/>
    <n v="0.18099999999999999"/>
    <n v="-0.20849999999999999"/>
    <n v="1.2999999999999999E-3"/>
    <n v="-3.1048"/>
    <n v="3.4668000000000001"/>
    <n v="-0.41649999999999998"/>
    <n v="14"/>
    <n v="25.3"/>
    <n v="3"/>
    <n v="25.7"/>
    <n v="0"/>
    <n v="0"/>
    <n v="21.204999999999998"/>
    <n v="26"/>
    <n v="0"/>
  </r>
  <r>
    <x v="0"/>
    <x v="0"/>
    <s v="SPXW"/>
    <x v="8"/>
    <x v="171"/>
    <s v="p"/>
    <n v="17.45"/>
    <n v="35.4"/>
    <n v="17.45"/>
    <n v="28.05"/>
    <n v="273"/>
    <n v="14"/>
    <n v="26.2"/>
    <n v="4"/>
    <n v="26.5"/>
    <n v="0"/>
    <n v="0"/>
    <n v="0"/>
    <n v="0"/>
    <n v="0.18"/>
    <n v="-0.21410000000000001"/>
    <n v="1.4E-3"/>
    <n v="-3.1389"/>
    <n v="3.5190000000000001"/>
    <n v="-0.42759999999999998"/>
    <n v="19"/>
    <n v="26.1"/>
    <n v="19"/>
    <n v="26.5"/>
    <n v="0"/>
    <n v="0"/>
    <n v="33.585900000000002"/>
    <n v="42"/>
    <n v="0"/>
  </r>
  <r>
    <x v="0"/>
    <x v="0"/>
    <s v="SPXW"/>
    <x v="8"/>
    <x v="172"/>
    <s v="p"/>
    <n v="22.19"/>
    <n v="30.81"/>
    <n v="21.15"/>
    <n v="27.22"/>
    <n v="24"/>
    <n v="14"/>
    <n v="27"/>
    <n v="4"/>
    <n v="27.3"/>
    <n v="0"/>
    <n v="0"/>
    <n v="0"/>
    <n v="0"/>
    <n v="0.17910000000000001"/>
    <n v="-0.22"/>
    <n v="1.4E-3"/>
    <n v="-3.1745999999999999"/>
    <n v="3.5724999999999998"/>
    <n v="-0.43940000000000001"/>
    <n v="14"/>
    <n v="26.9"/>
    <n v="14"/>
    <n v="27.3"/>
    <n v="0"/>
    <n v="0"/>
    <n v="27.873799999999999"/>
    <n v="169"/>
    <n v="0"/>
  </r>
  <r>
    <x v="0"/>
    <x v="0"/>
    <s v="SPXW"/>
    <x v="8"/>
    <x v="173"/>
    <s v="p"/>
    <n v="21.5"/>
    <n v="34"/>
    <n v="18.350000000000001"/>
    <n v="27.9"/>
    <n v="328"/>
    <n v="25"/>
    <n v="27.8"/>
    <n v="4"/>
    <n v="28.1"/>
    <n v="0"/>
    <n v="0"/>
    <n v="0"/>
    <n v="0"/>
    <n v="0.17810000000000001"/>
    <n v="-0.22589999999999999"/>
    <n v="1.4E-3"/>
    <n v="-3.2078000000000002"/>
    <n v="3.6255000000000002"/>
    <n v="-0.45129999999999998"/>
    <n v="18"/>
    <n v="27.7"/>
    <n v="18"/>
    <n v="28.1"/>
    <n v="0"/>
    <n v="0"/>
    <n v="29.847899999999999"/>
    <n v="421"/>
    <n v="0"/>
  </r>
  <r>
    <x v="0"/>
    <x v="0"/>
    <s v="SPXW"/>
    <x v="8"/>
    <x v="174"/>
    <s v="p"/>
    <n v="24.06"/>
    <n v="30.97"/>
    <n v="24.06"/>
    <n v="30.97"/>
    <n v="3"/>
    <n v="14"/>
    <n v="28.6"/>
    <n v="22"/>
    <n v="29"/>
    <n v="0"/>
    <n v="0"/>
    <n v="0"/>
    <n v="0"/>
    <n v="0.1772"/>
    <n v="-0.23200000000000001"/>
    <n v="1.4E-3"/>
    <n v="-3.2423999999999999"/>
    <n v="3.6789999999999998"/>
    <n v="-0.46389999999999998"/>
    <n v="13"/>
    <n v="28.5"/>
    <n v="13"/>
    <n v="29"/>
    <n v="0"/>
    <n v="0"/>
    <n v="28.5"/>
    <n v="11"/>
    <n v="0"/>
  </r>
  <r>
    <x v="0"/>
    <x v="0"/>
    <s v="SPXW"/>
    <x v="8"/>
    <x v="175"/>
    <s v="p"/>
    <n v="24.24"/>
    <n v="35.299999999999997"/>
    <n v="23.21"/>
    <n v="33.520000000000003"/>
    <n v="7"/>
    <n v="14"/>
    <n v="29.5"/>
    <n v="4"/>
    <n v="29.8"/>
    <n v="0"/>
    <n v="0"/>
    <n v="0"/>
    <n v="0"/>
    <n v="0.1762"/>
    <n v="-0.2382"/>
    <n v="1.5E-3"/>
    <n v="-3.2742"/>
    <n v="3.7313999999999998"/>
    <n v="-0.47660000000000002"/>
    <n v="13"/>
    <n v="29.4"/>
    <n v="13"/>
    <n v="29.9"/>
    <n v="0"/>
    <n v="0"/>
    <n v="30.618600000000001"/>
    <n v="283"/>
    <n v="0"/>
  </r>
  <r>
    <x v="0"/>
    <x v="0"/>
    <s v="SPXW"/>
    <x v="8"/>
    <x v="176"/>
    <s v="p"/>
    <n v="23.02"/>
    <n v="35.53"/>
    <n v="21.35"/>
    <n v="35.53"/>
    <n v="15"/>
    <n v="14"/>
    <n v="30.4"/>
    <n v="4"/>
    <n v="30.7"/>
    <n v="0"/>
    <n v="0"/>
    <n v="0"/>
    <n v="0"/>
    <n v="0.17519999999999999"/>
    <n v="-0.24460000000000001"/>
    <n v="1.5E-3"/>
    <n v="-3.3069999999999999"/>
    <n v="3.7835999999999999"/>
    <n v="-0.48959999999999998"/>
    <n v="13"/>
    <n v="30.3"/>
    <n v="1"/>
    <n v="30.7"/>
    <n v="0"/>
    <n v="0"/>
    <n v="27.968699999999998"/>
    <n v="9"/>
    <n v="0"/>
  </r>
  <r>
    <x v="0"/>
    <x v="0"/>
    <s v="SPXW"/>
    <x v="8"/>
    <x v="177"/>
    <s v="p"/>
    <n v="22.17"/>
    <n v="40.020000000000003"/>
    <n v="20.9"/>
    <n v="30.44"/>
    <n v="52"/>
    <n v="13"/>
    <n v="31.3"/>
    <n v="4"/>
    <n v="31.6"/>
    <n v="0"/>
    <n v="0"/>
    <n v="0"/>
    <n v="0"/>
    <n v="0.17419999999999999"/>
    <n v="-0.25109999999999999"/>
    <n v="1.5E-3"/>
    <n v="-3.3370000000000002"/>
    <n v="3.8344"/>
    <n v="-0.50270000000000004"/>
    <n v="18"/>
    <n v="31.2"/>
    <n v="18"/>
    <n v="31.7"/>
    <n v="0"/>
    <n v="0"/>
    <n v="26.801300000000001"/>
    <n v="45"/>
    <n v="0"/>
  </r>
  <r>
    <x v="0"/>
    <x v="0"/>
    <s v="SPXW"/>
    <x v="8"/>
    <x v="178"/>
    <s v="p"/>
    <n v="27.22"/>
    <n v="38.94"/>
    <n v="20.98"/>
    <n v="31.91"/>
    <n v="41"/>
    <n v="13"/>
    <n v="32.200000000000003"/>
    <n v="17"/>
    <n v="32.6"/>
    <n v="0"/>
    <n v="0"/>
    <n v="0"/>
    <n v="0"/>
    <n v="0.17330000000000001"/>
    <n v="-0.25790000000000002"/>
    <n v="1.6000000000000001E-3"/>
    <n v="-3.3675999999999999"/>
    <n v="3.8852000000000002"/>
    <n v="-0.51619999999999999"/>
    <n v="13"/>
    <n v="32.200000000000003"/>
    <n v="11"/>
    <n v="32.6"/>
    <n v="0"/>
    <n v="0"/>
    <n v="28.519300000000001"/>
    <n v="60"/>
    <n v="0"/>
  </r>
  <r>
    <x v="0"/>
    <x v="0"/>
    <s v="SPXW"/>
    <x v="8"/>
    <x v="179"/>
    <s v="p"/>
    <n v="27.39"/>
    <n v="39.270000000000003"/>
    <n v="27.39"/>
    <n v="39.270000000000003"/>
    <n v="24"/>
    <n v="13"/>
    <n v="33.200000000000003"/>
    <n v="1"/>
    <n v="33.5"/>
    <n v="0"/>
    <n v="0"/>
    <n v="0"/>
    <n v="0"/>
    <n v="0.17230000000000001"/>
    <n v="-0.2646"/>
    <n v="1.6000000000000001E-3"/>
    <n v="-3.3956"/>
    <n v="3.9348999999999998"/>
    <n v="-0.52969999999999995"/>
    <n v="13"/>
    <n v="33.200000000000003"/>
    <n v="11"/>
    <n v="33.6"/>
    <n v="0"/>
    <n v="0"/>
    <n v="37.933300000000003"/>
    <n v="77"/>
    <n v="0"/>
  </r>
  <r>
    <x v="0"/>
    <x v="0"/>
    <s v="SPXW"/>
    <x v="8"/>
    <x v="180"/>
    <s v="p"/>
    <n v="23.23"/>
    <n v="23.23"/>
    <n v="23.23"/>
    <n v="23.23"/>
    <n v="2"/>
    <n v="13"/>
    <n v="34.200000000000003"/>
    <n v="1"/>
    <n v="34.5"/>
    <n v="0"/>
    <n v="0"/>
    <n v="0"/>
    <n v="0"/>
    <n v="0.17130000000000001"/>
    <n v="-0.2717"/>
    <n v="1.6000000000000001E-3"/>
    <n v="-3.4239000000000002"/>
    <n v="3.9849999999999999"/>
    <n v="-0.54379999999999995"/>
    <n v="12"/>
    <n v="34.200000000000003"/>
    <n v="11"/>
    <n v="34.6"/>
    <n v="0"/>
    <n v="0"/>
    <n v="23.23"/>
    <n v="140"/>
    <n v="0"/>
  </r>
  <r>
    <x v="0"/>
    <x v="0"/>
    <s v="SPXW"/>
    <x v="8"/>
    <x v="181"/>
    <s v="p"/>
    <n v="27.49"/>
    <n v="38.64"/>
    <n v="27.33"/>
    <n v="35.700000000000003"/>
    <n v="29"/>
    <n v="12"/>
    <n v="35.200000000000003"/>
    <n v="20"/>
    <n v="35.6"/>
    <n v="0"/>
    <n v="0"/>
    <n v="0"/>
    <n v="0"/>
    <n v="0.17019999999999999"/>
    <n v="-0.27879999999999999"/>
    <n v="1.6999999999999999E-3"/>
    <n v="-3.4489999999999998"/>
    <n v="4.0343"/>
    <n v="-0.55810000000000004"/>
    <n v="13"/>
    <n v="35.200000000000003"/>
    <n v="13"/>
    <n v="35.700000000000003"/>
    <n v="0"/>
    <n v="0"/>
    <n v="33.109000000000002"/>
    <n v="39"/>
    <n v="0"/>
  </r>
  <r>
    <x v="0"/>
    <x v="0"/>
    <s v="SPXW"/>
    <x v="8"/>
    <x v="182"/>
    <s v="p"/>
    <n v="43.64"/>
    <n v="43.64"/>
    <n v="37.75"/>
    <n v="37.75"/>
    <n v="11"/>
    <n v="12"/>
    <n v="36.299999999999997"/>
    <n v="4"/>
    <n v="36.6"/>
    <n v="0"/>
    <n v="0"/>
    <n v="0"/>
    <n v="0"/>
    <n v="0.16930000000000001"/>
    <n v="-0.2863"/>
    <n v="1.6999999999999999E-3"/>
    <n v="-3.4773999999999998"/>
    <n v="4.0846"/>
    <n v="-0.57340000000000002"/>
    <n v="13"/>
    <n v="36.299999999999997"/>
    <n v="11"/>
    <n v="36.700000000000003"/>
    <n v="0"/>
    <n v="0"/>
    <n v="43.104500000000002"/>
    <n v="25"/>
    <n v="0"/>
  </r>
  <r>
    <x v="0"/>
    <x v="0"/>
    <s v="SPXW"/>
    <x v="8"/>
    <x v="183"/>
    <s v="p"/>
    <n v="30.79"/>
    <n v="48.07"/>
    <n v="24.75"/>
    <n v="37.159999999999997"/>
    <n v="623"/>
    <n v="22"/>
    <n v="37.299999999999997"/>
    <n v="4"/>
    <n v="37.700000000000003"/>
    <n v="0"/>
    <n v="0"/>
    <n v="0"/>
    <n v="0"/>
    <n v="0.16830000000000001"/>
    <n v="-0.29370000000000002"/>
    <n v="1.6999999999999999E-3"/>
    <n v="-3.4990999999999999"/>
    <n v="4.1325000000000003"/>
    <n v="-0.58860000000000001"/>
    <n v="18"/>
    <n v="37.4"/>
    <n v="16"/>
    <n v="37.799999999999997"/>
    <n v="0"/>
    <n v="0"/>
    <n v="36.185000000000002"/>
    <n v="359"/>
    <n v="0"/>
  </r>
  <r>
    <x v="0"/>
    <x v="0"/>
    <s v="SPXW"/>
    <x v="8"/>
    <x v="184"/>
    <s v="p"/>
    <n v="40.53"/>
    <n v="40.53"/>
    <n v="36.92"/>
    <n v="38.08"/>
    <n v="9"/>
    <n v="12"/>
    <n v="38.5"/>
    <n v="4"/>
    <n v="38.799999999999997"/>
    <n v="0"/>
    <n v="0"/>
    <n v="0"/>
    <n v="0"/>
    <n v="0.1673"/>
    <n v="-0.3014"/>
    <n v="1.6999999999999999E-3"/>
    <n v="-3.524"/>
    <n v="4.1802000000000001"/>
    <n v="-0.60450000000000004"/>
    <n v="12"/>
    <n v="38.5"/>
    <n v="10"/>
    <n v="39"/>
    <n v="0"/>
    <n v="0"/>
    <n v="38.223300000000002"/>
    <n v="9"/>
    <n v="0"/>
  </r>
  <r>
    <x v="0"/>
    <x v="0"/>
    <s v="SPXW"/>
    <x v="8"/>
    <x v="185"/>
    <s v="p"/>
    <n v="26.35"/>
    <n v="45.08"/>
    <n v="26.05"/>
    <n v="39.33"/>
    <n v="59"/>
    <n v="12"/>
    <n v="39.6"/>
    <n v="26"/>
    <n v="40"/>
    <n v="0"/>
    <n v="0"/>
    <n v="0"/>
    <n v="0"/>
    <n v="0.16619999999999999"/>
    <n v="-0.30919999999999997"/>
    <n v="1.8E-3"/>
    <n v="-3.5419999999999998"/>
    <n v="4.2252999999999998"/>
    <n v="-0.62019999999999997"/>
    <n v="6"/>
    <n v="39.700000000000003"/>
    <n v="15"/>
    <n v="40.1"/>
    <n v="0"/>
    <n v="0"/>
    <n v="40.1036"/>
    <n v="78"/>
    <n v="0"/>
  </r>
  <r>
    <x v="0"/>
    <x v="0"/>
    <s v="SPXW"/>
    <x v="8"/>
    <x v="186"/>
    <s v="p"/>
    <n v="34.21"/>
    <n v="46.72"/>
    <n v="26.91"/>
    <n v="40.869999999999997"/>
    <n v="11"/>
    <n v="11"/>
    <n v="40.799999999999997"/>
    <n v="1"/>
    <n v="41.1"/>
    <n v="0"/>
    <n v="0"/>
    <n v="0"/>
    <n v="0"/>
    <n v="0.16520000000000001"/>
    <n v="-0.31719999999999998"/>
    <n v="1.8E-3"/>
    <n v="-3.5628000000000002"/>
    <n v="4.2698"/>
    <n v="-0.63639999999999997"/>
    <n v="12"/>
    <n v="40.799999999999997"/>
    <n v="10"/>
    <n v="41.3"/>
    <n v="0"/>
    <n v="0"/>
    <n v="33.125500000000002"/>
    <n v="14"/>
    <n v="0"/>
  </r>
  <r>
    <x v="0"/>
    <x v="0"/>
    <s v="SPXW"/>
    <x v="8"/>
    <x v="187"/>
    <s v="p"/>
    <n v="30.39"/>
    <n v="49.91"/>
    <n v="28.05"/>
    <n v="41.87"/>
    <n v="50"/>
    <n v="11"/>
    <n v="42"/>
    <n v="14"/>
    <n v="42.4"/>
    <n v="0"/>
    <n v="0"/>
    <n v="0"/>
    <n v="0"/>
    <n v="0.16420000000000001"/>
    <n v="-0.32540000000000002"/>
    <n v="1.8E-3"/>
    <n v="-3.5798999999999999"/>
    <n v="4.3128000000000002"/>
    <n v="-0.65269999999999995"/>
    <n v="12"/>
    <n v="42.1"/>
    <n v="9"/>
    <n v="42.6"/>
    <n v="0"/>
    <n v="0"/>
    <n v="41.753"/>
    <n v="117"/>
    <n v="0"/>
  </r>
  <r>
    <x v="0"/>
    <x v="0"/>
    <s v="SPXW"/>
    <x v="8"/>
    <x v="188"/>
    <s v="p"/>
    <n v="37.229999999999997"/>
    <n v="48.9"/>
    <n v="28.76"/>
    <n v="42.87"/>
    <n v="50"/>
    <n v="21"/>
    <n v="43.2"/>
    <n v="14"/>
    <n v="43.6"/>
    <n v="0"/>
    <n v="0"/>
    <n v="0"/>
    <n v="0"/>
    <n v="0.16300000000000001"/>
    <n v="-0.3337"/>
    <n v="1.9E-3"/>
    <n v="-3.5931000000000002"/>
    <n v="4.3544"/>
    <n v="-0.66920000000000002"/>
    <n v="17"/>
    <n v="43.4"/>
    <n v="9"/>
    <n v="43.9"/>
    <n v="0"/>
    <n v="0"/>
    <n v="38.067599999999999"/>
    <n v="71"/>
    <n v="0"/>
  </r>
  <r>
    <x v="0"/>
    <x v="0"/>
    <s v="SPXW"/>
    <x v="8"/>
    <x v="189"/>
    <s v="p"/>
    <n v="38.26"/>
    <n v="49.21"/>
    <n v="30.08"/>
    <n v="43.36"/>
    <n v="22"/>
    <n v="11"/>
    <n v="44.5"/>
    <n v="14"/>
    <n v="44.9"/>
    <n v="0"/>
    <n v="0"/>
    <n v="0"/>
    <n v="0"/>
    <n v="0.16209999999999999"/>
    <n v="-0.34229999999999999"/>
    <n v="1.9E-3"/>
    <n v="-3.6084999999999998"/>
    <n v="4.3958000000000004"/>
    <n v="-0.68659999999999999"/>
    <n v="26"/>
    <n v="44.6"/>
    <n v="1"/>
    <n v="45.1"/>
    <n v="0"/>
    <n v="0"/>
    <n v="42.209499999999998"/>
    <n v="85"/>
    <n v="0"/>
  </r>
  <r>
    <x v="0"/>
    <x v="0"/>
    <s v="SPXW"/>
    <x v="8"/>
    <x v="190"/>
    <s v="p"/>
    <n v="50.01"/>
    <n v="50.01"/>
    <n v="43.21"/>
    <n v="43.21"/>
    <n v="4"/>
    <n v="10"/>
    <n v="45.8"/>
    <n v="3"/>
    <n v="46.2"/>
    <n v="0"/>
    <n v="0"/>
    <n v="0"/>
    <n v="0"/>
    <n v="0.16109999999999999"/>
    <n v="-0.35099999999999998"/>
    <n v="1.9E-3"/>
    <n v="-3.6225999999999998"/>
    <n v="4.4359999999999999"/>
    <n v="-0.7046"/>
    <n v="11"/>
    <n v="46"/>
    <n v="9"/>
    <n v="46.5"/>
    <n v="0"/>
    <n v="0"/>
    <n v="46.37"/>
    <n v="70"/>
    <n v="0"/>
  </r>
  <r>
    <x v="0"/>
    <x v="0"/>
    <s v="SPXW"/>
    <x v="8"/>
    <x v="191"/>
    <s v="p"/>
    <n v="40.049999999999997"/>
    <n v="60.45"/>
    <n v="31.82"/>
    <n v="49.65"/>
    <n v="188"/>
    <n v="10"/>
    <n v="47.2"/>
    <n v="13"/>
    <n v="47.6"/>
    <n v="0"/>
    <n v="0"/>
    <n v="0"/>
    <n v="0"/>
    <n v="0.16"/>
    <n v="-0.3599"/>
    <n v="2E-3"/>
    <n v="-3.6324000000000001"/>
    <n v="4.4741999999999997"/>
    <n v="-0.72289999999999999"/>
    <n v="15"/>
    <n v="47.4"/>
    <n v="13"/>
    <n v="47.9"/>
    <n v="0"/>
    <n v="0"/>
    <n v="45.802300000000002"/>
    <n v="304"/>
    <n v="0"/>
  </r>
  <r>
    <x v="0"/>
    <x v="0"/>
    <s v="SPXW"/>
    <x v="8"/>
    <x v="192"/>
    <s v="p"/>
    <n v="39.21"/>
    <n v="57.18"/>
    <n v="35.61"/>
    <n v="57.18"/>
    <n v="50"/>
    <n v="10"/>
    <n v="48.6"/>
    <n v="13"/>
    <n v="49"/>
    <n v="0"/>
    <n v="0"/>
    <n v="0"/>
    <n v="0"/>
    <n v="0.159"/>
    <n v="-0.36899999999999999"/>
    <n v="2E-3"/>
    <n v="-3.6406999999999998"/>
    <n v="4.5103999999999997"/>
    <n v="-0.74150000000000005"/>
    <n v="11"/>
    <n v="48.8"/>
    <n v="9"/>
    <n v="49.3"/>
    <n v="0"/>
    <n v="0"/>
    <n v="40.643999999999998"/>
    <n v="27"/>
    <n v="0"/>
  </r>
  <r>
    <x v="0"/>
    <x v="0"/>
    <s v="SPXW"/>
    <x v="8"/>
    <x v="193"/>
    <s v="p"/>
    <n v="42.1"/>
    <n v="65"/>
    <n v="33.71"/>
    <n v="49.93"/>
    <n v="113"/>
    <n v="19"/>
    <n v="50"/>
    <n v="1"/>
    <n v="50.4"/>
    <n v="0"/>
    <n v="0"/>
    <n v="0"/>
    <n v="0"/>
    <n v="0.15790000000000001"/>
    <n v="-0.37840000000000001"/>
    <n v="2E-3"/>
    <n v="-3.6474000000000002"/>
    <n v="4.5444000000000004"/>
    <n v="-0.76039999999999996"/>
    <n v="15"/>
    <n v="50.3"/>
    <n v="13"/>
    <n v="50.8"/>
    <n v="0"/>
    <n v="0"/>
    <n v="50.0627"/>
    <n v="712"/>
    <n v="0"/>
  </r>
  <r>
    <x v="0"/>
    <x v="0"/>
    <s v="SPXW"/>
    <x v="8"/>
    <x v="194"/>
    <s v="p"/>
    <n v="57.09"/>
    <n v="57.09"/>
    <n v="51.42"/>
    <n v="51.98"/>
    <n v="26"/>
    <n v="9"/>
    <n v="51.5"/>
    <n v="3"/>
    <n v="51.9"/>
    <n v="0"/>
    <n v="0"/>
    <n v="0"/>
    <n v="0"/>
    <n v="0.15679999999999999"/>
    <n v="-0.38779999999999998"/>
    <n v="2E-3"/>
    <n v="-3.6495000000000002"/>
    <n v="4.5761000000000003"/>
    <n v="-0.77929999999999999"/>
    <n v="11"/>
    <n v="51.8"/>
    <n v="8"/>
    <n v="52.3"/>
    <n v="0"/>
    <n v="0"/>
    <n v="52.511499999999998"/>
    <n v="66"/>
    <n v="0"/>
  </r>
  <r>
    <x v="0"/>
    <x v="0"/>
    <s v="SPXW"/>
    <x v="8"/>
    <x v="195"/>
    <s v="p"/>
    <n v="45.78"/>
    <n v="57.1"/>
    <n v="42.16"/>
    <n v="53.2"/>
    <n v="64"/>
    <n v="18"/>
    <n v="53"/>
    <n v="3"/>
    <n v="53.5"/>
    <n v="0"/>
    <n v="0"/>
    <n v="0"/>
    <n v="0"/>
    <n v="0.15579999999999999"/>
    <n v="-0.39750000000000002"/>
    <n v="2.0999999999999999E-3"/>
    <n v="-3.6526000000000001"/>
    <n v="4.6058000000000003"/>
    <n v="-0.79869999999999997"/>
    <n v="15"/>
    <n v="53.4"/>
    <n v="12"/>
    <n v="53.9"/>
    <n v="0"/>
    <n v="0"/>
    <n v="53.07"/>
    <n v="28"/>
    <n v="0"/>
  </r>
  <r>
    <x v="0"/>
    <x v="0"/>
    <s v="SPXW"/>
    <x v="8"/>
    <x v="196"/>
    <s v="p"/>
    <n v="37.549999999999997"/>
    <n v="61.5"/>
    <n v="37.549999999999997"/>
    <n v="55.61"/>
    <n v="51"/>
    <n v="9"/>
    <n v="54.6"/>
    <n v="1"/>
    <n v="55"/>
    <n v="0"/>
    <n v="0"/>
    <n v="0"/>
    <n v="0"/>
    <n v="0.15479999999999999"/>
    <n v="-0.40739999999999998"/>
    <n v="2.0999999999999999E-3"/>
    <n v="-3.6536"/>
    <n v="4.6336000000000004"/>
    <n v="-0.81859999999999999"/>
    <n v="11"/>
    <n v="55"/>
    <n v="8"/>
    <n v="55.5"/>
    <n v="0"/>
    <n v="0"/>
    <n v="54.927599999999998"/>
    <n v="90"/>
    <n v="0"/>
  </r>
  <r>
    <x v="0"/>
    <x v="0"/>
    <s v="SPXW"/>
    <x v="8"/>
    <x v="197"/>
    <s v="p"/>
    <n v="46"/>
    <n v="61"/>
    <n v="41.78"/>
    <n v="57.66"/>
    <n v="102"/>
    <n v="17"/>
    <n v="56.2"/>
    <n v="3"/>
    <n v="56.7"/>
    <n v="0"/>
    <n v="0"/>
    <n v="0"/>
    <n v="0"/>
    <n v="0.1537"/>
    <n v="-0.41739999999999999"/>
    <n v="2.0999999999999999E-3"/>
    <n v="-3.6494"/>
    <n v="4.6590999999999996"/>
    <n v="-0.83909999999999996"/>
    <n v="10"/>
    <n v="56.7"/>
    <n v="12"/>
    <n v="57.2"/>
    <n v="0"/>
    <n v="0"/>
    <n v="52.163400000000003"/>
    <n v="28"/>
    <n v="0"/>
  </r>
  <r>
    <x v="0"/>
    <x v="0"/>
    <s v="SPXW"/>
    <x v="8"/>
    <x v="198"/>
    <s v="p"/>
    <n v="50.45"/>
    <n v="60.65"/>
    <n v="41.64"/>
    <n v="56.61"/>
    <n v="45"/>
    <n v="12"/>
    <n v="57.8"/>
    <n v="3"/>
    <n v="58.3"/>
    <n v="0"/>
    <n v="0"/>
    <n v="0"/>
    <n v="0"/>
    <n v="0.1527"/>
    <n v="-0.42759999999999998"/>
    <n v="2.2000000000000001E-3"/>
    <n v="-3.6429999999999998"/>
    <n v="4.6821999999999999"/>
    <n v="-0.86009999999999998"/>
    <n v="11"/>
    <n v="58.4"/>
    <n v="8"/>
    <n v="58.9"/>
    <n v="0"/>
    <n v="0"/>
    <n v="55.883800000000001"/>
    <n v="58"/>
    <n v="0"/>
  </r>
  <r>
    <x v="0"/>
    <x v="0"/>
    <s v="SPXW"/>
    <x v="8"/>
    <x v="199"/>
    <s v="p"/>
    <n v="47.77"/>
    <n v="72.2"/>
    <n v="40.85"/>
    <n v="63.57"/>
    <n v="11"/>
    <n v="8"/>
    <n v="59.6"/>
    <n v="2"/>
    <n v="60.1"/>
    <n v="0"/>
    <n v="0"/>
    <n v="0"/>
    <n v="0"/>
    <n v="0.1517"/>
    <n v="-0.438"/>
    <n v="2.2000000000000001E-3"/>
    <n v="-3.6364999999999998"/>
    <n v="4.7023999999999999"/>
    <n v="-0.88160000000000005"/>
    <n v="11"/>
    <n v="60.1"/>
    <n v="8"/>
    <n v="60.6"/>
    <n v="0"/>
    <n v="0"/>
    <n v="51.718200000000003"/>
    <n v="137"/>
    <n v="0"/>
  </r>
  <r>
    <x v="0"/>
    <x v="0"/>
    <s v="SPXW"/>
    <x v="8"/>
    <x v="200"/>
    <s v="p"/>
    <n v="51.78"/>
    <n v="65.42"/>
    <n v="51.78"/>
    <n v="59.69"/>
    <n v="9"/>
    <n v="8"/>
    <n v="61.4"/>
    <n v="2"/>
    <n v="61.8"/>
    <n v="0"/>
    <n v="0"/>
    <n v="0"/>
    <n v="0"/>
    <n v="0.15060000000000001"/>
    <n v="-0.4486"/>
    <n v="2.2000000000000001E-3"/>
    <n v="-3.6246999999999998"/>
    <n v="4.7195"/>
    <n v="-0.90300000000000002"/>
    <n v="11"/>
    <n v="61.9"/>
    <n v="1"/>
    <n v="62.5"/>
    <n v="0"/>
    <n v="0"/>
    <n v="56.811100000000003"/>
    <n v="7"/>
    <n v="0"/>
  </r>
  <r>
    <x v="0"/>
    <x v="0"/>
    <s v="SPXW"/>
    <x v="8"/>
    <x v="201"/>
    <s v="p"/>
    <n v="52.27"/>
    <n v="71.44"/>
    <n v="44.06"/>
    <n v="61.78"/>
    <n v="29"/>
    <n v="8"/>
    <n v="63.2"/>
    <n v="2"/>
    <n v="63.7"/>
    <n v="0"/>
    <n v="0"/>
    <n v="0"/>
    <n v="0"/>
    <n v="0.14949999999999999"/>
    <n v="-0.45939999999999998"/>
    <n v="2.2000000000000001E-3"/>
    <n v="-3.6101000000000001"/>
    <n v="4.7335000000000003"/>
    <n v="-0.92459999999999998"/>
    <n v="10"/>
    <n v="63.8"/>
    <n v="8"/>
    <n v="64.3"/>
    <n v="0"/>
    <n v="0"/>
    <n v="63.247599999999998"/>
    <n v="13"/>
    <n v="0"/>
  </r>
  <r>
    <x v="0"/>
    <x v="0"/>
    <s v="SPXW"/>
    <x v="8"/>
    <x v="202"/>
    <s v="p"/>
    <n v="53.85"/>
    <n v="78.14"/>
    <n v="51.39"/>
    <n v="65.87"/>
    <n v="30"/>
    <n v="21"/>
    <n v="65"/>
    <n v="2"/>
    <n v="65.5"/>
    <n v="0"/>
    <n v="0"/>
    <n v="0"/>
    <n v="0"/>
    <n v="0.14849999999999999"/>
    <n v="-0.4703"/>
    <n v="2.2000000000000001E-3"/>
    <n v="-3.5951"/>
    <n v="4.7443999999999997"/>
    <n v="-0.9466"/>
    <n v="14"/>
    <n v="65.7"/>
    <n v="8"/>
    <n v="66.2"/>
    <n v="0"/>
    <n v="0"/>
    <n v="57.8033"/>
    <n v="146"/>
    <n v="0"/>
  </r>
  <r>
    <x v="0"/>
    <x v="0"/>
    <s v="SPXW"/>
    <x v="8"/>
    <x v="203"/>
    <s v="p"/>
    <n v="59.08"/>
    <n v="82"/>
    <n v="47.7"/>
    <n v="65.5"/>
    <n v="136"/>
    <n v="17"/>
    <n v="67"/>
    <n v="2"/>
    <n v="67.5"/>
    <n v="0"/>
    <n v="0"/>
    <n v="0"/>
    <n v="0"/>
    <n v="0.1474"/>
    <n v="-0.48139999999999999"/>
    <n v="2.3E-3"/>
    <n v="-3.5745"/>
    <n v="4.7521000000000004"/>
    <n v="-0.96919999999999995"/>
    <n v="9"/>
    <n v="67.7"/>
    <n v="8"/>
    <n v="68.2"/>
    <n v="0"/>
    <n v="0"/>
    <n v="65.746899999999997"/>
    <n v="79"/>
    <n v="0"/>
  </r>
  <r>
    <x v="0"/>
    <x v="0"/>
    <s v="SPXW"/>
    <x v="8"/>
    <x v="204"/>
    <s v="p"/>
    <n v="59.89"/>
    <n v="73.23"/>
    <n v="52.21"/>
    <n v="67.33"/>
    <n v="12"/>
    <n v="8"/>
    <n v="69"/>
    <n v="2"/>
    <n v="69.5"/>
    <n v="0"/>
    <n v="0"/>
    <n v="0"/>
    <n v="0"/>
    <n v="0.1464"/>
    <n v="-0.49270000000000003"/>
    <n v="2.3E-3"/>
    <n v="-3.5531000000000001"/>
    <n v="4.7563000000000004"/>
    <n v="-0.99239999999999995"/>
    <n v="9"/>
    <n v="69.7"/>
    <n v="8"/>
    <n v="70.2"/>
    <n v="0"/>
    <n v="0"/>
    <n v="63.181699999999999"/>
    <n v="21"/>
    <n v="0"/>
  </r>
  <r>
    <x v="0"/>
    <x v="0"/>
    <s v="SPXW"/>
    <x v="8"/>
    <x v="205"/>
    <s v="p"/>
    <n v="61.8"/>
    <n v="96.11"/>
    <n v="50"/>
    <n v="69.8"/>
    <n v="76"/>
    <n v="17"/>
    <n v="71"/>
    <n v="1"/>
    <n v="71.5"/>
    <n v="0"/>
    <n v="0"/>
    <n v="0"/>
    <n v="0"/>
    <n v="0.1454"/>
    <n v="-0.50409999999999999"/>
    <n v="2.3E-3"/>
    <n v="-3.5283000000000002"/>
    <n v="4.7568999999999999"/>
    <n v="-1.016"/>
    <n v="9"/>
    <n v="71.8"/>
    <n v="8"/>
    <n v="72.3"/>
    <n v="0"/>
    <n v="0"/>
    <n v="68.098299999999995"/>
    <n v="121"/>
    <n v="0"/>
  </r>
  <r>
    <x v="0"/>
    <x v="0"/>
    <s v="SPXW"/>
    <x v="8"/>
    <x v="206"/>
    <s v="p"/>
    <n v="64.3"/>
    <n v="71.52"/>
    <n v="51.45"/>
    <n v="71.52"/>
    <n v="15"/>
    <n v="8"/>
    <n v="73.2"/>
    <n v="1"/>
    <n v="73.599999999999994"/>
    <n v="0"/>
    <n v="0"/>
    <n v="0"/>
    <n v="0"/>
    <n v="0.14430000000000001"/>
    <n v="-0.51570000000000005"/>
    <n v="2.3E-3"/>
    <n v="-3.4998"/>
    <n v="4.7537000000000003"/>
    <n v="-1.0397000000000001"/>
    <n v="10"/>
    <n v="73.900000000000006"/>
    <n v="8"/>
    <n v="74.599999999999994"/>
    <n v="0"/>
    <n v="0"/>
    <n v="57.338700000000003"/>
    <n v="40"/>
    <n v="0"/>
  </r>
  <r>
    <x v="0"/>
    <x v="0"/>
    <s v="SPXW"/>
    <x v="8"/>
    <x v="207"/>
    <s v="p"/>
    <n v="61.69"/>
    <n v="73.34"/>
    <n v="61.69"/>
    <n v="73.34"/>
    <n v="14"/>
    <n v="8"/>
    <n v="75.2"/>
    <n v="9"/>
    <n v="75.8"/>
    <n v="0"/>
    <n v="0"/>
    <n v="0"/>
    <n v="0"/>
    <n v="0.14330000000000001"/>
    <n v="-0.52749999999999997"/>
    <n v="2.3E-3"/>
    <n v="-3.4678"/>
    <n v="4.7466999999999997"/>
    <n v="-1.0633999999999999"/>
    <n v="10"/>
    <n v="76.099999999999994"/>
    <n v="8"/>
    <n v="76.8"/>
    <n v="0"/>
    <n v="0"/>
    <n v="70.011399999999995"/>
    <n v="37"/>
    <n v="0"/>
  </r>
  <r>
    <x v="0"/>
    <x v="0"/>
    <s v="SPXW"/>
    <x v="8"/>
    <x v="208"/>
    <s v="p"/>
    <n v="66.739999999999995"/>
    <n v="66.739999999999995"/>
    <n v="57.09"/>
    <n v="57.09"/>
    <n v="9"/>
    <n v="8"/>
    <n v="77.599999999999994"/>
    <n v="1"/>
    <n v="78"/>
    <n v="0"/>
    <n v="0"/>
    <n v="0"/>
    <n v="0"/>
    <n v="0.14230000000000001"/>
    <n v="-0.5393"/>
    <n v="2.3E-3"/>
    <n v="-3.4346000000000001"/>
    <n v="4.7358000000000002"/>
    <n v="-1.0871999999999999"/>
    <n v="9"/>
    <n v="78.400000000000006"/>
    <n v="7"/>
    <n v="78.900000000000006"/>
    <n v="0"/>
    <n v="0"/>
    <n v="60.083300000000001"/>
    <n v="181"/>
    <n v="0"/>
  </r>
  <r>
    <x v="0"/>
    <x v="0"/>
    <s v="SPXW"/>
    <x v="8"/>
    <x v="209"/>
    <s v="p"/>
    <n v="64.599999999999994"/>
    <n v="100.66"/>
    <n v="59"/>
    <n v="81.319999999999993"/>
    <n v="6"/>
    <n v="7"/>
    <n v="79.8"/>
    <n v="1"/>
    <n v="80.3"/>
    <n v="0"/>
    <n v="0"/>
    <n v="0"/>
    <n v="0"/>
    <n v="0.14130000000000001"/>
    <n v="-0.55130000000000001"/>
    <n v="2.3E-3"/>
    <n v="-3.3978000000000002"/>
    <n v="4.7206000000000001"/>
    <n v="-1.1115999999999999"/>
    <n v="8"/>
    <n v="80.7"/>
    <n v="6"/>
    <n v="81.2"/>
    <n v="0"/>
    <n v="0"/>
    <n v="76.875"/>
    <n v="45"/>
    <n v="0"/>
  </r>
  <r>
    <x v="0"/>
    <x v="0"/>
    <s v="SPXW"/>
    <x v="8"/>
    <x v="210"/>
    <s v="p"/>
    <n v="68.760000000000005"/>
    <n v="103.26"/>
    <n v="63.4"/>
    <n v="86.25"/>
    <n v="53"/>
    <n v="7"/>
    <n v="82.2"/>
    <n v="1"/>
    <n v="82.7"/>
    <n v="0"/>
    <n v="0"/>
    <n v="0"/>
    <n v="0"/>
    <n v="0.14030000000000001"/>
    <n v="-0.56340000000000001"/>
    <n v="2.3999999999999998E-3"/>
    <n v="-3.3570000000000002"/>
    <n v="4.7008000000000001"/>
    <n v="-1.1365000000000001"/>
    <n v="9"/>
    <n v="83"/>
    <n v="6"/>
    <n v="83.6"/>
    <n v="0"/>
    <n v="0"/>
    <n v="71.683999999999997"/>
    <n v="52"/>
    <n v="0"/>
  </r>
  <r>
    <x v="0"/>
    <x v="0"/>
    <s v="SPXW"/>
    <x v="8"/>
    <x v="211"/>
    <s v="p"/>
    <n v="75.17"/>
    <n v="91.8"/>
    <n v="60.6"/>
    <n v="82.19"/>
    <n v="22"/>
    <n v="7"/>
    <n v="84.6"/>
    <n v="1"/>
    <n v="85.1"/>
    <n v="0"/>
    <n v="0"/>
    <n v="0"/>
    <n v="0"/>
    <n v="0.1391"/>
    <n v="-0.57569999999999999"/>
    <n v="2.3999999999999998E-3"/>
    <n v="-3.3094000000000001"/>
    <n v="4.6763000000000003"/>
    <n v="-1.1618999999999999"/>
    <n v="9"/>
    <n v="85.5"/>
    <n v="7"/>
    <n v="86.2"/>
    <n v="0"/>
    <n v="0"/>
    <n v="71.354500000000002"/>
    <n v="28"/>
    <n v="0"/>
  </r>
  <r>
    <x v="0"/>
    <x v="0"/>
    <s v="SPXW"/>
    <x v="8"/>
    <x v="212"/>
    <s v="p"/>
    <n v="71.209999999999994"/>
    <n v="81.150000000000006"/>
    <n v="71.209999999999994"/>
    <n v="81.150000000000006"/>
    <n v="11"/>
    <n v="7"/>
    <n v="87"/>
    <n v="8"/>
    <n v="87.6"/>
    <n v="0"/>
    <n v="0"/>
    <n v="0"/>
    <n v="0"/>
    <n v="0.13819999999999999"/>
    <n v="-0.58789999999999998"/>
    <n v="2.3999999999999998E-3"/>
    <n v="-3.2658999999999998"/>
    <n v="4.6478000000000002"/>
    <n v="-1.1870000000000001"/>
    <n v="9"/>
    <n v="88"/>
    <n v="6"/>
    <n v="88.6"/>
    <n v="0"/>
    <n v="0"/>
    <n v="80.246399999999994"/>
    <n v="5"/>
    <n v="0"/>
  </r>
  <r>
    <x v="0"/>
    <x v="0"/>
    <s v="SPXW"/>
    <x v="8"/>
    <x v="213"/>
    <s v="p"/>
    <n v="73.540000000000006"/>
    <n v="89.42"/>
    <n v="67.239999999999995"/>
    <n v="89.16"/>
    <n v="44"/>
    <n v="7"/>
    <n v="89.6"/>
    <n v="7"/>
    <n v="90.2"/>
    <n v="0"/>
    <n v="0"/>
    <n v="0"/>
    <n v="0"/>
    <n v="0.13719999999999999"/>
    <n v="-0.60029999999999994"/>
    <n v="2.3999999999999998E-3"/>
    <n v="-3.2155"/>
    <n v="4.6148999999999996"/>
    <n v="-1.2121"/>
    <n v="7"/>
    <n v="90.6"/>
    <n v="6"/>
    <n v="91.2"/>
    <n v="0"/>
    <n v="0"/>
    <n v="87.531400000000005"/>
    <n v="273"/>
    <n v="0"/>
  </r>
  <r>
    <x v="0"/>
    <x v="0"/>
    <s v="SPXW"/>
    <x v="8"/>
    <x v="214"/>
    <s v="p"/>
    <n v="75.92"/>
    <n v="75.92"/>
    <n v="75.92"/>
    <n v="75.92"/>
    <n v="1"/>
    <n v="6"/>
    <n v="92.2"/>
    <n v="6"/>
    <n v="92.8"/>
    <n v="0"/>
    <n v="0"/>
    <n v="0"/>
    <n v="0"/>
    <n v="0.13619999999999999"/>
    <n v="-0.61280000000000001"/>
    <n v="2.3999999999999998E-3"/>
    <n v="-3.161"/>
    <n v="4.5776000000000003"/>
    <n v="-1.2373000000000001"/>
    <n v="7"/>
    <n v="93.2"/>
    <n v="6"/>
    <n v="93.8"/>
    <n v="0"/>
    <n v="0"/>
    <n v="75.92"/>
    <n v="1"/>
    <n v="0"/>
  </r>
  <r>
    <x v="0"/>
    <x v="0"/>
    <s v="SPXW"/>
    <x v="8"/>
    <x v="215"/>
    <s v="p"/>
    <n v="72.760000000000005"/>
    <n v="92.7"/>
    <n v="72.760000000000005"/>
    <n v="90.6"/>
    <n v="5"/>
    <n v="6"/>
    <n v="95"/>
    <n v="6"/>
    <n v="95.6"/>
    <n v="0"/>
    <n v="0"/>
    <n v="0"/>
    <n v="0"/>
    <n v="0.13519999999999999"/>
    <n v="-0.62529999999999997"/>
    <n v="2.3E-3"/>
    <n v="-3.1053000000000002"/>
    <n v="4.5354000000000001"/>
    <n v="-1.2627999999999999"/>
    <n v="6"/>
    <n v="96"/>
    <n v="5"/>
    <n v="96.6"/>
    <n v="0"/>
    <n v="0"/>
    <n v="87.912000000000006"/>
    <n v="41"/>
    <n v="0"/>
  </r>
  <r>
    <x v="0"/>
    <x v="0"/>
    <s v="SPXW"/>
    <x v="8"/>
    <x v="216"/>
    <s v="p"/>
    <n v="0"/>
    <n v="0"/>
    <n v="0"/>
    <n v="0"/>
    <n v="0"/>
    <n v="5"/>
    <n v="97.6"/>
    <n v="5"/>
    <n v="98.2"/>
    <n v="0"/>
    <n v="0"/>
    <n v="0"/>
    <n v="0"/>
    <n v="0.13420000000000001"/>
    <n v="-0.63780000000000003"/>
    <n v="2.3E-3"/>
    <n v="-3.0453000000000001"/>
    <n v="4.4874999999999998"/>
    <n v="-1.2888999999999999"/>
    <n v="6"/>
    <n v="98.8"/>
    <n v="5"/>
    <n v="99.3"/>
    <n v="0"/>
    <n v="0"/>
    <n v="0"/>
    <n v="11"/>
    <n v="0"/>
  </r>
  <r>
    <x v="0"/>
    <x v="0"/>
    <s v="SPXW"/>
    <x v="8"/>
    <x v="217"/>
    <s v="p"/>
    <n v="84.52"/>
    <n v="84.52"/>
    <n v="84.52"/>
    <n v="84.52"/>
    <n v="2"/>
    <n v="5"/>
    <n v="100.6"/>
    <n v="5"/>
    <n v="101.2"/>
    <n v="0"/>
    <n v="0"/>
    <n v="0"/>
    <n v="0"/>
    <n v="0.13339999999999999"/>
    <n v="-0.6502"/>
    <n v="2.3E-3"/>
    <n v="-2.9870000000000001"/>
    <n v="4.4355000000000002"/>
    <n v="-1.3145"/>
    <n v="5"/>
    <n v="101.6"/>
    <n v="4"/>
    <n v="102.2"/>
    <n v="0"/>
    <n v="0"/>
    <n v="84.52"/>
    <n v="16"/>
    <n v="0"/>
  </r>
  <r>
    <x v="0"/>
    <x v="0"/>
    <s v="SPXW"/>
    <x v="8"/>
    <x v="218"/>
    <s v="p"/>
    <n v="0"/>
    <n v="0"/>
    <n v="0"/>
    <n v="0"/>
    <n v="0"/>
    <n v="4"/>
    <n v="103.4"/>
    <n v="4"/>
    <n v="104"/>
    <n v="0"/>
    <n v="0"/>
    <n v="0"/>
    <n v="0"/>
    <n v="0.13220000000000001"/>
    <n v="-0.66310000000000002"/>
    <n v="2.3E-3"/>
    <n v="-2.9156"/>
    <n v="4.3773999999999997"/>
    <n v="-1.3407"/>
    <n v="5"/>
    <n v="104.6"/>
    <n v="3"/>
    <n v="105.1"/>
    <n v="0"/>
    <n v="0"/>
    <n v="0"/>
    <n v="80"/>
    <n v="0"/>
  </r>
  <r>
    <x v="0"/>
    <x v="0"/>
    <s v="SPXW"/>
    <x v="8"/>
    <x v="219"/>
    <s v="p"/>
    <n v="96.8"/>
    <n v="110.2"/>
    <n v="79.180000000000007"/>
    <n v="109.9"/>
    <n v="34"/>
    <n v="3"/>
    <n v="106.4"/>
    <n v="3"/>
    <n v="107"/>
    <n v="0"/>
    <n v="0"/>
    <n v="0"/>
    <n v="0"/>
    <n v="0.1313"/>
    <n v="-0.67549999999999999"/>
    <n v="2.3E-3"/>
    <n v="-2.8492000000000002"/>
    <n v="4.3167"/>
    <n v="-1.3658999999999999"/>
    <n v="4"/>
    <n v="107.6"/>
    <n v="3"/>
    <n v="108.1"/>
    <n v="0"/>
    <n v="0"/>
    <n v="92.863500000000002"/>
    <n v="20"/>
    <n v="0"/>
  </r>
  <r>
    <x v="0"/>
    <x v="0"/>
    <s v="SPXW"/>
    <x v="8"/>
    <x v="220"/>
    <s v="p"/>
    <n v="0"/>
    <n v="0"/>
    <n v="0"/>
    <n v="0"/>
    <n v="0"/>
    <n v="3"/>
    <n v="109.4"/>
    <n v="3"/>
    <n v="110"/>
    <n v="0"/>
    <n v="0"/>
    <n v="0"/>
    <n v="0"/>
    <n v="0.1303"/>
    <n v="-0.68820000000000003"/>
    <n v="2.3E-3"/>
    <n v="-2.7759"/>
    <n v="4.2503000000000002"/>
    <n v="-1.3917999999999999"/>
    <n v="8"/>
    <n v="108.7"/>
    <n v="8"/>
    <n v="113.1"/>
    <n v="0"/>
    <n v="0"/>
    <n v="0"/>
    <n v="9"/>
    <n v="0"/>
  </r>
  <r>
    <x v="0"/>
    <x v="0"/>
    <s v="SPXW"/>
    <x v="8"/>
    <x v="221"/>
    <s v="p"/>
    <n v="0"/>
    <n v="0"/>
    <n v="0"/>
    <n v="0"/>
    <n v="0"/>
    <n v="9"/>
    <n v="110.7"/>
    <n v="15"/>
    <n v="114.6"/>
    <n v="0"/>
    <n v="0"/>
    <n v="0"/>
    <n v="0"/>
    <n v="0.12939999999999999"/>
    <n v="-0.70050000000000001"/>
    <n v="2.2000000000000001E-3"/>
    <n v="-2.7048000000000001"/>
    <n v="4.1794000000000002"/>
    <n v="-1.4175"/>
    <n v="15"/>
    <n v="111.8"/>
    <n v="8"/>
    <n v="115.7"/>
    <n v="0"/>
    <n v="0"/>
    <n v="0"/>
    <n v="6"/>
    <n v="0"/>
  </r>
  <r>
    <x v="0"/>
    <x v="0"/>
    <s v="SPXW"/>
    <x v="8"/>
    <x v="222"/>
    <s v="p"/>
    <n v="0"/>
    <n v="0"/>
    <n v="0"/>
    <n v="0"/>
    <n v="0"/>
    <n v="1"/>
    <n v="114"/>
    <n v="7"/>
    <n v="117.9"/>
    <n v="0"/>
    <n v="0"/>
    <n v="0"/>
    <n v="0"/>
    <n v="0.12870000000000001"/>
    <n v="-0.71250000000000002"/>
    <n v="2.2000000000000001E-3"/>
    <n v="-2.6368"/>
    <n v="4.1052999999999997"/>
    <n v="-1.4423999999999999"/>
    <n v="7"/>
    <n v="115"/>
    <n v="7"/>
    <n v="119.5"/>
    <n v="0"/>
    <n v="0"/>
    <n v="0"/>
    <n v="2"/>
    <n v="0"/>
  </r>
  <r>
    <x v="0"/>
    <x v="0"/>
    <s v="SPXW"/>
    <x v="8"/>
    <x v="223"/>
    <s v="p"/>
    <n v="0"/>
    <n v="0"/>
    <n v="0"/>
    <n v="0"/>
    <n v="0"/>
    <n v="8"/>
    <n v="117.1"/>
    <n v="13"/>
    <n v="121.1"/>
    <n v="0"/>
    <n v="0"/>
    <n v="0"/>
    <n v="0"/>
    <n v="0.1275"/>
    <n v="-0.72519999999999996"/>
    <n v="2.2000000000000001E-3"/>
    <n v="-2.5514000000000001"/>
    <n v="4.0218999999999996"/>
    <n v="-1.4684999999999999"/>
    <n v="13"/>
    <n v="118.3"/>
    <n v="7"/>
    <n v="122.3"/>
    <n v="0"/>
    <n v="0"/>
    <n v="0"/>
    <n v="6"/>
    <n v="0"/>
  </r>
  <r>
    <x v="0"/>
    <x v="0"/>
    <s v="SPXW"/>
    <x v="8"/>
    <x v="224"/>
    <s v="p"/>
    <n v="0"/>
    <n v="0"/>
    <n v="0"/>
    <n v="0"/>
    <n v="0"/>
    <n v="1"/>
    <n v="120.4"/>
    <n v="7"/>
    <n v="124.4"/>
    <n v="0"/>
    <n v="0"/>
    <n v="0"/>
    <n v="0"/>
    <n v="0.12659999999999999"/>
    <n v="-0.73740000000000006"/>
    <n v="2.2000000000000001E-3"/>
    <n v="-2.4712000000000001"/>
    <n v="3.9382000000000001"/>
    <n v="-1.4932000000000001"/>
    <n v="7"/>
    <n v="121.5"/>
    <n v="7"/>
    <n v="126.2"/>
    <n v="0"/>
    <n v="0"/>
    <n v="0"/>
    <n v="7"/>
    <n v="0"/>
  </r>
  <r>
    <x v="0"/>
    <x v="0"/>
    <s v="SPXW"/>
    <x v="8"/>
    <x v="225"/>
    <s v="p"/>
    <n v="97.42"/>
    <n v="108.94"/>
    <n v="97.42"/>
    <n v="108.94"/>
    <n v="2"/>
    <n v="1"/>
    <n v="123.8"/>
    <n v="7"/>
    <n v="127.8"/>
    <n v="0"/>
    <n v="0"/>
    <n v="0"/>
    <n v="0"/>
    <n v="0.12559999999999999"/>
    <n v="-0.74960000000000004"/>
    <n v="2.0999999999999999E-3"/>
    <n v="-2.3874"/>
    <n v="3.8490000000000002"/>
    <n v="-1.5184"/>
    <n v="13"/>
    <n v="124.9"/>
    <n v="13"/>
    <n v="129.6"/>
    <n v="0"/>
    <n v="0"/>
    <n v="103.18"/>
    <n v="7"/>
    <n v="0"/>
  </r>
  <r>
    <x v="0"/>
    <x v="0"/>
    <s v="SPXW"/>
    <x v="8"/>
    <x v="226"/>
    <s v="p"/>
    <n v="100.47"/>
    <n v="100.47"/>
    <n v="99.01"/>
    <n v="99.01"/>
    <n v="2"/>
    <n v="1"/>
    <n v="127.2"/>
    <n v="1"/>
    <n v="131.30000000000001"/>
    <n v="0"/>
    <n v="0"/>
    <n v="0"/>
    <n v="0"/>
    <n v="0.1246"/>
    <n v="-0.76170000000000004"/>
    <n v="2.0999999999999999E-3"/>
    <n v="-2.3022"/>
    <n v="3.7547999999999999"/>
    <n v="-1.5435000000000001"/>
    <n v="7"/>
    <n v="128.4"/>
    <n v="7"/>
    <n v="133.19999999999999"/>
    <n v="0"/>
    <n v="0"/>
    <n v="99.74"/>
    <n v="0"/>
    <n v="0"/>
  </r>
  <r>
    <x v="0"/>
    <x v="0"/>
    <s v="SPXW"/>
    <x v="8"/>
    <x v="227"/>
    <s v="p"/>
    <n v="0"/>
    <n v="0"/>
    <n v="0"/>
    <n v="0"/>
    <n v="0"/>
    <n v="1"/>
    <n v="130.80000000000001"/>
    <n v="7"/>
    <n v="135.1"/>
    <n v="0"/>
    <n v="0"/>
    <n v="0"/>
    <n v="0"/>
    <n v="0.1242"/>
    <n v="-0.77259999999999995"/>
    <n v="2E-3"/>
    <n v="-2.2301000000000002"/>
    <n v="3.6635"/>
    <n v="-1.5665"/>
    <n v="7"/>
    <n v="132"/>
    <n v="7"/>
    <n v="136.9"/>
    <n v="0"/>
    <n v="0"/>
    <n v="0"/>
    <n v="0"/>
    <n v="0"/>
  </r>
  <r>
    <x v="0"/>
    <x v="0"/>
    <s v="SPXW"/>
    <x v="8"/>
    <x v="228"/>
    <s v="p"/>
    <n v="0"/>
    <n v="0"/>
    <n v="0"/>
    <n v="0"/>
    <n v="0"/>
    <n v="1"/>
    <n v="134.30000000000001"/>
    <n v="7"/>
    <n v="138.69999999999999"/>
    <n v="0"/>
    <n v="0"/>
    <n v="0"/>
    <n v="0"/>
    <n v="0.1231"/>
    <n v="-0.78449999999999998"/>
    <n v="2E-3"/>
    <n v="-2.1392000000000002"/>
    <n v="3.5600999999999998"/>
    <n v="-1.5908"/>
    <n v="7"/>
    <n v="135.6"/>
    <n v="7"/>
    <n v="140.6"/>
    <n v="0"/>
    <n v="0"/>
    <n v="0"/>
    <n v="1"/>
    <n v="0"/>
  </r>
  <r>
    <x v="0"/>
    <x v="0"/>
    <s v="SPXW"/>
    <x v="8"/>
    <x v="229"/>
    <s v="p"/>
    <n v="0"/>
    <n v="0"/>
    <n v="0"/>
    <n v="0"/>
    <n v="0"/>
    <n v="8"/>
    <n v="137.69999999999999"/>
    <n v="7"/>
    <n v="142.30000000000001"/>
    <n v="0"/>
    <n v="0"/>
    <n v="0"/>
    <n v="0"/>
    <n v="0.1217"/>
    <n v="-0.79690000000000005"/>
    <n v="1.9E-3"/>
    <n v="-2.0366"/>
    <n v="3.448"/>
    <n v="-1.6161000000000001"/>
    <n v="7"/>
    <n v="139.30000000000001"/>
    <n v="7"/>
    <n v="144.30000000000001"/>
    <n v="0"/>
    <n v="0"/>
    <n v="0"/>
    <n v="0"/>
    <n v="0"/>
  </r>
  <r>
    <x v="0"/>
    <x v="0"/>
    <s v="SPXW"/>
    <x v="8"/>
    <x v="230"/>
    <s v="p"/>
    <n v="0"/>
    <n v="0"/>
    <n v="0"/>
    <n v="0"/>
    <n v="0"/>
    <n v="8"/>
    <n v="141.4"/>
    <n v="6"/>
    <n v="146.6"/>
    <n v="0"/>
    <n v="0"/>
    <n v="0"/>
    <n v="0"/>
    <n v="0.1207"/>
    <n v="-0.80830000000000002"/>
    <n v="1.9E-3"/>
    <n v="-1.9441999999999999"/>
    <n v="3.3384"/>
    <n v="-1.6398999999999999"/>
    <n v="7"/>
    <n v="142.9"/>
    <n v="7"/>
    <n v="148"/>
    <n v="0"/>
    <n v="0"/>
    <n v="0"/>
    <n v="0"/>
    <n v="0"/>
  </r>
  <r>
    <x v="0"/>
    <x v="0"/>
    <s v="SPXW"/>
    <x v="8"/>
    <x v="231"/>
    <s v="p"/>
    <n v="0"/>
    <n v="0"/>
    <n v="0"/>
    <n v="0"/>
    <n v="0"/>
    <n v="7"/>
    <n v="145.30000000000001"/>
    <n v="7"/>
    <n v="150.19999999999999"/>
    <n v="0"/>
    <n v="0"/>
    <n v="0"/>
    <n v="0"/>
    <n v="0.1205"/>
    <n v="-0.81769999999999998"/>
    <n v="1.8E-3"/>
    <n v="-1.8778999999999999"/>
    <n v="3.2425999999999999"/>
    <n v="-1.66"/>
    <n v="7"/>
    <n v="146.80000000000001"/>
    <n v="7"/>
    <n v="152"/>
    <n v="0"/>
    <n v="0"/>
    <n v="0"/>
    <n v="0"/>
    <n v="0"/>
  </r>
  <r>
    <x v="0"/>
    <x v="0"/>
    <s v="SPXW"/>
    <x v="8"/>
    <x v="232"/>
    <s v="p"/>
    <n v="0"/>
    <n v="0"/>
    <n v="0"/>
    <n v="0"/>
    <n v="0"/>
    <n v="7"/>
    <n v="149.1"/>
    <n v="7"/>
    <n v="154.30000000000001"/>
    <n v="0"/>
    <n v="0"/>
    <n v="0"/>
    <n v="0"/>
    <n v="0.11990000000000001"/>
    <n v="-0.82779999999999998"/>
    <n v="1.8E-3"/>
    <n v="-1.7968999999999999"/>
    <n v="3.1347"/>
    <n v="-1.6812"/>
    <n v="6"/>
    <n v="150.69999999999999"/>
    <n v="6"/>
    <n v="155.9"/>
    <n v="0"/>
    <n v="0"/>
    <n v="0"/>
    <n v="0"/>
    <n v="0"/>
  </r>
  <r>
    <x v="0"/>
    <x v="0"/>
    <s v="SPXW"/>
    <x v="8"/>
    <x v="233"/>
    <s v="p"/>
    <n v="0"/>
    <n v="0"/>
    <n v="0"/>
    <n v="0"/>
    <n v="0"/>
    <n v="7"/>
    <n v="152.69999999999999"/>
    <n v="6"/>
    <n v="157.9"/>
    <n v="0"/>
    <n v="0"/>
    <n v="0"/>
    <n v="0"/>
    <n v="0.1179"/>
    <n v="-0.84060000000000001"/>
    <n v="1.6999999999999999E-3"/>
    <n v="-1.6738999999999999"/>
    <n v="2.9943"/>
    <n v="-1.7071000000000001"/>
    <n v="6"/>
    <n v="154.69999999999999"/>
    <n v="6"/>
    <n v="159.9"/>
    <n v="0"/>
    <n v="0"/>
    <n v="0"/>
    <n v="1"/>
    <n v="0"/>
  </r>
  <r>
    <x v="0"/>
    <x v="0"/>
    <s v="SPXW"/>
    <x v="8"/>
    <x v="234"/>
    <s v="p"/>
    <n v="0"/>
    <n v="0"/>
    <n v="0"/>
    <n v="0"/>
    <n v="0"/>
    <n v="6"/>
    <n v="157.1"/>
    <n v="6"/>
    <n v="162.1"/>
    <n v="0"/>
    <n v="0"/>
    <n v="0"/>
    <n v="0"/>
    <n v="0.1181"/>
    <n v="-0.84850000000000003"/>
    <n v="1.6999999999999999E-3"/>
    <n v="-1.617"/>
    <n v="2.9032"/>
    <n v="-1.7239"/>
    <n v="6"/>
    <n v="158.69999999999999"/>
    <n v="6"/>
    <n v="164"/>
    <n v="0"/>
    <n v="0"/>
    <n v="0"/>
    <n v="0"/>
    <n v="0"/>
  </r>
  <r>
    <x v="0"/>
    <x v="0"/>
    <s v="SPXW"/>
    <x v="8"/>
    <x v="235"/>
    <s v="p"/>
    <n v="0"/>
    <n v="0"/>
    <n v="0"/>
    <n v="0"/>
    <n v="0"/>
    <n v="7"/>
    <n v="160.80000000000001"/>
    <n v="6"/>
    <n v="166.1"/>
    <n v="0"/>
    <n v="0"/>
    <n v="0"/>
    <n v="0"/>
    <n v="0.1164"/>
    <n v="-0.8599"/>
    <n v="1.6000000000000001E-3"/>
    <n v="-1.5063"/>
    <n v="2.7664"/>
    <n v="-1.7478"/>
    <n v="6"/>
    <n v="162.80000000000001"/>
    <n v="6"/>
    <n v="168.1"/>
    <n v="0"/>
    <n v="0"/>
    <n v="0"/>
    <n v="0"/>
    <n v="0"/>
  </r>
  <r>
    <x v="0"/>
    <x v="0"/>
    <s v="SPXW"/>
    <x v="8"/>
    <x v="236"/>
    <s v="p"/>
    <n v="0"/>
    <n v="0"/>
    <n v="0"/>
    <n v="0"/>
    <n v="0"/>
    <n v="6"/>
    <n v="165.1"/>
    <n v="6"/>
    <n v="170.6"/>
    <n v="0"/>
    <n v="0"/>
    <n v="0"/>
    <n v="0"/>
    <n v="0.1166"/>
    <n v="-0.86709999999999998"/>
    <n v="1.5E-3"/>
    <n v="-1.4515"/>
    <n v="2.6743000000000001"/>
    <n v="-1.7634000000000001"/>
    <n v="6"/>
    <n v="166.9"/>
    <n v="6"/>
    <n v="172.4"/>
    <n v="0"/>
    <n v="0"/>
    <n v="0"/>
    <n v="0"/>
    <n v="0"/>
  </r>
  <r>
    <x v="0"/>
    <x v="0"/>
    <s v="SPXW"/>
    <x v="8"/>
    <x v="237"/>
    <s v="p"/>
    <n v="0"/>
    <n v="0"/>
    <n v="0"/>
    <n v="0"/>
    <n v="0"/>
    <n v="6"/>
    <n v="169.3"/>
    <n v="6"/>
    <n v="174.8"/>
    <n v="0"/>
    <n v="0"/>
    <n v="0"/>
    <n v="0"/>
    <n v="0.1159"/>
    <n v="-0.87590000000000001"/>
    <n v="1.5E-3"/>
    <n v="-1.3694999999999999"/>
    <n v="2.5577999999999999"/>
    <n v="-1.782"/>
    <n v="6"/>
    <n v="171.1"/>
    <n v="6"/>
    <n v="176.6"/>
    <n v="0"/>
    <n v="0"/>
    <n v="0"/>
    <n v="0"/>
    <n v="0"/>
  </r>
  <r>
    <x v="0"/>
    <x v="0"/>
    <s v="SPXW"/>
    <x v="8"/>
    <x v="238"/>
    <s v="p"/>
    <n v="0"/>
    <n v="0"/>
    <n v="0"/>
    <n v="0"/>
    <n v="0"/>
    <n v="6"/>
    <n v="173.8"/>
    <n v="6"/>
    <n v="178.8"/>
    <n v="0"/>
    <n v="0"/>
    <n v="0"/>
    <n v="0"/>
    <n v="0.1152"/>
    <n v="-0.88449999999999995"/>
    <n v="1.4E-3"/>
    <n v="-1.2885"/>
    <n v="2.4422000000000001"/>
    <n v="-1.7999000000000001"/>
    <n v="6"/>
    <n v="175.4"/>
    <n v="6"/>
    <n v="180.9"/>
    <n v="0"/>
    <n v="0"/>
    <n v="0"/>
    <n v="0"/>
    <n v="0"/>
  </r>
  <r>
    <x v="0"/>
    <x v="0"/>
    <s v="SPXW"/>
    <x v="8"/>
    <x v="239"/>
    <s v="p"/>
    <n v="0"/>
    <n v="0"/>
    <n v="0"/>
    <n v="0"/>
    <n v="0"/>
    <n v="7"/>
    <n v="177.7"/>
    <n v="6"/>
    <n v="183.2"/>
    <n v="0"/>
    <n v="0"/>
    <n v="0"/>
    <n v="0"/>
    <n v="0.1138"/>
    <n v="-0.89410000000000001"/>
    <n v="1.2999999999999999E-3"/>
    <n v="-1.1892"/>
    <n v="2.3073999999999999"/>
    <n v="-1.8203"/>
    <n v="6"/>
    <n v="179.6"/>
    <n v="6"/>
    <n v="185.2"/>
    <n v="0"/>
    <n v="0"/>
    <n v="0"/>
    <n v="0"/>
    <n v="0"/>
  </r>
  <r>
    <x v="0"/>
    <x v="0"/>
    <s v="SPXW"/>
    <x v="8"/>
    <x v="241"/>
    <s v="p"/>
    <n v="0"/>
    <n v="0"/>
    <n v="0"/>
    <n v="0"/>
    <n v="0"/>
    <n v="6"/>
    <n v="186.7"/>
    <n v="6"/>
    <n v="192.3"/>
    <n v="0"/>
    <n v="0"/>
    <n v="0"/>
    <n v="0"/>
    <n v="0.1138"/>
    <n v="-0.90649999999999997"/>
    <n v="1.1999999999999999E-3"/>
    <n v="-1.0770999999999999"/>
    <n v="2.1191"/>
    <n v="-1.8474999999999999"/>
    <n v="6"/>
    <n v="188.4"/>
    <n v="6"/>
    <n v="194.1"/>
    <n v="0"/>
    <n v="0"/>
    <n v="0"/>
    <n v="0"/>
    <n v="0"/>
  </r>
  <r>
    <x v="0"/>
    <x v="0"/>
    <s v="SPXW"/>
    <x v="8"/>
    <x v="243"/>
    <s v="p"/>
    <n v="0"/>
    <n v="0"/>
    <n v="0"/>
    <n v="0"/>
    <n v="0"/>
    <n v="7"/>
    <n v="195.7"/>
    <n v="6"/>
    <n v="201.5"/>
    <n v="0"/>
    <n v="0"/>
    <n v="0"/>
    <n v="0"/>
    <n v="0.1135"/>
    <n v="-0.91849999999999998"/>
    <n v="1.1000000000000001E-3"/>
    <n v="-0.96060000000000001"/>
    <n v="1.9281999999999999"/>
    <n v="-1.8734999999999999"/>
    <n v="6"/>
    <n v="197.4"/>
    <n v="6"/>
    <n v="203.1"/>
    <n v="0"/>
    <n v="0"/>
    <n v="0"/>
    <n v="3"/>
    <n v="0"/>
  </r>
  <r>
    <x v="0"/>
    <x v="0"/>
    <s v="SPXW"/>
    <x v="8"/>
    <x v="245"/>
    <s v="p"/>
    <n v="0"/>
    <n v="0"/>
    <n v="0"/>
    <n v="0"/>
    <n v="0"/>
    <n v="1"/>
    <n v="201.2"/>
    <n v="1"/>
    <n v="212.9"/>
    <n v="0"/>
    <n v="0"/>
    <n v="0"/>
    <n v="0"/>
    <n v="0.1082"/>
    <n v="-0.93830000000000002"/>
    <n v="8.9999999999999998E-4"/>
    <n v="-0.72330000000000005"/>
    <n v="1.5886"/>
    <n v="-1.9149"/>
    <n v="1"/>
    <n v="201"/>
    <n v="1"/>
    <n v="216.8"/>
    <n v="0"/>
    <n v="0"/>
    <n v="0"/>
    <n v="0"/>
    <n v="0"/>
  </r>
  <r>
    <x v="0"/>
    <x v="0"/>
    <s v="SPXW"/>
    <x v="8"/>
    <x v="247"/>
    <s v="p"/>
    <n v="0"/>
    <n v="0"/>
    <n v="0"/>
    <n v="0"/>
    <n v="0"/>
    <n v="1"/>
    <n v="210.1"/>
    <n v="1"/>
    <n v="223.8"/>
    <n v="0"/>
    <n v="0"/>
    <n v="0"/>
    <n v="0"/>
    <n v="0.1118"/>
    <n v="-0.94089999999999996"/>
    <n v="8.9999999999999998E-4"/>
    <n v="-0.72030000000000005"/>
    <n v="1.5353000000000001"/>
    <n v="-1.9229000000000001"/>
    <n v="2"/>
    <n v="209"/>
    <n v="1"/>
    <n v="228.1"/>
    <n v="0"/>
    <n v="0"/>
    <n v="0"/>
    <n v="0"/>
    <n v="0"/>
  </r>
  <r>
    <x v="0"/>
    <x v="0"/>
    <s v="SPXW"/>
    <x v="8"/>
    <x v="248"/>
    <s v="p"/>
    <n v="0"/>
    <n v="0"/>
    <n v="0"/>
    <n v="0"/>
    <n v="0"/>
    <n v="1"/>
    <n v="211.8"/>
    <n v="2"/>
    <n v="230.8"/>
    <n v="0"/>
    <n v="0"/>
    <n v="0"/>
    <n v="0"/>
    <n v="0.111"/>
    <n v="-0.94599999999999995"/>
    <n v="8.0000000000000004E-4"/>
    <n v="-0.6603"/>
    <n v="1.4379"/>
    <n v="-1.9345000000000001"/>
    <n v="2"/>
    <n v="212.9"/>
    <n v="1"/>
    <n v="232.5"/>
    <n v="0"/>
    <n v="0"/>
    <n v="0"/>
    <n v="0"/>
    <n v="0"/>
  </r>
  <r>
    <x v="0"/>
    <x v="0"/>
    <s v="SPXW"/>
    <x v="8"/>
    <x v="249"/>
    <s v="p"/>
    <n v="0"/>
    <n v="0"/>
    <n v="0"/>
    <n v="0"/>
    <n v="0"/>
    <n v="1"/>
    <n v="216.3"/>
    <n v="2"/>
    <n v="235.5"/>
    <n v="0"/>
    <n v="0"/>
    <n v="0"/>
    <n v="0"/>
    <n v="0.1091"/>
    <n v="-0.95289999999999997"/>
    <n v="8.0000000000000004E-4"/>
    <n v="-0.5746"/>
    <n v="1.3026"/>
    <n v="-1.9494"/>
    <n v="2"/>
    <n v="217.6"/>
    <n v="1"/>
    <n v="237.2"/>
    <n v="0"/>
    <n v="0"/>
    <n v="0"/>
    <n v="0"/>
    <n v="0"/>
  </r>
  <r>
    <x v="0"/>
    <x v="0"/>
    <s v="SPXW"/>
    <x v="8"/>
    <x v="251"/>
    <s v="p"/>
    <n v="0"/>
    <n v="0"/>
    <n v="0"/>
    <n v="0"/>
    <n v="0"/>
    <n v="1"/>
    <n v="226.1"/>
    <n v="2"/>
    <n v="245"/>
    <n v="0"/>
    <n v="0"/>
    <n v="0"/>
    <n v="0"/>
    <n v="0.10979999999999999"/>
    <n v="-0.95879999999999999"/>
    <n v="6.9999999999999999E-4"/>
    <n v="-0.51229999999999998"/>
    <n v="1.1783999999999999"/>
    <n v="-1.9636"/>
    <n v="2"/>
    <n v="227"/>
    <n v="1"/>
    <n v="246.7"/>
    <n v="0"/>
    <n v="0"/>
    <n v="0"/>
    <n v="0"/>
    <n v="0"/>
  </r>
  <r>
    <x v="0"/>
    <x v="0"/>
    <s v="SPXW"/>
    <x v="8"/>
    <x v="253"/>
    <s v="p"/>
    <n v="0"/>
    <n v="0"/>
    <n v="0"/>
    <n v="0"/>
    <n v="0"/>
    <n v="1"/>
    <n v="234.9"/>
    <n v="2"/>
    <n v="254.6"/>
    <n v="0"/>
    <n v="0"/>
    <n v="0"/>
    <n v="0"/>
    <n v="0.1056"/>
    <n v="-0.97009999999999996"/>
    <n v="5.0000000000000001E-4"/>
    <n v="-0.3644"/>
    <n v="0.92920000000000003"/>
    <n v="-1.9884999999999999"/>
    <n v="1"/>
    <n v="237.9"/>
    <n v="1"/>
    <n v="259.89999999999998"/>
    <n v="0"/>
    <n v="0"/>
    <n v="0"/>
    <n v="0"/>
    <n v="0"/>
  </r>
  <r>
    <x v="0"/>
    <x v="0"/>
    <s v="SPXW"/>
    <x v="8"/>
    <x v="256"/>
    <s v="p"/>
    <n v="0"/>
    <n v="0"/>
    <n v="0"/>
    <n v="0"/>
    <n v="0"/>
    <n v="1"/>
    <n v="259.5"/>
    <n v="1"/>
    <n v="279"/>
    <n v="0"/>
    <n v="0"/>
    <n v="0"/>
    <n v="0"/>
    <n v="0.10730000000000001"/>
    <n v="-0.97940000000000005"/>
    <n v="4.0000000000000002E-4"/>
    <n v="-0.25519999999999998"/>
    <n v="0.69479999999999997"/>
    <n v="-2.0139999999999998"/>
    <n v="1"/>
    <n v="262.2"/>
    <n v="1"/>
    <n v="284.3"/>
    <n v="0"/>
    <n v="0"/>
    <n v="0"/>
    <n v="0"/>
    <n v="0"/>
  </r>
  <r>
    <x v="0"/>
    <x v="0"/>
    <s v="SPXW"/>
    <x v="8"/>
    <x v="259"/>
    <s v="p"/>
    <n v="0"/>
    <n v="0"/>
    <n v="0"/>
    <n v="0"/>
    <n v="0"/>
    <n v="1"/>
    <n v="283.89999999999998"/>
    <n v="1"/>
    <n v="303.8"/>
    <n v="0"/>
    <n v="0"/>
    <n v="0"/>
    <n v="0"/>
    <n v="0.1075"/>
    <n v="-0.98699999999999999"/>
    <n v="2.9999999999999997E-4"/>
    <n v="-0.15609999999999999"/>
    <n v="0.48470000000000002"/>
    <n v="-2.0358999999999998"/>
    <n v="3"/>
    <n v="285.5"/>
    <n v="1"/>
    <n v="304.3"/>
    <n v="0"/>
    <n v="0"/>
    <n v="0"/>
    <n v="0"/>
    <n v="0"/>
  </r>
  <r>
    <x v="0"/>
    <x v="0"/>
    <s v="SPXW"/>
    <x v="8"/>
    <x v="262"/>
    <s v="p"/>
    <n v="0"/>
    <n v="0"/>
    <n v="0"/>
    <n v="0"/>
    <n v="0"/>
    <n v="1"/>
    <n v="309.60000000000002"/>
    <n v="1"/>
    <n v="328.4"/>
    <n v="0"/>
    <n v="0"/>
    <n v="0"/>
    <n v="0"/>
    <n v="0.1196"/>
    <n v="-0.98480000000000001"/>
    <n v="2.9999999999999997E-4"/>
    <n v="-0.20610000000000001"/>
    <n v="0.53649999999999998"/>
    <n v="-2.0392999999999999"/>
    <n v="1"/>
    <n v="311.60000000000002"/>
    <n v="3"/>
    <n v="334.3"/>
    <n v="0"/>
    <n v="0"/>
    <n v="0"/>
    <n v="0"/>
    <n v="0"/>
  </r>
  <r>
    <x v="0"/>
    <x v="0"/>
    <s v="SPXW"/>
    <x v="8"/>
    <x v="263"/>
    <s v="p"/>
    <n v="0"/>
    <n v="0"/>
    <n v="0"/>
    <n v="0"/>
    <n v="0"/>
    <n v="1"/>
    <n v="333.5"/>
    <n v="1"/>
    <n v="353.2"/>
    <n v="0"/>
    <n v="0"/>
    <n v="0"/>
    <n v="0"/>
    <n v="0.1024"/>
    <n v="-0.99690000000000001"/>
    <n v="1E-4"/>
    <n v="-9.1000000000000004E-3"/>
    <n v="0.15509999999999999"/>
    <n v="-2.0697000000000001"/>
    <n v="1"/>
    <n v="336.5"/>
    <n v="1"/>
    <n v="358.7"/>
    <n v="0"/>
    <n v="0"/>
    <n v="0"/>
    <n v="0"/>
    <n v="0"/>
  </r>
  <r>
    <x v="0"/>
    <x v="0"/>
    <s v="SPXW"/>
    <x v="8"/>
    <x v="264"/>
    <s v="p"/>
    <n v="0"/>
    <n v="0"/>
    <n v="0"/>
    <n v="0"/>
    <n v="0"/>
    <n v="1"/>
    <n v="358.4"/>
    <n v="1"/>
    <n v="378.1"/>
    <n v="0"/>
    <n v="0"/>
    <n v="0"/>
    <n v="0"/>
    <n v="9.8699999999999996E-2"/>
    <n v="-0.99880000000000002"/>
    <n v="0"/>
    <n v="0"/>
    <n v="7.0099999999999996E-2"/>
    <n v="-2.0808"/>
    <n v="1"/>
    <n v="361.4"/>
    <n v="1"/>
    <n v="383.6"/>
    <n v="0"/>
    <n v="0"/>
    <n v="0"/>
    <n v="0"/>
    <n v="0"/>
  </r>
  <r>
    <x v="0"/>
    <x v="0"/>
    <s v="SPXW"/>
    <x v="8"/>
    <x v="265"/>
    <s v="p"/>
    <n v="0"/>
    <n v="0"/>
    <n v="0"/>
    <n v="0"/>
    <n v="0"/>
    <n v="1"/>
    <n v="384"/>
    <n v="2"/>
    <n v="404.1"/>
    <n v="0"/>
    <n v="0"/>
    <n v="0"/>
    <n v="0"/>
    <n v="0.1462"/>
    <n v="-0.98519999999999996"/>
    <n v="2.0000000000000001E-4"/>
    <n v="-0.24390000000000001"/>
    <n v="0.50770000000000004"/>
    <n v="-2.0625"/>
    <n v="2"/>
    <n v="385"/>
    <n v="1"/>
    <n v="407.5"/>
    <n v="0"/>
    <n v="0"/>
    <n v="0"/>
    <n v="0"/>
    <n v="0"/>
  </r>
  <r>
    <x v="0"/>
    <x v="0"/>
    <s v="SPXW"/>
    <x v="8"/>
    <x v="266"/>
    <s v="p"/>
    <n v="0"/>
    <n v="0"/>
    <n v="0"/>
    <n v="0"/>
    <n v="0"/>
    <n v="1"/>
    <n v="408.7"/>
    <n v="1"/>
    <n v="427.9"/>
    <n v="0"/>
    <n v="0"/>
    <n v="0"/>
    <n v="0"/>
    <n v="0.125"/>
    <n v="-0.99670000000000003"/>
    <n v="1E-4"/>
    <n v="-1.4800000000000001E-2"/>
    <n v="0.1537"/>
    <n v="-2.0916000000000001"/>
    <n v="1"/>
    <n v="411.2"/>
    <n v="3"/>
    <n v="433.9"/>
    <n v="0"/>
    <n v="0"/>
    <n v="0"/>
    <n v="0"/>
    <n v="0"/>
  </r>
  <r>
    <x v="0"/>
    <x v="0"/>
    <s v="SPXW"/>
    <x v="8"/>
    <x v="267"/>
    <s v="p"/>
    <n v="0"/>
    <n v="0"/>
    <n v="0"/>
    <n v="0"/>
    <n v="0"/>
    <n v="1"/>
    <n v="433.2"/>
    <n v="1"/>
    <n v="452.8"/>
    <n v="0"/>
    <n v="0"/>
    <n v="0"/>
    <n v="0"/>
    <n v="0.247"/>
    <n v="-0.92390000000000005"/>
    <n v="5.0000000000000001E-4"/>
    <n v="-1.9701"/>
    <n v="1.7572000000000001"/>
    <n v="-1.9602999999999999"/>
    <n v="1"/>
    <n v="436.2"/>
    <n v="1"/>
    <n v="458.4"/>
    <n v="0"/>
    <n v="0"/>
    <n v="0"/>
    <n v="0"/>
    <n v="0"/>
  </r>
  <r>
    <x v="0"/>
    <x v="0"/>
    <s v="SPXW"/>
    <x v="8"/>
    <x v="268"/>
    <s v="p"/>
    <n v="0"/>
    <n v="0"/>
    <n v="0"/>
    <n v="0"/>
    <n v="0"/>
    <n v="1"/>
    <n v="459.3"/>
    <n v="1"/>
    <n v="478.1"/>
    <n v="0"/>
    <n v="0"/>
    <n v="0"/>
    <n v="0"/>
    <n v="0.16139999999999999"/>
    <n v="-0.99029999999999996"/>
    <n v="1E-4"/>
    <n v="-0.1646"/>
    <n v="0.35539999999999999"/>
    <n v="-2.0943999999999998"/>
    <n v="3"/>
    <n v="459.8"/>
    <n v="1"/>
    <n v="483.3"/>
    <n v="0"/>
    <n v="0"/>
    <n v="0"/>
    <n v="0"/>
    <n v="0"/>
  </r>
  <r>
    <x v="0"/>
    <x v="0"/>
    <s v="SPXW"/>
    <x v="8"/>
    <x v="269"/>
    <s v="p"/>
    <n v="0"/>
    <n v="0"/>
    <n v="0"/>
    <n v="0"/>
    <n v="0"/>
    <n v="1"/>
    <n v="483.1"/>
    <n v="1"/>
    <n v="502.8"/>
    <n v="0"/>
    <n v="0"/>
    <n v="0"/>
    <n v="0"/>
    <n v="0.2676"/>
    <n v="-0.9284"/>
    <n v="4.0000000000000002E-4"/>
    <n v="-2.0268000000000002"/>
    <n v="1.6724000000000001"/>
    <n v="-1.9842"/>
    <n v="1"/>
    <n v="486.1"/>
    <n v="1"/>
    <n v="508.3"/>
    <n v="0"/>
    <n v="0"/>
    <n v="0"/>
    <n v="0"/>
    <n v="0"/>
  </r>
  <r>
    <x v="0"/>
    <x v="0"/>
    <s v="SPXW"/>
    <x v="8"/>
    <x v="270"/>
    <s v="p"/>
    <n v="0"/>
    <n v="0"/>
    <n v="0"/>
    <n v="0"/>
    <n v="0"/>
    <n v="1"/>
    <n v="508.8"/>
    <n v="1"/>
    <n v="527.79999999999995"/>
    <n v="0"/>
    <n v="0"/>
    <n v="0"/>
    <n v="0"/>
    <n v="0.2737"/>
    <n v="-0.93369999999999997"/>
    <n v="4.0000000000000002E-4"/>
    <n v="-1.9412"/>
    <n v="1.5773999999999999"/>
    <n v="-2.0019999999999998"/>
    <n v="1"/>
    <n v="511"/>
    <n v="2"/>
    <n v="533.70000000000005"/>
    <n v="0"/>
    <n v="0"/>
    <n v="0"/>
    <n v="0"/>
    <n v="0"/>
  </r>
  <r>
    <x v="0"/>
    <x v="0"/>
    <s v="SPXW"/>
    <x v="8"/>
    <x v="271"/>
    <s v="p"/>
    <n v="0"/>
    <n v="0"/>
    <n v="0"/>
    <n v="0"/>
    <n v="0"/>
    <n v="1"/>
    <n v="582.9"/>
    <n v="1"/>
    <n v="602.20000000000005"/>
    <n v="0"/>
    <n v="0"/>
    <n v="0"/>
    <n v="0"/>
    <n v="0.30359999999999998"/>
    <n v="-0.93830000000000002"/>
    <n v="2.9999999999999997E-4"/>
    <n v="-2.0247000000000002"/>
    <n v="1.4893000000000001"/>
    <n v="-2.0329000000000002"/>
    <n v="1"/>
    <n v="585.4"/>
    <n v="1"/>
    <n v="608.5"/>
    <n v="0"/>
    <n v="0"/>
    <n v="0"/>
    <n v="0"/>
    <n v="0"/>
  </r>
  <r>
    <x v="0"/>
    <x v="0"/>
    <s v="SPXW"/>
    <x v="8"/>
    <x v="272"/>
    <s v="p"/>
    <n v="0"/>
    <n v="0"/>
    <n v="0"/>
    <n v="0"/>
    <n v="0"/>
    <n v="1"/>
    <n v="683.5"/>
    <n v="1"/>
    <n v="702.5"/>
    <n v="0"/>
    <n v="0"/>
    <n v="0"/>
    <n v="0"/>
    <n v="0.19450000000000001"/>
    <n v="-0.99770000000000003"/>
    <n v="0"/>
    <n v="0"/>
    <n v="0.1011"/>
    <n v="-2.1755"/>
    <n v="1"/>
    <n v="685.7"/>
    <n v="3"/>
    <n v="708.4"/>
    <n v="0"/>
    <n v="0"/>
    <n v="0"/>
    <n v="0"/>
    <n v="0"/>
  </r>
  <r>
    <x v="0"/>
    <x v="0"/>
    <s v="SPXW"/>
    <x v="8"/>
    <x v="273"/>
    <s v="p"/>
    <n v="0"/>
    <n v="0"/>
    <n v="0"/>
    <n v="0"/>
    <n v="0"/>
    <n v="1"/>
    <n v="782.6"/>
    <n v="1"/>
    <n v="802.5"/>
    <n v="0"/>
    <n v="0"/>
    <n v="0"/>
    <n v="0"/>
    <n v="0.38169999999999998"/>
    <n v="-0.94650000000000001"/>
    <n v="2.0000000000000001E-4"/>
    <n v="-2.2422"/>
    <n v="1.3213999999999999"/>
    <n v="-2.1089000000000002"/>
    <n v="1"/>
    <n v="785.7"/>
    <n v="3"/>
    <n v="808.3"/>
    <n v="0"/>
    <n v="0"/>
    <n v="0"/>
    <n v="0"/>
    <n v="0"/>
  </r>
  <r>
    <x v="0"/>
    <x v="0"/>
    <s v="SPXW"/>
    <x v="8"/>
    <x v="274"/>
    <s v="p"/>
    <n v="0"/>
    <n v="0"/>
    <n v="0"/>
    <n v="0"/>
    <n v="0"/>
    <n v="1"/>
    <n v="982.5"/>
    <n v="1"/>
    <n v="1000.4"/>
    <n v="0"/>
    <n v="0"/>
    <n v="0"/>
    <n v="0"/>
    <n v="0.42299999999999999"/>
    <n v="-0.96419999999999995"/>
    <n v="2.0000000000000001E-4"/>
    <n v="-1.7185999999999999"/>
    <n v="0.9556"/>
    <n v="-2.2023000000000001"/>
    <n v="3"/>
    <n v="984"/>
    <n v="1"/>
    <n v="1007.6"/>
    <n v="0"/>
    <n v="0"/>
    <n v="0"/>
    <n v="0"/>
    <n v="0"/>
  </r>
  <r>
    <x v="0"/>
    <x v="0"/>
    <s v="SPXW"/>
    <x v="8"/>
    <x v="275"/>
    <s v="p"/>
    <n v="0"/>
    <n v="0"/>
    <n v="0"/>
    <n v="0"/>
    <n v="0"/>
    <n v="1"/>
    <n v="1182.2"/>
    <n v="1"/>
    <n v="1201.2"/>
    <n v="0"/>
    <n v="0"/>
    <n v="0"/>
    <n v="0"/>
    <n v="0.50419999999999998"/>
    <n v="-0.96289999999999998"/>
    <n v="1E-4"/>
    <n v="-2.1162999999999998"/>
    <n v="0.97850000000000004"/>
    <n v="-2.2599999999999998"/>
    <n v="1"/>
    <n v="1184.4000000000001"/>
    <n v="1"/>
    <n v="1207.7"/>
    <n v="0"/>
    <n v="0"/>
    <n v="0"/>
    <n v="0"/>
    <n v="0"/>
  </r>
  <r>
    <x v="0"/>
    <x v="0"/>
    <s v="SPXW"/>
    <x v="8"/>
    <x v="276"/>
    <s v="p"/>
    <n v="0"/>
    <n v="0"/>
    <n v="0"/>
    <n v="0"/>
    <n v="0"/>
    <n v="1"/>
    <n v="1382.4"/>
    <n v="1"/>
    <n v="1401.7"/>
    <n v="0"/>
    <n v="0"/>
    <n v="0"/>
    <n v="0"/>
    <n v="0.58009999999999995"/>
    <n v="-0.9627"/>
    <n v="1E-4"/>
    <n v="-2.4424999999999999"/>
    <n v="0.97809999999999997"/>
    <n v="-2.3191000000000002"/>
    <n v="1"/>
    <n v="1384.9"/>
    <n v="1"/>
    <n v="1407.2"/>
    <n v="0"/>
    <n v="0"/>
    <n v="0"/>
    <n v="0"/>
    <n v="0"/>
  </r>
  <r>
    <x v="0"/>
    <x v="0"/>
    <s v="SPXW"/>
    <x v="8"/>
    <x v="277"/>
    <s v="p"/>
    <n v="0"/>
    <n v="0"/>
    <n v="0"/>
    <n v="0"/>
    <n v="0"/>
    <n v="1"/>
    <n v="1581.8"/>
    <n v="1"/>
    <n v="1601.6"/>
    <n v="0"/>
    <n v="0"/>
    <n v="0"/>
    <n v="0"/>
    <n v="0.64200000000000002"/>
    <n v="-0.96530000000000005"/>
    <n v="1E-4"/>
    <n v="-2.5173000000000001"/>
    <n v="0.91830000000000001"/>
    <n v="-2.3837999999999999"/>
    <n v="1"/>
    <n v="1584.8"/>
    <n v="1"/>
    <n v="1607"/>
    <n v="0"/>
    <n v="0"/>
    <n v="0"/>
    <n v="0"/>
    <n v="0"/>
  </r>
  <r>
    <x v="0"/>
    <x v="0"/>
    <s v="SPXW"/>
    <x v="8"/>
    <x v="278"/>
    <s v="p"/>
    <n v="0"/>
    <n v="0"/>
    <n v="0"/>
    <n v="0"/>
    <n v="0"/>
    <n v="1"/>
    <n v="1781.6"/>
    <n v="1"/>
    <n v="1801.2"/>
    <n v="0"/>
    <n v="0"/>
    <n v="0"/>
    <n v="0"/>
    <n v="0.69820000000000004"/>
    <n v="-0.96819999999999995"/>
    <n v="1E-4"/>
    <n v="-2.5169999999999999"/>
    <n v="0.85470000000000002"/>
    <n v="-2.4487999999999999"/>
    <n v="1"/>
    <n v="1784.5"/>
    <n v="1"/>
    <n v="1806.8"/>
    <n v="0"/>
    <n v="0"/>
    <n v="0"/>
    <n v="0"/>
    <n v="0"/>
  </r>
  <r>
    <x v="0"/>
    <x v="0"/>
    <s v="SPXW"/>
    <x v="8"/>
    <x v="279"/>
    <s v="p"/>
    <n v="0"/>
    <n v="0"/>
    <n v="0"/>
    <n v="0"/>
    <n v="0"/>
    <n v="1"/>
    <n v="1981.3"/>
    <n v="1"/>
    <n v="2001"/>
    <n v="0"/>
    <n v="0"/>
    <n v="0"/>
    <n v="0"/>
    <n v="0.75449999999999995"/>
    <n v="-0.97009999999999996"/>
    <n v="1E-4"/>
    <n v="-2.5550999999999999"/>
    <n v="0.81040000000000001"/>
    <n v="-2.5121000000000002"/>
    <n v="1"/>
    <n v="1984.3"/>
    <n v="1"/>
    <n v="2006.6"/>
    <n v="0"/>
    <n v="0"/>
    <n v="0"/>
    <n v="0"/>
    <n v="0"/>
  </r>
  <r>
    <x v="0"/>
    <x v="0"/>
    <s v="SPXW"/>
    <x v="8"/>
    <x v="280"/>
    <s v="p"/>
    <n v="0"/>
    <n v="0"/>
    <n v="0"/>
    <n v="0"/>
    <n v="0"/>
    <n v="1"/>
    <n v="2181.1"/>
    <n v="1"/>
    <n v="2200.8000000000002"/>
    <n v="0"/>
    <n v="0"/>
    <n v="0"/>
    <n v="0"/>
    <n v="0.80169999999999997"/>
    <n v="-0.97289999999999999"/>
    <n v="1E-4"/>
    <n v="-2.4561000000000002"/>
    <n v="0.74409999999999998"/>
    <n v="-2.5775000000000001"/>
    <n v="1"/>
    <n v="2184.1"/>
    <n v="2"/>
    <n v="2206.6999999999998"/>
    <n v="0"/>
    <n v="0"/>
    <n v="0"/>
    <n v="0"/>
    <n v="0"/>
  </r>
  <r>
    <x v="1"/>
    <x v="0"/>
    <s v="SPX"/>
    <x v="9"/>
    <x v="337"/>
    <s v="p"/>
    <n v="0"/>
    <n v="0"/>
    <n v="0"/>
    <n v="0"/>
    <n v="0"/>
    <n v="0"/>
    <n v="0"/>
    <n v="225"/>
    <n v="0.05"/>
    <n v="0"/>
    <n v="0"/>
    <n v="0"/>
    <n v="0"/>
    <n v="5.6702000000000004"/>
    <n v="0"/>
    <n v="0"/>
    <n v="-1.44E-2"/>
    <n v="6.9999999999999999E-4"/>
    <n v="0"/>
    <n v="0"/>
    <n v="0"/>
    <n v="9"/>
    <n v="0.05"/>
    <n v="0"/>
    <n v="0"/>
    <n v="0"/>
    <n v="15"/>
    <n v="0"/>
  </r>
  <r>
    <x v="1"/>
    <x v="0"/>
    <s v="SPX"/>
    <x v="9"/>
    <x v="338"/>
    <s v="p"/>
    <n v="0"/>
    <n v="0"/>
    <n v="0"/>
    <n v="0"/>
    <n v="0"/>
    <n v="0"/>
    <n v="0"/>
    <n v="219"/>
    <n v="0.05"/>
    <n v="0"/>
    <n v="0"/>
    <n v="0"/>
    <n v="0"/>
    <n v="4.5281000000000002"/>
    <n v="0"/>
    <n v="0"/>
    <n v="-1.46E-2"/>
    <n v="1E-3"/>
    <n v="0"/>
    <n v="0"/>
    <n v="0"/>
    <n v="3"/>
    <n v="0.05"/>
    <n v="0"/>
    <n v="0"/>
    <n v="0"/>
    <n v="3674"/>
    <n v="0"/>
  </r>
  <r>
    <x v="1"/>
    <x v="0"/>
    <s v="SPX"/>
    <x v="9"/>
    <x v="339"/>
    <s v="p"/>
    <n v="0"/>
    <n v="0"/>
    <n v="0"/>
    <n v="0"/>
    <n v="0"/>
    <n v="0"/>
    <n v="0"/>
    <n v="268"/>
    <n v="0.05"/>
    <n v="0"/>
    <n v="0"/>
    <n v="0"/>
    <n v="0"/>
    <n v="3.8773"/>
    <n v="0"/>
    <n v="0"/>
    <n v="-1.47E-2"/>
    <n v="1.1000000000000001E-3"/>
    <n v="-1E-4"/>
    <n v="0"/>
    <n v="0"/>
    <n v="3"/>
    <n v="0.05"/>
    <n v="0"/>
    <n v="0"/>
    <n v="0"/>
    <n v="7922"/>
    <n v="0"/>
  </r>
  <r>
    <x v="1"/>
    <x v="0"/>
    <s v="SPX"/>
    <x v="9"/>
    <x v="340"/>
    <s v="p"/>
    <n v="0"/>
    <n v="0"/>
    <n v="0"/>
    <n v="0"/>
    <n v="0"/>
    <n v="0"/>
    <n v="0"/>
    <n v="267"/>
    <n v="0.05"/>
    <n v="0"/>
    <n v="0"/>
    <n v="0"/>
    <n v="0"/>
    <n v="3.4222999999999999"/>
    <n v="0"/>
    <n v="0"/>
    <n v="-1.47E-2"/>
    <n v="1.2999999999999999E-3"/>
    <n v="-1E-4"/>
    <n v="0"/>
    <n v="0"/>
    <n v="3"/>
    <n v="0.05"/>
    <n v="0"/>
    <n v="0"/>
    <n v="0"/>
    <n v="1197"/>
    <n v="0"/>
  </r>
  <r>
    <x v="1"/>
    <x v="0"/>
    <s v="SPX"/>
    <x v="9"/>
    <x v="341"/>
    <s v="p"/>
    <n v="0"/>
    <n v="0"/>
    <n v="0"/>
    <n v="0"/>
    <n v="0"/>
    <n v="0"/>
    <n v="0"/>
    <n v="266"/>
    <n v="0.05"/>
    <n v="0"/>
    <n v="0"/>
    <n v="0"/>
    <n v="0"/>
    <n v="3.0729000000000002"/>
    <n v="0"/>
    <n v="0"/>
    <n v="-1.47E-2"/>
    <n v="1.4E-3"/>
    <n v="-1E-4"/>
    <n v="0"/>
    <n v="0"/>
    <n v="2"/>
    <n v="0.05"/>
    <n v="0"/>
    <n v="0"/>
    <n v="0"/>
    <n v="2827"/>
    <n v="0"/>
  </r>
  <r>
    <x v="1"/>
    <x v="0"/>
    <s v="SPX"/>
    <x v="9"/>
    <x v="342"/>
    <s v="p"/>
    <n v="0"/>
    <n v="0"/>
    <n v="0"/>
    <n v="0"/>
    <n v="0"/>
    <n v="0"/>
    <n v="0"/>
    <n v="268"/>
    <n v="0.05"/>
    <n v="0"/>
    <n v="0"/>
    <n v="0"/>
    <n v="0"/>
    <n v="2.7890999999999999"/>
    <n v="0"/>
    <n v="0"/>
    <n v="-1.47E-2"/>
    <n v="1.6000000000000001E-3"/>
    <n v="-1E-4"/>
    <n v="0"/>
    <n v="0"/>
    <n v="6"/>
    <n v="0.05"/>
    <n v="0"/>
    <n v="0"/>
    <n v="0"/>
    <n v="3300"/>
    <n v="0"/>
  </r>
  <r>
    <x v="1"/>
    <x v="0"/>
    <s v="SPX"/>
    <x v="9"/>
    <x v="281"/>
    <s v="p"/>
    <n v="0"/>
    <n v="0"/>
    <n v="0"/>
    <n v="0"/>
    <n v="0"/>
    <n v="0"/>
    <n v="0"/>
    <n v="264"/>
    <n v="0.05"/>
    <n v="0"/>
    <n v="0"/>
    <n v="0"/>
    <n v="0"/>
    <n v="2.5505"/>
    <n v="0"/>
    <n v="0"/>
    <n v="-1.47E-2"/>
    <n v="1.8E-3"/>
    <n v="-1E-4"/>
    <n v="0"/>
    <n v="0"/>
    <n v="2"/>
    <n v="0.05"/>
    <n v="0"/>
    <n v="0"/>
    <n v="0"/>
    <n v="2403"/>
    <n v="0"/>
  </r>
  <r>
    <x v="1"/>
    <x v="0"/>
    <s v="SPX"/>
    <x v="9"/>
    <x v="282"/>
    <s v="p"/>
    <n v="0"/>
    <n v="0"/>
    <n v="0"/>
    <n v="0"/>
    <n v="0"/>
    <n v="0"/>
    <n v="0"/>
    <n v="262"/>
    <n v="0.05"/>
    <n v="0"/>
    <n v="0"/>
    <n v="0"/>
    <n v="0"/>
    <n v="2.3445999999999998"/>
    <n v="0"/>
    <n v="0"/>
    <n v="-1.47E-2"/>
    <n v="1.9E-3"/>
    <n v="-1E-4"/>
    <n v="0"/>
    <n v="0"/>
    <n v="2"/>
    <n v="0.05"/>
    <n v="0"/>
    <n v="0"/>
    <n v="0"/>
    <n v="9575"/>
    <n v="0"/>
  </r>
  <r>
    <x v="1"/>
    <x v="0"/>
    <s v="SPX"/>
    <x v="9"/>
    <x v="283"/>
    <s v="p"/>
    <n v="0"/>
    <n v="0"/>
    <n v="0"/>
    <n v="0"/>
    <n v="0"/>
    <n v="0"/>
    <n v="0"/>
    <n v="258"/>
    <n v="0.05"/>
    <n v="0"/>
    <n v="0"/>
    <n v="0"/>
    <n v="0"/>
    <n v="2.1637"/>
    <n v="0"/>
    <n v="0"/>
    <n v="-1.47E-2"/>
    <n v="2.0999999999999999E-3"/>
    <n v="-1E-4"/>
    <n v="0"/>
    <n v="0"/>
    <n v="607"/>
    <n v="0.1"/>
    <n v="0"/>
    <n v="0"/>
    <n v="0"/>
    <n v="2594"/>
    <n v="0"/>
  </r>
  <r>
    <x v="1"/>
    <x v="0"/>
    <s v="SPX"/>
    <x v="9"/>
    <x v="284"/>
    <s v="p"/>
    <n v="0"/>
    <n v="0"/>
    <n v="0"/>
    <n v="0"/>
    <n v="0"/>
    <n v="0"/>
    <n v="0"/>
    <n v="320"/>
    <n v="0.05"/>
    <n v="0"/>
    <n v="0"/>
    <n v="0"/>
    <n v="0"/>
    <n v="2.0021"/>
    <n v="-1E-4"/>
    <n v="0"/>
    <n v="-1.47E-2"/>
    <n v="2.2000000000000001E-3"/>
    <n v="-1E-4"/>
    <n v="0"/>
    <n v="0"/>
    <n v="651"/>
    <n v="0.1"/>
    <n v="0"/>
    <n v="0"/>
    <n v="0"/>
    <n v="6197"/>
    <n v="0"/>
  </r>
  <r>
    <x v="1"/>
    <x v="0"/>
    <s v="SPX"/>
    <x v="9"/>
    <x v="285"/>
    <s v="p"/>
    <n v="0"/>
    <n v="0"/>
    <n v="0"/>
    <n v="0"/>
    <n v="0"/>
    <n v="0"/>
    <n v="0"/>
    <n v="1012"/>
    <n v="0.05"/>
    <n v="0"/>
    <n v="0"/>
    <n v="0"/>
    <n v="0"/>
    <n v="1.8562000000000001"/>
    <n v="-1E-4"/>
    <n v="0"/>
    <n v="-1.46E-2"/>
    <n v="2.3999999999999998E-3"/>
    <n v="-1E-4"/>
    <n v="0"/>
    <n v="0"/>
    <n v="780"/>
    <n v="0.05"/>
    <n v="0"/>
    <n v="0"/>
    <n v="0"/>
    <n v="1068"/>
    <n v="0"/>
  </r>
  <r>
    <x v="1"/>
    <x v="0"/>
    <s v="SPX"/>
    <x v="9"/>
    <x v="343"/>
    <s v="p"/>
    <n v="0"/>
    <n v="0"/>
    <n v="0"/>
    <n v="0"/>
    <n v="0"/>
    <n v="0"/>
    <n v="0"/>
    <n v="810"/>
    <n v="0.05"/>
    <n v="0"/>
    <n v="0"/>
    <n v="0"/>
    <n v="0"/>
    <n v="1.7883"/>
    <n v="-1E-4"/>
    <n v="0"/>
    <n v="-1.46E-2"/>
    <n v="2.5000000000000001E-3"/>
    <n v="-1E-4"/>
    <n v="0"/>
    <n v="0"/>
    <n v="592"/>
    <n v="0.05"/>
    <n v="0"/>
    <n v="0"/>
    <n v="0"/>
    <n v="2065"/>
    <n v="0"/>
  </r>
  <r>
    <x v="1"/>
    <x v="0"/>
    <s v="SPX"/>
    <x v="9"/>
    <x v="286"/>
    <s v="p"/>
    <n v="0"/>
    <n v="0"/>
    <n v="0"/>
    <n v="0"/>
    <n v="0"/>
    <n v="0"/>
    <n v="0"/>
    <n v="306"/>
    <n v="0.05"/>
    <n v="0"/>
    <n v="0"/>
    <n v="0"/>
    <n v="0"/>
    <n v="1.7232000000000001"/>
    <n v="-1E-4"/>
    <n v="0"/>
    <n v="-1.46E-2"/>
    <n v="2.5999999999999999E-3"/>
    <n v="-1E-4"/>
    <n v="0"/>
    <n v="0"/>
    <n v="642"/>
    <n v="0.1"/>
    <n v="0"/>
    <n v="0"/>
    <n v="0"/>
    <n v="6272"/>
    <n v="0"/>
  </r>
  <r>
    <x v="1"/>
    <x v="0"/>
    <s v="SPX"/>
    <x v="9"/>
    <x v="344"/>
    <s v="p"/>
    <n v="0"/>
    <n v="0"/>
    <n v="0"/>
    <n v="0"/>
    <n v="0"/>
    <n v="0"/>
    <n v="0"/>
    <n v="302"/>
    <n v="0.05"/>
    <n v="0"/>
    <n v="0"/>
    <n v="0"/>
    <n v="0"/>
    <n v="1.6609"/>
    <n v="-1E-4"/>
    <n v="0"/>
    <n v="-1.46E-2"/>
    <n v="2.7000000000000001E-3"/>
    <n v="-1E-4"/>
    <n v="0"/>
    <n v="0"/>
    <n v="640"/>
    <n v="0.1"/>
    <n v="0"/>
    <n v="0"/>
    <n v="0"/>
    <n v="7373"/>
    <n v="0"/>
  </r>
  <r>
    <x v="1"/>
    <x v="0"/>
    <s v="SPX"/>
    <x v="9"/>
    <x v="0"/>
    <s v="p"/>
    <n v="0"/>
    <n v="0"/>
    <n v="0"/>
    <n v="0"/>
    <n v="0"/>
    <n v="0"/>
    <n v="0"/>
    <n v="815"/>
    <n v="0.05"/>
    <n v="0"/>
    <n v="0"/>
    <n v="0"/>
    <n v="0"/>
    <n v="1.6009"/>
    <n v="-1E-4"/>
    <n v="0"/>
    <n v="-1.46E-2"/>
    <n v="2.8E-3"/>
    <n v="-1E-4"/>
    <n v="0"/>
    <n v="0"/>
    <n v="604"/>
    <n v="0.05"/>
    <n v="0"/>
    <n v="0"/>
    <n v="0"/>
    <n v="1767"/>
    <n v="0"/>
  </r>
  <r>
    <x v="1"/>
    <x v="0"/>
    <s v="SPX"/>
    <x v="9"/>
    <x v="345"/>
    <s v="p"/>
    <n v="0"/>
    <n v="0"/>
    <n v="0"/>
    <n v="0"/>
    <n v="0"/>
    <n v="0"/>
    <n v="0"/>
    <n v="586"/>
    <n v="0.05"/>
    <n v="0"/>
    <n v="0"/>
    <n v="0"/>
    <n v="0"/>
    <n v="1.5434000000000001"/>
    <n v="-1E-4"/>
    <n v="0"/>
    <n v="-1.46E-2"/>
    <n v="2.8999999999999998E-3"/>
    <n v="-1E-4"/>
    <n v="0"/>
    <n v="0"/>
    <n v="379"/>
    <n v="0.05"/>
    <n v="0"/>
    <n v="0"/>
    <n v="0"/>
    <n v="2271"/>
    <n v="0"/>
  </r>
  <r>
    <x v="1"/>
    <x v="0"/>
    <s v="SPX"/>
    <x v="9"/>
    <x v="1"/>
    <s v="p"/>
    <n v="0"/>
    <n v="0"/>
    <n v="0"/>
    <n v="0"/>
    <n v="0"/>
    <n v="0"/>
    <n v="0"/>
    <n v="288"/>
    <n v="0.05"/>
    <n v="0"/>
    <n v="0"/>
    <n v="0"/>
    <n v="0"/>
    <n v="1.4878"/>
    <n v="-1E-4"/>
    <n v="0"/>
    <n v="-1.4500000000000001E-2"/>
    <n v="3.0000000000000001E-3"/>
    <n v="-1E-4"/>
    <n v="0"/>
    <n v="0"/>
    <n v="683"/>
    <n v="0.1"/>
    <n v="0"/>
    <n v="0"/>
    <n v="0"/>
    <n v="1093"/>
    <n v="0"/>
  </r>
  <r>
    <x v="1"/>
    <x v="0"/>
    <s v="SPX"/>
    <x v="9"/>
    <x v="346"/>
    <s v="p"/>
    <n v="0"/>
    <n v="0"/>
    <n v="0"/>
    <n v="0"/>
    <n v="0"/>
    <n v="0"/>
    <n v="0"/>
    <n v="284"/>
    <n v="0.05"/>
    <n v="0"/>
    <n v="0"/>
    <n v="0"/>
    <n v="0"/>
    <n v="1.4341999999999999"/>
    <n v="-1E-4"/>
    <n v="0"/>
    <n v="-1.4500000000000001E-2"/>
    <n v="3.0999999999999999E-3"/>
    <n v="-1E-4"/>
    <n v="0"/>
    <n v="0"/>
    <n v="1042"/>
    <n v="0.1"/>
    <n v="0"/>
    <n v="0"/>
    <n v="0"/>
    <n v="19967"/>
    <n v="0"/>
  </r>
  <r>
    <x v="1"/>
    <x v="0"/>
    <s v="SPX"/>
    <x v="9"/>
    <x v="2"/>
    <s v="p"/>
    <n v="0"/>
    <n v="0"/>
    <n v="0"/>
    <n v="0"/>
    <n v="0"/>
    <n v="0"/>
    <n v="0"/>
    <n v="279"/>
    <n v="0.05"/>
    <n v="0"/>
    <n v="0"/>
    <n v="0"/>
    <n v="0"/>
    <n v="1.3825000000000001"/>
    <n v="-1E-4"/>
    <n v="0"/>
    <n v="-1.4500000000000001E-2"/>
    <n v="3.2000000000000002E-3"/>
    <n v="-1E-4"/>
    <n v="0"/>
    <n v="0"/>
    <n v="620"/>
    <n v="0.1"/>
    <n v="0"/>
    <n v="0"/>
    <n v="0"/>
    <n v="4599"/>
    <n v="0"/>
  </r>
  <r>
    <x v="1"/>
    <x v="0"/>
    <s v="SPX"/>
    <x v="9"/>
    <x v="347"/>
    <s v="p"/>
    <n v="0"/>
    <n v="0"/>
    <n v="0"/>
    <n v="0"/>
    <n v="0"/>
    <n v="0"/>
    <n v="0"/>
    <n v="275"/>
    <n v="0.05"/>
    <n v="0"/>
    <n v="0"/>
    <n v="0"/>
    <n v="0"/>
    <n v="1.3326"/>
    <n v="-1E-4"/>
    <n v="0"/>
    <n v="-1.4500000000000001E-2"/>
    <n v="3.3E-3"/>
    <n v="-1E-4"/>
    <n v="0"/>
    <n v="0"/>
    <n v="965"/>
    <n v="0.1"/>
    <n v="0"/>
    <n v="0"/>
    <n v="0"/>
    <n v="9320"/>
    <n v="0"/>
  </r>
  <r>
    <x v="1"/>
    <x v="0"/>
    <s v="SPX"/>
    <x v="9"/>
    <x v="3"/>
    <s v="p"/>
    <n v="0"/>
    <n v="0"/>
    <n v="0"/>
    <n v="0"/>
    <n v="0"/>
    <n v="0"/>
    <n v="0"/>
    <n v="268"/>
    <n v="0.05"/>
    <n v="0"/>
    <n v="0"/>
    <n v="0"/>
    <n v="0"/>
    <n v="1.2841"/>
    <n v="-1E-4"/>
    <n v="0"/>
    <n v="-1.4500000000000001E-2"/>
    <n v="3.5000000000000001E-3"/>
    <n v="-2.0000000000000001E-4"/>
    <n v="0"/>
    <n v="0"/>
    <n v="894"/>
    <n v="0.1"/>
    <n v="0"/>
    <n v="0"/>
    <n v="0"/>
    <n v="6240"/>
    <n v="0"/>
  </r>
  <r>
    <x v="1"/>
    <x v="0"/>
    <s v="SPX"/>
    <x v="9"/>
    <x v="348"/>
    <s v="p"/>
    <n v="0"/>
    <n v="0"/>
    <n v="0"/>
    <n v="0"/>
    <n v="0"/>
    <n v="0"/>
    <n v="0"/>
    <n v="264"/>
    <n v="0.05"/>
    <n v="0"/>
    <n v="0"/>
    <n v="0"/>
    <n v="0"/>
    <n v="1.2604"/>
    <n v="-1E-4"/>
    <n v="0"/>
    <n v="-1.4500000000000001E-2"/>
    <n v="3.5000000000000001E-3"/>
    <n v="-2.0000000000000001E-4"/>
    <n v="0"/>
    <n v="0"/>
    <n v="605"/>
    <n v="0.1"/>
    <n v="0"/>
    <n v="0"/>
    <n v="0"/>
    <n v="3948"/>
    <n v="0"/>
  </r>
  <r>
    <x v="1"/>
    <x v="0"/>
    <s v="SPX"/>
    <x v="9"/>
    <x v="349"/>
    <s v="p"/>
    <n v="0"/>
    <n v="0"/>
    <n v="0"/>
    <n v="0"/>
    <n v="0"/>
    <n v="0"/>
    <n v="0"/>
    <n v="1229"/>
    <n v="0.1"/>
    <n v="0"/>
    <n v="0"/>
    <n v="0"/>
    <n v="0"/>
    <n v="1.2909999999999999"/>
    <n v="-1E-4"/>
    <n v="0"/>
    <n v="-2.75E-2"/>
    <n v="6.3E-3"/>
    <n v="-2.9999999999999997E-4"/>
    <n v="0"/>
    <n v="0"/>
    <n v="953"/>
    <n v="0.1"/>
    <n v="0"/>
    <n v="0"/>
    <n v="0"/>
    <n v="6486"/>
    <n v="0"/>
  </r>
  <r>
    <x v="1"/>
    <x v="0"/>
    <s v="SPX"/>
    <x v="9"/>
    <x v="350"/>
    <s v="p"/>
    <n v="0"/>
    <n v="0"/>
    <n v="0"/>
    <n v="0"/>
    <n v="0"/>
    <n v="0"/>
    <n v="0"/>
    <n v="759"/>
    <n v="0.1"/>
    <n v="0"/>
    <n v="0"/>
    <n v="0"/>
    <n v="0"/>
    <n v="1.2670999999999999"/>
    <n v="-1E-4"/>
    <n v="0"/>
    <n v="-2.75E-2"/>
    <n v="6.4999999999999997E-3"/>
    <n v="-2.9999999999999997E-4"/>
    <n v="0"/>
    <n v="0"/>
    <n v="597"/>
    <n v="0.1"/>
    <n v="0"/>
    <n v="0"/>
    <n v="0"/>
    <n v="3083"/>
    <n v="0"/>
  </r>
  <r>
    <x v="1"/>
    <x v="0"/>
    <s v="SPX"/>
    <x v="9"/>
    <x v="4"/>
    <s v="p"/>
    <n v="0"/>
    <n v="0"/>
    <n v="0"/>
    <n v="0"/>
    <n v="0"/>
    <n v="0"/>
    <n v="0"/>
    <n v="1465"/>
    <n v="0.1"/>
    <n v="0"/>
    <n v="0"/>
    <n v="0"/>
    <n v="0"/>
    <n v="1.2435"/>
    <n v="-1E-4"/>
    <n v="0"/>
    <n v="-2.75E-2"/>
    <n v="6.6E-3"/>
    <n v="-2.9999999999999997E-4"/>
    <n v="0"/>
    <n v="0"/>
    <n v="1076"/>
    <n v="0.1"/>
    <n v="0"/>
    <n v="0"/>
    <n v="0"/>
    <n v="11049"/>
    <n v="0"/>
  </r>
  <r>
    <x v="1"/>
    <x v="0"/>
    <s v="SPX"/>
    <x v="9"/>
    <x v="351"/>
    <s v="p"/>
    <n v="0"/>
    <n v="0"/>
    <n v="0"/>
    <n v="0"/>
    <n v="0"/>
    <n v="0"/>
    <n v="0"/>
    <n v="745"/>
    <n v="0.1"/>
    <n v="0"/>
    <n v="0"/>
    <n v="0"/>
    <n v="0"/>
    <n v="1.2202999999999999"/>
    <n v="-1E-4"/>
    <n v="0"/>
    <n v="-2.7400000000000001E-2"/>
    <n v="6.7000000000000002E-3"/>
    <n v="-2.9999999999999997E-4"/>
    <n v="0"/>
    <n v="0"/>
    <n v="585"/>
    <n v="0.1"/>
    <n v="0"/>
    <n v="0"/>
    <n v="0"/>
    <n v="4299"/>
    <n v="0"/>
  </r>
  <r>
    <x v="1"/>
    <x v="0"/>
    <s v="SPX"/>
    <x v="9"/>
    <x v="352"/>
    <s v="p"/>
    <n v="0"/>
    <n v="0"/>
    <n v="0"/>
    <n v="0"/>
    <n v="0"/>
    <n v="0"/>
    <n v="0"/>
    <n v="10"/>
    <n v="0.05"/>
    <n v="0"/>
    <n v="0"/>
    <n v="0"/>
    <n v="0"/>
    <n v="1.1472"/>
    <n v="-1E-4"/>
    <n v="0"/>
    <n v="-1.44E-2"/>
    <n v="3.8999999999999998E-3"/>
    <n v="-2.0000000000000001E-4"/>
    <n v="0"/>
    <n v="0"/>
    <n v="10"/>
    <n v="0.05"/>
    <n v="0"/>
    <n v="0"/>
    <n v="0"/>
    <n v="6896"/>
    <n v="0"/>
  </r>
  <r>
    <x v="1"/>
    <x v="0"/>
    <s v="SPX"/>
    <x v="9"/>
    <x v="353"/>
    <s v="p"/>
    <n v="0"/>
    <n v="0"/>
    <n v="0"/>
    <n v="0"/>
    <n v="0"/>
    <n v="0"/>
    <n v="0"/>
    <n v="730"/>
    <n v="0.1"/>
    <n v="0"/>
    <n v="0"/>
    <n v="0"/>
    <n v="0"/>
    <n v="1.175"/>
    <n v="-2.0000000000000001E-4"/>
    <n v="0"/>
    <n v="-2.7400000000000001E-2"/>
    <n v="6.8999999999999999E-3"/>
    <n v="-2.9999999999999997E-4"/>
    <n v="0"/>
    <n v="0"/>
    <n v="576"/>
    <n v="0.1"/>
    <n v="0"/>
    <n v="0"/>
    <n v="0"/>
    <n v="2772"/>
    <n v="0"/>
  </r>
  <r>
    <x v="1"/>
    <x v="0"/>
    <s v="SPX"/>
    <x v="9"/>
    <x v="5"/>
    <s v="p"/>
    <n v="0"/>
    <n v="0"/>
    <n v="0"/>
    <n v="0"/>
    <n v="0"/>
    <n v="0"/>
    <n v="0"/>
    <n v="722"/>
    <n v="0.1"/>
    <n v="0"/>
    <n v="0"/>
    <n v="0"/>
    <n v="0"/>
    <n v="1.1527000000000001"/>
    <n v="-2.0000000000000001E-4"/>
    <n v="0"/>
    <n v="-2.7400000000000001E-2"/>
    <n v="7.1000000000000004E-3"/>
    <n v="-2.9999999999999997E-4"/>
    <n v="0"/>
    <n v="0"/>
    <n v="571"/>
    <n v="0.1"/>
    <n v="0"/>
    <n v="0"/>
    <n v="0"/>
    <n v="7806"/>
    <n v="0"/>
  </r>
  <r>
    <x v="1"/>
    <x v="0"/>
    <s v="SPX"/>
    <x v="9"/>
    <x v="354"/>
    <s v="p"/>
    <n v="0"/>
    <n v="0"/>
    <n v="0"/>
    <n v="0"/>
    <n v="0"/>
    <n v="0"/>
    <n v="0"/>
    <n v="715"/>
    <n v="0.1"/>
    <n v="0"/>
    <n v="0"/>
    <n v="0"/>
    <n v="0"/>
    <n v="1.1308"/>
    <n v="-2.0000000000000001E-4"/>
    <n v="0"/>
    <n v="-2.7300000000000001E-2"/>
    <n v="7.1999999999999998E-3"/>
    <n v="-2.9999999999999997E-4"/>
    <n v="0"/>
    <n v="0"/>
    <n v="566"/>
    <n v="0.1"/>
    <n v="0"/>
    <n v="0"/>
    <n v="0"/>
    <n v="2796"/>
    <n v="0"/>
  </r>
  <r>
    <x v="1"/>
    <x v="0"/>
    <s v="SPX"/>
    <x v="9"/>
    <x v="355"/>
    <s v="p"/>
    <n v="0"/>
    <n v="0"/>
    <n v="0"/>
    <n v="0"/>
    <n v="0"/>
    <n v="0"/>
    <n v="0"/>
    <n v="709"/>
    <n v="0.1"/>
    <n v="0"/>
    <n v="0"/>
    <n v="0"/>
    <n v="0"/>
    <n v="1.1091"/>
    <n v="-2.0000000000000001E-4"/>
    <n v="0"/>
    <n v="-2.7300000000000001E-2"/>
    <n v="7.3000000000000001E-3"/>
    <n v="-2.9999999999999997E-4"/>
    <n v="0"/>
    <n v="0"/>
    <n v="558"/>
    <n v="0.1"/>
    <n v="0"/>
    <n v="0"/>
    <n v="0"/>
    <n v="3066"/>
    <n v="0"/>
  </r>
  <r>
    <x v="1"/>
    <x v="0"/>
    <s v="SPX"/>
    <x v="9"/>
    <x v="356"/>
    <s v="p"/>
    <n v="0"/>
    <n v="0"/>
    <n v="0"/>
    <n v="0"/>
    <n v="0"/>
    <n v="0"/>
    <n v="0"/>
    <n v="698"/>
    <n v="0.1"/>
    <n v="0"/>
    <n v="0"/>
    <n v="0"/>
    <n v="0"/>
    <n v="1.0876999999999999"/>
    <n v="-2.0000000000000001E-4"/>
    <n v="0"/>
    <n v="-2.7300000000000001E-2"/>
    <n v="7.4999999999999997E-3"/>
    <n v="-2.9999999999999997E-4"/>
    <n v="0"/>
    <n v="0"/>
    <n v="547"/>
    <n v="0.1"/>
    <n v="0"/>
    <n v="0"/>
    <n v="0"/>
    <n v="3357"/>
    <n v="0"/>
  </r>
  <r>
    <x v="1"/>
    <x v="0"/>
    <s v="SPX"/>
    <x v="9"/>
    <x v="357"/>
    <s v="p"/>
    <n v="0"/>
    <n v="0"/>
    <n v="0"/>
    <n v="0"/>
    <n v="0"/>
    <n v="0"/>
    <n v="0"/>
    <n v="694"/>
    <n v="0.1"/>
    <n v="0"/>
    <n v="0"/>
    <n v="0"/>
    <n v="0"/>
    <n v="1.0772999999999999"/>
    <n v="-2.0000000000000001E-4"/>
    <n v="0"/>
    <n v="-2.7300000000000001E-2"/>
    <n v="7.6E-3"/>
    <n v="-2.9999999999999997E-4"/>
    <n v="0"/>
    <n v="0"/>
    <n v="543"/>
    <n v="0.1"/>
    <n v="0"/>
    <n v="0"/>
    <n v="0"/>
    <n v="1314"/>
    <n v="0"/>
  </r>
  <r>
    <x v="1"/>
    <x v="0"/>
    <s v="SPX"/>
    <x v="9"/>
    <x v="6"/>
    <s v="p"/>
    <n v="0"/>
    <n v="0"/>
    <n v="0"/>
    <n v="0"/>
    <n v="0"/>
    <n v="0"/>
    <n v="0"/>
    <n v="691"/>
    <n v="0.1"/>
    <n v="0"/>
    <n v="0"/>
    <n v="0"/>
    <n v="0"/>
    <n v="1.0666"/>
    <n v="-2.0000000000000001E-4"/>
    <n v="0"/>
    <n v="-2.7300000000000001E-2"/>
    <n v="7.6E-3"/>
    <n v="-2.9999999999999997E-4"/>
    <n v="0"/>
    <n v="0"/>
    <n v="537"/>
    <n v="0.1"/>
    <n v="0"/>
    <n v="0"/>
    <n v="0"/>
    <n v="14377"/>
    <n v="0"/>
  </r>
  <r>
    <x v="1"/>
    <x v="0"/>
    <s v="SPX"/>
    <x v="9"/>
    <x v="358"/>
    <s v="p"/>
    <n v="0"/>
    <n v="0"/>
    <n v="0"/>
    <n v="0"/>
    <n v="0"/>
    <n v="0"/>
    <n v="0"/>
    <n v="682"/>
    <n v="0.1"/>
    <n v="0"/>
    <n v="0"/>
    <n v="0"/>
    <n v="0"/>
    <n v="1.0562"/>
    <n v="-2.0000000000000001E-4"/>
    <n v="0"/>
    <n v="-2.7199999999999998E-2"/>
    <n v="7.7000000000000002E-3"/>
    <n v="-2.9999999999999997E-4"/>
    <n v="0"/>
    <n v="0"/>
    <n v="523"/>
    <n v="0.1"/>
    <n v="0"/>
    <n v="0"/>
    <n v="0"/>
    <n v="1521"/>
    <n v="0"/>
  </r>
  <r>
    <x v="1"/>
    <x v="0"/>
    <s v="SPX"/>
    <x v="9"/>
    <x v="359"/>
    <s v="p"/>
    <n v="0"/>
    <n v="0"/>
    <n v="0"/>
    <n v="0"/>
    <n v="0"/>
    <n v="0"/>
    <n v="0"/>
    <n v="678"/>
    <n v="0.1"/>
    <n v="0"/>
    <n v="0"/>
    <n v="0"/>
    <n v="0"/>
    <n v="1.0458000000000001"/>
    <n v="-2.0000000000000001E-4"/>
    <n v="0"/>
    <n v="-2.7199999999999998E-2"/>
    <n v="7.7999999999999996E-3"/>
    <n v="-2.9999999999999997E-4"/>
    <n v="0"/>
    <n v="0"/>
    <n v="525"/>
    <n v="0.1"/>
    <n v="0"/>
    <n v="0"/>
    <n v="0"/>
    <n v="2132"/>
    <n v="0"/>
  </r>
  <r>
    <x v="1"/>
    <x v="0"/>
    <s v="SPX"/>
    <x v="9"/>
    <x v="360"/>
    <s v="p"/>
    <n v="0"/>
    <n v="0"/>
    <n v="0"/>
    <n v="0"/>
    <n v="0"/>
    <n v="0"/>
    <n v="0"/>
    <n v="679"/>
    <n v="0.1"/>
    <n v="0"/>
    <n v="0"/>
    <n v="0"/>
    <n v="0"/>
    <n v="1.0355000000000001"/>
    <n v="-2.0000000000000001E-4"/>
    <n v="0"/>
    <n v="-2.7199999999999998E-2"/>
    <n v="7.7999999999999996E-3"/>
    <n v="-4.0000000000000002E-4"/>
    <n v="0"/>
    <n v="0"/>
    <n v="522"/>
    <n v="0.1"/>
    <n v="0"/>
    <n v="0"/>
    <n v="0"/>
    <n v="2027"/>
    <n v="0"/>
  </r>
  <r>
    <x v="1"/>
    <x v="0"/>
    <s v="SPX"/>
    <x v="9"/>
    <x v="361"/>
    <s v="p"/>
    <n v="0"/>
    <n v="0"/>
    <n v="0"/>
    <n v="0"/>
    <n v="0"/>
    <n v="0"/>
    <n v="0"/>
    <n v="668"/>
    <n v="0.1"/>
    <n v="0"/>
    <n v="0"/>
    <n v="0"/>
    <n v="0"/>
    <n v="1.0254000000000001"/>
    <n v="-2.0000000000000001E-4"/>
    <n v="0"/>
    <n v="-2.7199999999999998E-2"/>
    <n v="7.9000000000000008E-3"/>
    <n v="-4.0000000000000002E-4"/>
    <n v="0"/>
    <n v="0"/>
    <n v="246"/>
    <n v="0.1"/>
    <n v="0"/>
    <n v="0"/>
    <n v="0"/>
    <n v="2351"/>
    <n v="0"/>
  </r>
  <r>
    <x v="1"/>
    <x v="0"/>
    <s v="SPX"/>
    <x v="9"/>
    <x v="362"/>
    <s v="p"/>
    <n v="0"/>
    <n v="0"/>
    <n v="0"/>
    <n v="0"/>
    <n v="0"/>
    <n v="0"/>
    <n v="0"/>
    <n v="664"/>
    <n v="0.1"/>
    <n v="0"/>
    <n v="0"/>
    <n v="0"/>
    <n v="0"/>
    <n v="1.0150999999999999"/>
    <n v="-2.0000000000000001E-4"/>
    <n v="0"/>
    <n v="-2.7199999999999998E-2"/>
    <n v="8.0000000000000002E-3"/>
    <n v="-4.0000000000000002E-4"/>
    <n v="0"/>
    <n v="0"/>
    <n v="245"/>
    <n v="0.1"/>
    <n v="0"/>
    <n v="0"/>
    <n v="0"/>
    <n v="1282"/>
    <n v="0"/>
  </r>
  <r>
    <x v="1"/>
    <x v="0"/>
    <s v="SPX"/>
    <x v="9"/>
    <x v="363"/>
    <s v="p"/>
    <n v="0"/>
    <n v="0"/>
    <n v="0"/>
    <n v="0"/>
    <n v="0"/>
    <n v="0"/>
    <n v="0"/>
    <n v="656"/>
    <n v="0.1"/>
    <n v="0"/>
    <n v="0"/>
    <n v="0"/>
    <n v="0"/>
    <n v="1.0048999999999999"/>
    <n v="-2.0000000000000001E-4"/>
    <n v="0"/>
    <n v="-2.7199999999999998E-2"/>
    <n v="8.0999999999999996E-3"/>
    <n v="-4.0000000000000002E-4"/>
    <n v="0"/>
    <n v="0"/>
    <n v="245"/>
    <n v="0.1"/>
    <n v="0"/>
    <n v="0"/>
    <n v="0"/>
    <n v="1574"/>
    <n v="0"/>
  </r>
  <r>
    <x v="1"/>
    <x v="0"/>
    <s v="SPX"/>
    <x v="9"/>
    <x v="364"/>
    <s v="p"/>
    <n v="0"/>
    <n v="0"/>
    <n v="0"/>
    <n v="0"/>
    <n v="0"/>
    <n v="0"/>
    <n v="0"/>
    <n v="652"/>
    <n v="0.1"/>
    <n v="0"/>
    <n v="0"/>
    <n v="0"/>
    <n v="0"/>
    <n v="0.99480000000000002"/>
    <n v="-2.0000000000000001E-4"/>
    <n v="0"/>
    <n v="-2.7099999999999999E-2"/>
    <n v="8.2000000000000007E-3"/>
    <n v="-4.0000000000000002E-4"/>
    <n v="0"/>
    <n v="0"/>
    <n v="245"/>
    <n v="0.1"/>
    <n v="0"/>
    <n v="0"/>
    <n v="0"/>
    <n v="2465"/>
    <n v="0"/>
  </r>
  <r>
    <x v="1"/>
    <x v="0"/>
    <s v="SPX"/>
    <x v="9"/>
    <x v="7"/>
    <s v="p"/>
    <n v="0.15"/>
    <n v="0.15"/>
    <n v="0.15"/>
    <n v="0.15"/>
    <n v="3"/>
    <n v="0"/>
    <n v="0"/>
    <n v="643"/>
    <n v="0.1"/>
    <n v="0"/>
    <n v="0"/>
    <n v="0"/>
    <n v="0"/>
    <n v="0.98470000000000002"/>
    <n v="-2.0000000000000001E-4"/>
    <n v="0"/>
    <n v="-2.7099999999999999E-2"/>
    <n v="8.2000000000000007E-3"/>
    <n v="-4.0000000000000002E-4"/>
    <n v="0"/>
    <n v="0"/>
    <n v="244"/>
    <n v="0.1"/>
    <n v="0"/>
    <n v="0"/>
    <n v="0.15"/>
    <n v="13459"/>
    <n v="0"/>
  </r>
  <r>
    <x v="1"/>
    <x v="0"/>
    <s v="SPX"/>
    <x v="9"/>
    <x v="365"/>
    <s v="p"/>
    <n v="0"/>
    <n v="0"/>
    <n v="0"/>
    <n v="0"/>
    <n v="0"/>
    <n v="0"/>
    <n v="0"/>
    <n v="635"/>
    <n v="0.1"/>
    <n v="0"/>
    <n v="0"/>
    <n v="0"/>
    <n v="0"/>
    <n v="0.97489999999999999"/>
    <n v="-2.0000000000000001E-4"/>
    <n v="0"/>
    <n v="-2.7099999999999999E-2"/>
    <n v="8.3000000000000001E-3"/>
    <n v="-4.0000000000000002E-4"/>
    <n v="0"/>
    <n v="0"/>
    <n v="242"/>
    <n v="0.1"/>
    <n v="0"/>
    <n v="0"/>
    <n v="0"/>
    <n v="1286"/>
    <n v="0"/>
  </r>
  <r>
    <x v="1"/>
    <x v="0"/>
    <s v="SPX"/>
    <x v="9"/>
    <x v="366"/>
    <s v="p"/>
    <n v="0"/>
    <n v="0"/>
    <n v="0"/>
    <n v="0"/>
    <n v="0"/>
    <n v="0"/>
    <n v="0"/>
    <n v="625"/>
    <n v="0.1"/>
    <n v="0"/>
    <n v="0"/>
    <n v="0"/>
    <n v="0"/>
    <n v="0.96519999999999995"/>
    <n v="-2.0000000000000001E-4"/>
    <n v="0"/>
    <n v="-2.7099999999999999E-2"/>
    <n v="8.3999999999999995E-3"/>
    <n v="-4.0000000000000002E-4"/>
    <n v="0"/>
    <n v="0"/>
    <n v="241"/>
    <n v="0.1"/>
    <n v="0"/>
    <n v="0"/>
    <n v="0"/>
    <n v="2102"/>
    <n v="0"/>
  </r>
  <r>
    <x v="1"/>
    <x v="0"/>
    <s v="SPX"/>
    <x v="9"/>
    <x v="367"/>
    <s v="p"/>
    <n v="0"/>
    <n v="0"/>
    <n v="0"/>
    <n v="0"/>
    <n v="0"/>
    <n v="0"/>
    <n v="0"/>
    <n v="618"/>
    <n v="0.1"/>
    <n v="0"/>
    <n v="0"/>
    <n v="0"/>
    <n v="0"/>
    <n v="0.95509999999999995"/>
    <n v="-2.0000000000000001E-4"/>
    <n v="0"/>
    <n v="-2.7099999999999999E-2"/>
    <n v="8.5000000000000006E-3"/>
    <n v="-4.0000000000000002E-4"/>
    <n v="0"/>
    <n v="0"/>
    <n v="241"/>
    <n v="0.1"/>
    <n v="0"/>
    <n v="0"/>
    <n v="0"/>
    <n v="1393"/>
    <n v="0"/>
  </r>
  <r>
    <x v="1"/>
    <x v="0"/>
    <s v="SPX"/>
    <x v="9"/>
    <x v="368"/>
    <s v="p"/>
    <n v="0"/>
    <n v="0"/>
    <n v="0"/>
    <n v="0"/>
    <n v="0"/>
    <n v="0"/>
    <n v="0"/>
    <n v="607"/>
    <n v="0.1"/>
    <n v="0"/>
    <n v="0"/>
    <n v="0"/>
    <n v="0"/>
    <n v="0.94540000000000002"/>
    <n v="-2.0000000000000001E-4"/>
    <n v="0"/>
    <n v="-2.7099999999999999E-2"/>
    <n v="8.6E-3"/>
    <n v="-4.0000000000000002E-4"/>
    <n v="0"/>
    <n v="0"/>
    <n v="239"/>
    <n v="0.1"/>
    <n v="0"/>
    <n v="0"/>
    <n v="0"/>
    <n v="5242"/>
    <n v="0"/>
  </r>
  <r>
    <x v="1"/>
    <x v="0"/>
    <s v="SPX"/>
    <x v="9"/>
    <x v="369"/>
    <s v="p"/>
    <n v="0"/>
    <n v="0"/>
    <n v="0"/>
    <n v="0"/>
    <n v="0"/>
    <n v="0"/>
    <n v="0"/>
    <n v="597"/>
    <n v="0.1"/>
    <n v="0"/>
    <n v="0"/>
    <n v="0"/>
    <n v="0"/>
    <n v="0.93579999999999997"/>
    <n v="-2.0000000000000001E-4"/>
    <n v="0"/>
    <n v="-2.7099999999999999E-2"/>
    <n v="8.6999999999999994E-3"/>
    <n v="-4.0000000000000002E-4"/>
    <n v="0"/>
    <n v="0"/>
    <n v="238"/>
    <n v="0.1"/>
    <n v="0"/>
    <n v="0"/>
    <n v="0"/>
    <n v="1430"/>
    <n v="0"/>
  </r>
  <r>
    <x v="1"/>
    <x v="0"/>
    <s v="SPX"/>
    <x v="9"/>
    <x v="370"/>
    <s v="p"/>
    <n v="0"/>
    <n v="0"/>
    <n v="0"/>
    <n v="0"/>
    <n v="0"/>
    <n v="0"/>
    <n v="0"/>
    <n v="419"/>
    <n v="0.1"/>
    <n v="0"/>
    <n v="0"/>
    <n v="0"/>
    <n v="0"/>
    <n v="0.92620000000000002"/>
    <n v="-2.0000000000000001E-4"/>
    <n v="0"/>
    <n v="-2.7E-2"/>
    <n v="8.8000000000000005E-3"/>
    <n v="-4.0000000000000002E-4"/>
    <n v="0"/>
    <n v="0"/>
    <n v="634"/>
    <n v="0.15"/>
    <n v="0"/>
    <n v="0"/>
    <n v="0"/>
    <n v="1647"/>
    <n v="0"/>
  </r>
  <r>
    <x v="1"/>
    <x v="0"/>
    <s v="SPX"/>
    <x v="9"/>
    <x v="371"/>
    <s v="p"/>
    <n v="0"/>
    <n v="0"/>
    <n v="0"/>
    <n v="0"/>
    <n v="0"/>
    <n v="0"/>
    <n v="0"/>
    <n v="410"/>
    <n v="0.1"/>
    <n v="0"/>
    <n v="0"/>
    <n v="0"/>
    <n v="0"/>
    <n v="0.91639999999999999"/>
    <n v="-2.0000000000000001E-4"/>
    <n v="0"/>
    <n v="-2.7E-2"/>
    <n v="8.8999999999999999E-3"/>
    <n v="-4.0000000000000002E-4"/>
    <n v="0"/>
    <n v="0"/>
    <n v="615"/>
    <n v="0.15"/>
    <n v="0"/>
    <n v="0"/>
    <n v="0"/>
    <n v="1702"/>
    <n v="0"/>
  </r>
  <r>
    <x v="1"/>
    <x v="0"/>
    <s v="SPX"/>
    <x v="9"/>
    <x v="8"/>
    <s v="p"/>
    <n v="0.05"/>
    <n v="0.05"/>
    <n v="0.05"/>
    <n v="0.05"/>
    <n v="2"/>
    <n v="0"/>
    <n v="0"/>
    <n v="407"/>
    <n v="0.1"/>
    <n v="0"/>
    <n v="0"/>
    <n v="0"/>
    <n v="0"/>
    <n v="0.90700000000000003"/>
    <n v="-2.0000000000000001E-4"/>
    <n v="0"/>
    <n v="-2.7E-2"/>
    <n v="8.8999999999999999E-3"/>
    <n v="-4.0000000000000002E-4"/>
    <n v="0"/>
    <n v="0"/>
    <n v="608"/>
    <n v="0.15"/>
    <n v="0"/>
    <n v="0"/>
    <n v="0.05"/>
    <n v="6940"/>
    <n v="0"/>
  </r>
  <r>
    <x v="1"/>
    <x v="0"/>
    <s v="SPX"/>
    <x v="9"/>
    <x v="372"/>
    <s v="p"/>
    <n v="0"/>
    <n v="0"/>
    <n v="0"/>
    <n v="0"/>
    <n v="0"/>
    <n v="0"/>
    <n v="0"/>
    <n v="400"/>
    <n v="0.1"/>
    <n v="0"/>
    <n v="0"/>
    <n v="0"/>
    <n v="0"/>
    <n v="0.89739999999999998"/>
    <n v="-2.0000000000000001E-4"/>
    <n v="0"/>
    <n v="-2.7E-2"/>
    <n v="8.9999999999999993E-3"/>
    <n v="-4.0000000000000002E-4"/>
    <n v="0"/>
    <n v="0"/>
    <n v="607"/>
    <n v="0.15"/>
    <n v="0"/>
    <n v="0"/>
    <n v="0"/>
    <n v="1289"/>
    <n v="0"/>
  </r>
  <r>
    <x v="1"/>
    <x v="0"/>
    <s v="SPX"/>
    <x v="9"/>
    <x v="373"/>
    <s v="p"/>
    <n v="0"/>
    <n v="0"/>
    <n v="0"/>
    <n v="0"/>
    <n v="0"/>
    <n v="0"/>
    <n v="0"/>
    <n v="397"/>
    <n v="0.1"/>
    <n v="0"/>
    <n v="0"/>
    <n v="0"/>
    <n v="0"/>
    <n v="0.88800000000000001"/>
    <n v="-2.0000000000000001E-4"/>
    <n v="0"/>
    <n v="-2.7E-2"/>
    <n v="9.1000000000000004E-3"/>
    <n v="-4.0000000000000002E-4"/>
    <n v="0"/>
    <n v="0"/>
    <n v="611"/>
    <n v="0.15"/>
    <n v="0"/>
    <n v="0"/>
    <n v="0"/>
    <n v="2197"/>
    <n v="0"/>
  </r>
  <r>
    <x v="1"/>
    <x v="0"/>
    <s v="SPX"/>
    <x v="9"/>
    <x v="374"/>
    <s v="p"/>
    <n v="0.08"/>
    <n v="0.08"/>
    <n v="0.08"/>
    <n v="0.08"/>
    <n v="1"/>
    <n v="0"/>
    <n v="0"/>
    <n v="388"/>
    <n v="0.1"/>
    <n v="0"/>
    <n v="0"/>
    <n v="0"/>
    <n v="0"/>
    <n v="0.87839999999999996"/>
    <n v="-2.0000000000000001E-4"/>
    <n v="0"/>
    <n v="-2.7E-2"/>
    <n v="9.1999999999999998E-3"/>
    <n v="-4.0000000000000002E-4"/>
    <n v="0"/>
    <n v="0"/>
    <n v="602"/>
    <n v="0.15"/>
    <n v="0"/>
    <n v="0"/>
    <n v="0.08"/>
    <n v="1230"/>
    <n v="0"/>
  </r>
  <r>
    <x v="1"/>
    <x v="0"/>
    <s v="SPX"/>
    <x v="9"/>
    <x v="375"/>
    <s v="p"/>
    <n v="0"/>
    <n v="0"/>
    <n v="0"/>
    <n v="0"/>
    <n v="0"/>
    <n v="0"/>
    <n v="0"/>
    <n v="381"/>
    <n v="0.1"/>
    <n v="0"/>
    <n v="0"/>
    <n v="0"/>
    <n v="0"/>
    <n v="0.86919999999999997"/>
    <n v="-2.0000000000000001E-4"/>
    <n v="0"/>
    <n v="-2.69E-2"/>
    <n v="9.2999999999999992E-3"/>
    <n v="-4.0000000000000002E-4"/>
    <n v="0"/>
    <n v="0"/>
    <n v="591"/>
    <n v="0.15"/>
    <n v="0"/>
    <n v="0"/>
    <n v="0"/>
    <n v="3393"/>
    <n v="0"/>
  </r>
  <r>
    <x v="1"/>
    <x v="0"/>
    <s v="SPX"/>
    <x v="9"/>
    <x v="376"/>
    <s v="p"/>
    <n v="0"/>
    <n v="0"/>
    <n v="0"/>
    <n v="0"/>
    <n v="0"/>
    <n v="0"/>
    <n v="0"/>
    <n v="225"/>
    <n v="0.1"/>
    <n v="0"/>
    <n v="0"/>
    <n v="0"/>
    <n v="0"/>
    <n v="0.8599"/>
    <n v="-2.0000000000000001E-4"/>
    <n v="0"/>
    <n v="-2.69E-2"/>
    <n v="9.4000000000000004E-3"/>
    <n v="-4.0000000000000002E-4"/>
    <n v="0"/>
    <n v="0"/>
    <n v="568"/>
    <n v="0.15"/>
    <n v="0"/>
    <n v="0"/>
    <n v="0"/>
    <n v="1523"/>
    <n v="0"/>
  </r>
  <r>
    <x v="1"/>
    <x v="0"/>
    <s v="SPX"/>
    <x v="9"/>
    <x v="377"/>
    <s v="p"/>
    <n v="0"/>
    <n v="0"/>
    <n v="0"/>
    <n v="0"/>
    <n v="0"/>
    <n v="0"/>
    <n v="0"/>
    <n v="1071"/>
    <n v="0.15"/>
    <n v="0"/>
    <n v="0"/>
    <n v="0"/>
    <n v="0"/>
    <n v="0.87429999999999997"/>
    <n v="-2.9999999999999997E-4"/>
    <n v="0"/>
    <n v="-3.9100000000000003E-2"/>
    <n v="1.32E-2"/>
    <n v="-5.9999999999999995E-4"/>
    <n v="0"/>
    <n v="0"/>
    <n v="569"/>
    <n v="0.15"/>
    <n v="0"/>
    <n v="0"/>
    <n v="0"/>
    <n v="2108"/>
    <n v="0"/>
  </r>
  <r>
    <x v="1"/>
    <x v="0"/>
    <s v="SPX"/>
    <x v="9"/>
    <x v="378"/>
    <s v="p"/>
    <n v="0"/>
    <n v="0"/>
    <n v="0"/>
    <n v="0"/>
    <n v="0"/>
    <n v="0"/>
    <n v="0"/>
    <n v="1057"/>
    <n v="0.15"/>
    <n v="0"/>
    <n v="0"/>
    <n v="0"/>
    <n v="0"/>
    <n v="0.8649"/>
    <n v="-2.9999999999999997E-4"/>
    <n v="0"/>
    <n v="-3.9100000000000003E-2"/>
    <n v="1.3299999999999999E-2"/>
    <n v="-5.9999999999999995E-4"/>
    <n v="0"/>
    <n v="0"/>
    <n v="546"/>
    <n v="0.15"/>
    <n v="0"/>
    <n v="0"/>
    <n v="0"/>
    <n v="2024"/>
    <n v="0"/>
  </r>
  <r>
    <x v="1"/>
    <x v="0"/>
    <s v="SPX"/>
    <x v="9"/>
    <x v="9"/>
    <s v="p"/>
    <n v="0"/>
    <n v="0"/>
    <n v="0"/>
    <n v="0"/>
    <n v="0"/>
    <n v="0"/>
    <n v="0"/>
    <n v="1000"/>
    <n v="0.15"/>
    <n v="0"/>
    <n v="0"/>
    <n v="0"/>
    <n v="0"/>
    <n v="0.85580000000000001"/>
    <n v="-2.9999999999999997E-4"/>
    <n v="0"/>
    <n v="-3.9E-2"/>
    <n v="1.35E-2"/>
    <n v="-5.9999999999999995E-4"/>
    <n v="0"/>
    <n v="0"/>
    <n v="542"/>
    <n v="0.15"/>
    <n v="0"/>
    <n v="0"/>
    <n v="0"/>
    <n v="5644"/>
    <n v="0"/>
  </r>
  <r>
    <x v="1"/>
    <x v="0"/>
    <s v="SPX"/>
    <x v="9"/>
    <x v="379"/>
    <s v="p"/>
    <n v="0"/>
    <n v="0"/>
    <n v="0"/>
    <n v="0"/>
    <n v="0"/>
    <n v="0"/>
    <n v="0"/>
    <n v="975"/>
    <n v="0.15"/>
    <n v="0"/>
    <n v="0"/>
    <n v="0"/>
    <n v="0"/>
    <n v="0.84630000000000005"/>
    <n v="-2.9999999999999997E-4"/>
    <n v="0"/>
    <n v="-3.9E-2"/>
    <n v="1.3599999999999999E-2"/>
    <n v="-5.9999999999999995E-4"/>
    <n v="0"/>
    <n v="0"/>
    <n v="527"/>
    <n v="0.15"/>
    <n v="0"/>
    <n v="0"/>
    <n v="0"/>
    <n v="1582"/>
    <n v="0"/>
  </r>
  <r>
    <x v="1"/>
    <x v="0"/>
    <s v="SPX"/>
    <x v="9"/>
    <x v="380"/>
    <s v="p"/>
    <n v="0"/>
    <n v="0"/>
    <n v="0"/>
    <n v="0"/>
    <n v="0"/>
    <n v="0"/>
    <n v="0"/>
    <n v="944"/>
    <n v="0.15"/>
    <n v="0"/>
    <n v="0"/>
    <n v="0"/>
    <n v="0"/>
    <n v="0.83709999999999996"/>
    <n v="-2.9999999999999997E-4"/>
    <n v="0"/>
    <n v="-3.9E-2"/>
    <n v="1.37E-2"/>
    <n v="-5.9999999999999995E-4"/>
    <n v="0"/>
    <n v="0"/>
    <n v="514"/>
    <n v="0.15"/>
    <n v="0"/>
    <n v="0"/>
    <n v="0"/>
    <n v="1826"/>
    <n v="0"/>
  </r>
  <r>
    <x v="1"/>
    <x v="0"/>
    <s v="SPX"/>
    <x v="9"/>
    <x v="381"/>
    <s v="p"/>
    <n v="0.05"/>
    <n v="0.05"/>
    <n v="0.05"/>
    <n v="0.05"/>
    <n v="1"/>
    <n v="0"/>
    <n v="0"/>
    <n v="3"/>
    <n v="0.1"/>
    <n v="0"/>
    <n v="0"/>
    <n v="0"/>
    <n v="0"/>
    <n v="0.80530000000000002"/>
    <n v="-2.0000000000000001E-4"/>
    <n v="0"/>
    <n v="-2.6800000000000001E-2"/>
    <n v="1.01E-2"/>
    <n v="-4.0000000000000002E-4"/>
    <n v="0"/>
    <n v="0"/>
    <n v="3"/>
    <n v="0.1"/>
    <n v="0"/>
    <n v="0"/>
    <n v="0.05"/>
    <n v="1969"/>
    <n v="0"/>
  </r>
  <r>
    <x v="1"/>
    <x v="0"/>
    <s v="SPX"/>
    <x v="9"/>
    <x v="382"/>
    <s v="p"/>
    <n v="0"/>
    <n v="0"/>
    <n v="0"/>
    <n v="0"/>
    <n v="0"/>
    <n v="0"/>
    <n v="0"/>
    <n v="3"/>
    <n v="0.1"/>
    <n v="0"/>
    <n v="0"/>
    <n v="0"/>
    <n v="0"/>
    <n v="0.79600000000000004"/>
    <n v="-2.0000000000000001E-4"/>
    <n v="0"/>
    <n v="-2.6800000000000001E-2"/>
    <n v="1.0200000000000001E-2"/>
    <n v="-4.0000000000000002E-4"/>
    <n v="0"/>
    <n v="0"/>
    <n v="3"/>
    <n v="0.1"/>
    <n v="0"/>
    <n v="0"/>
    <n v="0"/>
    <n v="8145"/>
    <n v="0"/>
  </r>
  <r>
    <x v="1"/>
    <x v="0"/>
    <s v="SPX"/>
    <x v="9"/>
    <x v="383"/>
    <s v="p"/>
    <n v="0"/>
    <n v="0"/>
    <n v="0"/>
    <n v="0"/>
    <n v="0"/>
    <n v="0"/>
    <n v="0"/>
    <n v="3"/>
    <n v="0.1"/>
    <n v="0"/>
    <n v="0"/>
    <n v="0"/>
    <n v="0"/>
    <n v="0.78739999999999999"/>
    <n v="-2.0000000000000001E-4"/>
    <n v="0"/>
    <n v="-2.6800000000000001E-2"/>
    <n v="1.03E-2"/>
    <n v="-5.0000000000000001E-4"/>
    <n v="0"/>
    <n v="0"/>
    <n v="3"/>
    <n v="0.1"/>
    <n v="0"/>
    <n v="0"/>
    <n v="0"/>
    <n v="1716"/>
    <n v="0"/>
  </r>
  <r>
    <x v="1"/>
    <x v="0"/>
    <s v="SPX"/>
    <x v="9"/>
    <x v="384"/>
    <s v="p"/>
    <n v="0.1"/>
    <n v="0.1"/>
    <n v="0.1"/>
    <n v="0.1"/>
    <n v="5"/>
    <n v="0"/>
    <n v="0"/>
    <n v="5"/>
    <n v="0.1"/>
    <n v="0"/>
    <n v="0"/>
    <n v="0"/>
    <n v="0"/>
    <n v="0.77869999999999995"/>
    <n v="-2.0000000000000001E-4"/>
    <n v="0"/>
    <n v="-2.6800000000000001E-2"/>
    <n v="1.04E-2"/>
    <n v="-5.0000000000000001E-4"/>
    <n v="0"/>
    <n v="0"/>
    <n v="5"/>
    <n v="0.1"/>
    <n v="0"/>
    <n v="0"/>
    <n v="0.1"/>
    <n v="2884"/>
    <n v="0"/>
  </r>
  <r>
    <x v="1"/>
    <x v="0"/>
    <s v="SPX"/>
    <x v="9"/>
    <x v="385"/>
    <s v="p"/>
    <n v="0.1"/>
    <n v="0.1"/>
    <n v="0.1"/>
    <n v="0.1"/>
    <n v="140"/>
    <n v="1"/>
    <n v="0.05"/>
    <n v="4"/>
    <n v="0.1"/>
    <n v="0"/>
    <n v="0"/>
    <n v="0"/>
    <n v="0"/>
    <n v="0.79159999999999997"/>
    <n v="-2.9999999999999997E-4"/>
    <n v="0"/>
    <n v="-3.8800000000000001E-2"/>
    <n v="1.4500000000000001E-2"/>
    <n v="-6.9999999999999999E-4"/>
    <n v="1"/>
    <n v="0.05"/>
    <n v="4"/>
    <n v="0.1"/>
    <n v="0"/>
    <n v="0"/>
    <n v="0.1"/>
    <n v="1594"/>
    <n v="0"/>
  </r>
  <r>
    <x v="1"/>
    <x v="0"/>
    <s v="SPX"/>
    <x v="9"/>
    <x v="10"/>
    <s v="p"/>
    <n v="0.1"/>
    <n v="0.1"/>
    <n v="0.1"/>
    <n v="0.1"/>
    <n v="24"/>
    <n v="0"/>
    <n v="0"/>
    <n v="3"/>
    <n v="0.1"/>
    <n v="0"/>
    <n v="0"/>
    <n v="0"/>
    <n v="0"/>
    <n v="0.76119999999999999"/>
    <n v="-2.0000000000000001E-4"/>
    <n v="0"/>
    <n v="-2.6700000000000002E-2"/>
    <n v="1.06E-2"/>
    <n v="-5.0000000000000001E-4"/>
    <n v="0"/>
    <n v="0"/>
    <n v="3"/>
    <n v="0.1"/>
    <n v="0"/>
    <n v="0"/>
    <n v="0.1"/>
    <n v="4956"/>
    <n v="0"/>
  </r>
  <r>
    <x v="1"/>
    <x v="0"/>
    <s v="SPX"/>
    <x v="9"/>
    <x v="386"/>
    <s v="p"/>
    <n v="0"/>
    <n v="0"/>
    <n v="0"/>
    <n v="0"/>
    <n v="0"/>
    <n v="0"/>
    <n v="0"/>
    <n v="664"/>
    <n v="0.15"/>
    <n v="0"/>
    <n v="0"/>
    <n v="0"/>
    <n v="0"/>
    <n v="0.77339999999999998"/>
    <n v="-2.9999999999999997E-4"/>
    <n v="0"/>
    <n v="-3.8800000000000001E-2"/>
    <n v="1.4800000000000001E-2"/>
    <n v="-6.9999999999999999E-4"/>
    <n v="0"/>
    <n v="0"/>
    <n v="628"/>
    <n v="0.2"/>
    <n v="0"/>
    <n v="0"/>
    <n v="0"/>
    <n v="1366"/>
    <n v="0"/>
  </r>
  <r>
    <x v="1"/>
    <x v="0"/>
    <s v="SPX"/>
    <x v="9"/>
    <x v="387"/>
    <s v="p"/>
    <n v="0.15"/>
    <n v="0.15"/>
    <n v="0.05"/>
    <n v="0.15"/>
    <n v="210"/>
    <n v="0"/>
    <n v="0"/>
    <n v="613"/>
    <n v="0.15"/>
    <n v="0"/>
    <n v="0"/>
    <n v="0"/>
    <n v="0"/>
    <n v="0.76470000000000005"/>
    <n v="-2.9999999999999997E-4"/>
    <n v="0"/>
    <n v="-3.8699999999999998E-2"/>
    <n v="1.4999999999999999E-2"/>
    <n v="-6.9999999999999999E-4"/>
    <n v="0"/>
    <n v="0"/>
    <n v="572"/>
    <n v="0.2"/>
    <n v="0"/>
    <n v="0"/>
    <n v="0.1012"/>
    <n v="9953"/>
    <n v="0"/>
  </r>
  <r>
    <x v="1"/>
    <x v="0"/>
    <s v="SPX"/>
    <x v="9"/>
    <x v="388"/>
    <s v="p"/>
    <n v="0.15"/>
    <n v="0.15"/>
    <n v="0.15"/>
    <n v="0.15"/>
    <n v="21"/>
    <n v="0"/>
    <n v="0"/>
    <n v="459"/>
    <n v="0.15"/>
    <n v="0"/>
    <n v="0"/>
    <n v="0"/>
    <n v="0"/>
    <n v="0.75560000000000005"/>
    <n v="-2.9999999999999997E-4"/>
    <n v="0"/>
    <n v="-3.8699999999999998E-2"/>
    <n v="1.52E-2"/>
    <n v="-6.9999999999999999E-4"/>
    <n v="0"/>
    <n v="0"/>
    <n v="552"/>
    <n v="0.2"/>
    <n v="0"/>
    <n v="0"/>
    <n v="0.15"/>
    <n v="1874"/>
    <n v="0"/>
  </r>
  <r>
    <x v="1"/>
    <x v="0"/>
    <s v="SPX"/>
    <x v="9"/>
    <x v="389"/>
    <s v="p"/>
    <n v="0.15"/>
    <n v="0.15"/>
    <n v="0.15"/>
    <n v="0.15"/>
    <n v="18"/>
    <n v="417"/>
    <n v="0.05"/>
    <n v="412"/>
    <n v="0.15"/>
    <n v="0"/>
    <n v="0"/>
    <n v="0"/>
    <n v="0"/>
    <n v="0.76270000000000004"/>
    <n v="-4.0000000000000002E-4"/>
    <n v="0"/>
    <n v="-5.0299999999999997E-2"/>
    <n v="1.9300000000000001E-2"/>
    <n v="-8.9999999999999998E-4"/>
    <n v="0"/>
    <n v="0"/>
    <n v="556"/>
    <n v="0.2"/>
    <n v="0"/>
    <n v="0"/>
    <n v="0.15"/>
    <n v="4830"/>
    <n v="0"/>
  </r>
  <r>
    <x v="1"/>
    <x v="0"/>
    <s v="SPX"/>
    <x v="9"/>
    <x v="390"/>
    <s v="p"/>
    <n v="0.15"/>
    <n v="0.15"/>
    <n v="0.15"/>
    <n v="0.15"/>
    <n v="11"/>
    <n v="409"/>
    <n v="0.05"/>
    <n v="3"/>
    <n v="0.15"/>
    <n v="0"/>
    <n v="0"/>
    <n v="0"/>
    <n v="0"/>
    <n v="0.75370000000000004"/>
    <n v="-4.0000000000000002E-4"/>
    <n v="0"/>
    <n v="-5.0299999999999997E-2"/>
    <n v="1.95E-2"/>
    <n v="-8.9999999999999998E-4"/>
    <n v="0"/>
    <n v="0"/>
    <n v="3"/>
    <n v="0.15"/>
    <n v="0"/>
    <n v="0"/>
    <n v="0.15"/>
    <n v="1570"/>
    <n v="0"/>
  </r>
  <r>
    <x v="1"/>
    <x v="0"/>
    <s v="SPX"/>
    <x v="9"/>
    <x v="391"/>
    <s v="p"/>
    <n v="0.15"/>
    <n v="0.15"/>
    <n v="0.05"/>
    <n v="0.05"/>
    <n v="90"/>
    <n v="586"/>
    <n v="0.05"/>
    <n v="50"/>
    <n v="0.1"/>
    <n v="0"/>
    <n v="0"/>
    <n v="0"/>
    <n v="0"/>
    <n v="0.72940000000000005"/>
    <n v="-2.9999999999999997E-4"/>
    <n v="0"/>
    <n v="-3.8600000000000002E-2"/>
    <n v="1.5699999999999999E-2"/>
    <n v="-6.9999999999999999E-4"/>
    <n v="0"/>
    <n v="0"/>
    <n v="3"/>
    <n v="0.15"/>
    <n v="0"/>
    <n v="0"/>
    <n v="8.7800000000000003E-2"/>
    <n v="3044"/>
    <n v="0"/>
  </r>
  <r>
    <x v="1"/>
    <x v="0"/>
    <s v="SPX"/>
    <x v="9"/>
    <x v="392"/>
    <s v="p"/>
    <n v="0.15"/>
    <n v="0.15"/>
    <n v="0.15"/>
    <n v="0.15"/>
    <n v="24"/>
    <n v="587"/>
    <n v="0.05"/>
    <n v="378"/>
    <n v="0.15"/>
    <n v="0"/>
    <n v="0"/>
    <n v="0"/>
    <n v="0"/>
    <n v="0.73619999999999997"/>
    <n v="-4.0000000000000002E-4"/>
    <n v="0"/>
    <n v="-5.0200000000000002E-2"/>
    <n v="1.9900000000000001E-2"/>
    <n v="-8.9999999999999998E-4"/>
    <n v="0"/>
    <n v="0"/>
    <n v="7"/>
    <n v="0.15"/>
    <n v="0"/>
    <n v="0"/>
    <n v="0.15"/>
    <n v="3203"/>
    <n v="0"/>
  </r>
  <r>
    <x v="1"/>
    <x v="0"/>
    <s v="SPX"/>
    <x v="9"/>
    <x v="11"/>
    <s v="p"/>
    <n v="0.1"/>
    <n v="0.2"/>
    <n v="0.1"/>
    <n v="0.15"/>
    <n v="110"/>
    <n v="849"/>
    <n v="0.05"/>
    <n v="110"/>
    <n v="0.15"/>
    <n v="0"/>
    <n v="0"/>
    <n v="0"/>
    <n v="0"/>
    <n v="0.72709999999999997"/>
    <n v="-5.0000000000000001E-4"/>
    <n v="0"/>
    <n v="-5.0099999999999999E-2"/>
    <n v="2.0199999999999999E-2"/>
    <n v="-8.9999999999999998E-4"/>
    <n v="0"/>
    <n v="0"/>
    <n v="2"/>
    <n v="0.15"/>
    <n v="0"/>
    <n v="0"/>
    <n v="0.15049999999999999"/>
    <n v="5469"/>
    <n v="0"/>
  </r>
  <r>
    <x v="1"/>
    <x v="0"/>
    <s v="SPX"/>
    <x v="9"/>
    <x v="393"/>
    <s v="p"/>
    <n v="0.15"/>
    <n v="0.15"/>
    <n v="0.1"/>
    <n v="0.1"/>
    <n v="48"/>
    <n v="3"/>
    <n v="0.1"/>
    <n v="89"/>
    <n v="0.15"/>
    <n v="0"/>
    <n v="0"/>
    <n v="0"/>
    <n v="0"/>
    <n v="0.73050000000000004"/>
    <n v="-5.9999999999999995E-4"/>
    <n v="0"/>
    <n v="-6.1400000000000003E-2"/>
    <n v="2.4299999999999999E-2"/>
    <n v="-1.1000000000000001E-3"/>
    <n v="0"/>
    <n v="0"/>
    <n v="1"/>
    <n v="0.15"/>
    <n v="0"/>
    <n v="0"/>
    <n v="0.1469"/>
    <n v="919"/>
    <n v="0"/>
  </r>
  <r>
    <x v="1"/>
    <x v="0"/>
    <s v="SPX"/>
    <x v="9"/>
    <x v="394"/>
    <s v="p"/>
    <n v="0"/>
    <n v="0"/>
    <n v="0"/>
    <n v="0"/>
    <n v="0"/>
    <n v="1041"/>
    <n v="0.05"/>
    <n v="1191"/>
    <n v="0.2"/>
    <n v="0"/>
    <n v="0"/>
    <n v="0"/>
    <n v="0"/>
    <n v="0.72170000000000001"/>
    <n v="-5.9999999999999995E-4"/>
    <n v="0"/>
    <n v="-6.13E-2"/>
    <n v="2.46E-2"/>
    <n v="-1.1999999999999999E-3"/>
    <n v="20"/>
    <n v="0.05"/>
    <n v="1"/>
    <n v="0.15"/>
    <n v="0"/>
    <n v="0"/>
    <n v="0"/>
    <n v="1807"/>
    <n v="0"/>
  </r>
  <r>
    <x v="1"/>
    <x v="0"/>
    <s v="SPX"/>
    <x v="9"/>
    <x v="395"/>
    <s v="p"/>
    <n v="0"/>
    <n v="0"/>
    <n v="0"/>
    <n v="0"/>
    <n v="0"/>
    <n v="1185"/>
    <n v="0.05"/>
    <n v="1168"/>
    <n v="0.2"/>
    <n v="0"/>
    <n v="0"/>
    <n v="0"/>
    <n v="0"/>
    <n v="0.71299999999999997"/>
    <n v="-5.9999999999999995E-4"/>
    <n v="0"/>
    <n v="-6.13E-2"/>
    <n v="2.4799999999999999E-2"/>
    <n v="-1.1999999999999999E-3"/>
    <n v="20"/>
    <n v="0.05"/>
    <n v="1"/>
    <n v="0.15"/>
    <n v="0"/>
    <n v="0"/>
    <n v="0"/>
    <n v="2638"/>
    <n v="0"/>
  </r>
  <r>
    <x v="1"/>
    <x v="0"/>
    <s v="SPX"/>
    <x v="9"/>
    <x v="287"/>
    <s v="p"/>
    <n v="0.15"/>
    <n v="0.15"/>
    <n v="0.1"/>
    <n v="0.1"/>
    <n v="77"/>
    <n v="1248"/>
    <n v="0.05"/>
    <n v="160"/>
    <n v="0.15"/>
    <n v="0"/>
    <n v="0"/>
    <n v="0"/>
    <n v="0"/>
    <n v="0.69240000000000002"/>
    <n v="-5.0000000000000001E-4"/>
    <n v="0"/>
    <n v="-0.05"/>
    <n v="2.1100000000000001E-2"/>
    <n v="-1E-3"/>
    <n v="20"/>
    <n v="0.05"/>
    <n v="246"/>
    <n v="0.2"/>
    <n v="0"/>
    <n v="0"/>
    <n v="0.1019"/>
    <n v="4724"/>
    <n v="0"/>
  </r>
  <r>
    <x v="1"/>
    <x v="0"/>
    <s v="SPX"/>
    <x v="9"/>
    <x v="396"/>
    <s v="p"/>
    <n v="0"/>
    <n v="0"/>
    <n v="0"/>
    <n v="0"/>
    <n v="0"/>
    <n v="1285"/>
    <n v="0.05"/>
    <n v="615"/>
    <n v="0.2"/>
    <n v="0"/>
    <n v="0"/>
    <n v="0"/>
    <n v="0"/>
    <n v="0.69530000000000003"/>
    <n v="-5.9999999999999995E-4"/>
    <n v="0"/>
    <n v="-6.1100000000000002E-2"/>
    <n v="2.5399999999999999E-2"/>
    <n v="-1.1999999999999999E-3"/>
    <n v="20"/>
    <n v="0.05"/>
    <n v="595"/>
    <n v="0.25"/>
    <n v="0"/>
    <n v="0"/>
    <n v="0"/>
    <n v="2848"/>
    <n v="0"/>
  </r>
  <r>
    <x v="1"/>
    <x v="0"/>
    <s v="SPX"/>
    <x v="9"/>
    <x v="288"/>
    <s v="p"/>
    <n v="0.22"/>
    <n v="0.22"/>
    <n v="0.22"/>
    <n v="0.22"/>
    <n v="5"/>
    <n v="1369"/>
    <n v="0.05"/>
    <n v="572"/>
    <n v="0.2"/>
    <n v="0"/>
    <n v="0"/>
    <n v="0"/>
    <n v="0"/>
    <n v="0.68679999999999997"/>
    <n v="-5.9999999999999995E-4"/>
    <n v="0"/>
    <n v="-6.1100000000000002E-2"/>
    <n v="2.5700000000000001E-2"/>
    <n v="-1.1999999999999999E-3"/>
    <n v="20"/>
    <n v="0.05"/>
    <n v="578"/>
    <n v="0.25"/>
    <n v="0"/>
    <n v="0"/>
    <n v="0.22"/>
    <n v="3506"/>
    <n v="0"/>
  </r>
  <r>
    <x v="1"/>
    <x v="0"/>
    <s v="SPX"/>
    <x v="9"/>
    <x v="397"/>
    <s v="p"/>
    <n v="0"/>
    <n v="0"/>
    <n v="0"/>
    <n v="0"/>
    <n v="0"/>
    <n v="1400"/>
    <n v="0.05"/>
    <n v="595"/>
    <n v="0.2"/>
    <n v="0"/>
    <n v="0"/>
    <n v="0"/>
    <n v="0"/>
    <n v="0.67789999999999995"/>
    <n v="-5.9999999999999995E-4"/>
    <n v="0"/>
    <n v="-6.0999999999999999E-2"/>
    <n v="2.6100000000000002E-2"/>
    <n v="-1.1999999999999999E-3"/>
    <n v="262"/>
    <n v="0.05"/>
    <n v="561"/>
    <n v="0.25"/>
    <n v="0"/>
    <n v="0"/>
    <n v="0"/>
    <n v="2097"/>
    <n v="0"/>
  </r>
  <r>
    <x v="1"/>
    <x v="0"/>
    <s v="SPX"/>
    <x v="9"/>
    <x v="12"/>
    <s v="p"/>
    <n v="0.15"/>
    <n v="0.2"/>
    <n v="0.12"/>
    <n v="0.15"/>
    <n v="1743"/>
    <n v="41"/>
    <n v="0.1"/>
    <n v="50"/>
    <n v="0.15"/>
    <n v="0"/>
    <n v="0"/>
    <n v="0"/>
    <n v="0"/>
    <n v="0.66930000000000001"/>
    <n v="-5.9999999999999995E-4"/>
    <n v="0"/>
    <n v="-6.0999999999999999E-2"/>
    <n v="2.64E-2"/>
    <n v="-1.1999999999999999E-3"/>
    <n v="10"/>
    <n v="0.1"/>
    <n v="548"/>
    <n v="0.25"/>
    <n v="0"/>
    <n v="0"/>
    <n v="0.1704"/>
    <n v="16455"/>
    <n v="0"/>
  </r>
  <r>
    <x v="1"/>
    <x v="0"/>
    <s v="SPX"/>
    <x v="9"/>
    <x v="398"/>
    <s v="p"/>
    <n v="0"/>
    <n v="0"/>
    <n v="0"/>
    <n v="0"/>
    <n v="0"/>
    <n v="610"/>
    <n v="0.1"/>
    <n v="1164"/>
    <n v="0.25"/>
    <n v="0"/>
    <n v="0"/>
    <n v="0"/>
    <n v="0"/>
    <n v="0.67849999999999999"/>
    <n v="-8.0000000000000004E-4"/>
    <n v="0"/>
    <n v="-8.2600000000000007E-2"/>
    <n v="3.4599999999999999E-2"/>
    <n v="-1.6999999999999999E-3"/>
    <n v="345"/>
    <n v="0.05"/>
    <n v="634"/>
    <n v="0.25"/>
    <n v="0"/>
    <n v="0"/>
    <n v="0"/>
    <n v="1101"/>
    <n v="0"/>
  </r>
  <r>
    <x v="1"/>
    <x v="0"/>
    <s v="SPX"/>
    <x v="9"/>
    <x v="289"/>
    <s v="p"/>
    <n v="0.1"/>
    <n v="0.1"/>
    <n v="0.1"/>
    <n v="0.1"/>
    <n v="1"/>
    <n v="630"/>
    <n v="0.1"/>
    <n v="1128"/>
    <n v="0.25"/>
    <n v="0"/>
    <n v="0"/>
    <n v="0"/>
    <n v="0"/>
    <n v="0.66979999999999995"/>
    <n v="-8.0000000000000004E-4"/>
    <n v="0"/>
    <n v="-8.2500000000000004E-2"/>
    <n v="3.5000000000000003E-2"/>
    <n v="-1.6999999999999999E-3"/>
    <n v="343"/>
    <n v="0.05"/>
    <n v="442"/>
    <n v="0.25"/>
    <n v="0"/>
    <n v="0"/>
    <n v="0.1"/>
    <n v="3430"/>
    <n v="0"/>
  </r>
  <r>
    <x v="1"/>
    <x v="0"/>
    <s v="SPX"/>
    <x v="9"/>
    <x v="399"/>
    <s v="p"/>
    <n v="0.15"/>
    <n v="0.15"/>
    <n v="0.15"/>
    <n v="0.15"/>
    <n v="1"/>
    <n v="688"/>
    <n v="0.1"/>
    <n v="1070"/>
    <n v="0.25"/>
    <n v="0"/>
    <n v="0"/>
    <n v="0"/>
    <n v="0"/>
    <n v="0.6613"/>
    <n v="-8.0000000000000004E-4"/>
    <n v="0"/>
    <n v="-8.2400000000000001E-2"/>
    <n v="3.5499999999999997E-2"/>
    <n v="-1.6999999999999999E-3"/>
    <n v="357"/>
    <n v="0.05"/>
    <n v="339"/>
    <n v="0.25"/>
    <n v="0"/>
    <n v="0"/>
    <n v="0.15"/>
    <n v="1207"/>
    <n v="0"/>
  </r>
  <r>
    <x v="1"/>
    <x v="0"/>
    <s v="SPX"/>
    <x v="9"/>
    <x v="13"/>
    <s v="p"/>
    <n v="0.15"/>
    <n v="0.15"/>
    <n v="0.15"/>
    <n v="0.15"/>
    <n v="1"/>
    <n v="865"/>
    <n v="0.1"/>
    <n v="1003"/>
    <n v="0.25"/>
    <n v="0"/>
    <n v="0"/>
    <n v="0"/>
    <n v="0"/>
    <n v="0.65239999999999998"/>
    <n v="-8.0000000000000004E-4"/>
    <n v="0"/>
    <n v="-8.2299999999999998E-2"/>
    <n v="3.5900000000000001E-2"/>
    <n v="-1.6999999999999999E-3"/>
    <n v="350"/>
    <n v="0.05"/>
    <n v="313"/>
    <n v="0.25"/>
    <n v="0"/>
    <n v="0"/>
    <n v="0.15"/>
    <n v="6552"/>
    <n v="0"/>
  </r>
  <r>
    <x v="1"/>
    <x v="0"/>
    <s v="SPX"/>
    <x v="9"/>
    <x v="400"/>
    <s v="p"/>
    <n v="0.15"/>
    <n v="0.15"/>
    <n v="0.15"/>
    <n v="0.15"/>
    <n v="1"/>
    <n v="913"/>
    <n v="0.1"/>
    <n v="756"/>
    <n v="0.25"/>
    <n v="0"/>
    <n v="0"/>
    <n v="0"/>
    <n v="0"/>
    <n v="0.64400000000000002"/>
    <n v="-8.9999999999999998E-4"/>
    <n v="0"/>
    <n v="-8.2199999999999995E-2"/>
    <n v="3.6400000000000002E-2"/>
    <n v="-1.8E-3"/>
    <n v="352"/>
    <n v="0.05"/>
    <n v="313"/>
    <n v="0.25"/>
    <n v="0"/>
    <n v="0"/>
    <n v="0.15"/>
    <n v="1912"/>
    <n v="0"/>
  </r>
  <r>
    <x v="1"/>
    <x v="0"/>
    <s v="SPX"/>
    <x v="9"/>
    <x v="290"/>
    <s v="p"/>
    <n v="0.15"/>
    <n v="0.15"/>
    <n v="0.15"/>
    <n v="0.15"/>
    <n v="1"/>
    <n v="945"/>
    <n v="0.1"/>
    <n v="606"/>
    <n v="0.25"/>
    <n v="0"/>
    <n v="0"/>
    <n v="0"/>
    <n v="0"/>
    <n v="0.63539999999999996"/>
    <n v="-8.9999999999999998E-4"/>
    <n v="0"/>
    <n v="-8.2100000000000006E-2"/>
    <n v="3.6900000000000002E-2"/>
    <n v="-1.8E-3"/>
    <n v="364"/>
    <n v="0.05"/>
    <n v="255"/>
    <n v="0.25"/>
    <n v="0"/>
    <n v="0"/>
    <n v="0.15"/>
    <n v="3541"/>
    <n v="0"/>
  </r>
  <r>
    <x v="1"/>
    <x v="0"/>
    <s v="SPX"/>
    <x v="9"/>
    <x v="401"/>
    <s v="p"/>
    <n v="0.15"/>
    <n v="0.15"/>
    <n v="0.15"/>
    <n v="0.15"/>
    <n v="1"/>
    <n v="950"/>
    <n v="0.1"/>
    <n v="560"/>
    <n v="0.25"/>
    <n v="0"/>
    <n v="0"/>
    <n v="0"/>
    <n v="0"/>
    <n v="0.62690000000000001"/>
    <n v="-8.9999999999999998E-4"/>
    <n v="0"/>
    <n v="-8.2000000000000003E-2"/>
    <n v="3.73E-2"/>
    <n v="-1.8E-3"/>
    <n v="157"/>
    <n v="0.1"/>
    <n v="642"/>
    <n v="0.3"/>
    <n v="0"/>
    <n v="0"/>
    <n v="0.15"/>
    <n v="1534"/>
    <n v="0"/>
  </r>
  <r>
    <x v="1"/>
    <x v="0"/>
    <s v="SPX"/>
    <x v="9"/>
    <x v="14"/>
    <s v="p"/>
    <n v="0.17"/>
    <n v="0.2"/>
    <n v="0.15"/>
    <n v="0.15"/>
    <n v="23"/>
    <n v="988"/>
    <n v="0.1"/>
    <n v="491"/>
    <n v="0.25"/>
    <n v="0"/>
    <n v="0"/>
    <n v="0"/>
    <n v="0"/>
    <n v="0.6179"/>
    <n v="-8.9999999999999998E-4"/>
    <n v="0"/>
    <n v="-8.2000000000000003E-2"/>
    <n v="3.7900000000000003E-2"/>
    <n v="-1.8E-3"/>
    <n v="340"/>
    <n v="0.1"/>
    <n v="593"/>
    <n v="0.3"/>
    <n v="0"/>
    <n v="0"/>
    <n v="0.19520000000000001"/>
    <n v="9411"/>
    <n v="0"/>
  </r>
  <r>
    <x v="1"/>
    <x v="0"/>
    <s v="SPX"/>
    <x v="9"/>
    <x v="402"/>
    <s v="p"/>
    <n v="0.15"/>
    <n v="0.2"/>
    <n v="0.15"/>
    <n v="0.2"/>
    <n v="2"/>
    <n v="612"/>
    <n v="0.15"/>
    <n v="1153"/>
    <n v="0.3"/>
    <n v="0"/>
    <n v="0"/>
    <n v="0"/>
    <n v="0"/>
    <n v="0.62260000000000004"/>
    <n v="-1.1000000000000001E-3"/>
    <n v="0"/>
    <n v="-0.1026"/>
    <n v="4.6399999999999997E-2"/>
    <n v="-2.3E-3"/>
    <n v="346"/>
    <n v="0.1"/>
    <n v="570"/>
    <n v="0.3"/>
    <n v="0"/>
    <n v="0"/>
    <n v="0.17499999999999999"/>
    <n v="1195"/>
    <n v="0"/>
  </r>
  <r>
    <x v="1"/>
    <x v="0"/>
    <s v="SPX"/>
    <x v="9"/>
    <x v="403"/>
    <s v="p"/>
    <n v="0"/>
    <n v="0"/>
    <n v="0"/>
    <n v="0"/>
    <n v="0"/>
    <n v="351"/>
    <n v="0.15"/>
    <n v="817"/>
    <n v="0.3"/>
    <n v="0"/>
    <n v="0"/>
    <n v="0"/>
    <n v="0"/>
    <n v="0.62090000000000001"/>
    <n v="-1.1000000000000001E-3"/>
    <n v="0"/>
    <n v="-0.1026"/>
    <n v="4.65E-2"/>
    <n v="-2.3E-3"/>
    <n v="350"/>
    <n v="0.1"/>
    <n v="564"/>
    <n v="0.3"/>
    <n v="0"/>
    <n v="0"/>
    <n v="0"/>
    <n v="263"/>
    <n v="0"/>
  </r>
  <r>
    <x v="1"/>
    <x v="0"/>
    <s v="SPX"/>
    <x v="9"/>
    <x v="404"/>
    <s v="p"/>
    <n v="0"/>
    <n v="0"/>
    <n v="0"/>
    <n v="0"/>
    <n v="0"/>
    <n v="401"/>
    <n v="0.15"/>
    <n v="811"/>
    <n v="0.3"/>
    <n v="0"/>
    <n v="0"/>
    <n v="0"/>
    <n v="0"/>
    <n v="0.61739999999999995"/>
    <n v="-1.1000000000000001E-3"/>
    <n v="0"/>
    <n v="-0.10249999999999999"/>
    <n v="4.6800000000000001E-2"/>
    <n v="-2.3E-3"/>
    <n v="350"/>
    <n v="0.1"/>
    <n v="316"/>
    <n v="0.3"/>
    <n v="0"/>
    <n v="0"/>
    <n v="0"/>
    <n v="325"/>
    <n v="0"/>
  </r>
  <r>
    <x v="1"/>
    <x v="0"/>
    <s v="SPX"/>
    <x v="9"/>
    <x v="291"/>
    <s v="p"/>
    <n v="0.25"/>
    <n v="0.25"/>
    <n v="0.2"/>
    <n v="0.2"/>
    <n v="11"/>
    <n v="741"/>
    <n v="0.15"/>
    <n v="1069"/>
    <n v="0.3"/>
    <n v="0"/>
    <n v="0"/>
    <n v="0"/>
    <n v="0"/>
    <n v="0.61399999999999999"/>
    <n v="-1.1000000000000001E-3"/>
    <n v="0"/>
    <n v="-0.10249999999999999"/>
    <n v="4.7E-2"/>
    <n v="-2.3E-3"/>
    <n v="349"/>
    <n v="0.1"/>
    <n v="311"/>
    <n v="0.3"/>
    <n v="0"/>
    <n v="0"/>
    <n v="0.2455"/>
    <n v="5909"/>
    <n v="0"/>
  </r>
  <r>
    <x v="1"/>
    <x v="0"/>
    <s v="SPX"/>
    <x v="9"/>
    <x v="405"/>
    <s v="p"/>
    <n v="0"/>
    <n v="0"/>
    <n v="0"/>
    <n v="0"/>
    <n v="0"/>
    <n v="482"/>
    <n v="0.15"/>
    <n v="723"/>
    <n v="0.3"/>
    <n v="0"/>
    <n v="0"/>
    <n v="0"/>
    <n v="0"/>
    <n v="0.61040000000000005"/>
    <n v="-1.1000000000000001E-3"/>
    <n v="0"/>
    <n v="-0.1024"/>
    <n v="4.7199999999999999E-2"/>
    <n v="-2.3E-3"/>
    <n v="346"/>
    <n v="0.1"/>
    <n v="271"/>
    <n v="0.3"/>
    <n v="0"/>
    <n v="0"/>
    <n v="0"/>
    <n v="329"/>
    <n v="0"/>
  </r>
  <r>
    <x v="1"/>
    <x v="0"/>
    <s v="SPX"/>
    <x v="9"/>
    <x v="406"/>
    <s v="p"/>
    <n v="0"/>
    <n v="0"/>
    <n v="0"/>
    <n v="0"/>
    <n v="0"/>
    <n v="490"/>
    <n v="0.15"/>
    <n v="681"/>
    <n v="0.3"/>
    <n v="0"/>
    <n v="0"/>
    <n v="0"/>
    <n v="0"/>
    <n v="0.60719999999999996"/>
    <n v="-1.1000000000000001E-3"/>
    <n v="0"/>
    <n v="-0.1024"/>
    <n v="4.7500000000000001E-2"/>
    <n v="-2.3E-3"/>
    <n v="347"/>
    <n v="0.1"/>
    <n v="271"/>
    <n v="0.3"/>
    <n v="0"/>
    <n v="0"/>
    <n v="0"/>
    <n v="435"/>
    <n v="0"/>
  </r>
  <r>
    <x v="1"/>
    <x v="0"/>
    <s v="SPX"/>
    <x v="9"/>
    <x v="407"/>
    <s v="p"/>
    <n v="0.2"/>
    <n v="0.2"/>
    <n v="0.2"/>
    <n v="0.2"/>
    <n v="1"/>
    <n v="485"/>
    <n v="0.15"/>
    <n v="679"/>
    <n v="0.3"/>
    <n v="0"/>
    <n v="0"/>
    <n v="0"/>
    <n v="0"/>
    <n v="0.60550000000000004"/>
    <n v="-1.1000000000000001E-3"/>
    <n v="0"/>
    <n v="-0.1024"/>
    <n v="4.7600000000000003E-2"/>
    <n v="-2.3E-3"/>
    <n v="348"/>
    <n v="0.1"/>
    <n v="212"/>
    <n v="0.3"/>
    <n v="0"/>
    <n v="0"/>
    <n v="0.2"/>
    <n v="669"/>
    <n v="0"/>
  </r>
  <r>
    <x v="1"/>
    <x v="0"/>
    <s v="SPX"/>
    <x v="9"/>
    <x v="408"/>
    <s v="p"/>
    <n v="0.2"/>
    <n v="0.2"/>
    <n v="0.2"/>
    <n v="0.2"/>
    <n v="1"/>
    <n v="495"/>
    <n v="0.15"/>
    <n v="698"/>
    <n v="0.3"/>
    <n v="0"/>
    <n v="0"/>
    <n v="0"/>
    <n v="0"/>
    <n v="0.6038"/>
    <n v="-1.1000000000000001E-3"/>
    <n v="0"/>
    <n v="-0.1023"/>
    <n v="4.7699999999999999E-2"/>
    <n v="-2.3999999999999998E-3"/>
    <n v="349"/>
    <n v="0.1"/>
    <n v="211"/>
    <n v="0.3"/>
    <n v="0"/>
    <n v="0"/>
    <n v="0.2"/>
    <n v="244"/>
    <n v="0"/>
  </r>
  <r>
    <x v="1"/>
    <x v="0"/>
    <s v="SPX"/>
    <x v="9"/>
    <x v="409"/>
    <s v="p"/>
    <n v="0"/>
    <n v="0"/>
    <n v="0"/>
    <n v="0"/>
    <n v="0"/>
    <n v="506"/>
    <n v="0.15"/>
    <n v="405"/>
    <n v="0.3"/>
    <n v="0"/>
    <n v="0"/>
    <n v="0"/>
    <n v="0"/>
    <n v="0.60040000000000004"/>
    <n v="-1.1000000000000001E-3"/>
    <n v="0"/>
    <n v="-0.1023"/>
    <n v="4.8000000000000001E-2"/>
    <n v="-2.3999999999999998E-3"/>
    <n v="355"/>
    <n v="0.1"/>
    <n v="624"/>
    <n v="0.35"/>
    <n v="0"/>
    <n v="0"/>
    <n v="0"/>
    <n v="367"/>
    <n v="0"/>
  </r>
  <r>
    <x v="1"/>
    <x v="0"/>
    <s v="SPX"/>
    <x v="9"/>
    <x v="15"/>
    <s v="p"/>
    <n v="0.2"/>
    <n v="0.22"/>
    <n v="0.2"/>
    <n v="0.22"/>
    <n v="16"/>
    <n v="969"/>
    <n v="0.15"/>
    <n v="531"/>
    <n v="0.3"/>
    <n v="0"/>
    <n v="0"/>
    <n v="0"/>
    <n v="0"/>
    <n v="0.59699999999999998"/>
    <n v="-1.1999999999999999E-3"/>
    <n v="0"/>
    <n v="-0.1022"/>
    <n v="4.82E-2"/>
    <n v="-2.3999999999999998E-3"/>
    <n v="362"/>
    <n v="0.1"/>
    <n v="621"/>
    <n v="0.35"/>
    <n v="0"/>
    <n v="0"/>
    <n v="0.21879999999999999"/>
    <n v="7522"/>
    <n v="0"/>
  </r>
  <r>
    <x v="1"/>
    <x v="0"/>
    <s v="SPX"/>
    <x v="9"/>
    <x v="410"/>
    <s v="p"/>
    <n v="0"/>
    <n v="0"/>
    <n v="0"/>
    <n v="0"/>
    <n v="0"/>
    <n v="521"/>
    <n v="0.15"/>
    <n v="338"/>
    <n v="0.3"/>
    <n v="0"/>
    <n v="0"/>
    <n v="0"/>
    <n v="0"/>
    <n v="0.59319999999999995"/>
    <n v="-1.1999999999999999E-3"/>
    <n v="0"/>
    <n v="-0.1022"/>
    <n v="4.8500000000000001E-2"/>
    <n v="-2.3999999999999998E-3"/>
    <n v="367"/>
    <n v="0.1"/>
    <n v="627"/>
    <n v="0.35"/>
    <n v="0"/>
    <n v="0"/>
    <n v="0"/>
    <n v="437"/>
    <n v="0"/>
  </r>
  <r>
    <x v="1"/>
    <x v="0"/>
    <s v="SPX"/>
    <x v="9"/>
    <x v="411"/>
    <s v="p"/>
    <n v="0"/>
    <n v="0"/>
    <n v="0"/>
    <n v="0"/>
    <n v="0"/>
    <n v="526"/>
    <n v="0.15"/>
    <n v="296"/>
    <n v="0.3"/>
    <n v="0"/>
    <n v="0"/>
    <n v="0"/>
    <n v="0"/>
    <n v="0.58979999999999999"/>
    <n v="-1.1999999999999999E-3"/>
    <n v="0"/>
    <n v="-0.1021"/>
    <n v="4.8800000000000003E-2"/>
    <n v="-2.3999999999999998E-3"/>
    <n v="367"/>
    <n v="0.1"/>
    <n v="613"/>
    <n v="0.35"/>
    <n v="0"/>
    <n v="0"/>
    <n v="0"/>
    <n v="274"/>
    <n v="0"/>
  </r>
  <r>
    <x v="1"/>
    <x v="0"/>
    <s v="SPX"/>
    <x v="9"/>
    <x v="412"/>
    <s v="p"/>
    <n v="0.2"/>
    <n v="0.2"/>
    <n v="0.2"/>
    <n v="0.2"/>
    <n v="1"/>
    <n v="983"/>
    <n v="0.15"/>
    <n v="438"/>
    <n v="0.3"/>
    <n v="0"/>
    <n v="0"/>
    <n v="0"/>
    <n v="0"/>
    <n v="0.58850000000000002"/>
    <n v="-1.1999999999999999E-3"/>
    <n v="0"/>
    <n v="-0.1021"/>
    <n v="4.8899999999999999E-2"/>
    <n v="-2.3999999999999998E-3"/>
    <n v="371"/>
    <n v="0.1"/>
    <n v="604"/>
    <n v="0.35"/>
    <n v="0"/>
    <n v="0"/>
    <n v="0.2"/>
    <n v="1399"/>
    <n v="0"/>
  </r>
  <r>
    <x v="1"/>
    <x v="0"/>
    <s v="SPX"/>
    <x v="9"/>
    <x v="413"/>
    <s v="p"/>
    <n v="0"/>
    <n v="0"/>
    <n v="0"/>
    <n v="0"/>
    <n v="0"/>
    <n v="964"/>
    <n v="0.15"/>
    <n v="436"/>
    <n v="0.3"/>
    <n v="0"/>
    <n v="0"/>
    <n v="0"/>
    <n v="0"/>
    <n v="0.58640000000000003"/>
    <n v="-1.1999999999999999E-3"/>
    <n v="0"/>
    <n v="-0.1021"/>
    <n v="4.9000000000000002E-2"/>
    <n v="-2.3999999999999998E-3"/>
    <n v="370"/>
    <n v="0.1"/>
    <n v="594"/>
    <n v="0.35"/>
    <n v="0"/>
    <n v="0"/>
    <n v="0"/>
    <n v="840"/>
    <n v="0"/>
  </r>
  <r>
    <x v="1"/>
    <x v="0"/>
    <s v="SPX"/>
    <x v="9"/>
    <x v="414"/>
    <s v="p"/>
    <n v="0"/>
    <n v="0"/>
    <n v="0"/>
    <n v="0"/>
    <n v="0"/>
    <n v="552"/>
    <n v="0.15"/>
    <n v="833"/>
    <n v="0.35"/>
    <n v="0"/>
    <n v="0"/>
    <n v="0"/>
    <n v="0"/>
    <n v="0.58809999999999996"/>
    <n v="-1.2999999999999999E-3"/>
    <n v="0"/>
    <n v="-0.11210000000000001"/>
    <n v="5.3400000000000003E-2"/>
    <n v="-2.7000000000000001E-3"/>
    <n v="301"/>
    <n v="0.15"/>
    <n v="557"/>
    <n v="0.35"/>
    <n v="0"/>
    <n v="0"/>
    <n v="0"/>
    <n v="348"/>
    <n v="0"/>
  </r>
  <r>
    <x v="1"/>
    <x v="0"/>
    <s v="SPX"/>
    <x v="9"/>
    <x v="292"/>
    <s v="p"/>
    <n v="0.3"/>
    <n v="0.3"/>
    <n v="0.25"/>
    <n v="0.25"/>
    <n v="11"/>
    <n v="606"/>
    <n v="0.2"/>
    <n v="1085"/>
    <n v="0.35"/>
    <n v="0"/>
    <n v="0"/>
    <n v="0"/>
    <n v="0"/>
    <n v="0.58989999999999998"/>
    <n v="-1.4E-3"/>
    <n v="0"/>
    <n v="-0.122"/>
    <n v="5.7599999999999998E-2"/>
    <n v="-2.8999999999999998E-3"/>
    <n v="293"/>
    <n v="0.15"/>
    <n v="500"/>
    <n v="0.35"/>
    <n v="0"/>
    <n v="0"/>
    <n v="0.29549999999999998"/>
    <n v="3760"/>
    <n v="0"/>
  </r>
  <r>
    <x v="1"/>
    <x v="0"/>
    <s v="SPX"/>
    <x v="9"/>
    <x v="415"/>
    <s v="p"/>
    <n v="0"/>
    <n v="0"/>
    <n v="0"/>
    <n v="0"/>
    <n v="0"/>
    <n v="355"/>
    <n v="0.2"/>
    <n v="749"/>
    <n v="0.35"/>
    <n v="0"/>
    <n v="0"/>
    <n v="0"/>
    <n v="0"/>
    <n v="0.58640000000000003"/>
    <n v="-1.4E-3"/>
    <n v="0"/>
    <n v="-0.122"/>
    <n v="5.79E-2"/>
    <n v="-2.8999999999999998E-3"/>
    <n v="309"/>
    <n v="0.15"/>
    <n v="377"/>
    <n v="0.35"/>
    <n v="0"/>
    <n v="0"/>
    <n v="0"/>
    <n v="442"/>
    <n v="0"/>
  </r>
  <r>
    <x v="1"/>
    <x v="0"/>
    <s v="SPX"/>
    <x v="9"/>
    <x v="416"/>
    <s v="p"/>
    <n v="0"/>
    <n v="0"/>
    <n v="0"/>
    <n v="0"/>
    <n v="0"/>
    <n v="438"/>
    <n v="0.2"/>
    <n v="720"/>
    <n v="0.35"/>
    <n v="0"/>
    <n v="0"/>
    <n v="0"/>
    <n v="0"/>
    <n v="0.58299999999999996"/>
    <n v="-1.4E-3"/>
    <n v="0"/>
    <n v="-0.12189999999999999"/>
    <n v="5.8200000000000002E-2"/>
    <n v="-2.8999999999999998E-3"/>
    <n v="302"/>
    <n v="0.15"/>
    <n v="250"/>
    <n v="0.35"/>
    <n v="0"/>
    <n v="0"/>
    <n v="0"/>
    <n v="689"/>
    <n v="0"/>
  </r>
  <r>
    <x v="1"/>
    <x v="0"/>
    <s v="SPX"/>
    <x v="9"/>
    <x v="417"/>
    <s v="p"/>
    <n v="0.25"/>
    <n v="0.25"/>
    <n v="0.25"/>
    <n v="0.25"/>
    <n v="1"/>
    <n v="814"/>
    <n v="0.2"/>
    <n v="991"/>
    <n v="0.35"/>
    <n v="0"/>
    <n v="0"/>
    <n v="0"/>
    <n v="0"/>
    <n v="0.58150000000000002"/>
    <n v="-1.4E-3"/>
    <n v="0"/>
    <n v="-0.12180000000000001"/>
    <n v="5.8400000000000001E-2"/>
    <n v="-2.8999999999999998E-3"/>
    <n v="305"/>
    <n v="0.15"/>
    <n v="197"/>
    <n v="0.35"/>
    <n v="0"/>
    <n v="0"/>
    <n v="0.25"/>
    <n v="1673"/>
    <n v="0"/>
  </r>
  <r>
    <x v="1"/>
    <x v="0"/>
    <s v="SPX"/>
    <x v="9"/>
    <x v="418"/>
    <s v="p"/>
    <n v="0"/>
    <n v="0"/>
    <n v="0"/>
    <n v="0"/>
    <n v="0"/>
    <n v="478"/>
    <n v="0.2"/>
    <n v="650"/>
    <n v="0.35"/>
    <n v="0"/>
    <n v="0"/>
    <n v="0"/>
    <n v="0"/>
    <n v="0.5796"/>
    <n v="-1.4E-3"/>
    <n v="0"/>
    <n v="-0.12180000000000001"/>
    <n v="5.8599999999999999E-2"/>
    <n v="-2.8999999999999998E-3"/>
    <n v="307"/>
    <n v="0.15"/>
    <n v="195"/>
    <n v="0.35"/>
    <n v="0"/>
    <n v="0"/>
    <n v="0"/>
    <n v="304"/>
    <n v="0"/>
  </r>
  <r>
    <x v="1"/>
    <x v="0"/>
    <s v="SPX"/>
    <x v="9"/>
    <x v="419"/>
    <s v="p"/>
    <n v="0"/>
    <n v="0"/>
    <n v="0"/>
    <n v="0"/>
    <n v="0"/>
    <n v="483"/>
    <n v="0.2"/>
    <n v="668"/>
    <n v="0.35"/>
    <n v="0"/>
    <n v="0"/>
    <n v="0"/>
    <n v="0"/>
    <n v="0.57589999999999997"/>
    <n v="-1.4E-3"/>
    <n v="0"/>
    <n v="-0.12180000000000001"/>
    <n v="5.8900000000000001E-2"/>
    <n v="-3.0000000000000001E-3"/>
    <n v="356"/>
    <n v="0.15"/>
    <n v="658"/>
    <n v="0.4"/>
    <n v="0"/>
    <n v="0"/>
    <n v="0"/>
    <n v="380"/>
    <n v="0"/>
  </r>
  <r>
    <x v="1"/>
    <x v="0"/>
    <s v="SPX"/>
    <x v="9"/>
    <x v="16"/>
    <s v="p"/>
    <n v="0.25"/>
    <n v="0.25"/>
    <n v="0.25"/>
    <n v="0.25"/>
    <n v="1"/>
    <n v="907"/>
    <n v="0.2"/>
    <n v="518"/>
    <n v="0.35"/>
    <n v="0"/>
    <n v="0"/>
    <n v="0"/>
    <n v="0"/>
    <n v="0.57279999999999998"/>
    <n v="-1.4E-3"/>
    <n v="0"/>
    <n v="-0.1217"/>
    <n v="5.9200000000000003E-2"/>
    <n v="-3.0000000000000001E-3"/>
    <n v="356"/>
    <n v="0.15"/>
    <n v="608"/>
    <n v="0.4"/>
    <n v="0"/>
    <n v="0"/>
    <n v="0.25"/>
    <n v="8916"/>
    <n v="0"/>
  </r>
  <r>
    <x v="1"/>
    <x v="0"/>
    <s v="SPX"/>
    <x v="9"/>
    <x v="420"/>
    <s v="p"/>
    <n v="0"/>
    <n v="0"/>
    <n v="0"/>
    <n v="0"/>
    <n v="0"/>
    <n v="505"/>
    <n v="0.2"/>
    <n v="293"/>
    <n v="0.35"/>
    <n v="0"/>
    <n v="0"/>
    <n v="0"/>
    <n v="0"/>
    <n v="0.56940000000000002"/>
    <n v="-1.4E-3"/>
    <n v="0"/>
    <n v="-0.1216"/>
    <n v="5.96E-2"/>
    <n v="-3.0000000000000001E-3"/>
    <n v="355"/>
    <n v="0.15"/>
    <n v="595"/>
    <n v="0.4"/>
    <n v="0"/>
    <n v="0"/>
    <n v="0"/>
    <n v="400"/>
    <n v="0"/>
  </r>
  <r>
    <x v="1"/>
    <x v="0"/>
    <s v="SPX"/>
    <x v="9"/>
    <x v="421"/>
    <s v="p"/>
    <n v="0.25"/>
    <n v="0.25"/>
    <n v="0.25"/>
    <n v="0.25"/>
    <n v="1"/>
    <n v="514"/>
    <n v="0.2"/>
    <n v="272"/>
    <n v="0.35"/>
    <n v="0"/>
    <n v="0"/>
    <n v="0"/>
    <n v="0"/>
    <n v="0.56599999999999995"/>
    <n v="-1.5E-3"/>
    <n v="0"/>
    <n v="-0.1215"/>
    <n v="5.9900000000000002E-2"/>
    <n v="-3.0000000000000001E-3"/>
    <n v="352"/>
    <n v="0.15"/>
    <n v="579"/>
    <n v="0.4"/>
    <n v="0"/>
    <n v="0"/>
    <n v="0.25"/>
    <n v="590"/>
    <n v="0"/>
  </r>
  <r>
    <x v="1"/>
    <x v="0"/>
    <s v="SPX"/>
    <x v="9"/>
    <x v="422"/>
    <s v="p"/>
    <n v="0.25"/>
    <n v="0.25"/>
    <n v="0.25"/>
    <n v="0.25"/>
    <n v="1"/>
    <n v="598"/>
    <n v="0.2"/>
    <n v="917"/>
    <n v="0.4"/>
    <n v="0"/>
    <n v="0"/>
    <n v="0"/>
    <n v="0"/>
    <n v="0.56850000000000001"/>
    <n v="-1.6000000000000001E-3"/>
    <n v="0"/>
    <n v="-0.1313"/>
    <n v="6.4199999999999993E-2"/>
    <n v="-3.2000000000000002E-3"/>
    <n v="362"/>
    <n v="0.15"/>
    <n v="572"/>
    <n v="0.4"/>
    <n v="0"/>
    <n v="0"/>
    <n v="0.25"/>
    <n v="657"/>
    <n v="0"/>
  </r>
  <r>
    <x v="1"/>
    <x v="0"/>
    <s v="SPX"/>
    <x v="9"/>
    <x v="423"/>
    <s v="p"/>
    <n v="0"/>
    <n v="0"/>
    <n v="0"/>
    <n v="0"/>
    <n v="0"/>
    <n v="523"/>
    <n v="0.2"/>
    <n v="906"/>
    <n v="0.4"/>
    <n v="0"/>
    <n v="0"/>
    <n v="0"/>
    <n v="0"/>
    <n v="0.56720000000000004"/>
    <n v="-1.6000000000000001E-3"/>
    <n v="0"/>
    <n v="-0.1313"/>
    <n v="6.4299999999999996E-2"/>
    <n v="-3.2000000000000002E-3"/>
    <n v="362"/>
    <n v="0.15"/>
    <n v="556"/>
    <n v="0.4"/>
    <n v="0"/>
    <n v="0"/>
    <n v="0"/>
    <n v="339"/>
    <n v="0"/>
  </r>
  <r>
    <x v="1"/>
    <x v="0"/>
    <s v="SPX"/>
    <x v="9"/>
    <x v="424"/>
    <s v="p"/>
    <n v="0"/>
    <n v="0"/>
    <n v="0"/>
    <n v="0"/>
    <n v="0"/>
    <n v="398"/>
    <n v="0.25"/>
    <n v="1167"/>
    <n v="0.4"/>
    <n v="0"/>
    <n v="0"/>
    <n v="0"/>
    <n v="0"/>
    <n v="0.56720000000000004"/>
    <n v="-1.6999999999999999E-3"/>
    <n v="0"/>
    <n v="-0.1409"/>
    <n v="6.88E-2"/>
    <n v="-3.5000000000000001E-3"/>
    <n v="361"/>
    <n v="0.15"/>
    <n v="500"/>
    <n v="0.4"/>
    <n v="0"/>
    <n v="0"/>
    <n v="0"/>
    <n v="1036"/>
    <n v="0"/>
  </r>
  <r>
    <x v="1"/>
    <x v="0"/>
    <s v="SPX"/>
    <x v="9"/>
    <x v="293"/>
    <s v="p"/>
    <n v="0.3"/>
    <n v="0.3"/>
    <n v="0.3"/>
    <n v="0.3"/>
    <n v="73"/>
    <n v="636"/>
    <n v="0.25"/>
    <n v="365"/>
    <n v="0.35"/>
    <n v="0"/>
    <n v="0"/>
    <n v="0"/>
    <n v="0"/>
    <n v="0.56020000000000003"/>
    <n v="-1.6000000000000001E-3"/>
    <n v="0"/>
    <n v="-0.13109999999999999"/>
    <n v="6.5100000000000005E-2"/>
    <n v="-3.3E-3"/>
    <n v="294"/>
    <n v="0.2"/>
    <n v="368"/>
    <n v="0.4"/>
    <n v="0"/>
    <n v="0"/>
    <n v="0.3"/>
    <n v="2565"/>
    <n v="0"/>
  </r>
  <r>
    <x v="1"/>
    <x v="0"/>
    <s v="SPX"/>
    <x v="9"/>
    <x v="425"/>
    <s v="p"/>
    <n v="0"/>
    <n v="0"/>
    <n v="0"/>
    <n v="0"/>
    <n v="0"/>
    <n v="332"/>
    <n v="0.25"/>
    <n v="727"/>
    <n v="0.4"/>
    <n v="0"/>
    <n v="0"/>
    <n v="0"/>
    <n v="0"/>
    <n v="0.56059999999999999"/>
    <n v="-1.6999999999999999E-3"/>
    <n v="0"/>
    <n v="-0.14069999999999999"/>
    <n v="6.9500000000000006E-2"/>
    <n v="-3.5000000000000001E-3"/>
    <n v="277"/>
    <n v="0.2"/>
    <n v="265"/>
    <n v="0.4"/>
    <n v="0"/>
    <n v="0"/>
    <n v="0"/>
    <n v="515"/>
    <n v="0"/>
  </r>
  <r>
    <x v="1"/>
    <x v="0"/>
    <s v="SPX"/>
    <x v="9"/>
    <x v="426"/>
    <s v="p"/>
    <n v="0"/>
    <n v="0"/>
    <n v="0"/>
    <n v="0"/>
    <n v="0"/>
    <n v="424"/>
    <n v="0.25"/>
    <n v="700"/>
    <n v="0.4"/>
    <n v="0"/>
    <n v="0"/>
    <n v="0"/>
    <n v="0"/>
    <n v="0.55740000000000001"/>
    <n v="-1.6999999999999999E-3"/>
    <n v="0"/>
    <n v="-0.1406"/>
    <n v="6.9900000000000004E-2"/>
    <n v="-3.5999999999999999E-3"/>
    <n v="304"/>
    <n v="0.2"/>
    <n v="183"/>
    <n v="0.4"/>
    <n v="0"/>
    <n v="0"/>
    <n v="0"/>
    <n v="435"/>
    <n v="0"/>
  </r>
  <r>
    <x v="1"/>
    <x v="0"/>
    <s v="SPX"/>
    <x v="9"/>
    <x v="17"/>
    <s v="p"/>
    <n v="0.3"/>
    <n v="0.3"/>
    <n v="0.3"/>
    <n v="0.3"/>
    <n v="1"/>
    <n v="800"/>
    <n v="0.25"/>
    <n v="829"/>
    <n v="0.4"/>
    <n v="0"/>
    <n v="0"/>
    <n v="0"/>
    <n v="0"/>
    <n v="0.55589999999999995"/>
    <n v="-1.6999999999999999E-3"/>
    <n v="0"/>
    <n v="-0.1406"/>
    <n v="7.0099999999999996E-2"/>
    <n v="-3.5999999999999999E-3"/>
    <n v="317"/>
    <n v="0.2"/>
    <n v="574"/>
    <n v="0.45"/>
    <n v="0"/>
    <n v="0"/>
    <n v="0.3"/>
    <n v="2275"/>
    <n v="0"/>
  </r>
  <r>
    <x v="1"/>
    <x v="0"/>
    <s v="SPX"/>
    <x v="9"/>
    <x v="427"/>
    <s v="p"/>
    <n v="0"/>
    <n v="0"/>
    <n v="0"/>
    <n v="0"/>
    <n v="0"/>
    <n v="482"/>
    <n v="0.25"/>
    <n v="485"/>
    <n v="0.4"/>
    <n v="0"/>
    <n v="0"/>
    <n v="0"/>
    <n v="0"/>
    <n v="0.55389999999999995"/>
    <n v="-1.6999999999999999E-3"/>
    <n v="0"/>
    <n v="-0.14050000000000001"/>
    <n v="7.0300000000000001E-2"/>
    <n v="-3.5999999999999999E-3"/>
    <n v="304"/>
    <n v="0.2"/>
    <n v="577"/>
    <n v="0.45"/>
    <n v="0"/>
    <n v="0"/>
    <n v="0"/>
    <n v="337"/>
    <n v="0"/>
  </r>
  <r>
    <x v="1"/>
    <x v="0"/>
    <s v="SPX"/>
    <x v="9"/>
    <x v="428"/>
    <s v="p"/>
    <n v="0"/>
    <n v="0"/>
    <n v="0"/>
    <n v="0"/>
    <n v="0"/>
    <n v="492"/>
    <n v="0.25"/>
    <n v="310"/>
    <n v="0.4"/>
    <n v="0"/>
    <n v="0"/>
    <n v="0"/>
    <n v="0"/>
    <n v="0.5504"/>
    <n v="-1.6999999999999999E-3"/>
    <n v="0"/>
    <n v="-0.1404"/>
    <n v="7.0699999999999999E-2"/>
    <n v="-3.5999999999999999E-3"/>
    <n v="340"/>
    <n v="0.2"/>
    <n v="551"/>
    <n v="0.45"/>
    <n v="0"/>
    <n v="0"/>
    <n v="0"/>
    <n v="407"/>
    <n v="0"/>
  </r>
  <r>
    <x v="1"/>
    <x v="0"/>
    <s v="SPX"/>
    <x v="9"/>
    <x v="18"/>
    <s v="p"/>
    <n v="0.45"/>
    <n v="0.45"/>
    <n v="0.3"/>
    <n v="0.35"/>
    <n v="87"/>
    <n v="1040"/>
    <n v="0.25"/>
    <n v="418"/>
    <n v="0.4"/>
    <n v="0"/>
    <n v="0"/>
    <n v="0"/>
    <n v="0"/>
    <n v="0.54700000000000004"/>
    <n v="-1.6999999999999999E-3"/>
    <n v="0"/>
    <n v="-0.1404"/>
    <n v="7.1099999999999997E-2"/>
    <n v="-3.5999999999999999E-3"/>
    <n v="349"/>
    <n v="0.2"/>
    <n v="558"/>
    <n v="0.45"/>
    <n v="0"/>
    <n v="0"/>
    <n v="0.3644"/>
    <n v="13269"/>
    <n v="0"/>
  </r>
  <r>
    <x v="1"/>
    <x v="0"/>
    <s v="SPX"/>
    <x v="9"/>
    <x v="429"/>
    <s v="p"/>
    <n v="0"/>
    <n v="0"/>
    <n v="0"/>
    <n v="0"/>
    <n v="0"/>
    <n v="513"/>
    <n v="0.25"/>
    <n v="909"/>
    <n v="0.45"/>
    <n v="0"/>
    <n v="0"/>
    <n v="0"/>
    <n v="0"/>
    <n v="0.54720000000000002"/>
    <n v="-1.9E-3"/>
    <n v="0"/>
    <n v="-0.14979999999999999"/>
    <n v="7.5600000000000001E-2"/>
    <n v="-3.8999999999999998E-3"/>
    <n v="350"/>
    <n v="0.2"/>
    <n v="544"/>
    <n v="0.45"/>
    <n v="0"/>
    <n v="0"/>
    <n v="0"/>
    <n v="401"/>
    <n v="0"/>
  </r>
  <r>
    <x v="1"/>
    <x v="0"/>
    <s v="SPX"/>
    <x v="9"/>
    <x v="430"/>
    <s v="p"/>
    <n v="0"/>
    <n v="0"/>
    <n v="0"/>
    <n v="0"/>
    <n v="0"/>
    <n v="358"/>
    <n v="0.3"/>
    <n v="1238"/>
    <n v="0.45"/>
    <n v="0"/>
    <n v="0"/>
    <n v="0"/>
    <n v="0"/>
    <n v="0.54730000000000001"/>
    <n v="-2E-3"/>
    <n v="0"/>
    <n v="-0.15920000000000001"/>
    <n v="7.9899999999999999E-2"/>
    <n v="-4.1000000000000003E-3"/>
    <n v="355"/>
    <n v="0.2"/>
    <n v="485"/>
    <n v="0.45"/>
    <n v="0"/>
    <n v="0"/>
    <n v="0"/>
    <n v="735"/>
    <n v="0"/>
  </r>
  <r>
    <x v="1"/>
    <x v="0"/>
    <s v="SPX"/>
    <x v="9"/>
    <x v="19"/>
    <s v="p"/>
    <n v="0.3"/>
    <n v="0.35"/>
    <n v="0.3"/>
    <n v="0.35"/>
    <n v="3"/>
    <n v="383"/>
    <n v="0.3"/>
    <n v="1155"/>
    <n v="0.45"/>
    <n v="0"/>
    <n v="0"/>
    <n v="0"/>
    <n v="0"/>
    <n v="0.54579999999999995"/>
    <n v="-2E-3"/>
    <n v="0"/>
    <n v="-0.15909999999999999"/>
    <n v="8.0100000000000005E-2"/>
    <n v="-4.1000000000000003E-3"/>
    <n v="358"/>
    <n v="0.2"/>
    <n v="390"/>
    <n v="0.45"/>
    <n v="0"/>
    <n v="0"/>
    <n v="0.31669999999999998"/>
    <n v="1330"/>
    <n v="0"/>
  </r>
  <r>
    <x v="1"/>
    <x v="0"/>
    <s v="SPX"/>
    <x v="9"/>
    <x v="431"/>
    <s v="p"/>
    <n v="0"/>
    <n v="0"/>
    <n v="0"/>
    <n v="0"/>
    <n v="0"/>
    <n v="308"/>
    <n v="0.3"/>
    <n v="722"/>
    <n v="0.45"/>
    <n v="0"/>
    <n v="0"/>
    <n v="0"/>
    <n v="0"/>
    <n v="0.54390000000000005"/>
    <n v="-2E-3"/>
    <n v="0"/>
    <n v="-0.15909999999999999"/>
    <n v="8.0399999999999999E-2"/>
    <n v="-4.1999999999999997E-3"/>
    <n v="341"/>
    <n v="0.2"/>
    <n v="377"/>
    <n v="0.45"/>
    <n v="0"/>
    <n v="0"/>
    <n v="0"/>
    <n v="379"/>
    <n v="0"/>
  </r>
  <r>
    <x v="1"/>
    <x v="0"/>
    <s v="SPX"/>
    <x v="9"/>
    <x v="432"/>
    <s v="p"/>
    <n v="0"/>
    <n v="0"/>
    <n v="0"/>
    <n v="0"/>
    <n v="0"/>
    <n v="324"/>
    <n v="0.3"/>
    <n v="652"/>
    <n v="0.45"/>
    <n v="0"/>
    <n v="0"/>
    <n v="0"/>
    <n v="0"/>
    <n v="0.54049999999999998"/>
    <n v="-2E-3"/>
    <n v="0"/>
    <n v="-0.159"/>
    <n v="8.09E-2"/>
    <n v="-4.1999999999999997E-3"/>
    <n v="271"/>
    <n v="0.25"/>
    <n v="300"/>
    <n v="0.45"/>
    <n v="0"/>
    <n v="0"/>
    <n v="0"/>
    <n v="361"/>
    <n v="0"/>
  </r>
  <r>
    <x v="1"/>
    <x v="0"/>
    <s v="SPX"/>
    <x v="9"/>
    <x v="20"/>
    <s v="p"/>
    <n v="0.48"/>
    <n v="0.48"/>
    <n v="0.4"/>
    <n v="0.4"/>
    <n v="11"/>
    <n v="820"/>
    <n v="0.3"/>
    <n v="851"/>
    <n v="0.45"/>
    <n v="0"/>
    <n v="0"/>
    <n v="0"/>
    <n v="0"/>
    <n v="0.53720000000000001"/>
    <n v="-2E-3"/>
    <n v="0"/>
    <n v="-0.1588"/>
    <n v="8.1299999999999997E-2"/>
    <n v="-4.1999999999999997E-3"/>
    <n v="294"/>
    <n v="0.25"/>
    <n v="244"/>
    <n v="0.45"/>
    <n v="0"/>
    <n v="0"/>
    <n v="0.47270000000000001"/>
    <n v="8625"/>
    <n v="0"/>
  </r>
  <r>
    <x v="1"/>
    <x v="0"/>
    <s v="SPX"/>
    <x v="9"/>
    <x v="433"/>
    <s v="p"/>
    <n v="0"/>
    <n v="0"/>
    <n v="0"/>
    <n v="0"/>
    <n v="0"/>
    <n v="435"/>
    <n v="0.3"/>
    <n v="492"/>
    <n v="0.45"/>
    <n v="0"/>
    <n v="0"/>
    <n v="0"/>
    <n v="0"/>
    <n v="0.53369999999999995"/>
    <n v="-2E-3"/>
    <n v="0"/>
    <n v="-0.15870000000000001"/>
    <n v="8.1799999999999998E-2"/>
    <n v="-4.1999999999999997E-3"/>
    <n v="325"/>
    <n v="0.25"/>
    <n v="528"/>
    <n v="0.5"/>
    <n v="0"/>
    <n v="0"/>
    <n v="0"/>
    <n v="311"/>
    <n v="0"/>
  </r>
  <r>
    <x v="1"/>
    <x v="0"/>
    <s v="SPX"/>
    <x v="9"/>
    <x v="434"/>
    <s v="p"/>
    <n v="0"/>
    <n v="0"/>
    <n v="0"/>
    <n v="0"/>
    <n v="0"/>
    <n v="469"/>
    <n v="0.3"/>
    <n v="379"/>
    <n v="0.45"/>
    <n v="0"/>
    <n v="0"/>
    <n v="0"/>
    <n v="0"/>
    <n v="0.5302"/>
    <n v="-2.0999999999999999E-3"/>
    <n v="0"/>
    <n v="-0.15859999999999999"/>
    <n v="8.2299999999999998E-2"/>
    <n v="-4.3E-3"/>
    <n v="329"/>
    <n v="0.25"/>
    <n v="547"/>
    <n v="0.5"/>
    <n v="0"/>
    <n v="0"/>
    <n v="0"/>
    <n v="263"/>
    <n v="0"/>
  </r>
  <r>
    <x v="1"/>
    <x v="0"/>
    <s v="SPX"/>
    <x v="9"/>
    <x v="21"/>
    <s v="p"/>
    <n v="0.35"/>
    <n v="0.35"/>
    <n v="0.35"/>
    <n v="0.35"/>
    <n v="1"/>
    <n v="993"/>
    <n v="0.3"/>
    <n v="1329"/>
    <n v="0.5"/>
    <n v="0"/>
    <n v="0"/>
    <n v="0"/>
    <n v="0"/>
    <n v="0.53169999999999995"/>
    <n v="-2.2000000000000001E-3"/>
    <n v="0"/>
    <n v="-0.16789999999999999"/>
    <n v="8.6499999999999994E-2"/>
    <n v="-4.4999999999999997E-3"/>
    <n v="333"/>
    <n v="0.25"/>
    <n v="528"/>
    <n v="0.5"/>
    <n v="0"/>
    <n v="0"/>
    <n v="0.35"/>
    <n v="1623"/>
    <n v="0"/>
  </r>
  <r>
    <x v="1"/>
    <x v="0"/>
    <s v="SPX"/>
    <x v="9"/>
    <x v="435"/>
    <s v="p"/>
    <n v="0"/>
    <n v="0"/>
    <n v="0"/>
    <n v="0"/>
    <n v="0"/>
    <n v="481"/>
    <n v="0.3"/>
    <n v="903"/>
    <n v="0.5"/>
    <n v="0"/>
    <n v="0"/>
    <n v="0"/>
    <n v="0"/>
    <n v="0.5302"/>
    <n v="-2.2000000000000001E-3"/>
    <n v="0"/>
    <n v="-0.1678"/>
    <n v="8.6699999999999999E-2"/>
    <n v="-4.4999999999999997E-3"/>
    <n v="334"/>
    <n v="0.25"/>
    <n v="518"/>
    <n v="0.5"/>
    <n v="0"/>
    <n v="0"/>
    <n v="0"/>
    <n v="206"/>
    <n v="0"/>
  </r>
  <r>
    <x v="1"/>
    <x v="0"/>
    <s v="SPX"/>
    <x v="9"/>
    <x v="436"/>
    <s v="p"/>
    <n v="0"/>
    <n v="0"/>
    <n v="0"/>
    <n v="0"/>
    <n v="0"/>
    <n v="168"/>
    <n v="0.35"/>
    <n v="754"/>
    <n v="0.5"/>
    <n v="0"/>
    <n v="0"/>
    <n v="0"/>
    <n v="0"/>
    <n v="0.52969999999999995"/>
    <n v="-2.3E-3"/>
    <n v="0"/>
    <n v="-0.17699999999999999"/>
    <n v="9.11E-2"/>
    <n v="-4.7999999999999996E-3"/>
    <n v="462"/>
    <n v="0.25"/>
    <n v="531"/>
    <n v="0.5"/>
    <n v="0"/>
    <n v="0"/>
    <n v="0"/>
    <n v="392"/>
    <n v="0"/>
  </r>
  <r>
    <x v="1"/>
    <x v="0"/>
    <s v="SPX"/>
    <x v="9"/>
    <x v="22"/>
    <s v="p"/>
    <n v="0.32"/>
    <n v="1.64"/>
    <n v="0.31"/>
    <n v="0.42"/>
    <n v="1244"/>
    <n v="392"/>
    <n v="0.35"/>
    <n v="1158"/>
    <n v="0.5"/>
    <n v="0"/>
    <n v="0"/>
    <n v="0"/>
    <n v="0"/>
    <n v="0.52649999999999997"/>
    <n v="-2.3E-3"/>
    <n v="0"/>
    <n v="-0.1769"/>
    <n v="9.1700000000000004E-2"/>
    <n v="-4.7999999999999996E-3"/>
    <n v="447"/>
    <n v="0.25"/>
    <n v="368"/>
    <n v="0.5"/>
    <n v="0"/>
    <n v="0"/>
    <n v="0.6008"/>
    <n v="9461"/>
    <n v="0"/>
  </r>
  <r>
    <x v="1"/>
    <x v="0"/>
    <s v="SPX"/>
    <x v="9"/>
    <x v="437"/>
    <s v="p"/>
    <n v="0"/>
    <n v="0"/>
    <n v="0"/>
    <n v="0"/>
    <n v="0"/>
    <n v="320"/>
    <n v="0.35"/>
    <n v="615"/>
    <n v="0.5"/>
    <n v="0"/>
    <n v="0"/>
    <n v="0"/>
    <n v="0"/>
    <n v="0.52310000000000001"/>
    <n v="-2.3E-3"/>
    <n v="0"/>
    <n v="-0.1767"/>
    <n v="9.2200000000000004E-2"/>
    <n v="-4.7999999999999996E-3"/>
    <n v="451"/>
    <n v="0.25"/>
    <n v="306"/>
    <n v="0.5"/>
    <n v="0"/>
    <n v="0"/>
    <n v="0"/>
    <n v="308"/>
    <n v="0"/>
  </r>
  <r>
    <x v="1"/>
    <x v="0"/>
    <s v="SPX"/>
    <x v="9"/>
    <x v="438"/>
    <s v="p"/>
    <n v="0.35"/>
    <n v="0.35"/>
    <n v="0.35"/>
    <n v="0.35"/>
    <n v="2"/>
    <n v="446"/>
    <n v="0.35"/>
    <n v="468"/>
    <n v="0.5"/>
    <n v="0"/>
    <n v="0"/>
    <n v="0"/>
    <n v="0"/>
    <n v="0.51959999999999995"/>
    <n v="-2.3E-3"/>
    <n v="0"/>
    <n v="-0.17660000000000001"/>
    <n v="9.2799999999999994E-2"/>
    <n v="-4.8999999999999998E-3"/>
    <n v="314"/>
    <n v="0.3"/>
    <n v="277"/>
    <n v="0.5"/>
    <n v="0"/>
    <n v="0"/>
    <n v="0.35"/>
    <n v="317"/>
    <n v="0"/>
  </r>
  <r>
    <x v="1"/>
    <x v="0"/>
    <s v="SPX"/>
    <x v="9"/>
    <x v="23"/>
    <s v="p"/>
    <n v="0.36"/>
    <n v="0.36"/>
    <n v="0.36"/>
    <n v="0.36"/>
    <n v="3"/>
    <n v="855"/>
    <n v="0.35"/>
    <n v="761"/>
    <n v="0.5"/>
    <n v="0"/>
    <n v="0"/>
    <n v="0"/>
    <n v="0"/>
    <n v="0.51770000000000005"/>
    <n v="-2.3E-3"/>
    <n v="0"/>
    <n v="-0.17649999999999999"/>
    <n v="9.3100000000000002E-2"/>
    <n v="-4.8999999999999998E-3"/>
    <n v="319"/>
    <n v="0.3"/>
    <n v="228"/>
    <n v="0.5"/>
    <n v="0"/>
    <n v="0"/>
    <n v="0.36"/>
    <n v="2505"/>
    <n v="0"/>
  </r>
  <r>
    <x v="1"/>
    <x v="0"/>
    <s v="SPX"/>
    <x v="9"/>
    <x v="439"/>
    <s v="p"/>
    <n v="0.36"/>
    <n v="0.36"/>
    <n v="0.36"/>
    <n v="0.36"/>
    <n v="40"/>
    <n v="897"/>
    <n v="0.35"/>
    <n v="712"/>
    <n v="0.5"/>
    <n v="0"/>
    <n v="0"/>
    <n v="0"/>
    <n v="0"/>
    <n v="0.51590000000000003"/>
    <n v="-2.3999999999999998E-3"/>
    <n v="0"/>
    <n v="-0.17649999999999999"/>
    <n v="9.3399999999999997E-2"/>
    <n v="-4.8999999999999998E-3"/>
    <n v="319"/>
    <n v="0.3"/>
    <n v="227"/>
    <n v="0.5"/>
    <n v="0"/>
    <n v="0"/>
    <n v="0.36"/>
    <n v="342"/>
    <n v="0"/>
  </r>
  <r>
    <x v="1"/>
    <x v="0"/>
    <s v="SPX"/>
    <x v="9"/>
    <x v="440"/>
    <s v="p"/>
    <n v="0"/>
    <n v="0"/>
    <n v="0"/>
    <n v="0"/>
    <n v="0"/>
    <n v="465"/>
    <n v="0.35"/>
    <n v="357"/>
    <n v="0.5"/>
    <n v="0"/>
    <n v="0"/>
    <n v="0"/>
    <n v="0"/>
    <n v="0.51270000000000004"/>
    <n v="-2.3999999999999998E-3"/>
    <n v="0"/>
    <n v="-0.17630000000000001"/>
    <n v="9.3899999999999997E-2"/>
    <n v="-4.8999999999999998E-3"/>
    <n v="440"/>
    <n v="0.3"/>
    <n v="548"/>
    <n v="0.55000000000000004"/>
    <n v="0"/>
    <n v="0"/>
    <n v="0"/>
    <n v="303"/>
    <n v="0"/>
  </r>
  <r>
    <x v="1"/>
    <x v="0"/>
    <s v="SPX"/>
    <x v="9"/>
    <x v="24"/>
    <s v="p"/>
    <n v="0.6"/>
    <n v="0.65"/>
    <n v="0.35"/>
    <n v="0.35"/>
    <n v="919"/>
    <n v="1082"/>
    <n v="0.35"/>
    <n v="87"/>
    <n v="0.45"/>
    <n v="0"/>
    <n v="0"/>
    <n v="0"/>
    <n v="0"/>
    <n v="0.50629999999999997"/>
    <n v="-2.3E-3"/>
    <n v="0"/>
    <n v="-0.16700000000000001"/>
    <n v="9.0399999999999994E-2"/>
    <n v="-4.7000000000000002E-3"/>
    <n v="427"/>
    <n v="0.3"/>
    <n v="520"/>
    <n v="0.55000000000000004"/>
    <n v="0"/>
    <n v="0"/>
    <n v="0.60260000000000002"/>
    <n v="5874"/>
    <n v="0"/>
  </r>
  <r>
    <x v="1"/>
    <x v="0"/>
    <s v="SPX"/>
    <x v="9"/>
    <x v="441"/>
    <s v="p"/>
    <n v="0"/>
    <n v="0"/>
    <n v="0"/>
    <n v="0"/>
    <n v="0"/>
    <n v="839"/>
    <n v="0.35"/>
    <n v="771"/>
    <n v="0.55000000000000004"/>
    <n v="0"/>
    <n v="0"/>
    <n v="0"/>
    <n v="0"/>
    <n v="0.50900000000000001"/>
    <n v="-2.5000000000000001E-3"/>
    <n v="0"/>
    <n v="-0.1852"/>
    <n v="9.9099999999999994E-2"/>
    <n v="-5.1999999999999998E-3"/>
    <n v="432"/>
    <n v="0.3"/>
    <n v="357"/>
    <n v="0.55000000000000004"/>
    <n v="0"/>
    <n v="0"/>
    <n v="0"/>
    <n v="407"/>
    <n v="0"/>
  </r>
  <r>
    <x v="1"/>
    <x v="0"/>
    <s v="SPX"/>
    <x v="9"/>
    <x v="442"/>
    <s v="p"/>
    <n v="0.45"/>
    <n v="0.45"/>
    <n v="0.45"/>
    <n v="0.45"/>
    <n v="1"/>
    <n v="216"/>
    <n v="0.4"/>
    <n v="600"/>
    <n v="0.55000000000000004"/>
    <n v="0"/>
    <n v="0"/>
    <n v="0"/>
    <n v="0"/>
    <n v="0.50790000000000002"/>
    <n v="-2.5999999999999999E-3"/>
    <n v="0"/>
    <n v="-0.19409999999999999"/>
    <n v="0.1038"/>
    <n v="-5.4999999999999997E-3"/>
    <n v="436"/>
    <n v="0.3"/>
    <n v="294"/>
    <n v="0.55000000000000004"/>
    <n v="0"/>
    <n v="0"/>
    <n v="0.45"/>
    <n v="275"/>
    <n v="0"/>
  </r>
  <r>
    <x v="1"/>
    <x v="0"/>
    <s v="SPX"/>
    <x v="9"/>
    <x v="25"/>
    <s v="p"/>
    <n v="0"/>
    <n v="0"/>
    <n v="0"/>
    <n v="0"/>
    <n v="0"/>
    <n v="413"/>
    <n v="0.4"/>
    <n v="1092"/>
    <n v="0.55000000000000004"/>
    <n v="0"/>
    <n v="0"/>
    <n v="0"/>
    <n v="0"/>
    <n v="0.50649999999999995"/>
    <n v="-2.7000000000000001E-3"/>
    <n v="0"/>
    <n v="-0.19400000000000001"/>
    <n v="0.104"/>
    <n v="-5.4999999999999997E-3"/>
    <n v="155"/>
    <n v="0.35"/>
    <n v="289"/>
    <n v="0.55000000000000004"/>
    <n v="0"/>
    <n v="0"/>
    <n v="0"/>
    <n v="3198"/>
    <n v="0"/>
  </r>
  <r>
    <x v="1"/>
    <x v="0"/>
    <s v="SPX"/>
    <x v="9"/>
    <x v="443"/>
    <s v="p"/>
    <n v="0"/>
    <n v="0"/>
    <n v="0"/>
    <n v="0"/>
    <n v="0"/>
    <n v="322"/>
    <n v="0.4"/>
    <n v="489"/>
    <n v="0.55000000000000004"/>
    <n v="0"/>
    <n v="0"/>
    <n v="0"/>
    <n v="0"/>
    <n v="0.50460000000000005"/>
    <n v="-2.7000000000000001E-3"/>
    <n v="0"/>
    <n v="-0.19389999999999999"/>
    <n v="0.10440000000000001"/>
    <n v="-5.4999999999999997E-3"/>
    <n v="288"/>
    <n v="0.35"/>
    <n v="265"/>
    <n v="0.55000000000000004"/>
    <n v="0"/>
    <n v="0"/>
    <n v="0"/>
    <n v="292"/>
    <n v="0"/>
  </r>
  <r>
    <x v="1"/>
    <x v="0"/>
    <s v="SPX"/>
    <x v="9"/>
    <x v="444"/>
    <s v="p"/>
    <n v="0.4"/>
    <n v="0.4"/>
    <n v="0.4"/>
    <n v="0.4"/>
    <n v="1"/>
    <n v="444"/>
    <n v="0.4"/>
    <n v="443"/>
    <n v="0.55000000000000004"/>
    <n v="0"/>
    <n v="0"/>
    <n v="0"/>
    <n v="0"/>
    <n v="0.50119999999999998"/>
    <n v="-2.7000000000000001E-3"/>
    <n v="0"/>
    <n v="-0.1938"/>
    <n v="0.1051"/>
    <n v="-5.5999999999999999E-3"/>
    <n v="423"/>
    <n v="0.35"/>
    <n v="217"/>
    <n v="0.55000000000000004"/>
    <n v="0"/>
    <n v="0"/>
    <n v="0.4"/>
    <n v="560"/>
    <n v="0"/>
  </r>
  <r>
    <x v="1"/>
    <x v="0"/>
    <s v="SPX"/>
    <x v="9"/>
    <x v="26"/>
    <s v="p"/>
    <n v="0.39"/>
    <n v="0.75"/>
    <n v="0.39"/>
    <n v="0.4"/>
    <n v="367"/>
    <n v="1264"/>
    <n v="0.4"/>
    <n v="87"/>
    <n v="0.5"/>
    <n v="0"/>
    <n v="0"/>
    <n v="0"/>
    <n v="0"/>
    <n v="0.495"/>
    <n v="-2.5999999999999999E-3"/>
    <n v="0"/>
    <n v="-0.18459999999999999"/>
    <n v="0.1016"/>
    <n v="-5.3E-3"/>
    <n v="412"/>
    <n v="0.35"/>
    <n v="528"/>
    <n v="0.6"/>
    <n v="0"/>
    <n v="0"/>
    <n v="0.63729999999999998"/>
    <n v="15611"/>
    <n v="0"/>
  </r>
  <r>
    <x v="1"/>
    <x v="0"/>
    <s v="SPX"/>
    <x v="9"/>
    <x v="445"/>
    <s v="p"/>
    <n v="0"/>
    <n v="0"/>
    <n v="0"/>
    <n v="0"/>
    <n v="0"/>
    <n v="849"/>
    <n v="0.4"/>
    <n v="796"/>
    <n v="0.6"/>
    <n v="0"/>
    <n v="0"/>
    <n v="0"/>
    <n v="0"/>
    <n v="0.49709999999999999"/>
    <n v="-2.8E-3"/>
    <n v="0"/>
    <n v="-0.2024"/>
    <n v="0.1104"/>
    <n v="-5.8999999999999999E-3"/>
    <n v="420"/>
    <n v="0.35"/>
    <n v="504"/>
    <n v="0.6"/>
    <n v="0"/>
    <n v="0"/>
    <n v="0"/>
    <n v="307"/>
    <n v="0"/>
  </r>
  <r>
    <x v="1"/>
    <x v="0"/>
    <s v="SPX"/>
    <x v="9"/>
    <x v="446"/>
    <s v="p"/>
    <n v="0"/>
    <n v="0"/>
    <n v="0"/>
    <n v="0"/>
    <n v="0"/>
    <n v="964"/>
    <n v="0.4"/>
    <n v="703"/>
    <n v="0.6"/>
    <n v="0"/>
    <n v="0"/>
    <n v="0"/>
    <n v="0"/>
    <n v="0.49359999999999998"/>
    <n v="-2.8E-3"/>
    <n v="0"/>
    <n v="-0.20219999999999999"/>
    <n v="0.1111"/>
    <n v="-5.8999999999999999E-3"/>
    <n v="424"/>
    <n v="0.35"/>
    <n v="338"/>
    <n v="0.6"/>
    <n v="0"/>
    <n v="0"/>
    <n v="0"/>
    <n v="439"/>
    <n v="0"/>
  </r>
  <r>
    <x v="1"/>
    <x v="0"/>
    <s v="SPX"/>
    <x v="9"/>
    <x v="27"/>
    <s v="p"/>
    <n v="0.45"/>
    <n v="0.45"/>
    <n v="0.45"/>
    <n v="0.45"/>
    <n v="1"/>
    <n v="385"/>
    <n v="0.45"/>
    <n v="1084"/>
    <n v="0.6"/>
    <n v="0"/>
    <n v="0"/>
    <n v="0"/>
    <n v="0"/>
    <n v="0.49430000000000002"/>
    <n v="-3.0000000000000001E-3"/>
    <n v="0"/>
    <n v="-0.21099999999999999"/>
    <n v="0.11550000000000001"/>
    <n v="-6.1999999999999998E-3"/>
    <n v="240"/>
    <n v="0.4"/>
    <n v="283"/>
    <n v="0.6"/>
    <n v="0"/>
    <n v="0"/>
    <n v="0.45"/>
    <n v="835"/>
    <n v="0"/>
  </r>
  <r>
    <x v="1"/>
    <x v="0"/>
    <s v="SPX"/>
    <x v="9"/>
    <x v="447"/>
    <s v="p"/>
    <n v="0"/>
    <n v="0"/>
    <n v="0"/>
    <n v="0"/>
    <n v="0"/>
    <n v="207"/>
    <n v="0.45"/>
    <n v="477"/>
    <n v="0.6"/>
    <n v="0"/>
    <n v="0"/>
    <n v="0"/>
    <n v="0"/>
    <n v="0.49230000000000002"/>
    <n v="-3.0000000000000001E-3"/>
    <n v="0"/>
    <n v="-0.2109"/>
    <n v="0.11600000000000001"/>
    <n v="-6.1999999999999998E-3"/>
    <n v="280"/>
    <n v="0.4"/>
    <n v="282"/>
    <n v="0.6"/>
    <n v="0"/>
    <n v="0"/>
    <n v="0"/>
    <n v="458"/>
    <n v="0"/>
  </r>
  <r>
    <x v="1"/>
    <x v="0"/>
    <s v="SPX"/>
    <x v="9"/>
    <x v="448"/>
    <s v="p"/>
    <n v="0"/>
    <n v="0"/>
    <n v="0"/>
    <n v="0"/>
    <n v="0"/>
    <n v="534"/>
    <n v="0.45"/>
    <n v="430"/>
    <n v="0.6"/>
    <n v="0"/>
    <n v="0"/>
    <n v="0"/>
    <n v="0"/>
    <n v="0.48920000000000002"/>
    <n v="-3.0000000000000001E-3"/>
    <n v="0"/>
    <n v="-0.2107"/>
    <n v="0.1166"/>
    <n v="-6.1999999999999998E-3"/>
    <n v="390"/>
    <n v="0.4"/>
    <n v="208"/>
    <n v="0.6"/>
    <n v="0"/>
    <n v="0"/>
    <n v="0"/>
    <n v="579"/>
    <n v="0"/>
  </r>
  <r>
    <x v="1"/>
    <x v="0"/>
    <s v="SPX"/>
    <x v="9"/>
    <x v="28"/>
    <s v="p"/>
    <n v="0"/>
    <n v="0"/>
    <n v="0"/>
    <n v="0"/>
    <n v="0"/>
    <n v="1144"/>
    <n v="0.45"/>
    <n v="625"/>
    <n v="0.6"/>
    <n v="0"/>
    <n v="0"/>
    <n v="0"/>
    <n v="0"/>
    <n v="0.48559999999999998"/>
    <n v="-3.0000000000000001E-3"/>
    <n v="0"/>
    <n v="-0.21060000000000001"/>
    <n v="0.1174"/>
    <n v="-6.3E-3"/>
    <n v="383"/>
    <n v="0.4"/>
    <n v="511"/>
    <n v="0.65"/>
    <n v="0"/>
    <n v="0"/>
    <n v="0"/>
    <n v="4237"/>
    <n v="0"/>
  </r>
  <r>
    <x v="1"/>
    <x v="0"/>
    <s v="SPX"/>
    <x v="9"/>
    <x v="449"/>
    <s v="p"/>
    <n v="0.45"/>
    <n v="0.45"/>
    <n v="0.45"/>
    <n v="0.45"/>
    <n v="1"/>
    <n v="830"/>
    <n v="0.45"/>
    <n v="765"/>
    <n v="0.65"/>
    <n v="0"/>
    <n v="0"/>
    <n v="0"/>
    <n v="0"/>
    <n v="0.48459999999999998"/>
    <n v="-3.2000000000000002E-3"/>
    <n v="0"/>
    <n v="-0.21920000000000001"/>
    <n v="0.1222"/>
    <n v="-6.6E-3"/>
    <n v="403"/>
    <n v="0.4"/>
    <n v="490"/>
    <n v="0.65"/>
    <n v="0"/>
    <n v="0"/>
    <n v="0.45"/>
    <n v="329"/>
    <n v="0"/>
  </r>
  <r>
    <x v="1"/>
    <x v="0"/>
    <s v="SPX"/>
    <x v="9"/>
    <x v="450"/>
    <s v="p"/>
    <n v="0.45"/>
    <n v="0.77"/>
    <n v="0.45"/>
    <n v="0.77"/>
    <n v="14"/>
    <n v="1269"/>
    <n v="0.45"/>
    <n v="1209"/>
    <n v="0.65"/>
    <n v="0"/>
    <n v="0"/>
    <n v="0"/>
    <n v="0"/>
    <n v="0.48099999999999998"/>
    <n v="-3.2000000000000002E-3"/>
    <n v="0"/>
    <n v="-0.219"/>
    <n v="0.123"/>
    <n v="-6.6E-3"/>
    <n v="423"/>
    <n v="0.4"/>
    <n v="327"/>
    <n v="0.65"/>
    <n v="0"/>
    <n v="0"/>
    <n v="0.62570000000000003"/>
    <n v="265"/>
    <n v="0"/>
  </r>
  <r>
    <x v="1"/>
    <x v="0"/>
    <s v="SPX"/>
    <x v="9"/>
    <x v="29"/>
    <s v="p"/>
    <n v="0"/>
    <n v="0"/>
    <n v="0"/>
    <n v="0"/>
    <n v="0"/>
    <n v="376"/>
    <n v="0.5"/>
    <n v="1126"/>
    <n v="0.65"/>
    <n v="0"/>
    <n v="0"/>
    <n v="0"/>
    <n v="0"/>
    <n v="0.48110000000000003"/>
    <n v="-3.3E-3"/>
    <n v="0"/>
    <n v="-0.2276"/>
    <n v="0.1275"/>
    <n v="-6.8999999999999999E-3"/>
    <n v="419"/>
    <n v="0.4"/>
    <n v="268"/>
    <n v="0.65"/>
    <n v="0"/>
    <n v="0"/>
    <n v="0"/>
    <n v="5360"/>
    <n v="0"/>
  </r>
  <r>
    <x v="1"/>
    <x v="0"/>
    <s v="SPX"/>
    <x v="9"/>
    <x v="451"/>
    <s v="p"/>
    <n v="0.77"/>
    <n v="0.77"/>
    <n v="0.77"/>
    <n v="0.77"/>
    <n v="3"/>
    <n v="507"/>
    <n v="0.5"/>
    <n v="857"/>
    <n v="0.65"/>
    <n v="0"/>
    <n v="0"/>
    <n v="0"/>
    <n v="0"/>
    <n v="0.47970000000000002"/>
    <n v="-3.3E-3"/>
    <n v="0"/>
    <n v="-0.22750000000000001"/>
    <n v="0.1278"/>
    <n v="-6.8999999999999999E-3"/>
    <n v="266"/>
    <n v="0.45"/>
    <n v="265"/>
    <n v="0.65"/>
    <n v="0"/>
    <n v="0"/>
    <n v="0.77"/>
    <n v="999"/>
    <n v="0"/>
  </r>
  <r>
    <x v="1"/>
    <x v="0"/>
    <s v="SPX"/>
    <x v="9"/>
    <x v="452"/>
    <s v="p"/>
    <n v="0"/>
    <n v="0"/>
    <n v="0"/>
    <n v="0"/>
    <n v="0"/>
    <n v="816"/>
    <n v="0.5"/>
    <n v="734"/>
    <n v="0.65"/>
    <n v="0"/>
    <n v="0"/>
    <n v="0"/>
    <n v="0"/>
    <n v="0.47649999999999998"/>
    <n v="-3.3E-3"/>
    <n v="0"/>
    <n v="-0.2273"/>
    <n v="0.12859999999999999"/>
    <n v="-7.0000000000000001E-3"/>
    <n v="277"/>
    <n v="0.45"/>
    <n v="197"/>
    <n v="0.65"/>
    <n v="0"/>
    <n v="0"/>
    <n v="0"/>
    <n v="705"/>
    <n v="0"/>
  </r>
  <r>
    <x v="1"/>
    <x v="0"/>
    <s v="SPX"/>
    <x v="9"/>
    <x v="30"/>
    <s v="p"/>
    <n v="0.5"/>
    <n v="0.82"/>
    <n v="0.5"/>
    <n v="0.62"/>
    <n v="648"/>
    <n v="1158"/>
    <n v="0.5"/>
    <n v="520"/>
    <n v="0.65"/>
    <n v="0"/>
    <n v="0"/>
    <n v="0"/>
    <n v="0"/>
    <n v="0.47270000000000001"/>
    <n v="-3.3999999999999998E-3"/>
    <n v="0"/>
    <n v="-0.2271"/>
    <n v="0.1295"/>
    <n v="-7.0000000000000001E-3"/>
    <n v="30"/>
    <n v="0.5"/>
    <n v="512"/>
    <n v="0.7"/>
    <n v="0"/>
    <n v="0"/>
    <n v="0.55169999999999997"/>
    <n v="11959"/>
    <n v="0"/>
  </r>
  <r>
    <x v="1"/>
    <x v="0"/>
    <s v="SPX"/>
    <x v="9"/>
    <x v="453"/>
    <s v="p"/>
    <n v="0.5"/>
    <n v="0.85"/>
    <n v="0.5"/>
    <n v="0.85"/>
    <n v="29"/>
    <n v="1201"/>
    <n v="0.5"/>
    <n v="1093"/>
    <n v="0.7"/>
    <n v="0"/>
    <n v="0"/>
    <n v="0"/>
    <n v="0"/>
    <n v="0.47139999999999999"/>
    <n v="-3.5000000000000001E-3"/>
    <n v="0"/>
    <n v="-0.23549999999999999"/>
    <n v="0.1343"/>
    <n v="-7.3000000000000001E-3"/>
    <n v="400"/>
    <n v="0.45"/>
    <n v="464"/>
    <n v="0.7"/>
    <n v="0"/>
    <n v="0"/>
    <n v="0.72929999999999995"/>
    <n v="957"/>
    <n v="0"/>
  </r>
  <r>
    <x v="1"/>
    <x v="0"/>
    <s v="SPX"/>
    <x v="9"/>
    <x v="454"/>
    <s v="p"/>
    <n v="0.5"/>
    <n v="0.5"/>
    <n v="0.5"/>
    <n v="0.5"/>
    <n v="2"/>
    <n v="221"/>
    <n v="0.55000000000000004"/>
    <n v="699"/>
    <n v="0.7"/>
    <n v="0"/>
    <n v="0"/>
    <n v="0"/>
    <n v="0"/>
    <n v="0.46989999999999998"/>
    <n v="-3.5999999999999999E-3"/>
    <n v="0"/>
    <n v="-0.24379999999999999"/>
    <n v="0.1391"/>
    <n v="-7.6E-3"/>
    <n v="414"/>
    <n v="0.45"/>
    <n v="297"/>
    <n v="0.7"/>
    <n v="0"/>
    <n v="0"/>
    <n v="0.5"/>
    <n v="537"/>
    <n v="0"/>
  </r>
  <r>
    <x v="1"/>
    <x v="0"/>
    <s v="SPX"/>
    <x v="9"/>
    <x v="31"/>
    <s v="p"/>
    <n v="0.5"/>
    <n v="0.5"/>
    <n v="0.5"/>
    <n v="0.5"/>
    <n v="1"/>
    <n v="464"/>
    <n v="0.55000000000000004"/>
    <n v="1070"/>
    <n v="0.7"/>
    <n v="0"/>
    <n v="0"/>
    <n v="0"/>
    <n v="0"/>
    <n v="0.46850000000000003"/>
    <n v="-3.7000000000000002E-3"/>
    <n v="0"/>
    <n v="-0.2437"/>
    <n v="0.13950000000000001"/>
    <n v="-7.6E-3"/>
    <n v="215"/>
    <n v="0.5"/>
    <n v="238"/>
    <n v="0.7"/>
    <n v="0"/>
    <n v="0"/>
    <n v="0.5"/>
    <n v="849"/>
    <n v="0"/>
  </r>
  <r>
    <x v="1"/>
    <x v="0"/>
    <s v="SPX"/>
    <x v="9"/>
    <x v="455"/>
    <s v="p"/>
    <n v="0"/>
    <n v="0"/>
    <n v="0"/>
    <n v="0"/>
    <n v="0"/>
    <n v="257"/>
    <n v="0.55000000000000004"/>
    <n v="469"/>
    <n v="0.7"/>
    <n v="0"/>
    <n v="0"/>
    <n v="0"/>
    <n v="0"/>
    <n v="0.46639999999999998"/>
    <n v="-3.7000000000000002E-3"/>
    <n v="0"/>
    <n v="-0.24360000000000001"/>
    <n v="0.1401"/>
    <n v="-7.7000000000000002E-3"/>
    <n v="411"/>
    <n v="0.45"/>
    <n v="191"/>
    <n v="0.7"/>
    <n v="0"/>
    <n v="0"/>
    <n v="0"/>
    <n v="362"/>
    <n v="0"/>
  </r>
  <r>
    <x v="1"/>
    <x v="0"/>
    <s v="SPX"/>
    <x v="9"/>
    <x v="456"/>
    <s v="p"/>
    <n v="0"/>
    <n v="0"/>
    <n v="0"/>
    <n v="0"/>
    <n v="0"/>
    <n v="545"/>
    <n v="0.55000000000000004"/>
    <n v="287"/>
    <n v="0.7"/>
    <n v="0"/>
    <n v="0"/>
    <n v="0"/>
    <n v="0"/>
    <n v="0.4632"/>
    <n v="-3.7000000000000002E-3"/>
    <n v="0"/>
    <n v="-0.24329999999999999"/>
    <n v="0.1409"/>
    <n v="-7.7000000000000002E-3"/>
    <n v="274"/>
    <n v="0.5"/>
    <n v="184"/>
    <n v="0.7"/>
    <n v="0"/>
    <n v="0"/>
    <n v="0"/>
    <n v="377"/>
    <n v="0"/>
  </r>
  <r>
    <x v="1"/>
    <x v="0"/>
    <s v="SPX"/>
    <x v="9"/>
    <x v="32"/>
    <s v="p"/>
    <n v="0.55000000000000004"/>
    <n v="0.55000000000000004"/>
    <n v="0.55000000000000004"/>
    <n v="0.55000000000000004"/>
    <n v="140"/>
    <n v="1214"/>
    <n v="0.55000000000000004"/>
    <n v="50"/>
    <n v="0.65"/>
    <n v="0"/>
    <n v="0"/>
    <n v="0"/>
    <n v="0"/>
    <n v="0.45760000000000001"/>
    <n v="-3.5999999999999999E-3"/>
    <n v="0"/>
    <n v="-0.2346"/>
    <n v="0.13789999999999999"/>
    <n v="-7.4999999999999997E-3"/>
    <n v="371"/>
    <n v="0.5"/>
    <n v="412"/>
    <n v="0.75"/>
    <n v="0"/>
    <n v="0"/>
    <n v="0.55000000000000004"/>
    <n v="5243"/>
    <n v="0"/>
  </r>
  <r>
    <x v="1"/>
    <x v="0"/>
    <s v="SPX"/>
    <x v="9"/>
    <x v="457"/>
    <s v="p"/>
    <n v="0.46"/>
    <n v="0.65"/>
    <n v="0.46"/>
    <n v="0.6"/>
    <n v="77"/>
    <n v="1365"/>
    <n v="0.55000000000000004"/>
    <n v="1237"/>
    <n v="0.75"/>
    <n v="0"/>
    <n v="0"/>
    <n v="0"/>
    <n v="0"/>
    <n v="0.45850000000000002"/>
    <n v="-3.8999999999999998E-3"/>
    <n v="0"/>
    <n v="-0.25140000000000001"/>
    <n v="0.1467"/>
    <n v="-8.0999999999999996E-3"/>
    <n v="394"/>
    <n v="0.5"/>
    <n v="412"/>
    <n v="0.75"/>
    <n v="0"/>
    <n v="0"/>
    <n v="0.4778"/>
    <n v="383"/>
    <n v="0"/>
  </r>
  <r>
    <x v="1"/>
    <x v="0"/>
    <s v="SPX"/>
    <x v="9"/>
    <x v="458"/>
    <s v="p"/>
    <n v="0.46"/>
    <n v="0.46"/>
    <n v="0.46"/>
    <n v="0.46"/>
    <n v="16"/>
    <n v="239"/>
    <n v="0.6"/>
    <n v="467"/>
    <n v="0.75"/>
    <n v="0"/>
    <n v="0"/>
    <n v="0"/>
    <n v="0"/>
    <n v="0.45669999999999999"/>
    <n v="-4.0000000000000001E-3"/>
    <n v="0"/>
    <n v="-0.25950000000000001"/>
    <n v="0.1517"/>
    <n v="-8.3999999999999995E-3"/>
    <n v="217"/>
    <n v="0.55000000000000004"/>
    <n v="234"/>
    <n v="0.75"/>
    <n v="0"/>
    <n v="0"/>
    <n v="0.46"/>
    <n v="519"/>
    <n v="0"/>
  </r>
  <r>
    <x v="1"/>
    <x v="0"/>
    <s v="SPX"/>
    <x v="9"/>
    <x v="33"/>
    <s v="p"/>
    <n v="0"/>
    <n v="0"/>
    <n v="0"/>
    <n v="0"/>
    <n v="0"/>
    <n v="504"/>
    <n v="0.6"/>
    <n v="677"/>
    <n v="0.75"/>
    <n v="0"/>
    <n v="0"/>
    <n v="0"/>
    <n v="0"/>
    <n v="0.45469999999999999"/>
    <n v="-4.0000000000000001E-3"/>
    <n v="0"/>
    <n v="-0.25940000000000002"/>
    <n v="0.15229999999999999"/>
    <n v="-8.3999999999999995E-3"/>
    <n v="230"/>
    <n v="0.55000000000000004"/>
    <n v="180"/>
    <n v="0.75"/>
    <n v="0"/>
    <n v="0"/>
    <n v="0"/>
    <n v="2210"/>
    <n v="0"/>
  </r>
  <r>
    <x v="1"/>
    <x v="0"/>
    <s v="SPX"/>
    <x v="9"/>
    <x v="459"/>
    <s v="p"/>
    <n v="0"/>
    <n v="0"/>
    <n v="0"/>
    <n v="0"/>
    <n v="0"/>
    <n v="426"/>
    <n v="0.6"/>
    <n v="287"/>
    <n v="0.75"/>
    <n v="0"/>
    <n v="0"/>
    <n v="0"/>
    <n v="0"/>
    <n v="0.45329999999999998"/>
    <n v="-4.0000000000000001E-3"/>
    <n v="0"/>
    <n v="-0.25929999999999997"/>
    <n v="0.1527"/>
    <n v="-8.3999999999999995E-3"/>
    <n v="228"/>
    <n v="0.55000000000000004"/>
    <n v="177"/>
    <n v="0.75"/>
    <n v="0"/>
    <n v="0"/>
    <n v="0"/>
    <n v="418"/>
    <n v="0"/>
  </r>
  <r>
    <x v="1"/>
    <x v="0"/>
    <s v="SPX"/>
    <x v="9"/>
    <x v="460"/>
    <s v="p"/>
    <n v="0.7"/>
    <n v="0.7"/>
    <n v="0.7"/>
    <n v="0.7"/>
    <n v="2000"/>
    <n v="833"/>
    <n v="0.6"/>
    <n v="471"/>
    <n v="0.75"/>
    <n v="0"/>
    <n v="0"/>
    <n v="0"/>
    <n v="0"/>
    <n v="0.45100000000000001"/>
    <n v="-4.1000000000000003E-3"/>
    <n v="0"/>
    <n v="-0.2591"/>
    <n v="0.15340000000000001"/>
    <n v="-8.5000000000000006E-3"/>
    <n v="299"/>
    <n v="0.5"/>
    <n v="285"/>
    <n v="0.8"/>
    <n v="0"/>
    <n v="0"/>
    <n v="0.7"/>
    <n v="453"/>
    <n v="0"/>
  </r>
  <r>
    <x v="1"/>
    <x v="0"/>
    <s v="SPX"/>
    <x v="9"/>
    <x v="461"/>
    <s v="p"/>
    <n v="0"/>
    <n v="0"/>
    <n v="0"/>
    <n v="0"/>
    <n v="0"/>
    <n v="1215"/>
    <n v="0.6"/>
    <n v="1028"/>
    <n v="0.8"/>
    <n v="0"/>
    <n v="0"/>
    <n v="0"/>
    <n v="0"/>
    <n v="0.4511"/>
    <n v="-4.1999999999999997E-3"/>
    <n v="0"/>
    <n v="-0.26729999999999998"/>
    <n v="0.15790000000000001"/>
    <n v="-8.6999999999999994E-3"/>
    <n v="250"/>
    <n v="0.55000000000000004"/>
    <n v="171"/>
    <n v="0.75"/>
    <n v="0"/>
    <n v="0"/>
    <n v="0"/>
    <n v="889"/>
    <n v="0"/>
  </r>
  <r>
    <x v="1"/>
    <x v="0"/>
    <s v="SPX"/>
    <x v="9"/>
    <x v="462"/>
    <s v="p"/>
    <n v="0"/>
    <n v="0"/>
    <n v="0"/>
    <n v="0"/>
    <n v="0"/>
    <n v="425"/>
    <n v="0.6"/>
    <n v="434"/>
    <n v="0.8"/>
    <n v="0"/>
    <n v="0"/>
    <n v="0"/>
    <n v="0"/>
    <n v="0.44969999999999999"/>
    <n v="-4.1999999999999997E-3"/>
    <n v="0"/>
    <n v="-0.26719999999999999"/>
    <n v="0.15840000000000001"/>
    <n v="-8.8000000000000005E-3"/>
    <n v="254"/>
    <n v="0.55000000000000004"/>
    <n v="258"/>
    <n v="0.8"/>
    <n v="0"/>
    <n v="0"/>
    <n v="0"/>
    <n v="129"/>
    <n v="0"/>
  </r>
  <r>
    <x v="1"/>
    <x v="0"/>
    <s v="SPX"/>
    <x v="9"/>
    <x v="34"/>
    <s v="p"/>
    <n v="0.74"/>
    <n v="0.75"/>
    <n v="0.6"/>
    <n v="0.75"/>
    <n v="203"/>
    <n v="1327"/>
    <n v="0.6"/>
    <n v="50"/>
    <n v="0.7"/>
    <n v="0"/>
    <n v="0"/>
    <n v="0"/>
    <n v="0"/>
    <n v="0.44429999999999997"/>
    <n v="-4.0000000000000001E-3"/>
    <n v="0"/>
    <n v="-0.25040000000000001"/>
    <n v="0.15090000000000001"/>
    <n v="-8.3000000000000001E-3"/>
    <n v="364"/>
    <n v="0.55000000000000004"/>
    <n v="379"/>
    <n v="0.8"/>
    <n v="0"/>
    <n v="0"/>
    <n v="0.65920000000000001"/>
    <n v="12772"/>
    <n v="0"/>
  </r>
  <r>
    <x v="1"/>
    <x v="0"/>
    <s v="SPX"/>
    <x v="9"/>
    <x v="463"/>
    <s v="p"/>
    <n v="0"/>
    <n v="0"/>
    <n v="0"/>
    <n v="0"/>
    <n v="0"/>
    <n v="388"/>
    <n v="0.6"/>
    <n v="422"/>
    <n v="0.8"/>
    <n v="0"/>
    <n v="0"/>
    <n v="0"/>
    <n v="0"/>
    <n v="0.44619999999999999"/>
    <n v="-4.1999999999999997E-3"/>
    <n v="0"/>
    <n v="-0.26700000000000002"/>
    <n v="0.1595"/>
    <n v="-8.8000000000000005E-3"/>
    <n v="265"/>
    <n v="0.55000000000000004"/>
    <n v="134"/>
    <n v="0.8"/>
    <n v="0"/>
    <n v="0"/>
    <n v="0"/>
    <n v="174"/>
    <n v="0"/>
  </r>
  <r>
    <x v="1"/>
    <x v="0"/>
    <s v="SPX"/>
    <x v="9"/>
    <x v="464"/>
    <s v="p"/>
    <n v="0"/>
    <n v="0"/>
    <n v="0"/>
    <n v="0"/>
    <n v="0"/>
    <n v="208"/>
    <n v="0.65"/>
    <n v="313"/>
    <n v="0.8"/>
    <n v="0"/>
    <n v="0"/>
    <n v="0"/>
    <n v="0"/>
    <n v="0.44640000000000002"/>
    <n v="-4.4000000000000003E-3"/>
    <n v="0"/>
    <n v="-0.27510000000000001"/>
    <n v="0.16389999999999999"/>
    <n v="-9.1000000000000004E-3"/>
    <n v="391"/>
    <n v="0.55000000000000004"/>
    <n v="216"/>
    <n v="0.8"/>
    <n v="0"/>
    <n v="0"/>
    <n v="0"/>
    <n v="455"/>
    <n v="0"/>
  </r>
  <r>
    <x v="1"/>
    <x v="0"/>
    <s v="SPX"/>
    <x v="9"/>
    <x v="465"/>
    <s v="p"/>
    <n v="0"/>
    <n v="0"/>
    <n v="0"/>
    <n v="0"/>
    <n v="0"/>
    <n v="251"/>
    <n v="0.65"/>
    <n v="290"/>
    <n v="0.8"/>
    <n v="0"/>
    <n v="0"/>
    <n v="0"/>
    <n v="0"/>
    <n v="0.44429999999999997"/>
    <n v="-4.4000000000000003E-3"/>
    <n v="0"/>
    <n v="-0.27489999999999998"/>
    <n v="0.1646"/>
    <n v="-9.1000000000000004E-3"/>
    <n v="267"/>
    <n v="0.55000000000000004"/>
    <n v="272"/>
    <n v="0.85"/>
    <n v="0"/>
    <n v="0"/>
    <n v="0"/>
    <n v="152"/>
    <n v="0"/>
  </r>
  <r>
    <x v="1"/>
    <x v="0"/>
    <s v="SPX"/>
    <x v="9"/>
    <x v="466"/>
    <s v="p"/>
    <n v="0.78"/>
    <n v="0.78"/>
    <n v="0.78"/>
    <n v="0.78"/>
    <n v="1"/>
    <n v="432"/>
    <n v="0.65"/>
    <n v="284"/>
    <n v="0.8"/>
    <n v="0"/>
    <n v="0"/>
    <n v="0"/>
    <n v="0"/>
    <n v="0.44280000000000003"/>
    <n v="-4.4000000000000003E-3"/>
    <n v="0"/>
    <n v="-0.27479999999999999"/>
    <n v="0.1651"/>
    <n v="-9.1999999999999998E-3"/>
    <n v="396"/>
    <n v="0.55000000000000004"/>
    <n v="170"/>
    <n v="0.8"/>
    <n v="0"/>
    <n v="0"/>
    <n v="0.78"/>
    <n v="370"/>
    <n v="0"/>
  </r>
  <r>
    <x v="1"/>
    <x v="0"/>
    <s v="SPX"/>
    <x v="9"/>
    <x v="35"/>
    <s v="p"/>
    <n v="0"/>
    <n v="0"/>
    <n v="0"/>
    <n v="0"/>
    <n v="0"/>
    <n v="983"/>
    <n v="0.65"/>
    <n v="1125"/>
    <n v="0.85"/>
    <n v="0"/>
    <n v="0"/>
    <n v="0"/>
    <n v="0"/>
    <n v="0.44240000000000002"/>
    <n v="-4.4999999999999997E-3"/>
    <n v="0"/>
    <n v="-0.28289999999999998"/>
    <n v="0.16980000000000001"/>
    <n v="-9.4999999999999998E-3"/>
    <n v="244"/>
    <n v="0.6"/>
    <n v="165"/>
    <n v="0.8"/>
    <n v="0"/>
    <n v="0"/>
    <n v="0"/>
    <n v="2308"/>
    <n v="0"/>
  </r>
  <r>
    <x v="1"/>
    <x v="0"/>
    <s v="SPX"/>
    <x v="9"/>
    <x v="467"/>
    <s v="p"/>
    <n v="0"/>
    <n v="0"/>
    <n v="0"/>
    <n v="0"/>
    <n v="0"/>
    <n v="724"/>
    <n v="0.65"/>
    <n v="729"/>
    <n v="0.85"/>
    <n v="0"/>
    <n v="0"/>
    <n v="0"/>
    <n v="0"/>
    <n v="0.44090000000000001"/>
    <n v="-4.5999999999999999E-3"/>
    <n v="0"/>
    <n v="-0.28270000000000001"/>
    <n v="0.1704"/>
    <n v="-9.4999999999999998E-3"/>
    <n v="248"/>
    <n v="0.6"/>
    <n v="390"/>
    <n v="0.85"/>
    <n v="0"/>
    <n v="0"/>
    <n v="0"/>
    <n v="535"/>
    <n v="0"/>
  </r>
  <r>
    <x v="1"/>
    <x v="0"/>
    <s v="SPX"/>
    <x v="9"/>
    <x v="468"/>
    <s v="p"/>
    <n v="0.78"/>
    <n v="0.78"/>
    <n v="0.78"/>
    <n v="0.78"/>
    <n v="1"/>
    <n v="922"/>
    <n v="0.65"/>
    <n v="911"/>
    <n v="0.85"/>
    <n v="0"/>
    <n v="0"/>
    <n v="0"/>
    <n v="0"/>
    <n v="0.43940000000000001"/>
    <n v="-4.5999999999999999E-3"/>
    <n v="0"/>
    <n v="-0.28260000000000002"/>
    <n v="0.1709"/>
    <n v="-9.4999999999999998E-3"/>
    <n v="235"/>
    <n v="0.6"/>
    <n v="242"/>
    <n v="0.85"/>
    <n v="0"/>
    <n v="0"/>
    <n v="0.78"/>
    <n v="1159"/>
    <n v="0"/>
  </r>
  <r>
    <x v="1"/>
    <x v="0"/>
    <s v="SPX"/>
    <x v="9"/>
    <x v="469"/>
    <s v="p"/>
    <n v="0.65"/>
    <n v="0.65"/>
    <n v="0.65"/>
    <n v="0.65"/>
    <n v="1"/>
    <n v="865"/>
    <n v="0.65"/>
    <n v="333"/>
    <n v="0.85"/>
    <n v="0"/>
    <n v="0"/>
    <n v="0"/>
    <n v="0"/>
    <n v="0.43719999999999998"/>
    <n v="-4.5999999999999999E-3"/>
    <n v="0"/>
    <n v="-0.28239999999999998"/>
    <n v="0.1716"/>
    <n v="-9.5999999999999992E-3"/>
    <n v="336"/>
    <n v="0.6"/>
    <n v="362"/>
    <n v="0.85"/>
    <n v="0"/>
    <n v="0"/>
    <n v="0.65"/>
    <n v="687"/>
    <n v="0"/>
  </r>
  <r>
    <x v="1"/>
    <x v="0"/>
    <s v="SPX"/>
    <x v="9"/>
    <x v="470"/>
    <s v="p"/>
    <n v="0.5"/>
    <n v="0.5"/>
    <n v="0.5"/>
    <n v="0.5"/>
    <n v="17"/>
    <n v="317"/>
    <n v="0.7"/>
    <n v="688"/>
    <n v="0.85"/>
    <n v="0"/>
    <n v="0"/>
    <n v="0"/>
    <n v="0"/>
    <n v="0.43719999999999998"/>
    <n v="-4.7000000000000002E-3"/>
    <n v="0"/>
    <n v="-0.29049999999999998"/>
    <n v="0.1762"/>
    <n v="-9.9000000000000008E-3"/>
    <n v="260"/>
    <n v="0.6"/>
    <n v="118"/>
    <n v="0.85"/>
    <n v="0"/>
    <n v="0"/>
    <n v="0.5"/>
    <n v="299"/>
    <n v="0"/>
  </r>
  <r>
    <x v="1"/>
    <x v="0"/>
    <s v="SPX"/>
    <x v="9"/>
    <x v="36"/>
    <s v="p"/>
    <n v="0.68"/>
    <n v="0.79"/>
    <n v="0.68"/>
    <n v="0.7"/>
    <n v="190"/>
    <n v="687"/>
    <n v="0.7"/>
    <n v="165"/>
    <n v="0.8"/>
    <n v="0"/>
    <n v="0"/>
    <n v="0"/>
    <n v="0"/>
    <n v="0.43409999999999999"/>
    <n v="-4.5999999999999999E-3"/>
    <n v="0"/>
    <n v="-0.28220000000000001"/>
    <n v="0.17280000000000001"/>
    <n v="-9.5999999999999992E-3"/>
    <n v="218"/>
    <n v="0.65"/>
    <n v="165"/>
    <n v="0.85"/>
    <n v="0"/>
    <n v="0"/>
    <n v="0.69630000000000003"/>
    <n v="7680"/>
    <n v="0"/>
  </r>
  <r>
    <x v="1"/>
    <x v="0"/>
    <s v="SPX"/>
    <x v="9"/>
    <x v="471"/>
    <s v="p"/>
    <n v="0"/>
    <n v="0"/>
    <n v="0"/>
    <n v="0"/>
    <n v="0"/>
    <n v="240"/>
    <n v="0.7"/>
    <n v="275"/>
    <n v="0.85"/>
    <n v="0"/>
    <n v="0"/>
    <n v="0"/>
    <n v="0"/>
    <n v="0.43369999999999997"/>
    <n v="-4.7999999999999996E-3"/>
    <n v="0"/>
    <n v="-0.29010000000000002"/>
    <n v="0.17749999999999999"/>
    <n v="-9.9000000000000008E-3"/>
    <n v="272"/>
    <n v="0.6"/>
    <n v="265"/>
    <n v="0.9"/>
    <n v="0"/>
    <n v="0"/>
    <n v="0"/>
    <n v="236"/>
    <n v="0"/>
  </r>
  <r>
    <x v="1"/>
    <x v="0"/>
    <s v="SPX"/>
    <x v="9"/>
    <x v="472"/>
    <s v="p"/>
    <n v="0"/>
    <n v="0"/>
    <n v="0"/>
    <n v="0"/>
    <n v="0"/>
    <n v="415"/>
    <n v="0.7"/>
    <n v="712"/>
    <n v="0.9"/>
    <n v="0"/>
    <n v="0"/>
    <n v="0"/>
    <n v="0"/>
    <n v="0.4335"/>
    <n v="-4.8999999999999998E-3"/>
    <n v="0"/>
    <n v="-0.29809999999999998"/>
    <n v="0.1822"/>
    <n v="-1.0200000000000001E-2"/>
    <n v="222"/>
    <n v="0.65"/>
    <n v="96"/>
    <n v="0.85"/>
    <n v="0"/>
    <n v="0"/>
    <n v="0"/>
    <n v="351"/>
    <n v="0"/>
  </r>
  <r>
    <x v="1"/>
    <x v="0"/>
    <s v="SPX"/>
    <x v="9"/>
    <x v="473"/>
    <s v="p"/>
    <n v="0"/>
    <n v="0"/>
    <n v="0"/>
    <n v="0"/>
    <n v="0"/>
    <n v="398"/>
    <n v="0.7"/>
    <n v="439"/>
    <n v="0.9"/>
    <n v="0"/>
    <n v="0"/>
    <n v="0"/>
    <n v="0"/>
    <n v="0.43190000000000001"/>
    <n v="-4.8999999999999998E-3"/>
    <n v="0"/>
    <n v="-0.2979"/>
    <n v="0.18279999999999999"/>
    <n v="-1.03E-2"/>
    <n v="155"/>
    <n v="0.65"/>
    <n v="247"/>
    <n v="0.9"/>
    <n v="0"/>
    <n v="0"/>
    <n v="0"/>
    <n v="198"/>
    <n v="0"/>
  </r>
  <r>
    <x v="1"/>
    <x v="0"/>
    <s v="SPX"/>
    <x v="9"/>
    <x v="294"/>
    <s v="p"/>
    <n v="0"/>
    <n v="0"/>
    <n v="0"/>
    <n v="0"/>
    <n v="0"/>
    <n v="1290"/>
    <n v="0.7"/>
    <n v="872"/>
    <n v="0.9"/>
    <n v="0"/>
    <n v="0"/>
    <n v="0"/>
    <n v="0"/>
    <n v="0.4299"/>
    <n v="-4.8999999999999998E-3"/>
    <n v="0"/>
    <n v="-0.29770000000000002"/>
    <n v="0.18360000000000001"/>
    <n v="-1.03E-2"/>
    <n v="244"/>
    <n v="0.65"/>
    <n v="367"/>
    <n v="0.9"/>
    <n v="0"/>
    <n v="0"/>
    <n v="0"/>
    <n v="841"/>
    <n v="0"/>
  </r>
  <r>
    <x v="1"/>
    <x v="0"/>
    <s v="SPX"/>
    <x v="9"/>
    <x v="37"/>
    <s v="p"/>
    <n v="0.65"/>
    <n v="0.65"/>
    <n v="0.65"/>
    <n v="0.65"/>
    <n v="1"/>
    <n v="1286"/>
    <n v="0.7"/>
    <n v="735"/>
    <n v="0.9"/>
    <n v="0"/>
    <n v="0"/>
    <n v="0"/>
    <n v="0"/>
    <n v="0.42820000000000003"/>
    <n v="-5.0000000000000001E-3"/>
    <n v="0"/>
    <n v="-0.29759999999999998"/>
    <n v="0.1842"/>
    <n v="-1.03E-2"/>
    <n v="322"/>
    <n v="0.65"/>
    <n v="344"/>
    <n v="0.9"/>
    <n v="0"/>
    <n v="0"/>
    <n v="0.65"/>
    <n v="2949"/>
    <n v="0"/>
  </r>
  <r>
    <x v="1"/>
    <x v="0"/>
    <s v="SPX"/>
    <x v="9"/>
    <x v="295"/>
    <s v="p"/>
    <n v="0"/>
    <n v="0"/>
    <n v="0"/>
    <n v="0"/>
    <n v="0"/>
    <n v="856"/>
    <n v="0.7"/>
    <n v="292"/>
    <n v="0.9"/>
    <n v="0"/>
    <n v="0"/>
    <n v="0"/>
    <n v="0"/>
    <n v="0.42670000000000002"/>
    <n v="-5.0000000000000001E-3"/>
    <n v="0"/>
    <n v="-0.2974"/>
    <n v="0.18479999999999999"/>
    <n v="-1.04E-2"/>
    <n v="332"/>
    <n v="0.65"/>
    <n v="255"/>
    <n v="0.9"/>
    <n v="0"/>
    <n v="0"/>
    <n v="0"/>
    <n v="591"/>
    <n v="0"/>
  </r>
  <r>
    <x v="1"/>
    <x v="0"/>
    <s v="SPX"/>
    <x v="9"/>
    <x v="474"/>
    <s v="p"/>
    <n v="0"/>
    <n v="0"/>
    <n v="0"/>
    <n v="0"/>
    <n v="0"/>
    <n v="446"/>
    <n v="0.7"/>
    <n v="287"/>
    <n v="0.9"/>
    <n v="0"/>
    <n v="0"/>
    <n v="0"/>
    <n v="0"/>
    <n v="0.4249"/>
    <n v="-5.0000000000000001E-3"/>
    <n v="0"/>
    <n v="-0.29730000000000001"/>
    <n v="0.1855"/>
    <n v="-1.04E-2"/>
    <n v="264"/>
    <n v="0.65"/>
    <n v="79"/>
    <n v="0.9"/>
    <n v="0"/>
    <n v="0"/>
    <n v="0"/>
    <n v="138"/>
    <n v="0"/>
  </r>
  <r>
    <x v="1"/>
    <x v="0"/>
    <s v="SPX"/>
    <x v="9"/>
    <x v="296"/>
    <s v="p"/>
    <n v="0.72"/>
    <n v="1.2"/>
    <n v="0.67"/>
    <n v="1.2"/>
    <n v="8"/>
    <n v="362"/>
    <n v="0.75"/>
    <n v="709"/>
    <n v="0.95"/>
    <n v="0"/>
    <n v="0"/>
    <n v="0"/>
    <n v="0"/>
    <n v="0.42599999999999999"/>
    <n v="-5.3E-3"/>
    <n v="0"/>
    <n v="-0.31309999999999999"/>
    <n v="0.1943"/>
    <n v="-1.0999999999999999E-2"/>
    <n v="244"/>
    <n v="0.7"/>
    <n v="157"/>
    <n v="0.9"/>
    <n v="0"/>
    <n v="0"/>
    <n v="1.0075000000000001"/>
    <n v="513"/>
    <n v="0"/>
  </r>
  <r>
    <x v="1"/>
    <x v="0"/>
    <s v="SPX"/>
    <x v="9"/>
    <x v="475"/>
    <s v="p"/>
    <n v="0"/>
    <n v="0"/>
    <n v="0"/>
    <n v="0"/>
    <n v="0"/>
    <n v="240"/>
    <n v="0.75"/>
    <n v="386"/>
    <n v="0.95"/>
    <n v="0"/>
    <n v="0"/>
    <n v="0"/>
    <n v="0"/>
    <n v="0.42420000000000002"/>
    <n v="-5.3E-3"/>
    <n v="0"/>
    <n v="-0.31290000000000001"/>
    <n v="0.19500000000000001"/>
    <n v="-1.0999999999999999E-2"/>
    <n v="101"/>
    <n v="0.7"/>
    <n v="256"/>
    <n v="0.95"/>
    <n v="0"/>
    <n v="0"/>
    <n v="0"/>
    <n v="125"/>
    <n v="0"/>
  </r>
  <r>
    <x v="1"/>
    <x v="0"/>
    <s v="SPX"/>
    <x v="9"/>
    <x v="38"/>
    <s v="p"/>
    <n v="0.72"/>
    <n v="1.27"/>
    <n v="0.65"/>
    <n v="0.8"/>
    <n v="5161"/>
    <n v="1163"/>
    <n v="0.75"/>
    <n v="882"/>
    <n v="0.95"/>
    <n v="0"/>
    <n v="0"/>
    <n v="0"/>
    <n v="0"/>
    <n v="0.42259999999999998"/>
    <n v="-5.3E-3"/>
    <n v="0"/>
    <n v="-0.31280000000000002"/>
    <n v="0.19570000000000001"/>
    <n v="-1.11E-2"/>
    <n v="228"/>
    <n v="0.7"/>
    <n v="344"/>
    <n v="0.95"/>
    <n v="0"/>
    <n v="0"/>
    <n v="0.72409999999999997"/>
    <n v="112457"/>
    <n v="0"/>
  </r>
  <r>
    <x v="1"/>
    <x v="0"/>
    <s v="SPX"/>
    <x v="9"/>
    <x v="476"/>
    <s v="p"/>
    <n v="0.61"/>
    <n v="1.02"/>
    <n v="0.61"/>
    <n v="0.95"/>
    <n v="25"/>
    <n v="399"/>
    <n v="0.75"/>
    <n v="397"/>
    <n v="0.95"/>
    <n v="0"/>
    <n v="0"/>
    <n v="0"/>
    <n v="0"/>
    <n v="0.4209"/>
    <n v="-5.3E-3"/>
    <n v="0"/>
    <n v="-0.3125"/>
    <n v="0.19639999999999999"/>
    <n v="-1.11E-2"/>
    <n v="80"/>
    <n v="0.7"/>
    <n v="223"/>
    <n v="0.95"/>
    <n v="0"/>
    <n v="0"/>
    <n v="0.73519999999999996"/>
    <n v="244"/>
    <n v="0"/>
  </r>
  <r>
    <x v="1"/>
    <x v="0"/>
    <s v="SPX"/>
    <x v="9"/>
    <x v="297"/>
    <s v="p"/>
    <n v="0"/>
    <n v="0"/>
    <n v="0"/>
    <n v="0"/>
    <n v="0"/>
    <n v="1360"/>
    <n v="0.75"/>
    <n v="680"/>
    <n v="0.95"/>
    <n v="0"/>
    <n v="0"/>
    <n v="0"/>
    <n v="0"/>
    <n v="0.41909999999999997"/>
    <n v="-5.3E-3"/>
    <n v="0"/>
    <n v="-0.31240000000000001"/>
    <n v="0.1971"/>
    <n v="-1.12E-2"/>
    <n v="248"/>
    <n v="0.7"/>
    <n v="314"/>
    <n v="0.95"/>
    <n v="0"/>
    <n v="0"/>
    <n v="0"/>
    <n v="703"/>
    <n v="0"/>
  </r>
  <r>
    <x v="1"/>
    <x v="0"/>
    <s v="SPX"/>
    <x v="9"/>
    <x v="477"/>
    <s v="p"/>
    <n v="0"/>
    <n v="0"/>
    <n v="0"/>
    <n v="0"/>
    <n v="0"/>
    <n v="520"/>
    <n v="0.75"/>
    <n v="290"/>
    <n v="0.95"/>
    <n v="0"/>
    <n v="0"/>
    <n v="0"/>
    <n v="0"/>
    <n v="0.41770000000000002"/>
    <n v="-5.4000000000000003E-3"/>
    <n v="0"/>
    <n v="-0.31219999999999998"/>
    <n v="0.19769999999999999"/>
    <n v="-1.12E-2"/>
    <n v="236"/>
    <n v="0.7"/>
    <n v="272"/>
    <n v="1"/>
    <n v="0"/>
    <n v="0"/>
    <n v="0"/>
    <n v="191"/>
    <n v="0"/>
  </r>
  <r>
    <x v="1"/>
    <x v="0"/>
    <s v="SPX"/>
    <x v="9"/>
    <x v="298"/>
    <s v="p"/>
    <n v="0"/>
    <n v="0"/>
    <n v="0"/>
    <n v="0"/>
    <n v="0"/>
    <n v="372"/>
    <n v="0.8"/>
    <n v="284"/>
    <n v="0.95"/>
    <n v="0"/>
    <n v="0"/>
    <n v="0"/>
    <n v="0"/>
    <n v="0.41689999999999999"/>
    <n v="-5.4999999999999997E-3"/>
    <n v="0"/>
    <n v="-0.31990000000000002"/>
    <n v="0.2026"/>
    <n v="-1.15E-2"/>
    <n v="207"/>
    <n v="0.75"/>
    <n v="96"/>
    <n v="0.95"/>
    <n v="0"/>
    <n v="0"/>
    <n v="0"/>
    <n v="588"/>
    <n v="0"/>
  </r>
  <r>
    <x v="1"/>
    <x v="0"/>
    <s v="SPX"/>
    <x v="9"/>
    <x v="39"/>
    <s v="p"/>
    <n v="1.27"/>
    <n v="1.27"/>
    <n v="0.85"/>
    <n v="0.85"/>
    <n v="6"/>
    <n v="951"/>
    <n v="0.8"/>
    <n v="509"/>
    <n v="0.95"/>
    <n v="0"/>
    <n v="0"/>
    <n v="0"/>
    <n v="0"/>
    <n v="0.41539999999999999"/>
    <n v="-5.4999999999999997E-3"/>
    <n v="0"/>
    <n v="-0.31969999999999998"/>
    <n v="0.20330000000000001"/>
    <n v="-1.1599999999999999E-2"/>
    <n v="248"/>
    <n v="0.75"/>
    <n v="350"/>
    <n v="1"/>
    <n v="0"/>
    <n v="0"/>
    <n v="1.1183000000000001"/>
    <n v="1801"/>
    <n v="0"/>
  </r>
  <r>
    <x v="1"/>
    <x v="0"/>
    <s v="SPX"/>
    <x v="9"/>
    <x v="299"/>
    <s v="p"/>
    <n v="0.9"/>
    <n v="0.9"/>
    <n v="0.9"/>
    <n v="0.9"/>
    <n v="2"/>
    <n v="488"/>
    <n v="0.8"/>
    <n v="486"/>
    <n v="1"/>
    <n v="0"/>
    <n v="0"/>
    <n v="0"/>
    <n v="0"/>
    <n v="0.41470000000000001"/>
    <n v="-5.7000000000000002E-3"/>
    <n v="0"/>
    <n v="-0.32740000000000002"/>
    <n v="0.20810000000000001"/>
    <n v="-1.1900000000000001E-2"/>
    <n v="225"/>
    <n v="0.75"/>
    <n v="334"/>
    <n v="1"/>
    <n v="0"/>
    <n v="0"/>
    <n v="0.9"/>
    <n v="864"/>
    <n v="0"/>
  </r>
  <r>
    <x v="1"/>
    <x v="0"/>
    <s v="SPX"/>
    <x v="9"/>
    <x v="478"/>
    <s v="p"/>
    <n v="0"/>
    <n v="0"/>
    <n v="0"/>
    <n v="0"/>
    <n v="0"/>
    <n v="388"/>
    <n v="0.8"/>
    <n v="401"/>
    <n v="1"/>
    <n v="0"/>
    <n v="0"/>
    <n v="0"/>
    <n v="0"/>
    <n v="0.41339999999999999"/>
    <n v="-5.7000000000000002E-3"/>
    <n v="0"/>
    <n v="-0.32719999999999999"/>
    <n v="0.20880000000000001"/>
    <n v="-1.1900000000000001E-2"/>
    <n v="102"/>
    <n v="0.75"/>
    <n v="240"/>
    <n v="1"/>
    <n v="0"/>
    <n v="0"/>
    <n v="0"/>
    <n v="318"/>
    <n v="0"/>
  </r>
  <r>
    <x v="1"/>
    <x v="0"/>
    <s v="SPX"/>
    <x v="9"/>
    <x v="300"/>
    <s v="p"/>
    <n v="0"/>
    <n v="0"/>
    <n v="0"/>
    <n v="0"/>
    <n v="0"/>
    <n v="1262"/>
    <n v="0.8"/>
    <n v="692"/>
    <n v="1"/>
    <n v="0"/>
    <n v="0"/>
    <n v="0"/>
    <n v="0"/>
    <n v="0.4113"/>
    <n v="-5.7000000000000002E-3"/>
    <n v="0"/>
    <n v="-0.32700000000000001"/>
    <n v="0.2097"/>
    <n v="-1.2E-2"/>
    <n v="256"/>
    <n v="0.75"/>
    <n v="314"/>
    <n v="1"/>
    <n v="0"/>
    <n v="0"/>
    <n v="0"/>
    <n v="850"/>
    <n v="0"/>
  </r>
  <r>
    <x v="1"/>
    <x v="0"/>
    <s v="SPX"/>
    <x v="9"/>
    <x v="479"/>
    <s v="p"/>
    <n v="1"/>
    <n v="1"/>
    <n v="1"/>
    <n v="1"/>
    <n v="300"/>
    <n v="504"/>
    <n v="0.8"/>
    <n v="288"/>
    <n v="1"/>
    <n v="0"/>
    <n v="0"/>
    <n v="0"/>
    <n v="0"/>
    <n v="0.4098"/>
    <n v="-5.7000000000000002E-3"/>
    <n v="0"/>
    <n v="-0.32679999999999998"/>
    <n v="0.2104"/>
    <n v="-1.2E-2"/>
    <n v="197"/>
    <n v="0.75"/>
    <n v="271"/>
    <n v="1.05"/>
    <n v="0"/>
    <n v="0"/>
    <n v="1"/>
    <n v="442"/>
    <n v="0"/>
  </r>
  <r>
    <x v="1"/>
    <x v="0"/>
    <s v="SPX"/>
    <x v="9"/>
    <x v="40"/>
    <s v="p"/>
    <n v="0.9"/>
    <n v="0.92"/>
    <n v="0.9"/>
    <n v="0.92"/>
    <n v="3"/>
    <n v="691"/>
    <n v="0.85"/>
    <n v="512"/>
    <n v="1"/>
    <n v="0"/>
    <n v="0"/>
    <n v="0"/>
    <n v="0"/>
    <n v="0.40910000000000002"/>
    <n v="-5.8999999999999999E-3"/>
    <n v="0"/>
    <n v="-0.33439999999999998"/>
    <n v="0.2152"/>
    <n v="-1.23E-2"/>
    <n v="325"/>
    <n v="0.75"/>
    <n v="96"/>
    <n v="1"/>
    <n v="0"/>
    <n v="0"/>
    <n v="0.9133"/>
    <n v="5570"/>
    <n v="0"/>
  </r>
  <r>
    <x v="1"/>
    <x v="0"/>
    <s v="SPX"/>
    <x v="9"/>
    <x v="480"/>
    <s v="p"/>
    <n v="0"/>
    <n v="0"/>
    <n v="0"/>
    <n v="0"/>
    <n v="0"/>
    <n v="265"/>
    <n v="0.85"/>
    <n v="434"/>
    <n v="1.05"/>
    <n v="0"/>
    <n v="0"/>
    <n v="0"/>
    <n v="0"/>
    <n v="0.40860000000000002"/>
    <n v="-6.1000000000000004E-3"/>
    <n v="0"/>
    <n v="-0.34200000000000003"/>
    <n v="0.22"/>
    <n v="-1.26E-2"/>
    <n v="247"/>
    <n v="0.75"/>
    <n v="255"/>
    <n v="1.05"/>
    <n v="0"/>
    <n v="0"/>
    <n v="0"/>
    <n v="353"/>
    <n v="0"/>
  </r>
  <r>
    <x v="1"/>
    <x v="0"/>
    <s v="SPX"/>
    <x v="9"/>
    <x v="301"/>
    <s v="p"/>
    <n v="0"/>
    <n v="0"/>
    <n v="0"/>
    <n v="0"/>
    <n v="0"/>
    <n v="469"/>
    <n v="0.85"/>
    <n v="513"/>
    <n v="1.05"/>
    <n v="0"/>
    <n v="0"/>
    <n v="0"/>
    <n v="0"/>
    <n v="0.40689999999999998"/>
    <n v="-6.1000000000000004E-3"/>
    <n v="0"/>
    <n v="-0.34179999999999999"/>
    <n v="0.2208"/>
    <n v="-1.2699999999999999E-2"/>
    <n v="223"/>
    <n v="0.8"/>
    <n v="352"/>
    <n v="1.05"/>
    <n v="0"/>
    <n v="0"/>
    <n v="0"/>
    <n v="377"/>
    <n v="0"/>
  </r>
  <r>
    <x v="1"/>
    <x v="0"/>
    <s v="SPX"/>
    <x v="9"/>
    <x v="481"/>
    <s v="p"/>
    <n v="0"/>
    <n v="0"/>
    <n v="0"/>
    <n v="0"/>
    <n v="0"/>
    <n v="386"/>
    <n v="0.85"/>
    <n v="475"/>
    <n v="1.05"/>
    <n v="0"/>
    <n v="0"/>
    <n v="0"/>
    <n v="0"/>
    <n v="0.40529999999999999"/>
    <n v="-6.1000000000000004E-3"/>
    <n v="0"/>
    <n v="-0.34160000000000001"/>
    <n v="0.2215"/>
    <n v="-1.2699999999999999E-2"/>
    <n v="96"/>
    <n v="0.8"/>
    <n v="237"/>
    <n v="1.05"/>
    <n v="0"/>
    <n v="0"/>
    <n v="0"/>
    <n v="145"/>
    <n v="0"/>
  </r>
  <r>
    <x v="1"/>
    <x v="0"/>
    <s v="SPX"/>
    <x v="9"/>
    <x v="302"/>
    <s v="p"/>
    <n v="0"/>
    <n v="0"/>
    <n v="0"/>
    <n v="0"/>
    <n v="0"/>
    <n v="810"/>
    <n v="0.85"/>
    <n v="331"/>
    <n v="1.05"/>
    <n v="0"/>
    <n v="0"/>
    <n v="0"/>
    <n v="0"/>
    <n v="0.40360000000000001"/>
    <n v="-6.1000000000000004E-3"/>
    <n v="0"/>
    <n v="-0.34129999999999999"/>
    <n v="0.2223"/>
    <n v="-1.2800000000000001E-2"/>
    <n v="232"/>
    <n v="0.8"/>
    <n v="304"/>
    <n v="1.05"/>
    <n v="0"/>
    <n v="0"/>
    <n v="0"/>
    <n v="190"/>
    <n v="0"/>
  </r>
  <r>
    <x v="1"/>
    <x v="0"/>
    <s v="SPX"/>
    <x v="9"/>
    <x v="41"/>
    <s v="p"/>
    <n v="0"/>
    <n v="0"/>
    <n v="0"/>
    <n v="0"/>
    <n v="0"/>
    <n v="1417"/>
    <n v="0.85"/>
    <n v="520"/>
    <n v="1.05"/>
    <n v="0"/>
    <n v="0"/>
    <n v="0"/>
    <n v="0"/>
    <n v="0.40139999999999998"/>
    <n v="-6.1999999999999998E-3"/>
    <n v="0"/>
    <n v="-0.34110000000000001"/>
    <n v="0.22339999999999999"/>
    <n v="-1.2800000000000001E-2"/>
    <n v="248"/>
    <n v="0.8"/>
    <n v="176"/>
    <n v="1.05"/>
    <n v="0"/>
    <n v="0"/>
    <n v="0"/>
    <n v="1624"/>
    <n v="0"/>
  </r>
  <r>
    <x v="1"/>
    <x v="0"/>
    <s v="SPX"/>
    <x v="9"/>
    <x v="303"/>
    <s v="p"/>
    <n v="0"/>
    <n v="0"/>
    <n v="0"/>
    <n v="0"/>
    <n v="0"/>
    <n v="350"/>
    <n v="0.9"/>
    <n v="284"/>
    <n v="1.05"/>
    <n v="0"/>
    <n v="0"/>
    <n v="0"/>
    <n v="0"/>
    <n v="0.40110000000000001"/>
    <n v="-6.3E-3"/>
    <n v="0"/>
    <n v="-0.34860000000000002"/>
    <n v="0.2281"/>
    <n v="-1.32E-2"/>
    <n v="322"/>
    <n v="0.8"/>
    <n v="96"/>
    <n v="1.05"/>
    <n v="0"/>
    <n v="0"/>
    <n v="0"/>
    <n v="560"/>
    <n v="0"/>
  </r>
  <r>
    <x v="1"/>
    <x v="0"/>
    <s v="SPX"/>
    <x v="9"/>
    <x v="482"/>
    <s v="p"/>
    <n v="0"/>
    <n v="0"/>
    <n v="0"/>
    <n v="0"/>
    <n v="0"/>
    <n v="247"/>
    <n v="0.9"/>
    <n v="424"/>
    <n v="1.1000000000000001"/>
    <n v="0"/>
    <n v="0"/>
    <n v="0"/>
    <n v="0"/>
    <n v="0.40060000000000001"/>
    <n v="-6.4999999999999997E-3"/>
    <n v="0"/>
    <n v="-0.35610000000000003"/>
    <n v="0.2329"/>
    <n v="-1.35E-2"/>
    <n v="92"/>
    <n v="0.85"/>
    <n v="252"/>
    <n v="1.1000000000000001"/>
    <n v="0"/>
    <n v="0"/>
    <n v="0"/>
    <n v="351"/>
    <n v="0"/>
  </r>
  <r>
    <x v="1"/>
    <x v="0"/>
    <s v="SPX"/>
    <x v="9"/>
    <x v="304"/>
    <s v="p"/>
    <n v="0"/>
    <n v="0"/>
    <n v="0"/>
    <n v="0"/>
    <n v="0"/>
    <n v="451"/>
    <n v="0.9"/>
    <n v="519"/>
    <n v="1.1000000000000001"/>
    <n v="0"/>
    <n v="0"/>
    <n v="0"/>
    <n v="0"/>
    <n v="0.39879999999999999"/>
    <n v="-6.4999999999999997E-3"/>
    <n v="0"/>
    <n v="-0.35580000000000001"/>
    <n v="0.23380000000000001"/>
    <n v="-1.35E-2"/>
    <n v="210"/>
    <n v="0.85"/>
    <n v="321"/>
    <n v="1.1000000000000001"/>
    <n v="0"/>
    <n v="0"/>
    <n v="0"/>
    <n v="1328"/>
    <n v="0"/>
  </r>
  <r>
    <x v="1"/>
    <x v="0"/>
    <s v="SPX"/>
    <x v="9"/>
    <x v="483"/>
    <s v="p"/>
    <n v="0"/>
    <n v="0"/>
    <n v="0"/>
    <n v="0"/>
    <n v="0"/>
    <n v="385"/>
    <n v="0.9"/>
    <n v="394"/>
    <n v="1.1000000000000001"/>
    <n v="0"/>
    <n v="0"/>
    <n v="0"/>
    <n v="0"/>
    <n v="0.39739999999999998"/>
    <n v="-6.4999999999999997E-3"/>
    <n v="0"/>
    <n v="-0.35560000000000003"/>
    <n v="0.23449999999999999"/>
    <n v="-1.3599999999999999E-2"/>
    <n v="100"/>
    <n v="0.85"/>
    <n v="231"/>
    <n v="1.1000000000000001"/>
    <n v="0"/>
    <n v="0"/>
    <n v="0"/>
    <n v="304"/>
    <n v="0"/>
  </r>
  <r>
    <x v="1"/>
    <x v="0"/>
    <s v="SPX"/>
    <x v="9"/>
    <x v="42"/>
    <s v="p"/>
    <n v="0.75"/>
    <n v="1.5"/>
    <n v="0.75"/>
    <n v="1"/>
    <n v="101"/>
    <n v="1336"/>
    <n v="0.9"/>
    <n v="720"/>
    <n v="1.1000000000000001"/>
    <n v="0"/>
    <n v="0"/>
    <n v="0"/>
    <n v="0"/>
    <n v="0.39529999999999998"/>
    <n v="-6.4999999999999997E-3"/>
    <n v="0"/>
    <n v="-0.35539999999999999"/>
    <n v="0.2356"/>
    <n v="-1.3599999999999999E-2"/>
    <n v="238"/>
    <n v="0.85"/>
    <n v="242"/>
    <n v="1.1000000000000001"/>
    <n v="0"/>
    <n v="0"/>
    <n v="0.86250000000000004"/>
    <n v="10771"/>
    <n v="0"/>
  </r>
  <r>
    <x v="1"/>
    <x v="0"/>
    <s v="SPX"/>
    <x v="9"/>
    <x v="484"/>
    <s v="p"/>
    <n v="0.81"/>
    <n v="1.45"/>
    <n v="0.75"/>
    <n v="1.45"/>
    <n v="87"/>
    <n v="1005"/>
    <n v="0.9"/>
    <n v="515"/>
    <n v="1.1000000000000001"/>
    <n v="0"/>
    <n v="0"/>
    <n v="0"/>
    <n v="0"/>
    <n v="0.39400000000000002"/>
    <n v="-6.6E-3"/>
    <n v="0"/>
    <n v="-0.35520000000000002"/>
    <n v="0.23630000000000001"/>
    <n v="-1.37E-2"/>
    <n v="151"/>
    <n v="0.85"/>
    <n v="285"/>
    <n v="1.1499999999999999"/>
    <n v="0"/>
    <n v="0"/>
    <n v="0.80610000000000004"/>
    <n v="535"/>
    <n v="0"/>
  </r>
  <r>
    <x v="1"/>
    <x v="0"/>
    <s v="SPX"/>
    <x v="9"/>
    <x v="305"/>
    <s v="p"/>
    <n v="0"/>
    <n v="0"/>
    <n v="0"/>
    <n v="0"/>
    <n v="0"/>
    <n v="354"/>
    <n v="0.95"/>
    <n v="267"/>
    <n v="1.1000000000000001"/>
    <n v="0"/>
    <n v="0"/>
    <n v="0"/>
    <n v="0"/>
    <n v="0.39319999999999999"/>
    <n v="-6.7000000000000002E-3"/>
    <n v="0"/>
    <n v="-0.36249999999999999"/>
    <n v="0.2412"/>
    <n v="-1.4E-2"/>
    <n v="313"/>
    <n v="0.85"/>
    <n v="335"/>
    <n v="1.1499999999999999"/>
    <n v="0"/>
    <n v="0"/>
    <n v="0"/>
    <n v="285"/>
    <n v="0"/>
  </r>
  <r>
    <x v="1"/>
    <x v="0"/>
    <s v="SPX"/>
    <x v="9"/>
    <x v="485"/>
    <s v="p"/>
    <n v="0"/>
    <n v="0"/>
    <n v="0"/>
    <n v="0"/>
    <n v="0"/>
    <n v="258"/>
    <n v="0.95"/>
    <n v="429"/>
    <n v="1.1499999999999999"/>
    <n v="0"/>
    <n v="0"/>
    <n v="0"/>
    <n v="0"/>
    <n v="0.39240000000000003"/>
    <n v="-6.8999999999999999E-3"/>
    <n v="0"/>
    <n v="-0.36980000000000002"/>
    <n v="0.2462"/>
    <n v="-1.43E-2"/>
    <n v="90"/>
    <n v="0.9"/>
    <n v="238"/>
    <n v="1.1499999999999999"/>
    <n v="0"/>
    <n v="0"/>
    <n v="0"/>
    <n v="567"/>
    <n v="0"/>
  </r>
  <r>
    <x v="1"/>
    <x v="0"/>
    <s v="SPX"/>
    <x v="9"/>
    <x v="306"/>
    <s v="p"/>
    <n v="0"/>
    <n v="0"/>
    <n v="0"/>
    <n v="0"/>
    <n v="0"/>
    <n v="635"/>
    <n v="0.95"/>
    <n v="476"/>
    <n v="1.1499999999999999"/>
    <n v="0"/>
    <n v="0"/>
    <n v="0"/>
    <n v="0"/>
    <n v="0.3906"/>
    <n v="-6.8999999999999999E-3"/>
    <n v="0"/>
    <n v="-0.36959999999999998"/>
    <n v="0.2472"/>
    <n v="-1.44E-2"/>
    <n v="211"/>
    <n v="0.9"/>
    <n v="314"/>
    <n v="1.1499999999999999"/>
    <n v="0"/>
    <n v="0"/>
    <n v="0"/>
    <n v="619"/>
    <n v="0"/>
  </r>
  <r>
    <x v="1"/>
    <x v="0"/>
    <s v="SPX"/>
    <x v="9"/>
    <x v="43"/>
    <s v="p"/>
    <n v="0"/>
    <n v="0"/>
    <n v="0"/>
    <n v="0"/>
    <n v="0"/>
    <n v="1261"/>
    <n v="0.95"/>
    <n v="671"/>
    <n v="1.1499999999999999"/>
    <n v="0"/>
    <n v="0"/>
    <n v="0"/>
    <n v="0"/>
    <n v="0.38890000000000002"/>
    <n v="-6.8999999999999999E-3"/>
    <n v="0"/>
    <n v="-0.36930000000000002"/>
    <n v="0.24809999999999999"/>
    <n v="-1.4500000000000001E-2"/>
    <n v="222"/>
    <n v="0.9"/>
    <n v="242"/>
    <n v="1.1499999999999999"/>
    <n v="0"/>
    <n v="0"/>
    <n v="0"/>
    <n v="3984"/>
    <n v="0"/>
  </r>
  <r>
    <x v="1"/>
    <x v="0"/>
    <s v="SPX"/>
    <x v="9"/>
    <x v="307"/>
    <s v="p"/>
    <n v="0"/>
    <n v="0"/>
    <n v="0"/>
    <n v="0"/>
    <n v="0"/>
    <n v="994"/>
    <n v="0.95"/>
    <n v="284"/>
    <n v="1.1499999999999999"/>
    <n v="0"/>
    <n v="0"/>
    <n v="0"/>
    <n v="0"/>
    <n v="0.38729999999999998"/>
    <n v="-7.0000000000000001E-3"/>
    <n v="0"/>
    <n v="-0.36909999999999998"/>
    <n v="0.249"/>
    <n v="-1.4500000000000001E-2"/>
    <n v="218"/>
    <n v="0.9"/>
    <n v="96"/>
    <n v="1.1499999999999999"/>
    <n v="0"/>
    <n v="0"/>
    <n v="0"/>
    <n v="577"/>
    <n v="0"/>
  </r>
  <r>
    <x v="1"/>
    <x v="0"/>
    <s v="SPX"/>
    <x v="9"/>
    <x v="486"/>
    <s v="p"/>
    <n v="0"/>
    <n v="0"/>
    <n v="0"/>
    <n v="0"/>
    <n v="0"/>
    <n v="240"/>
    <n v="1"/>
    <n v="258"/>
    <n v="1.1499999999999999"/>
    <n v="0"/>
    <n v="0"/>
    <n v="0"/>
    <n v="0"/>
    <n v="0.38640000000000002"/>
    <n v="-7.1000000000000004E-3"/>
    <n v="0"/>
    <n v="-0.37640000000000001"/>
    <n v="0.25409999999999999"/>
    <n v="-1.49E-2"/>
    <n v="124"/>
    <n v="0.9"/>
    <n v="228"/>
    <n v="1.2"/>
    <n v="0"/>
    <n v="0"/>
    <n v="0"/>
    <n v="321"/>
    <n v="0"/>
  </r>
  <r>
    <x v="1"/>
    <x v="0"/>
    <s v="SPX"/>
    <x v="9"/>
    <x v="308"/>
    <s v="p"/>
    <n v="0"/>
    <n v="0"/>
    <n v="0"/>
    <n v="0"/>
    <n v="0"/>
    <n v="357"/>
    <n v="1"/>
    <n v="460"/>
    <n v="1.2"/>
    <n v="0"/>
    <n v="0"/>
    <n v="0"/>
    <n v="0"/>
    <n v="0.38579999999999998"/>
    <n v="-7.3000000000000001E-3"/>
    <n v="0"/>
    <n v="-0.3836"/>
    <n v="0.2591"/>
    <n v="-1.52E-2"/>
    <n v="200"/>
    <n v="0.95"/>
    <n v="320"/>
    <n v="1.2"/>
    <n v="0"/>
    <n v="0"/>
    <n v="0"/>
    <n v="531"/>
    <n v="0"/>
  </r>
  <r>
    <x v="1"/>
    <x v="0"/>
    <s v="SPX"/>
    <x v="9"/>
    <x v="487"/>
    <s v="p"/>
    <n v="0"/>
    <n v="0"/>
    <n v="0"/>
    <n v="0"/>
    <n v="0"/>
    <n v="306"/>
    <n v="1"/>
    <n v="452"/>
    <n v="1.2"/>
    <n v="0"/>
    <n v="0"/>
    <n v="0"/>
    <n v="0"/>
    <n v="0.38419999999999999"/>
    <n v="-7.3000000000000001E-3"/>
    <n v="0"/>
    <n v="-0.38329999999999997"/>
    <n v="0.26"/>
    <n v="-1.52E-2"/>
    <n v="92"/>
    <n v="0.95"/>
    <n v="232"/>
    <n v="1.2"/>
    <n v="0"/>
    <n v="0"/>
    <n v="0"/>
    <n v="193"/>
    <n v="0"/>
  </r>
  <r>
    <x v="1"/>
    <x v="0"/>
    <s v="SPX"/>
    <x v="9"/>
    <x v="44"/>
    <s v="p"/>
    <n v="1.45"/>
    <n v="1.45"/>
    <n v="1.1000000000000001"/>
    <n v="1.1000000000000001"/>
    <n v="52"/>
    <n v="1224"/>
    <n v="1"/>
    <n v="685"/>
    <n v="1.2"/>
    <n v="0"/>
    <n v="0"/>
    <n v="0"/>
    <n v="0"/>
    <n v="0.38229999999999997"/>
    <n v="-7.3000000000000001E-3"/>
    <n v="0"/>
    <n v="-0.38300000000000001"/>
    <n v="0.26119999999999999"/>
    <n v="-1.5299999999999999E-2"/>
    <n v="215"/>
    <n v="0.95"/>
    <n v="192"/>
    <n v="1.2"/>
    <n v="0"/>
    <n v="0"/>
    <n v="1.1134999999999999"/>
    <n v="7561"/>
    <n v="0"/>
  </r>
  <r>
    <x v="1"/>
    <x v="0"/>
    <s v="SPX"/>
    <x v="9"/>
    <x v="488"/>
    <s v="p"/>
    <n v="0"/>
    <n v="0"/>
    <n v="0"/>
    <n v="0"/>
    <n v="0"/>
    <n v="478"/>
    <n v="1"/>
    <n v="280"/>
    <n v="1.2"/>
    <n v="0"/>
    <n v="0"/>
    <n v="0"/>
    <n v="0"/>
    <n v="0.38069999999999998"/>
    <n v="-7.4000000000000003E-3"/>
    <n v="0"/>
    <n v="-0.38279999999999997"/>
    <n v="0.2621"/>
    <n v="-1.54E-2"/>
    <n v="122"/>
    <n v="0.95"/>
    <n v="254"/>
    <n v="1.25"/>
    <n v="0"/>
    <n v="0"/>
    <n v="0"/>
    <n v="404"/>
    <n v="0"/>
  </r>
  <r>
    <x v="1"/>
    <x v="0"/>
    <s v="SPX"/>
    <x v="9"/>
    <x v="309"/>
    <s v="p"/>
    <n v="0"/>
    <n v="0"/>
    <n v="0"/>
    <n v="0"/>
    <n v="0"/>
    <n v="721"/>
    <n v="1.05"/>
    <n v="465"/>
    <n v="1.2"/>
    <n v="0"/>
    <n v="0"/>
    <n v="0"/>
    <n v="0"/>
    <n v="0.37980000000000003"/>
    <n v="-7.4999999999999997E-3"/>
    <n v="0"/>
    <n v="-0.38990000000000002"/>
    <n v="0.26729999999999998"/>
    <n v="-1.5699999999999999E-2"/>
    <n v="258"/>
    <n v="0.95"/>
    <n v="337"/>
    <n v="1.25"/>
    <n v="0"/>
    <n v="0"/>
    <n v="0"/>
    <n v="1077"/>
    <n v="0"/>
  </r>
  <r>
    <x v="1"/>
    <x v="0"/>
    <s v="SPX"/>
    <x v="9"/>
    <x v="489"/>
    <s v="p"/>
    <n v="0"/>
    <n v="0"/>
    <n v="0"/>
    <n v="0"/>
    <n v="0"/>
    <n v="260"/>
    <n v="1.05"/>
    <n v="416"/>
    <n v="1.25"/>
    <n v="0"/>
    <n v="0"/>
    <n v="0"/>
    <n v="0"/>
    <n v="0.379"/>
    <n v="-7.7000000000000002E-3"/>
    <n v="0"/>
    <n v="-0.39700000000000002"/>
    <n v="0.27250000000000002"/>
    <n v="-1.6E-2"/>
    <n v="73"/>
    <n v="1"/>
    <n v="232"/>
    <n v="1.25"/>
    <n v="0"/>
    <n v="0"/>
    <n v="0"/>
    <n v="215"/>
    <n v="0"/>
  </r>
  <r>
    <x v="1"/>
    <x v="0"/>
    <s v="SPX"/>
    <x v="9"/>
    <x v="310"/>
    <s v="p"/>
    <n v="1.4"/>
    <n v="1.4"/>
    <n v="1.4"/>
    <n v="1.4"/>
    <n v="10"/>
    <n v="1069"/>
    <n v="1.05"/>
    <n v="720"/>
    <n v="1.25"/>
    <n v="0"/>
    <n v="0"/>
    <n v="0"/>
    <n v="0"/>
    <n v="0.37709999999999999"/>
    <n v="-7.7000000000000002E-3"/>
    <n v="1E-4"/>
    <n v="-0.3967"/>
    <n v="0.27360000000000001"/>
    <n v="-1.61E-2"/>
    <n v="217"/>
    <n v="1"/>
    <n v="242"/>
    <n v="1.25"/>
    <n v="0"/>
    <n v="0"/>
    <n v="1.4"/>
    <n v="1061"/>
    <n v="0"/>
  </r>
  <r>
    <x v="1"/>
    <x v="0"/>
    <s v="SPX"/>
    <x v="9"/>
    <x v="45"/>
    <s v="p"/>
    <n v="0"/>
    <n v="0"/>
    <n v="0"/>
    <n v="0"/>
    <n v="0"/>
    <n v="1140"/>
    <n v="1.05"/>
    <n v="497"/>
    <n v="1.25"/>
    <n v="0"/>
    <n v="0"/>
    <n v="0"/>
    <n v="0"/>
    <n v="0.3755"/>
    <n v="-7.7999999999999996E-3"/>
    <n v="1E-4"/>
    <n v="-0.39650000000000002"/>
    <n v="0.2747"/>
    <n v="-1.6199999999999999E-2"/>
    <n v="223"/>
    <n v="1"/>
    <n v="181"/>
    <n v="1.25"/>
    <n v="0"/>
    <n v="0"/>
    <n v="0"/>
    <n v="2747"/>
    <n v="0"/>
  </r>
  <r>
    <x v="1"/>
    <x v="0"/>
    <s v="SPX"/>
    <x v="9"/>
    <x v="311"/>
    <s v="p"/>
    <n v="0"/>
    <n v="0"/>
    <n v="0"/>
    <n v="0"/>
    <n v="0"/>
    <n v="826"/>
    <n v="1.05"/>
    <n v="256"/>
    <n v="1.25"/>
    <n v="0"/>
    <n v="0"/>
    <n v="0"/>
    <n v="0"/>
    <n v="0.374"/>
    <n v="-7.7999999999999996E-3"/>
    <n v="1E-4"/>
    <n v="-0.3962"/>
    <n v="0.2757"/>
    <n v="-1.6299999999999999E-2"/>
    <n v="208"/>
    <n v="1"/>
    <n v="94"/>
    <n v="1.25"/>
    <n v="0"/>
    <n v="0"/>
    <n v="0"/>
    <n v="421"/>
    <n v="0"/>
  </r>
  <r>
    <x v="1"/>
    <x v="0"/>
    <s v="SPX"/>
    <x v="9"/>
    <x v="490"/>
    <s v="p"/>
    <n v="0"/>
    <n v="0"/>
    <n v="0"/>
    <n v="0"/>
    <n v="0"/>
    <n v="258"/>
    <n v="1.1000000000000001"/>
    <n v="404"/>
    <n v="1.3"/>
    <n v="0"/>
    <n v="0"/>
    <n v="0"/>
    <n v="0"/>
    <n v="0.37390000000000001"/>
    <n v="-8.0999999999999996E-3"/>
    <n v="1E-4"/>
    <n v="-0.41049999999999998"/>
    <n v="0.28510000000000002"/>
    <n v="-1.6899999999999998E-2"/>
    <n v="147"/>
    <n v="1"/>
    <n v="236"/>
    <n v="1.3"/>
    <n v="0"/>
    <n v="0"/>
    <n v="0"/>
    <n v="464"/>
    <n v="0"/>
  </r>
  <r>
    <x v="1"/>
    <x v="0"/>
    <s v="SPX"/>
    <x v="9"/>
    <x v="312"/>
    <s v="p"/>
    <n v="0"/>
    <n v="0"/>
    <n v="0"/>
    <n v="0"/>
    <n v="0"/>
    <n v="921"/>
    <n v="1.1000000000000001"/>
    <n v="830"/>
    <n v="1.3"/>
    <n v="0"/>
    <n v="0"/>
    <n v="0"/>
    <n v="0"/>
    <n v="0.37209999999999999"/>
    <n v="-8.0999999999999996E-3"/>
    <n v="1E-4"/>
    <n v="-0.41020000000000001"/>
    <n v="0.2863"/>
    <n v="-1.7000000000000001E-2"/>
    <n v="202"/>
    <n v="1.05"/>
    <n v="311"/>
    <n v="1.3"/>
    <n v="0"/>
    <n v="0"/>
    <n v="0"/>
    <n v="1742"/>
    <n v="0"/>
  </r>
  <r>
    <x v="1"/>
    <x v="0"/>
    <s v="SPX"/>
    <x v="9"/>
    <x v="491"/>
    <s v="p"/>
    <n v="0"/>
    <n v="0"/>
    <n v="0"/>
    <n v="0"/>
    <n v="0"/>
    <n v="343"/>
    <n v="1.1000000000000001"/>
    <n v="313"/>
    <n v="1.3"/>
    <n v="0"/>
    <n v="0"/>
    <n v="0"/>
    <n v="0"/>
    <n v="0.37080000000000002"/>
    <n v="-8.0999999999999996E-3"/>
    <n v="1E-4"/>
    <n v="-0.41"/>
    <n v="0.28720000000000001"/>
    <n v="-1.7000000000000001E-2"/>
    <n v="102"/>
    <n v="1.05"/>
    <n v="262"/>
    <n v="1.35"/>
    <n v="0"/>
    <n v="0"/>
    <n v="0"/>
    <n v="535"/>
    <n v="0"/>
  </r>
  <r>
    <x v="1"/>
    <x v="0"/>
    <s v="SPX"/>
    <x v="9"/>
    <x v="46"/>
    <s v="p"/>
    <n v="1"/>
    <n v="1.65"/>
    <n v="1"/>
    <n v="1.6"/>
    <n v="334"/>
    <n v="1232"/>
    <n v="1.1000000000000001"/>
    <n v="472"/>
    <n v="1.3"/>
    <n v="0"/>
    <n v="0"/>
    <n v="0"/>
    <n v="0"/>
    <n v="0.36859999999999998"/>
    <n v="-8.2000000000000007E-3"/>
    <n v="1E-4"/>
    <n v="-0.40960000000000002"/>
    <n v="0.28870000000000001"/>
    <n v="-1.7100000000000001E-2"/>
    <n v="201"/>
    <n v="1.05"/>
    <n v="179"/>
    <n v="1.3"/>
    <n v="0"/>
    <n v="0"/>
    <n v="1.4569000000000001"/>
    <n v="17220"/>
    <n v="0"/>
  </r>
  <r>
    <x v="1"/>
    <x v="0"/>
    <s v="SPX"/>
    <x v="9"/>
    <x v="492"/>
    <s v="p"/>
    <n v="0"/>
    <n v="0"/>
    <n v="0"/>
    <n v="0"/>
    <n v="0"/>
    <n v="250"/>
    <n v="1.1499999999999999"/>
    <n v="407"/>
    <n v="1.35"/>
    <n v="0"/>
    <n v="0"/>
    <n v="0"/>
    <n v="0"/>
    <n v="0.36880000000000002"/>
    <n v="-8.5000000000000006E-3"/>
    <n v="1E-4"/>
    <n v="-0.42380000000000001"/>
    <n v="0.2979"/>
    <n v="-1.78E-2"/>
    <n v="131"/>
    <n v="1.05"/>
    <n v="244"/>
    <n v="1.35"/>
    <n v="0"/>
    <n v="0"/>
    <n v="0"/>
    <n v="419"/>
    <n v="0"/>
  </r>
  <r>
    <x v="1"/>
    <x v="0"/>
    <s v="SPX"/>
    <x v="9"/>
    <x v="313"/>
    <s v="p"/>
    <n v="0.95"/>
    <n v="0.95"/>
    <n v="0.95"/>
    <n v="0.95"/>
    <n v="17"/>
    <n v="877"/>
    <n v="1.1499999999999999"/>
    <n v="862"/>
    <n v="1.35"/>
    <n v="0"/>
    <n v="0"/>
    <n v="0"/>
    <n v="0"/>
    <n v="0.36699999999999999"/>
    <n v="-8.5000000000000006E-3"/>
    <n v="1E-4"/>
    <n v="-0.42349999999999999"/>
    <n v="0.29920000000000002"/>
    <n v="-1.78E-2"/>
    <n v="202"/>
    <n v="1.1000000000000001"/>
    <n v="319"/>
    <n v="1.35"/>
    <n v="0"/>
    <n v="0"/>
    <n v="0.95"/>
    <n v="1213"/>
    <n v="0"/>
  </r>
  <r>
    <x v="1"/>
    <x v="0"/>
    <s v="SPX"/>
    <x v="9"/>
    <x v="493"/>
    <s v="p"/>
    <n v="0.95"/>
    <n v="0.95"/>
    <n v="0.95"/>
    <n v="0.95"/>
    <n v="17"/>
    <n v="825"/>
    <n v="1.1499999999999999"/>
    <n v="609"/>
    <n v="1.35"/>
    <n v="0"/>
    <n v="0"/>
    <n v="0"/>
    <n v="0"/>
    <n v="0.36509999999999998"/>
    <n v="-8.6E-3"/>
    <n v="1E-4"/>
    <n v="-0.42309999999999998"/>
    <n v="0.30049999999999999"/>
    <n v="-1.7899999999999999E-2"/>
    <n v="94"/>
    <n v="1.1000000000000001"/>
    <n v="260"/>
    <n v="1.4"/>
    <n v="0"/>
    <n v="0"/>
    <n v="0.95"/>
    <n v="2227"/>
    <n v="0"/>
  </r>
  <r>
    <x v="1"/>
    <x v="0"/>
    <s v="SPX"/>
    <x v="9"/>
    <x v="314"/>
    <s v="p"/>
    <n v="1.55"/>
    <n v="1.55"/>
    <n v="1.55"/>
    <n v="1.55"/>
    <n v="2"/>
    <n v="733"/>
    <n v="1.1499999999999999"/>
    <n v="255"/>
    <n v="1.35"/>
    <n v="0"/>
    <n v="0"/>
    <n v="0"/>
    <n v="0"/>
    <n v="0.36370000000000002"/>
    <n v="-8.6E-3"/>
    <n v="1E-4"/>
    <n v="-0.42280000000000001"/>
    <n v="0.30149999999999999"/>
    <n v="-1.7999999999999999E-2"/>
    <n v="201"/>
    <n v="1.1000000000000001"/>
    <n v="178"/>
    <n v="1.35"/>
    <n v="0"/>
    <n v="0"/>
    <n v="1.55"/>
    <n v="485"/>
    <n v="0"/>
  </r>
  <r>
    <x v="1"/>
    <x v="0"/>
    <s v="SPX"/>
    <x v="9"/>
    <x v="47"/>
    <s v="p"/>
    <n v="0"/>
    <n v="0"/>
    <n v="0"/>
    <n v="0"/>
    <n v="0"/>
    <n v="739"/>
    <n v="1.2"/>
    <n v="448"/>
    <n v="1.35"/>
    <n v="0"/>
    <n v="0"/>
    <n v="0"/>
    <n v="0"/>
    <n v="0.36259999999999998"/>
    <n v="-8.8000000000000005E-3"/>
    <n v="1E-4"/>
    <n v="-0.42970000000000003"/>
    <n v="0.307"/>
    <n v="-1.84E-2"/>
    <n v="233"/>
    <n v="1.1000000000000001"/>
    <n v="343"/>
    <n v="1.4"/>
    <n v="0"/>
    <n v="0"/>
    <n v="0"/>
    <n v="1901"/>
    <n v="0"/>
  </r>
  <r>
    <x v="1"/>
    <x v="0"/>
    <s v="SPX"/>
    <x v="9"/>
    <x v="48"/>
    <s v="p"/>
    <n v="0"/>
    <n v="0"/>
    <n v="0"/>
    <n v="0"/>
    <n v="0"/>
    <n v="364"/>
    <n v="1.2"/>
    <n v="415"/>
    <n v="1.4"/>
    <n v="0"/>
    <n v="0"/>
    <n v="0"/>
    <n v="0"/>
    <n v="0.36170000000000002"/>
    <n v="-8.9999999999999993E-3"/>
    <n v="1E-4"/>
    <n v="-0.4365"/>
    <n v="0.31230000000000002"/>
    <n v="-1.8700000000000001E-2"/>
    <n v="201"/>
    <n v="1.1499999999999999"/>
    <n v="315"/>
    <n v="1.4"/>
    <n v="0"/>
    <n v="0"/>
    <n v="0"/>
    <n v="355"/>
    <n v="0"/>
  </r>
  <r>
    <x v="1"/>
    <x v="0"/>
    <s v="SPX"/>
    <x v="9"/>
    <x v="494"/>
    <s v="p"/>
    <n v="1.1499999999999999"/>
    <n v="1.1499999999999999"/>
    <n v="1.01"/>
    <n v="1.01"/>
    <n v="17"/>
    <n v="361"/>
    <n v="1.2"/>
    <n v="307"/>
    <n v="1.4"/>
    <n v="0"/>
    <n v="0"/>
    <n v="0"/>
    <n v="0"/>
    <n v="0.36020000000000002"/>
    <n v="-8.9999999999999993E-3"/>
    <n v="1E-4"/>
    <n v="-0.43619999999999998"/>
    <n v="0.3135"/>
    <n v="-1.8800000000000001E-2"/>
    <n v="82"/>
    <n v="1.1499999999999999"/>
    <n v="246"/>
    <n v="1.45"/>
    <n v="0"/>
    <n v="0"/>
    <n v="1.0182"/>
    <n v="410"/>
    <n v="0"/>
  </r>
  <r>
    <x v="1"/>
    <x v="0"/>
    <s v="SPX"/>
    <x v="9"/>
    <x v="49"/>
    <s v="p"/>
    <n v="0"/>
    <n v="0"/>
    <n v="0"/>
    <n v="0"/>
    <n v="0"/>
    <n v="708"/>
    <n v="1.2"/>
    <n v="244"/>
    <n v="1.4"/>
    <n v="0"/>
    <n v="0"/>
    <n v="0"/>
    <n v="0"/>
    <n v="0.3584"/>
    <n v="-8.9999999999999993E-3"/>
    <n v="1E-4"/>
    <n v="-0.43580000000000002"/>
    <n v="0.31490000000000001"/>
    <n v="-1.89E-2"/>
    <n v="201"/>
    <n v="1.1499999999999999"/>
    <n v="190"/>
    <n v="1.4"/>
    <n v="0"/>
    <n v="0"/>
    <n v="0"/>
    <n v="616"/>
    <n v="0"/>
  </r>
  <r>
    <x v="1"/>
    <x v="0"/>
    <s v="SPX"/>
    <x v="9"/>
    <x v="495"/>
    <s v="p"/>
    <n v="1.01"/>
    <n v="1.01"/>
    <n v="1.01"/>
    <n v="1.01"/>
    <n v="16"/>
    <n v="274"/>
    <n v="1.25"/>
    <n v="401"/>
    <n v="1.45"/>
    <n v="0"/>
    <n v="0"/>
    <n v="0"/>
    <n v="0"/>
    <n v="0.35809999999999997"/>
    <n v="-9.4000000000000004E-3"/>
    <n v="1E-4"/>
    <n v="-0.4496"/>
    <n v="0.32429999999999998"/>
    <n v="-1.9599999999999999E-2"/>
    <n v="94"/>
    <n v="1.1499999999999999"/>
    <n v="228"/>
    <n v="1.45"/>
    <n v="0"/>
    <n v="0"/>
    <n v="1.01"/>
    <n v="355"/>
    <n v="0"/>
  </r>
  <r>
    <x v="1"/>
    <x v="0"/>
    <s v="SPX"/>
    <x v="9"/>
    <x v="50"/>
    <s v="p"/>
    <n v="1.1499999999999999"/>
    <n v="1.82"/>
    <n v="1.1499999999999999"/>
    <n v="1.82"/>
    <n v="2"/>
    <n v="923"/>
    <n v="1.25"/>
    <n v="858"/>
    <n v="1.45"/>
    <n v="0"/>
    <n v="0"/>
    <n v="0"/>
    <n v="0"/>
    <n v="0.35620000000000002"/>
    <n v="-9.4000000000000004E-3"/>
    <n v="1E-4"/>
    <n v="-0.44919999999999999"/>
    <n v="0.32579999999999998"/>
    <n v="-1.9699999999999999E-2"/>
    <n v="204"/>
    <n v="1.2"/>
    <n v="309"/>
    <n v="1.45"/>
    <n v="0"/>
    <n v="0"/>
    <n v="1.4850000000000001"/>
    <n v="9802"/>
    <n v="0"/>
  </r>
  <r>
    <x v="1"/>
    <x v="0"/>
    <s v="SPX"/>
    <x v="9"/>
    <x v="496"/>
    <s v="p"/>
    <n v="0"/>
    <n v="0"/>
    <n v="0"/>
    <n v="0"/>
    <n v="0"/>
    <n v="412"/>
    <n v="1.25"/>
    <n v="306"/>
    <n v="1.45"/>
    <n v="0"/>
    <n v="0"/>
    <n v="0"/>
    <n v="0"/>
    <n v="0.3548"/>
    <n v="-9.4000000000000004E-3"/>
    <n v="1E-4"/>
    <n v="-0.44890000000000002"/>
    <n v="0.32690000000000002"/>
    <n v="-1.9699999999999999E-2"/>
    <n v="78"/>
    <n v="1.2"/>
    <n v="165"/>
    <n v="1.45"/>
    <n v="0"/>
    <n v="0"/>
    <n v="0"/>
    <n v="227"/>
    <n v="0"/>
  </r>
  <r>
    <x v="1"/>
    <x v="0"/>
    <s v="SPX"/>
    <x v="9"/>
    <x v="51"/>
    <s v="p"/>
    <n v="1.05"/>
    <n v="1.05"/>
    <n v="1.05"/>
    <n v="1.05"/>
    <n v="9"/>
    <n v="801"/>
    <n v="1.25"/>
    <n v="240"/>
    <n v="1.45"/>
    <n v="0"/>
    <n v="0"/>
    <n v="0"/>
    <n v="0"/>
    <n v="0.35299999999999998"/>
    <n v="-9.4999999999999998E-3"/>
    <n v="1E-4"/>
    <n v="-0.44850000000000001"/>
    <n v="0.32829999999999998"/>
    <n v="-1.9800000000000002E-2"/>
    <n v="197"/>
    <n v="1.2"/>
    <n v="93"/>
    <n v="1.45"/>
    <n v="0"/>
    <n v="0"/>
    <n v="1.05"/>
    <n v="573"/>
    <n v="0"/>
  </r>
  <r>
    <x v="1"/>
    <x v="0"/>
    <s v="SPX"/>
    <x v="9"/>
    <x v="497"/>
    <s v="p"/>
    <n v="1.06"/>
    <n v="1.06"/>
    <n v="1.06"/>
    <n v="1.06"/>
    <n v="67"/>
    <n v="615"/>
    <n v="1.3"/>
    <n v="840"/>
    <n v="1.5"/>
    <n v="0"/>
    <n v="0"/>
    <n v="0"/>
    <n v="0"/>
    <n v="0.35270000000000001"/>
    <n v="-9.7999999999999997E-3"/>
    <n v="1E-4"/>
    <n v="-0.4622"/>
    <n v="0.33779999999999999"/>
    <n v="-2.0500000000000001E-2"/>
    <n v="75"/>
    <n v="1.25"/>
    <n v="230"/>
    <n v="1.5"/>
    <n v="0"/>
    <n v="0"/>
    <n v="1.06"/>
    <n v="266"/>
    <n v="0"/>
  </r>
  <r>
    <x v="1"/>
    <x v="0"/>
    <s v="SPX"/>
    <x v="9"/>
    <x v="52"/>
    <s v="p"/>
    <n v="0"/>
    <n v="0"/>
    <n v="0"/>
    <n v="0"/>
    <n v="0"/>
    <n v="1046"/>
    <n v="1.3"/>
    <n v="757"/>
    <n v="1.5"/>
    <n v="0"/>
    <n v="0"/>
    <n v="0"/>
    <n v="0"/>
    <n v="0.35070000000000001"/>
    <n v="-9.7999999999999997E-3"/>
    <n v="1E-4"/>
    <n v="-0.4617"/>
    <n v="0.33939999999999998"/>
    <n v="-2.06E-2"/>
    <n v="188"/>
    <n v="1.25"/>
    <n v="215"/>
    <n v="1.5"/>
    <n v="0"/>
    <n v="0"/>
    <n v="0"/>
    <n v="1179"/>
    <n v="0"/>
  </r>
  <r>
    <x v="1"/>
    <x v="0"/>
    <s v="SPX"/>
    <x v="9"/>
    <x v="53"/>
    <s v="p"/>
    <n v="0"/>
    <n v="0"/>
    <n v="0"/>
    <n v="0"/>
    <n v="0"/>
    <n v="1203"/>
    <n v="1.3"/>
    <n v="467"/>
    <n v="1.5"/>
    <n v="0"/>
    <n v="0"/>
    <n v="0"/>
    <n v="0"/>
    <n v="0.34910000000000002"/>
    <n v="-9.9000000000000008E-3"/>
    <n v="1E-4"/>
    <n v="-0.46139999999999998"/>
    <n v="0.3407"/>
    <n v="-2.07E-2"/>
    <n v="203"/>
    <n v="1.25"/>
    <n v="188"/>
    <n v="1.5"/>
    <n v="0"/>
    <n v="0"/>
    <n v="0"/>
    <n v="4522"/>
    <n v="0"/>
  </r>
  <r>
    <x v="1"/>
    <x v="0"/>
    <s v="SPX"/>
    <x v="9"/>
    <x v="54"/>
    <s v="p"/>
    <n v="0"/>
    <n v="0"/>
    <n v="0"/>
    <n v="0"/>
    <n v="0"/>
    <n v="325"/>
    <n v="1.35"/>
    <n v="381"/>
    <n v="1.55"/>
    <n v="0"/>
    <n v="0"/>
    <n v="0"/>
    <n v="0"/>
    <n v="0.3488"/>
    <n v="-1.0200000000000001E-2"/>
    <n v="1E-4"/>
    <n v="-0.47489999999999999"/>
    <n v="0.35010000000000002"/>
    <n v="-2.1399999999999999E-2"/>
    <n v="217"/>
    <n v="1.25"/>
    <n v="315"/>
    <n v="1.55"/>
    <n v="0"/>
    <n v="0"/>
    <n v="0"/>
    <n v="548"/>
    <n v="0"/>
  </r>
  <r>
    <x v="1"/>
    <x v="0"/>
    <s v="SPX"/>
    <x v="9"/>
    <x v="498"/>
    <s v="p"/>
    <n v="2.1800000000000002"/>
    <n v="2.1800000000000002"/>
    <n v="2.1800000000000002"/>
    <n v="2.1800000000000002"/>
    <n v="8"/>
    <n v="266"/>
    <n v="1.35"/>
    <n v="348"/>
    <n v="1.55"/>
    <n v="0"/>
    <n v="0"/>
    <n v="0"/>
    <n v="0"/>
    <n v="0.34710000000000002"/>
    <n v="-1.03E-2"/>
    <n v="1E-4"/>
    <n v="-0.47449999999999998"/>
    <n v="0.35160000000000002"/>
    <n v="-2.1499999999999998E-2"/>
    <n v="83"/>
    <n v="1.3"/>
    <n v="212"/>
    <n v="1.55"/>
    <n v="0"/>
    <n v="0"/>
    <n v="2.1800000000000002"/>
    <n v="300"/>
    <n v="0"/>
  </r>
  <r>
    <x v="1"/>
    <x v="0"/>
    <s v="SPX"/>
    <x v="9"/>
    <x v="55"/>
    <s v="p"/>
    <n v="0"/>
    <n v="0"/>
    <n v="0"/>
    <n v="0"/>
    <n v="0"/>
    <n v="426"/>
    <n v="1.4"/>
    <n v="472"/>
    <n v="1.55"/>
    <n v="0"/>
    <n v="0"/>
    <n v="0"/>
    <n v="0"/>
    <n v="0.34610000000000002"/>
    <n v="-1.04E-2"/>
    <n v="1E-4"/>
    <n v="-0.48099999999999998"/>
    <n v="0.35699999999999998"/>
    <n v="-2.1899999999999999E-2"/>
    <n v="128"/>
    <n v="1.35"/>
    <n v="189"/>
    <n v="1.55"/>
    <n v="0"/>
    <n v="0"/>
    <n v="0"/>
    <n v="887"/>
    <n v="0"/>
  </r>
  <r>
    <x v="1"/>
    <x v="0"/>
    <s v="SPX"/>
    <x v="9"/>
    <x v="499"/>
    <s v="p"/>
    <n v="0"/>
    <n v="0"/>
    <n v="0"/>
    <n v="0"/>
    <n v="0"/>
    <n v="288"/>
    <n v="1.4"/>
    <n v="442"/>
    <n v="1.6"/>
    <n v="0"/>
    <n v="0"/>
    <n v="0"/>
    <n v="0"/>
    <n v="0.34499999999999997"/>
    <n v="-1.06E-2"/>
    <n v="1E-4"/>
    <n v="-0.4874"/>
    <n v="0.36249999999999999"/>
    <n v="-2.23E-2"/>
    <n v="20"/>
    <n v="1.4"/>
    <n v="262"/>
    <n v="1.6"/>
    <n v="0"/>
    <n v="0"/>
    <n v="0"/>
    <n v="244"/>
    <n v="0"/>
  </r>
  <r>
    <x v="1"/>
    <x v="0"/>
    <s v="SPX"/>
    <x v="9"/>
    <x v="56"/>
    <s v="p"/>
    <n v="1.25"/>
    <n v="2.4500000000000002"/>
    <n v="1.25"/>
    <n v="1.64"/>
    <n v="528"/>
    <n v="926"/>
    <n v="1.4"/>
    <n v="746"/>
    <n v="1.6"/>
    <n v="0"/>
    <n v="0"/>
    <n v="0"/>
    <n v="0"/>
    <n v="0.34320000000000001"/>
    <n v="-1.0699999999999999E-2"/>
    <n v="1E-4"/>
    <n v="-0.48699999999999999"/>
    <n v="0.36409999999999998"/>
    <n v="-2.24E-2"/>
    <n v="94"/>
    <n v="1.4"/>
    <n v="257"/>
    <n v="1.6"/>
    <n v="0"/>
    <n v="0"/>
    <n v="1.6431"/>
    <n v="18515"/>
    <n v="0"/>
  </r>
  <r>
    <x v="1"/>
    <x v="0"/>
    <s v="SPX"/>
    <x v="9"/>
    <x v="500"/>
    <s v="p"/>
    <n v="0"/>
    <n v="0"/>
    <n v="0"/>
    <n v="0"/>
    <n v="0"/>
    <n v="163"/>
    <n v="1.45"/>
    <n v="244"/>
    <n v="1.6"/>
    <n v="0"/>
    <n v="0"/>
    <n v="0"/>
    <n v="0"/>
    <n v="0.34229999999999999"/>
    <n v="-1.09E-2"/>
    <n v="1E-4"/>
    <n v="-0.49349999999999999"/>
    <n v="0.3695"/>
    <n v="-2.2700000000000001E-2"/>
    <n v="66"/>
    <n v="1.4"/>
    <n v="157"/>
    <n v="1.6"/>
    <n v="0"/>
    <n v="0"/>
    <n v="0"/>
    <n v="548"/>
    <n v="0"/>
  </r>
  <r>
    <x v="1"/>
    <x v="0"/>
    <s v="SPX"/>
    <x v="9"/>
    <x v="57"/>
    <s v="p"/>
    <n v="1.97"/>
    <n v="1.97"/>
    <n v="1.97"/>
    <n v="1.97"/>
    <n v="1"/>
    <n v="366"/>
    <n v="1.45"/>
    <n v="106"/>
    <n v="1.6"/>
    <n v="0"/>
    <n v="0"/>
    <n v="0"/>
    <n v="0"/>
    <n v="0.34039999999999998"/>
    <n v="-1.09E-2"/>
    <n v="1E-4"/>
    <n v="-0.4929"/>
    <n v="0.37119999999999997"/>
    <n v="-2.29E-2"/>
    <n v="64"/>
    <n v="1.45"/>
    <n v="297"/>
    <n v="1.65"/>
    <n v="0"/>
    <n v="0"/>
    <n v="1.97"/>
    <n v="475"/>
    <n v="0"/>
  </r>
  <r>
    <x v="1"/>
    <x v="0"/>
    <s v="SPX"/>
    <x v="9"/>
    <x v="501"/>
    <s v="p"/>
    <n v="0"/>
    <n v="0"/>
    <n v="0"/>
    <n v="0"/>
    <n v="0"/>
    <n v="663"/>
    <n v="1.45"/>
    <n v="617"/>
    <n v="1.65"/>
    <n v="0"/>
    <n v="0"/>
    <n v="0"/>
    <n v="0"/>
    <n v="0.33929999999999999"/>
    <n v="-1.11E-2"/>
    <n v="1E-4"/>
    <n v="-0.49930000000000002"/>
    <n v="0.37680000000000002"/>
    <n v="-2.3199999999999998E-2"/>
    <n v="72"/>
    <n v="1.45"/>
    <n v="225"/>
    <n v="1.65"/>
    <n v="0"/>
    <n v="0"/>
    <n v="0"/>
    <n v="822"/>
    <n v="0"/>
  </r>
  <r>
    <x v="1"/>
    <x v="0"/>
    <s v="SPX"/>
    <x v="9"/>
    <x v="58"/>
    <s v="p"/>
    <n v="0"/>
    <n v="0"/>
    <n v="0"/>
    <n v="0"/>
    <n v="0"/>
    <n v="205"/>
    <n v="1.5"/>
    <n v="251"/>
    <n v="1.65"/>
    <n v="0"/>
    <n v="0"/>
    <n v="0"/>
    <n v="0"/>
    <n v="0.33839999999999998"/>
    <n v="-1.1299999999999999E-2"/>
    <n v="1E-4"/>
    <n v="-0.50570000000000004"/>
    <n v="0.38229999999999997"/>
    <n v="-2.3599999999999999E-2"/>
    <n v="135"/>
    <n v="1.45"/>
    <n v="189"/>
    <n v="1.65"/>
    <n v="0"/>
    <n v="0"/>
    <n v="0"/>
    <n v="685"/>
    <n v="0"/>
  </r>
  <r>
    <x v="1"/>
    <x v="0"/>
    <s v="SPX"/>
    <x v="9"/>
    <x v="59"/>
    <s v="p"/>
    <n v="1.6"/>
    <n v="1.6"/>
    <n v="1.6"/>
    <n v="1.6"/>
    <n v="2"/>
    <n v="809"/>
    <n v="1.5"/>
    <n v="185"/>
    <n v="1.65"/>
    <n v="0"/>
    <n v="0"/>
    <n v="0"/>
    <n v="0"/>
    <n v="0.33650000000000002"/>
    <n v="-1.1299999999999999E-2"/>
    <n v="1E-4"/>
    <n v="-0.50519999999999998"/>
    <n v="0.3841"/>
    <n v="-2.3800000000000002E-2"/>
    <n v="65"/>
    <n v="1.5"/>
    <n v="336"/>
    <n v="1.7"/>
    <n v="0"/>
    <n v="0"/>
    <n v="1.6"/>
    <n v="1773"/>
    <n v="0"/>
  </r>
  <r>
    <x v="1"/>
    <x v="0"/>
    <s v="SPX"/>
    <x v="9"/>
    <x v="60"/>
    <s v="p"/>
    <n v="0"/>
    <n v="0"/>
    <n v="0"/>
    <n v="0"/>
    <n v="0"/>
    <n v="143"/>
    <n v="1.55"/>
    <n v="485"/>
    <n v="1.7"/>
    <n v="0"/>
    <n v="0"/>
    <n v="0"/>
    <n v="0"/>
    <n v="0.33550000000000002"/>
    <n v="-1.15E-2"/>
    <n v="1E-4"/>
    <n v="-0.51149999999999995"/>
    <n v="0.38969999999999999"/>
    <n v="-2.4199999999999999E-2"/>
    <n v="142"/>
    <n v="1.5"/>
    <n v="256"/>
    <n v="1.7"/>
    <n v="0"/>
    <n v="0"/>
    <n v="0"/>
    <n v="1110"/>
    <n v="0"/>
  </r>
  <r>
    <x v="1"/>
    <x v="0"/>
    <s v="SPX"/>
    <x v="9"/>
    <x v="502"/>
    <s v="p"/>
    <n v="0"/>
    <n v="0"/>
    <n v="0"/>
    <n v="0"/>
    <n v="0"/>
    <n v="241"/>
    <n v="1.55"/>
    <n v="125"/>
    <n v="1.7"/>
    <n v="0"/>
    <n v="0"/>
    <n v="0"/>
    <n v="0"/>
    <n v="0.33439999999999998"/>
    <n v="-1.17E-2"/>
    <n v="1E-4"/>
    <n v="-0.51780000000000004"/>
    <n v="0.39539999999999997"/>
    <n v="-2.46E-2"/>
    <n v="68"/>
    <n v="1.5"/>
    <n v="160"/>
    <n v="1.7"/>
    <n v="0"/>
    <n v="0"/>
    <n v="0"/>
    <n v="575"/>
    <n v="0"/>
  </r>
  <r>
    <x v="1"/>
    <x v="0"/>
    <s v="SPX"/>
    <x v="9"/>
    <x v="61"/>
    <s v="p"/>
    <n v="0"/>
    <n v="0"/>
    <n v="0"/>
    <n v="0"/>
    <n v="0"/>
    <n v="846"/>
    <n v="1.55"/>
    <n v="183"/>
    <n v="1.7"/>
    <n v="0"/>
    <n v="0"/>
    <n v="0"/>
    <n v="0"/>
    <n v="0.33250000000000002"/>
    <n v="-1.18E-2"/>
    <n v="1E-4"/>
    <n v="-0.51719999999999999"/>
    <n v="0.3972"/>
    <n v="-2.47E-2"/>
    <n v="96"/>
    <n v="1.55"/>
    <n v="344"/>
    <n v="1.75"/>
    <n v="0"/>
    <n v="0"/>
    <n v="0"/>
    <n v="953"/>
    <n v="0"/>
  </r>
  <r>
    <x v="1"/>
    <x v="0"/>
    <s v="SPX"/>
    <x v="9"/>
    <x v="503"/>
    <s v="p"/>
    <n v="0"/>
    <n v="0"/>
    <n v="0"/>
    <n v="0"/>
    <n v="0"/>
    <n v="116"/>
    <n v="1.6"/>
    <n v="275"/>
    <n v="1.75"/>
    <n v="0"/>
    <n v="0"/>
    <n v="0"/>
    <n v="0"/>
    <n v="0.33210000000000001"/>
    <n v="-1.21E-2"/>
    <n v="1E-4"/>
    <n v="-0.53010000000000002"/>
    <n v="0.40689999999999998"/>
    <n v="-2.5399999999999999E-2"/>
    <n v="69"/>
    <n v="1.55"/>
    <n v="167"/>
    <n v="1.75"/>
    <n v="0"/>
    <n v="0"/>
    <n v="0"/>
    <n v="363"/>
    <n v="0"/>
  </r>
  <r>
    <x v="1"/>
    <x v="0"/>
    <s v="SPX"/>
    <x v="9"/>
    <x v="62"/>
    <s v="p"/>
    <n v="1.42"/>
    <n v="2.5499999999999998"/>
    <n v="1.35"/>
    <n v="1.68"/>
    <n v="50"/>
    <n v="697"/>
    <n v="1.6"/>
    <n v="183"/>
    <n v="1.75"/>
    <n v="0"/>
    <n v="0"/>
    <n v="0"/>
    <n v="0"/>
    <n v="0.33029999999999998"/>
    <n v="-1.2200000000000001E-2"/>
    <n v="1E-4"/>
    <n v="-0.52959999999999996"/>
    <n v="0.40870000000000001"/>
    <n v="-2.5499999999999998E-2"/>
    <n v="61"/>
    <n v="1.6"/>
    <n v="92"/>
    <n v="1.75"/>
    <n v="0"/>
    <n v="0"/>
    <n v="1.8440000000000001"/>
    <n v="15762"/>
    <n v="0"/>
  </r>
  <r>
    <x v="1"/>
    <x v="0"/>
    <s v="SPX"/>
    <x v="9"/>
    <x v="504"/>
    <s v="p"/>
    <n v="0"/>
    <n v="0"/>
    <n v="0"/>
    <n v="0"/>
    <n v="0"/>
    <n v="284"/>
    <n v="1.6"/>
    <n v="279"/>
    <n v="1.8"/>
    <n v="0"/>
    <n v="0"/>
    <n v="0"/>
    <n v="0"/>
    <n v="0.32900000000000001"/>
    <n v="-1.24E-2"/>
    <n v="1E-4"/>
    <n v="-0.53559999999999997"/>
    <n v="0.41470000000000001"/>
    <n v="-2.5899999999999999E-2"/>
    <n v="71"/>
    <n v="1.6"/>
    <n v="224"/>
    <n v="1.8"/>
    <n v="0"/>
    <n v="0"/>
    <n v="0"/>
    <n v="159"/>
    <n v="0"/>
  </r>
  <r>
    <x v="1"/>
    <x v="0"/>
    <s v="SPX"/>
    <x v="9"/>
    <x v="63"/>
    <s v="p"/>
    <n v="2.2000000000000002"/>
    <n v="2.2000000000000002"/>
    <n v="2.2000000000000002"/>
    <n v="2.2000000000000002"/>
    <n v="1"/>
    <n v="492"/>
    <n v="1.65"/>
    <n v="332"/>
    <n v="1.8"/>
    <n v="0"/>
    <n v="0"/>
    <n v="0"/>
    <n v="0"/>
    <n v="0.32800000000000001"/>
    <n v="-1.26E-2"/>
    <n v="1E-4"/>
    <n v="-0.54179999999999995"/>
    <n v="0.42049999999999998"/>
    <n v="-2.63E-2"/>
    <n v="109"/>
    <n v="1.6"/>
    <n v="168"/>
    <n v="1.8"/>
    <n v="0"/>
    <n v="0"/>
    <n v="2.2000000000000002"/>
    <n v="1059"/>
    <n v="0"/>
  </r>
  <r>
    <x v="1"/>
    <x v="0"/>
    <s v="SPX"/>
    <x v="9"/>
    <x v="505"/>
    <s v="p"/>
    <n v="0"/>
    <n v="0"/>
    <n v="0"/>
    <n v="0"/>
    <n v="0"/>
    <n v="272"/>
    <n v="1.65"/>
    <n v="327"/>
    <n v="1.85"/>
    <n v="0"/>
    <n v="0"/>
    <n v="0"/>
    <n v="0"/>
    <n v="0.32640000000000002"/>
    <n v="-1.2800000000000001E-2"/>
    <n v="1E-4"/>
    <n v="-0.54769999999999996"/>
    <n v="0.42680000000000001"/>
    <n v="-2.6800000000000001E-2"/>
    <n v="20"/>
    <n v="1.65"/>
    <n v="230"/>
    <n v="1.85"/>
    <n v="0"/>
    <n v="0"/>
    <n v="0"/>
    <n v="252"/>
    <n v="0"/>
  </r>
  <r>
    <x v="1"/>
    <x v="0"/>
    <s v="SPX"/>
    <x v="9"/>
    <x v="64"/>
    <s v="p"/>
    <n v="1.87"/>
    <n v="1.87"/>
    <n v="1.87"/>
    <n v="1.87"/>
    <n v="16"/>
    <n v="132"/>
    <n v="1.7"/>
    <n v="247"/>
    <n v="1.85"/>
    <n v="0"/>
    <n v="0"/>
    <n v="0"/>
    <n v="0"/>
    <n v="0.32569999999999999"/>
    <n v="-1.2999999999999999E-2"/>
    <n v="1E-4"/>
    <n v="-0.55379999999999996"/>
    <n v="0.43240000000000001"/>
    <n v="-2.7199999999999998E-2"/>
    <n v="122"/>
    <n v="1.65"/>
    <n v="172"/>
    <n v="1.85"/>
    <n v="0"/>
    <n v="0"/>
    <n v="1.87"/>
    <n v="262"/>
    <n v="0"/>
  </r>
  <r>
    <x v="1"/>
    <x v="0"/>
    <s v="SPX"/>
    <x v="9"/>
    <x v="65"/>
    <s v="p"/>
    <n v="0"/>
    <n v="0"/>
    <n v="0"/>
    <n v="0"/>
    <n v="0"/>
    <n v="796"/>
    <n v="1.7"/>
    <n v="181"/>
    <n v="1.85"/>
    <n v="0"/>
    <n v="0"/>
    <n v="0"/>
    <n v="0"/>
    <n v="0.32369999999999999"/>
    <n v="-1.3100000000000001E-2"/>
    <n v="1E-4"/>
    <n v="-0.55320000000000003"/>
    <n v="0.43459999999999999"/>
    <n v="-2.7300000000000001E-2"/>
    <n v="60"/>
    <n v="1.7"/>
    <n v="272"/>
    <n v="1.9"/>
    <n v="0"/>
    <n v="0"/>
    <n v="0"/>
    <n v="2673"/>
    <n v="0"/>
  </r>
  <r>
    <x v="1"/>
    <x v="0"/>
    <s v="SPX"/>
    <x v="9"/>
    <x v="66"/>
    <s v="p"/>
    <n v="2.7"/>
    <n v="2.7"/>
    <n v="2.7"/>
    <n v="2.7"/>
    <n v="30"/>
    <n v="287"/>
    <n v="1.75"/>
    <n v="584"/>
    <n v="1.9"/>
    <n v="0"/>
    <n v="0"/>
    <n v="0"/>
    <n v="0"/>
    <n v="0.32329999999999998"/>
    <n v="-1.34E-2"/>
    <n v="1E-4"/>
    <n v="-0.56569999999999998"/>
    <n v="0.44429999999999997"/>
    <n v="-2.81E-2"/>
    <n v="114"/>
    <n v="1.7"/>
    <n v="235"/>
    <n v="1.9"/>
    <n v="0"/>
    <n v="0"/>
    <n v="2.7"/>
    <n v="4497"/>
    <n v="0"/>
  </r>
  <r>
    <x v="1"/>
    <x v="0"/>
    <s v="SPX"/>
    <x v="9"/>
    <x v="506"/>
    <s v="p"/>
    <n v="0"/>
    <n v="0"/>
    <n v="0"/>
    <n v="0"/>
    <n v="0"/>
    <n v="241"/>
    <n v="1.75"/>
    <n v="87"/>
    <n v="1.9"/>
    <n v="0"/>
    <n v="0"/>
    <n v="0"/>
    <n v="0"/>
    <n v="0.32150000000000001"/>
    <n v="-1.35E-2"/>
    <n v="1E-4"/>
    <n v="-0.56510000000000005"/>
    <n v="0.44650000000000001"/>
    <n v="-2.8199999999999999E-2"/>
    <n v="74"/>
    <n v="1.7"/>
    <n v="233"/>
    <n v="1.95"/>
    <n v="0"/>
    <n v="0"/>
    <n v="0"/>
    <n v="620"/>
    <n v="0"/>
  </r>
  <r>
    <x v="1"/>
    <x v="0"/>
    <s v="SPX"/>
    <x v="9"/>
    <x v="67"/>
    <s v="p"/>
    <n v="0"/>
    <n v="0"/>
    <n v="0"/>
    <n v="0"/>
    <n v="0"/>
    <n v="154"/>
    <n v="1.8"/>
    <n v="474"/>
    <n v="1.95"/>
    <n v="0"/>
    <n v="0"/>
    <n v="0"/>
    <n v="0"/>
    <n v="0.3201"/>
    <n v="-1.37E-2"/>
    <n v="1E-4"/>
    <n v="-0.57089999999999996"/>
    <n v="0.45269999999999999"/>
    <n v="-2.87E-2"/>
    <n v="121"/>
    <n v="1.75"/>
    <n v="274"/>
    <n v="1.95"/>
    <n v="0"/>
    <n v="0"/>
    <n v="0"/>
    <n v="1170"/>
    <n v="0"/>
  </r>
  <r>
    <x v="1"/>
    <x v="0"/>
    <s v="SPX"/>
    <x v="9"/>
    <x v="507"/>
    <s v="p"/>
    <n v="0"/>
    <n v="0"/>
    <n v="0"/>
    <n v="0"/>
    <n v="0"/>
    <n v="235"/>
    <n v="1.8"/>
    <n v="345"/>
    <n v="2"/>
    <n v="0"/>
    <n v="0"/>
    <n v="0"/>
    <n v="0"/>
    <n v="0.3196"/>
    <n v="-1.4E-2"/>
    <n v="1E-4"/>
    <n v="-0.58320000000000005"/>
    <n v="0.46260000000000001"/>
    <n v="-2.9399999999999999E-2"/>
    <n v="74"/>
    <n v="1.75"/>
    <n v="224"/>
    <n v="2"/>
    <n v="0"/>
    <n v="0"/>
    <n v="0"/>
    <n v="283"/>
    <n v="0"/>
  </r>
  <r>
    <x v="1"/>
    <x v="0"/>
    <s v="SPX"/>
    <x v="9"/>
    <x v="68"/>
    <s v="p"/>
    <n v="1.7"/>
    <n v="3.2"/>
    <n v="1.54"/>
    <n v="1.85"/>
    <n v="4652"/>
    <n v="969"/>
    <n v="1.8"/>
    <n v="727"/>
    <n v="2"/>
    <n v="0"/>
    <n v="0"/>
    <n v="0"/>
    <n v="0"/>
    <n v="0.31780000000000003"/>
    <n v="-1.41E-2"/>
    <n v="1E-4"/>
    <n v="-0.58260000000000001"/>
    <n v="0.46479999999999999"/>
    <n v="-2.9600000000000001E-2"/>
    <n v="123"/>
    <n v="1.8"/>
    <n v="386"/>
    <n v="2"/>
    <n v="0"/>
    <n v="0"/>
    <n v="3.1665999999999999"/>
    <n v="20126"/>
    <n v="0"/>
  </r>
  <r>
    <x v="1"/>
    <x v="0"/>
    <s v="SPX"/>
    <x v="9"/>
    <x v="508"/>
    <s v="p"/>
    <n v="0"/>
    <n v="0"/>
    <n v="0"/>
    <n v="0"/>
    <n v="0"/>
    <n v="235"/>
    <n v="1.85"/>
    <n v="104"/>
    <n v="2"/>
    <n v="0"/>
    <n v="0"/>
    <n v="0"/>
    <n v="0"/>
    <n v="0.3165"/>
    <n v="-1.43E-2"/>
    <n v="1E-4"/>
    <n v="-0.58840000000000003"/>
    <n v="0.47089999999999999"/>
    <n v="-0.03"/>
    <n v="78"/>
    <n v="1.8"/>
    <n v="270"/>
    <n v="2.0499999999999998"/>
    <n v="0"/>
    <n v="0"/>
    <n v="0"/>
    <n v="261"/>
    <n v="0"/>
  </r>
  <r>
    <x v="1"/>
    <x v="0"/>
    <s v="SPX"/>
    <x v="9"/>
    <x v="69"/>
    <s v="p"/>
    <n v="2.82"/>
    <n v="2.82"/>
    <n v="2.82"/>
    <n v="2.82"/>
    <n v="1"/>
    <n v="381"/>
    <n v="1.85"/>
    <n v="350"/>
    <n v="2.0499999999999998"/>
    <n v="0"/>
    <n v="0"/>
    <n v="0"/>
    <n v="0"/>
    <n v="0.31530000000000002"/>
    <n v="-1.4500000000000001E-2"/>
    <n v="1E-4"/>
    <n v="-0.59409999999999996"/>
    <n v="0.47710000000000002"/>
    <n v="-3.0499999999999999E-2"/>
    <n v="117"/>
    <n v="1.85"/>
    <n v="302"/>
    <n v="2.0499999999999998"/>
    <n v="0"/>
    <n v="0"/>
    <n v="2.82"/>
    <n v="517"/>
    <n v="0"/>
  </r>
  <r>
    <x v="1"/>
    <x v="0"/>
    <s v="SPX"/>
    <x v="9"/>
    <x v="509"/>
    <s v="p"/>
    <n v="2.02"/>
    <n v="2.02"/>
    <n v="2.02"/>
    <n v="2.02"/>
    <n v="35"/>
    <n v="232"/>
    <n v="1.9"/>
    <n v="99"/>
    <n v="2.0499999999999998"/>
    <n v="0"/>
    <n v="0"/>
    <n v="0"/>
    <n v="0"/>
    <n v="0.314"/>
    <n v="-1.4800000000000001E-2"/>
    <n v="1E-4"/>
    <n v="-0.5998"/>
    <n v="0.48330000000000001"/>
    <n v="-3.1E-2"/>
    <n v="73"/>
    <n v="1.85"/>
    <n v="242"/>
    <n v="2.1"/>
    <n v="0"/>
    <n v="0"/>
    <n v="2.02"/>
    <n v="370"/>
    <n v="0"/>
  </r>
  <r>
    <x v="1"/>
    <x v="0"/>
    <s v="SPX"/>
    <x v="9"/>
    <x v="70"/>
    <s v="p"/>
    <n v="0"/>
    <n v="0"/>
    <n v="0"/>
    <n v="0"/>
    <n v="0"/>
    <n v="386"/>
    <n v="1.9"/>
    <n v="273"/>
    <n v="2.1"/>
    <n v="0"/>
    <n v="0"/>
    <n v="0"/>
    <n v="0"/>
    <n v="0.31269999999999998"/>
    <n v="-1.4999999999999999E-2"/>
    <n v="1E-4"/>
    <n v="-0.60540000000000005"/>
    <n v="0.48949999999999999"/>
    <n v="-3.1399999999999997E-2"/>
    <n v="116"/>
    <n v="1.9"/>
    <n v="232"/>
    <n v="2.1"/>
    <n v="0"/>
    <n v="0"/>
    <n v="0"/>
    <n v="795"/>
    <n v="0"/>
  </r>
  <r>
    <x v="1"/>
    <x v="0"/>
    <s v="SPX"/>
    <x v="9"/>
    <x v="71"/>
    <s v="p"/>
    <n v="0"/>
    <n v="0"/>
    <n v="0"/>
    <n v="0"/>
    <n v="0"/>
    <n v="621"/>
    <n v="1.95"/>
    <n v="308"/>
    <n v="2.1"/>
    <n v="0"/>
    <n v="0"/>
    <n v="0"/>
    <n v="0"/>
    <n v="0.3115"/>
    <n v="-1.52E-2"/>
    <n v="1E-4"/>
    <n v="-0.61109999999999998"/>
    <n v="0.49569999999999997"/>
    <n v="-3.1899999999999998E-2"/>
    <n v="115"/>
    <n v="1.9"/>
    <n v="176"/>
    <n v="2.1"/>
    <n v="0"/>
    <n v="0"/>
    <n v="0"/>
    <n v="2339"/>
    <n v="0"/>
  </r>
  <r>
    <x v="1"/>
    <x v="0"/>
    <s v="SPX"/>
    <x v="9"/>
    <x v="72"/>
    <s v="p"/>
    <n v="0"/>
    <n v="0"/>
    <n v="0"/>
    <n v="0"/>
    <n v="0"/>
    <n v="961"/>
    <n v="1.95"/>
    <n v="595"/>
    <n v="2.15"/>
    <n v="0"/>
    <n v="0"/>
    <n v="0"/>
    <n v="0"/>
    <n v="0.31019999999999998"/>
    <n v="-1.54E-2"/>
    <n v="1E-4"/>
    <n v="-0.61660000000000004"/>
    <n v="0.50190000000000001"/>
    <n v="-3.2399999999999998E-2"/>
    <n v="115"/>
    <n v="1.95"/>
    <n v="273"/>
    <n v="2.15"/>
    <n v="0"/>
    <n v="0"/>
    <n v="0"/>
    <n v="4436"/>
    <n v="0"/>
  </r>
  <r>
    <x v="1"/>
    <x v="0"/>
    <s v="SPX"/>
    <x v="9"/>
    <x v="510"/>
    <s v="p"/>
    <n v="2"/>
    <n v="2.1"/>
    <n v="2"/>
    <n v="2.1"/>
    <n v="20"/>
    <n v="530"/>
    <n v="2"/>
    <n v="179"/>
    <n v="2.15"/>
    <n v="0"/>
    <n v="0"/>
    <n v="0"/>
    <n v="0"/>
    <n v="0.30890000000000001"/>
    <n v="-1.5699999999999999E-2"/>
    <n v="1E-4"/>
    <n v="-0.62209999999999999"/>
    <n v="0.50819999999999999"/>
    <n v="-3.2899999999999999E-2"/>
    <n v="75"/>
    <n v="1.95"/>
    <n v="257"/>
    <n v="2.2000000000000002"/>
    <n v="0"/>
    <n v="0"/>
    <n v="2.0499999999999998"/>
    <n v="559"/>
    <n v="0"/>
  </r>
  <r>
    <x v="1"/>
    <x v="0"/>
    <s v="SPX"/>
    <x v="9"/>
    <x v="73"/>
    <s v="p"/>
    <n v="1.95"/>
    <n v="1.95"/>
    <n v="1.95"/>
    <n v="1.95"/>
    <n v="2"/>
    <n v="126"/>
    <n v="2.0499999999999998"/>
    <n v="265"/>
    <n v="2.2000000000000002"/>
    <n v="0"/>
    <n v="0"/>
    <n v="0"/>
    <n v="0"/>
    <n v="0.30740000000000001"/>
    <n v="-1.5900000000000001E-2"/>
    <n v="1E-4"/>
    <n v="-0.62749999999999995"/>
    <n v="0.51470000000000005"/>
    <n v="-3.3399999999999999E-2"/>
    <n v="115"/>
    <n v="2"/>
    <n v="231"/>
    <n v="2.2000000000000002"/>
    <n v="0"/>
    <n v="0"/>
    <n v="1.95"/>
    <n v="606"/>
    <n v="0"/>
  </r>
  <r>
    <x v="1"/>
    <x v="0"/>
    <s v="SPX"/>
    <x v="9"/>
    <x v="511"/>
    <s v="p"/>
    <n v="0"/>
    <n v="0"/>
    <n v="0"/>
    <n v="0"/>
    <n v="0"/>
    <n v="244"/>
    <n v="2.0499999999999998"/>
    <n v="332"/>
    <n v="2.25"/>
    <n v="0"/>
    <n v="0"/>
    <n v="0"/>
    <n v="0"/>
    <n v="0.30669999999999997"/>
    <n v="-1.6299999999999999E-2"/>
    <n v="1E-4"/>
    <n v="-0.63929999999999998"/>
    <n v="0.52449999999999997"/>
    <n v="-3.4099999999999998E-2"/>
    <n v="76"/>
    <n v="2"/>
    <n v="235"/>
    <n v="2.25"/>
    <n v="0"/>
    <n v="0"/>
    <n v="0"/>
    <n v="450"/>
    <n v="0"/>
  </r>
  <r>
    <x v="1"/>
    <x v="0"/>
    <s v="SPX"/>
    <x v="9"/>
    <x v="74"/>
    <s v="p"/>
    <n v="2.82"/>
    <n v="2.95"/>
    <n v="2.82"/>
    <n v="2.9"/>
    <n v="352"/>
    <n v="482"/>
    <n v="2.1"/>
    <n v="460"/>
    <n v="2.25"/>
    <n v="0"/>
    <n v="0"/>
    <n v="0"/>
    <n v="0"/>
    <n v="0.3054"/>
    <n v="-1.6500000000000001E-2"/>
    <n v="1E-4"/>
    <n v="-0.64470000000000005"/>
    <n v="0.53080000000000005"/>
    <n v="-3.4599999999999999E-2"/>
    <n v="114"/>
    <n v="2.0499999999999998"/>
    <n v="226"/>
    <n v="2.25"/>
    <n v="0"/>
    <n v="0"/>
    <n v="2.9382000000000001"/>
    <n v="9626"/>
    <n v="0"/>
  </r>
  <r>
    <x v="1"/>
    <x v="0"/>
    <s v="SPX"/>
    <x v="9"/>
    <x v="512"/>
    <s v="p"/>
    <n v="3"/>
    <n v="3"/>
    <n v="3"/>
    <n v="3"/>
    <n v="20"/>
    <n v="608"/>
    <n v="2.1"/>
    <n v="741"/>
    <n v="2.2999999999999998"/>
    <n v="0"/>
    <n v="0"/>
    <n v="0"/>
    <n v="0"/>
    <n v="0.30399999999999999"/>
    <n v="-1.67E-2"/>
    <n v="1E-4"/>
    <n v="-0.65010000000000001"/>
    <n v="0.5373"/>
    <n v="-3.5099999999999999E-2"/>
    <n v="20"/>
    <n v="2.1"/>
    <n v="220"/>
    <n v="2.2999999999999998"/>
    <n v="0"/>
    <n v="0"/>
    <n v="3"/>
    <n v="266"/>
    <n v="0"/>
  </r>
  <r>
    <x v="1"/>
    <x v="0"/>
    <s v="SPX"/>
    <x v="9"/>
    <x v="75"/>
    <s v="p"/>
    <n v="0"/>
    <n v="0"/>
    <n v="0"/>
    <n v="0"/>
    <n v="0"/>
    <n v="285"/>
    <n v="2.15"/>
    <n v="70"/>
    <n v="2.2999999999999998"/>
    <n v="0"/>
    <n v="0"/>
    <n v="0"/>
    <n v="0"/>
    <n v="0.30270000000000002"/>
    <n v="-1.6899999999999998E-2"/>
    <n v="1E-4"/>
    <n v="-0.65539999999999998"/>
    <n v="0.54359999999999997"/>
    <n v="-3.56E-2"/>
    <n v="112"/>
    <n v="2.1"/>
    <n v="164"/>
    <n v="2.2999999999999998"/>
    <n v="0"/>
    <n v="0"/>
    <n v="0"/>
    <n v="409"/>
    <n v="0"/>
  </r>
  <r>
    <x v="1"/>
    <x v="0"/>
    <s v="SPX"/>
    <x v="9"/>
    <x v="513"/>
    <s v="p"/>
    <n v="0"/>
    <n v="0"/>
    <n v="0"/>
    <n v="0"/>
    <n v="0"/>
    <n v="294"/>
    <n v="2.15"/>
    <n v="257"/>
    <n v="2.35"/>
    <n v="0"/>
    <n v="0"/>
    <n v="0"/>
    <n v="0"/>
    <n v="0.30109999999999998"/>
    <n v="-1.72E-2"/>
    <n v="1E-4"/>
    <n v="-0.66059999999999997"/>
    <n v="0.5504"/>
    <n v="-3.61E-2"/>
    <n v="77"/>
    <n v="2.15"/>
    <n v="214"/>
    <n v="2.35"/>
    <n v="0"/>
    <n v="0"/>
    <n v="0"/>
    <n v="627"/>
    <n v="0"/>
  </r>
  <r>
    <x v="1"/>
    <x v="0"/>
    <s v="SPX"/>
    <x v="9"/>
    <x v="76"/>
    <s v="p"/>
    <n v="0"/>
    <n v="0"/>
    <n v="0"/>
    <n v="0"/>
    <n v="0"/>
    <n v="281"/>
    <n v="2.2000000000000002"/>
    <n v="318"/>
    <n v="2.4"/>
    <n v="0"/>
    <n v="0"/>
    <n v="0"/>
    <n v="0"/>
    <n v="0.3004"/>
    <n v="-1.7600000000000001E-2"/>
    <n v="1E-4"/>
    <n v="-0.67190000000000005"/>
    <n v="0.56040000000000001"/>
    <n v="-3.6900000000000002E-2"/>
    <n v="120"/>
    <n v="2.15"/>
    <n v="271"/>
    <n v="2.4"/>
    <n v="0"/>
    <n v="0"/>
    <n v="0"/>
    <n v="608"/>
    <n v="0"/>
  </r>
  <r>
    <x v="1"/>
    <x v="0"/>
    <s v="SPX"/>
    <x v="9"/>
    <x v="77"/>
    <s v="p"/>
    <n v="1.9"/>
    <n v="3.5"/>
    <n v="1.9"/>
    <n v="2.65"/>
    <n v="97"/>
    <n v="519"/>
    <n v="2.25"/>
    <n v="387"/>
    <n v="2.4"/>
    <n v="0"/>
    <n v="0"/>
    <n v="0"/>
    <n v="0"/>
    <n v="0.29909999999999998"/>
    <n v="-1.78E-2"/>
    <n v="1E-4"/>
    <n v="-0.67720000000000002"/>
    <n v="0.56679999999999997"/>
    <n v="-3.7400000000000003E-2"/>
    <n v="112"/>
    <n v="2.2000000000000002"/>
    <n v="162"/>
    <n v="2.4"/>
    <n v="0"/>
    <n v="0"/>
    <n v="2.7004000000000001"/>
    <n v="2699"/>
    <n v="0"/>
  </r>
  <r>
    <x v="1"/>
    <x v="0"/>
    <s v="SPX"/>
    <x v="9"/>
    <x v="78"/>
    <s v="p"/>
    <n v="1.99"/>
    <n v="2.4"/>
    <n v="1.99"/>
    <n v="2.4"/>
    <n v="65"/>
    <n v="954"/>
    <n v="2.25"/>
    <n v="586"/>
    <n v="2.4500000000000002"/>
    <n v="0"/>
    <n v="0"/>
    <n v="0"/>
    <n v="0"/>
    <n v="0.29749999999999999"/>
    <n v="-1.8100000000000002E-2"/>
    <n v="1E-4"/>
    <n v="-0.68220000000000003"/>
    <n v="0.57379999999999998"/>
    <n v="-3.7900000000000003E-2"/>
    <n v="116"/>
    <n v="2.25"/>
    <n v="385"/>
    <n v="2.4500000000000002"/>
    <n v="0"/>
    <n v="0"/>
    <n v="2.3936999999999999"/>
    <n v="1368"/>
    <n v="0"/>
  </r>
  <r>
    <x v="1"/>
    <x v="0"/>
    <s v="SPX"/>
    <x v="9"/>
    <x v="514"/>
    <s v="p"/>
    <n v="0"/>
    <n v="0"/>
    <n v="0"/>
    <n v="0"/>
    <n v="0"/>
    <n v="222"/>
    <n v="2.2999999999999998"/>
    <n v="318"/>
    <n v="2.5"/>
    <n v="0"/>
    <n v="0"/>
    <n v="0"/>
    <n v="0"/>
    <n v="0.29670000000000002"/>
    <n v="-1.84E-2"/>
    <n v="1E-4"/>
    <n v="-0.69340000000000002"/>
    <n v="0.58389999999999997"/>
    <n v="-3.8699999999999998E-2"/>
    <n v="84"/>
    <n v="2.25"/>
    <n v="229"/>
    <n v="2.5"/>
    <n v="0"/>
    <n v="0"/>
    <n v="0"/>
    <n v="429"/>
    <n v="0"/>
  </r>
  <r>
    <x v="1"/>
    <x v="0"/>
    <s v="SPX"/>
    <x v="9"/>
    <x v="79"/>
    <s v="p"/>
    <n v="1.92"/>
    <n v="2.75"/>
    <n v="1.92"/>
    <n v="2.75"/>
    <n v="32"/>
    <n v="553"/>
    <n v="2.35"/>
    <n v="386"/>
    <n v="2.5"/>
    <n v="0"/>
    <n v="0"/>
    <n v="0"/>
    <n v="0"/>
    <n v="0.29470000000000002"/>
    <n v="-1.8599999999999998E-2"/>
    <n v="1E-4"/>
    <n v="-0.69240000000000002"/>
    <n v="0.58720000000000006"/>
    <n v="-3.8899999999999997E-2"/>
    <n v="111"/>
    <n v="2.2999999999999998"/>
    <n v="184"/>
    <n v="2.5"/>
    <n v="0"/>
    <n v="0"/>
    <n v="2.4906000000000001"/>
    <n v="504"/>
    <n v="0"/>
  </r>
  <r>
    <x v="1"/>
    <x v="0"/>
    <s v="SPX"/>
    <x v="9"/>
    <x v="515"/>
    <s v="p"/>
    <n v="3.4"/>
    <n v="3.4"/>
    <n v="3.4"/>
    <n v="3.4"/>
    <n v="10"/>
    <n v="248"/>
    <n v="2.35"/>
    <n v="251"/>
    <n v="2.5499999999999998"/>
    <n v="0"/>
    <n v="0"/>
    <n v="0"/>
    <n v="0"/>
    <n v="0.29380000000000001"/>
    <n v="-1.89E-2"/>
    <n v="1E-4"/>
    <n v="-0.70340000000000003"/>
    <n v="0.59750000000000003"/>
    <n v="-3.9800000000000002E-2"/>
    <n v="76"/>
    <n v="2.35"/>
    <n v="212"/>
    <n v="2.5499999999999998"/>
    <n v="0"/>
    <n v="0"/>
    <n v="3.4"/>
    <n v="341"/>
    <n v="0"/>
  </r>
  <r>
    <x v="1"/>
    <x v="0"/>
    <s v="SPX"/>
    <x v="9"/>
    <x v="80"/>
    <s v="p"/>
    <n v="2.2999999999999998"/>
    <n v="3.81"/>
    <n v="1.97"/>
    <n v="2.4500000000000002"/>
    <n v="390"/>
    <n v="811"/>
    <n v="2.4"/>
    <n v="721"/>
    <n v="2.6"/>
    <n v="0"/>
    <n v="0"/>
    <n v="0"/>
    <n v="0"/>
    <n v="0.29289999999999999"/>
    <n v="-1.9300000000000001E-2"/>
    <n v="1E-4"/>
    <n v="-0.71440000000000003"/>
    <n v="0.6079"/>
    <n v="-4.0599999999999997E-2"/>
    <n v="111"/>
    <n v="2.35"/>
    <n v="205"/>
    <n v="2.5499999999999998"/>
    <n v="0"/>
    <n v="0"/>
    <n v="2.4632000000000001"/>
    <n v="18031"/>
    <n v="0"/>
  </r>
  <r>
    <x v="1"/>
    <x v="0"/>
    <s v="SPX"/>
    <x v="9"/>
    <x v="516"/>
    <s v="p"/>
    <n v="0"/>
    <n v="0"/>
    <n v="0"/>
    <n v="0"/>
    <n v="0"/>
    <n v="195"/>
    <n v="2.4500000000000002"/>
    <n v="75"/>
    <n v="2.6"/>
    <n v="0"/>
    <n v="0"/>
    <n v="0"/>
    <n v="0"/>
    <n v="0.29149999999999998"/>
    <n v="-1.9599999999999999E-2"/>
    <n v="1E-4"/>
    <n v="-0.71930000000000005"/>
    <n v="0.61480000000000001"/>
    <n v="-4.1099999999999998E-2"/>
    <n v="80"/>
    <n v="2.4"/>
    <n v="251"/>
    <n v="2.65"/>
    <n v="0"/>
    <n v="0"/>
    <n v="0"/>
    <n v="328"/>
    <n v="0"/>
  </r>
  <r>
    <x v="1"/>
    <x v="0"/>
    <s v="SPX"/>
    <x v="9"/>
    <x v="81"/>
    <s v="p"/>
    <n v="0"/>
    <n v="0"/>
    <n v="0"/>
    <n v="0"/>
    <n v="0"/>
    <n v="898"/>
    <n v="2.4500000000000002"/>
    <n v="474"/>
    <n v="2.65"/>
    <n v="0"/>
    <n v="0"/>
    <n v="0"/>
    <n v="0"/>
    <n v="0.28989999999999999"/>
    <n v="-1.9900000000000001E-2"/>
    <n v="1E-4"/>
    <n v="-0.72409999999999997"/>
    <n v="0.62209999999999999"/>
    <n v="-4.1700000000000001E-2"/>
    <n v="77"/>
    <n v="2.4500000000000002"/>
    <n v="224"/>
    <n v="2.65"/>
    <n v="0"/>
    <n v="0"/>
    <n v="0"/>
    <n v="1034"/>
    <n v="0"/>
  </r>
  <r>
    <x v="1"/>
    <x v="0"/>
    <s v="SPX"/>
    <x v="9"/>
    <x v="517"/>
    <s v="p"/>
    <n v="2.95"/>
    <n v="2.95"/>
    <n v="2.95"/>
    <n v="2.95"/>
    <n v="20"/>
    <n v="620"/>
    <n v="2.5"/>
    <n v="541"/>
    <n v="2.7"/>
    <n v="0"/>
    <n v="0"/>
    <n v="0"/>
    <n v="0"/>
    <n v="0.2888"/>
    <n v="-2.0299999999999999E-2"/>
    <n v="1E-4"/>
    <n v="-0.73470000000000002"/>
    <n v="0.63300000000000001"/>
    <n v="-4.2500000000000003E-2"/>
    <n v="81"/>
    <n v="2.4500000000000002"/>
    <n v="218"/>
    <n v="2.7"/>
    <n v="0"/>
    <n v="0"/>
    <n v="2.95"/>
    <n v="421"/>
    <n v="0"/>
  </r>
  <r>
    <x v="1"/>
    <x v="0"/>
    <s v="SPX"/>
    <x v="9"/>
    <x v="82"/>
    <s v="p"/>
    <n v="0"/>
    <n v="0"/>
    <n v="0"/>
    <n v="0"/>
    <n v="0"/>
    <n v="289"/>
    <n v="2.5499999999999998"/>
    <n v="320"/>
    <n v="2.75"/>
    <n v="0"/>
    <n v="0"/>
    <n v="0"/>
    <n v="0"/>
    <n v="0.28799999999999998"/>
    <n v="-2.07E-2"/>
    <n v="1E-4"/>
    <n v="-0.74539999999999995"/>
    <n v="0.64339999999999997"/>
    <n v="-4.3400000000000001E-2"/>
    <n v="120"/>
    <n v="2.5"/>
    <n v="271"/>
    <n v="2.75"/>
    <n v="0"/>
    <n v="0"/>
    <n v="0"/>
    <n v="299"/>
    <n v="0"/>
  </r>
  <r>
    <x v="1"/>
    <x v="0"/>
    <s v="SPX"/>
    <x v="9"/>
    <x v="83"/>
    <s v="p"/>
    <n v="2.15"/>
    <n v="2.85"/>
    <n v="2.15"/>
    <n v="2.85"/>
    <n v="73"/>
    <n v="328"/>
    <n v="2.6"/>
    <n v="212"/>
    <n v="2.75"/>
    <n v="0"/>
    <n v="0"/>
    <n v="0"/>
    <n v="0"/>
    <n v="0.28649999999999998"/>
    <n v="-2.0899999999999998E-2"/>
    <n v="1E-4"/>
    <n v="-0.75019999999999998"/>
    <n v="0.65049999999999997"/>
    <n v="-4.3900000000000002E-2"/>
    <n v="77"/>
    <n v="2.5499999999999998"/>
    <n v="215"/>
    <n v="2.75"/>
    <n v="0"/>
    <n v="0"/>
    <n v="2.1787999999999998"/>
    <n v="2212"/>
    <n v="0"/>
  </r>
  <r>
    <x v="1"/>
    <x v="0"/>
    <s v="SPX"/>
    <x v="9"/>
    <x v="84"/>
    <s v="p"/>
    <n v="2.17"/>
    <n v="2.7"/>
    <n v="2.17"/>
    <n v="2.7"/>
    <n v="25"/>
    <n v="352"/>
    <n v="2.6"/>
    <n v="100"/>
    <n v="2.8"/>
    <n v="0"/>
    <n v="0"/>
    <n v="0"/>
    <n v="0"/>
    <n v="0.28489999999999999"/>
    <n v="-2.12E-2"/>
    <n v="1E-4"/>
    <n v="-0.75480000000000003"/>
    <n v="0.65800000000000003"/>
    <n v="-4.4499999999999998E-2"/>
    <n v="77"/>
    <n v="2.6"/>
    <n v="176"/>
    <n v="2.8"/>
    <n v="0"/>
    <n v="0"/>
    <n v="2.5939999999999999"/>
    <n v="795"/>
    <n v="0"/>
  </r>
  <r>
    <x v="1"/>
    <x v="0"/>
    <s v="SPX"/>
    <x v="9"/>
    <x v="518"/>
    <s v="p"/>
    <n v="2.5499999999999998"/>
    <n v="2.5499999999999998"/>
    <n v="2.5499999999999998"/>
    <n v="2.5499999999999998"/>
    <n v="20"/>
    <n v="612"/>
    <n v="2.65"/>
    <n v="477"/>
    <n v="2.85"/>
    <n v="0"/>
    <n v="0"/>
    <n v="0"/>
    <n v="0"/>
    <n v="0.2838"/>
    <n v="-2.1600000000000001E-2"/>
    <n v="2.0000000000000001E-4"/>
    <n v="-0.7651"/>
    <n v="0.66910000000000003"/>
    <n v="-4.5400000000000003E-2"/>
    <n v="37"/>
    <n v="2.65"/>
    <n v="260"/>
    <n v="2.9"/>
    <n v="0"/>
    <n v="0"/>
    <n v="2.5499999999999998"/>
    <n v="487"/>
    <n v="0"/>
  </r>
  <r>
    <x v="1"/>
    <x v="0"/>
    <s v="SPX"/>
    <x v="9"/>
    <x v="85"/>
    <s v="p"/>
    <n v="2.4700000000000002"/>
    <n v="4.1900000000000004"/>
    <n v="2.17"/>
    <n v="2.75"/>
    <n v="14"/>
    <n v="308"/>
    <n v="2.7"/>
    <n v="225"/>
    <n v="2.9"/>
    <n v="0"/>
    <n v="0"/>
    <n v="0"/>
    <n v="0"/>
    <n v="0.28260000000000002"/>
    <n v="-2.1999999999999999E-2"/>
    <n v="2.0000000000000001E-4"/>
    <n v="-0.77529999999999999"/>
    <n v="0.68020000000000003"/>
    <n v="-4.6300000000000001E-2"/>
    <n v="116"/>
    <n v="2.65"/>
    <n v="241"/>
    <n v="2.9"/>
    <n v="0"/>
    <n v="0"/>
    <n v="2.6720999999999999"/>
    <n v="616"/>
    <n v="0"/>
  </r>
  <r>
    <x v="1"/>
    <x v="0"/>
    <s v="SPX"/>
    <x v="9"/>
    <x v="519"/>
    <s v="p"/>
    <n v="2.27"/>
    <n v="3.5"/>
    <n v="2.27"/>
    <n v="2.7"/>
    <n v="43"/>
    <n v="533"/>
    <n v="2.75"/>
    <n v="560"/>
    <n v="2.95"/>
    <n v="0"/>
    <n v="0"/>
    <n v="0"/>
    <n v="0"/>
    <n v="0.28170000000000001"/>
    <n v="-2.2499999999999999E-2"/>
    <n v="2.0000000000000001E-4"/>
    <n v="-0.78569999999999995"/>
    <n v="0.69069999999999998"/>
    <n v="-4.7199999999999999E-2"/>
    <n v="85"/>
    <n v="2.7"/>
    <n v="210"/>
    <n v="2.95"/>
    <n v="0"/>
    <n v="0"/>
    <n v="2.9319000000000002"/>
    <n v="3467"/>
    <n v="0"/>
  </r>
  <r>
    <x v="1"/>
    <x v="0"/>
    <s v="SPX"/>
    <x v="9"/>
    <x v="86"/>
    <s v="p"/>
    <n v="2.57"/>
    <n v="4.08"/>
    <n v="2.2200000000000002"/>
    <n v="2.85"/>
    <n v="129"/>
    <n v="637"/>
    <n v="2.8"/>
    <n v="106"/>
    <n v="2.95"/>
    <n v="0"/>
    <n v="0"/>
    <n v="0"/>
    <n v="0"/>
    <n v="0.28010000000000002"/>
    <n v="-2.2700000000000001E-2"/>
    <n v="2.0000000000000001E-4"/>
    <n v="-0.79"/>
    <n v="0.69840000000000002"/>
    <n v="-4.7800000000000002E-2"/>
    <n v="76"/>
    <n v="2.75"/>
    <n v="205"/>
    <n v="2.95"/>
    <n v="0"/>
    <n v="0"/>
    <n v="3.052"/>
    <n v="8188"/>
    <n v="0"/>
  </r>
  <r>
    <x v="1"/>
    <x v="0"/>
    <s v="SPX"/>
    <x v="9"/>
    <x v="520"/>
    <s v="p"/>
    <n v="0"/>
    <n v="0"/>
    <n v="0"/>
    <n v="0"/>
    <n v="0"/>
    <n v="153"/>
    <n v="2.85"/>
    <n v="50"/>
    <n v="3"/>
    <n v="0"/>
    <n v="0"/>
    <n v="0"/>
    <n v="0"/>
    <n v="0.27850000000000003"/>
    <n v="-2.3E-2"/>
    <n v="2.0000000000000001E-4"/>
    <n v="-0.7944"/>
    <n v="0.70599999999999996"/>
    <n v="-4.8399999999999999E-2"/>
    <n v="90"/>
    <n v="2.8"/>
    <n v="297"/>
    <n v="3.1"/>
    <n v="0"/>
    <n v="0"/>
    <n v="0"/>
    <n v="419"/>
    <n v="0"/>
  </r>
  <r>
    <x v="1"/>
    <x v="0"/>
    <s v="SPX"/>
    <x v="9"/>
    <x v="87"/>
    <s v="p"/>
    <n v="2.7"/>
    <n v="4.5"/>
    <n v="2.7"/>
    <n v="4.5"/>
    <n v="46"/>
    <n v="963"/>
    <n v="2.85"/>
    <n v="600"/>
    <n v="3.1"/>
    <n v="0"/>
    <n v="0"/>
    <n v="0"/>
    <n v="0"/>
    <n v="0.2777"/>
    <n v="-2.3599999999999999E-2"/>
    <n v="2.0000000000000001E-4"/>
    <n v="-0.80989999999999995"/>
    <n v="0.72070000000000001"/>
    <n v="-4.9700000000000001E-2"/>
    <n v="91"/>
    <n v="2.85"/>
    <n v="349"/>
    <n v="3.1"/>
    <n v="0"/>
    <n v="0"/>
    <n v="3.7174"/>
    <n v="375"/>
    <n v="0"/>
  </r>
  <r>
    <x v="1"/>
    <x v="0"/>
    <s v="SPX"/>
    <x v="9"/>
    <x v="521"/>
    <s v="p"/>
    <n v="0"/>
    <n v="0"/>
    <n v="0"/>
    <n v="0"/>
    <n v="0"/>
    <n v="298"/>
    <n v="2.9"/>
    <n v="72"/>
    <n v="3.1"/>
    <n v="0"/>
    <n v="0"/>
    <n v="0"/>
    <n v="0"/>
    <n v="0.27610000000000001"/>
    <n v="-2.3900000000000001E-2"/>
    <n v="2.0000000000000001E-4"/>
    <n v="-0.81420000000000003"/>
    <n v="0.72819999999999996"/>
    <n v="-5.0299999999999997E-2"/>
    <n v="82"/>
    <n v="2.9"/>
    <n v="296"/>
    <n v="3.2"/>
    <n v="0"/>
    <n v="0"/>
    <n v="0"/>
    <n v="462"/>
    <n v="0"/>
  </r>
  <r>
    <x v="1"/>
    <x v="0"/>
    <s v="SPX"/>
    <x v="9"/>
    <x v="88"/>
    <s v="p"/>
    <n v="0"/>
    <n v="0"/>
    <n v="0"/>
    <n v="0"/>
    <n v="0"/>
    <n v="408"/>
    <n v="2.95"/>
    <n v="352"/>
    <n v="3.2"/>
    <n v="0"/>
    <n v="0"/>
    <n v="0"/>
    <n v="0"/>
    <n v="0.27529999999999999"/>
    <n v="-2.4500000000000001E-2"/>
    <n v="2.0000000000000001E-4"/>
    <n v="-0.82940000000000003"/>
    <n v="0.74280000000000002"/>
    <n v="-5.16E-2"/>
    <n v="35"/>
    <n v="2.95"/>
    <n v="339"/>
    <n v="3.2"/>
    <n v="0"/>
    <n v="0"/>
    <n v="0"/>
    <n v="499"/>
    <n v="0"/>
  </r>
  <r>
    <x v="1"/>
    <x v="0"/>
    <s v="SPX"/>
    <x v="9"/>
    <x v="89"/>
    <s v="p"/>
    <n v="2.85"/>
    <n v="4.4000000000000004"/>
    <n v="2.64"/>
    <n v="4.4000000000000004"/>
    <n v="41"/>
    <n v="894"/>
    <n v="3"/>
    <n v="211"/>
    <n v="3.2"/>
    <n v="0"/>
    <n v="0"/>
    <n v="0"/>
    <n v="0"/>
    <n v="0.27379999999999999"/>
    <n v="-2.4799999999999999E-2"/>
    <n v="2.0000000000000001E-4"/>
    <n v="-0.83360000000000001"/>
    <n v="0.75049999999999994"/>
    <n v="-5.2200000000000003E-2"/>
    <n v="108"/>
    <n v="2.95"/>
    <n v="187"/>
    <n v="3.2"/>
    <n v="0"/>
    <n v="0"/>
    <n v="3.601"/>
    <n v="3100"/>
    <n v="0"/>
  </r>
  <r>
    <x v="1"/>
    <x v="0"/>
    <s v="SPX"/>
    <x v="9"/>
    <x v="90"/>
    <s v="p"/>
    <n v="4.5999999999999996"/>
    <n v="4.5999999999999996"/>
    <n v="4.5999999999999996"/>
    <n v="4.5999999999999996"/>
    <n v="20"/>
    <n v="1086"/>
    <n v="3"/>
    <n v="603"/>
    <n v="3.3"/>
    <n v="0"/>
    <n v="0"/>
    <n v="0"/>
    <n v="0"/>
    <n v="0.2727"/>
    <n v="-2.52E-2"/>
    <n v="2.0000000000000001E-4"/>
    <n v="-0.84340000000000004"/>
    <n v="0.76119999999999999"/>
    <n v="-5.3100000000000001E-2"/>
    <n v="117"/>
    <n v="3"/>
    <n v="361"/>
    <n v="3.3"/>
    <n v="0"/>
    <n v="0"/>
    <n v="4.5999999999999996"/>
    <n v="569"/>
    <n v="0"/>
  </r>
  <r>
    <x v="1"/>
    <x v="0"/>
    <s v="SPX"/>
    <x v="9"/>
    <x v="522"/>
    <s v="p"/>
    <n v="2.5"/>
    <n v="3.3"/>
    <n v="2.5"/>
    <n v="3.3"/>
    <n v="117"/>
    <n v="698"/>
    <n v="3.1"/>
    <n v="114"/>
    <n v="3.3"/>
    <n v="0"/>
    <n v="0"/>
    <n v="0"/>
    <n v="0"/>
    <n v="0.27129999999999999"/>
    <n v="-2.5700000000000001E-2"/>
    <n v="2.0000000000000001E-4"/>
    <n v="-0.85270000000000001"/>
    <n v="0.77280000000000004"/>
    <n v="-5.4100000000000002E-2"/>
    <n v="154"/>
    <n v="3"/>
    <n v="290"/>
    <n v="3.4"/>
    <n v="0"/>
    <n v="0"/>
    <n v="2.7530000000000001"/>
    <n v="739"/>
    <n v="0"/>
  </r>
  <r>
    <x v="1"/>
    <x v="0"/>
    <s v="SPX"/>
    <x v="9"/>
    <x v="91"/>
    <s v="p"/>
    <n v="3.15"/>
    <n v="3.15"/>
    <n v="3.15"/>
    <n v="3.15"/>
    <n v="5"/>
    <n v="792"/>
    <n v="3.1"/>
    <n v="278"/>
    <n v="3.4"/>
    <n v="0"/>
    <n v="0"/>
    <n v="0"/>
    <n v="0"/>
    <n v="0.27029999999999998"/>
    <n v="-2.6100000000000002E-2"/>
    <n v="2.0000000000000001E-4"/>
    <n v="-0.86229999999999996"/>
    <n v="0.78369999999999995"/>
    <n v="-5.5E-2"/>
    <n v="123"/>
    <n v="3.1"/>
    <n v="226"/>
    <n v="3.4"/>
    <n v="0"/>
    <n v="0"/>
    <n v="3.15"/>
    <n v="459"/>
    <n v="0"/>
  </r>
  <r>
    <x v="1"/>
    <x v="0"/>
    <s v="SPX"/>
    <x v="9"/>
    <x v="523"/>
    <s v="p"/>
    <n v="0"/>
    <n v="0"/>
    <n v="0"/>
    <n v="0"/>
    <n v="0"/>
    <n v="303"/>
    <n v="3.2"/>
    <n v="48"/>
    <n v="3.4"/>
    <n v="0"/>
    <n v="0"/>
    <n v="0"/>
    <n v="0"/>
    <n v="0.26879999999999998"/>
    <n v="-2.6599999999999999E-2"/>
    <n v="2.0000000000000001E-4"/>
    <n v="-0.87150000000000005"/>
    <n v="0.79549999999999998"/>
    <n v="-5.6000000000000001E-2"/>
    <n v="132"/>
    <n v="3.1"/>
    <n v="304"/>
    <n v="3.5"/>
    <n v="0"/>
    <n v="0"/>
    <n v="0"/>
    <n v="566"/>
    <n v="0"/>
  </r>
  <r>
    <x v="1"/>
    <x v="0"/>
    <s v="SPX"/>
    <x v="9"/>
    <x v="92"/>
    <s v="p"/>
    <n v="3.07"/>
    <n v="5.1100000000000003"/>
    <n v="2.6"/>
    <n v="3.27"/>
    <n v="2667"/>
    <n v="1104"/>
    <n v="3.2"/>
    <n v="78"/>
    <n v="3.4"/>
    <n v="0"/>
    <n v="0"/>
    <n v="0"/>
    <n v="0"/>
    <n v="0.26690000000000003"/>
    <n v="-2.6800000000000001E-2"/>
    <n v="2.0000000000000001E-4"/>
    <n v="-0.87009999999999998"/>
    <n v="0.79990000000000006"/>
    <n v="-5.6399999999999999E-2"/>
    <n v="111"/>
    <n v="3.2"/>
    <n v="268"/>
    <n v="3.5"/>
    <n v="0"/>
    <n v="0"/>
    <n v="3.9641999999999999"/>
    <n v="21372"/>
    <n v="0"/>
  </r>
  <r>
    <x v="1"/>
    <x v="0"/>
    <s v="SPX"/>
    <x v="9"/>
    <x v="524"/>
    <s v="p"/>
    <n v="2.72"/>
    <n v="2.72"/>
    <n v="2.72"/>
    <n v="2.72"/>
    <n v="1"/>
    <n v="326"/>
    <n v="3.3"/>
    <n v="491"/>
    <n v="3.6"/>
    <n v="0"/>
    <n v="0"/>
    <n v="0"/>
    <n v="0"/>
    <n v="0.2671"/>
    <n v="-2.7799999999999998E-2"/>
    <n v="2.0000000000000001E-4"/>
    <n v="-0.90049999999999997"/>
    <n v="0.82469999999999999"/>
    <n v="-5.8599999999999999E-2"/>
    <n v="55"/>
    <n v="3.3"/>
    <n v="307"/>
    <n v="3.6"/>
    <n v="0"/>
    <n v="0"/>
    <n v="2.72"/>
    <n v="390"/>
    <n v="0"/>
  </r>
  <r>
    <x v="1"/>
    <x v="0"/>
    <s v="SPX"/>
    <x v="9"/>
    <x v="93"/>
    <s v="p"/>
    <n v="4.5"/>
    <n v="4.5"/>
    <n v="4.5"/>
    <n v="4.5"/>
    <n v="1"/>
    <n v="275"/>
    <n v="3.4"/>
    <n v="56"/>
    <n v="3.6"/>
    <n v="0"/>
    <n v="0"/>
    <n v="0"/>
    <n v="0"/>
    <n v="0.26579999999999998"/>
    <n v="-2.8299999999999999E-2"/>
    <n v="2.0000000000000001E-4"/>
    <n v="-0.90949999999999998"/>
    <n v="0.83630000000000004"/>
    <n v="-5.9499999999999997E-2"/>
    <n v="164"/>
    <n v="3.3"/>
    <n v="135"/>
    <n v="3.6"/>
    <n v="0"/>
    <n v="0"/>
    <n v="4.5"/>
    <n v="698"/>
    <n v="0"/>
  </r>
  <r>
    <x v="1"/>
    <x v="0"/>
    <s v="SPX"/>
    <x v="9"/>
    <x v="525"/>
    <s v="p"/>
    <n v="0"/>
    <n v="0"/>
    <n v="0"/>
    <n v="0"/>
    <n v="0"/>
    <n v="447"/>
    <n v="3.4"/>
    <n v="328"/>
    <n v="3.7"/>
    <n v="0"/>
    <n v="0"/>
    <n v="0"/>
    <n v="0"/>
    <n v="0.26450000000000001"/>
    <n v="-2.8799999999999999E-2"/>
    <n v="2.0000000000000001E-4"/>
    <n v="-0.91839999999999999"/>
    <n v="0.84799999999999998"/>
    <n v="-6.0499999999999998E-2"/>
    <n v="54"/>
    <n v="3.4"/>
    <n v="261"/>
    <n v="3.7"/>
    <n v="0"/>
    <n v="0"/>
    <n v="0"/>
    <n v="543"/>
    <n v="0"/>
  </r>
  <r>
    <x v="1"/>
    <x v="0"/>
    <s v="SPX"/>
    <x v="9"/>
    <x v="94"/>
    <s v="p"/>
    <n v="0"/>
    <n v="0"/>
    <n v="0"/>
    <n v="0"/>
    <n v="0"/>
    <n v="403"/>
    <n v="3.5"/>
    <n v="46"/>
    <n v="3.7"/>
    <n v="0"/>
    <n v="0"/>
    <n v="0"/>
    <n v="0"/>
    <n v="0.2631"/>
    <n v="-2.92E-2"/>
    <n v="2.0000000000000001E-4"/>
    <n v="-0.92720000000000002"/>
    <n v="0.85970000000000002"/>
    <n v="-6.1499999999999999E-2"/>
    <n v="187"/>
    <n v="3.4"/>
    <n v="487"/>
    <n v="3.8"/>
    <n v="0"/>
    <n v="0"/>
    <n v="0"/>
    <n v="1346"/>
    <n v="0"/>
  </r>
  <r>
    <x v="1"/>
    <x v="0"/>
    <s v="SPX"/>
    <x v="9"/>
    <x v="95"/>
    <s v="p"/>
    <n v="3.39"/>
    <n v="5.16"/>
    <n v="2.94"/>
    <n v="3.75"/>
    <n v="108"/>
    <n v="1069"/>
    <n v="3.5"/>
    <n v="383"/>
    <n v="3.8"/>
    <n v="0"/>
    <n v="0"/>
    <n v="0"/>
    <n v="0"/>
    <n v="0.26179999999999998"/>
    <n v="-2.9700000000000001E-2"/>
    <n v="2.0000000000000001E-4"/>
    <n v="-0.93600000000000005"/>
    <n v="0.87170000000000003"/>
    <n v="-6.2600000000000003E-2"/>
    <n v="108"/>
    <n v="3.5"/>
    <n v="221"/>
    <n v="3.8"/>
    <n v="0"/>
    <n v="0"/>
    <n v="3.2483"/>
    <n v="1844"/>
    <n v="0"/>
  </r>
  <r>
    <x v="1"/>
    <x v="0"/>
    <s v="SPX"/>
    <x v="9"/>
    <x v="96"/>
    <s v="p"/>
    <n v="5"/>
    <n v="5"/>
    <n v="5"/>
    <n v="5"/>
    <n v="2"/>
    <n v="978"/>
    <n v="3.6"/>
    <n v="610"/>
    <n v="3.9"/>
    <n v="0"/>
    <n v="0"/>
    <n v="0"/>
    <n v="0"/>
    <n v="0.26100000000000001"/>
    <n v="-3.0499999999999999E-2"/>
    <n v="2.0000000000000001E-4"/>
    <n v="-0.95479999999999998"/>
    <n v="0.89049999999999996"/>
    <n v="-6.4199999999999993E-2"/>
    <n v="65"/>
    <n v="3.6"/>
    <n v="400"/>
    <n v="3.9"/>
    <n v="0"/>
    <n v="0"/>
    <n v="5"/>
    <n v="1220"/>
    <n v="0"/>
  </r>
  <r>
    <x v="1"/>
    <x v="0"/>
    <s v="SPX"/>
    <x v="9"/>
    <x v="526"/>
    <s v="p"/>
    <n v="3.4"/>
    <n v="3.4"/>
    <n v="3.1"/>
    <n v="3.1"/>
    <n v="110"/>
    <n v="460"/>
    <n v="3.7"/>
    <n v="113"/>
    <n v="3.9"/>
    <n v="0"/>
    <n v="0"/>
    <n v="0"/>
    <n v="0"/>
    <n v="0.2596"/>
    <n v="-3.1E-2"/>
    <n v="2.0000000000000001E-4"/>
    <n v="-0.96319999999999995"/>
    <n v="0.90280000000000005"/>
    <n v="-6.5299999999999997E-2"/>
    <n v="129"/>
    <n v="3.6"/>
    <n v="293"/>
    <n v="4"/>
    <n v="0"/>
    <n v="0"/>
    <n v="3.3536000000000001"/>
    <n v="1216"/>
    <n v="0"/>
  </r>
  <r>
    <x v="1"/>
    <x v="0"/>
    <s v="SPX"/>
    <x v="9"/>
    <x v="97"/>
    <s v="p"/>
    <n v="5.8"/>
    <n v="5.8"/>
    <n v="4"/>
    <n v="4"/>
    <n v="33"/>
    <n v="303"/>
    <n v="3.8"/>
    <n v="174"/>
    <n v="4"/>
    <n v="0"/>
    <n v="0"/>
    <n v="0"/>
    <n v="0"/>
    <n v="0.25869999999999999"/>
    <n v="-3.1800000000000002E-2"/>
    <n v="2.0000000000000001E-4"/>
    <n v="-0.98170000000000002"/>
    <n v="0.92169999999999996"/>
    <n v="-6.7000000000000004E-2"/>
    <n v="87"/>
    <n v="3.7"/>
    <n v="145"/>
    <n v="4"/>
    <n v="0"/>
    <n v="0"/>
    <n v="5.3090999999999999"/>
    <n v="697"/>
    <n v="0"/>
  </r>
  <r>
    <x v="1"/>
    <x v="0"/>
    <s v="SPX"/>
    <x v="9"/>
    <x v="527"/>
    <s v="p"/>
    <n v="3.5"/>
    <n v="4.4000000000000004"/>
    <n v="3.5"/>
    <n v="4.4000000000000004"/>
    <n v="148"/>
    <n v="781"/>
    <n v="3.8"/>
    <n v="570"/>
    <n v="4.0999999999999996"/>
    <n v="0"/>
    <n v="0"/>
    <n v="0"/>
    <n v="0"/>
    <n v="0.25729999999999997"/>
    <n v="-3.2300000000000002E-2"/>
    <n v="2.0000000000000001E-4"/>
    <n v="-0.9899"/>
    <n v="0.93389999999999995"/>
    <n v="-6.8000000000000005E-2"/>
    <n v="33"/>
    <n v="3.8"/>
    <n v="221"/>
    <n v="4.0999999999999996"/>
    <n v="0"/>
    <n v="0"/>
    <n v="3.5061"/>
    <n v="528"/>
    <n v="0"/>
  </r>
  <r>
    <x v="1"/>
    <x v="0"/>
    <s v="SPX"/>
    <x v="9"/>
    <x v="98"/>
    <s v="p"/>
    <n v="3.02"/>
    <n v="6.08"/>
    <n v="3.02"/>
    <n v="4.05"/>
    <n v="13"/>
    <n v="879"/>
    <n v="3.9"/>
    <n v="819"/>
    <n v="4.2"/>
    <n v="0"/>
    <n v="0"/>
    <n v="0"/>
    <n v="0"/>
    <n v="0.25650000000000001"/>
    <n v="-3.3099999999999997E-2"/>
    <n v="2.0000000000000001E-4"/>
    <n v="-1.008"/>
    <n v="0.95299999999999996"/>
    <n v="-6.9800000000000001E-2"/>
    <n v="230"/>
    <n v="3.8"/>
    <n v="406"/>
    <n v="4.2"/>
    <n v="0"/>
    <n v="0"/>
    <n v="3.9923000000000002"/>
    <n v="7767"/>
    <n v="0"/>
  </r>
  <r>
    <x v="1"/>
    <x v="0"/>
    <s v="SPX"/>
    <x v="9"/>
    <x v="528"/>
    <s v="p"/>
    <n v="4.2"/>
    <n v="4.2"/>
    <n v="4.2"/>
    <n v="4.2"/>
    <n v="2"/>
    <n v="188"/>
    <n v="4"/>
    <n v="69"/>
    <n v="4.2"/>
    <n v="0"/>
    <n v="0"/>
    <n v="0"/>
    <n v="0"/>
    <n v="0.255"/>
    <n v="-3.3599999999999998E-2"/>
    <n v="2.0000000000000001E-4"/>
    <n v="-1.016"/>
    <n v="0.96540000000000004"/>
    <n v="-7.0900000000000005E-2"/>
    <n v="124"/>
    <n v="3.9"/>
    <n v="342"/>
    <n v="4.3"/>
    <n v="0"/>
    <n v="0"/>
    <n v="4.2"/>
    <n v="232"/>
    <n v="0"/>
  </r>
  <r>
    <x v="1"/>
    <x v="0"/>
    <s v="SPX"/>
    <x v="9"/>
    <x v="99"/>
    <s v="p"/>
    <n v="0"/>
    <n v="0"/>
    <n v="0"/>
    <n v="0"/>
    <n v="0"/>
    <n v="912"/>
    <n v="4"/>
    <n v="174"/>
    <n v="4.3"/>
    <n v="0"/>
    <n v="0"/>
    <n v="0"/>
    <n v="0"/>
    <n v="0.25359999999999999"/>
    <n v="-3.4200000000000001E-2"/>
    <n v="2.0000000000000001E-4"/>
    <n v="-1.0239"/>
    <n v="0.97789999999999999"/>
    <n v="-7.1999999999999995E-2"/>
    <n v="81"/>
    <n v="4"/>
    <n v="142"/>
    <n v="4.3"/>
    <n v="0"/>
    <n v="0"/>
    <n v="0"/>
    <n v="728"/>
    <n v="0"/>
  </r>
  <r>
    <x v="1"/>
    <x v="0"/>
    <s v="SPX"/>
    <x v="9"/>
    <x v="529"/>
    <s v="p"/>
    <n v="5.7"/>
    <n v="5.7"/>
    <n v="5.7"/>
    <n v="5.7"/>
    <n v="1"/>
    <n v="476"/>
    <n v="4.0999999999999996"/>
    <n v="231"/>
    <n v="4.4000000000000004"/>
    <n v="0"/>
    <n v="0"/>
    <n v="0"/>
    <n v="0"/>
    <n v="0.25259999999999999"/>
    <n v="-3.5000000000000003E-2"/>
    <n v="2.9999999999999997E-4"/>
    <n v="-1.0414000000000001"/>
    <n v="0.99709999999999999"/>
    <n v="-7.3800000000000004E-2"/>
    <n v="133"/>
    <n v="4"/>
    <n v="200"/>
    <n v="4.4000000000000004"/>
    <n v="0"/>
    <n v="0"/>
    <n v="5.7"/>
    <n v="283"/>
    <n v="0"/>
  </r>
  <r>
    <x v="1"/>
    <x v="0"/>
    <s v="SPX"/>
    <x v="9"/>
    <x v="100"/>
    <s v="p"/>
    <n v="0"/>
    <n v="0"/>
    <n v="0"/>
    <n v="0"/>
    <n v="0"/>
    <n v="907"/>
    <n v="4.2"/>
    <n v="704"/>
    <n v="4.5"/>
    <n v="0"/>
    <n v="0"/>
    <n v="0"/>
    <n v="0"/>
    <n v="0.25159999999999999"/>
    <n v="-3.5799999999999998E-2"/>
    <n v="2.9999999999999997E-4"/>
    <n v="-1.0587"/>
    <n v="1.016"/>
    <n v="-7.5600000000000001E-2"/>
    <n v="235"/>
    <n v="4.0999999999999996"/>
    <n v="352"/>
    <n v="4.5"/>
    <n v="0"/>
    <n v="0"/>
    <n v="0"/>
    <n v="702"/>
    <n v="0"/>
  </r>
  <r>
    <x v="1"/>
    <x v="0"/>
    <s v="SPX"/>
    <x v="9"/>
    <x v="101"/>
    <s v="p"/>
    <n v="3.45"/>
    <n v="4.5"/>
    <n v="3.45"/>
    <n v="4.5"/>
    <n v="2"/>
    <n v="815"/>
    <n v="4.3"/>
    <n v="72"/>
    <n v="4.5"/>
    <n v="0"/>
    <n v="0"/>
    <n v="0"/>
    <n v="0"/>
    <n v="0.25009999999999999"/>
    <n v="-3.6400000000000002E-2"/>
    <n v="2.9999999999999997E-4"/>
    <n v="-1.0662"/>
    <n v="1.0288999999999999"/>
    <n v="-7.6799999999999993E-2"/>
    <n v="227"/>
    <n v="4.2"/>
    <n v="472"/>
    <n v="4.5999999999999996"/>
    <n v="0"/>
    <n v="0"/>
    <n v="3.9750000000000001"/>
    <n v="2066"/>
    <n v="0"/>
  </r>
  <r>
    <x v="1"/>
    <x v="0"/>
    <s v="SPX"/>
    <x v="9"/>
    <x v="102"/>
    <s v="p"/>
    <n v="3.4"/>
    <n v="3.4"/>
    <n v="3.4"/>
    <n v="3.4"/>
    <n v="3"/>
    <n v="678"/>
    <n v="4.4000000000000004"/>
    <n v="112"/>
    <n v="4.5999999999999996"/>
    <n v="0"/>
    <n v="0"/>
    <n v="0"/>
    <n v="0"/>
    <n v="0.24909999999999999"/>
    <n v="-3.7199999999999997E-2"/>
    <n v="2.9999999999999997E-4"/>
    <n v="-1.0831999999999999"/>
    <n v="1.0476000000000001"/>
    <n v="-7.8600000000000003E-2"/>
    <n v="173"/>
    <n v="4.3"/>
    <n v="474"/>
    <n v="4.7"/>
    <n v="0"/>
    <n v="0"/>
    <n v="3.4"/>
    <n v="1137"/>
    <n v="0"/>
  </r>
  <r>
    <x v="1"/>
    <x v="0"/>
    <s v="SPX"/>
    <x v="9"/>
    <x v="315"/>
    <s v="p"/>
    <n v="6.5"/>
    <n v="6.65"/>
    <n v="4.54"/>
    <n v="4.54"/>
    <n v="7"/>
    <n v="191"/>
    <n v="4.5"/>
    <n v="63"/>
    <n v="4.7"/>
    <n v="0"/>
    <n v="0"/>
    <n v="0"/>
    <n v="0"/>
    <n v="0.24809999999999999"/>
    <n v="-3.7999999999999999E-2"/>
    <n v="2.9999999999999997E-4"/>
    <n v="-1.1000000000000001"/>
    <n v="1.0666"/>
    <n v="-8.0399999999999999E-2"/>
    <n v="51"/>
    <n v="4.4000000000000004"/>
    <n v="348"/>
    <n v="4.8"/>
    <n v="0"/>
    <n v="0"/>
    <n v="5.9614000000000003"/>
    <n v="290"/>
    <n v="0"/>
  </r>
  <r>
    <x v="1"/>
    <x v="0"/>
    <s v="SPX"/>
    <x v="9"/>
    <x v="103"/>
    <s v="p"/>
    <n v="4.0999999999999996"/>
    <n v="5.46"/>
    <n v="4.05"/>
    <n v="5.46"/>
    <n v="112"/>
    <n v="467"/>
    <n v="4.5999999999999996"/>
    <n v="165"/>
    <n v="4.8"/>
    <n v="0"/>
    <n v="0"/>
    <n v="0"/>
    <n v="0"/>
    <n v="0.24709999999999999"/>
    <n v="-3.8899999999999997E-2"/>
    <n v="2.9999999999999997E-4"/>
    <n v="-1.1166"/>
    <n v="1.0853999999999999"/>
    <n v="-8.2199999999999995E-2"/>
    <n v="83"/>
    <n v="4.5"/>
    <n v="171"/>
    <n v="4.8"/>
    <n v="0"/>
    <n v="0"/>
    <n v="4.1116999999999999"/>
    <n v="669"/>
    <n v="0"/>
  </r>
  <r>
    <x v="1"/>
    <x v="0"/>
    <s v="SPX"/>
    <x v="9"/>
    <x v="316"/>
    <s v="p"/>
    <n v="0"/>
    <n v="0"/>
    <n v="0"/>
    <n v="0"/>
    <n v="0"/>
    <n v="342"/>
    <n v="4.7"/>
    <n v="201"/>
    <n v="4.9000000000000004"/>
    <n v="0"/>
    <n v="0"/>
    <n v="0"/>
    <n v="0"/>
    <n v="0.246"/>
    <n v="-3.9800000000000002E-2"/>
    <n v="2.9999999999999997E-4"/>
    <n v="-1.1328"/>
    <n v="1.1046"/>
    <n v="-8.4000000000000005E-2"/>
    <n v="30"/>
    <n v="4.5999999999999996"/>
    <n v="160"/>
    <n v="4.9000000000000004"/>
    <n v="0"/>
    <n v="0"/>
    <n v="0"/>
    <n v="3117"/>
    <n v="0"/>
  </r>
  <r>
    <x v="1"/>
    <x v="0"/>
    <s v="SPX"/>
    <x v="9"/>
    <x v="104"/>
    <s v="p"/>
    <n v="4.3"/>
    <n v="6.92"/>
    <n v="3.5"/>
    <n v="5.0999999999999996"/>
    <n v="1239"/>
    <n v="403"/>
    <n v="4.8"/>
    <n v="211"/>
    <n v="5"/>
    <n v="0"/>
    <n v="0"/>
    <n v="0"/>
    <n v="0"/>
    <n v="0.24490000000000001"/>
    <n v="-4.0599999999999997E-2"/>
    <n v="2.9999999999999997E-4"/>
    <n v="-1.149"/>
    <n v="1.1234999999999999"/>
    <n v="-8.5800000000000001E-2"/>
    <n v="57"/>
    <n v="4.7"/>
    <n v="161"/>
    <n v="5"/>
    <n v="0"/>
    <n v="0"/>
    <n v="5.9997999999999996"/>
    <n v="20611"/>
    <n v="0"/>
  </r>
  <r>
    <x v="1"/>
    <x v="0"/>
    <s v="SPX"/>
    <x v="9"/>
    <x v="317"/>
    <s v="p"/>
    <n v="0"/>
    <n v="0"/>
    <n v="0"/>
    <n v="0"/>
    <n v="0"/>
    <n v="189"/>
    <n v="4.9000000000000004"/>
    <n v="89"/>
    <n v="5.0999999999999996"/>
    <n v="0"/>
    <n v="0"/>
    <n v="0"/>
    <n v="0"/>
    <n v="0.24379999999999999"/>
    <n v="-4.1500000000000002E-2"/>
    <n v="2.9999999999999997E-4"/>
    <n v="-1.1648000000000001"/>
    <n v="1.1429"/>
    <n v="-8.77E-2"/>
    <n v="30"/>
    <n v="4.8"/>
    <n v="158"/>
    <n v="5.0999999999999996"/>
    <n v="0"/>
    <n v="0"/>
    <n v="0"/>
    <n v="316"/>
    <n v="0"/>
  </r>
  <r>
    <x v="1"/>
    <x v="0"/>
    <s v="SPX"/>
    <x v="9"/>
    <x v="105"/>
    <s v="p"/>
    <n v="4.33"/>
    <n v="7.5"/>
    <n v="3.8"/>
    <n v="5.2"/>
    <n v="490"/>
    <n v="529"/>
    <n v="5"/>
    <n v="189"/>
    <n v="5.2"/>
    <n v="0"/>
    <n v="0"/>
    <n v="0"/>
    <n v="0"/>
    <n v="0.24260000000000001"/>
    <n v="-4.24E-2"/>
    <n v="2.9999999999999997E-4"/>
    <n v="-1.1805000000000001"/>
    <n v="1.1621999999999999"/>
    <n v="-8.9499999999999996E-2"/>
    <n v="55"/>
    <n v="4.9000000000000004"/>
    <n v="141"/>
    <n v="5.2"/>
    <n v="0"/>
    <n v="0"/>
    <n v="4.2827999999999999"/>
    <n v="391"/>
    <n v="0"/>
  </r>
  <r>
    <x v="1"/>
    <x v="0"/>
    <s v="SPX"/>
    <x v="9"/>
    <x v="106"/>
    <s v="p"/>
    <n v="4.29"/>
    <n v="4.29"/>
    <n v="4.29"/>
    <n v="4.29"/>
    <n v="68"/>
    <n v="180"/>
    <n v="5.0999999999999996"/>
    <n v="352"/>
    <n v="5.4"/>
    <n v="0"/>
    <n v="0"/>
    <n v="0"/>
    <n v="0"/>
    <n v="0.2419"/>
    <n v="-4.36E-2"/>
    <n v="2.9999999999999997E-4"/>
    <n v="-1.2050000000000001"/>
    <n v="1.1875"/>
    <n v="-9.1999999999999998E-2"/>
    <n v="29"/>
    <n v="5"/>
    <n v="353"/>
    <n v="5.4"/>
    <n v="0"/>
    <n v="0"/>
    <n v="4.29"/>
    <n v="674"/>
    <n v="0"/>
  </r>
  <r>
    <x v="1"/>
    <x v="0"/>
    <s v="SPX"/>
    <x v="9"/>
    <x v="107"/>
    <s v="p"/>
    <n v="4.08"/>
    <n v="4.08"/>
    <n v="4.08"/>
    <n v="4.08"/>
    <n v="16"/>
    <n v="659"/>
    <n v="5.2"/>
    <n v="542"/>
    <n v="5.5"/>
    <n v="0"/>
    <n v="0"/>
    <n v="0"/>
    <n v="0"/>
    <n v="0.24079999999999999"/>
    <n v="-4.4400000000000002E-2"/>
    <n v="2.9999999999999997E-4"/>
    <n v="-1.2202999999999999"/>
    <n v="1.2068000000000001"/>
    <n v="-9.3799999999999994E-2"/>
    <n v="96"/>
    <n v="5.0999999999999996"/>
    <n v="583"/>
    <n v="5.5"/>
    <n v="0"/>
    <n v="0"/>
    <n v="4.08"/>
    <n v="1161"/>
    <n v="0"/>
  </r>
  <r>
    <x v="1"/>
    <x v="0"/>
    <s v="SPX"/>
    <x v="9"/>
    <x v="108"/>
    <s v="p"/>
    <n v="4.7"/>
    <n v="7.05"/>
    <n v="3.9"/>
    <n v="6.99"/>
    <n v="365"/>
    <n v="670"/>
    <n v="5.3"/>
    <n v="439"/>
    <n v="5.6"/>
    <n v="0"/>
    <n v="0"/>
    <n v="0"/>
    <n v="0"/>
    <n v="0.23960000000000001"/>
    <n v="-4.5400000000000003E-2"/>
    <n v="2.9999999999999997E-4"/>
    <n v="-1.2353000000000001"/>
    <n v="1.2264999999999999"/>
    <n v="-9.5799999999999996E-2"/>
    <n v="138"/>
    <n v="5.2"/>
    <n v="584"/>
    <n v="5.6"/>
    <n v="0"/>
    <n v="0"/>
    <n v="4.5156000000000001"/>
    <n v="3239"/>
    <n v="0"/>
  </r>
  <r>
    <x v="1"/>
    <x v="0"/>
    <s v="SPX"/>
    <x v="9"/>
    <x v="109"/>
    <s v="p"/>
    <n v="4.68"/>
    <n v="7.88"/>
    <n v="4.68"/>
    <n v="7.88"/>
    <n v="2"/>
    <n v="464"/>
    <n v="5.4"/>
    <n v="148"/>
    <n v="5.7"/>
    <n v="0"/>
    <n v="0"/>
    <n v="0"/>
    <n v="0"/>
    <n v="0.23830000000000001"/>
    <n v="-4.6300000000000001E-2"/>
    <n v="2.9999999999999997E-4"/>
    <n v="-1.2498"/>
    <n v="1.2466999999999999"/>
    <n v="-9.7699999999999995E-2"/>
    <n v="190"/>
    <n v="5.3"/>
    <n v="243"/>
    <n v="5.7"/>
    <n v="0"/>
    <n v="0"/>
    <n v="6.28"/>
    <n v="1007"/>
    <n v="0"/>
  </r>
  <r>
    <x v="1"/>
    <x v="0"/>
    <s v="SPX"/>
    <x v="9"/>
    <x v="110"/>
    <s v="p"/>
    <n v="4.3499999999999996"/>
    <n v="8.3000000000000007"/>
    <n v="4.3499999999999996"/>
    <n v="8.3000000000000007"/>
    <n v="30"/>
    <n v="147"/>
    <n v="5.6"/>
    <n v="173"/>
    <n v="5.8"/>
    <n v="0"/>
    <n v="0"/>
    <n v="0"/>
    <n v="0"/>
    <n v="0.23749999999999999"/>
    <n v="-4.7500000000000001E-2"/>
    <n v="2.9999999999999997E-4"/>
    <n v="-1.2732000000000001"/>
    <n v="1.2722"/>
    <n v="-0.1003"/>
    <n v="286"/>
    <n v="5.4"/>
    <n v="314"/>
    <n v="5.8"/>
    <n v="0"/>
    <n v="0"/>
    <n v="7.375"/>
    <n v="915"/>
    <n v="0"/>
  </r>
  <r>
    <x v="1"/>
    <x v="0"/>
    <s v="SPX"/>
    <x v="9"/>
    <x v="111"/>
    <s v="p"/>
    <n v="8.23"/>
    <n v="8.23"/>
    <n v="5.6"/>
    <n v="5.75"/>
    <n v="10"/>
    <n v="434"/>
    <n v="5.7"/>
    <n v="144"/>
    <n v="5.9"/>
    <n v="0"/>
    <n v="0"/>
    <n v="0"/>
    <n v="0"/>
    <n v="0.23619999999999999"/>
    <n v="-4.8399999999999999E-2"/>
    <n v="2.9999999999999997E-4"/>
    <n v="-1.2875000000000001"/>
    <n v="1.2923"/>
    <n v="-0.1023"/>
    <n v="55"/>
    <n v="5.6"/>
    <n v="268"/>
    <n v="5.9"/>
    <n v="0"/>
    <n v="0"/>
    <n v="6.2080000000000002"/>
    <n v="857"/>
    <n v="0"/>
  </r>
  <r>
    <x v="1"/>
    <x v="0"/>
    <s v="SPX"/>
    <x v="9"/>
    <x v="112"/>
    <s v="p"/>
    <n v="0"/>
    <n v="0"/>
    <n v="0"/>
    <n v="0"/>
    <n v="0"/>
    <n v="249"/>
    <n v="5.8"/>
    <n v="214"/>
    <n v="6.1"/>
    <n v="0"/>
    <n v="0"/>
    <n v="0"/>
    <n v="0"/>
    <n v="0.23530000000000001"/>
    <n v="-4.9599999999999998E-2"/>
    <n v="4.0000000000000002E-4"/>
    <n v="-1.31"/>
    <n v="1.3182"/>
    <n v="-0.105"/>
    <n v="48"/>
    <n v="5.7"/>
    <n v="301"/>
    <n v="6.1"/>
    <n v="0"/>
    <n v="0"/>
    <n v="0"/>
    <n v="317"/>
    <n v="0"/>
  </r>
  <r>
    <x v="1"/>
    <x v="0"/>
    <s v="SPX"/>
    <x v="9"/>
    <x v="113"/>
    <s v="p"/>
    <n v="4.25"/>
    <n v="9.5"/>
    <n v="4.25"/>
    <n v="8.1999999999999993"/>
    <n v="1036"/>
    <n v="671"/>
    <n v="5.9"/>
    <n v="164"/>
    <n v="6.2"/>
    <n v="0"/>
    <n v="0"/>
    <n v="0"/>
    <n v="0"/>
    <n v="0.2339"/>
    <n v="-5.0599999999999999E-2"/>
    <n v="4.0000000000000002E-4"/>
    <n v="-1.3236000000000001"/>
    <n v="1.3387"/>
    <n v="-0.1071"/>
    <n v="340"/>
    <n v="5.8"/>
    <n v="456"/>
    <n v="6.2"/>
    <n v="0"/>
    <n v="0"/>
    <n v="7.3973000000000004"/>
    <n v="23640"/>
    <n v="0"/>
  </r>
  <r>
    <x v="1"/>
    <x v="0"/>
    <s v="SPX"/>
    <x v="9"/>
    <x v="114"/>
    <s v="p"/>
    <n v="0"/>
    <n v="0"/>
    <n v="0"/>
    <n v="0"/>
    <n v="0"/>
    <n v="164"/>
    <n v="6.1"/>
    <n v="352"/>
    <n v="6.4"/>
    <n v="0"/>
    <n v="0"/>
    <n v="0"/>
    <n v="0"/>
    <n v="0.23300000000000001"/>
    <n v="-5.1900000000000002E-2"/>
    <n v="4.0000000000000002E-4"/>
    <n v="-1.3454999999999999"/>
    <n v="1.3645"/>
    <n v="-0.10979999999999999"/>
    <n v="27"/>
    <n v="6"/>
    <n v="128"/>
    <n v="6.3"/>
    <n v="0"/>
    <n v="0"/>
    <n v="0"/>
    <n v="262"/>
    <n v="0"/>
  </r>
  <r>
    <x v="1"/>
    <x v="0"/>
    <s v="SPX"/>
    <x v="9"/>
    <x v="115"/>
    <s v="p"/>
    <n v="5.38"/>
    <n v="6.82"/>
    <n v="5.38"/>
    <n v="6.82"/>
    <n v="6"/>
    <n v="382"/>
    <n v="6.2"/>
    <n v="261"/>
    <n v="6.5"/>
    <n v="0"/>
    <n v="0"/>
    <n v="0"/>
    <n v="0"/>
    <n v="0.2321"/>
    <n v="-5.3100000000000001E-2"/>
    <n v="4.0000000000000002E-4"/>
    <n v="-1.3673"/>
    <n v="1.3897999999999999"/>
    <n v="-0.1124"/>
    <n v="74"/>
    <n v="6.1"/>
    <n v="346"/>
    <n v="6.5"/>
    <n v="0"/>
    <n v="0"/>
    <n v="6.58"/>
    <n v="478"/>
    <n v="0"/>
  </r>
  <r>
    <x v="1"/>
    <x v="0"/>
    <s v="SPX"/>
    <x v="9"/>
    <x v="116"/>
    <s v="p"/>
    <n v="5.51"/>
    <n v="5.51"/>
    <n v="4.8"/>
    <n v="4.8"/>
    <n v="18"/>
    <n v="319"/>
    <n v="6.4"/>
    <n v="173"/>
    <n v="6.6"/>
    <n v="0"/>
    <n v="0"/>
    <n v="0"/>
    <n v="0"/>
    <n v="0.23100000000000001"/>
    <n v="-5.4399999999999997E-2"/>
    <n v="4.0000000000000002E-4"/>
    <n v="-1.3884000000000001"/>
    <n v="1.4154"/>
    <n v="-0.1152"/>
    <n v="265"/>
    <n v="6.2"/>
    <n v="300"/>
    <n v="6.6"/>
    <n v="0"/>
    <n v="0"/>
    <n v="4.8394000000000004"/>
    <n v="710"/>
    <n v="0"/>
  </r>
  <r>
    <x v="1"/>
    <x v="0"/>
    <s v="SPX"/>
    <x v="9"/>
    <x v="117"/>
    <s v="p"/>
    <n v="6.4"/>
    <n v="6.4"/>
    <n v="6.4"/>
    <n v="6.4"/>
    <n v="2"/>
    <n v="354"/>
    <n v="6.5"/>
    <n v="268"/>
    <n v="6.8"/>
    <n v="0"/>
    <n v="0"/>
    <n v="0"/>
    <n v="0"/>
    <n v="0.23"/>
    <n v="-5.57E-2"/>
    <n v="4.0000000000000002E-4"/>
    <n v="-1.4093"/>
    <n v="1.4409000000000001"/>
    <n v="-0.1179"/>
    <n v="76"/>
    <n v="6.4"/>
    <n v="337"/>
    <n v="6.8"/>
    <n v="0"/>
    <n v="0"/>
    <n v="6.4"/>
    <n v="481"/>
    <n v="0"/>
  </r>
  <r>
    <x v="1"/>
    <x v="0"/>
    <s v="SPX"/>
    <x v="9"/>
    <x v="118"/>
    <s v="p"/>
    <n v="5.5"/>
    <n v="9.42"/>
    <n v="4.8"/>
    <n v="6.77"/>
    <n v="259"/>
    <n v="447"/>
    <n v="6.7"/>
    <n v="112"/>
    <n v="6.9"/>
    <n v="0"/>
    <n v="0"/>
    <n v="0"/>
    <n v="0"/>
    <n v="0.2288"/>
    <n v="-5.7000000000000002E-2"/>
    <n v="4.0000000000000002E-4"/>
    <n v="-1.4296"/>
    <n v="1.4668000000000001"/>
    <n v="-0.1207"/>
    <n v="339"/>
    <n v="6.5"/>
    <n v="280"/>
    <n v="6.9"/>
    <n v="0"/>
    <n v="0"/>
    <n v="6.7626999999999997"/>
    <n v="3420"/>
    <n v="0"/>
  </r>
  <r>
    <x v="1"/>
    <x v="0"/>
    <s v="SPX"/>
    <x v="9"/>
    <x v="119"/>
    <s v="p"/>
    <n v="4.75"/>
    <n v="6.7"/>
    <n v="4.75"/>
    <n v="6.7"/>
    <n v="8"/>
    <n v="422"/>
    <n v="6.8"/>
    <n v="105"/>
    <n v="7.1"/>
    <n v="0"/>
    <n v="0"/>
    <n v="0"/>
    <n v="0"/>
    <n v="0.2276"/>
    <n v="-5.8299999999999998E-2"/>
    <n v="4.0000000000000002E-4"/>
    <n v="-1.4496"/>
    <n v="1.4926999999999999"/>
    <n v="-0.1235"/>
    <n v="75"/>
    <n v="6.7"/>
    <n v="225"/>
    <n v="7.1"/>
    <n v="0"/>
    <n v="0"/>
    <n v="5.375"/>
    <n v="560"/>
    <n v="0"/>
  </r>
  <r>
    <x v="1"/>
    <x v="0"/>
    <s v="SPX"/>
    <x v="9"/>
    <x v="120"/>
    <s v="p"/>
    <n v="5.3"/>
    <n v="5.3"/>
    <n v="5"/>
    <n v="5"/>
    <n v="18"/>
    <n v="409"/>
    <n v="7"/>
    <n v="369"/>
    <n v="7.3"/>
    <n v="0"/>
    <n v="0"/>
    <n v="0"/>
    <n v="0"/>
    <n v="0.22700000000000001"/>
    <n v="-5.9799999999999999E-2"/>
    <n v="4.0000000000000002E-4"/>
    <n v="-1.4776"/>
    <n v="1.5228999999999999"/>
    <n v="-0.1268"/>
    <n v="46"/>
    <n v="6.9"/>
    <n v="56"/>
    <n v="7.2"/>
    <n v="0"/>
    <n v="0"/>
    <n v="5.2832999999999997"/>
    <n v="702"/>
    <n v="0"/>
  </r>
  <r>
    <x v="1"/>
    <x v="0"/>
    <s v="SPX"/>
    <x v="9"/>
    <x v="121"/>
    <s v="p"/>
    <n v="5.74"/>
    <n v="8.3000000000000007"/>
    <n v="5.74"/>
    <n v="7"/>
    <n v="205"/>
    <n v="298"/>
    <n v="7.2"/>
    <n v="147"/>
    <n v="7.4"/>
    <n v="0"/>
    <n v="0"/>
    <n v="0"/>
    <n v="0"/>
    <n v="0.22570000000000001"/>
    <n v="-6.1199999999999997E-2"/>
    <n v="4.0000000000000002E-4"/>
    <n v="-1.4967999999999999"/>
    <n v="1.5489999999999999"/>
    <n v="-0.12959999999999999"/>
    <n v="331"/>
    <n v="7"/>
    <n v="339"/>
    <n v="7.4"/>
    <n v="0"/>
    <n v="0"/>
    <n v="5.7897999999999996"/>
    <n v="6097"/>
    <n v="0"/>
  </r>
  <r>
    <x v="1"/>
    <x v="0"/>
    <s v="SPX"/>
    <x v="9"/>
    <x v="122"/>
    <s v="p"/>
    <n v="9.8699999999999992"/>
    <n v="9.8699999999999992"/>
    <n v="7.9"/>
    <n v="7.9"/>
    <n v="95"/>
    <n v="513"/>
    <n v="7.3"/>
    <n v="180"/>
    <n v="7.6"/>
    <n v="0"/>
    <n v="0"/>
    <n v="0"/>
    <n v="0"/>
    <n v="0.22450000000000001"/>
    <n v="-6.25E-2"/>
    <n v="4.0000000000000002E-4"/>
    <n v="-1.5157"/>
    <n v="1.5750999999999999"/>
    <n v="-0.13250000000000001"/>
    <n v="67"/>
    <n v="7.2"/>
    <n v="275"/>
    <n v="7.6"/>
    <n v="0"/>
    <n v="0"/>
    <n v="9.4552999999999994"/>
    <n v="362"/>
    <n v="0"/>
  </r>
  <r>
    <x v="1"/>
    <x v="0"/>
    <s v="SPX"/>
    <x v="9"/>
    <x v="123"/>
    <s v="p"/>
    <n v="6.49"/>
    <n v="11.35"/>
    <n v="5.03"/>
    <n v="7.3"/>
    <n v="1183"/>
    <n v="541"/>
    <n v="7.5"/>
    <n v="202"/>
    <n v="7.8"/>
    <n v="0"/>
    <n v="0"/>
    <n v="0"/>
    <n v="0"/>
    <n v="0.22370000000000001"/>
    <n v="-6.4100000000000004E-2"/>
    <n v="5.0000000000000001E-4"/>
    <n v="-1.5423"/>
    <n v="1.6057999999999999"/>
    <n v="-0.13589999999999999"/>
    <n v="114"/>
    <n v="7.4"/>
    <n v="412"/>
    <n v="7.8"/>
    <n v="0"/>
    <n v="0"/>
    <n v="6.9115000000000002"/>
    <n v="37510"/>
    <n v="0"/>
  </r>
  <r>
    <x v="1"/>
    <x v="0"/>
    <s v="SPX"/>
    <x v="9"/>
    <x v="124"/>
    <s v="p"/>
    <n v="0"/>
    <n v="0"/>
    <n v="0"/>
    <n v="0"/>
    <n v="0"/>
    <n v="256"/>
    <n v="7.7"/>
    <n v="170"/>
    <n v="8"/>
    <n v="0"/>
    <n v="0"/>
    <n v="0"/>
    <n v="0"/>
    <n v="0.2228"/>
    <n v="-6.5799999999999997E-2"/>
    <n v="5.0000000000000001E-4"/>
    <n v="-1.5682"/>
    <n v="1.6372"/>
    <n v="-0.13930000000000001"/>
    <n v="130"/>
    <n v="7.5"/>
    <n v="243"/>
    <n v="8"/>
    <n v="0"/>
    <n v="0"/>
    <n v="0"/>
    <n v="302"/>
    <n v="0"/>
  </r>
  <r>
    <x v="1"/>
    <x v="0"/>
    <s v="SPX"/>
    <x v="9"/>
    <x v="125"/>
    <s v="p"/>
    <n v="5.9"/>
    <n v="9.9"/>
    <n v="5.9"/>
    <n v="9.9"/>
    <n v="43"/>
    <n v="514"/>
    <n v="7.9"/>
    <n v="349"/>
    <n v="8.1999999999999993"/>
    <n v="0"/>
    <n v="0"/>
    <n v="0"/>
    <n v="0"/>
    <n v="0.2218"/>
    <n v="-6.7400000000000002E-2"/>
    <n v="5.0000000000000001E-4"/>
    <n v="-1.5934999999999999"/>
    <n v="1.6686000000000001"/>
    <n v="-0.1429"/>
    <n v="25"/>
    <n v="7.8"/>
    <n v="58"/>
    <n v="8.1"/>
    <n v="0"/>
    <n v="0"/>
    <n v="7.8135000000000003"/>
    <n v="768"/>
    <n v="0"/>
  </r>
  <r>
    <x v="1"/>
    <x v="0"/>
    <s v="SPX"/>
    <x v="9"/>
    <x v="126"/>
    <s v="p"/>
    <n v="6.2"/>
    <n v="9.59"/>
    <n v="6.2"/>
    <n v="9.59"/>
    <n v="4"/>
    <n v="246"/>
    <n v="8.1"/>
    <n v="216"/>
    <n v="8.4"/>
    <n v="0"/>
    <n v="0"/>
    <n v="0"/>
    <n v="0"/>
    <n v="0.2208"/>
    <n v="-6.9099999999999995E-2"/>
    <n v="5.0000000000000001E-4"/>
    <n v="-1.6183000000000001"/>
    <n v="1.7000999999999999"/>
    <n v="-0.14649999999999999"/>
    <n v="130"/>
    <n v="7.9"/>
    <n v="236"/>
    <n v="8.4"/>
    <n v="0"/>
    <n v="0"/>
    <n v="7.8949999999999996"/>
    <n v="465"/>
    <n v="0"/>
  </r>
  <r>
    <x v="1"/>
    <x v="0"/>
    <s v="SPX"/>
    <x v="9"/>
    <x v="127"/>
    <s v="p"/>
    <n v="7.05"/>
    <n v="9.75"/>
    <n v="5.9"/>
    <n v="8.1999999999999993"/>
    <n v="79"/>
    <n v="4"/>
    <n v="8.4"/>
    <n v="215"/>
    <n v="8.6"/>
    <n v="0"/>
    <n v="0"/>
    <n v="0"/>
    <n v="0"/>
    <n v="0.22"/>
    <n v="-7.1099999999999997E-2"/>
    <n v="5.0000000000000001E-4"/>
    <n v="-1.6496999999999999"/>
    <n v="1.7369000000000001"/>
    <n v="-0.1507"/>
    <n v="25"/>
    <n v="8.1999999999999993"/>
    <n v="58"/>
    <n v="8.5"/>
    <n v="0"/>
    <n v="0"/>
    <n v="6.8394000000000004"/>
    <n v="1798"/>
    <n v="0"/>
  </r>
  <r>
    <x v="1"/>
    <x v="0"/>
    <s v="SPX"/>
    <x v="9"/>
    <x v="128"/>
    <s v="p"/>
    <n v="6.71"/>
    <n v="6.71"/>
    <n v="5.87"/>
    <n v="5.87"/>
    <n v="644"/>
    <n v="505"/>
    <n v="8.5"/>
    <n v="202"/>
    <n v="8.8000000000000007"/>
    <n v="0"/>
    <n v="0"/>
    <n v="0"/>
    <n v="0"/>
    <n v="0.21870000000000001"/>
    <n v="-7.2499999999999995E-2"/>
    <n v="5.0000000000000001E-4"/>
    <n v="-1.6665000000000001"/>
    <n v="1.7628999999999999"/>
    <n v="-0.15379999999999999"/>
    <n v="47"/>
    <n v="8.4"/>
    <n v="52"/>
    <n v="8.6999999999999993"/>
    <n v="0"/>
    <n v="0"/>
    <n v="6.5932000000000004"/>
    <n v="6146"/>
    <n v="0"/>
  </r>
  <r>
    <x v="1"/>
    <x v="0"/>
    <s v="SPX"/>
    <x v="9"/>
    <x v="129"/>
    <s v="p"/>
    <n v="6.9"/>
    <n v="13.49"/>
    <n v="6.9"/>
    <n v="8.9499999999999993"/>
    <n v="9"/>
    <n v="411"/>
    <n v="8.6999999999999993"/>
    <n v="202"/>
    <n v="9"/>
    <n v="0"/>
    <n v="0"/>
    <n v="0"/>
    <n v="0"/>
    <n v="0.21740000000000001"/>
    <n v="-7.4300000000000005E-2"/>
    <n v="5.0000000000000001E-4"/>
    <n v="-1.6893"/>
    <n v="1.7951999999999999"/>
    <n v="-0.15759999999999999"/>
    <n v="66"/>
    <n v="8.6"/>
    <n v="319"/>
    <n v="9"/>
    <n v="0"/>
    <n v="0"/>
    <n v="9.1199999999999992"/>
    <n v="263"/>
    <n v="0"/>
  </r>
  <r>
    <x v="1"/>
    <x v="0"/>
    <s v="SPX"/>
    <x v="9"/>
    <x v="130"/>
    <s v="p"/>
    <n v="6.25"/>
    <n v="10"/>
    <n v="6.2"/>
    <n v="10"/>
    <n v="43"/>
    <n v="162"/>
    <n v="9"/>
    <n v="101"/>
    <n v="9.1999999999999993"/>
    <n v="0"/>
    <n v="0"/>
    <n v="0"/>
    <n v="0"/>
    <n v="0.2167"/>
    <n v="-7.6200000000000004E-2"/>
    <n v="5.0000000000000001E-4"/>
    <n v="-1.7196"/>
    <n v="1.8301000000000001"/>
    <n v="-0.1618"/>
    <n v="65"/>
    <n v="8.8000000000000007"/>
    <n v="101"/>
    <n v="9.1999999999999993"/>
    <n v="0"/>
    <n v="0"/>
    <n v="9.1778999999999993"/>
    <n v="292"/>
    <n v="0"/>
  </r>
  <r>
    <x v="1"/>
    <x v="0"/>
    <s v="SPX"/>
    <x v="9"/>
    <x v="131"/>
    <s v="p"/>
    <n v="13.48"/>
    <n v="13.48"/>
    <n v="8.9"/>
    <n v="9.0500000000000007"/>
    <n v="217"/>
    <n v="211"/>
    <n v="9.1999999999999993"/>
    <n v="202"/>
    <n v="9.5"/>
    <n v="0"/>
    <n v="0"/>
    <n v="0"/>
    <n v="0"/>
    <n v="0.21590000000000001"/>
    <n v="-7.8200000000000006E-2"/>
    <n v="5.9999999999999995E-4"/>
    <n v="-1.7488999999999999"/>
    <n v="1.8655999999999999"/>
    <n v="-0.16619999999999999"/>
    <n v="249"/>
    <n v="9"/>
    <n v="323"/>
    <n v="9.5"/>
    <n v="0"/>
    <n v="0"/>
    <n v="9.4985999999999997"/>
    <n v="772"/>
    <n v="0"/>
  </r>
  <r>
    <x v="1"/>
    <x v="0"/>
    <s v="SPX"/>
    <x v="9"/>
    <x v="132"/>
    <s v="p"/>
    <n v="6.65"/>
    <n v="9.6999999999999993"/>
    <n v="6.65"/>
    <n v="9.6999999999999993"/>
    <n v="16"/>
    <n v="293"/>
    <n v="9.4"/>
    <n v="186"/>
    <n v="9.6999999999999993"/>
    <n v="0"/>
    <n v="0"/>
    <n v="0"/>
    <n v="0"/>
    <n v="0.2145"/>
    <n v="-0.08"/>
    <n v="5.9999999999999995E-4"/>
    <n v="-1.7702"/>
    <n v="1.8971"/>
    <n v="-0.17"/>
    <n v="199"/>
    <n v="9.1999999999999993"/>
    <n v="261"/>
    <n v="9.6999999999999993"/>
    <n v="0"/>
    <n v="0"/>
    <n v="9.5093999999999994"/>
    <n v="930"/>
    <n v="0"/>
  </r>
  <r>
    <x v="1"/>
    <x v="0"/>
    <s v="SPX"/>
    <x v="9"/>
    <x v="133"/>
    <s v="p"/>
    <n v="7.66"/>
    <n v="16.45"/>
    <n v="6.54"/>
    <n v="9.9600000000000009"/>
    <n v="789"/>
    <n v="210"/>
    <n v="9.6999999999999993"/>
    <n v="320"/>
    <n v="10"/>
    <n v="0"/>
    <n v="0"/>
    <n v="0"/>
    <n v="0"/>
    <n v="0.21390000000000001"/>
    <n v="-8.2299999999999998E-2"/>
    <n v="5.9999999999999995E-4"/>
    <n v="-1.8053999999999999"/>
    <n v="1.9359999999999999"/>
    <n v="-0.1749"/>
    <n v="251"/>
    <n v="9.5"/>
    <n v="32"/>
    <n v="9.9"/>
    <n v="0"/>
    <n v="0"/>
    <n v="7.7907000000000002"/>
    <n v="9678"/>
    <n v="0"/>
  </r>
  <r>
    <x v="1"/>
    <x v="0"/>
    <s v="SPX"/>
    <x v="9"/>
    <x v="134"/>
    <s v="p"/>
    <n v="13.9"/>
    <n v="13.9"/>
    <n v="13.9"/>
    <n v="13.9"/>
    <n v="11"/>
    <n v="357"/>
    <n v="9.9"/>
    <n v="63"/>
    <n v="10.199999999999999"/>
    <n v="0"/>
    <n v="0"/>
    <n v="0"/>
    <n v="0"/>
    <n v="0.21260000000000001"/>
    <n v="-8.4099999999999994E-2"/>
    <n v="5.9999999999999995E-4"/>
    <n v="-1.8255999999999999"/>
    <n v="1.9676"/>
    <n v="-0.17879999999999999"/>
    <n v="202"/>
    <n v="9.6999999999999993"/>
    <n v="193"/>
    <n v="10.199999999999999"/>
    <n v="0"/>
    <n v="0"/>
    <n v="13.9"/>
    <n v="339"/>
    <n v="0"/>
  </r>
  <r>
    <x v="1"/>
    <x v="0"/>
    <s v="SPX"/>
    <x v="9"/>
    <x v="135"/>
    <s v="p"/>
    <n v="8.06"/>
    <n v="11.75"/>
    <n v="6.77"/>
    <n v="10.9"/>
    <n v="38"/>
    <n v="313"/>
    <n v="10.199999999999999"/>
    <n v="187"/>
    <n v="10.5"/>
    <n v="0"/>
    <n v="0"/>
    <n v="0"/>
    <n v="0"/>
    <n v="0.21190000000000001"/>
    <n v="-8.6499999999999994E-2"/>
    <n v="5.9999999999999995E-4"/>
    <n v="-1.8593"/>
    <n v="2.0065"/>
    <n v="-0.1837"/>
    <n v="255"/>
    <n v="10"/>
    <n v="314"/>
    <n v="10.5"/>
    <n v="0"/>
    <n v="0"/>
    <n v="8.8063000000000002"/>
    <n v="778"/>
    <n v="0"/>
  </r>
  <r>
    <x v="1"/>
    <x v="0"/>
    <s v="SPX"/>
    <x v="9"/>
    <x v="136"/>
    <s v="p"/>
    <n v="7.35"/>
    <n v="11.05"/>
    <n v="7.35"/>
    <n v="10.5"/>
    <n v="20"/>
    <n v="171"/>
    <n v="10.5"/>
    <n v="301"/>
    <n v="10.8"/>
    <n v="0"/>
    <n v="0"/>
    <n v="0"/>
    <n v="0"/>
    <n v="0.21099999999999999"/>
    <n v="-8.8900000000000007E-2"/>
    <n v="5.9999999999999995E-4"/>
    <n v="-1.8915999999999999"/>
    <n v="2.0466000000000002"/>
    <n v="-0.18870000000000001"/>
    <n v="92"/>
    <n v="10.3"/>
    <n v="53"/>
    <n v="10.7"/>
    <n v="0"/>
    <n v="0"/>
    <n v="10.2225"/>
    <n v="272"/>
    <n v="0"/>
  </r>
  <r>
    <x v="1"/>
    <x v="0"/>
    <s v="SPX"/>
    <x v="9"/>
    <x v="137"/>
    <s v="p"/>
    <n v="9.0500000000000007"/>
    <n v="12.62"/>
    <n v="9.0500000000000007"/>
    <n v="12.62"/>
    <n v="3"/>
    <n v="349"/>
    <n v="10.7"/>
    <n v="230"/>
    <n v="11.1"/>
    <n v="0"/>
    <n v="0"/>
    <n v="0"/>
    <n v="0"/>
    <n v="0.20960000000000001"/>
    <n v="-9.0700000000000003E-2"/>
    <n v="5.9999999999999995E-4"/>
    <n v="-1.9104000000000001"/>
    <n v="2.0781999999999998"/>
    <n v="-0.19270000000000001"/>
    <n v="23"/>
    <n v="10.6"/>
    <n v="58"/>
    <n v="11"/>
    <n v="0"/>
    <n v="0"/>
    <n v="10.24"/>
    <n v="556"/>
    <n v="0"/>
  </r>
  <r>
    <x v="1"/>
    <x v="0"/>
    <s v="SPX"/>
    <x v="9"/>
    <x v="138"/>
    <s v="p"/>
    <n v="7.42"/>
    <n v="14.77"/>
    <n v="7.42"/>
    <n v="11.85"/>
    <n v="73"/>
    <n v="412"/>
    <n v="11"/>
    <n v="21"/>
    <n v="11.3"/>
    <n v="0"/>
    <n v="0"/>
    <n v="0"/>
    <n v="0"/>
    <n v="0.2087"/>
    <n v="-9.3100000000000002E-2"/>
    <n v="5.9999999999999995E-4"/>
    <n v="-1.9416"/>
    <n v="2.1179999999999999"/>
    <n v="-0.1978"/>
    <n v="42"/>
    <n v="10.9"/>
    <n v="205"/>
    <n v="11.3"/>
    <n v="0"/>
    <n v="0"/>
    <n v="8.8300999999999998"/>
    <n v="2036"/>
    <n v="0"/>
  </r>
  <r>
    <x v="1"/>
    <x v="0"/>
    <s v="SPX"/>
    <x v="9"/>
    <x v="139"/>
    <s v="p"/>
    <n v="9.6"/>
    <n v="10"/>
    <n v="7.95"/>
    <n v="10"/>
    <n v="6"/>
    <n v="351"/>
    <n v="11.3"/>
    <n v="181"/>
    <n v="11.7"/>
    <n v="0"/>
    <n v="0"/>
    <n v="0"/>
    <n v="0"/>
    <n v="0.2077"/>
    <n v="-9.5600000000000004E-2"/>
    <n v="6.9999999999999999E-4"/>
    <n v="-1.9719"/>
    <n v="2.1579999999999999"/>
    <n v="-0.20300000000000001"/>
    <n v="22"/>
    <n v="11.2"/>
    <n v="58"/>
    <n v="11.6"/>
    <n v="0"/>
    <n v="0"/>
    <n v="9.5083000000000002"/>
    <n v="610"/>
    <n v="0"/>
  </r>
  <r>
    <x v="1"/>
    <x v="0"/>
    <s v="SPX"/>
    <x v="9"/>
    <x v="140"/>
    <s v="p"/>
    <n v="7.63"/>
    <n v="7.63"/>
    <n v="7.63"/>
    <n v="7.63"/>
    <n v="1"/>
    <n v="510"/>
    <n v="11.6"/>
    <n v="182"/>
    <n v="12"/>
    <n v="0"/>
    <n v="0"/>
    <n v="0"/>
    <n v="0"/>
    <n v="0.20669999999999999"/>
    <n v="-9.8000000000000004E-2"/>
    <n v="6.9999999999999999E-4"/>
    <n v="-2.0013999999999998"/>
    <n v="2.1979000000000002"/>
    <n v="-0.20830000000000001"/>
    <n v="202"/>
    <n v="11.4"/>
    <n v="72"/>
    <n v="12"/>
    <n v="0"/>
    <n v="0"/>
    <n v="7.63"/>
    <n v="252"/>
    <n v="0"/>
  </r>
  <r>
    <x v="1"/>
    <x v="0"/>
    <s v="SPX"/>
    <x v="9"/>
    <x v="141"/>
    <s v="p"/>
    <n v="13.3"/>
    <n v="13.3"/>
    <n v="12.8"/>
    <n v="12.8"/>
    <n v="21"/>
    <n v="388"/>
    <n v="11.9"/>
    <n v="411"/>
    <n v="12.3"/>
    <n v="0"/>
    <n v="0"/>
    <n v="0"/>
    <n v="0"/>
    <n v="0.20619999999999999"/>
    <n v="-0.10100000000000001"/>
    <n v="6.9999999999999999E-4"/>
    <n v="-2.0425"/>
    <n v="2.2452000000000001"/>
    <n v="-0.21479999999999999"/>
    <n v="397"/>
    <n v="11.7"/>
    <n v="181"/>
    <n v="12.3"/>
    <n v="0"/>
    <n v="0"/>
    <n v="13.276199999999999"/>
    <n v="541"/>
    <n v="0"/>
  </r>
  <r>
    <x v="1"/>
    <x v="0"/>
    <s v="SPX"/>
    <x v="9"/>
    <x v="142"/>
    <s v="p"/>
    <n v="9.94"/>
    <n v="12.85"/>
    <n v="9.4"/>
    <n v="12.85"/>
    <n v="22"/>
    <n v="310"/>
    <n v="12.3"/>
    <n v="235"/>
    <n v="12.6"/>
    <n v="0"/>
    <n v="0"/>
    <n v="0"/>
    <n v="0"/>
    <n v="0.2051"/>
    <n v="-0.10340000000000001"/>
    <n v="6.9999999999999999E-4"/>
    <n v="-2.0701999999999998"/>
    <n v="2.2846000000000002"/>
    <n v="-0.22020000000000001"/>
    <n v="157"/>
    <n v="12.1"/>
    <n v="254"/>
    <n v="12.6"/>
    <n v="0"/>
    <n v="0"/>
    <n v="9.5814000000000004"/>
    <n v="1143"/>
    <n v="0"/>
  </r>
  <r>
    <x v="1"/>
    <x v="0"/>
    <s v="SPX"/>
    <x v="9"/>
    <x v="143"/>
    <s v="p"/>
    <n v="10"/>
    <n v="20.45"/>
    <n v="8.24"/>
    <n v="12.9"/>
    <n v="2185"/>
    <n v="129"/>
    <n v="12.7"/>
    <n v="43"/>
    <n v="12.9"/>
    <n v="0"/>
    <n v="0"/>
    <n v="0"/>
    <n v="0"/>
    <n v="0.2039"/>
    <n v="-0.106"/>
    <n v="6.9999999999999999E-4"/>
    <n v="-2.0972"/>
    <n v="2.3237999999999999"/>
    <n v="-0.22570000000000001"/>
    <n v="297"/>
    <n v="12.4"/>
    <n v="151"/>
    <n v="12.9"/>
    <n v="0"/>
    <n v="0"/>
    <n v="13.8726"/>
    <n v="26512"/>
    <n v="0"/>
  </r>
  <r>
    <x v="1"/>
    <x v="0"/>
    <s v="SPX"/>
    <x v="9"/>
    <x v="144"/>
    <s v="p"/>
    <n v="15.49"/>
    <n v="15.6"/>
    <n v="13.55"/>
    <n v="13.55"/>
    <n v="17"/>
    <n v="104"/>
    <n v="13"/>
    <n v="287"/>
    <n v="13.3"/>
    <n v="0"/>
    <n v="0"/>
    <n v="0"/>
    <n v="0"/>
    <n v="0.20319999999999999"/>
    <n v="-0.109"/>
    <n v="6.9999999999999999E-4"/>
    <n v="-2.1352000000000002"/>
    <n v="2.3696000000000002"/>
    <n v="-0.23219999999999999"/>
    <n v="274"/>
    <n v="12.7"/>
    <n v="241"/>
    <n v="13.3"/>
    <n v="0"/>
    <n v="0"/>
    <n v="15.354699999999999"/>
    <n v="1096"/>
    <n v="0"/>
  </r>
  <r>
    <x v="1"/>
    <x v="0"/>
    <s v="SPX"/>
    <x v="9"/>
    <x v="145"/>
    <s v="p"/>
    <n v="10.81"/>
    <n v="15.1"/>
    <n v="10"/>
    <n v="15.1"/>
    <n v="21"/>
    <n v="475"/>
    <n v="13.3"/>
    <n v="174"/>
    <n v="13.7"/>
    <n v="0"/>
    <n v="0"/>
    <n v="0"/>
    <n v="0"/>
    <n v="0.20200000000000001"/>
    <n v="-0.1116"/>
    <n v="8.0000000000000004E-4"/>
    <n v="-2.1604000000000001"/>
    <n v="2.4081999999999999"/>
    <n v="-0.23769999999999999"/>
    <n v="285"/>
    <n v="13.1"/>
    <n v="109"/>
    <n v="13.6"/>
    <n v="0"/>
    <n v="0"/>
    <n v="14.652900000000001"/>
    <n v="549"/>
    <n v="0"/>
  </r>
  <r>
    <x v="1"/>
    <x v="0"/>
    <s v="SPX"/>
    <x v="9"/>
    <x v="146"/>
    <s v="p"/>
    <n v="11.16"/>
    <n v="16.600000000000001"/>
    <n v="8.9"/>
    <n v="13.9"/>
    <n v="15"/>
    <n v="330"/>
    <n v="13.7"/>
    <n v="79"/>
    <n v="14"/>
    <n v="0"/>
    <n v="0"/>
    <n v="0"/>
    <n v="0"/>
    <n v="0.20100000000000001"/>
    <n v="-0.1144"/>
    <n v="8.0000000000000004E-4"/>
    <n v="-2.1905999999999999"/>
    <n v="2.4500000000000002"/>
    <n v="-0.24379999999999999"/>
    <n v="230"/>
    <n v="13.5"/>
    <n v="139"/>
    <n v="14"/>
    <n v="0"/>
    <n v="0"/>
    <n v="14.0747"/>
    <n v="374"/>
    <n v="0"/>
  </r>
  <r>
    <x v="1"/>
    <x v="0"/>
    <s v="SPX"/>
    <x v="9"/>
    <x v="147"/>
    <s v="p"/>
    <n v="10.1"/>
    <n v="15.64"/>
    <n v="10.1"/>
    <n v="15.64"/>
    <n v="12"/>
    <n v="331"/>
    <n v="14.1"/>
    <n v="100"/>
    <n v="14.4"/>
    <n v="0"/>
    <n v="0"/>
    <n v="0"/>
    <n v="0"/>
    <n v="0.20030000000000001"/>
    <n v="-0.1177"/>
    <n v="8.0000000000000004E-4"/>
    <n v="-2.2311999999999999"/>
    <n v="2.4984999999999999"/>
    <n v="-0.25090000000000001"/>
    <n v="177"/>
    <n v="13.9"/>
    <n v="211"/>
    <n v="14.4"/>
    <n v="0"/>
    <n v="0"/>
    <n v="11.342499999999999"/>
    <n v="889"/>
    <n v="0"/>
  </r>
  <r>
    <x v="1"/>
    <x v="0"/>
    <s v="SPX"/>
    <x v="9"/>
    <x v="148"/>
    <s v="p"/>
    <n v="9.65"/>
    <n v="16.53"/>
    <n v="9.65"/>
    <n v="16.45"/>
    <n v="194"/>
    <n v="101"/>
    <n v="14.5"/>
    <n v="80"/>
    <n v="14.8"/>
    <n v="0"/>
    <n v="0"/>
    <n v="0"/>
    <n v="0"/>
    <n v="0.19950000000000001"/>
    <n v="-0.1208"/>
    <n v="8.0000000000000004E-4"/>
    <n v="-2.2654000000000001"/>
    <n v="2.5428000000000002"/>
    <n v="-0.25740000000000002"/>
    <n v="174"/>
    <n v="14.3"/>
    <n v="204"/>
    <n v="14.8"/>
    <n v="0"/>
    <n v="0"/>
    <n v="16.000900000000001"/>
    <n v="2534"/>
    <n v="0"/>
  </r>
  <r>
    <x v="1"/>
    <x v="0"/>
    <s v="SPX"/>
    <x v="9"/>
    <x v="149"/>
    <s v="p"/>
    <n v="10.4"/>
    <n v="17.22"/>
    <n v="10.4"/>
    <n v="16.53"/>
    <n v="33"/>
    <n v="149"/>
    <n v="14.9"/>
    <n v="79"/>
    <n v="15.2"/>
    <n v="0"/>
    <n v="0"/>
    <n v="0"/>
    <n v="0"/>
    <n v="0.19839999999999999"/>
    <n v="-0.124"/>
    <n v="8.0000000000000004E-4"/>
    <n v="-2.2976000000000001"/>
    <n v="2.5886999999999998"/>
    <n v="-0.26419999999999999"/>
    <n v="173"/>
    <n v="14.7"/>
    <n v="178"/>
    <n v="15.2"/>
    <n v="0"/>
    <n v="0"/>
    <n v="12.077299999999999"/>
    <n v="546"/>
    <n v="0"/>
  </r>
  <r>
    <x v="1"/>
    <x v="0"/>
    <s v="SPX"/>
    <x v="9"/>
    <x v="150"/>
    <s v="p"/>
    <n v="11.31"/>
    <n v="17.670000000000002"/>
    <n v="11.31"/>
    <n v="16.399999999999999"/>
    <n v="21"/>
    <n v="333"/>
    <n v="15.3"/>
    <n v="113"/>
    <n v="15.7"/>
    <n v="0"/>
    <n v="0"/>
    <n v="0"/>
    <n v="0"/>
    <n v="0.19739999999999999"/>
    <n v="-0.12720000000000001"/>
    <n v="8.9999999999999998E-4"/>
    <n v="-2.3290999999999999"/>
    <n v="2.6341000000000001"/>
    <n v="-0.27100000000000002"/>
    <n v="214"/>
    <n v="15.1"/>
    <n v="62"/>
    <n v="15.6"/>
    <n v="0"/>
    <n v="0"/>
    <n v="16.593299999999999"/>
    <n v="728"/>
    <n v="0"/>
  </r>
  <r>
    <x v="1"/>
    <x v="0"/>
    <s v="SPX"/>
    <x v="9"/>
    <x v="151"/>
    <s v="p"/>
    <n v="10.199999999999999"/>
    <n v="18.8"/>
    <n v="10.199999999999999"/>
    <n v="15.55"/>
    <n v="19"/>
    <n v="428"/>
    <n v="15.7"/>
    <n v="262"/>
    <n v="16.100000000000001"/>
    <n v="0"/>
    <n v="0"/>
    <n v="0"/>
    <n v="0"/>
    <n v="0.19670000000000001"/>
    <n v="-0.13059999999999999"/>
    <n v="8.9999999999999998E-4"/>
    <n v="-2.3654000000000002"/>
    <n v="2.6816"/>
    <n v="-0.27839999999999998"/>
    <n v="250"/>
    <n v="15.5"/>
    <n v="232"/>
    <n v="16.100000000000001"/>
    <n v="0"/>
    <n v="0"/>
    <n v="16.271599999999999"/>
    <n v="308"/>
    <n v="0"/>
  </r>
  <r>
    <x v="1"/>
    <x v="0"/>
    <s v="SPX"/>
    <x v="9"/>
    <x v="152"/>
    <s v="p"/>
    <n v="13.25"/>
    <n v="23.5"/>
    <n v="12.38"/>
    <n v="16.75"/>
    <n v="63"/>
    <n v="169"/>
    <n v="16.2"/>
    <n v="50"/>
    <n v="16.5"/>
    <n v="0"/>
    <n v="0"/>
    <n v="0"/>
    <n v="0"/>
    <n v="0.19570000000000001"/>
    <n v="-0.1341"/>
    <n v="8.9999999999999998E-4"/>
    <n v="-2.4"/>
    <n v="2.7296999999999998"/>
    <n v="-0.28589999999999999"/>
    <n v="158"/>
    <n v="16"/>
    <n v="91"/>
    <n v="16.5"/>
    <n v="0"/>
    <n v="0"/>
    <n v="16.741399999999999"/>
    <n v="2081"/>
    <n v="0"/>
  </r>
  <r>
    <x v="1"/>
    <x v="0"/>
    <s v="SPX"/>
    <x v="9"/>
    <x v="153"/>
    <s v="p"/>
    <n v="13.65"/>
    <n v="23.32"/>
    <n v="10.9"/>
    <n v="16.600000000000001"/>
    <n v="1528"/>
    <n v="416"/>
    <n v="16.600000000000001"/>
    <n v="212"/>
    <n v="17"/>
    <n v="0"/>
    <n v="0"/>
    <n v="0"/>
    <n v="0"/>
    <n v="0.19470000000000001"/>
    <n v="-0.13769999999999999"/>
    <n v="8.9999999999999998E-4"/>
    <n v="-2.4327000000000001"/>
    <n v="2.7783000000000002"/>
    <n v="-0.29370000000000002"/>
    <n v="247"/>
    <n v="16.399999999999999"/>
    <n v="221"/>
    <n v="17"/>
    <n v="0"/>
    <n v="0"/>
    <n v="16.518799999999999"/>
    <n v="15088"/>
    <n v="0"/>
  </r>
  <r>
    <x v="1"/>
    <x v="0"/>
    <s v="SPX"/>
    <x v="9"/>
    <x v="154"/>
    <s v="p"/>
    <n v="11.9"/>
    <n v="13.31"/>
    <n v="11.9"/>
    <n v="13.31"/>
    <n v="5"/>
    <n v="284"/>
    <n v="17.100000000000001"/>
    <n v="200"/>
    <n v="17.5"/>
    <n v="0"/>
    <n v="0"/>
    <n v="0"/>
    <n v="0"/>
    <n v="0.1938"/>
    <n v="-0.1414"/>
    <n v="8.9999999999999998E-4"/>
    <n v="-2.4697"/>
    <n v="2.8283"/>
    <n v="-0.3019"/>
    <n v="131"/>
    <n v="16.899999999999999"/>
    <n v="129"/>
    <n v="17.5"/>
    <n v="0"/>
    <n v="0"/>
    <n v="13.028"/>
    <n v="295"/>
    <n v="0"/>
  </r>
  <r>
    <x v="1"/>
    <x v="0"/>
    <s v="SPX"/>
    <x v="9"/>
    <x v="155"/>
    <s v="p"/>
    <n v="16.7"/>
    <n v="23.96"/>
    <n v="16.7"/>
    <n v="19.14"/>
    <n v="22"/>
    <n v="163"/>
    <n v="17.600000000000001"/>
    <n v="268"/>
    <n v="18"/>
    <n v="0"/>
    <n v="0"/>
    <n v="0"/>
    <n v="0"/>
    <n v="0.19289999999999999"/>
    <n v="-0.1452"/>
    <n v="1E-3"/>
    <n v="-2.5053000000000001"/>
    <n v="2.8776000000000002"/>
    <n v="-0.31019999999999998"/>
    <n v="164"/>
    <n v="17.399999999999999"/>
    <n v="198"/>
    <n v="18"/>
    <n v="0"/>
    <n v="0"/>
    <n v="17.706399999999999"/>
    <n v="2608"/>
    <n v="0"/>
  </r>
  <r>
    <x v="1"/>
    <x v="0"/>
    <s v="SPX"/>
    <x v="9"/>
    <x v="156"/>
    <s v="p"/>
    <n v="14.5"/>
    <n v="19.34"/>
    <n v="14.5"/>
    <n v="18.02"/>
    <n v="30"/>
    <n v="169"/>
    <n v="18.100000000000001"/>
    <n v="252"/>
    <n v="18.5"/>
    <n v="0"/>
    <n v="0"/>
    <n v="0"/>
    <n v="0"/>
    <n v="0.192"/>
    <n v="-0.14899999999999999"/>
    <n v="1E-3"/>
    <n v="-2.5394999999999999"/>
    <n v="2.9262000000000001"/>
    <n v="-0.31840000000000002"/>
    <n v="185"/>
    <n v="17.899999999999999"/>
    <n v="180"/>
    <n v="18.5"/>
    <n v="0"/>
    <n v="0"/>
    <n v="17.697299999999998"/>
    <n v="211"/>
    <n v="0"/>
  </r>
  <r>
    <x v="1"/>
    <x v="0"/>
    <s v="SPX"/>
    <x v="9"/>
    <x v="157"/>
    <s v="p"/>
    <n v="13.3"/>
    <n v="20.8"/>
    <n v="13.23"/>
    <n v="18.73"/>
    <n v="46"/>
    <n v="250"/>
    <n v="18.600000000000001"/>
    <n v="172"/>
    <n v="19"/>
    <n v="0"/>
    <n v="0"/>
    <n v="0"/>
    <n v="0"/>
    <n v="0.19109999999999999"/>
    <n v="-0.15279999999999999"/>
    <n v="1E-3"/>
    <n v="-2.573"/>
    <n v="2.9735"/>
    <n v="-0.32650000000000001"/>
    <n v="212"/>
    <n v="18.399999999999999"/>
    <n v="131"/>
    <n v="19"/>
    <n v="0"/>
    <n v="0"/>
    <n v="17.4941"/>
    <n v="391"/>
    <n v="0"/>
  </r>
  <r>
    <x v="1"/>
    <x v="0"/>
    <s v="SPX"/>
    <x v="9"/>
    <x v="158"/>
    <s v="p"/>
    <n v="15.4"/>
    <n v="25.9"/>
    <n v="12.75"/>
    <n v="19.07"/>
    <n v="48"/>
    <n v="386"/>
    <n v="19.100000000000001"/>
    <n v="70"/>
    <n v="19.5"/>
    <n v="0"/>
    <n v="0"/>
    <n v="0"/>
    <n v="0"/>
    <n v="0.18990000000000001"/>
    <n v="-0.15679999999999999"/>
    <n v="1E-3"/>
    <n v="-2.6038000000000001"/>
    <n v="3.0223"/>
    <n v="-0.33500000000000002"/>
    <n v="231"/>
    <n v="18.899999999999999"/>
    <n v="96"/>
    <n v="19.5"/>
    <n v="0"/>
    <n v="0"/>
    <n v="21.270199999999999"/>
    <n v="2483"/>
    <n v="0"/>
  </r>
  <r>
    <x v="1"/>
    <x v="0"/>
    <s v="SPX"/>
    <x v="9"/>
    <x v="159"/>
    <s v="p"/>
    <n v="15.85"/>
    <n v="22.47"/>
    <n v="13.2"/>
    <n v="19.11"/>
    <n v="61"/>
    <n v="235"/>
    <n v="19.7"/>
    <n v="180"/>
    <n v="20.100000000000001"/>
    <n v="0"/>
    <n v="0"/>
    <n v="0"/>
    <n v="0"/>
    <n v="0.1893"/>
    <n v="-0.16109999999999999"/>
    <n v="1E-3"/>
    <n v="-2.6440000000000001"/>
    <n v="3.0741000000000001"/>
    <n v="-0.34410000000000002"/>
    <n v="242"/>
    <n v="19.399999999999999"/>
    <n v="128"/>
    <n v="20.100000000000001"/>
    <n v="0"/>
    <n v="0"/>
    <n v="18.563300000000002"/>
    <n v="258"/>
    <n v="0"/>
  </r>
  <r>
    <x v="1"/>
    <x v="0"/>
    <s v="SPX"/>
    <x v="9"/>
    <x v="160"/>
    <s v="p"/>
    <n v="27.7"/>
    <n v="27.7"/>
    <n v="22.35"/>
    <n v="22.35"/>
    <n v="11"/>
    <n v="343"/>
    <n v="20.2"/>
    <n v="41"/>
    <n v="20.6"/>
    <n v="0"/>
    <n v="0"/>
    <n v="0"/>
    <n v="0"/>
    <n v="0.18809999999999999"/>
    <n v="-0.1651"/>
    <n v="1.1000000000000001E-3"/>
    <n v="-2.6726000000000001"/>
    <n v="3.1219000000000001"/>
    <n v="-0.35260000000000002"/>
    <n v="167"/>
    <n v="20"/>
    <n v="111"/>
    <n v="20.7"/>
    <n v="0"/>
    <n v="0"/>
    <n v="22.836400000000001"/>
    <n v="208"/>
    <n v="0"/>
  </r>
  <r>
    <x v="1"/>
    <x v="0"/>
    <s v="SPX"/>
    <x v="9"/>
    <x v="161"/>
    <s v="p"/>
    <n v="17.45"/>
    <n v="27.65"/>
    <n v="13.9"/>
    <n v="21"/>
    <n v="37"/>
    <n v="344"/>
    <n v="20.8"/>
    <n v="57"/>
    <n v="21.2"/>
    <n v="0"/>
    <n v="0"/>
    <n v="0"/>
    <n v="0"/>
    <n v="0.18709999999999999"/>
    <n v="-0.1696"/>
    <n v="1.1000000000000001E-3"/>
    <n v="-2.7079"/>
    <n v="3.1753"/>
    <n v="-0.3624"/>
    <n v="198"/>
    <n v="20.6"/>
    <n v="154"/>
    <n v="21.3"/>
    <n v="0"/>
    <n v="0"/>
    <n v="19.421399999999998"/>
    <n v="391"/>
    <n v="0"/>
  </r>
  <r>
    <x v="1"/>
    <x v="0"/>
    <s v="SPX"/>
    <x v="9"/>
    <x v="162"/>
    <s v="p"/>
    <n v="16.78"/>
    <n v="20.32"/>
    <n v="16.04"/>
    <n v="20.32"/>
    <n v="5"/>
    <n v="275"/>
    <n v="21.4"/>
    <n v="39"/>
    <n v="21.8"/>
    <n v="0"/>
    <n v="0"/>
    <n v="0"/>
    <n v="0"/>
    <n v="0.18629999999999999"/>
    <n v="-0.17399999999999999"/>
    <n v="1.1000000000000001E-3"/>
    <n v="-2.7431999999999999"/>
    <n v="3.2265999999999999"/>
    <n v="-0.37190000000000001"/>
    <n v="172"/>
    <n v="21.2"/>
    <n v="72"/>
    <n v="21.8"/>
    <n v="0"/>
    <n v="0"/>
    <n v="17.988"/>
    <n v="1336"/>
    <n v="0"/>
  </r>
  <r>
    <x v="1"/>
    <x v="0"/>
    <s v="SPX"/>
    <x v="9"/>
    <x v="163"/>
    <s v="p"/>
    <n v="18.2"/>
    <n v="29.85"/>
    <n v="14.5"/>
    <n v="21.97"/>
    <n v="5957"/>
    <n v="42"/>
    <n v="22.2"/>
    <n v="43"/>
    <n v="22.3"/>
    <n v="0"/>
    <n v="0"/>
    <n v="0"/>
    <n v="0"/>
    <n v="0.1852"/>
    <n v="-0.1787"/>
    <n v="1.1000000000000001E-3"/>
    <n v="-2.7751999999999999"/>
    <n v="3.2793999999999999"/>
    <n v="-0.38200000000000001"/>
    <n v="176"/>
    <n v="21.8"/>
    <n v="42"/>
    <n v="22.5"/>
    <n v="0"/>
    <n v="0"/>
    <n v="19.289300000000001"/>
    <n v="105934"/>
    <n v="0"/>
  </r>
  <r>
    <x v="1"/>
    <x v="0"/>
    <s v="SPX"/>
    <x v="9"/>
    <x v="164"/>
    <s v="p"/>
    <n v="16.850000000000001"/>
    <n v="30.22"/>
    <n v="15.32"/>
    <n v="22.2"/>
    <n v="22"/>
    <n v="333"/>
    <n v="22.6"/>
    <n v="295"/>
    <n v="23.2"/>
    <n v="0"/>
    <n v="0"/>
    <n v="0"/>
    <n v="0"/>
    <n v="0.1845"/>
    <n v="-0.18360000000000001"/>
    <n v="1.1999999999999999E-3"/>
    <n v="-2.8147000000000002"/>
    <n v="3.3349000000000002"/>
    <n v="-0.39290000000000003"/>
    <n v="125"/>
    <n v="22.5"/>
    <n v="86"/>
    <n v="23.1"/>
    <n v="0"/>
    <n v="0"/>
    <n v="20.291799999999999"/>
    <n v="365"/>
    <n v="0"/>
  </r>
  <r>
    <x v="1"/>
    <x v="0"/>
    <s v="SPX"/>
    <x v="9"/>
    <x v="165"/>
    <s v="p"/>
    <n v="18.52"/>
    <n v="25.7"/>
    <n v="15.75"/>
    <n v="25.5"/>
    <n v="6"/>
    <n v="353"/>
    <n v="23.3"/>
    <n v="169"/>
    <n v="23.8"/>
    <n v="0"/>
    <n v="0"/>
    <n v="0"/>
    <n v="0"/>
    <n v="0.18360000000000001"/>
    <n v="-0.1883"/>
    <n v="1.1999999999999999E-3"/>
    <n v="-2.8491"/>
    <n v="3.3858999999999999"/>
    <n v="-0.4032"/>
    <n v="139"/>
    <n v="23.2"/>
    <n v="204"/>
    <n v="23.9"/>
    <n v="0"/>
    <n v="0"/>
    <n v="20.331700000000001"/>
    <n v="816"/>
    <n v="0"/>
  </r>
  <r>
    <x v="1"/>
    <x v="0"/>
    <s v="SPX"/>
    <x v="9"/>
    <x v="166"/>
    <s v="p"/>
    <n v="20.100000000000001"/>
    <n v="26.75"/>
    <n v="20.100000000000001"/>
    <n v="23.42"/>
    <n v="46"/>
    <n v="161"/>
    <n v="24"/>
    <n v="50"/>
    <n v="24.5"/>
    <n v="0"/>
    <n v="0"/>
    <n v="0"/>
    <n v="0"/>
    <n v="0.1825"/>
    <n v="-0.1933"/>
    <n v="1.1999999999999999E-3"/>
    <n v="-2.8795999999999999"/>
    <n v="3.4382000000000001"/>
    <n v="-0.41399999999999998"/>
    <n v="139"/>
    <n v="23.8"/>
    <n v="50"/>
    <n v="24.5"/>
    <n v="0"/>
    <n v="0"/>
    <n v="22.903500000000001"/>
    <n v="156"/>
    <n v="0"/>
  </r>
  <r>
    <x v="1"/>
    <x v="0"/>
    <s v="SPX"/>
    <x v="9"/>
    <x v="167"/>
    <s v="p"/>
    <n v="18.59"/>
    <n v="30.65"/>
    <n v="16.41"/>
    <n v="24.17"/>
    <n v="105"/>
    <n v="207"/>
    <n v="24.7"/>
    <n v="42"/>
    <n v="25.2"/>
    <n v="0"/>
    <n v="0"/>
    <n v="0"/>
    <n v="0"/>
    <n v="0.1817"/>
    <n v="-0.1983"/>
    <n v="1.1999999999999999E-3"/>
    <n v="-2.9144000000000001"/>
    <n v="3.4895"/>
    <n v="-0.42470000000000002"/>
    <n v="109"/>
    <n v="24.6"/>
    <n v="97"/>
    <n v="25.2"/>
    <n v="0"/>
    <n v="0"/>
    <n v="26.058499999999999"/>
    <n v="283"/>
    <n v="0"/>
  </r>
  <r>
    <x v="1"/>
    <x v="0"/>
    <s v="SPX"/>
    <x v="9"/>
    <x v="168"/>
    <s v="p"/>
    <n v="21.18"/>
    <n v="30.7"/>
    <n v="17"/>
    <n v="25.8"/>
    <n v="539"/>
    <n v="232"/>
    <n v="25.4"/>
    <n v="150"/>
    <n v="25.9"/>
    <n v="0"/>
    <n v="0"/>
    <n v="0"/>
    <n v="0"/>
    <n v="0.18079999999999999"/>
    <n v="-0.20369999999999999"/>
    <n v="1.2999999999999999E-3"/>
    <n v="-2.9500999999999999"/>
    <n v="3.5428000000000002"/>
    <n v="-0.43609999999999999"/>
    <n v="111"/>
    <n v="25.3"/>
    <n v="95"/>
    <n v="25.9"/>
    <n v="0"/>
    <n v="0"/>
    <n v="26.601199999999999"/>
    <n v="2687"/>
    <n v="0"/>
  </r>
  <r>
    <x v="1"/>
    <x v="0"/>
    <s v="SPX"/>
    <x v="9"/>
    <x v="169"/>
    <s v="p"/>
    <n v="21.98"/>
    <n v="29.66"/>
    <n v="18.84"/>
    <n v="26.82"/>
    <n v="45"/>
    <n v="348"/>
    <n v="26.1"/>
    <n v="31"/>
    <n v="26.6"/>
    <n v="0"/>
    <n v="0"/>
    <n v="0"/>
    <n v="0"/>
    <n v="0.1797"/>
    <n v="-0.20899999999999999"/>
    <n v="1.2999999999999999E-3"/>
    <n v="-2.9786000000000001"/>
    <n v="3.5952000000000002"/>
    <n v="-0.44750000000000001"/>
    <n v="175"/>
    <n v="26"/>
    <n v="113"/>
    <n v="26.7"/>
    <n v="0"/>
    <n v="0"/>
    <n v="22.735299999999999"/>
    <n v="565"/>
    <n v="0"/>
  </r>
  <r>
    <x v="1"/>
    <x v="0"/>
    <s v="SPX"/>
    <x v="9"/>
    <x v="170"/>
    <s v="p"/>
    <n v="22.48"/>
    <n v="28.2"/>
    <n v="18.7"/>
    <n v="28.2"/>
    <n v="9"/>
    <n v="166"/>
    <n v="26.9"/>
    <n v="43"/>
    <n v="27.4"/>
    <n v="0"/>
    <n v="0"/>
    <n v="0"/>
    <n v="0"/>
    <n v="0.17899999999999999"/>
    <n v="-0.2145"/>
    <n v="1.2999999999999999E-3"/>
    <n v="-3.0152999999999999"/>
    <n v="3.6480999999999999"/>
    <n v="-0.4592"/>
    <n v="53"/>
    <n v="26.8"/>
    <n v="66"/>
    <n v="27.5"/>
    <n v="0"/>
    <n v="0"/>
    <n v="21.5989"/>
    <n v="222"/>
    <n v="0"/>
  </r>
  <r>
    <x v="1"/>
    <x v="0"/>
    <s v="SPX"/>
    <x v="9"/>
    <x v="171"/>
    <s v="p"/>
    <n v="23.38"/>
    <n v="35.14"/>
    <n v="18.7"/>
    <n v="29.53"/>
    <n v="83"/>
    <n v="160"/>
    <n v="27.7"/>
    <n v="112"/>
    <n v="28.2"/>
    <n v="0"/>
    <n v="0"/>
    <n v="0"/>
    <n v="0"/>
    <n v="0.17810000000000001"/>
    <n v="-0.22020000000000001"/>
    <n v="1.2999999999999999E-3"/>
    <n v="-3.0484"/>
    <n v="3.7019000000000002"/>
    <n v="-0.47149999999999997"/>
    <n v="98"/>
    <n v="27.6"/>
    <n v="107"/>
    <n v="28.3"/>
    <n v="0"/>
    <n v="0"/>
    <n v="28.873000000000001"/>
    <n v="179"/>
    <n v="0"/>
  </r>
  <r>
    <x v="1"/>
    <x v="0"/>
    <s v="SPX"/>
    <x v="9"/>
    <x v="172"/>
    <s v="p"/>
    <n v="23.2"/>
    <n v="38.9"/>
    <n v="23.2"/>
    <n v="27.95"/>
    <n v="134"/>
    <n v="194"/>
    <n v="28.5"/>
    <n v="41"/>
    <n v="29"/>
    <n v="0"/>
    <n v="0"/>
    <n v="0"/>
    <n v="0"/>
    <n v="0.17699999999999999"/>
    <n v="-0.22600000000000001"/>
    <n v="1.4E-3"/>
    <n v="-3.0781000000000001"/>
    <n v="3.7563"/>
    <n v="-0.48420000000000002"/>
    <n v="95"/>
    <n v="28.4"/>
    <n v="87"/>
    <n v="29.1"/>
    <n v="0"/>
    <n v="0"/>
    <n v="33.0503"/>
    <n v="480"/>
    <n v="0"/>
  </r>
  <r>
    <x v="1"/>
    <x v="0"/>
    <s v="SPX"/>
    <x v="9"/>
    <x v="173"/>
    <s v="p"/>
    <n v="23.85"/>
    <n v="38.82"/>
    <n v="19.36"/>
    <n v="30.03"/>
    <n v="3654"/>
    <n v="206"/>
    <n v="29.3"/>
    <n v="40"/>
    <n v="29.8"/>
    <n v="0"/>
    <n v="0"/>
    <n v="0"/>
    <n v="0"/>
    <n v="0.1759"/>
    <n v="-0.23180000000000001"/>
    <n v="1.4E-3"/>
    <n v="-3.1065"/>
    <n v="3.8088000000000002"/>
    <n v="-0.49690000000000001"/>
    <n v="142"/>
    <n v="29.2"/>
    <n v="162"/>
    <n v="30"/>
    <n v="0"/>
    <n v="0"/>
    <n v="22.9939"/>
    <n v="9908"/>
    <n v="0"/>
  </r>
  <r>
    <x v="1"/>
    <x v="0"/>
    <s v="SPX"/>
    <x v="9"/>
    <x v="174"/>
    <s v="p"/>
    <n v="20.9"/>
    <n v="39.049999999999997"/>
    <n v="20.45"/>
    <n v="30.12"/>
    <n v="55"/>
    <n v="305"/>
    <n v="30.1"/>
    <n v="124"/>
    <n v="30.8"/>
    <n v="0"/>
    <n v="0"/>
    <n v="0"/>
    <n v="0"/>
    <n v="0.17480000000000001"/>
    <n v="-0.23769999999999999"/>
    <n v="1.4E-3"/>
    <n v="-3.1324999999999998"/>
    <n v="3.8603999999999998"/>
    <n v="-0.50980000000000003"/>
    <n v="112"/>
    <n v="30.1"/>
    <n v="137"/>
    <n v="30.9"/>
    <n v="0"/>
    <n v="0"/>
    <n v="27.392399999999999"/>
    <n v="85"/>
    <n v="0"/>
  </r>
  <r>
    <x v="1"/>
    <x v="0"/>
    <s v="SPX"/>
    <x v="9"/>
    <x v="175"/>
    <s v="p"/>
    <n v="21.1"/>
    <n v="41.12"/>
    <n v="21.1"/>
    <n v="32.96"/>
    <n v="133"/>
    <n v="238"/>
    <n v="31"/>
    <n v="135"/>
    <n v="31.6"/>
    <n v="0"/>
    <n v="0"/>
    <n v="0"/>
    <n v="0"/>
    <n v="0.17419999999999999"/>
    <n v="-0.24390000000000001"/>
    <n v="1.5E-3"/>
    <n v="-3.1684000000000001"/>
    <n v="3.9131"/>
    <n v="-0.52349999999999997"/>
    <n v="86"/>
    <n v="31"/>
    <n v="131"/>
    <n v="31.8"/>
    <n v="0"/>
    <n v="0"/>
    <n v="30.9392"/>
    <n v="277"/>
    <n v="0"/>
  </r>
  <r>
    <x v="1"/>
    <x v="0"/>
    <s v="SPX"/>
    <x v="9"/>
    <x v="176"/>
    <s v="p"/>
    <n v="24.86"/>
    <n v="34.49"/>
    <n v="24.86"/>
    <n v="31.11"/>
    <n v="38"/>
    <n v="196"/>
    <n v="31.9"/>
    <n v="101"/>
    <n v="32.5"/>
    <n v="0"/>
    <n v="0"/>
    <n v="0"/>
    <n v="0"/>
    <n v="0.1731"/>
    <n v="-0.25040000000000001"/>
    <n v="1.5E-3"/>
    <n v="-3.1951000000000001"/>
    <n v="3.9655"/>
    <n v="-0.53739999999999999"/>
    <n v="106"/>
    <n v="31.9"/>
    <n v="100"/>
    <n v="32.6"/>
    <n v="0"/>
    <n v="0"/>
    <n v="32.574199999999998"/>
    <n v="134"/>
    <n v="0"/>
  </r>
  <r>
    <x v="1"/>
    <x v="0"/>
    <s v="SPX"/>
    <x v="9"/>
    <x v="177"/>
    <s v="p"/>
    <n v="28.6"/>
    <n v="38.22"/>
    <n v="24.85"/>
    <n v="32.450000000000003"/>
    <n v="48"/>
    <n v="19"/>
    <n v="32.9"/>
    <n v="99"/>
    <n v="33.5"/>
    <n v="0"/>
    <n v="0"/>
    <n v="0"/>
    <n v="0"/>
    <n v="0.1719"/>
    <n v="-0.25669999999999998"/>
    <n v="1.5E-3"/>
    <n v="-3.2170999999999998"/>
    <n v="4.0145999999999997"/>
    <n v="-0.55079999999999996"/>
    <n v="107"/>
    <n v="32.799999999999997"/>
    <n v="80"/>
    <n v="33.6"/>
    <n v="0"/>
    <n v="0"/>
    <n v="33.357500000000002"/>
    <n v="540"/>
    <n v="0"/>
  </r>
  <r>
    <x v="1"/>
    <x v="0"/>
    <s v="SPX"/>
    <x v="9"/>
    <x v="178"/>
    <s v="p"/>
    <n v="26.99"/>
    <n v="42.74"/>
    <n v="22.59"/>
    <n v="34.549999999999997"/>
    <n v="386"/>
    <n v="268"/>
    <n v="33.799999999999997"/>
    <n v="41"/>
    <n v="34.4"/>
    <n v="0"/>
    <n v="0"/>
    <n v="0"/>
    <n v="0"/>
    <n v="0.1711"/>
    <n v="-0.26340000000000002"/>
    <n v="1.5E-3"/>
    <n v="-3.2469999999999999"/>
    <n v="4.0659000000000001"/>
    <n v="-0.56520000000000004"/>
    <n v="110"/>
    <n v="33.799999999999997"/>
    <n v="50"/>
    <n v="34.5"/>
    <n v="0"/>
    <n v="0"/>
    <n v="34.323799999999999"/>
    <n v="584"/>
    <n v="0"/>
  </r>
  <r>
    <x v="1"/>
    <x v="0"/>
    <s v="SPX"/>
    <x v="9"/>
    <x v="179"/>
    <s v="p"/>
    <n v="30.3"/>
    <n v="41.46"/>
    <n v="23.79"/>
    <n v="34.06"/>
    <n v="91"/>
    <n v="123"/>
    <n v="34.799999999999997"/>
    <n v="66"/>
    <n v="35.5"/>
    <n v="0"/>
    <n v="0"/>
    <n v="0"/>
    <n v="0"/>
    <n v="0.17019999999999999"/>
    <n v="-0.2702"/>
    <n v="1.6000000000000001E-3"/>
    <n v="-3.2738999999999998"/>
    <n v="4.1165000000000003"/>
    <n v="-0.57979999999999998"/>
    <n v="82"/>
    <n v="34.799999999999997"/>
    <n v="41"/>
    <n v="35.5"/>
    <n v="0"/>
    <n v="0"/>
    <n v="28.423400000000001"/>
    <n v="262"/>
    <n v="0"/>
  </r>
  <r>
    <x v="1"/>
    <x v="0"/>
    <s v="SPX"/>
    <x v="9"/>
    <x v="180"/>
    <s v="p"/>
    <n v="31.2"/>
    <n v="40.68"/>
    <n v="28.2"/>
    <n v="35.04"/>
    <n v="23"/>
    <n v="193"/>
    <n v="35.799999999999997"/>
    <n v="37"/>
    <n v="36.4"/>
    <n v="0"/>
    <n v="0"/>
    <n v="0"/>
    <n v="0"/>
    <n v="0.16919999999999999"/>
    <n v="-0.27710000000000001"/>
    <n v="1.6000000000000001E-3"/>
    <n v="-3.2978999999999998"/>
    <n v="4.1664000000000003"/>
    <n v="-0.59470000000000001"/>
    <n v="79"/>
    <n v="35.799999999999997"/>
    <n v="111"/>
    <n v="36.6"/>
    <n v="0"/>
    <n v="0"/>
    <n v="30.882999999999999"/>
    <n v="139"/>
    <n v="0"/>
  </r>
  <r>
    <x v="1"/>
    <x v="0"/>
    <s v="SPX"/>
    <x v="9"/>
    <x v="181"/>
    <s v="p"/>
    <n v="29.67"/>
    <n v="46.21"/>
    <n v="24.75"/>
    <n v="37.67"/>
    <n v="198"/>
    <n v="199"/>
    <n v="36.799999999999997"/>
    <n v="33"/>
    <n v="37.4"/>
    <n v="0"/>
    <n v="0"/>
    <n v="0"/>
    <n v="0"/>
    <n v="0.16819999999999999"/>
    <n v="-0.28420000000000001"/>
    <n v="1.6000000000000001E-3"/>
    <n v="-3.3220999999999998"/>
    <n v="4.2164000000000001"/>
    <n v="-0.61029999999999995"/>
    <n v="80"/>
    <n v="36.9"/>
    <n v="72"/>
    <n v="37.6"/>
    <n v="0"/>
    <n v="0"/>
    <n v="35.685400000000001"/>
    <n v="229"/>
    <n v="0"/>
  </r>
  <r>
    <x v="1"/>
    <x v="0"/>
    <s v="SPX"/>
    <x v="9"/>
    <x v="182"/>
    <s v="p"/>
    <n v="29.65"/>
    <n v="46.27"/>
    <n v="29.65"/>
    <n v="38.65"/>
    <n v="77"/>
    <n v="164"/>
    <n v="37.9"/>
    <n v="114"/>
    <n v="38.6"/>
    <n v="0"/>
    <n v="0"/>
    <n v="0"/>
    <n v="0"/>
    <n v="0.16719999999999999"/>
    <n v="-0.29139999999999999"/>
    <n v="1.6999999999999999E-3"/>
    <n v="-3.3433999999999999"/>
    <n v="4.2651000000000003"/>
    <n v="-0.62609999999999999"/>
    <n v="79"/>
    <n v="38"/>
    <n v="72"/>
    <n v="38.700000000000003"/>
    <n v="0"/>
    <n v="0"/>
    <n v="39.368600000000001"/>
    <n v="163"/>
    <n v="0"/>
  </r>
  <r>
    <x v="1"/>
    <x v="0"/>
    <s v="SPX"/>
    <x v="9"/>
    <x v="183"/>
    <s v="p"/>
    <n v="34.340000000000003"/>
    <n v="50.38"/>
    <n v="26.28"/>
    <n v="39.75"/>
    <n v="578"/>
    <n v="161"/>
    <n v="39"/>
    <n v="32"/>
    <n v="39.6"/>
    <n v="0"/>
    <n v="0"/>
    <n v="0"/>
    <n v="0"/>
    <n v="0.16619999999999999"/>
    <n v="-0.29880000000000001"/>
    <n v="1.6999999999999999E-3"/>
    <n v="-3.3643999999999998"/>
    <n v="4.3129999999999997"/>
    <n v="-0.64229999999999998"/>
    <n v="79"/>
    <n v="39.1"/>
    <n v="46"/>
    <n v="39.799999999999997"/>
    <n v="0"/>
    <n v="0"/>
    <n v="39.920200000000001"/>
    <n v="12013"/>
    <n v="0"/>
  </r>
  <r>
    <x v="1"/>
    <x v="0"/>
    <s v="SPX"/>
    <x v="9"/>
    <x v="184"/>
    <s v="p"/>
    <n v="30.7"/>
    <n v="49.69"/>
    <n v="27.15"/>
    <n v="39.4"/>
    <n v="45"/>
    <n v="155"/>
    <n v="40.1"/>
    <n v="31"/>
    <n v="40.700000000000003"/>
    <n v="0"/>
    <n v="0"/>
    <n v="0"/>
    <n v="0"/>
    <n v="0.1653"/>
    <n v="-0.30649999999999999"/>
    <n v="1.6999999999999999E-3"/>
    <n v="-3.3853"/>
    <n v="4.3597999999999999"/>
    <n v="-0.65890000000000004"/>
    <n v="70"/>
    <n v="40.200000000000003"/>
    <n v="81"/>
    <n v="41"/>
    <n v="0"/>
    <n v="0"/>
    <n v="39.262"/>
    <n v="150"/>
    <n v="0"/>
  </r>
  <r>
    <x v="1"/>
    <x v="0"/>
    <s v="SPX"/>
    <x v="9"/>
    <x v="185"/>
    <s v="p"/>
    <n v="34.520000000000003"/>
    <n v="47.47"/>
    <n v="29.2"/>
    <n v="41.3"/>
    <n v="56"/>
    <n v="165"/>
    <n v="41.3"/>
    <n v="34"/>
    <n v="41.9"/>
    <n v="0"/>
    <n v="0"/>
    <n v="0"/>
    <n v="0"/>
    <n v="0.1641"/>
    <n v="-0.31409999999999999"/>
    <n v="1.6999999999999999E-3"/>
    <n v="-3.3997000000000002"/>
    <n v="4.4043000000000001"/>
    <n v="-0.6754"/>
    <n v="69"/>
    <n v="41.4"/>
    <n v="91"/>
    <n v="42.2"/>
    <n v="0"/>
    <n v="0"/>
    <n v="33.634799999999998"/>
    <n v="160"/>
    <n v="0"/>
  </r>
  <r>
    <x v="1"/>
    <x v="0"/>
    <s v="SPX"/>
    <x v="9"/>
    <x v="186"/>
    <s v="p"/>
    <n v="32.700000000000003"/>
    <n v="47.85"/>
    <n v="29.8"/>
    <n v="41.98"/>
    <n v="162"/>
    <n v="144"/>
    <n v="42.5"/>
    <n v="46"/>
    <n v="43.1"/>
    <n v="0"/>
    <n v="0"/>
    <n v="0"/>
    <n v="0"/>
    <n v="0.16309999999999999"/>
    <n v="-0.32200000000000001"/>
    <n v="1.8E-3"/>
    <n v="-3.4169"/>
    <n v="4.4481999999999999"/>
    <n v="-0.69230000000000003"/>
    <n v="25"/>
    <n v="42.6"/>
    <n v="78"/>
    <n v="43.4"/>
    <n v="0"/>
    <n v="0"/>
    <n v="30.794799999999999"/>
    <n v="144"/>
    <n v="0"/>
  </r>
  <r>
    <x v="1"/>
    <x v="0"/>
    <s v="SPX"/>
    <x v="9"/>
    <x v="187"/>
    <s v="p"/>
    <n v="35.06"/>
    <n v="54.55"/>
    <n v="29.5"/>
    <n v="46.46"/>
    <n v="42"/>
    <n v="135"/>
    <n v="43.7"/>
    <n v="105"/>
    <n v="44.4"/>
    <n v="0"/>
    <n v="0"/>
    <n v="0"/>
    <n v="0"/>
    <n v="0.16200000000000001"/>
    <n v="-0.33"/>
    <n v="1.8E-3"/>
    <n v="-3.4306999999999999"/>
    <n v="4.4908000000000001"/>
    <n v="-0.70950000000000002"/>
    <n v="91"/>
    <n v="43.8"/>
    <n v="70"/>
    <n v="44.7"/>
    <n v="0"/>
    <n v="0"/>
    <n v="40.816400000000002"/>
    <n v="673"/>
    <n v="0"/>
  </r>
  <r>
    <x v="1"/>
    <x v="0"/>
    <s v="SPX"/>
    <x v="9"/>
    <x v="188"/>
    <s v="p"/>
    <n v="37.72"/>
    <n v="55.95"/>
    <n v="30.9"/>
    <n v="44.64"/>
    <n v="434"/>
    <n v="147"/>
    <n v="44.9"/>
    <n v="65"/>
    <n v="45.6"/>
    <n v="0"/>
    <n v="0"/>
    <n v="0"/>
    <n v="0"/>
    <n v="0.16109999999999999"/>
    <n v="-0.33829999999999999"/>
    <n v="1.8E-3"/>
    <n v="-3.4468999999999999"/>
    <n v="4.5330000000000004"/>
    <n v="-0.72740000000000005"/>
    <n v="38"/>
    <n v="45.1"/>
    <n v="22"/>
    <n v="46"/>
    <n v="0"/>
    <n v="0"/>
    <n v="43.775500000000001"/>
    <n v="2724"/>
    <n v="0"/>
  </r>
  <r>
    <x v="1"/>
    <x v="0"/>
    <s v="SPX"/>
    <x v="9"/>
    <x v="189"/>
    <s v="p"/>
    <n v="40.9"/>
    <n v="50.1"/>
    <n v="32.049999999999997"/>
    <n v="46.7"/>
    <n v="46"/>
    <n v="148"/>
    <n v="46.2"/>
    <n v="65"/>
    <n v="46.9"/>
    <n v="0"/>
    <n v="0"/>
    <n v="0"/>
    <n v="0"/>
    <n v="0.16"/>
    <n v="-0.34670000000000001"/>
    <n v="1.9E-3"/>
    <n v="-3.4561000000000002"/>
    <n v="4.5735999999999999"/>
    <n v="-0.74560000000000004"/>
    <n v="78"/>
    <n v="46.4"/>
    <n v="94"/>
    <n v="47.4"/>
    <n v="0"/>
    <n v="0"/>
    <n v="43.678699999999999"/>
    <n v="745"/>
    <n v="0"/>
  </r>
  <r>
    <x v="1"/>
    <x v="0"/>
    <s v="SPX"/>
    <x v="9"/>
    <x v="190"/>
    <s v="p"/>
    <n v="37.799999999999997"/>
    <n v="53.42"/>
    <n v="36.200000000000003"/>
    <n v="50.98"/>
    <n v="37"/>
    <n v="128"/>
    <n v="47.6"/>
    <n v="88"/>
    <n v="48.3"/>
    <n v="0"/>
    <n v="0"/>
    <n v="0"/>
    <n v="0"/>
    <n v="0.159"/>
    <n v="-0.3553"/>
    <n v="1.9E-3"/>
    <n v="-3.4676"/>
    <n v="4.6131000000000002"/>
    <n v="-0.76459999999999995"/>
    <n v="23"/>
    <n v="47.8"/>
    <n v="22"/>
    <n v="48.6"/>
    <n v="0"/>
    <n v="0"/>
    <n v="42.603000000000002"/>
    <n v="884"/>
    <n v="0"/>
  </r>
  <r>
    <x v="1"/>
    <x v="0"/>
    <s v="SPX"/>
    <x v="9"/>
    <x v="191"/>
    <s v="p"/>
    <n v="40.119999999999997"/>
    <n v="61.84"/>
    <n v="34.82"/>
    <n v="48.37"/>
    <n v="204"/>
    <n v="122"/>
    <n v="48.9"/>
    <n v="72"/>
    <n v="49.6"/>
    <n v="0"/>
    <n v="0"/>
    <n v="0"/>
    <n v="0"/>
    <n v="0.15790000000000001"/>
    <n v="-0.36399999999999999"/>
    <n v="1.9E-3"/>
    <n v="-3.4744000000000002"/>
    <n v="4.6508000000000003"/>
    <n v="-0.78380000000000005"/>
    <n v="68"/>
    <n v="49.2"/>
    <n v="71"/>
    <n v="50.1"/>
    <n v="0"/>
    <n v="0"/>
    <n v="49.463000000000001"/>
    <n v="485"/>
    <n v="0"/>
  </r>
  <r>
    <x v="1"/>
    <x v="0"/>
    <s v="SPX"/>
    <x v="9"/>
    <x v="192"/>
    <s v="p"/>
    <n v="43.62"/>
    <n v="59.87"/>
    <n v="35.700000000000003"/>
    <n v="59.87"/>
    <n v="10"/>
    <n v="128"/>
    <n v="50.3"/>
    <n v="39"/>
    <n v="51"/>
    <n v="0"/>
    <n v="0"/>
    <n v="0"/>
    <n v="0"/>
    <n v="0.15690000000000001"/>
    <n v="-0.373"/>
    <n v="2E-3"/>
    <n v="-3.4803000000000002"/>
    <n v="4.6863000000000001"/>
    <n v="-0.80330000000000001"/>
    <n v="24"/>
    <n v="50.6"/>
    <n v="65"/>
    <n v="51.5"/>
    <n v="0"/>
    <n v="0"/>
    <n v="41.329000000000001"/>
    <n v="316"/>
    <n v="0"/>
  </r>
  <r>
    <x v="1"/>
    <x v="0"/>
    <s v="SPX"/>
    <x v="9"/>
    <x v="193"/>
    <s v="p"/>
    <n v="46.19"/>
    <n v="64.92"/>
    <n v="35.93"/>
    <n v="52"/>
    <n v="1740"/>
    <n v="155"/>
    <n v="51.7"/>
    <n v="86"/>
    <n v="52.5"/>
    <n v="0"/>
    <n v="0"/>
    <n v="0"/>
    <n v="0"/>
    <n v="0.15590000000000001"/>
    <n v="-0.3821"/>
    <n v="2E-3"/>
    <n v="-3.4851000000000001"/>
    <n v="4.7195"/>
    <n v="-0.82299999999999995"/>
    <n v="24"/>
    <n v="52.1"/>
    <n v="66"/>
    <n v="53"/>
    <n v="0"/>
    <n v="0"/>
    <n v="45.315100000000001"/>
    <n v="14856"/>
    <n v="0"/>
  </r>
  <r>
    <x v="1"/>
    <x v="0"/>
    <s v="SPX"/>
    <x v="9"/>
    <x v="194"/>
    <s v="p"/>
    <n v="45.25"/>
    <n v="68.48"/>
    <n v="40.020000000000003"/>
    <n v="65.2"/>
    <n v="25"/>
    <n v="102"/>
    <n v="53.3"/>
    <n v="85"/>
    <n v="54"/>
    <n v="0"/>
    <n v="0"/>
    <n v="0"/>
    <n v="0"/>
    <n v="0.15490000000000001"/>
    <n v="-0.39140000000000003"/>
    <n v="2E-3"/>
    <n v="-3.488"/>
    <n v="4.7507000000000001"/>
    <n v="-0.84299999999999997"/>
    <n v="23"/>
    <n v="53.6"/>
    <n v="60"/>
    <n v="54.5"/>
    <n v="0"/>
    <n v="0"/>
    <n v="53.180399999999999"/>
    <n v="366"/>
    <n v="0"/>
  </r>
  <r>
    <x v="1"/>
    <x v="0"/>
    <s v="SPX"/>
    <x v="9"/>
    <x v="195"/>
    <s v="p"/>
    <n v="46.5"/>
    <n v="61.68"/>
    <n v="42.63"/>
    <n v="55.3"/>
    <n v="340"/>
    <n v="120"/>
    <n v="54.8"/>
    <n v="57"/>
    <n v="55.5"/>
    <n v="0"/>
    <n v="0"/>
    <n v="0"/>
    <n v="0"/>
    <n v="0.15379999999999999"/>
    <n v="-0.40079999999999999"/>
    <n v="2E-3"/>
    <n v="-3.4866999999999999"/>
    <n v="4.7798999999999996"/>
    <n v="-0.86329999999999996"/>
    <n v="23"/>
    <n v="55.2"/>
    <n v="62"/>
    <n v="56.1"/>
    <n v="0"/>
    <n v="0"/>
    <n v="44.601399999999998"/>
    <n v="964"/>
    <n v="0"/>
  </r>
  <r>
    <x v="1"/>
    <x v="0"/>
    <s v="SPX"/>
    <x v="9"/>
    <x v="196"/>
    <s v="p"/>
    <n v="45.3"/>
    <n v="72.83"/>
    <n v="40.03"/>
    <n v="54.55"/>
    <n v="36"/>
    <n v="130"/>
    <n v="56.3"/>
    <n v="84"/>
    <n v="57.1"/>
    <n v="0"/>
    <n v="0"/>
    <n v="0"/>
    <n v="0"/>
    <n v="0.15279999999999999"/>
    <n v="-0.41049999999999998"/>
    <n v="2.0999999999999999E-3"/>
    <n v="-3.4861"/>
    <n v="4.8071999999999999"/>
    <n v="-0.88429999999999997"/>
    <n v="23"/>
    <n v="56.8"/>
    <n v="61"/>
    <n v="57.7"/>
    <n v="0"/>
    <n v="0"/>
    <n v="47.814399999999999"/>
    <n v="108"/>
    <n v="0"/>
  </r>
  <r>
    <x v="1"/>
    <x v="0"/>
    <s v="SPX"/>
    <x v="9"/>
    <x v="197"/>
    <s v="p"/>
    <n v="48.02"/>
    <n v="64.22"/>
    <n v="41.47"/>
    <n v="56.4"/>
    <n v="16"/>
    <n v="39"/>
    <n v="58"/>
    <n v="34"/>
    <n v="58.7"/>
    <n v="0"/>
    <n v="0"/>
    <n v="0"/>
    <n v="0"/>
    <n v="0.1517"/>
    <n v="-0.4204"/>
    <n v="2.0999999999999999E-3"/>
    <n v="-3.4802"/>
    <n v="4.8323999999999998"/>
    <n v="-0.90600000000000003"/>
    <n v="34"/>
    <n v="58.4"/>
    <n v="55"/>
    <n v="59.5"/>
    <n v="0"/>
    <n v="0"/>
    <n v="47.374400000000001"/>
    <n v="84"/>
    <n v="0"/>
  </r>
  <r>
    <x v="1"/>
    <x v="0"/>
    <s v="SPX"/>
    <x v="9"/>
    <x v="198"/>
    <s v="p"/>
    <n v="53.59"/>
    <n v="74.13"/>
    <n v="41.72"/>
    <n v="60.44"/>
    <n v="230"/>
    <n v="27"/>
    <n v="59.7"/>
    <n v="10"/>
    <n v="60.3"/>
    <n v="0"/>
    <n v="0"/>
    <n v="0"/>
    <n v="0"/>
    <n v="0.15060000000000001"/>
    <n v="-0.4304"/>
    <n v="2.0999999999999999E-3"/>
    <n v="-3.4727999999999999"/>
    <n v="4.8548"/>
    <n v="-0.92810000000000004"/>
    <n v="69"/>
    <n v="60.1"/>
    <n v="47"/>
    <n v="61"/>
    <n v="0"/>
    <n v="0"/>
    <n v="56.548999999999999"/>
    <n v="1296"/>
    <n v="0"/>
  </r>
  <r>
    <x v="1"/>
    <x v="0"/>
    <s v="SPX"/>
    <x v="9"/>
    <x v="199"/>
    <s v="p"/>
    <n v="46.47"/>
    <n v="74"/>
    <n v="43.96"/>
    <n v="62.75"/>
    <n v="153"/>
    <n v="49"/>
    <n v="61.4"/>
    <n v="10"/>
    <n v="62"/>
    <n v="0"/>
    <n v="0"/>
    <n v="0"/>
    <n v="0"/>
    <n v="0.14949999999999999"/>
    <n v="-0.44059999999999999"/>
    <n v="2.0999999999999999E-3"/>
    <n v="-3.4630000000000001"/>
    <n v="4.8745000000000003"/>
    <n v="-0.95050000000000001"/>
    <n v="56"/>
    <n v="61.9"/>
    <n v="59"/>
    <n v="62.8"/>
    <n v="0"/>
    <n v="0"/>
    <n v="59.693399999999997"/>
    <n v="104"/>
    <n v="0"/>
  </r>
  <r>
    <x v="1"/>
    <x v="0"/>
    <s v="SPX"/>
    <x v="9"/>
    <x v="200"/>
    <s v="p"/>
    <n v="51.3"/>
    <n v="76.2"/>
    <n v="51.3"/>
    <n v="66"/>
    <n v="6"/>
    <n v="11"/>
    <n v="63.2"/>
    <n v="10"/>
    <n v="63.8"/>
    <n v="0"/>
    <n v="0"/>
    <n v="0"/>
    <n v="0"/>
    <n v="0.1484"/>
    <n v="-0.45100000000000001"/>
    <n v="2.2000000000000001E-3"/>
    <n v="-3.4506999999999999"/>
    <n v="4.891"/>
    <n v="-0.97299999999999998"/>
    <n v="22"/>
    <n v="63.6"/>
    <n v="42"/>
    <n v="64.599999999999994"/>
    <n v="0"/>
    <n v="0"/>
    <n v="60.596699999999998"/>
    <n v="42"/>
    <n v="0"/>
  </r>
  <r>
    <x v="1"/>
    <x v="0"/>
    <s v="SPX"/>
    <x v="9"/>
    <x v="201"/>
    <s v="p"/>
    <n v="56.32"/>
    <n v="80.099999999999994"/>
    <n v="46.25"/>
    <n v="66.63"/>
    <n v="414"/>
    <n v="11"/>
    <n v="65"/>
    <n v="21"/>
    <n v="65.599999999999994"/>
    <n v="0"/>
    <n v="0"/>
    <n v="0"/>
    <n v="0"/>
    <n v="0.14729999999999999"/>
    <n v="-0.46150000000000002"/>
    <n v="2.2000000000000001E-3"/>
    <n v="-3.4359999999999999"/>
    <n v="4.9044999999999996"/>
    <n v="-0.99570000000000003"/>
    <n v="22"/>
    <n v="65.5"/>
    <n v="51"/>
    <n v="66.400000000000006"/>
    <n v="0"/>
    <n v="0"/>
    <n v="61.009500000000003"/>
    <n v="57"/>
    <n v="0"/>
  </r>
  <r>
    <x v="1"/>
    <x v="0"/>
    <s v="SPX"/>
    <x v="9"/>
    <x v="202"/>
    <s v="p"/>
    <n v="57.63"/>
    <n v="78.8"/>
    <n v="48.8"/>
    <n v="66.069999999999993"/>
    <n v="796"/>
    <n v="65"/>
    <n v="66.8"/>
    <n v="21"/>
    <n v="67.5"/>
    <n v="0"/>
    <n v="0"/>
    <n v="0"/>
    <n v="0"/>
    <n v="0.1464"/>
    <n v="-0.4723"/>
    <n v="2.2000000000000001E-3"/>
    <n v="-3.4209999999999998"/>
    <n v="4.9149000000000003"/>
    <n v="-1.0187999999999999"/>
    <n v="22"/>
    <n v="67.400000000000006"/>
    <n v="56"/>
    <n v="68.3"/>
    <n v="0"/>
    <n v="0"/>
    <n v="69.8874"/>
    <n v="382"/>
    <n v="0"/>
  </r>
  <r>
    <x v="1"/>
    <x v="0"/>
    <s v="SPX"/>
    <x v="9"/>
    <x v="203"/>
    <s v="p"/>
    <n v="59.5"/>
    <n v="85"/>
    <n v="48.4"/>
    <n v="70.42"/>
    <n v="1825"/>
    <n v="11"/>
    <n v="68.8"/>
    <n v="26"/>
    <n v="69.400000000000006"/>
    <n v="0"/>
    <n v="0"/>
    <n v="0"/>
    <n v="0"/>
    <n v="0.14530000000000001"/>
    <n v="-0.48320000000000002"/>
    <n v="2.2000000000000001E-3"/>
    <n v="-3.4007999999999998"/>
    <n v="4.9221000000000004"/>
    <n v="-1.0426"/>
    <n v="46"/>
    <n v="69.3"/>
    <n v="41"/>
    <n v="70.400000000000006"/>
    <n v="0"/>
    <n v="0"/>
    <n v="63.140999999999998"/>
    <n v="5017"/>
    <n v="0"/>
  </r>
  <r>
    <x v="1"/>
    <x v="0"/>
    <s v="SPX"/>
    <x v="9"/>
    <x v="204"/>
    <s v="p"/>
    <n v="59.37"/>
    <n v="84.15"/>
    <n v="59.37"/>
    <n v="72.42"/>
    <n v="564"/>
    <n v="31"/>
    <n v="70.7"/>
    <n v="20"/>
    <n v="71.400000000000006"/>
    <n v="0"/>
    <n v="0"/>
    <n v="0"/>
    <n v="0"/>
    <n v="0.14430000000000001"/>
    <n v="-0.49419999999999997"/>
    <n v="2.2000000000000001E-3"/>
    <n v="-3.38"/>
    <n v="4.9259000000000004"/>
    <n v="-1.0669999999999999"/>
    <n v="32"/>
    <n v="71.3"/>
    <n v="40"/>
    <n v="72.400000000000006"/>
    <n v="0"/>
    <n v="0"/>
    <n v="72.510000000000005"/>
    <n v="45"/>
    <n v="0"/>
  </r>
  <r>
    <x v="1"/>
    <x v="0"/>
    <s v="SPX"/>
    <x v="9"/>
    <x v="205"/>
    <s v="p"/>
    <n v="63.17"/>
    <n v="75.7"/>
    <n v="51.8"/>
    <n v="71.77"/>
    <n v="35"/>
    <n v="31"/>
    <n v="72.5"/>
    <n v="10"/>
    <n v="73.400000000000006"/>
    <n v="0"/>
    <n v="0"/>
    <n v="0"/>
    <n v="0"/>
    <n v="0.14299999999999999"/>
    <n v="-0.50549999999999995"/>
    <n v="2.3E-3"/>
    <n v="-3.3489"/>
    <n v="4.9260000000000002"/>
    <n v="-1.0918000000000001"/>
    <n v="32"/>
    <n v="73.400000000000006"/>
    <n v="30"/>
    <n v="74.5"/>
    <n v="0"/>
    <n v="0"/>
    <n v="66.632000000000005"/>
    <n v="93"/>
    <n v="0"/>
  </r>
  <r>
    <x v="1"/>
    <x v="0"/>
    <s v="SPX"/>
    <x v="9"/>
    <x v="206"/>
    <s v="p"/>
    <n v="67.5"/>
    <n v="76"/>
    <n v="54.03"/>
    <n v="76"/>
    <n v="65"/>
    <n v="31"/>
    <n v="74.599999999999994"/>
    <n v="10"/>
    <n v="75.5"/>
    <n v="0"/>
    <n v="0"/>
    <n v="0"/>
    <n v="0"/>
    <n v="0.1419"/>
    <n v="-0.51690000000000003"/>
    <n v="2.3E-3"/>
    <n v="-3.3216999999999999"/>
    <n v="4.9223999999999997"/>
    <n v="-1.1167"/>
    <n v="22"/>
    <n v="75.5"/>
    <n v="30"/>
    <n v="76.599999999999994"/>
    <n v="0"/>
    <n v="0"/>
    <n v="66.800899999999999"/>
    <n v="26"/>
    <n v="0"/>
  </r>
  <r>
    <x v="1"/>
    <x v="0"/>
    <s v="SPX"/>
    <x v="9"/>
    <x v="207"/>
    <s v="p"/>
    <n v="67.900000000000006"/>
    <n v="82.5"/>
    <n v="56.66"/>
    <n v="77.31"/>
    <n v="84"/>
    <n v="72"/>
    <n v="76.7"/>
    <n v="10"/>
    <n v="77.599999999999994"/>
    <n v="0"/>
    <n v="0"/>
    <n v="0"/>
    <n v="0"/>
    <n v="0.14080000000000001"/>
    <n v="-0.52839999999999998"/>
    <n v="2.3E-3"/>
    <n v="-3.2888999999999999"/>
    <n v="4.9149000000000003"/>
    <n v="-1.1416999999999999"/>
    <n v="22"/>
    <n v="77.7"/>
    <n v="20"/>
    <n v="78.7"/>
    <n v="0"/>
    <n v="0"/>
    <n v="74.0458"/>
    <n v="87"/>
    <n v="0"/>
  </r>
  <r>
    <x v="1"/>
    <x v="0"/>
    <s v="SPX"/>
    <x v="9"/>
    <x v="208"/>
    <s v="p"/>
    <n v="70.400000000000006"/>
    <n v="98.23"/>
    <n v="58.42"/>
    <n v="77.739999999999995"/>
    <n v="79"/>
    <n v="47"/>
    <n v="78.900000000000006"/>
    <n v="10"/>
    <n v="79.8"/>
    <n v="0"/>
    <n v="0"/>
    <n v="0"/>
    <n v="0"/>
    <n v="0.13969999999999999"/>
    <n v="-0.54010000000000002"/>
    <n v="2.3E-3"/>
    <n v="-3.2551000000000001"/>
    <n v="4.9034000000000004"/>
    <n v="-1.1669"/>
    <n v="32"/>
    <n v="79.900000000000006"/>
    <n v="30"/>
    <n v="81"/>
    <n v="0"/>
    <n v="0"/>
    <n v="70.032899999999998"/>
    <n v="688"/>
    <n v="0"/>
  </r>
  <r>
    <x v="1"/>
    <x v="0"/>
    <s v="SPX"/>
    <x v="9"/>
    <x v="209"/>
    <s v="p"/>
    <n v="72.2"/>
    <n v="84.25"/>
    <n v="63.6"/>
    <n v="81.099999999999994"/>
    <n v="59"/>
    <n v="30"/>
    <n v="81.2"/>
    <n v="10"/>
    <n v="82.1"/>
    <n v="0"/>
    <n v="0"/>
    <n v="0"/>
    <n v="0"/>
    <n v="0.13880000000000001"/>
    <n v="-0.55189999999999995"/>
    <n v="2.3E-3"/>
    <n v="-3.2204000000000002"/>
    <n v="4.8876999999999997"/>
    <n v="-1.1924999999999999"/>
    <n v="22"/>
    <n v="81.8"/>
    <n v="40"/>
    <n v="83.5"/>
    <n v="0"/>
    <n v="0"/>
    <n v="70.764700000000005"/>
    <n v="77"/>
    <n v="0"/>
  </r>
  <r>
    <x v="1"/>
    <x v="0"/>
    <s v="SPX"/>
    <x v="9"/>
    <x v="210"/>
    <s v="p"/>
    <n v="67.930000000000007"/>
    <n v="85.57"/>
    <n v="61"/>
    <n v="85.57"/>
    <n v="38"/>
    <n v="55"/>
    <n v="83.5"/>
    <n v="35"/>
    <n v="84.5"/>
    <n v="0"/>
    <n v="0"/>
    <n v="0"/>
    <n v="0"/>
    <n v="0.13800000000000001"/>
    <n v="-0.56369999999999998"/>
    <n v="2.3E-3"/>
    <n v="-3.1869999999999998"/>
    <n v="4.8676000000000004"/>
    <n v="-1.2185999999999999"/>
    <n v="12"/>
    <n v="84.2"/>
    <n v="20"/>
    <n v="85.8"/>
    <n v="0"/>
    <n v="0"/>
    <n v="67.431799999999996"/>
    <n v="181"/>
    <n v="0"/>
  </r>
  <r>
    <x v="1"/>
    <x v="0"/>
    <s v="SPX"/>
    <x v="9"/>
    <x v="211"/>
    <s v="p"/>
    <n v="76.55"/>
    <n v="76.55"/>
    <n v="62.2"/>
    <n v="70.510000000000005"/>
    <n v="41"/>
    <n v="30"/>
    <n v="85.9"/>
    <n v="20"/>
    <n v="86.9"/>
    <n v="0"/>
    <n v="0"/>
    <n v="0"/>
    <n v="0"/>
    <n v="0.13700000000000001"/>
    <n v="-0.57569999999999999"/>
    <n v="2.3E-3"/>
    <n v="-3.145"/>
    <n v="4.8428000000000004"/>
    <n v="-1.2452000000000001"/>
    <n v="22"/>
    <n v="86.6"/>
    <n v="30"/>
    <n v="88.2"/>
    <n v="0"/>
    <n v="0"/>
    <n v="69.946100000000001"/>
    <n v="68"/>
    <n v="0"/>
  </r>
  <r>
    <x v="1"/>
    <x v="0"/>
    <s v="SPX"/>
    <x v="9"/>
    <x v="212"/>
    <s v="p"/>
    <n v="65.05"/>
    <n v="95.5"/>
    <n v="64.930000000000007"/>
    <n v="88.25"/>
    <n v="129"/>
    <n v="45"/>
    <n v="88.3"/>
    <n v="54"/>
    <n v="89.4"/>
    <n v="0"/>
    <n v="0"/>
    <n v="0"/>
    <n v="0"/>
    <n v="0.1358"/>
    <n v="-0.58789999999999998"/>
    <n v="2.3E-3"/>
    <n v="-3.0968"/>
    <n v="4.8133999999999997"/>
    <n v="-1.272"/>
    <n v="30"/>
    <n v="89"/>
    <n v="20"/>
    <n v="90.7"/>
    <n v="0"/>
    <n v="0"/>
    <n v="65.7774"/>
    <n v="121"/>
    <n v="0"/>
  </r>
  <r>
    <x v="1"/>
    <x v="0"/>
    <s v="SPX"/>
    <x v="9"/>
    <x v="213"/>
    <s v="p"/>
    <n v="81"/>
    <n v="109.09"/>
    <n v="66.72"/>
    <n v="89.52"/>
    <n v="2110"/>
    <n v="10"/>
    <n v="90.9"/>
    <n v="51"/>
    <n v="91.9"/>
    <n v="0"/>
    <n v="0"/>
    <n v="0"/>
    <n v="0"/>
    <n v="0.13469999999999999"/>
    <n v="-0.60019999999999996"/>
    <n v="2.3E-3"/>
    <n v="-3.0472999999999999"/>
    <n v="4.7797999999999998"/>
    <n v="-1.2985"/>
    <n v="20"/>
    <n v="91.6"/>
    <n v="20"/>
    <n v="93.2"/>
    <n v="0"/>
    <n v="0"/>
    <n v="92.656700000000001"/>
    <n v="3347"/>
    <n v="0"/>
  </r>
  <r>
    <x v="1"/>
    <x v="0"/>
    <s v="SPX"/>
    <x v="9"/>
    <x v="214"/>
    <s v="p"/>
    <n v="82.98"/>
    <n v="82.98"/>
    <n v="82.98"/>
    <n v="82.98"/>
    <n v="1"/>
    <n v="45"/>
    <n v="93.4"/>
    <n v="45"/>
    <n v="94.5"/>
    <n v="0"/>
    <n v="0"/>
    <n v="0"/>
    <n v="0"/>
    <n v="0.13370000000000001"/>
    <n v="-0.61250000000000004"/>
    <n v="2.3E-3"/>
    <n v="-2.9965999999999999"/>
    <n v="4.742"/>
    <n v="-1.3250999999999999"/>
    <n v="20"/>
    <n v="94.2"/>
    <n v="20"/>
    <n v="95.8"/>
    <n v="0"/>
    <n v="0"/>
    <n v="82.98"/>
    <n v="12"/>
    <n v="0"/>
  </r>
  <r>
    <x v="1"/>
    <x v="0"/>
    <s v="SPX"/>
    <x v="9"/>
    <x v="215"/>
    <s v="p"/>
    <n v="74.63"/>
    <n v="93.38"/>
    <n v="74.099999999999994"/>
    <n v="93.38"/>
    <n v="24"/>
    <n v="30"/>
    <n v="96.1"/>
    <n v="20"/>
    <n v="97.3"/>
    <n v="0"/>
    <n v="0"/>
    <n v="0"/>
    <n v="0"/>
    <n v="0.1326"/>
    <n v="-0.62490000000000001"/>
    <n v="2.3E-3"/>
    <n v="-2.9396"/>
    <n v="4.6985000000000001"/>
    <n v="-1.3524"/>
    <n v="31"/>
    <n v="96.9"/>
    <n v="20"/>
    <n v="98.5"/>
    <n v="0"/>
    <n v="0"/>
    <n v="76.200800000000001"/>
    <n v="704"/>
    <n v="0"/>
  </r>
  <r>
    <x v="1"/>
    <x v="0"/>
    <s v="SPX"/>
    <x v="9"/>
    <x v="216"/>
    <s v="p"/>
    <n v="0"/>
    <n v="0"/>
    <n v="0"/>
    <n v="0"/>
    <n v="0"/>
    <n v="30"/>
    <n v="98.8"/>
    <n v="20"/>
    <n v="99.9"/>
    <n v="0"/>
    <n v="0"/>
    <n v="0"/>
    <n v="0"/>
    <n v="0.13159999999999999"/>
    <n v="-0.63729999999999998"/>
    <n v="2.3E-3"/>
    <n v="-2.8839000000000001"/>
    <n v="4.6500000000000004"/>
    <n v="-1.3797999999999999"/>
    <n v="20"/>
    <n v="99.6"/>
    <n v="16"/>
    <n v="101.3"/>
    <n v="0"/>
    <n v="0"/>
    <n v="0"/>
    <n v="40"/>
    <n v="0"/>
  </r>
  <r>
    <x v="1"/>
    <x v="0"/>
    <s v="SPX"/>
    <x v="9"/>
    <x v="217"/>
    <s v="p"/>
    <n v="84.45"/>
    <n v="101.22"/>
    <n v="84.45"/>
    <n v="101.22"/>
    <n v="2"/>
    <n v="27"/>
    <n v="101.6"/>
    <n v="10"/>
    <n v="102.6"/>
    <n v="0"/>
    <n v="0"/>
    <n v="0"/>
    <n v="0"/>
    <n v="0.1305"/>
    <n v="-0.64990000000000003"/>
    <n v="2.3E-3"/>
    <n v="-2.8216000000000001"/>
    <n v="4.5956000000000001"/>
    <n v="-1.4077"/>
    <n v="17"/>
    <n v="101.8"/>
    <n v="18"/>
    <n v="104.8"/>
    <n v="0"/>
    <n v="0"/>
    <n v="92.834999999999994"/>
    <n v="44"/>
    <n v="0"/>
  </r>
  <r>
    <x v="1"/>
    <x v="0"/>
    <s v="SPX"/>
    <x v="9"/>
    <x v="218"/>
    <s v="p"/>
    <n v="80.16"/>
    <n v="125.73"/>
    <n v="80.16"/>
    <n v="101.44"/>
    <n v="33"/>
    <n v="61"/>
    <n v="104"/>
    <n v="71"/>
    <n v="105.9"/>
    <n v="0"/>
    <n v="0"/>
    <n v="0"/>
    <n v="0"/>
    <n v="0.1298"/>
    <n v="-0.66200000000000003"/>
    <n v="2.3E-3"/>
    <n v="-2.7665999999999999"/>
    <n v="4.5389999999999997"/>
    <n v="-1.4341999999999999"/>
    <n v="27"/>
    <n v="104.7"/>
    <n v="28"/>
    <n v="107.7"/>
    <n v="0"/>
    <n v="0"/>
    <n v="93.641499999999994"/>
    <n v="130"/>
    <n v="0"/>
  </r>
  <r>
    <x v="1"/>
    <x v="0"/>
    <s v="SPX"/>
    <x v="9"/>
    <x v="219"/>
    <s v="p"/>
    <n v="90.83"/>
    <n v="104.27"/>
    <n v="80.31"/>
    <n v="104.27"/>
    <n v="5"/>
    <n v="72"/>
    <n v="106.8"/>
    <n v="21"/>
    <n v="108.6"/>
    <n v="0"/>
    <n v="0"/>
    <n v="0"/>
    <n v="0"/>
    <n v="0.1285"/>
    <n v="-0.67479999999999996"/>
    <n v="2.3E-3"/>
    <n v="-2.6922000000000001"/>
    <n v="4.4748000000000001"/>
    <n v="-1.462"/>
    <n v="19"/>
    <n v="107.6"/>
    <n v="18"/>
    <n v="110.7"/>
    <n v="0"/>
    <n v="0"/>
    <n v="89.366"/>
    <n v="53"/>
    <n v="0"/>
  </r>
  <r>
    <x v="1"/>
    <x v="0"/>
    <s v="SPX"/>
    <x v="9"/>
    <x v="220"/>
    <s v="p"/>
    <n v="112.12"/>
    <n v="118.13"/>
    <n v="108.52"/>
    <n v="111.76"/>
    <n v="12"/>
    <n v="37"/>
    <n v="109.9"/>
    <n v="22"/>
    <n v="111.6"/>
    <n v="0"/>
    <n v="0"/>
    <n v="0"/>
    <n v="0"/>
    <n v="0.12759999999999999"/>
    <n v="-0.68720000000000003"/>
    <n v="2.2000000000000001E-3"/>
    <n v="-2.6271"/>
    <n v="4.4081999999999999"/>
    <n v="-1.4890000000000001"/>
    <n v="2"/>
    <n v="110.6"/>
    <n v="2"/>
    <n v="114"/>
    <n v="0"/>
    <n v="0"/>
    <n v="111.83329999999999"/>
    <n v="6"/>
    <n v="0"/>
  </r>
  <r>
    <x v="1"/>
    <x v="0"/>
    <s v="SPX"/>
    <x v="9"/>
    <x v="221"/>
    <s v="p"/>
    <n v="97.47"/>
    <n v="111.28"/>
    <n v="97.47"/>
    <n v="111.28"/>
    <n v="3"/>
    <n v="61"/>
    <n v="112.8"/>
    <n v="54"/>
    <n v="114.9"/>
    <n v="0"/>
    <n v="0"/>
    <n v="0"/>
    <n v="0"/>
    <n v="0.12659999999999999"/>
    <n v="-0.69969999999999999"/>
    <n v="2.2000000000000001E-3"/>
    <n v="-2.5568"/>
    <n v="4.3346999999999998"/>
    <n v="-1.5166999999999999"/>
    <n v="17"/>
    <n v="113.8"/>
    <n v="18"/>
    <n v="116.5"/>
    <n v="0"/>
    <n v="0"/>
    <n v="106.2533"/>
    <n v="54"/>
    <n v="0"/>
  </r>
  <r>
    <x v="1"/>
    <x v="0"/>
    <s v="SPX"/>
    <x v="9"/>
    <x v="222"/>
    <s v="p"/>
    <n v="100.03"/>
    <n v="134.21"/>
    <n v="100.03"/>
    <n v="116.59"/>
    <n v="93"/>
    <n v="36"/>
    <n v="115.9"/>
    <n v="29"/>
    <n v="118.1"/>
    <n v="0"/>
    <n v="0"/>
    <n v="0"/>
    <n v="0"/>
    <n v="0.12570000000000001"/>
    <n v="-0.7117"/>
    <n v="2.2000000000000001E-3"/>
    <n v="-2.4876999999999998"/>
    <n v="4.2577999999999996"/>
    <n v="-1.5436000000000001"/>
    <n v="2"/>
    <n v="116.5"/>
    <n v="14"/>
    <n v="119.7"/>
    <n v="0"/>
    <n v="0"/>
    <n v="106.5067"/>
    <n v="14"/>
    <n v="0"/>
  </r>
  <r>
    <x v="1"/>
    <x v="0"/>
    <s v="SPX"/>
    <x v="9"/>
    <x v="223"/>
    <s v="p"/>
    <n v="96.5"/>
    <n v="129.85"/>
    <n v="92.91"/>
    <n v="119.84"/>
    <n v="100"/>
    <n v="47"/>
    <n v="119.1"/>
    <n v="20"/>
    <n v="120.9"/>
    <n v="0"/>
    <n v="0"/>
    <n v="0"/>
    <n v="0"/>
    <n v="0.1241"/>
    <n v="-0.72519999999999996"/>
    <n v="2.2000000000000001E-3"/>
    <n v="-2.3953000000000002"/>
    <n v="4.1668000000000003"/>
    <n v="-1.5730999999999999"/>
    <n v="15"/>
    <n v="120.3"/>
    <n v="15"/>
    <n v="123"/>
    <n v="0"/>
    <n v="0"/>
    <n v="109.55"/>
    <n v="703"/>
    <n v="0"/>
  </r>
  <r>
    <x v="1"/>
    <x v="0"/>
    <s v="SPX"/>
    <x v="9"/>
    <x v="224"/>
    <s v="p"/>
    <n v="0"/>
    <n v="0"/>
    <n v="0"/>
    <n v="0"/>
    <n v="0"/>
    <n v="40"/>
    <n v="122.6"/>
    <n v="19"/>
    <n v="124.5"/>
    <n v="0"/>
    <n v="0"/>
    <n v="0"/>
    <n v="0"/>
    <n v="0.12379999999999999"/>
    <n v="-0.73619999999999997"/>
    <n v="2.0999999999999999E-3"/>
    <n v="-2.3374999999999999"/>
    <n v="4.0884999999999998"/>
    <n v="-1.5971"/>
    <n v="2"/>
    <n v="123.3"/>
    <n v="2"/>
    <n v="126.9"/>
    <n v="0"/>
    <n v="0"/>
    <n v="0"/>
    <n v="23"/>
    <n v="0"/>
  </r>
  <r>
    <x v="1"/>
    <x v="0"/>
    <s v="SPX"/>
    <x v="9"/>
    <x v="225"/>
    <s v="p"/>
    <n v="124.38"/>
    <n v="139.16999999999999"/>
    <n v="124.38"/>
    <n v="139.16999999999999"/>
    <n v="3"/>
    <n v="47"/>
    <n v="125.9"/>
    <n v="20"/>
    <n v="127.8"/>
    <n v="0"/>
    <n v="0"/>
    <n v="0"/>
    <n v="0"/>
    <n v="0.1231"/>
    <n v="-0.74739999999999995"/>
    <n v="2.0999999999999999E-3"/>
    <n v="-2.2683"/>
    <n v="4.0049000000000001"/>
    <n v="-1.6217999999999999"/>
    <n v="15"/>
    <n v="126.7"/>
    <n v="16"/>
    <n v="130"/>
    <n v="0"/>
    <n v="0"/>
    <n v="129.6"/>
    <n v="14"/>
    <n v="0"/>
  </r>
  <r>
    <x v="1"/>
    <x v="0"/>
    <s v="SPX"/>
    <x v="9"/>
    <x v="226"/>
    <s v="p"/>
    <n v="106.29"/>
    <n v="128.78"/>
    <n v="106.29"/>
    <n v="128.78"/>
    <n v="3"/>
    <n v="47"/>
    <n v="129.30000000000001"/>
    <n v="19"/>
    <n v="131.30000000000001"/>
    <n v="0"/>
    <n v="0"/>
    <n v="0"/>
    <n v="0"/>
    <n v="0.1217"/>
    <n v="-0.76049999999999995"/>
    <n v="2.0999999999999999E-3"/>
    <n v="-2.1762000000000001"/>
    <n v="3.9005000000000001"/>
    <n v="-1.6508"/>
    <n v="2"/>
    <n v="130.1"/>
    <n v="2"/>
    <n v="133.80000000000001"/>
    <n v="0"/>
    <n v="0"/>
    <n v="114.11"/>
    <n v="108"/>
    <n v="0"/>
  </r>
  <r>
    <x v="1"/>
    <x v="0"/>
    <s v="SPX"/>
    <x v="9"/>
    <x v="227"/>
    <s v="p"/>
    <n v="134.16"/>
    <n v="140.44"/>
    <n v="132.69999999999999"/>
    <n v="132.69999999999999"/>
    <n v="4"/>
    <n v="40"/>
    <n v="132.69999999999999"/>
    <n v="19"/>
    <n v="134.80000000000001"/>
    <n v="0"/>
    <n v="0"/>
    <n v="0"/>
    <n v="0"/>
    <n v="0.1211"/>
    <n v="-0.77129999999999999"/>
    <n v="2E-3"/>
    <n v="-2.1053000000000002"/>
    <n v="3.8077000000000001"/>
    <n v="-1.6751"/>
    <n v="2"/>
    <n v="133.6"/>
    <n v="2"/>
    <n v="137.30000000000001"/>
    <n v="0"/>
    <n v="0"/>
    <n v="135.8775"/>
    <n v="28"/>
    <n v="0"/>
  </r>
  <r>
    <x v="1"/>
    <x v="0"/>
    <s v="SPX"/>
    <x v="9"/>
    <x v="228"/>
    <s v="p"/>
    <n v="107.96"/>
    <n v="107.96"/>
    <n v="107.96"/>
    <n v="107.96"/>
    <n v="1"/>
    <n v="40"/>
    <n v="136.30000000000001"/>
    <n v="19"/>
    <n v="138.30000000000001"/>
    <n v="0"/>
    <n v="0"/>
    <n v="0"/>
    <n v="0"/>
    <n v="0.1202"/>
    <n v="-0.78249999999999997"/>
    <n v="2E-3"/>
    <n v="-2.0272000000000001"/>
    <n v="3.7069999999999999"/>
    <n v="-1.7"/>
    <n v="2"/>
    <n v="137.1"/>
    <n v="2"/>
    <n v="140.9"/>
    <n v="0"/>
    <n v="0"/>
    <n v="107.96"/>
    <n v="43"/>
    <n v="0"/>
  </r>
  <r>
    <x v="1"/>
    <x v="0"/>
    <s v="SPX"/>
    <x v="9"/>
    <x v="229"/>
    <s v="p"/>
    <n v="122.5"/>
    <n v="122.5"/>
    <n v="122.5"/>
    <n v="122.5"/>
    <n v="8"/>
    <n v="47"/>
    <n v="139.9"/>
    <n v="19"/>
    <n v="142"/>
    <n v="0"/>
    <n v="0"/>
    <n v="0"/>
    <n v="0"/>
    <n v="0.1186"/>
    <n v="-0.79600000000000004"/>
    <n v="1.9E-3"/>
    <n v="-1.9202999999999999"/>
    <n v="3.5817000000000001"/>
    <n v="-1.7291000000000001"/>
    <n v="2"/>
    <n v="140.80000000000001"/>
    <n v="2"/>
    <n v="144.6"/>
    <n v="0"/>
    <n v="0"/>
    <n v="122.5"/>
    <n v="16"/>
    <n v="0"/>
  </r>
  <r>
    <x v="1"/>
    <x v="0"/>
    <s v="SPX"/>
    <x v="9"/>
    <x v="230"/>
    <s v="p"/>
    <n v="0"/>
    <n v="0"/>
    <n v="0"/>
    <n v="0"/>
    <n v="0"/>
    <n v="29"/>
    <n v="143.4"/>
    <n v="34"/>
    <n v="145.69999999999999"/>
    <n v="0"/>
    <n v="0"/>
    <n v="0"/>
    <n v="0"/>
    <n v="0.1173"/>
    <n v="-0.80789999999999995"/>
    <n v="1.9E-3"/>
    <n v="-1.8263"/>
    <n v="3.4641000000000002"/>
    <n v="-1.7557"/>
    <n v="2"/>
    <n v="144.4"/>
    <n v="2"/>
    <n v="148.4"/>
    <n v="0"/>
    <n v="0"/>
    <n v="0"/>
    <n v="1"/>
    <n v="0"/>
  </r>
  <r>
    <x v="1"/>
    <x v="0"/>
    <s v="SPX"/>
    <x v="9"/>
    <x v="231"/>
    <s v="p"/>
    <n v="123.14"/>
    <n v="151.6"/>
    <n v="123.14"/>
    <n v="151.6"/>
    <n v="4"/>
    <n v="19"/>
    <n v="147.1"/>
    <n v="9"/>
    <n v="149.4"/>
    <n v="0"/>
    <n v="0"/>
    <n v="0"/>
    <n v="0"/>
    <n v="0.11609999999999999"/>
    <n v="-0.81950000000000001"/>
    <n v="1.8E-3"/>
    <n v="-1.7338"/>
    <n v="3.3422999999999998"/>
    <n v="-1.7817000000000001"/>
    <n v="2"/>
    <n v="148.19999999999999"/>
    <n v="2"/>
    <n v="152.19999999999999"/>
    <n v="0"/>
    <n v="0"/>
    <n v="137.37"/>
    <n v="9"/>
    <n v="0"/>
  </r>
  <r>
    <x v="1"/>
    <x v="0"/>
    <s v="SPX"/>
    <x v="9"/>
    <x v="232"/>
    <s v="p"/>
    <n v="0"/>
    <n v="0"/>
    <n v="0"/>
    <n v="0"/>
    <n v="0"/>
    <n v="18"/>
    <n v="151"/>
    <n v="8"/>
    <n v="153.19999999999999"/>
    <n v="0"/>
    <n v="0"/>
    <n v="0"/>
    <n v="0"/>
    <n v="0.1159"/>
    <n v="-0.82840000000000003"/>
    <n v="1.8E-3"/>
    <n v="-1.6711"/>
    <n v="3.2435999999999998"/>
    <n v="-1.8017000000000001"/>
    <n v="2"/>
    <n v="151.6"/>
    <n v="2"/>
    <n v="155.6"/>
    <n v="0"/>
    <n v="0"/>
    <n v="0"/>
    <n v="5"/>
    <n v="0"/>
  </r>
  <r>
    <x v="1"/>
    <x v="0"/>
    <s v="SPX"/>
    <x v="9"/>
    <x v="233"/>
    <s v="p"/>
    <n v="173.21"/>
    <n v="173.21"/>
    <n v="173.21"/>
    <n v="173.21"/>
    <n v="1"/>
    <n v="18"/>
    <n v="154.80000000000001"/>
    <n v="8"/>
    <n v="157.1"/>
    <n v="0"/>
    <n v="0"/>
    <n v="0"/>
    <n v="0"/>
    <n v="0.11409999999999999"/>
    <n v="-0.84119999999999995"/>
    <n v="1.6999999999999999E-3"/>
    <n v="-1.5588"/>
    <n v="3.0981000000000001"/>
    <n v="-1.8294999999999999"/>
    <n v="2"/>
    <n v="156.19999999999999"/>
    <n v="2"/>
    <n v="159.6"/>
    <n v="0"/>
    <n v="0"/>
    <n v="173.21"/>
    <n v="118"/>
    <n v="0"/>
  </r>
  <r>
    <x v="1"/>
    <x v="0"/>
    <s v="SPX"/>
    <x v="9"/>
    <x v="234"/>
    <s v="p"/>
    <n v="0"/>
    <n v="0"/>
    <n v="0"/>
    <n v="0"/>
    <n v="0"/>
    <n v="18"/>
    <n v="158.80000000000001"/>
    <n v="8"/>
    <n v="161.1"/>
    <n v="0"/>
    <n v="0"/>
    <n v="0"/>
    <n v="0"/>
    <n v="0.11310000000000001"/>
    <n v="-0.85160000000000002"/>
    <n v="1.6999999999999999E-3"/>
    <n v="-1.4724999999999999"/>
    <n v="2.9742999999999999"/>
    <n v="-1.8526"/>
    <n v="2"/>
    <n v="159.80000000000001"/>
    <n v="2"/>
    <n v="164"/>
    <n v="0"/>
    <n v="0"/>
    <n v="0"/>
    <n v="6"/>
    <n v="0"/>
  </r>
  <r>
    <x v="1"/>
    <x v="0"/>
    <s v="SPX"/>
    <x v="9"/>
    <x v="235"/>
    <s v="p"/>
    <n v="165.15"/>
    <n v="165.15"/>
    <n v="164.46"/>
    <n v="164.46"/>
    <n v="2"/>
    <n v="18"/>
    <n v="162.80000000000001"/>
    <n v="8"/>
    <n v="165"/>
    <n v="0"/>
    <n v="0"/>
    <n v="0"/>
    <n v="0"/>
    <n v="0.1118"/>
    <n v="-0.86229999999999996"/>
    <n v="1.6000000000000001E-3"/>
    <n v="-1.3777999999999999"/>
    <n v="2.8389000000000002"/>
    <n v="-1.8768"/>
    <n v="2"/>
    <n v="163.30000000000001"/>
    <n v="2"/>
    <n v="167.6"/>
    <n v="0"/>
    <n v="0"/>
    <n v="164.80500000000001"/>
    <n v="14"/>
    <n v="0"/>
  </r>
  <r>
    <x v="1"/>
    <x v="0"/>
    <s v="SPX"/>
    <x v="9"/>
    <x v="236"/>
    <s v="p"/>
    <n v="0"/>
    <n v="0"/>
    <n v="0"/>
    <n v="0"/>
    <n v="0"/>
    <n v="12"/>
    <n v="166.6"/>
    <n v="11"/>
    <n v="169.2"/>
    <n v="0"/>
    <n v="0"/>
    <n v="0"/>
    <n v="0"/>
    <n v="0.1113"/>
    <n v="-0.87070000000000003"/>
    <n v="1.5E-3"/>
    <n v="-1.3077000000000001"/>
    <n v="2.7263999999999999"/>
    <n v="-1.8959999999999999"/>
    <n v="2"/>
    <n v="167.8"/>
    <n v="2"/>
    <n v="172.2"/>
    <n v="0"/>
    <n v="0"/>
    <n v="0"/>
    <n v="5"/>
    <n v="0"/>
  </r>
  <r>
    <x v="1"/>
    <x v="0"/>
    <s v="SPX"/>
    <x v="9"/>
    <x v="237"/>
    <s v="p"/>
    <n v="0"/>
    <n v="0"/>
    <n v="0"/>
    <n v="0"/>
    <n v="0"/>
    <n v="12"/>
    <n v="170.8"/>
    <n v="12"/>
    <n v="173.4"/>
    <n v="0"/>
    <n v="0"/>
    <n v="0"/>
    <n v="0"/>
    <n v="0.1105"/>
    <n v="-0.87980000000000003"/>
    <n v="1.5E-3"/>
    <n v="-1.2292000000000001"/>
    <n v="2.6027"/>
    <n v="-1.9159999999999999"/>
    <n v="2"/>
    <n v="171.9"/>
    <n v="2"/>
    <n v="176.4"/>
    <n v="0"/>
    <n v="0"/>
    <n v="0"/>
    <n v="3"/>
    <n v="0"/>
  </r>
  <r>
    <x v="1"/>
    <x v="0"/>
    <s v="SPX"/>
    <x v="9"/>
    <x v="238"/>
    <s v="p"/>
    <n v="0"/>
    <n v="0"/>
    <n v="0"/>
    <n v="0"/>
    <n v="0"/>
    <n v="12"/>
    <n v="175"/>
    <n v="9"/>
    <n v="177.5"/>
    <n v="0"/>
    <n v="0"/>
    <n v="0"/>
    <n v="0"/>
    <n v="0.10929999999999999"/>
    <n v="-0.88939999999999997"/>
    <n v="1.4E-3"/>
    <n v="-1.1396999999999999"/>
    <n v="2.4664000000000001"/>
    <n v="-1.9375"/>
    <n v="2"/>
    <n v="175.5"/>
    <n v="2"/>
    <n v="180.1"/>
    <n v="0"/>
    <n v="0"/>
    <n v="0"/>
    <n v="9"/>
    <n v="0"/>
  </r>
  <r>
    <x v="1"/>
    <x v="0"/>
    <s v="SPX"/>
    <x v="9"/>
    <x v="239"/>
    <s v="p"/>
    <n v="183.11"/>
    <n v="183.11"/>
    <n v="181.82"/>
    <n v="181.82"/>
    <n v="2"/>
    <n v="12"/>
    <n v="179.2"/>
    <n v="2"/>
    <n v="181.9"/>
    <n v="0"/>
    <n v="0"/>
    <n v="0"/>
    <n v="0"/>
    <n v="0.108"/>
    <n v="-0.89880000000000004"/>
    <n v="1.2999999999999999E-3"/>
    <n v="-1.0503"/>
    <n v="2.3266"/>
    <n v="-1.9588000000000001"/>
    <n v="2"/>
    <n v="179.7"/>
    <n v="2"/>
    <n v="184.4"/>
    <n v="0"/>
    <n v="0"/>
    <n v="182.465"/>
    <n v="13"/>
    <n v="0"/>
  </r>
  <r>
    <x v="1"/>
    <x v="0"/>
    <s v="SPX"/>
    <x v="9"/>
    <x v="240"/>
    <s v="p"/>
    <n v="0"/>
    <n v="0"/>
    <n v="0"/>
    <n v="0"/>
    <n v="0"/>
    <n v="12"/>
    <n v="183.5"/>
    <n v="11"/>
    <n v="186.1"/>
    <n v="0"/>
    <n v="0"/>
    <n v="0"/>
    <n v="0"/>
    <n v="0.1071"/>
    <n v="-0.90680000000000005"/>
    <n v="1.2999999999999999E-3"/>
    <n v="-0.97450000000000003"/>
    <n v="2.1991999999999998"/>
    <n v="-1.9772000000000001"/>
    <n v="18"/>
    <n v="183.8"/>
    <n v="2"/>
    <n v="188.8"/>
    <n v="0"/>
    <n v="0"/>
    <n v="0"/>
    <n v="5"/>
    <n v="0"/>
  </r>
  <r>
    <x v="1"/>
    <x v="0"/>
    <s v="SPX"/>
    <x v="9"/>
    <x v="241"/>
    <s v="p"/>
    <n v="0"/>
    <n v="0"/>
    <n v="0"/>
    <n v="0"/>
    <n v="0"/>
    <n v="12"/>
    <n v="187.9"/>
    <n v="11"/>
    <n v="190.5"/>
    <n v="0"/>
    <n v="0"/>
    <n v="0"/>
    <n v="0"/>
    <n v="0.10630000000000001"/>
    <n v="-0.91459999999999997"/>
    <n v="1.1999999999999999E-3"/>
    <n v="-0.90090000000000003"/>
    <n v="2.0735999999999999"/>
    <n v="-1.9945999999999999"/>
    <n v="2"/>
    <n v="188.7"/>
    <n v="2"/>
    <n v="193.7"/>
    <n v="0"/>
    <n v="0"/>
    <n v="0"/>
    <n v="2"/>
    <n v="0"/>
  </r>
  <r>
    <x v="1"/>
    <x v="0"/>
    <s v="SPX"/>
    <x v="9"/>
    <x v="242"/>
    <s v="p"/>
    <n v="192.37"/>
    <n v="192.37"/>
    <n v="192.37"/>
    <n v="192.37"/>
    <n v="1"/>
    <n v="12"/>
    <n v="192.3"/>
    <n v="11"/>
    <n v="194.9"/>
    <n v="0"/>
    <n v="0"/>
    <n v="0"/>
    <n v="0"/>
    <n v="0.1051"/>
    <n v="-0.9224"/>
    <n v="1.1000000000000001E-3"/>
    <n v="-0.82289999999999996"/>
    <n v="1.9413"/>
    <n v="-2.0125999999999999"/>
    <n v="2"/>
    <n v="193.1"/>
    <n v="2"/>
    <n v="198.1"/>
    <n v="0"/>
    <n v="0"/>
    <n v="192.37"/>
    <n v="1"/>
    <n v="0"/>
  </r>
  <r>
    <x v="1"/>
    <x v="0"/>
    <s v="SPX"/>
    <x v="9"/>
    <x v="243"/>
    <s v="p"/>
    <n v="179.41"/>
    <n v="196.81"/>
    <n v="175.21"/>
    <n v="196.81"/>
    <n v="6"/>
    <n v="12"/>
    <n v="196.8"/>
    <n v="1"/>
    <n v="199.2"/>
    <n v="0"/>
    <n v="0"/>
    <n v="0"/>
    <n v="0"/>
    <n v="0.10340000000000001"/>
    <n v="-0.93110000000000004"/>
    <n v="1E-3"/>
    <n v="-0.73209999999999997"/>
    <n v="1.7884"/>
    <n v="-2.0323000000000002"/>
    <n v="2"/>
    <n v="197.4"/>
    <n v="2"/>
    <n v="201.7"/>
    <n v="0"/>
    <n v="0"/>
    <n v="186.01169999999999"/>
    <n v="138"/>
    <n v="0"/>
  </r>
  <r>
    <x v="1"/>
    <x v="0"/>
    <s v="SPX"/>
    <x v="9"/>
    <x v="244"/>
    <s v="p"/>
    <n v="0"/>
    <n v="0"/>
    <n v="0"/>
    <n v="0"/>
    <n v="0"/>
    <n v="12"/>
    <n v="201.2"/>
    <n v="11"/>
    <n v="203.9"/>
    <n v="0"/>
    <n v="0"/>
    <n v="0"/>
    <n v="0"/>
    <n v="0.10290000000000001"/>
    <n v="-0.93700000000000006"/>
    <n v="1E-3"/>
    <n v="-0.67490000000000006"/>
    <n v="1.6789000000000001"/>
    <n v="-2.0457999999999998"/>
    <n v="2"/>
    <n v="202"/>
    <n v="2"/>
    <n v="207.1"/>
    <n v="0"/>
    <n v="0"/>
    <n v="0"/>
    <n v="0"/>
    <n v="0"/>
  </r>
  <r>
    <x v="1"/>
    <x v="0"/>
    <s v="SPX"/>
    <x v="9"/>
    <x v="245"/>
    <s v="p"/>
    <n v="0"/>
    <n v="0"/>
    <n v="0"/>
    <n v="0"/>
    <n v="0"/>
    <n v="12"/>
    <n v="205.8"/>
    <n v="11"/>
    <n v="208.4"/>
    <n v="0"/>
    <n v="0"/>
    <n v="0"/>
    <n v="0"/>
    <n v="0.1018"/>
    <n v="-0.94359999999999999"/>
    <n v="8.9999999999999998E-4"/>
    <n v="-0.60619999999999996"/>
    <n v="1.5525"/>
    <n v="-2.0609999999999999"/>
    <n v="2"/>
    <n v="206.5"/>
    <n v="2"/>
    <n v="211.7"/>
    <n v="0"/>
    <n v="0"/>
    <n v="0"/>
    <n v="4"/>
    <n v="0"/>
  </r>
  <r>
    <x v="1"/>
    <x v="0"/>
    <s v="SPX"/>
    <x v="9"/>
    <x v="246"/>
    <s v="p"/>
    <n v="0"/>
    <n v="0"/>
    <n v="0"/>
    <n v="0"/>
    <n v="0"/>
    <n v="12"/>
    <n v="210.4"/>
    <n v="11"/>
    <n v="213"/>
    <n v="0"/>
    <n v="0"/>
    <n v="0"/>
    <n v="0"/>
    <n v="0.1007"/>
    <n v="-0.94969999999999999"/>
    <n v="8.0000000000000004E-4"/>
    <n v="-0.54200000000000004"/>
    <n v="1.4308000000000001"/>
    <n v="-2.0752999999999999"/>
    <n v="2"/>
    <n v="210.5"/>
    <n v="2"/>
    <n v="215.8"/>
    <n v="0"/>
    <n v="0"/>
    <n v="0"/>
    <n v="0"/>
    <n v="0"/>
  </r>
  <r>
    <x v="1"/>
    <x v="0"/>
    <s v="SPX"/>
    <x v="9"/>
    <x v="247"/>
    <s v="p"/>
    <n v="0"/>
    <n v="0"/>
    <n v="0"/>
    <n v="0"/>
    <n v="0"/>
    <n v="12"/>
    <n v="215"/>
    <n v="11"/>
    <n v="217.6"/>
    <n v="0"/>
    <n v="0"/>
    <n v="0"/>
    <n v="0"/>
    <n v="9.9299999999999999E-2"/>
    <n v="-0.95589999999999997"/>
    <n v="8.0000000000000004E-4"/>
    <n v="-0.47399999999999998"/>
    <n v="1.3001"/>
    <n v="-2.0897000000000001"/>
    <n v="2"/>
    <n v="215.7"/>
    <n v="2"/>
    <n v="220.9"/>
    <n v="0"/>
    <n v="0"/>
    <n v="0"/>
    <n v="5"/>
    <n v="0"/>
  </r>
  <r>
    <x v="1"/>
    <x v="0"/>
    <s v="SPX"/>
    <x v="9"/>
    <x v="248"/>
    <s v="p"/>
    <n v="0"/>
    <n v="0"/>
    <n v="0"/>
    <n v="0"/>
    <n v="0"/>
    <n v="12"/>
    <n v="219.6"/>
    <n v="11"/>
    <n v="222.3"/>
    <n v="0"/>
    <n v="0"/>
    <n v="0"/>
    <n v="0"/>
    <n v="9.7900000000000001E-2"/>
    <n v="-0.96160000000000001"/>
    <n v="6.9999999999999999E-4"/>
    <n v="-0.41110000000000002"/>
    <n v="1.1751"/>
    <n v="-2.1031"/>
    <n v="2"/>
    <n v="220.4"/>
    <n v="2"/>
    <n v="225.6"/>
    <n v="0"/>
    <n v="0"/>
    <n v="0"/>
    <n v="6"/>
    <n v="0"/>
  </r>
  <r>
    <x v="1"/>
    <x v="0"/>
    <s v="SPX"/>
    <x v="9"/>
    <x v="249"/>
    <s v="p"/>
    <n v="0"/>
    <n v="0"/>
    <n v="0"/>
    <n v="0"/>
    <n v="0"/>
    <n v="12"/>
    <n v="224.3"/>
    <n v="11"/>
    <n v="227"/>
    <n v="0"/>
    <n v="0"/>
    <n v="0"/>
    <n v="0"/>
    <n v="9.6500000000000002E-2"/>
    <n v="-0.96679999999999999"/>
    <n v="5.9999999999999995E-4"/>
    <n v="-0.35439999999999999"/>
    <n v="1.0580000000000001"/>
    <n v="-2.1153"/>
    <n v="2"/>
    <n v="225.1"/>
    <n v="2"/>
    <n v="230.3"/>
    <n v="0"/>
    <n v="0"/>
    <n v="0"/>
    <n v="3"/>
    <n v="0"/>
  </r>
  <r>
    <x v="1"/>
    <x v="0"/>
    <s v="SPX"/>
    <x v="9"/>
    <x v="250"/>
    <s v="p"/>
    <n v="0"/>
    <n v="0"/>
    <n v="0"/>
    <n v="0"/>
    <n v="0"/>
    <n v="12"/>
    <n v="229"/>
    <n v="11"/>
    <n v="231.7"/>
    <n v="0"/>
    <n v="0"/>
    <n v="0"/>
    <n v="0"/>
    <n v="9.4700000000000006E-2"/>
    <n v="-0.97209999999999996"/>
    <n v="5.0000000000000001E-4"/>
    <n v="-0.29409999999999997"/>
    <n v="0.93089999999999995"/>
    <n v="-2.1276999999999999"/>
    <n v="2"/>
    <n v="229.3"/>
    <n v="2"/>
    <n v="234.5"/>
    <n v="0"/>
    <n v="0"/>
    <n v="0"/>
    <n v="0"/>
    <n v="0"/>
  </r>
  <r>
    <x v="1"/>
    <x v="0"/>
    <s v="SPX"/>
    <x v="9"/>
    <x v="251"/>
    <s v="p"/>
    <n v="0"/>
    <n v="0"/>
    <n v="0"/>
    <n v="0"/>
    <n v="0"/>
    <n v="12"/>
    <n v="233.8"/>
    <n v="11"/>
    <n v="236.4"/>
    <n v="0"/>
    <n v="0"/>
    <n v="0"/>
    <n v="0"/>
    <n v="9.2999999999999999E-2"/>
    <n v="-0.97670000000000001"/>
    <n v="5.0000000000000001E-4"/>
    <n v="-0.2409"/>
    <n v="0.81320000000000003"/>
    <n v="-2.1389"/>
    <n v="2"/>
    <n v="234"/>
    <n v="2"/>
    <n v="239.3"/>
    <n v="0"/>
    <n v="0"/>
    <n v="0"/>
    <n v="2"/>
    <n v="0"/>
  </r>
  <r>
    <x v="1"/>
    <x v="0"/>
    <s v="SPX"/>
    <x v="9"/>
    <x v="252"/>
    <s v="p"/>
    <n v="0"/>
    <n v="0"/>
    <n v="0"/>
    <n v="0"/>
    <n v="0"/>
    <n v="12"/>
    <n v="238.5"/>
    <n v="11"/>
    <n v="241.2"/>
    <n v="0"/>
    <n v="0"/>
    <n v="0"/>
    <n v="0"/>
    <n v="9.06E-2"/>
    <n v="-0.98160000000000003"/>
    <n v="4.0000000000000002E-4"/>
    <n v="-0.18390000000000001"/>
    <n v="0.68289999999999995"/>
    <n v="-2.1503999999999999"/>
    <n v="2"/>
    <n v="238.8"/>
    <n v="2"/>
    <n v="244"/>
    <n v="0"/>
    <n v="0"/>
    <n v="0"/>
    <n v="24"/>
    <n v="0"/>
  </r>
  <r>
    <x v="1"/>
    <x v="0"/>
    <s v="SPX"/>
    <x v="9"/>
    <x v="253"/>
    <s v="p"/>
    <n v="0"/>
    <n v="0"/>
    <n v="0"/>
    <n v="0"/>
    <n v="0"/>
    <n v="9"/>
    <n v="243.3"/>
    <n v="2"/>
    <n v="246"/>
    <n v="0"/>
    <n v="0"/>
    <n v="0"/>
    <n v="0"/>
    <n v="8.8200000000000001E-2"/>
    <n v="-0.98580000000000001"/>
    <n v="2.9999999999999997E-4"/>
    <n v="-0.13519999999999999"/>
    <n v="0.56359999999999999"/>
    <n v="-2.1606000000000001"/>
    <n v="2"/>
    <n v="244.5"/>
    <n v="2"/>
    <n v="248.9"/>
    <n v="0"/>
    <n v="0"/>
    <n v="0"/>
    <n v="2064"/>
    <n v="0"/>
  </r>
  <r>
    <x v="1"/>
    <x v="0"/>
    <s v="SPX"/>
    <x v="9"/>
    <x v="530"/>
    <s v="p"/>
    <n v="0"/>
    <n v="0"/>
    <n v="0"/>
    <n v="0"/>
    <n v="0"/>
    <n v="9"/>
    <n v="248.2"/>
    <n v="2"/>
    <n v="250.8"/>
    <n v="0"/>
    <n v="0"/>
    <n v="0"/>
    <n v="0"/>
    <n v="8.5999999999999993E-2"/>
    <n v="-0.98909999999999998"/>
    <n v="2.9999999999999997E-4"/>
    <n v="-9.6299999999999997E-2"/>
    <n v="0.46150000000000002"/>
    <n v="-2.1688999999999998"/>
    <n v="2"/>
    <n v="248.9"/>
    <n v="2"/>
    <n v="254.2"/>
    <n v="0"/>
    <n v="0"/>
    <n v="0"/>
    <n v="6"/>
    <n v="0"/>
  </r>
  <r>
    <x v="1"/>
    <x v="0"/>
    <s v="SPX"/>
    <x v="9"/>
    <x v="254"/>
    <s v="p"/>
    <n v="0"/>
    <n v="0"/>
    <n v="0"/>
    <n v="0"/>
    <n v="0"/>
    <n v="7"/>
    <n v="253.1"/>
    <n v="3"/>
    <n v="255.7"/>
    <n v="0"/>
    <n v="0"/>
    <n v="0"/>
    <n v="0"/>
    <n v="0.1051"/>
    <n v="-0.97189999999999999"/>
    <n v="5.0000000000000001E-4"/>
    <n v="-0.3281"/>
    <n v="0.91969999999999996"/>
    <n v="-2.1349"/>
    <n v="2"/>
    <n v="253.1"/>
    <n v="2"/>
    <n v="258.5"/>
    <n v="0"/>
    <n v="0"/>
    <n v="0"/>
    <n v="0"/>
    <n v="0"/>
  </r>
  <r>
    <x v="1"/>
    <x v="0"/>
    <s v="SPX"/>
    <x v="9"/>
    <x v="531"/>
    <s v="p"/>
    <n v="0"/>
    <n v="0"/>
    <n v="0"/>
    <n v="0"/>
    <n v="0"/>
    <n v="9"/>
    <n v="257.8"/>
    <n v="2"/>
    <n v="260.5"/>
    <n v="0"/>
    <n v="0"/>
    <n v="0"/>
    <n v="0"/>
    <n v="0.1041"/>
    <n v="-0.97529999999999994"/>
    <n v="5.0000000000000001E-4"/>
    <n v="-0.28639999999999999"/>
    <n v="0.83479999999999999"/>
    <n v="-2.1434000000000002"/>
    <n v="2"/>
    <n v="258.60000000000002"/>
    <n v="2"/>
    <n v="263.89999999999998"/>
    <n v="0"/>
    <n v="0"/>
    <n v="0"/>
    <n v="0"/>
    <n v="0"/>
  </r>
  <r>
    <x v="1"/>
    <x v="0"/>
    <s v="SPX"/>
    <x v="9"/>
    <x v="255"/>
    <s v="p"/>
    <n v="0"/>
    <n v="0"/>
    <n v="0"/>
    <n v="0"/>
    <n v="0"/>
    <n v="9"/>
    <n v="262.7"/>
    <n v="2"/>
    <n v="265.39999999999998"/>
    <n v="0"/>
    <n v="0"/>
    <n v="0"/>
    <n v="0"/>
    <n v="0.1077"/>
    <n v="-0.97330000000000005"/>
    <n v="5.0000000000000001E-4"/>
    <n v="-0.31909999999999999"/>
    <n v="0.87949999999999995"/>
    <n v="-2.1408"/>
    <n v="2"/>
    <n v="263.39999999999998"/>
    <n v="2"/>
    <n v="268.8"/>
    <n v="0"/>
    <n v="0"/>
    <n v="0"/>
    <n v="0"/>
    <n v="0"/>
  </r>
  <r>
    <x v="1"/>
    <x v="0"/>
    <s v="SPX"/>
    <x v="9"/>
    <x v="256"/>
    <s v="p"/>
    <n v="247.36"/>
    <n v="247.36"/>
    <n v="247.36"/>
    <n v="247.36"/>
    <n v="1"/>
    <n v="9"/>
    <n v="267.60000000000002"/>
    <n v="3"/>
    <n v="270.3"/>
    <n v="0"/>
    <n v="0"/>
    <n v="0"/>
    <n v="0"/>
    <n v="0.1081"/>
    <n v="-0.97509999999999997"/>
    <n v="4.0000000000000002E-4"/>
    <n v="-0.29899999999999999"/>
    <n v="0.8337"/>
    <n v="-2.1459999999999999"/>
    <n v="2"/>
    <n v="268.2"/>
    <n v="2"/>
    <n v="273.7"/>
    <n v="0"/>
    <n v="0"/>
    <n v="247.36"/>
    <n v="3"/>
    <n v="0"/>
  </r>
  <r>
    <x v="1"/>
    <x v="0"/>
    <s v="SPX"/>
    <x v="9"/>
    <x v="257"/>
    <s v="p"/>
    <n v="0"/>
    <n v="0"/>
    <n v="0"/>
    <n v="0"/>
    <n v="0"/>
    <n v="6"/>
    <n v="272.7"/>
    <n v="3"/>
    <n v="275.2"/>
    <n v="0"/>
    <n v="0"/>
    <n v="0"/>
    <n v="0"/>
    <n v="0.105"/>
    <n v="-0.98029999999999995"/>
    <n v="4.0000000000000002E-4"/>
    <n v="-0.22939999999999999"/>
    <n v="0.70030000000000003"/>
    <n v="-2.1581999999999999"/>
    <n v="2"/>
    <n v="273.10000000000002"/>
    <n v="2"/>
    <n v="278.60000000000002"/>
    <n v="0"/>
    <n v="0"/>
    <n v="0"/>
    <n v="0"/>
    <n v="0"/>
  </r>
  <r>
    <x v="1"/>
    <x v="0"/>
    <s v="SPX"/>
    <x v="9"/>
    <x v="532"/>
    <s v="p"/>
    <n v="0"/>
    <n v="0"/>
    <n v="0"/>
    <n v="0"/>
    <n v="0"/>
    <n v="6"/>
    <n v="277.60000000000002"/>
    <n v="1"/>
    <n v="280.8"/>
    <n v="0"/>
    <n v="0"/>
    <n v="0"/>
    <n v="0"/>
    <n v="0.1111"/>
    <n v="-0.97619999999999996"/>
    <n v="4.0000000000000002E-4"/>
    <n v="-0.29380000000000001"/>
    <n v="0.80220000000000002"/>
    <n v="-2.1513"/>
    <n v="6"/>
    <n v="277"/>
    <n v="6"/>
    <n v="284.3"/>
    <n v="0"/>
    <n v="0"/>
    <n v="0"/>
    <n v="0"/>
    <n v="0"/>
  </r>
  <r>
    <x v="1"/>
    <x v="0"/>
    <s v="SPX"/>
    <x v="9"/>
    <x v="258"/>
    <s v="p"/>
    <n v="0"/>
    <n v="0"/>
    <n v="0"/>
    <n v="0"/>
    <n v="0"/>
    <n v="1"/>
    <n v="274"/>
    <n v="1"/>
    <n v="293.2"/>
    <n v="0"/>
    <n v="0"/>
    <n v="0"/>
    <n v="0"/>
    <n v="0.16639999999999999"/>
    <n v="-0.90949999999999998"/>
    <n v="8.0000000000000004E-4"/>
    <n v="-1.4769000000000001"/>
    <n v="2.0983999999999998"/>
    <n v="-2.0152999999999999"/>
    <n v="1"/>
    <n v="274.89999999999998"/>
    <n v="2"/>
    <n v="293.3"/>
    <n v="0"/>
    <n v="0"/>
    <n v="0"/>
    <n v="0"/>
    <n v="0"/>
  </r>
  <r>
    <x v="1"/>
    <x v="0"/>
    <s v="SPX"/>
    <x v="9"/>
    <x v="533"/>
    <s v="p"/>
    <n v="0"/>
    <n v="0"/>
    <n v="0"/>
    <n v="0"/>
    <n v="0"/>
    <n v="1"/>
    <n v="278.89999999999998"/>
    <n v="1"/>
    <n v="297.89999999999998"/>
    <n v="0"/>
    <n v="0"/>
    <n v="0"/>
    <n v="0"/>
    <n v="0.1646"/>
    <n v="-0.91600000000000004"/>
    <n v="8.0000000000000004E-4"/>
    <n v="-1.375"/>
    <n v="1.9923"/>
    <n v="-2.0299"/>
    <n v="1"/>
    <n v="279.8"/>
    <n v="2"/>
    <n v="299.3"/>
    <n v="0"/>
    <n v="0"/>
    <n v="0"/>
    <n v="0"/>
    <n v="0"/>
  </r>
  <r>
    <x v="1"/>
    <x v="0"/>
    <s v="SPX"/>
    <x v="9"/>
    <x v="259"/>
    <s v="p"/>
    <n v="0"/>
    <n v="0"/>
    <n v="0"/>
    <n v="0"/>
    <n v="0"/>
    <n v="1"/>
    <n v="283.3"/>
    <n v="2"/>
    <n v="301.7"/>
    <n v="0"/>
    <n v="0"/>
    <n v="0"/>
    <n v="0"/>
    <n v="0.16120000000000001"/>
    <n v="-0.92379999999999995"/>
    <n v="6.9999999999999999E-4"/>
    <n v="-1.2412000000000001"/>
    <n v="1.8593999999999999"/>
    <n v="-2.0478000000000001"/>
    <n v="2"/>
    <n v="284.89999999999998"/>
    <n v="1"/>
    <n v="308.3"/>
    <n v="0"/>
    <n v="0"/>
    <n v="0"/>
    <n v="726"/>
    <n v="0"/>
  </r>
  <r>
    <x v="1"/>
    <x v="0"/>
    <s v="SPX"/>
    <x v="9"/>
    <x v="534"/>
    <s v="p"/>
    <n v="0"/>
    <n v="0"/>
    <n v="0"/>
    <n v="0"/>
    <n v="0"/>
    <n v="1"/>
    <n v="288.7"/>
    <n v="2"/>
    <n v="308.2"/>
    <n v="0"/>
    <n v="0"/>
    <n v="0"/>
    <n v="0"/>
    <n v="0.17430000000000001"/>
    <n v="-0.91"/>
    <n v="8.0000000000000004E-4"/>
    <n v="-1.5411999999999999"/>
    <n v="2.0867"/>
    <n v="-2.0207999999999999"/>
    <n v="1"/>
    <n v="289.7"/>
    <n v="2"/>
    <n v="308.2"/>
    <n v="0"/>
    <n v="0"/>
    <n v="0"/>
    <n v="0"/>
    <n v="0"/>
  </r>
  <r>
    <x v="1"/>
    <x v="0"/>
    <s v="SPX"/>
    <x v="9"/>
    <x v="260"/>
    <s v="p"/>
    <n v="0"/>
    <n v="0"/>
    <n v="0"/>
    <n v="0"/>
    <n v="0"/>
    <n v="1"/>
    <n v="293.2"/>
    <n v="1"/>
    <n v="312.7"/>
    <n v="0"/>
    <n v="0"/>
    <n v="0"/>
    <n v="0"/>
    <n v="0.1724"/>
    <n v="-0.91610000000000003"/>
    <n v="6.9999999999999999E-4"/>
    <n v="-1.4379999999999999"/>
    <n v="1.9854000000000001"/>
    <n v="-2.0348999999999999"/>
    <n v="1"/>
    <n v="294.60000000000002"/>
    <n v="2"/>
    <n v="313.39999999999998"/>
    <n v="0"/>
    <n v="0"/>
    <n v="0"/>
    <n v="0"/>
    <n v="0"/>
  </r>
  <r>
    <x v="1"/>
    <x v="0"/>
    <s v="SPX"/>
    <x v="9"/>
    <x v="535"/>
    <s v="p"/>
    <n v="0"/>
    <n v="0"/>
    <n v="0"/>
    <n v="0"/>
    <n v="0"/>
    <n v="1"/>
    <n v="298.60000000000002"/>
    <n v="1"/>
    <n v="317.7"/>
    <n v="0"/>
    <n v="0"/>
    <n v="0"/>
    <n v="0"/>
    <n v="0.18"/>
    <n v="-0.9093"/>
    <n v="6.9999999999999999E-4"/>
    <n v="-1.6017999999999999"/>
    <n v="2.0952000000000002"/>
    <n v="-2.0223"/>
    <n v="1"/>
    <n v="299.60000000000002"/>
    <n v="2"/>
    <n v="317.89999999999998"/>
    <n v="0"/>
    <n v="0"/>
    <n v="0"/>
    <n v="0"/>
    <n v="0"/>
  </r>
  <r>
    <x v="1"/>
    <x v="0"/>
    <s v="SPX"/>
    <x v="9"/>
    <x v="261"/>
    <s v="p"/>
    <n v="0"/>
    <n v="0"/>
    <n v="0"/>
    <n v="0"/>
    <n v="0"/>
    <n v="1"/>
    <n v="303.60000000000002"/>
    <n v="2"/>
    <n v="322.3"/>
    <n v="0"/>
    <n v="0"/>
    <n v="0"/>
    <n v="0"/>
    <n v="0.17580000000000001"/>
    <n v="-0.91849999999999998"/>
    <n v="6.9999999999999999E-4"/>
    <n v="-1.4328000000000001"/>
    <n v="1.9441999999999999"/>
    <n v="-2.0428999999999999"/>
    <n v="2"/>
    <n v="305.60000000000002"/>
    <n v="1"/>
    <n v="328"/>
    <n v="0"/>
    <n v="0"/>
    <n v="0"/>
    <n v="0"/>
    <n v="0"/>
  </r>
  <r>
    <x v="1"/>
    <x v="0"/>
    <s v="SPX"/>
    <x v="9"/>
    <x v="262"/>
    <s v="p"/>
    <n v="0"/>
    <n v="0"/>
    <n v="0"/>
    <n v="0"/>
    <n v="0"/>
    <n v="1"/>
    <n v="308.5"/>
    <n v="1"/>
    <n v="327.60000000000002"/>
    <n v="0"/>
    <n v="0"/>
    <n v="0"/>
    <n v="0"/>
    <n v="0.18110000000000001"/>
    <n v="-0.91520000000000001"/>
    <n v="6.9999999999999999E-4"/>
    <n v="-1.5234000000000001"/>
    <n v="1.9958"/>
    <n v="-2.0375000000000001"/>
    <n v="1"/>
    <n v="309.5"/>
    <n v="2"/>
    <n v="327.9"/>
    <n v="0"/>
    <n v="0"/>
    <n v="0"/>
    <n v="0"/>
    <n v="0"/>
  </r>
  <r>
    <x v="1"/>
    <x v="0"/>
    <s v="SPX"/>
    <x v="9"/>
    <x v="318"/>
    <s v="p"/>
    <n v="0"/>
    <n v="0"/>
    <n v="0"/>
    <n v="0"/>
    <n v="0"/>
    <n v="1"/>
    <n v="313.5"/>
    <n v="1"/>
    <n v="332.5"/>
    <n v="0"/>
    <n v="0"/>
    <n v="0"/>
    <n v="0"/>
    <n v="0.18110000000000001"/>
    <n v="-0.91859999999999997"/>
    <n v="6.9999999999999999E-4"/>
    <n v="-1.4733000000000001"/>
    <n v="1.9387000000000001"/>
    <n v="-2.0461999999999998"/>
    <n v="1"/>
    <n v="314.39999999999998"/>
    <n v="2"/>
    <n v="332.8"/>
    <n v="0"/>
    <n v="0"/>
    <n v="0"/>
    <n v="0"/>
    <n v="0"/>
  </r>
  <r>
    <x v="1"/>
    <x v="0"/>
    <s v="SPX"/>
    <x v="9"/>
    <x v="536"/>
    <s v="p"/>
    <n v="0"/>
    <n v="0"/>
    <n v="0"/>
    <n v="0"/>
    <n v="0"/>
    <n v="1"/>
    <n v="318.39999999999998"/>
    <n v="2"/>
    <n v="336.8"/>
    <n v="0"/>
    <n v="0"/>
    <n v="0"/>
    <n v="0"/>
    <n v="0.17929999999999999"/>
    <n v="-0.92390000000000005"/>
    <n v="5.9999999999999995E-4"/>
    <n v="-1.3786"/>
    <n v="1.847"/>
    <n v="-2.0589"/>
    <n v="2"/>
    <n v="320"/>
    <n v="1"/>
    <n v="342.8"/>
    <n v="0"/>
    <n v="0"/>
    <n v="0"/>
    <n v="0"/>
    <n v="0"/>
  </r>
  <r>
    <x v="1"/>
    <x v="0"/>
    <s v="SPX"/>
    <x v="9"/>
    <x v="319"/>
    <s v="p"/>
    <n v="0"/>
    <n v="0"/>
    <n v="0"/>
    <n v="0"/>
    <n v="0"/>
    <n v="1"/>
    <n v="323.7"/>
    <n v="1"/>
    <n v="342.4"/>
    <n v="0"/>
    <n v="0"/>
    <n v="0"/>
    <n v="0"/>
    <n v="0.18049999999999999"/>
    <n v="-0.92600000000000005"/>
    <n v="5.9999999999999995E-4"/>
    <n v="-1.3561000000000001"/>
    <n v="1.8085"/>
    <n v="-2.0644999999999998"/>
    <n v="1"/>
    <n v="324.39999999999998"/>
    <n v="2"/>
    <n v="342.7"/>
    <n v="0"/>
    <n v="0"/>
    <n v="0"/>
    <n v="0"/>
    <n v="0"/>
  </r>
  <r>
    <x v="1"/>
    <x v="0"/>
    <s v="SPX"/>
    <x v="9"/>
    <x v="537"/>
    <s v="p"/>
    <n v="0"/>
    <n v="0"/>
    <n v="0"/>
    <n v="0"/>
    <n v="0"/>
    <n v="1"/>
    <n v="328.3"/>
    <n v="2"/>
    <n v="346.8"/>
    <n v="0"/>
    <n v="0"/>
    <n v="0"/>
    <n v="0"/>
    <n v="0.18340000000000001"/>
    <n v="-0.92520000000000002"/>
    <n v="5.9999999999999995E-4"/>
    <n v="-1.3895999999999999"/>
    <n v="1.8213999999999999"/>
    <n v="-2.0646"/>
    <n v="2"/>
    <n v="330"/>
    <n v="1"/>
    <n v="352.7"/>
    <n v="0"/>
    <n v="0"/>
    <n v="0"/>
    <n v="0"/>
    <n v="0"/>
  </r>
  <r>
    <x v="1"/>
    <x v="0"/>
    <s v="SPX"/>
    <x v="9"/>
    <x v="263"/>
    <s v="p"/>
    <n v="0"/>
    <n v="0"/>
    <n v="0"/>
    <n v="0"/>
    <n v="0"/>
    <n v="1"/>
    <n v="333.3"/>
    <n v="2"/>
    <n v="352.3"/>
    <n v="0"/>
    <n v="0"/>
    <n v="0"/>
    <n v="0"/>
    <n v="0.1883"/>
    <n v="-0.92259999999999998"/>
    <n v="5.9999999999999995E-4"/>
    <n v="-1.4682999999999999"/>
    <n v="1.8651"/>
    <n v="-2.0607000000000002"/>
    <n v="2"/>
    <n v="335.5"/>
    <n v="1"/>
    <n v="357.8"/>
    <n v="0"/>
    <n v="0"/>
    <n v="0"/>
    <n v="3"/>
    <n v="0"/>
  </r>
  <r>
    <x v="1"/>
    <x v="0"/>
    <s v="SPX"/>
    <x v="9"/>
    <x v="538"/>
    <s v="p"/>
    <n v="0"/>
    <n v="0"/>
    <n v="0"/>
    <n v="0"/>
    <n v="0"/>
    <n v="1"/>
    <n v="336.9"/>
    <n v="1"/>
    <n v="357.8"/>
    <n v="0"/>
    <n v="0"/>
    <n v="0"/>
    <n v="0"/>
    <n v="0.193"/>
    <n v="-0.92030000000000001"/>
    <n v="5.9999999999999995E-4"/>
    <n v="-1.5427"/>
    <n v="1.903"/>
    <n v="-2.0571999999999999"/>
    <n v="1"/>
    <n v="339.3"/>
    <n v="2"/>
    <n v="358.7"/>
    <n v="0"/>
    <n v="0"/>
    <n v="0"/>
    <n v="0"/>
    <n v="0"/>
  </r>
  <r>
    <x v="1"/>
    <x v="0"/>
    <s v="SPX"/>
    <x v="9"/>
    <x v="320"/>
    <s v="p"/>
    <n v="0"/>
    <n v="0"/>
    <n v="0"/>
    <n v="0"/>
    <n v="0"/>
    <n v="1"/>
    <n v="343.3"/>
    <n v="2"/>
    <n v="362.6"/>
    <n v="0"/>
    <n v="0"/>
    <n v="0"/>
    <n v="0"/>
    <n v="0.18990000000000001"/>
    <n v="-0.92720000000000002"/>
    <n v="5.9999999999999995E-4"/>
    <n v="-1.4072"/>
    <n v="1.7827999999999999"/>
    <n v="-2.073"/>
    <n v="1"/>
    <n v="344.2"/>
    <n v="2"/>
    <n v="362.6"/>
    <n v="0"/>
    <n v="0"/>
    <n v="0"/>
    <n v="1"/>
    <n v="0"/>
  </r>
  <r>
    <x v="1"/>
    <x v="0"/>
    <s v="SPX"/>
    <x v="9"/>
    <x v="539"/>
    <s v="p"/>
    <n v="0"/>
    <n v="0"/>
    <n v="0"/>
    <n v="0"/>
    <n v="0"/>
    <n v="1"/>
    <n v="348.2"/>
    <n v="1"/>
    <n v="367.3"/>
    <n v="0"/>
    <n v="0"/>
    <n v="0"/>
    <n v="0"/>
    <n v="0.19489999999999999"/>
    <n v="-0.92400000000000004"/>
    <n v="5.9999999999999995E-4"/>
    <n v="-1.4968999999999999"/>
    <n v="1.8375999999999999"/>
    <n v="-2.0680999999999998"/>
    <n v="1"/>
    <n v="349.2"/>
    <n v="2"/>
    <n v="367.8"/>
    <n v="0"/>
    <n v="0"/>
    <n v="0"/>
    <n v="0"/>
    <n v="0"/>
  </r>
  <r>
    <x v="1"/>
    <x v="0"/>
    <s v="SPX"/>
    <x v="9"/>
    <x v="321"/>
    <s v="p"/>
    <n v="0"/>
    <n v="0"/>
    <n v="0"/>
    <n v="0"/>
    <n v="0"/>
    <n v="1"/>
    <n v="353.7"/>
    <n v="2"/>
    <n v="372.5"/>
    <n v="0"/>
    <n v="0"/>
    <n v="0"/>
    <n v="0"/>
    <n v="0.1933"/>
    <n v="-0.92900000000000005"/>
    <n v="5.9999999999999995E-4"/>
    <n v="-1.4026000000000001"/>
    <n v="1.7482"/>
    <n v="-2.0796999999999999"/>
    <n v="1"/>
    <n v="354.2"/>
    <n v="2"/>
    <n v="372.5"/>
    <n v="0"/>
    <n v="0"/>
    <n v="0"/>
    <n v="1"/>
    <n v="0"/>
  </r>
  <r>
    <x v="1"/>
    <x v="0"/>
    <s v="SPX"/>
    <x v="9"/>
    <x v="264"/>
    <s v="p"/>
    <n v="0"/>
    <n v="0"/>
    <n v="0"/>
    <n v="0"/>
    <n v="0"/>
    <n v="1"/>
    <n v="358.1"/>
    <n v="2"/>
    <n v="376.5"/>
    <n v="0"/>
    <n v="0"/>
    <n v="0"/>
    <n v="0"/>
    <n v="0.1953"/>
    <n v="-0.92900000000000005"/>
    <n v="5.9999999999999995E-4"/>
    <n v="-1.4159999999999999"/>
    <n v="1.7464999999999999"/>
    <n v="-2.0811999999999999"/>
    <n v="2"/>
    <n v="359.8"/>
    <n v="1"/>
    <n v="382.6"/>
    <n v="0"/>
    <n v="0"/>
    <n v="0"/>
    <n v="4"/>
    <n v="0"/>
  </r>
  <r>
    <x v="1"/>
    <x v="0"/>
    <s v="SPX"/>
    <x v="9"/>
    <x v="322"/>
    <s v="p"/>
    <n v="0"/>
    <n v="0"/>
    <n v="0"/>
    <n v="0"/>
    <n v="0"/>
    <n v="1"/>
    <n v="363.1"/>
    <n v="1"/>
    <n v="382.2"/>
    <n v="0"/>
    <n v="0"/>
    <n v="0"/>
    <n v="0"/>
    <n v="0.1993"/>
    <n v="-0.92769999999999997"/>
    <n v="5.9999999999999995E-4"/>
    <n v="-1.4673"/>
    <n v="1.7686999999999999"/>
    <n v="-2.0804"/>
    <n v="1"/>
    <n v="364.1"/>
    <n v="2"/>
    <n v="382.7"/>
    <n v="0"/>
    <n v="0"/>
    <n v="0"/>
    <n v="0"/>
    <n v="0"/>
  </r>
  <r>
    <x v="1"/>
    <x v="0"/>
    <s v="SPX"/>
    <x v="9"/>
    <x v="540"/>
    <s v="p"/>
    <n v="0"/>
    <n v="0"/>
    <n v="0"/>
    <n v="0"/>
    <n v="0"/>
    <n v="1"/>
    <n v="367.2"/>
    <n v="2"/>
    <n v="386.5"/>
    <n v="0"/>
    <n v="0"/>
    <n v="0"/>
    <n v="0"/>
    <n v="0.19819999999999999"/>
    <n v="-0.93130000000000002"/>
    <n v="5.0000000000000001E-4"/>
    <n v="-1.3978999999999999"/>
    <n v="1.7034"/>
    <n v="-2.0891999999999999"/>
    <n v="2"/>
    <n v="369.7"/>
    <n v="1"/>
    <n v="392.5"/>
    <n v="0"/>
    <n v="0"/>
    <n v="0"/>
    <n v="0"/>
    <n v="0"/>
  </r>
  <r>
    <x v="1"/>
    <x v="0"/>
    <s v="SPX"/>
    <x v="9"/>
    <x v="323"/>
    <s v="p"/>
    <n v="0"/>
    <n v="0"/>
    <n v="0"/>
    <n v="0"/>
    <n v="0"/>
    <n v="1"/>
    <n v="371.8"/>
    <n v="1"/>
    <n v="392.2"/>
    <n v="0"/>
    <n v="0"/>
    <n v="0"/>
    <n v="0"/>
    <n v="0.20660000000000001"/>
    <n v="-0.92510000000000003"/>
    <n v="5.9999999999999995E-4"/>
    <n v="-1.5674999999999999"/>
    <n v="1.8124"/>
    <n v="-2.0777000000000001"/>
    <n v="1"/>
    <n v="374.1"/>
    <n v="2"/>
    <n v="392.4"/>
    <n v="0"/>
    <n v="0"/>
    <n v="0"/>
    <n v="0"/>
    <n v="0"/>
  </r>
  <r>
    <x v="1"/>
    <x v="0"/>
    <s v="SPX"/>
    <x v="9"/>
    <x v="541"/>
    <s v="p"/>
    <n v="0"/>
    <n v="0"/>
    <n v="0"/>
    <n v="0"/>
    <n v="0"/>
    <n v="1"/>
    <n v="378.6"/>
    <n v="2"/>
    <n v="396.4"/>
    <n v="0"/>
    <n v="0"/>
    <n v="0"/>
    <n v="0"/>
    <n v="0.19620000000000001"/>
    <n v="-0.93869999999999998"/>
    <n v="5.0000000000000001E-4"/>
    <n v="-1.2544"/>
    <n v="1.5658000000000001"/>
    <n v="-2.1071"/>
    <n v="2"/>
    <n v="379.7"/>
    <n v="1"/>
    <n v="402.5"/>
    <n v="0"/>
    <n v="0"/>
    <n v="0"/>
    <n v="0"/>
    <n v="0"/>
  </r>
  <r>
    <x v="1"/>
    <x v="0"/>
    <s v="SPX"/>
    <x v="9"/>
    <x v="265"/>
    <s v="p"/>
    <n v="396.34"/>
    <n v="396.34"/>
    <n v="396.34"/>
    <n v="396.34"/>
    <n v="2"/>
    <n v="1"/>
    <n v="382.5"/>
    <n v="1"/>
    <n v="402.1"/>
    <n v="0"/>
    <n v="0"/>
    <n v="0"/>
    <n v="0"/>
    <n v="0.2074"/>
    <n v="-0.92969999999999997"/>
    <n v="5.0000000000000001E-4"/>
    <n v="-1.4923"/>
    <n v="1.7294"/>
    <n v="-2.0905"/>
    <n v="1"/>
    <n v="384"/>
    <n v="2"/>
    <n v="402.7"/>
    <n v="0"/>
    <n v="0"/>
    <n v="396.34"/>
    <n v="9"/>
    <n v="0"/>
  </r>
  <r>
    <x v="1"/>
    <x v="0"/>
    <s v="SPX"/>
    <x v="9"/>
    <x v="542"/>
    <s v="p"/>
    <n v="0"/>
    <n v="0"/>
    <n v="0"/>
    <n v="0"/>
    <n v="0"/>
    <n v="1"/>
    <n v="386.6"/>
    <n v="1"/>
    <n v="407.4"/>
    <n v="0"/>
    <n v="0"/>
    <n v="0"/>
    <n v="0"/>
    <n v="0.20910000000000001"/>
    <n v="-0.93069999999999997"/>
    <n v="5.0000000000000001E-4"/>
    <n v="-1.4844999999999999"/>
    <n v="1.7088000000000001"/>
    <n v="-2.0939000000000001"/>
    <n v="1"/>
    <n v="389"/>
    <n v="2"/>
    <n v="407.5"/>
    <n v="0"/>
    <n v="0"/>
    <n v="0"/>
    <n v="0"/>
    <n v="0"/>
  </r>
  <r>
    <x v="1"/>
    <x v="0"/>
    <s v="SPX"/>
    <x v="9"/>
    <x v="324"/>
    <s v="p"/>
    <n v="0"/>
    <n v="0"/>
    <n v="0"/>
    <n v="0"/>
    <n v="0"/>
    <n v="1"/>
    <n v="393"/>
    <n v="4"/>
    <n v="413.5"/>
    <n v="0"/>
    <n v="0"/>
    <n v="0"/>
    <n v="0"/>
    <n v="0.22009999999999999"/>
    <n v="-0.92230000000000001"/>
    <n v="5.0000000000000001E-4"/>
    <n v="-1.7223999999999999"/>
    <n v="1.8580000000000001"/>
    <n v="-2.0781999999999998"/>
    <n v="1"/>
    <n v="394"/>
    <n v="2"/>
    <n v="413.5"/>
    <n v="0"/>
    <n v="0"/>
    <n v="0"/>
    <n v="0"/>
    <n v="0"/>
  </r>
  <r>
    <x v="1"/>
    <x v="0"/>
    <s v="SPX"/>
    <x v="9"/>
    <x v="325"/>
    <s v="p"/>
    <n v="0"/>
    <n v="0"/>
    <n v="0"/>
    <n v="0"/>
    <n v="0"/>
    <n v="1"/>
    <n v="401.7"/>
    <n v="2"/>
    <n v="420.2"/>
    <n v="0"/>
    <n v="0"/>
    <n v="0"/>
    <n v="0"/>
    <n v="0.2059"/>
    <n v="-0.94030000000000002"/>
    <n v="5.0000000000000001E-4"/>
    <n v="-1.2861"/>
    <n v="1.5310999999999999"/>
    <n v="-2.1177999999999999"/>
    <n v="1"/>
    <n v="404"/>
    <n v="2"/>
    <n v="427.3"/>
    <n v="0"/>
    <n v="0"/>
    <n v="0"/>
    <n v="0"/>
    <n v="0"/>
  </r>
  <r>
    <x v="1"/>
    <x v="0"/>
    <s v="SPX"/>
    <x v="9"/>
    <x v="266"/>
    <s v="p"/>
    <n v="0"/>
    <n v="0"/>
    <n v="0"/>
    <n v="0"/>
    <n v="0"/>
    <n v="1"/>
    <n v="408"/>
    <n v="1"/>
    <n v="427"/>
    <n v="0"/>
    <n v="0"/>
    <n v="0"/>
    <n v="0"/>
    <n v="0.2167"/>
    <n v="-0.93269999999999997"/>
    <n v="5.0000000000000001E-4"/>
    <n v="-1.5014000000000001"/>
    <n v="1.6695"/>
    <n v="-2.1042000000000001"/>
    <n v="1"/>
    <n v="409"/>
    <n v="2"/>
    <n v="427.1"/>
    <n v="0"/>
    <n v="0"/>
    <n v="0"/>
    <n v="0"/>
    <n v="0"/>
  </r>
  <r>
    <x v="1"/>
    <x v="0"/>
    <s v="SPX"/>
    <x v="9"/>
    <x v="326"/>
    <s v="p"/>
    <n v="0"/>
    <n v="0"/>
    <n v="0"/>
    <n v="0"/>
    <n v="0"/>
    <n v="1"/>
    <n v="412.9"/>
    <n v="1"/>
    <n v="432"/>
    <n v="0"/>
    <n v="0"/>
    <n v="0"/>
    <n v="0"/>
    <n v="0.21920000000000001"/>
    <n v="-0.93269999999999997"/>
    <n v="5.0000000000000001E-4"/>
    <n v="-1.5185"/>
    <n v="1.6688000000000001"/>
    <n v="-2.1057000000000001"/>
    <n v="1"/>
    <n v="413.9"/>
    <n v="2"/>
    <n v="432.3"/>
    <n v="0"/>
    <n v="0"/>
    <n v="0"/>
    <n v="0"/>
    <n v="0"/>
  </r>
  <r>
    <x v="1"/>
    <x v="0"/>
    <s v="SPX"/>
    <x v="9"/>
    <x v="327"/>
    <s v="p"/>
    <n v="0"/>
    <n v="0"/>
    <n v="0"/>
    <n v="0"/>
    <n v="0"/>
    <n v="1"/>
    <n v="423.4"/>
    <n v="2"/>
    <n v="442"/>
    <n v="0"/>
    <n v="0"/>
    <n v="0"/>
    <n v="0"/>
    <n v="0.2177"/>
    <n v="-0.93879999999999997"/>
    <n v="5.0000000000000001E-4"/>
    <n v="-1.3895999999999999"/>
    <n v="1.5549999999999999"/>
    <n v="-2.1208999999999998"/>
    <n v="1"/>
    <n v="423.9"/>
    <n v="2"/>
    <n v="442"/>
    <n v="0"/>
    <n v="0"/>
    <n v="0"/>
    <n v="0"/>
    <n v="0"/>
  </r>
  <r>
    <x v="1"/>
    <x v="0"/>
    <s v="SPX"/>
    <x v="9"/>
    <x v="267"/>
    <s v="p"/>
    <n v="0"/>
    <n v="0"/>
    <n v="0"/>
    <n v="0"/>
    <n v="0"/>
    <n v="1"/>
    <n v="432"/>
    <n v="2"/>
    <n v="451.3"/>
    <n v="0"/>
    <n v="0"/>
    <n v="0"/>
    <n v="0"/>
    <n v="0.22109999999999999"/>
    <n v="-0.93969999999999998"/>
    <n v="4.0000000000000002E-4"/>
    <n v="-1.3919999999999999"/>
    <n v="1.5361"/>
    <n v="-2.1261000000000001"/>
    <n v="2"/>
    <n v="434.5"/>
    <n v="1"/>
    <n v="457.4"/>
    <n v="0"/>
    <n v="0"/>
    <n v="0"/>
    <n v="115"/>
    <n v="0"/>
  </r>
  <r>
    <x v="1"/>
    <x v="0"/>
    <s v="SPX"/>
    <x v="9"/>
    <x v="328"/>
    <s v="p"/>
    <n v="0"/>
    <n v="0"/>
    <n v="0"/>
    <n v="0"/>
    <n v="0"/>
    <n v="1"/>
    <n v="442.9"/>
    <n v="1"/>
    <n v="461.9"/>
    <n v="0"/>
    <n v="0"/>
    <n v="0"/>
    <n v="0"/>
    <n v="0.2298"/>
    <n v="-0.93630000000000002"/>
    <n v="4.0000000000000002E-4"/>
    <n v="-1.5179"/>
    <n v="1.5978000000000001"/>
    <n v="-2.1221000000000001"/>
    <n v="1"/>
    <n v="443.9"/>
    <n v="2"/>
    <n v="462.2"/>
    <n v="0"/>
    <n v="0"/>
    <n v="0"/>
    <n v="0"/>
    <n v="0"/>
  </r>
  <r>
    <x v="1"/>
    <x v="0"/>
    <s v="SPX"/>
    <x v="9"/>
    <x v="543"/>
    <s v="p"/>
    <n v="0"/>
    <n v="0"/>
    <n v="0"/>
    <n v="0"/>
    <n v="0"/>
    <n v="1"/>
    <n v="452.9"/>
    <n v="2"/>
    <n v="470.6"/>
    <n v="0"/>
    <n v="0"/>
    <n v="0"/>
    <n v="0"/>
    <n v="0.2276"/>
    <n v="-0.94199999999999995"/>
    <n v="4.0000000000000002E-4"/>
    <n v="-1.3856999999999999"/>
    <n v="1.4903"/>
    <n v="-2.1366000000000001"/>
    <n v="2"/>
    <n v="453.9"/>
    <n v="1"/>
    <n v="477.3"/>
    <n v="0"/>
    <n v="0"/>
    <n v="0"/>
    <n v="0"/>
    <n v="0"/>
  </r>
  <r>
    <x v="1"/>
    <x v="0"/>
    <s v="SPX"/>
    <x v="9"/>
    <x v="268"/>
    <s v="p"/>
    <n v="0"/>
    <n v="0"/>
    <n v="0"/>
    <n v="0"/>
    <n v="0"/>
    <n v="1"/>
    <n v="457.8"/>
    <n v="2"/>
    <n v="476.2"/>
    <n v="0"/>
    <n v="0"/>
    <n v="0"/>
    <n v="0"/>
    <n v="0.23080000000000001"/>
    <n v="-0.94140000000000001"/>
    <n v="4.0000000000000002E-4"/>
    <n v="-1.4173"/>
    <n v="1.5002"/>
    <n v="-2.1371000000000002"/>
    <n v="2"/>
    <n v="459.5"/>
    <n v="1"/>
    <n v="482.3"/>
    <n v="0"/>
    <n v="0"/>
    <n v="0"/>
    <n v="6"/>
    <n v="0"/>
  </r>
  <r>
    <x v="1"/>
    <x v="0"/>
    <s v="SPX"/>
    <x v="9"/>
    <x v="544"/>
    <s v="p"/>
    <n v="0"/>
    <n v="0"/>
    <n v="0"/>
    <n v="0"/>
    <n v="0"/>
    <n v="1"/>
    <n v="462.8"/>
    <n v="2"/>
    <n v="481.9"/>
    <n v="0"/>
    <n v="0"/>
    <n v="0"/>
    <n v="0"/>
    <n v="0.23669999999999999"/>
    <n v="-0.93859999999999999"/>
    <n v="4.0000000000000002E-4"/>
    <n v="-1.5145"/>
    <n v="1.5524"/>
    <n v="-2.1328"/>
    <n v="1"/>
    <n v="463.8"/>
    <n v="2"/>
    <n v="481.9"/>
    <n v="0"/>
    <n v="0"/>
    <n v="0"/>
    <n v="0"/>
    <n v="0"/>
  </r>
  <r>
    <x v="1"/>
    <x v="0"/>
    <s v="SPX"/>
    <x v="9"/>
    <x v="545"/>
    <s v="p"/>
    <n v="0"/>
    <n v="0"/>
    <n v="0"/>
    <n v="0"/>
    <n v="0"/>
    <n v="1"/>
    <n v="471.6"/>
    <n v="3"/>
    <n v="491.9"/>
    <n v="0"/>
    <n v="0"/>
    <n v="0"/>
    <n v="0"/>
    <n v="0.24229999999999999"/>
    <n v="-0.93789999999999996"/>
    <n v="4.0000000000000002E-4"/>
    <n v="-1.5656000000000001"/>
    <n v="1.5642"/>
    <n v="-2.1341000000000001"/>
    <n v="1"/>
    <n v="473.8"/>
    <n v="2"/>
    <n v="491.9"/>
    <n v="0"/>
    <n v="0"/>
    <n v="0"/>
    <n v="0"/>
    <n v="0"/>
  </r>
  <r>
    <x v="1"/>
    <x v="0"/>
    <s v="SPX"/>
    <x v="9"/>
    <x v="269"/>
    <s v="p"/>
    <n v="0"/>
    <n v="0"/>
    <n v="0"/>
    <n v="0"/>
    <n v="0"/>
    <n v="1"/>
    <n v="482.8"/>
    <n v="1"/>
    <n v="502.1"/>
    <n v="0"/>
    <n v="0"/>
    <n v="0"/>
    <n v="0"/>
    <n v="0.24660000000000001"/>
    <n v="-0.93830000000000002"/>
    <n v="4.0000000000000002E-4"/>
    <n v="-1.5847"/>
    <n v="1.5557000000000001"/>
    <n v="-2.1381999999999999"/>
    <n v="1"/>
    <n v="483.8"/>
    <n v="2"/>
    <n v="503.3"/>
    <n v="0"/>
    <n v="0"/>
    <n v="0"/>
    <n v="6"/>
    <n v="0"/>
  </r>
  <r>
    <x v="1"/>
    <x v="0"/>
    <s v="SPX"/>
    <x v="9"/>
    <x v="546"/>
    <s v="p"/>
    <n v="0"/>
    <n v="0"/>
    <n v="0"/>
    <n v="0"/>
    <n v="0"/>
    <n v="1"/>
    <n v="492.8"/>
    <n v="2"/>
    <n v="510.5"/>
    <n v="0"/>
    <n v="0"/>
    <n v="0"/>
    <n v="0"/>
    <n v="0.2389"/>
    <n v="-0.94779999999999998"/>
    <n v="4.0000000000000002E-4"/>
    <n v="-1.3254999999999999"/>
    <n v="1.3715999999999999"/>
    <n v="-2.1608000000000001"/>
    <n v="3"/>
    <n v="493.7"/>
    <n v="1"/>
    <n v="517.20000000000005"/>
    <n v="0"/>
    <n v="0"/>
    <n v="0"/>
    <n v="0"/>
    <n v="0"/>
  </r>
  <r>
    <x v="1"/>
    <x v="0"/>
    <s v="SPX"/>
    <x v="9"/>
    <x v="547"/>
    <s v="p"/>
    <n v="0"/>
    <n v="0"/>
    <n v="0"/>
    <n v="0"/>
    <n v="0"/>
    <n v="1"/>
    <n v="502.7"/>
    <n v="1"/>
    <n v="521.79999999999995"/>
    <n v="0"/>
    <n v="0"/>
    <n v="0"/>
    <n v="0"/>
    <n v="0.25130000000000002"/>
    <n v="-0.94189999999999996"/>
    <n v="4.0000000000000002E-4"/>
    <n v="-1.5309999999999999"/>
    <n v="1.4843999999999999"/>
    <n v="-2.1518000000000002"/>
    <n v="1"/>
    <n v="503.7"/>
    <n v="2"/>
    <n v="523"/>
    <n v="0"/>
    <n v="0"/>
    <n v="0"/>
    <n v="0"/>
    <n v="0"/>
  </r>
  <r>
    <x v="1"/>
    <x v="0"/>
    <s v="SPX"/>
    <x v="9"/>
    <x v="270"/>
    <s v="p"/>
    <n v="0"/>
    <n v="0"/>
    <n v="0"/>
    <n v="0"/>
    <n v="0"/>
    <n v="1"/>
    <n v="507.7"/>
    <n v="1"/>
    <n v="526.79999999999995"/>
    <n v="0"/>
    <n v="0"/>
    <n v="0"/>
    <n v="0"/>
    <n v="0.25209999999999999"/>
    <n v="-0.94310000000000005"/>
    <n v="4.0000000000000002E-4"/>
    <n v="-1.5075000000000001"/>
    <n v="1.4604999999999999"/>
    <n v="-2.1556999999999999"/>
    <n v="1"/>
    <n v="508.7"/>
    <n v="2"/>
    <n v="527.1"/>
    <n v="0"/>
    <n v="0"/>
    <n v="0"/>
    <n v="1"/>
    <n v="0"/>
  </r>
  <r>
    <x v="1"/>
    <x v="0"/>
    <s v="SPX"/>
    <x v="9"/>
    <x v="548"/>
    <s v="p"/>
    <n v="0"/>
    <n v="0"/>
    <n v="0"/>
    <n v="0"/>
    <n v="0"/>
    <n v="1"/>
    <n v="512.70000000000005"/>
    <n v="1"/>
    <n v="531.79999999999995"/>
    <n v="0"/>
    <n v="0"/>
    <n v="0"/>
    <n v="0"/>
    <n v="0.2576"/>
    <n v="-0.94059999999999999"/>
    <n v="4.0000000000000002E-4"/>
    <n v="-1.6005"/>
    <n v="1.5084"/>
    <n v="-2.1518000000000002"/>
    <n v="1"/>
    <n v="513.70000000000005"/>
    <n v="2"/>
    <n v="532.1"/>
    <n v="0"/>
    <n v="0"/>
    <n v="0"/>
    <n v="0"/>
    <n v="0"/>
  </r>
  <r>
    <x v="1"/>
    <x v="0"/>
    <s v="SPX"/>
    <x v="9"/>
    <x v="549"/>
    <s v="p"/>
    <n v="0"/>
    <n v="0"/>
    <n v="0"/>
    <n v="0"/>
    <n v="0"/>
    <n v="1"/>
    <n v="521.4"/>
    <n v="1"/>
    <n v="541.79999999999995"/>
    <n v="0"/>
    <n v="0"/>
    <n v="0"/>
    <n v="0"/>
    <n v="0.26290000000000002"/>
    <n v="-0.94010000000000005"/>
    <n v="4.0000000000000002E-4"/>
    <n v="-1.6464000000000001"/>
    <n v="1.5173000000000001"/>
    <n v="-2.1536"/>
    <n v="1"/>
    <n v="523.70000000000005"/>
    <n v="2"/>
    <n v="542"/>
    <n v="0"/>
    <n v="0"/>
    <n v="0"/>
    <n v="0"/>
    <n v="0"/>
  </r>
  <r>
    <x v="1"/>
    <x v="0"/>
    <s v="SPX"/>
    <x v="9"/>
    <x v="329"/>
    <s v="p"/>
    <n v="0"/>
    <n v="0"/>
    <n v="0"/>
    <n v="0"/>
    <n v="0"/>
    <n v="1"/>
    <n v="532.70000000000005"/>
    <n v="1"/>
    <n v="551.70000000000005"/>
    <n v="0"/>
    <n v="0"/>
    <n v="0"/>
    <n v="0"/>
    <n v="0.26279999999999998"/>
    <n v="-0.94359999999999999"/>
    <n v="4.0000000000000002E-4"/>
    <n v="-1.5592999999999999"/>
    <n v="1.4480999999999999"/>
    <n v="-2.1642999999999999"/>
    <n v="1"/>
    <n v="533.6"/>
    <n v="2"/>
    <n v="552.1"/>
    <n v="0"/>
    <n v="0"/>
    <n v="0"/>
    <n v="1"/>
    <n v="0"/>
  </r>
  <r>
    <x v="1"/>
    <x v="0"/>
    <s v="SPX"/>
    <x v="9"/>
    <x v="550"/>
    <s v="p"/>
    <n v="0"/>
    <n v="0"/>
    <n v="0"/>
    <n v="0"/>
    <n v="0"/>
    <n v="1"/>
    <n v="542.6"/>
    <n v="2"/>
    <n v="562.1"/>
    <n v="0"/>
    <n v="0"/>
    <n v="0"/>
    <n v="0"/>
    <n v="0.26850000000000002"/>
    <n v="-0.94289999999999996"/>
    <n v="2.9999999999999997E-4"/>
    <n v="-1.6122000000000001"/>
    <n v="1.4617"/>
    <n v="-2.1657999999999999"/>
    <n v="1"/>
    <n v="543.6"/>
    <n v="2"/>
    <n v="562.1"/>
    <n v="0"/>
    <n v="0"/>
    <n v="0"/>
    <n v="0"/>
    <n v="0"/>
  </r>
  <r>
    <x v="1"/>
    <x v="0"/>
    <s v="SPX"/>
    <x v="9"/>
    <x v="551"/>
    <s v="p"/>
    <n v="0"/>
    <n v="0"/>
    <n v="0"/>
    <n v="0"/>
    <n v="0"/>
    <n v="1"/>
    <n v="552.70000000000005"/>
    <n v="2"/>
    <n v="570.9"/>
    <n v="0"/>
    <n v="0"/>
    <n v="0"/>
    <n v="0"/>
    <n v="0.26419999999999999"/>
    <n v="-0.94889999999999997"/>
    <n v="2.9999999999999997E-4"/>
    <n v="-1.4368000000000001"/>
    <n v="1.3412999999999999"/>
    <n v="-2.1812"/>
    <n v="2"/>
    <n v="554"/>
    <n v="1"/>
    <n v="577"/>
    <n v="0"/>
    <n v="0"/>
    <n v="0"/>
    <n v="0"/>
    <n v="0"/>
  </r>
  <r>
    <x v="1"/>
    <x v="0"/>
    <s v="SPX"/>
    <x v="9"/>
    <x v="330"/>
    <s v="p"/>
    <n v="0"/>
    <n v="0"/>
    <n v="0"/>
    <n v="0"/>
    <n v="0"/>
    <n v="1"/>
    <n v="557.6"/>
    <n v="2"/>
    <n v="575.9"/>
    <n v="0"/>
    <n v="0"/>
    <n v="0"/>
    <n v="0"/>
    <n v="0.26800000000000002"/>
    <n v="-0.94769999999999999"/>
    <n v="2.9999999999999997E-4"/>
    <n v="-1.4879"/>
    <n v="1.3645"/>
    <n v="-2.1800999999999999"/>
    <n v="2"/>
    <n v="559.29999999999995"/>
    <n v="1"/>
    <n v="582"/>
    <n v="0"/>
    <n v="0"/>
    <n v="0"/>
    <n v="0"/>
    <n v="0"/>
  </r>
  <r>
    <x v="1"/>
    <x v="0"/>
    <s v="SPX"/>
    <x v="9"/>
    <x v="552"/>
    <s v="p"/>
    <n v="0"/>
    <n v="0"/>
    <n v="0"/>
    <n v="0"/>
    <n v="0"/>
    <n v="1"/>
    <n v="562.6"/>
    <n v="2"/>
    <n v="581.70000000000005"/>
    <n v="0"/>
    <n v="0"/>
    <n v="0"/>
    <n v="0"/>
    <n v="0.27400000000000002"/>
    <n v="-0.94530000000000003"/>
    <n v="2.9999999999999997E-4"/>
    <n v="-1.5818000000000001"/>
    <n v="1.4113"/>
    <n v="-2.1768999999999998"/>
    <n v="1"/>
    <n v="563.6"/>
    <n v="2"/>
    <n v="581.70000000000005"/>
    <n v="0"/>
    <n v="0"/>
    <n v="0"/>
    <n v="1"/>
    <n v="0"/>
  </r>
  <r>
    <x v="1"/>
    <x v="0"/>
    <s v="SPX"/>
    <x v="9"/>
    <x v="553"/>
    <s v="p"/>
    <n v="0"/>
    <n v="0"/>
    <n v="0"/>
    <n v="0"/>
    <n v="0"/>
    <n v="1"/>
    <n v="571.20000000000005"/>
    <n v="1"/>
    <n v="591.70000000000005"/>
    <n v="0"/>
    <n v="0"/>
    <n v="0"/>
    <n v="0"/>
    <n v="0.27860000000000001"/>
    <n v="-0.94520000000000004"/>
    <n v="2.9999999999999997E-4"/>
    <n v="-1.6121000000000001"/>
    <n v="1.4127000000000001"/>
    <n v="-2.1793"/>
    <n v="1"/>
    <n v="573.6"/>
    <n v="2"/>
    <n v="592"/>
    <n v="0"/>
    <n v="0"/>
    <n v="0"/>
    <n v="0"/>
    <n v="0"/>
  </r>
  <r>
    <x v="1"/>
    <x v="0"/>
    <s v="SPX"/>
    <x v="9"/>
    <x v="271"/>
    <s v="p"/>
    <n v="0"/>
    <n v="0"/>
    <n v="0"/>
    <n v="0"/>
    <n v="0"/>
    <n v="1"/>
    <n v="582.6"/>
    <n v="1"/>
    <n v="601.6"/>
    <n v="0"/>
    <n v="0"/>
    <n v="0"/>
    <n v="0"/>
    <n v="0.28060000000000002"/>
    <n v="-0.94689999999999996"/>
    <n v="2.9999999999999997E-4"/>
    <n v="-1.5791999999999999"/>
    <n v="1.3785000000000001"/>
    <n v="-2.1861000000000002"/>
    <n v="1"/>
    <n v="583.5"/>
    <n v="2"/>
    <n v="602.29999999999995"/>
    <n v="0"/>
    <n v="0"/>
    <n v="0"/>
    <n v="1"/>
    <n v="0"/>
  </r>
  <r>
    <x v="1"/>
    <x v="0"/>
    <s v="SPX"/>
    <x v="9"/>
    <x v="554"/>
    <s v="p"/>
    <n v="0"/>
    <n v="0"/>
    <n v="0"/>
    <n v="0"/>
    <n v="0"/>
    <n v="1"/>
    <n v="592.5"/>
    <n v="2"/>
    <n v="610.79999999999995"/>
    <n v="0"/>
    <n v="0"/>
    <n v="0"/>
    <n v="0"/>
    <n v="0.27689999999999998"/>
    <n v="-0.95199999999999996"/>
    <n v="2.9999999999999997E-4"/>
    <n v="-1.4225000000000001"/>
    <n v="1.2734000000000001"/>
    <n v="-2.1996000000000002"/>
    <n v="2"/>
    <n v="594"/>
    <n v="1"/>
    <n v="617"/>
    <n v="0"/>
    <n v="0"/>
    <n v="0"/>
    <n v="0"/>
    <n v="0"/>
  </r>
  <r>
    <x v="1"/>
    <x v="0"/>
    <s v="SPX"/>
    <x v="9"/>
    <x v="555"/>
    <s v="p"/>
    <n v="0"/>
    <n v="0"/>
    <n v="0"/>
    <n v="0"/>
    <n v="0"/>
    <n v="1"/>
    <n v="602.5"/>
    <n v="1"/>
    <n v="621.6"/>
    <n v="0"/>
    <n v="0"/>
    <n v="0"/>
    <n v="0"/>
    <n v="0.28699999999999998"/>
    <n v="-0.94850000000000001"/>
    <n v="2.9999999999999997E-4"/>
    <n v="-1.5707"/>
    <n v="1.3439000000000001"/>
    <n v="-2.1955"/>
    <n v="1"/>
    <n v="603.5"/>
    <n v="2"/>
    <n v="621.79999999999995"/>
    <n v="0"/>
    <n v="0"/>
    <n v="0"/>
    <n v="0"/>
    <n v="0"/>
  </r>
  <r>
    <x v="1"/>
    <x v="0"/>
    <s v="SPX"/>
    <x v="9"/>
    <x v="331"/>
    <s v="p"/>
    <n v="0"/>
    <n v="0"/>
    <n v="0"/>
    <n v="0"/>
    <n v="0"/>
    <n v="1"/>
    <n v="607.6"/>
    <n v="2"/>
    <n v="626.5"/>
    <n v="0"/>
    <n v="0"/>
    <n v="0"/>
    <n v="0"/>
    <n v="0.28899999999999998"/>
    <n v="-0.9486"/>
    <n v="2.9999999999999997E-4"/>
    <n v="-1.5792999999999999"/>
    <n v="1.3416999999999999"/>
    <n v="-2.1972"/>
    <n v="2"/>
    <n v="609.70000000000005"/>
    <n v="1"/>
    <n v="631.9"/>
    <n v="0"/>
    <n v="0"/>
    <n v="0"/>
    <n v="0"/>
    <n v="0"/>
  </r>
  <r>
    <x v="1"/>
    <x v="0"/>
    <s v="SPX"/>
    <x v="9"/>
    <x v="556"/>
    <s v="p"/>
    <n v="0"/>
    <n v="0"/>
    <n v="0"/>
    <n v="0"/>
    <n v="0"/>
    <n v="1"/>
    <n v="612.5"/>
    <n v="2"/>
    <n v="630.9"/>
    <n v="0"/>
    <n v="0"/>
    <n v="0"/>
    <n v="0"/>
    <n v="0.28489999999999999"/>
    <n v="-0.95240000000000002"/>
    <n v="2.9999999999999997E-4"/>
    <n v="-1.4533"/>
    <n v="1.2639"/>
    <n v="-2.2063999999999999"/>
    <n v="2"/>
    <n v="614.1"/>
    <n v="1"/>
    <n v="636.9"/>
    <n v="0"/>
    <n v="0"/>
    <n v="0"/>
    <n v="0"/>
    <n v="0"/>
  </r>
  <r>
    <x v="1"/>
    <x v="0"/>
    <s v="SPX"/>
    <x v="9"/>
    <x v="557"/>
    <s v="p"/>
    <n v="0"/>
    <n v="0"/>
    <n v="0"/>
    <n v="0"/>
    <n v="0"/>
    <n v="1"/>
    <n v="621.1"/>
    <n v="3"/>
    <n v="641.79999999999995"/>
    <n v="0"/>
    <n v="0"/>
    <n v="0"/>
    <n v="0"/>
    <n v="0.29659999999999997"/>
    <n v="-0.94799999999999995"/>
    <n v="2.9999999999999997E-4"/>
    <n v="-1.6376999999999999"/>
    <n v="1.3522000000000001"/>
    <n v="-2.2002000000000002"/>
    <n v="1"/>
    <n v="623.5"/>
    <n v="2"/>
    <n v="641.79999999999995"/>
    <n v="0"/>
    <n v="0"/>
    <n v="0"/>
    <n v="0"/>
    <n v="0"/>
  </r>
  <r>
    <x v="1"/>
    <x v="0"/>
    <s v="SPX"/>
    <x v="9"/>
    <x v="332"/>
    <s v="p"/>
    <n v="0"/>
    <n v="0"/>
    <n v="0"/>
    <n v="0"/>
    <n v="0"/>
    <n v="1"/>
    <n v="632.5"/>
    <n v="2"/>
    <n v="650.70000000000005"/>
    <n v="0"/>
    <n v="0"/>
    <n v="0"/>
    <n v="0"/>
    <n v="0.29149999999999998"/>
    <n v="-0.9536"/>
    <n v="2.9999999999999997E-4"/>
    <n v="-1.4530000000000001"/>
    <n v="1.2382"/>
    <n v="-2.2147000000000001"/>
    <n v="2"/>
    <n v="633.9"/>
    <n v="1"/>
    <n v="656.9"/>
    <n v="0"/>
    <n v="0"/>
    <n v="0"/>
    <n v="0"/>
    <n v="0"/>
  </r>
  <r>
    <x v="1"/>
    <x v="0"/>
    <s v="SPX"/>
    <x v="9"/>
    <x v="558"/>
    <s v="p"/>
    <n v="0"/>
    <n v="0"/>
    <n v="0"/>
    <n v="0"/>
    <n v="0"/>
    <n v="1"/>
    <n v="642.5"/>
    <n v="1"/>
    <n v="661.5"/>
    <n v="0"/>
    <n v="0"/>
    <n v="0"/>
    <n v="0"/>
    <n v="0.30159999999999998"/>
    <n v="-0.95020000000000004"/>
    <n v="2.9999999999999997E-4"/>
    <n v="-1.6028"/>
    <n v="1.3067"/>
    <n v="-2.2109000000000001"/>
    <n v="1"/>
    <n v="643.4"/>
    <n v="2"/>
    <n v="662.7"/>
    <n v="0"/>
    <n v="0"/>
    <n v="0"/>
    <n v="0"/>
    <n v="0"/>
  </r>
  <r>
    <x v="1"/>
    <x v="0"/>
    <s v="SPX"/>
    <x v="9"/>
    <x v="559"/>
    <s v="p"/>
    <n v="0"/>
    <n v="0"/>
    <n v="0"/>
    <n v="0"/>
    <n v="0"/>
    <n v="1"/>
    <n v="652.4"/>
    <n v="2"/>
    <n v="671.8"/>
    <n v="0"/>
    <n v="0"/>
    <n v="0"/>
    <n v="0"/>
    <n v="0.30669999999999997"/>
    <n v="-0.94979999999999998"/>
    <n v="2.9999999999999997E-4"/>
    <n v="-1.6396999999999999"/>
    <n v="1.3129"/>
    <n v="-2.2132000000000001"/>
    <n v="1"/>
    <n v="653.4"/>
    <n v="2"/>
    <n v="671.8"/>
    <n v="0"/>
    <n v="0"/>
    <n v="0"/>
    <n v="0"/>
    <n v="0"/>
  </r>
  <r>
    <x v="1"/>
    <x v="0"/>
    <s v="SPX"/>
    <x v="9"/>
    <x v="333"/>
    <s v="p"/>
    <n v="0"/>
    <n v="0"/>
    <n v="0"/>
    <n v="0"/>
    <n v="0"/>
    <n v="1"/>
    <n v="656"/>
    <n v="2"/>
    <n v="676.5"/>
    <n v="0"/>
    <n v="0"/>
    <n v="0"/>
    <n v="0"/>
    <n v="0.30690000000000001"/>
    <n v="-0.95089999999999997"/>
    <n v="2.9999999999999997E-4"/>
    <n v="-1.6084000000000001"/>
    <n v="1.2901"/>
    <n v="-2.2166000000000001"/>
    <n v="1"/>
    <n v="658.4"/>
    <n v="2"/>
    <n v="676.5"/>
    <n v="0"/>
    <n v="0"/>
    <n v="0"/>
    <n v="7"/>
    <n v="0"/>
  </r>
  <r>
    <x v="1"/>
    <x v="0"/>
    <s v="SPX"/>
    <x v="9"/>
    <x v="560"/>
    <s v="p"/>
    <n v="0"/>
    <n v="0"/>
    <n v="0"/>
    <n v="0"/>
    <n v="0"/>
    <n v="1"/>
    <n v="662.4"/>
    <n v="1"/>
    <n v="681.5"/>
    <n v="0"/>
    <n v="0"/>
    <n v="0"/>
    <n v="0"/>
    <n v="0.30780000000000002"/>
    <n v="-0.9516"/>
    <n v="2.9999999999999997E-4"/>
    <n v="-1.5928"/>
    <n v="1.2758"/>
    <n v="-2.2198000000000002"/>
    <n v="1"/>
    <n v="663.4"/>
    <n v="2"/>
    <n v="681.7"/>
    <n v="0"/>
    <n v="0"/>
    <n v="0"/>
    <n v="0"/>
    <n v="0"/>
  </r>
  <r>
    <x v="1"/>
    <x v="0"/>
    <s v="SPX"/>
    <x v="9"/>
    <x v="561"/>
    <s v="p"/>
    <n v="0"/>
    <n v="0"/>
    <n v="0"/>
    <n v="0"/>
    <n v="0"/>
    <n v="1"/>
    <n v="672.4"/>
    <n v="2"/>
    <n v="690.5"/>
    <n v="0"/>
    <n v="0"/>
    <n v="0"/>
    <n v="0"/>
    <n v="0.3039"/>
    <n v="-0.95609999999999995"/>
    <n v="2.9999999999999997E-4"/>
    <n v="-1.4401999999999999"/>
    <n v="1.1838"/>
    <n v="-2.2317999999999998"/>
    <n v="2"/>
    <n v="673.8"/>
    <n v="1"/>
    <n v="696.8"/>
    <n v="0"/>
    <n v="0"/>
    <n v="0"/>
    <n v="0"/>
    <n v="0"/>
  </r>
  <r>
    <x v="1"/>
    <x v="0"/>
    <s v="SPX"/>
    <x v="9"/>
    <x v="272"/>
    <s v="p"/>
    <n v="0"/>
    <n v="0"/>
    <n v="0"/>
    <n v="0"/>
    <n v="0"/>
    <n v="1"/>
    <n v="682.9"/>
    <n v="2"/>
    <n v="701.5"/>
    <n v="0"/>
    <n v="0"/>
    <n v="0"/>
    <n v="0"/>
    <n v="0.3095"/>
    <n v="-0.95550000000000002"/>
    <n v="2.0000000000000001E-4"/>
    <n v="-1.4842"/>
    <n v="1.1946000000000001"/>
    <n v="-2.2334000000000001"/>
    <n v="1"/>
    <n v="683.3"/>
    <n v="2"/>
    <n v="701.5"/>
    <n v="0"/>
    <n v="0"/>
    <n v="0"/>
    <n v="56"/>
    <n v="0"/>
  </r>
  <r>
    <x v="1"/>
    <x v="0"/>
    <s v="SPX"/>
    <x v="9"/>
    <x v="562"/>
    <s v="p"/>
    <n v="0"/>
    <n v="0"/>
    <n v="0"/>
    <n v="0"/>
    <n v="0"/>
    <n v="1"/>
    <n v="692.4"/>
    <n v="2"/>
    <n v="710.7"/>
    <n v="0"/>
    <n v="0"/>
    <n v="0"/>
    <n v="0"/>
    <n v="0.31269999999999998"/>
    <n v="-0.95579999999999998"/>
    <n v="2.0000000000000001E-4"/>
    <n v="-1.4888999999999999"/>
    <n v="1.1872"/>
    <n v="-2.2372999999999998"/>
    <n v="2"/>
    <n v="693.9"/>
    <n v="1"/>
    <n v="716.8"/>
    <n v="0"/>
    <n v="0"/>
    <n v="0"/>
    <n v="0"/>
    <n v="0"/>
  </r>
  <r>
    <x v="1"/>
    <x v="0"/>
    <s v="SPX"/>
    <x v="9"/>
    <x v="563"/>
    <s v="p"/>
    <n v="0"/>
    <n v="0"/>
    <n v="0"/>
    <n v="0"/>
    <n v="0"/>
    <n v="1"/>
    <n v="702.4"/>
    <n v="2"/>
    <n v="720.7"/>
    <n v="0"/>
    <n v="0"/>
    <n v="0"/>
    <n v="0"/>
    <n v="0.31619999999999998"/>
    <n v="-0.95620000000000005"/>
    <n v="2.0000000000000001E-4"/>
    <n v="-1.4947999999999999"/>
    <n v="1.1794"/>
    <n v="-2.2410000000000001"/>
    <n v="2"/>
    <n v="703.9"/>
    <n v="1"/>
    <n v="726.8"/>
    <n v="0"/>
    <n v="0"/>
    <n v="0"/>
    <n v="0"/>
    <n v="0"/>
  </r>
  <r>
    <x v="1"/>
    <x v="0"/>
    <s v="SPX"/>
    <x v="9"/>
    <x v="334"/>
    <s v="p"/>
    <n v="0"/>
    <n v="0"/>
    <n v="0"/>
    <n v="0"/>
    <n v="0"/>
    <n v="1"/>
    <n v="706.5"/>
    <n v="2"/>
    <n v="726.7"/>
    <n v="0"/>
    <n v="0"/>
    <n v="0"/>
    <n v="0"/>
    <n v="0.32550000000000001"/>
    <n v="-0.95240000000000002"/>
    <n v="2.0000000000000001E-4"/>
    <n v="-1.6573"/>
    <n v="1.2554000000000001"/>
    <n v="-2.2349999999999999"/>
    <n v="1"/>
    <n v="708.3"/>
    <n v="2"/>
    <n v="726.7"/>
    <n v="0"/>
    <n v="0"/>
    <n v="0"/>
    <n v="0"/>
    <n v="0"/>
  </r>
  <r>
    <x v="1"/>
    <x v="0"/>
    <s v="SPX"/>
    <x v="9"/>
    <x v="564"/>
    <s v="p"/>
    <n v="0"/>
    <n v="0"/>
    <n v="0"/>
    <n v="0"/>
    <n v="0"/>
    <n v="1"/>
    <n v="710.9"/>
    <n v="3"/>
    <n v="731.7"/>
    <n v="0"/>
    <n v="0"/>
    <n v="0"/>
    <n v="0"/>
    <n v="0.3281"/>
    <n v="-0.95220000000000005"/>
    <n v="2.0000000000000001E-4"/>
    <n v="-1.6794"/>
    <n v="1.2605999999999999"/>
    <n v="-2.2357"/>
    <n v="1"/>
    <n v="713.3"/>
    <n v="2"/>
    <n v="731.7"/>
    <n v="0"/>
    <n v="0"/>
    <n v="0"/>
    <n v="0"/>
    <n v="0"/>
  </r>
  <r>
    <x v="1"/>
    <x v="0"/>
    <s v="SPX"/>
    <x v="9"/>
    <x v="565"/>
    <s v="p"/>
    <n v="0"/>
    <n v="0"/>
    <n v="0"/>
    <n v="0"/>
    <n v="0"/>
    <n v="1"/>
    <n v="721.3"/>
    <n v="2"/>
    <n v="741.1"/>
    <n v="0"/>
    <n v="0"/>
    <n v="0"/>
    <n v="0"/>
    <n v="0.3256"/>
    <n v="-0.9556"/>
    <n v="2.0000000000000001E-4"/>
    <n v="-1.5566"/>
    <n v="1.1893"/>
    <n v="-2.2458999999999998"/>
    <n v="2"/>
    <n v="724.4"/>
    <n v="1"/>
    <n v="746.8"/>
    <n v="0"/>
    <n v="0"/>
    <n v="0"/>
    <n v="0"/>
    <n v="0"/>
  </r>
  <r>
    <x v="1"/>
    <x v="0"/>
    <s v="SPX"/>
    <x v="9"/>
    <x v="335"/>
    <s v="p"/>
    <n v="0"/>
    <n v="0"/>
    <n v="0"/>
    <n v="0"/>
    <n v="0"/>
    <n v="1"/>
    <n v="731.1"/>
    <n v="2"/>
    <n v="751.6"/>
    <n v="0"/>
    <n v="0"/>
    <n v="0"/>
    <n v="0"/>
    <n v="0.33550000000000002"/>
    <n v="-0.95269999999999999"/>
    <n v="2.0000000000000001E-4"/>
    <n v="-1.7009000000000001"/>
    <n v="1.2491000000000001"/>
    <n v="-2.2427000000000001"/>
    <n v="1"/>
    <n v="733.3"/>
    <n v="2"/>
    <n v="751.6"/>
    <n v="0"/>
    <n v="0"/>
    <n v="0"/>
    <n v="0"/>
    <n v="0"/>
  </r>
  <r>
    <x v="1"/>
    <x v="0"/>
    <s v="SPX"/>
    <x v="9"/>
    <x v="566"/>
    <s v="p"/>
    <n v="0"/>
    <n v="0"/>
    <n v="0"/>
    <n v="0"/>
    <n v="0"/>
    <n v="1"/>
    <n v="741.1"/>
    <n v="2"/>
    <n v="760.6"/>
    <n v="0"/>
    <n v="0"/>
    <n v="0"/>
    <n v="0"/>
    <n v="0.33029999999999998"/>
    <n v="-0.95740000000000003"/>
    <n v="2.0000000000000001E-4"/>
    <n v="-1.5223"/>
    <n v="1.1520999999999999"/>
    <n v="-2.2551000000000001"/>
    <n v="2"/>
    <n v="743.9"/>
    <n v="1"/>
    <n v="766.7"/>
    <n v="0"/>
    <n v="0"/>
    <n v="0"/>
    <n v="0"/>
    <n v="0"/>
  </r>
  <r>
    <x v="1"/>
    <x v="0"/>
    <s v="SPX"/>
    <x v="9"/>
    <x v="567"/>
    <s v="p"/>
    <n v="0"/>
    <n v="0"/>
    <n v="0"/>
    <n v="0"/>
    <n v="0"/>
    <n v="1"/>
    <n v="757.3"/>
    <n v="1"/>
    <n v="776.3"/>
    <n v="0"/>
    <n v="0"/>
    <n v="0"/>
    <n v="0"/>
    <n v="0.3407"/>
    <n v="-0.95530000000000004"/>
    <n v="2.0000000000000001E-4"/>
    <n v="-1.6382000000000001"/>
    <n v="1.1934"/>
    <n v="-2.2557999999999998"/>
    <n v="1"/>
    <n v="758.2"/>
    <n v="2"/>
    <n v="776.6"/>
    <n v="0"/>
    <n v="0"/>
    <n v="0"/>
    <n v="0"/>
    <n v="0"/>
  </r>
  <r>
    <x v="1"/>
    <x v="0"/>
    <s v="SPX"/>
    <x v="9"/>
    <x v="273"/>
    <s v="p"/>
    <n v="0"/>
    <n v="0"/>
    <n v="0"/>
    <n v="0"/>
    <n v="0"/>
    <n v="6"/>
    <n v="790.5"/>
    <n v="6"/>
    <n v="794.5"/>
    <n v="0"/>
    <n v="0"/>
    <n v="0"/>
    <n v="0"/>
    <n v="0.2319"/>
    <n v="-0.99539999999999995"/>
    <n v="1E-4"/>
    <n v="-6.0900000000000003E-2"/>
    <n v="0.18479999999999999"/>
    <n v="-2.3441999999999998"/>
    <n v="6"/>
    <n v="790"/>
    <n v="6"/>
    <n v="797.8"/>
    <n v="0"/>
    <n v="0"/>
    <n v="0"/>
    <n v="2735"/>
    <n v="0"/>
  </r>
  <r>
    <x v="1"/>
    <x v="0"/>
    <s v="SPX"/>
    <x v="9"/>
    <x v="568"/>
    <s v="p"/>
    <n v="0"/>
    <n v="0"/>
    <n v="0"/>
    <n v="0"/>
    <n v="0"/>
    <n v="1"/>
    <n v="807.2"/>
    <n v="2"/>
    <n v="825.4"/>
    <n v="0"/>
    <n v="0"/>
    <n v="0"/>
    <n v="0"/>
    <n v="0.34960000000000002"/>
    <n v="-0.96060000000000001"/>
    <n v="2.0000000000000001E-4"/>
    <n v="-1.4953000000000001"/>
    <n v="1.0787"/>
    <n v="-2.2816000000000001"/>
    <n v="2"/>
    <n v="808.6"/>
    <n v="1"/>
    <n v="831.6"/>
    <n v="0"/>
    <n v="0"/>
    <n v="0"/>
    <n v="0"/>
    <n v="0"/>
  </r>
  <r>
    <x v="1"/>
    <x v="0"/>
    <s v="SPX"/>
    <x v="9"/>
    <x v="569"/>
    <s v="p"/>
    <n v="0"/>
    <n v="0"/>
    <n v="0"/>
    <n v="0"/>
    <n v="0"/>
    <n v="1"/>
    <n v="832.1"/>
    <n v="3"/>
    <n v="851.2"/>
    <n v="0"/>
    <n v="0"/>
    <n v="0"/>
    <n v="0"/>
    <n v="0.36449999999999999"/>
    <n v="-0.95850000000000002"/>
    <n v="2.0000000000000001E-4"/>
    <n v="-1.6374"/>
    <n v="1.1234999999999999"/>
    <n v="-2.2847"/>
    <n v="1"/>
    <n v="833.1"/>
    <n v="2"/>
    <n v="851.2"/>
    <n v="0"/>
    <n v="0"/>
    <n v="0"/>
    <n v="0"/>
    <n v="0"/>
  </r>
  <r>
    <x v="1"/>
    <x v="0"/>
    <s v="SPX"/>
    <x v="9"/>
    <x v="570"/>
    <s v="p"/>
    <n v="0"/>
    <n v="0"/>
    <n v="0"/>
    <n v="0"/>
    <n v="0"/>
    <n v="1"/>
    <n v="857.1"/>
    <n v="2"/>
    <n v="876.4"/>
    <n v="0"/>
    <n v="0"/>
    <n v="0"/>
    <n v="0"/>
    <n v="0.36880000000000002"/>
    <n v="-0.96099999999999997"/>
    <n v="2.0000000000000001E-4"/>
    <n v="-1.5610999999999999"/>
    <n v="1.0669"/>
    <n v="-2.2972000000000001"/>
    <n v="1"/>
    <n v="858.1"/>
    <n v="2"/>
    <n v="876.4"/>
    <n v="0"/>
    <n v="0"/>
    <n v="0"/>
    <n v="0"/>
    <n v="0"/>
  </r>
  <r>
    <x v="1"/>
    <x v="0"/>
    <s v="SPX"/>
    <x v="9"/>
    <x v="336"/>
    <s v="p"/>
    <n v="0"/>
    <n v="0"/>
    <n v="0"/>
    <n v="0"/>
    <n v="0"/>
    <n v="1"/>
    <n v="881.2"/>
    <n v="2"/>
    <n v="902.5"/>
    <n v="0"/>
    <n v="0"/>
    <n v="0"/>
    <n v="0"/>
    <n v="0.38950000000000001"/>
    <n v="-0.95650000000000002"/>
    <n v="2.0000000000000001E-4"/>
    <n v="-1.8268"/>
    <n v="1.1632"/>
    <n v="-2.2953999999999999"/>
    <n v="1"/>
    <n v="883"/>
    <n v="2"/>
    <n v="902.6"/>
    <n v="0"/>
    <n v="0"/>
    <n v="0"/>
    <n v="0"/>
    <n v="0"/>
  </r>
  <r>
    <x v="1"/>
    <x v="0"/>
    <s v="SPX"/>
    <x v="9"/>
    <x v="571"/>
    <s v="p"/>
    <n v="0"/>
    <n v="0"/>
    <n v="0"/>
    <n v="0"/>
    <n v="0"/>
    <n v="1"/>
    <n v="907"/>
    <n v="1"/>
    <n v="926.1"/>
    <n v="0"/>
    <n v="0"/>
    <n v="0"/>
    <n v="0"/>
    <n v="0.38879999999999998"/>
    <n v="-0.9607"/>
    <n v="2.0000000000000001E-4"/>
    <n v="-1.6578999999999999"/>
    <n v="1.0717000000000001"/>
    <n v="-2.3117999999999999"/>
    <n v="1"/>
    <n v="908"/>
    <n v="2"/>
    <n v="926.3"/>
    <n v="0"/>
    <n v="0"/>
    <n v="0"/>
    <n v="0"/>
    <n v="0"/>
  </r>
  <r>
    <x v="1"/>
    <x v="0"/>
    <s v="SPX"/>
    <x v="9"/>
    <x v="572"/>
    <s v="p"/>
    <n v="0"/>
    <n v="0"/>
    <n v="0"/>
    <n v="0"/>
    <n v="0"/>
    <n v="1"/>
    <n v="932"/>
    <n v="2"/>
    <n v="950.7"/>
    <n v="0"/>
    <n v="0"/>
    <n v="0"/>
    <n v="0"/>
    <n v="0.39439999999999997"/>
    <n v="-0.96230000000000004"/>
    <n v="2.0000000000000001E-4"/>
    <n v="-1.6175999999999999"/>
    <n v="1.0356000000000001"/>
    <n v="-2.3224999999999998"/>
    <n v="2"/>
    <n v="934"/>
    <n v="1"/>
    <n v="956.4"/>
    <n v="0"/>
    <n v="0"/>
    <n v="0"/>
    <n v="0"/>
    <n v="0"/>
  </r>
  <r>
    <x v="1"/>
    <x v="0"/>
    <s v="SPX"/>
    <x v="9"/>
    <x v="573"/>
    <s v="p"/>
    <n v="0"/>
    <n v="0"/>
    <n v="0"/>
    <n v="0"/>
    <n v="0"/>
    <n v="1"/>
    <n v="956.9"/>
    <n v="1"/>
    <n v="976"/>
    <n v="0"/>
    <n v="0"/>
    <n v="0"/>
    <n v="0"/>
    <n v="0.40439999999999998"/>
    <n v="-0.96220000000000006"/>
    <n v="2.0000000000000001E-4"/>
    <n v="-1.6636"/>
    <n v="1.0375000000000001"/>
    <n v="-2.3298000000000001"/>
    <n v="1"/>
    <n v="957.9"/>
    <n v="2"/>
    <n v="976.4"/>
    <n v="0"/>
    <n v="0"/>
    <n v="0"/>
    <n v="0"/>
    <n v="0"/>
  </r>
  <r>
    <x v="1"/>
    <x v="0"/>
    <s v="SPX"/>
    <x v="9"/>
    <x v="274"/>
    <s v="p"/>
    <n v="0"/>
    <n v="0"/>
    <n v="0"/>
    <n v="0"/>
    <n v="0"/>
    <n v="1"/>
    <n v="981.9"/>
    <n v="1"/>
    <n v="1001"/>
    <n v="0"/>
    <n v="0"/>
    <n v="0"/>
    <n v="0"/>
    <n v="0.41389999999999999"/>
    <n v="-0.96220000000000006"/>
    <n v="2.0000000000000001E-4"/>
    <n v="-1.7016"/>
    <n v="1.0362"/>
    <n v="-2.3372999999999999"/>
    <n v="1"/>
    <n v="982.9"/>
    <n v="2"/>
    <n v="1002.4"/>
    <n v="0"/>
    <n v="0"/>
    <n v="0"/>
    <n v="0"/>
    <n v="0"/>
  </r>
  <r>
    <x v="1"/>
    <x v="0"/>
    <s v="SPX"/>
    <x v="9"/>
    <x v="574"/>
    <s v="p"/>
    <n v="0"/>
    <n v="0"/>
    <n v="0"/>
    <n v="0"/>
    <n v="0"/>
    <n v="1"/>
    <n v="1007.4"/>
    <n v="2"/>
    <n v="1025.2"/>
    <n v="0"/>
    <n v="0"/>
    <n v="0"/>
    <n v="0"/>
    <n v="0.40500000000000003"/>
    <n v="-0.96879999999999999"/>
    <n v="1E-4"/>
    <n v="-1.3874"/>
    <n v="0.88759999999999994"/>
    <n v="-2.3576999999999999"/>
    <n v="2"/>
    <n v="1008.5"/>
    <n v="1"/>
    <n v="1031.3"/>
    <n v="0"/>
    <n v="0"/>
    <n v="0"/>
    <n v="0"/>
    <n v="0"/>
  </r>
  <r>
    <x v="1"/>
    <x v="0"/>
    <s v="SPX"/>
    <x v="9"/>
    <x v="575"/>
    <s v="p"/>
    <n v="0"/>
    <n v="0"/>
    <n v="0"/>
    <n v="0"/>
    <n v="0"/>
    <n v="1"/>
    <n v="1030.4000000000001"/>
    <n v="2"/>
    <n v="1050.2"/>
    <n v="0"/>
    <n v="0"/>
    <n v="0"/>
    <n v="0"/>
    <n v="0.42159999999999997"/>
    <n v="-0.96619999999999995"/>
    <n v="1E-4"/>
    <n v="-1.5588"/>
    <n v="0.94520000000000004"/>
    <n v="-2.36"/>
    <n v="2"/>
    <n v="1033.4000000000001"/>
    <n v="1"/>
    <n v="1056.3"/>
    <n v="0"/>
    <n v="0"/>
    <n v="0"/>
    <n v="0"/>
    <n v="0"/>
  </r>
  <r>
    <x v="1"/>
    <x v="0"/>
    <s v="SPX"/>
    <x v="9"/>
    <x v="576"/>
    <s v="p"/>
    <n v="0"/>
    <n v="0"/>
    <n v="0"/>
    <n v="0"/>
    <n v="0"/>
    <n v="1"/>
    <n v="1056.7"/>
    <n v="2"/>
    <n v="1075.0999999999999"/>
    <n v="0"/>
    <n v="0"/>
    <n v="0"/>
    <n v="0"/>
    <n v="0.42730000000000001"/>
    <n v="-0.96730000000000005"/>
    <n v="1E-4"/>
    <n v="-1.5275000000000001"/>
    <n v="0.91839999999999999"/>
    <n v="-2.3700999999999999"/>
    <n v="2"/>
    <n v="1058.4000000000001"/>
    <n v="1"/>
    <n v="1081.3"/>
    <n v="0"/>
    <n v="0"/>
    <n v="0"/>
    <n v="0"/>
    <n v="0"/>
  </r>
  <r>
    <x v="1"/>
    <x v="0"/>
    <s v="SPX"/>
    <x v="9"/>
    <x v="577"/>
    <s v="p"/>
    <n v="0"/>
    <n v="0"/>
    <n v="0"/>
    <n v="0"/>
    <n v="0"/>
    <n v="1"/>
    <n v="1081.8"/>
    <n v="4"/>
    <n v="1102.3"/>
    <n v="0"/>
    <n v="0"/>
    <n v="0"/>
    <n v="0"/>
    <n v="0.45200000000000001"/>
    <n v="-0.96230000000000004"/>
    <n v="2.0000000000000001E-4"/>
    <n v="-1.8511"/>
    <n v="1.0301"/>
    <n v="-2.3672"/>
    <n v="1"/>
    <n v="1082.7"/>
    <n v="2"/>
    <n v="1102.3"/>
    <n v="0"/>
    <n v="0"/>
    <n v="0"/>
    <n v="0"/>
    <n v="0"/>
  </r>
  <r>
    <x v="1"/>
    <x v="0"/>
    <s v="SPX"/>
    <x v="9"/>
    <x v="578"/>
    <s v="p"/>
    <n v="0"/>
    <n v="0"/>
    <n v="0"/>
    <n v="0"/>
    <n v="0"/>
    <n v="1"/>
    <n v="1106"/>
    <n v="2"/>
    <n v="1125.0999999999999"/>
    <n v="0"/>
    <n v="0"/>
    <n v="0"/>
    <n v="0"/>
    <n v="0.4446"/>
    <n v="-0.96760000000000002"/>
    <n v="1E-4"/>
    <n v="-1.5764"/>
    <n v="0.91110000000000002"/>
    <n v="-2.3856000000000002"/>
    <n v="2"/>
    <n v="1108.3"/>
    <n v="1"/>
    <n v="1131.2"/>
    <n v="0"/>
    <n v="0"/>
    <n v="0"/>
    <n v="0"/>
    <n v="0"/>
  </r>
  <r>
    <x v="1"/>
    <x v="0"/>
    <s v="SPX"/>
    <x v="9"/>
    <x v="275"/>
    <s v="p"/>
    <n v="0"/>
    <n v="0"/>
    <n v="0"/>
    <n v="0"/>
    <n v="0"/>
    <n v="1"/>
    <n v="1181.5999999999999"/>
    <n v="2"/>
    <n v="1199.7"/>
    <n v="0"/>
    <n v="0"/>
    <n v="0"/>
    <n v="0"/>
    <n v="0.46339999999999998"/>
    <n v="-0.97"/>
    <n v="1E-4"/>
    <n v="-1.5233000000000001"/>
    <n v="0.85460000000000003"/>
    <n v="-2.4127999999999998"/>
    <n v="2"/>
    <n v="1182.9000000000001"/>
    <n v="1"/>
    <n v="1206"/>
    <n v="0"/>
    <n v="0"/>
    <n v="0"/>
    <n v="1"/>
    <n v="0"/>
  </r>
  <r>
    <x v="1"/>
    <x v="0"/>
    <s v="SPX"/>
    <x v="9"/>
    <x v="579"/>
    <s v="p"/>
    <n v="0"/>
    <n v="0"/>
    <n v="0"/>
    <n v="0"/>
    <n v="0"/>
    <n v="1"/>
    <n v="1280.5999999999999"/>
    <n v="1"/>
    <n v="1301.9000000000001"/>
    <n v="0"/>
    <n v="0"/>
    <n v="0"/>
    <n v="0"/>
    <n v="0.51349999999999996"/>
    <n v="-0.96589999999999998"/>
    <n v="1E-4"/>
    <n v="-1.9079999999999999"/>
    <n v="0.94430000000000003"/>
    <n v="-2.4342999999999999"/>
    <n v="1"/>
    <n v="1282.4000000000001"/>
    <n v="2"/>
    <n v="1302"/>
    <n v="0"/>
    <n v="0"/>
    <n v="0"/>
    <n v="7"/>
    <n v="0"/>
  </r>
  <r>
    <x v="1"/>
    <x v="0"/>
    <s v="SPX"/>
    <x v="9"/>
    <x v="276"/>
    <s v="p"/>
    <n v="0"/>
    <n v="0"/>
    <n v="0"/>
    <n v="0"/>
    <n v="0"/>
    <n v="1"/>
    <n v="1381.3"/>
    <n v="1"/>
    <n v="1400.4"/>
    <n v="0"/>
    <n v="0"/>
    <n v="0"/>
    <n v="0"/>
    <n v="0.53180000000000005"/>
    <n v="-0.97030000000000005"/>
    <n v="1E-4"/>
    <n v="-1.7276"/>
    <n v="0.84370000000000001"/>
    <n v="-2.4731999999999998"/>
    <n v="1"/>
    <n v="1382.3"/>
    <n v="2"/>
    <n v="1401.2"/>
    <n v="0"/>
    <n v="0"/>
    <n v="0"/>
    <n v="1"/>
    <n v="0"/>
  </r>
  <r>
    <x v="1"/>
    <x v="0"/>
    <s v="SPX"/>
    <x v="9"/>
    <x v="580"/>
    <s v="p"/>
    <n v="0"/>
    <n v="0"/>
    <n v="0"/>
    <n v="0"/>
    <n v="0"/>
    <n v="1"/>
    <n v="1481.2"/>
    <n v="2"/>
    <n v="1499.3"/>
    <n v="0"/>
    <n v="0"/>
    <n v="0"/>
    <n v="0"/>
    <n v="0.54890000000000005"/>
    <n v="-0.97419999999999995"/>
    <n v="1E-4"/>
    <n v="-1.5516000000000001"/>
    <n v="0.75060000000000004"/>
    <n v="-2.5108000000000001"/>
    <n v="2"/>
    <n v="1482.6"/>
    <n v="1"/>
    <n v="1505.6"/>
    <n v="0"/>
    <n v="0"/>
    <n v="0"/>
    <n v="0"/>
    <n v="0"/>
  </r>
  <r>
    <x v="1"/>
    <x v="0"/>
    <s v="SPX"/>
    <x v="9"/>
    <x v="277"/>
    <s v="p"/>
    <n v="0"/>
    <n v="0"/>
    <n v="0"/>
    <n v="0"/>
    <n v="0"/>
    <n v="1"/>
    <n v="1581.1"/>
    <n v="1"/>
    <n v="1600.1"/>
    <n v="0"/>
    <n v="0"/>
    <n v="0"/>
    <n v="0"/>
    <n v="0.58899999999999997"/>
    <n v="-0.97250000000000003"/>
    <n v="1E-4"/>
    <n v="-1.7686999999999999"/>
    <n v="0.78849999999999998"/>
    <n v="-2.5373999999999999"/>
    <n v="1"/>
    <n v="1582"/>
    <n v="2"/>
    <n v="1600.4"/>
    <n v="0"/>
    <n v="0"/>
    <n v="0"/>
    <n v="0"/>
    <n v="0"/>
  </r>
  <r>
    <x v="1"/>
    <x v="0"/>
    <s v="SPX"/>
    <x v="9"/>
    <x v="581"/>
    <s v="p"/>
    <n v="0"/>
    <n v="0"/>
    <n v="0"/>
    <n v="0"/>
    <n v="0"/>
    <n v="1"/>
    <n v="1680.9"/>
    <n v="2"/>
    <n v="1700.2"/>
    <n v="0"/>
    <n v="0"/>
    <n v="0"/>
    <n v="0"/>
    <n v="0.61929999999999996"/>
    <n v="-0.97299999999999998"/>
    <n v="1E-4"/>
    <n v="-1.8289"/>
    <n v="0.77690000000000003"/>
    <n v="-2.5680999999999998"/>
    <n v="1"/>
    <n v="1681.8"/>
    <n v="2"/>
    <n v="1700.2"/>
    <n v="0"/>
    <n v="0"/>
    <n v="0"/>
    <n v="0"/>
    <n v="0"/>
  </r>
  <r>
    <x v="1"/>
    <x v="0"/>
    <s v="SPX"/>
    <x v="9"/>
    <x v="278"/>
    <s v="p"/>
    <n v="0"/>
    <n v="0"/>
    <n v="0"/>
    <n v="0"/>
    <n v="0"/>
    <n v="1"/>
    <n v="1780.7"/>
    <n v="1"/>
    <n v="1799.8"/>
    <n v="0"/>
    <n v="0"/>
    <n v="0"/>
    <n v="0"/>
    <n v="0.64239999999999997"/>
    <n v="-0.97470000000000001"/>
    <n v="1E-4"/>
    <n v="-1.7750999999999999"/>
    <n v="0.73450000000000004"/>
    <n v="-2.6013999999999999"/>
    <n v="1"/>
    <n v="1781.7"/>
    <n v="2"/>
    <n v="1800.4"/>
    <n v="0"/>
    <n v="0"/>
    <n v="0"/>
    <n v="7"/>
    <n v="0"/>
  </r>
  <r>
    <x v="1"/>
    <x v="0"/>
    <s v="SPX"/>
    <x v="9"/>
    <x v="279"/>
    <s v="p"/>
    <n v="0"/>
    <n v="0"/>
    <n v="0"/>
    <n v="0"/>
    <n v="0"/>
    <n v="1"/>
    <n v="1979.9"/>
    <n v="1"/>
    <n v="1999.5"/>
    <n v="0"/>
    <n v="0"/>
    <n v="0"/>
    <n v="0"/>
    <n v="0.69369999999999998"/>
    <n v="-0.97640000000000005"/>
    <n v="1E-4"/>
    <n v="-1.7763"/>
    <n v="0.68940000000000001"/>
    <n v="-2.6646000000000001"/>
    <n v="1"/>
    <n v="1981.4"/>
    <n v="2"/>
    <n v="2001"/>
    <n v="0"/>
    <n v="0"/>
    <n v="0"/>
    <n v="1"/>
    <n v="0"/>
  </r>
  <r>
    <x v="1"/>
    <x v="0"/>
    <s v="SPX"/>
    <x v="9"/>
    <x v="582"/>
    <s v="p"/>
    <n v="0"/>
    <n v="0"/>
    <n v="0"/>
    <n v="0"/>
    <n v="0"/>
    <n v="1"/>
    <n v="2379.9"/>
    <n v="2"/>
    <n v="2398.6999999999998"/>
    <n v="0"/>
    <n v="0"/>
    <n v="0"/>
    <n v="0"/>
    <n v="0.78759999999999997"/>
    <n v="-0.97970000000000002"/>
    <n v="1E-4"/>
    <n v="-1.7174"/>
    <n v="0.60709999999999997"/>
    <n v="-2.7902999999999998"/>
    <n v="2"/>
    <n v="2381.9"/>
    <n v="1"/>
    <n v="2404.3000000000002"/>
    <n v="0"/>
    <n v="0"/>
    <n v="0"/>
    <n v="0"/>
    <n v="0"/>
  </r>
  <r>
    <x v="1"/>
    <x v="0"/>
    <s v="SPX"/>
    <x v="9"/>
    <x v="583"/>
    <s v="p"/>
    <n v="0"/>
    <n v="0"/>
    <n v="0"/>
    <n v="0"/>
    <n v="0"/>
    <n v="1"/>
    <n v="2779.3"/>
    <n v="2"/>
    <n v="2798.2"/>
    <n v="0"/>
    <n v="0"/>
    <n v="0"/>
    <n v="0"/>
    <n v="0.87770000000000004"/>
    <n v="-0.98180000000000001"/>
    <n v="0"/>
    <n v="-1.6861999999999999"/>
    <n v="0.55010000000000003"/>
    <n v="-2.9138000000000002"/>
    <n v="2"/>
    <n v="2781.4"/>
    <n v="1"/>
    <n v="2803.8"/>
    <n v="0"/>
    <n v="0"/>
    <n v="0"/>
    <n v="672"/>
    <n v="0"/>
  </r>
  <r>
    <x v="1"/>
    <x v="0"/>
    <s v="SPX"/>
    <x v="9"/>
    <x v="584"/>
    <s v="p"/>
    <n v="0"/>
    <n v="0"/>
    <n v="0"/>
    <n v="0"/>
    <n v="0"/>
    <n v="1"/>
    <n v="3178.7"/>
    <n v="1"/>
    <n v="3197.8"/>
    <n v="0"/>
    <n v="0"/>
    <n v="0"/>
    <n v="0"/>
    <n v="0.96909999999999996"/>
    <n v="-0.98280000000000001"/>
    <n v="0"/>
    <n v="-1.7397"/>
    <n v="0.52280000000000004"/>
    <n v="-3.0350000000000001"/>
    <n v="1"/>
    <n v="3179.7"/>
    <n v="1"/>
    <n v="3203.2"/>
    <n v="0"/>
    <n v="0"/>
    <n v="0"/>
    <n v="19"/>
    <n v="0"/>
  </r>
  <r>
    <x v="1"/>
    <x v="0"/>
    <s v="SPX"/>
    <x v="9"/>
    <x v="585"/>
    <s v="p"/>
    <n v="0"/>
    <n v="0"/>
    <n v="0"/>
    <n v="0"/>
    <n v="0"/>
    <n v="1"/>
    <n v="3577.6"/>
    <n v="1"/>
    <n v="3597.2"/>
    <n v="0"/>
    <n v="0"/>
    <n v="0"/>
    <n v="0"/>
    <n v="1.0497000000000001"/>
    <n v="-0.98419999999999996"/>
    <n v="0"/>
    <n v="-1.7020999999999999"/>
    <n v="0.48599999999999999"/>
    <n v="-3.1568999999999998"/>
    <n v="1"/>
    <n v="3579.1"/>
    <n v="1"/>
    <n v="3602.6"/>
    <n v="0"/>
    <n v="0"/>
    <n v="0"/>
    <n v="0"/>
    <n v="0"/>
  </r>
  <r>
    <x v="1"/>
    <x v="0"/>
    <s v="SPX"/>
    <x v="9"/>
    <x v="586"/>
    <s v="p"/>
    <n v="0"/>
    <n v="0"/>
    <n v="0"/>
    <n v="0"/>
    <n v="0"/>
    <n v="1"/>
    <n v="3976.5"/>
    <n v="1"/>
    <n v="3998"/>
    <n v="0"/>
    <n v="0"/>
    <n v="0"/>
    <n v="0"/>
    <n v="1.1437999999999999"/>
    <n v="-0.9839"/>
    <n v="0"/>
    <n v="-1.8818999999999999"/>
    <n v="0.49259999999999998"/>
    <n v="-3.2753000000000001"/>
    <n v="1"/>
    <n v="3978.6"/>
    <n v="1"/>
    <n v="4002"/>
    <n v="0"/>
    <n v="0"/>
    <n v="0"/>
    <n v="2"/>
    <n v="0"/>
  </r>
  <r>
    <x v="1"/>
    <x v="0"/>
    <s v="SPX"/>
    <x v="9"/>
    <x v="587"/>
    <s v="p"/>
    <n v="0"/>
    <n v="0"/>
    <n v="0"/>
    <n v="0"/>
    <n v="0"/>
    <n v="1"/>
    <n v="4375.5"/>
    <n v="1"/>
    <n v="4396.3"/>
    <n v="0"/>
    <n v="0"/>
    <n v="0"/>
    <n v="0"/>
    <n v="1.2045999999999999"/>
    <n v="-0.98580000000000001"/>
    <n v="0"/>
    <n v="-1.6873"/>
    <n v="0.44090000000000001"/>
    <n v="-3.3980999999999999"/>
    <n v="1"/>
    <n v="4378"/>
    <n v="1"/>
    <n v="4401.5"/>
    <n v="0"/>
    <n v="0"/>
    <n v="0"/>
    <n v="0"/>
    <n v="0"/>
  </r>
  <r>
    <x v="1"/>
    <x v="0"/>
    <s v="SPX"/>
    <x v="9"/>
    <x v="588"/>
    <s v="p"/>
    <n v="0"/>
    <n v="0"/>
    <n v="0"/>
    <n v="0"/>
    <n v="0"/>
    <n v="1"/>
    <n v="4775.5"/>
    <n v="1"/>
    <n v="4796.8999999999996"/>
    <n v="0"/>
    <n v="0"/>
    <n v="0"/>
    <n v="0"/>
    <n v="1.3126"/>
    <n v="-0.98399999999999999"/>
    <n v="0"/>
    <n v="-2.1177000000000001"/>
    <n v="0.48899999999999999"/>
    <n v="-3.5137999999999998"/>
    <n v="1"/>
    <n v="4777.3999999999996"/>
    <n v="1"/>
    <n v="4800.8999999999996"/>
    <n v="0"/>
    <n v="0"/>
    <n v="0"/>
    <n v="2"/>
    <n v="0"/>
  </r>
  <r>
    <x v="1"/>
    <x v="0"/>
    <s v="SPX"/>
    <x v="9"/>
    <x v="589"/>
    <s v="p"/>
    <n v="0"/>
    <n v="0"/>
    <n v="0"/>
    <n v="0"/>
    <n v="0"/>
    <n v="1"/>
    <n v="5174.8999999999996"/>
    <n v="1"/>
    <n v="5196.2"/>
    <n v="0"/>
    <n v="0"/>
    <n v="0"/>
    <n v="0"/>
    <n v="1.3634999999999999"/>
    <n v="-0.9859"/>
    <n v="0"/>
    <n v="-1.8651"/>
    <n v="0.437"/>
    <n v="-3.637"/>
    <n v="1"/>
    <n v="5176.8999999999996"/>
    <n v="1"/>
    <n v="5200.3"/>
    <n v="0"/>
    <n v="0"/>
    <n v="0"/>
    <n v="2"/>
    <n v="0"/>
  </r>
  <r>
    <x v="0"/>
    <x v="0"/>
    <s v="SPXW"/>
    <x v="10"/>
    <x v="281"/>
    <s v="p"/>
    <n v="0.05"/>
    <n v="0.05"/>
    <n v="0.05"/>
    <n v="0.05"/>
    <n v="2"/>
    <n v="0"/>
    <n v="0"/>
    <n v="695"/>
    <n v="0.05"/>
    <n v="0"/>
    <n v="0"/>
    <n v="0"/>
    <n v="0"/>
    <n v="2.5190999999999999"/>
    <n v="0"/>
    <n v="0"/>
    <n v="-1.44E-2"/>
    <n v="1.8E-3"/>
    <n v="-1E-4"/>
    <n v="0"/>
    <n v="0"/>
    <n v="35"/>
    <n v="0.05"/>
    <n v="0"/>
    <n v="0"/>
    <n v="0.05"/>
    <n v="4129"/>
    <n v="0"/>
  </r>
  <r>
    <x v="0"/>
    <x v="0"/>
    <s v="SPXW"/>
    <x v="10"/>
    <x v="282"/>
    <s v="p"/>
    <n v="0"/>
    <n v="0"/>
    <n v="0"/>
    <n v="0"/>
    <n v="0"/>
    <n v="0"/>
    <n v="0"/>
    <n v="679"/>
    <n v="0.05"/>
    <n v="0"/>
    <n v="0"/>
    <n v="0"/>
    <n v="0"/>
    <n v="2.3157999999999999"/>
    <n v="0"/>
    <n v="0"/>
    <n v="-1.43E-2"/>
    <n v="1.9E-3"/>
    <n v="-1E-4"/>
    <n v="0"/>
    <n v="0"/>
    <n v="33"/>
    <n v="0.05"/>
    <n v="0"/>
    <n v="0"/>
    <n v="0"/>
    <n v="1438"/>
    <n v="0"/>
  </r>
  <r>
    <x v="0"/>
    <x v="0"/>
    <s v="SPXW"/>
    <x v="10"/>
    <x v="283"/>
    <s v="p"/>
    <n v="0"/>
    <n v="0"/>
    <n v="0"/>
    <n v="0"/>
    <n v="0"/>
    <n v="0"/>
    <n v="0"/>
    <n v="663"/>
    <n v="0.05"/>
    <n v="0"/>
    <n v="0"/>
    <n v="0"/>
    <n v="0"/>
    <n v="2.137"/>
    <n v="0"/>
    <n v="0"/>
    <n v="-1.43E-2"/>
    <n v="2.0999999999999999E-3"/>
    <n v="-1E-4"/>
    <n v="0"/>
    <n v="0"/>
    <n v="576"/>
    <n v="0.1"/>
    <n v="0"/>
    <n v="0"/>
    <n v="0"/>
    <n v="835"/>
    <n v="0"/>
  </r>
  <r>
    <x v="0"/>
    <x v="0"/>
    <s v="SPXW"/>
    <x v="10"/>
    <x v="284"/>
    <s v="p"/>
    <n v="0"/>
    <n v="0"/>
    <n v="0"/>
    <n v="0"/>
    <n v="0"/>
    <n v="0"/>
    <n v="0"/>
    <n v="975"/>
    <n v="0.05"/>
    <n v="0"/>
    <n v="0"/>
    <n v="0"/>
    <n v="0"/>
    <n v="1.9774"/>
    <n v="-1E-4"/>
    <n v="0"/>
    <n v="-1.43E-2"/>
    <n v="2.3E-3"/>
    <n v="-1E-4"/>
    <n v="0"/>
    <n v="0"/>
    <n v="444"/>
    <n v="0.05"/>
    <n v="0"/>
    <n v="0"/>
    <n v="0"/>
    <n v="729"/>
    <n v="0"/>
  </r>
  <r>
    <x v="0"/>
    <x v="0"/>
    <s v="SPXW"/>
    <x v="10"/>
    <x v="285"/>
    <s v="p"/>
    <n v="0"/>
    <n v="0"/>
    <n v="0"/>
    <n v="0"/>
    <n v="0"/>
    <n v="0"/>
    <n v="0"/>
    <n v="592"/>
    <n v="0.05"/>
    <n v="0"/>
    <n v="0"/>
    <n v="0"/>
    <n v="0"/>
    <n v="1.8331"/>
    <n v="-1E-4"/>
    <n v="0"/>
    <n v="-1.43E-2"/>
    <n v="2.3999999999999998E-3"/>
    <n v="-1E-4"/>
    <n v="0"/>
    <n v="0"/>
    <n v="609"/>
    <n v="0.1"/>
    <n v="0"/>
    <n v="0"/>
    <n v="0"/>
    <n v="155"/>
    <n v="0"/>
  </r>
  <r>
    <x v="0"/>
    <x v="0"/>
    <s v="SPXW"/>
    <x v="10"/>
    <x v="286"/>
    <s v="p"/>
    <n v="0"/>
    <n v="0"/>
    <n v="0"/>
    <n v="0"/>
    <n v="0"/>
    <n v="0"/>
    <n v="0"/>
    <n v="565"/>
    <n v="0.05"/>
    <n v="0"/>
    <n v="0"/>
    <n v="0"/>
    <n v="0"/>
    <n v="1.702"/>
    <n v="-1E-4"/>
    <n v="0"/>
    <n v="-1.43E-2"/>
    <n v="2.5999999999999999E-3"/>
    <n v="-1E-4"/>
    <n v="0"/>
    <n v="0"/>
    <n v="597"/>
    <n v="0.1"/>
    <n v="0"/>
    <n v="0"/>
    <n v="0"/>
    <n v="290"/>
    <n v="0"/>
  </r>
  <r>
    <x v="0"/>
    <x v="0"/>
    <s v="SPXW"/>
    <x v="10"/>
    <x v="0"/>
    <s v="p"/>
    <n v="0"/>
    <n v="0"/>
    <n v="0"/>
    <n v="0"/>
    <n v="0"/>
    <n v="0"/>
    <n v="0"/>
    <n v="528"/>
    <n v="0.05"/>
    <n v="0"/>
    <n v="0"/>
    <n v="0"/>
    <n v="0"/>
    <n v="1.5811999999999999"/>
    <n v="-1E-4"/>
    <n v="0"/>
    <n v="-1.4200000000000001E-2"/>
    <n v="2.8E-3"/>
    <n v="-1E-4"/>
    <n v="0"/>
    <n v="0"/>
    <n v="582"/>
    <n v="0.1"/>
    <n v="0"/>
    <n v="0"/>
    <n v="0"/>
    <n v="399"/>
    <n v="0"/>
  </r>
  <r>
    <x v="0"/>
    <x v="0"/>
    <s v="SPXW"/>
    <x v="10"/>
    <x v="1"/>
    <s v="p"/>
    <n v="0"/>
    <n v="0"/>
    <n v="0"/>
    <n v="0"/>
    <n v="0"/>
    <n v="0"/>
    <n v="0"/>
    <n v="519"/>
    <n v="0.05"/>
    <n v="0"/>
    <n v="0"/>
    <n v="0"/>
    <n v="0"/>
    <n v="1.4695"/>
    <n v="-1E-4"/>
    <n v="0"/>
    <n v="-1.4200000000000001E-2"/>
    <n v="3.0000000000000001E-3"/>
    <n v="-1E-4"/>
    <n v="0"/>
    <n v="0"/>
    <n v="67"/>
    <n v="0.05"/>
    <n v="0"/>
    <n v="0"/>
    <n v="0"/>
    <n v="2197"/>
    <n v="0"/>
  </r>
  <r>
    <x v="0"/>
    <x v="0"/>
    <s v="SPXW"/>
    <x v="10"/>
    <x v="2"/>
    <s v="p"/>
    <n v="0"/>
    <n v="0"/>
    <n v="0"/>
    <n v="0"/>
    <n v="0"/>
    <n v="0"/>
    <n v="0"/>
    <n v="515"/>
    <n v="0.05"/>
    <n v="0"/>
    <n v="0"/>
    <n v="0"/>
    <n v="0"/>
    <n v="1.3654999999999999"/>
    <n v="-1E-4"/>
    <n v="0"/>
    <n v="-1.4200000000000001E-2"/>
    <n v="3.3E-3"/>
    <n v="-1E-4"/>
    <n v="0"/>
    <n v="0"/>
    <n v="581"/>
    <n v="0.1"/>
    <n v="0"/>
    <n v="0"/>
    <n v="0"/>
    <n v="840"/>
    <n v="0"/>
  </r>
  <r>
    <x v="0"/>
    <x v="0"/>
    <s v="SPXW"/>
    <x v="10"/>
    <x v="3"/>
    <s v="p"/>
    <n v="0"/>
    <n v="0"/>
    <n v="0"/>
    <n v="0"/>
    <n v="0"/>
    <n v="0"/>
    <n v="0"/>
    <n v="431"/>
    <n v="0.05"/>
    <n v="0"/>
    <n v="0"/>
    <n v="0"/>
    <n v="0"/>
    <n v="1.2682"/>
    <n v="-1E-4"/>
    <n v="0"/>
    <n v="-1.41E-2"/>
    <n v="3.5000000000000001E-3"/>
    <n v="-2.0000000000000001E-4"/>
    <n v="0"/>
    <n v="0"/>
    <n v="559"/>
    <n v="0.1"/>
    <n v="0"/>
    <n v="0"/>
    <n v="0"/>
    <n v="4341"/>
    <n v="0"/>
  </r>
  <r>
    <x v="0"/>
    <x v="0"/>
    <s v="SPXW"/>
    <x v="10"/>
    <x v="349"/>
    <s v="p"/>
    <n v="0"/>
    <n v="0"/>
    <n v="0"/>
    <n v="0"/>
    <n v="0"/>
    <n v="0"/>
    <n v="0"/>
    <n v="392"/>
    <n v="0.05"/>
    <n v="0"/>
    <n v="0"/>
    <n v="0"/>
    <n v="0"/>
    <n v="1.2217"/>
    <n v="-1E-4"/>
    <n v="0"/>
    <n v="-1.41E-2"/>
    <n v="3.5999999999999999E-3"/>
    <n v="-2.0000000000000001E-4"/>
    <n v="0"/>
    <n v="0"/>
    <n v="545"/>
    <n v="0.1"/>
    <n v="0"/>
    <n v="0"/>
    <n v="0"/>
    <n v="811"/>
    <n v="0"/>
  </r>
  <r>
    <x v="0"/>
    <x v="0"/>
    <s v="SPXW"/>
    <x v="10"/>
    <x v="4"/>
    <s v="p"/>
    <n v="0"/>
    <n v="0"/>
    <n v="0"/>
    <n v="0"/>
    <n v="0"/>
    <n v="0"/>
    <n v="0"/>
    <n v="338"/>
    <n v="0.05"/>
    <n v="0"/>
    <n v="0"/>
    <n v="0"/>
    <n v="0"/>
    <n v="1.1767000000000001"/>
    <n v="-1E-4"/>
    <n v="0"/>
    <n v="-1.41E-2"/>
    <n v="3.8E-3"/>
    <n v="-2.0000000000000001E-4"/>
    <n v="0"/>
    <n v="0"/>
    <n v="530"/>
    <n v="0.1"/>
    <n v="0"/>
    <n v="0"/>
    <n v="0"/>
    <n v="1162"/>
    <n v="0"/>
  </r>
  <r>
    <x v="0"/>
    <x v="0"/>
    <s v="SPXW"/>
    <x v="10"/>
    <x v="352"/>
    <s v="p"/>
    <n v="0"/>
    <n v="0"/>
    <n v="0"/>
    <n v="0"/>
    <n v="0"/>
    <n v="0"/>
    <n v="0"/>
    <n v="320"/>
    <n v="0.05"/>
    <n v="0"/>
    <n v="0"/>
    <n v="0"/>
    <n v="0"/>
    <n v="1.133"/>
    <n v="-1E-4"/>
    <n v="0"/>
    <n v="-1.41E-2"/>
    <n v="3.8999999999999998E-3"/>
    <n v="-2.0000000000000001E-4"/>
    <n v="0"/>
    <n v="0"/>
    <n v="515"/>
    <n v="0.1"/>
    <n v="0"/>
    <n v="0"/>
    <n v="0"/>
    <n v="1798"/>
    <n v="0"/>
  </r>
  <r>
    <x v="0"/>
    <x v="0"/>
    <s v="SPXW"/>
    <x v="10"/>
    <x v="5"/>
    <s v="p"/>
    <n v="0"/>
    <n v="0"/>
    <n v="0"/>
    <n v="0"/>
    <n v="0"/>
    <n v="0"/>
    <n v="0"/>
    <n v="239"/>
    <n v="0.05"/>
    <n v="0"/>
    <n v="0"/>
    <n v="0"/>
    <n v="0"/>
    <n v="1.0904"/>
    <n v="-1E-4"/>
    <n v="0"/>
    <n v="-1.4E-2"/>
    <n v="4.1000000000000003E-3"/>
    <n v="-2.0000000000000001E-4"/>
    <n v="0"/>
    <n v="0"/>
    <n v="493"/>
    <n v="0.1"/>
    <n v="0"/>
    <n v="0"/>
    <n v="0"/>
    <n v="4797"/>
    <n v="0"/>
  </r>
  <r>
    <x v="0"/>
    <x v="0"/>
    <s v="SPXW"/>
    <x v="10"/>
    <x v="355"/>
    <s v="p"/>
    <n v="0"/>
    <n v="0"/>
    <n v="0"/>
    <n v="0"/>
    <n v="0"/>
    <n v="0"/>
    <n v="0"/>
    <n v="1050"/>
    <n v="0.1"/>
    <n v="0"/>
    <n v="0"/>
    <n v="0"/>
    <n v="0"/>
    <n v="1.0953999999999999"/>
    <n v="-2.0000000000000001E-4"/>
    <n v="0"/>
    <n v="-2.6599999999999999E-2"/>
    <n v="7.4000000000000003E-3"/>
    <n v="-2.9999999999999997E-4"/>
    <n v="0"/>
    <n v="0"/>
    <n v="468"/>
    <n v="0.1"/>
    <n v="0"/>
    <n v="0"/>
    <n v="0"/>
    <n v="2424"/>
    <n v="0"/>
  </r>
  <r>
    <x v="0"/>
    <x v="0"/>
    <s v="SPXW"/>
    <x v="10"/>
    <x v="6"/>
    <s v="p"/>
    <n v="0"/>
    <n v="0"/>
    <n v="0"/>
    <n v="0"/>
    <n v="0"/>
    <n v="0"/>
    <n v="0"/>
    <n v="196"/>
    <n v="0.05"/>
    <n v="0"/>
    <n v="0"/>
    <n v="0"/>
    <n v="0"/>
    <n v="1.0086999999999999"/>
    <n v="-1E-4"/>
    <n v="0"/>
    <n v="-1.4E-2"/>
    <n v="4.4000000000000003E-3"/>
    <n v="-2.0000000000000001E-4"/>
    <n v="0"/>
    <n v="0"/>
    <n v="46"/>
    <n v="0.05"/>
    <n v="0"/>
    <n v="0"/>
    <n v="0"/>
    <n v="825"/>
    <n v="0"/>
  </r>
  <r>
    <x v="0"/>
    <x v="0"/>
    <s v="SPXW"/>
    <x v="10"/>
    <x v="359"/>
    <s v="p"/>
    <n v="0"/>
    <n v="0"/>
    <n v="0"/>
    <n v="0"/>
    <n v="0"/>
    <n v="0"/>
    <n v="0"/>
    <n v="912"/>
    <n v="0.1"/>
    <n v="0"/>
    <n v="0"/>
    <n v="0"/>
    <n v="0"/>
    <n v="1.0327"/>
    <n v="-2.0000000000000001E-4"/>
    <n v="0"/>
    <n v="-2.6599999999999999E-2"/>
    <n v="7.9000000000000008E-3"/>
    <n v="-4.0000000000000002E-4"/>
    <n v="0"/>
    <n v="0"/>
    <n v="421"/>
    <n v="0.1"/>
    <n v="0"/>
    <n v="0"/>
    <n v="0"/>
    <n v="104"/>
    <n v="0"/>
  </r>
  <r>
    <x v="0"/>
    <x v="0"/>
    <s v="SPXW"/>
    <x v="10"/>
    <x v="361"/>
    <s v="p"/>
    <n v="0.08"/>
    <n v="0.08"/>
    <n v="0.08"/>
    <n v="0.08"/>
    <n v="6"/>
    <n v="0"/>
    <n v="0"/>
    <n v="43"/>
    <n v="0.05"/>
    <n v="0"/>
    <n v="0"/>
    <n v="0"/>
    <n v="0"/>
    <n v="0.96940000000000004"/>
    <n v="-1E-4"/>
    <n v="0"/>
    <n v="-1.3899999999999999E-2"/>
    <n v="4.5999999999999999E-3"/>
    <n v="-2.0000000000000001E-4"/>
    <n v="0"/>
    <n v="0"/>
    <n v="43"/>
    <n v="0.05"/>
    <n v="0"/>
    <n v="0"/>
    <n v="0.08"/>
    <n v="2094"/>
    <n v="0"/>
  </r>
  <r>
    <x v="0"/>
    <x v="0"/>
    <s v="SPXW"/>
    <x v="10"/>
    <x v="363"/>
    <s v="p"/>
    <n v="0"/>
    <n v="0"/>
    <n v="0"/>
    <n v="0"/>
    <n v="0"/>
    <n v="0"/>
    <n v="0"/>
    <n v="819"/>
    <n v="0.1"/>
    <n v="0"/>
    <n v="0"/>
    <n v="0"/>
    <n v="0"/>
    <n v="0.99260000000000004"/>
    <n v="-2.0000000000000001E-4"/>
    <n v="0"/>
    <n v="-2.6499999999999999E-2"/>
    <n v="8.2000000000000007E-3"/>
    <n v="-4.0000000000000002E-4"/>
    <n v="0"/>
    <n v="0"/>
    <n v="263"/>
    <n v="0.1"/>
    <n v="0"/>
    <n v="0"/>
    <n v="0"/>
    <n v="227"/>
    <n v="0"/>
  </r>
  <r>
    <x v="0"/>
    <x v="0"/>
    <s v="SPXW"/>
    <x v="10"/>
    <x v="7"/>
    <s v="p"/>
    <n v="0"/>
    <n v="0"/>
    <n v="0"/>
    <n v="0"/>
    <n v="0"/>
    <n v="0"/>
    <n v="0"/>
    <n v="562"/>
    <n v="0.05"/>
    <n v="0"/>
    <n v="0"/>
    <n v="0"/>
    <n v="0"/>
    <n v="0.93100000000000005"/>
    <n v="-1E-4"/>
    <n v="0"/>
    <n v="-1.3899999999999999E-2"/>
    <n v="4.7999999999999996E-3"/>
    <n v="-2.0000000000000001E-4"/>
    <n v="0"/>
    <n v="0"/>
    <n v="557"/>
    <n v="0.05"/>
    <n v="0"/>
    <n v="0"/>
    <n v="0"/>
    <n v="3681"/>
    <n v="0"/>
  </r>
  <r>
    <x v="0"/>
    <x v="0"/>
    <s v="SPXW"/>
    <x v="10"/>
    <x v="366"/>
    <s v="p"/>
    <n v="0"/>
    <n v="0"/>
    <n v="0"/>
    <n v="0"/>
    <n v="0"/>
    <n v="0"/>
    <n v="0"/>
    <n v="724"/>
    <n v="0.1"/>
    <n v="0"/>
    <n v="0"/>
    <n v="0"/>
    <n v="0"/>
    <n v="0.95309999999999995"/>
    <n v="-2.0000000000000001E-4"/>
    <n v="0"/>
    <n v="-2.64E-2"/>
    <n v="8.5000000000000006E-3"/>
    <n v="-4.0000000000000002E-4"/>
    <n v="0"/>
    <n v="0"/>
    <n v="252"/>
    <n v="0.1"/>
    <n v="0"/>
    <n v="0"/>
    <n v="0"/>
    <n v="980"/>
    <n v="0"/>
  </r>
  <r>
    <x v="0"/>
    <x v="0"/>
    <s v="SPXW"/>
    <x v="10"/>
    <x v="368"/>
    <s v="p"/>
    <n v="0"/>
    <n v="0"/>
    <n v="0"/>
    <n v="0"/>
    <n v="0"/>
    <n v="0"/>
    <n v="0"/>
    <n v="677"/>
    <n v="0.1"/>
    <n v="0"/>
    <n v="0"/>
    <n v="0"/>
    <n v="0"/>
    <n v="0.93379999999999996"/>
    <n v="-2.0000000000000001E-4"/>
    <n v="0"/>
    <n v="-2.64E-2"/>
    <n v="8.6999999999999994E-3"/>
    <n v="-4.0000000000000002E-4"/>
    <n v="0"/>
    <n v="0"/>
    <n v="246"/>
    <n v="0.1"/>
    <n v="0"/>
    <n v="0"/>
    <n v="0"/>
    <n v="951"/>
    <n v="0"/>
  </r>
  <r>
    <x v="0"/>
    <x v="0"/>
    <s v="SPXW"/>
    <x v="10"/>
    <x v="370"/>
    <s v="p"/>
    <n v="0.05"/>
    <n v="0.05"/>
    <n v="0.05"/>
    <n v="0.05"/>
    <n v="2"/>
    <n v="0"/>
    <n v="0"/>
    <n v="628"/>
    <n v="0.1"/>
    <n v="0"/>
    <n v="0"/>
    <n v="0"/>
    <n v="0"/>
    <n v="0.91459999999999997"/>
    <n v="-2.0000000000000001E-4"/>
    <n v="0"/>
    <n v="-2.64E-2"/>
    <n v="8.8999999999999999E-3"/>
    <n v="-4.0000000000000002E-4"/>
    <n v="0"/>
    <n v="0"/>
    <n v="462"/>
    <n v="0.15"/>
    <n v="0"/>
    <n v="0"/>
    <n v="0.05"/>
    <n v="585"/>
    <n v="0"/>
  </r>
  <r>
    <x v="0"/>
    <x v="0"/>
    <s v="SPXW"/>
    <x v="10"/>
    <x v="8"/>
    <s v="p"/>
    <n v="0.05"/>
    <n v="0.05"/>
    <n v="0.05"/>
    <n v="0.05"/>
    <n v="1"/>
    <n v="0"/>
    <n v="0"/>
    <n v="499"/>
    <n v="0.05"/>
    <n v="0"/>
    <n v="0"/>
    <n v="0"/>
    <n v="0"/>
    <n v="0.85709999999999997"/>
    <n v="-1E-4"/>
    <n v="0"/>
    <n v="-1.3899999999999999E-2"/>
    <n v="5.1999999999999998E-3"/>
    <n v="-2.0000000000000001E-4"/>
    <n v="0"/>
    <n v="0"/>
    <n v="499"/>
    <n v="0.05"/>
    <n v="0"/>
    <n v="0"/>
    <n v="0.05"/>
    <n v="4504"/>
    <n v="0"/>
  </r>
  <r>
    <x v="0"/>
    <x v="0"/>
    <s v="SPXW"/>
    <x v="10"/>
    <x v="373"/>
    <s v="p"/>
    <n v="0.05"/>
    <n v="0.05"/>
    <n v="0.05"/>
    <n v="0.05"/>
    <n v="1"/>
    <n v="0"/>
    <n v="0"/>
    <n v="494"/>
    <n v="0.1"/>
    <n v="0"/>
    <n v="0"/>
    <n v="0"/>
    <n v="0"/>
    <n v="0.877"/>
    <n v="-2.0000000000000001E-4"/>
    <n v="0"/>
    <n v="-2.63E-2"/>
    <n v="9.2999999999999992E-3"/>
    <n v="-4.0000000000000002E-4"/>
    <n v="0"/>
    <n v="0"/>
    <n v="428"/>
    <n v="0.15"/>
    <n v="0"/>
    <n v="0"/>
    <n v="0.05"/>
    <n v="186"/>
    <n v="0"/>
  </r>
  <r>
    <x v="0"/>
    <x v="0"/>
    <s v="SPXW"/>
    <x v="10"/>
    <x v="375"/>
    <s v="p"/>
    <n v="0"/>
    <n v="0"/>
    <n v="0"/>
    <n v="0"/>
    <n v="0"/>
    <n v="0"/>
    <n v="0"/>
    <n v="500"/>
    <n v="0.05"/>
    <n v="0"/>
    <n v="0"/>
    <n v="0"/>
    <n v="0"/>
    <n v="0.82130000000000003"/>
    <n v="-1E-4"/>
    <n v="0"/>
    <n v="-1.38E-2"/>
    <n v="5.4000000000000003E-3"/>
    <n v="-2.0000000000000001E-4"/>
    <n v="0"/>
    <n v="0"/>
    <n v="500"/>
    <n v="0.05"/>
    <n v="0"/>
    <n v="0"/>
    <n v="0"/>
    <n v="744"/>
    <n v="0"/>
  </r>
  <r>
    <x v="0"/>
    <x v="0"/>
    <s v="SPXW"/>
    <x v="10"/>
    <x v="377"/>
    <s v="p"/>
    <n v="0"/>
    <n v="0"/>
    <n v="0"/>
    <n v="0"/>
    <n v="0"/>
    <n v="0"/>
    <n v="0"/>
    <n v="150"/>
    <n v="0.1"/>
    <n v="0"/>
    <n v="0"/>
    <n v="0"/>
    <n v="0"/>
    <n v="0.84019999999999995"/>
    <n v="-2.0000000000000001E-4"/>
    <n v="0"/>
    <n v="-2.6200000000000001E-2"/>
    <n v="9.5999999999999992E-3"/>
    <n v="-4.0000000000000002E-4"/>
    <n v="0"/>
    <n v="0"/>
    <n v="92"/>
    <n v="0.1"/>
    <n v="0"/>
    <n v="0"/>
    <n v="0"/>
    <n v="308"/>
    <n v="0"/>
  </r>
  <r>
    <x v="0"/>
    <x v="0"/>
    <s v="SPXW"/>
    <x v="10"/>
    <x v="9"/>
    <s v="p"/>
    <n v="0"/>
    <n v="0"/>
    <n v="0"/>
    <n v="0"/>
    <n v="0"/>
    <n v="0"/>
    <n v="0"/>
    <n v="119"/>
    <n v="0.1"/>
    <n v="0"/>
    <n v="0"/>
    <n v="0"/>
    <n v="0"/>
    <n v="0.82210000000000005"/>
    <n v="-2.0000000000000001E-4"/>
    <n v="0"/>
    <n v="-2.6200000000000001E-2"/>
    <n v="9.9000000000000008E-3"/>
    <n v="-4.0000000000000002E-4"/>
    <n v="0"/>
    <n v="0"/>
    <n v="423"/>
    <n v="0.15"/>
    <n v="0"/>
    <n v="0"/>
    <n v="0"/>
    <n v="1249"/>
    <n v="0"/>
  </r>
  <r>
    <x v="0"/>
    <x v="0"/>
    <s v="SPXW"/>
    <x v="10"/>
    <x v="380"/>
    <s v="p"/>
    <n v="0.1"/>
    <n v="0.1"/>
    <n v="0.05"/>
    <n v="0.05"/>
    <n v="502"/>
    <n v="0"/>
    <n v="0"/>
    <n v="820"/>
    <n v="0.15"/>
    <n v="0"/>
    <n v="0"/>
    <n v="0"/>
    <n v="0"/>
    <n v="0.82669999999999999"/>
    <n v="-2.9999999999999997E-4"/>
    <n v="0"/>
    <n v="-3.7999999999999999E-2"/>
    <n v="1.3899999999999999E-2"/>
    <n v="-5.9999999999999995E-4"/>
    <n v="0"/>
    <n v="0"/>
    <n v="385"/>
    <n v="0.15"/>
    <n v="0"/>
    <n v="0"/>
    <n v="5.0200000000000002E-2"/>
    <n v="168"/>
    <n v="0"/>
  </r>
  <r>
    <x v="0"/>
    <x v="0"/>
    <s v="SPXW"/>
    <x v="10"/>
    <x v="382"/>
    <s v="p"/>
    <n v="0"/>
    <n v="0"/>
    <n v="0"/>
    <n v="0"/>
    <n v="0"/>
    <n v="0"/>
    <n v="0"/>
    <n v="759"/>
    <n v="0.15"/>
    <n v="0"/>
    <n v="0"/>
    <n v="0"/>
    <n v="0"/>
    <n v="0.8085"/>
    <n v="-2.9999999999999997E-4"/>
    <n v="0"/>
    <n v="-3.7999999999999999E-2"/>
    <n v="1.4200000000000001E-2"/>
    <n v="-6.9999999999999999E-4"/>
    <n v="0"/>
    <n v="0"/>
    <n v="270"/>
    <n v="0.15"/>
    <n v="0"/>
    <n v="0"/>
    <n v="0"/>
    <n v="1151"/>
    <n v="0"/>
  </r>
  <r>
    <x v="0"/>
    <x v="0"/>
    <s v="SPXW"/>
    <x v="10"/>
    <x v="384"/>
    <s v="p"/>
    <n v="0"/>
    <n v="0"/>
    <n v="0"/>
    <n v="0"/>
    <n v="0"/>
    <n v="89"/>
    <n v="0.05"/>
    <n v="503"/>
    <n v="0.15"/>
    <n v="0"/>
    <n v="0"/>
    <n v="0"/>
    <n v="0"/>
    <n v="0.80710000000000004"/>
    <n v="-4.0000000000000002E-4"/>
    <n v="0"/>
    <n v="-4.9299999999999997E-2"/>
    <n v="1.8200000000000001E-2"/>
    <n v="-8.9999999999999998E-4"/>
    <n v="1"/>
    <n v="0.05"/>
    <n v="259"/>
    <n v="0.15"/>
    <n v="0"/>
    <n v="0"/>
    <n v="0"/>
    <n v="98"/>
    <n v="0"/>
  </r>
  <r>
    <x v="0"/>
    <x v="0"/>
    <s v="SPXW"/>
    <x v="10"/>
    <x v="10"/>
    <s v="p"/>
    <n v="0"/>
    <n v="0"/>
    <n v="0"/>
    <n v="0"/>
    <n v="0"/>
    <n v="374"/>
    <n v="0.05"/>
    <n v="454"/>
    <n v="0.15"/>
    <n v="0"/>
    <n v="0"/>
    <n v="0"/>
    <n v="0"/>
    <n v="0.78890000000000005"/>
    <n v="-4.0000000000000002E-4"/>
    <n v="0"/>
    <n v="-4.9200000000000001E-2"/>
    <n v="1.8700000000000001E-2"/>
    <n v="-8.9999999999999998E-4"/>
    <n v="0"/>
    <n v="0"/>
    <n v="269"/>
    <n v="0.15"/>
    <n v="0"/>
    <n v="0"/>
    <n v="0"/>
    <n v="1010"/>
    <n v="0"/>
  </r>
  <r>
    <x v="0"/>
    <x v="0"/>
    <s v="SPXW"/>
    <x v="10"/>
    <x v="387"/>
    <s v="p"/>
    <n v="0.1"/>
    <n v="0.1"/>
    <n v="0.1"/>
    <n v="0.1"/>
    <n v="3"/>
    <n v="614"/>
    <n v="0.05"/>
    <n v="319"/>
    <n v="0.15"/>
    <n v="0"/>
    <n v="0"/>
    <n v="0"/>
    <n v="0"/>
    <n v="0.77100000000000002"/>
    <n v="-4.0000000000000002E-4"/>
    <n v="0"/>
    <n v="-4.9200000000000001E-2"/>
    <n v="1.9099999999999999E-2"/>
    <n v="-8.9999999999999998E-4"/>
    <n v="71"/>
    <n v="0.05"/>
    <n v="255"/>
    <n v="0.15"/>
    <n v="0"/>
    <n v="0"/>
    <n v="0.1"/>
    <n v="315"/>
    <n v="0"/>
  </r>
  <r>
    <x v="0"/>
    <x v="0"/>
    <s v="SPXW"/>
    <x v="10"/>
    <x v="389"/>
    <s v="p"/>
    <n v="0"/>
    <n v="0"/>
    <n v="0"/>
    <n v="0"/>
    <n v="0"/>
    <n v="678"/>
    <n v="0.05"/>
    <n v="176"/>
    <n v="0.15"/>
    <n v="0"/>
    <n v="0"/>
    <n v="0"/>
    <n v="0"/>
    <n v="0.75319999999999998"/>
    <n v="-4.0000000000000002E-4"/>
    <n v="0"/>
    <n v="-4.9099999999999998E-2"/>
    <n v="1.95E-2"/>
    <n v="-8.9999999999999998E-4"/>
    <n v="70"/>
    <n v="0.05"/>
    <n v="413"/>
    <n v="0.2"/>
    <n v="0"/>
    <n v="0"/>
    <n v="0"/>
    <n v="724"/>
    <n v="0"/>
  </r>
  <r>
    <x v="0"/>
    <x v="0"/>
    <s v="SPXW"/>
    <x v="10"/>
    <x v="391"/>
    <s v="p"/>
    <n v="0"/>
    <n v="0"/>
    <n v="0"/>
    <n v="0"/>
    <n v="0"/>
    <n v="783"/>
    <n v="0.05"/>
    <n v="114"/>
    <n v="0.15"/>
    <n v="0"/>
    <n v="0"/>
    <n v="0"/>
    <n v="0"/>
    <n v="0.73540000000000005"/>
    <n v="-4.0000000000000002E-4"/>
    <n v="0"/>
    <n v="-4.9000000000000002E-2"/>
    <n v="0.02"/>
    <n v="-8.9999999999999998E-4"/>
    <n v="85"/>
    <n v="0.05"/>
    <n v="379"/>
    <n v="0.2"/>
    <n v="0"/>
    <n v="0"/>
    <n v="0"/>
    <n v="546"/>
    <n v="0"/>
  </r>
  <r>
    <x v="0"/>
    <x v="0"/>
    <s v="SPXW"/>
    <x v="10"/>
    <x v="11"/>
    <s v="p"/>
    <n v="0.1"/>
    <n v="0.1"/>
    <n v="0.1"/>
    <n v="0.1"/>
    <n v="1"/>
    <n v="847"/>
    <n v="0.05"/>
    <n v="53"/>
    <n v="0.15"/>
    <n v="0"/>
    <n v="0"/>
    <n v="0"/>
    <n v="0"/>
    <n v="0.71819999999999995"/>
    <n v="-5.0000000000000001E-4"/>
    <n v="0"/>
    <n v="-4.8899999999999999E-2"/>
    <n v="2.0400000000000001E-2"/>
    <n v="-1E-3"/>
    <n v="102"/>
    <n v="0.05"/>
    <n v="36"/>
    <n v="0.15"/>
    <n v="0"/>
    <n v="0"/>
    <n v="0.1"/>
    <n v="987"/>
    <n v="0"/>
  </r>
  <r>
    <x v="0"/>
    <x v="0"/>
    <s v="SPXW"/>
    <x v="10"/>
    <x v="394"/>
    <s v="p"/>
    <n v="0"/>
    <n v="0"/>
    <n v="0"/>
    <n v="0"/>
    <n v="0"/>
    <n v="938"/>
    <n v="0.05"/>
    <n v="686"/>
    <n v="0.2"/>
    <n v="0"/>
    <n v="0"/>
    <n v="0"/>
    <n v="0"/>
    <n v="0.71260000000000001"/>
    <n v="-5.9999999999999995E-4"/>
    <n v="0"/>
    <n v="-5.9799999999999999E-2"/>
    <n v="2.4899999999999999E-2"/>
    <n v="-1.1999999999999999E-3"/>
    <n v="219"/>
    <n v="0.05"/>
    <n v="196"/>
    <n v="0.15"/>
    <n v="0"/>
    <n v="0"/>
    <n v="0"/>
    <n v="975"/>
    <n v="0"/>
  </r>
  <r>
    <x v="0"/>
    <x v="0"/>
    <s v="SPXW"/>
    <x v="10"/>
    <x v="287"/>
    <s v="p"/>
    <n v="0.15"/>
    <n v="0.2"/>
    <n v="0.15"/>
    <n v="0.2"/>
    <n v="2"/>
    <n v="334"/>
    <n v="0.1"/>
    <n v="566"/>
    <n v="0.2"/>
    <n v="0"/>
    <n v="0"/>
    <n v="0"/>
    <n v="0"/>
    <n v="0.70520000000000005"/>
    <n v="-6.9999999999999999E-4"/>
    <n v="0"/>
    <n v="-7.0499999999999993E-2"/>
    <n v="2.93E-2"/>
    <n v="-1.4E-3"/>
    <n v="237"/>
    <n v="0.05"/>
    <n v="16"/>
    <n v="0.15"/>
    <n v="0"/>
    <n v="0"/>
    <n v="0.17499999999999999"/>
    <n v="716"/>
    <n v="0"/>
  </r>
  <r>
    <x v="0"/>
    <x v="0"/>
    <s v="SPXW"/>
    <x v="10"/>
    <x v="288"/>
    <s v="p"/>
    <n v="0.15"/>
    <n v="0.2"/>
    <n v="0.15"/>
    <n v="0.15"/>
    <n v="4"/>
    <n v="480"/>
    <n v="0.1"/>
    <n v="442"/>
    <n v="0.2"/>
    <n v="0"/>
    <n v="0"/>
    <n v="0"/>
    <n v="0"/>
    <n v="0.68779999999999997"/>
    <n v="-6.9999999999999999E-4"/>
    <n v="0"/>
    <n v="-7.0300000000000001E-2"/>
    <n v="0.03"/>
    <n v="-1.4E-3"/>
    <n v="64"/>
    <n v="0.1"/>
    <n v="239"/>
    <n v="0.2"/>
    <n v="0"/>
    <n v="0"/>
    <n v="0.16250000000000001"/>
    <n v="227"/>
    <n v="0"/>
  </r>
  <r>
    <x v="0"/>
    <x v="0"/>
    <s v="SPXW"/>
    <x v="10"/>
    <x v="12"/>
    <s v="p"/>
    <n v="0.16"/>
    <n v="0.25"/>
    <n v="0.1"/>
    <n v="0.2"/>
    <n v="517"/>
    <n v="563"/>
    <n v="0.1"/>
    <n v="270"/>
    <n v="0.2"/>
    <n v="0"/>
    <n v="0"/>
    <n v="0"/>
    <n v="0"/>
    <n v="0.6704"/>
    <n v="-6.9999999999999999E-4"/>
    <n v="0"/>
    <n v="-7.0199999999999999E-2"/>
    <n v="3.0700000000000002E-2"/>
    <n v="-1.5E-3"/>
    <n v="112"/>
    <n v="0.1"/>
    <n v="260"/>
    <n v="0.2"/>
    <n v="0"/>
    <n v="0"/>
    <n v="0.21970000000000001"/>
    <n v="41761"/>
    <n v="0"/>
  </r>
  <r>
    <x v="0"/>
    <x v="0"/>
    <s v="SPXW"/>
    <x v="10"/>
    <x v="289"/>
    <s v="p"/>
    <n v="0"/>
    <n v="0"/>
    <n v="0"/>
    <n v="0"/>
    <n v="0"/>
    <n v="679"/>
    <n v="0.1"/>
    <n v="229"/>
    <n v="0.2"/>
    <n v="0"/>
    <n v="0"/>
    <n v="0"/>
    <n v="0"/>
    <n v="0.65339999999999998"/>
    <n v="-6.9999999999999999E-4"/>
    <n v="0"/>
    <n v="-7.0000000000000007E-2"/>
    <n v="3.15E-2"/>
    <n v="-1.5E-3"/>
    <n v="152"/>
    <n v="0.1"/>
    <n v="293"/>
    <n v="0.25"/>
    <n v="0"/>
    <n v="0"/>
    <n v="0"/>
    <n v="8431"/>
    <n v="0"/>
  </r>
  <r>
    <x v="0"/>
    <x v="0"/>
    <s v="SPXW"/>
    <x v="10"/>
    <x v="13"/>
    <s v="p"/>
    <n v="0.2"/>
    <n v="0.2"/>
    <n v="0.2"/>
    <n v="0.2"/>
    <n v="2"/>
    <n v="109"/>
    <n v="0.15"/>
    <n v="1"/>
    <n v="0.2"/>
    <n v="0"/>
    <n v="0"/>
    <n v="0"/>
    <n v="0"/>
    <n v="0.63649999999999995"/>
    <n v="-6.9999999999999999E-4"/>
    <n v="0"/>
    <n v="-6.9900000000000004E-2"/>
    <n v="3.2300000000000002E-2"/>
    <n v="-1.6000000000000001E-3"/>
    <n v="139"/>
    <n v="0.1"/>
    <n v="1"/>
    <n v="0.2"/>
    <n v="0"/>
    <n v="0"/>
    <n v="0.2"/>
    <n v="39109"/>
    <n v="0"/>
  </r>
  <r>
    <x v="0"/>
    <x v="0"/>
    <s v="SPXW"/>
    <x v="10"/>
    <x v="400"/>
    <s v="p"/>
    <n v="0.2"/>
    <n v="0.2"/>
    <n v="0.2"/>
    <n v="0.2"/>
    <n v="1"/>
    <n v="171"/>
    <n v="0.15"/>
    <n v="517"/>
    <n v="0.25"/>
    <n v="0"/>
    <n v="0"/>
    <n v="0"/>
    <n v="0"/>
    <n v="0.64280000000000004"/>
    <n v="-1E-3"/>
    <n v="0"/>
    <n v="-9.0499999999999997E-2"/>
    <n v="4.0899999999999999E-2"/>
    <n v="-2E-3"/>
    <n v="234"/>
    <n v="0.1"/>
    <n v="269"/>
    <n v="0.25"/>
    <n v="0"/>
    <n v="0"/>
    <n v="0.2"/>
    <n v="2329"/>
    <n v="0"/>
  </r>
  <r>
    <x v="0"/>
    <x v="0"/>
    <s v="SPXW"/>
    <x v="10"/>
    <x v="290"/>
    <s v="p"/>
    <n v="0"/>
    <n v="0"/>
    <n v="0"/>
    <n v="0"/>
    <n v="0"/>
    <n v="292"/>
    <n v="0.15"/>
    <n v="616"/>
    <n v="0.25"/>
    <n v="0"/>
    <n v="0"/>
    <n v="0"/>
    <n v="0"/>
    <n v="0.63419999999999999"/>
    <n v="-1E-3"/>
    <n v="0"/>
    <n v="-9.0399999999999994E-2"/>
    <n v="4.1399999999999999E-2"/>
    <n v="-2E-3"/>
    <n v="89"/>
    <n v="0.15"/>
    <n v="255"/>
    <n v="0.25"/>
    <n v="0"/>
    <n v="0"/>
    <n v="0"/>
    <n v="6995"/>
    <n v="0"/>
  </r>
  <r>
    <x v="0"/>
    <x v="0"/>
    <s v="SPXW"/>
    <x v="10"/>
    <x v="401"/>
    <s v="p"/>
    <n v="0.2"/>
    <n v="0.2"/>
    <n v="0.2"/>
    <n v="0.2"/>
    <n v="1"/>
    <n v="466"/>
    <n v="0.15"/>
    <n v="300"/>
    <n v="0.25"/>
    <n v="0"/>
    <n v="0"/>
    <n v="0"/>
    <n v="0"/>
    <n v="0.62570000000000003"/>
    <n v="-1E-3"/>
    <n v="0"/>
    <n v="-9.0300000000000005E-2"/>
    <n v="4.19E-2"/>
    <n v="-2.0999999999999999E-3"/>
    <n v="87"/>
    <n v="0.15"/>
    <n v="253"/>
    <n v="0.25"/>
    <n v="0"/>
    <n v="0"/>
    <n v="0.2"/>
    <n v="2277"/>
    <n v="0"/>
  </r>
  <r>
    <x v="0"/>
    <x v="0"/>
    <s v="SPXW"/>
    <x v="10"/>
    <x v="14"/>
    <s v="p"/>
    <n v="0.21"/>
    <n v="0.22"/>
    <n v="0.2"/>
    <n v="0.22"/>
    <n v="105"/>
    <n v="598"/>
    <n v="0.15"/>
    <n v="250"/>
    <n v="0.25"/>
    <n v="0"/>
    <n v="0"/>
    <n v="0"/>
    <n v="0"/>
    <n v="0.61719999999999997"/>
    <n v="-1E-3"/>
    <n v="0"/>
    <n v="-9.0200000000000002E-2"/>
    <n v="4.2500000000000003E-2"/>
    <n v="-2.0999999999999999E-3"/>
    <n v="132"/>
    <n v="0.15"/>
    <n v="357"/>
    <n v="0.3"/>
    <n v="0"/>
    <n v="0"/>
    <n v="0.21909999999999999"/>
    <n v="3321"/>
    <n v="0"/>
  </r>
  <r>
    <x v="0"/>
    <x v="0"/>
    <s v="SPXW"/>
    <x v="10"/>
    <x v="402"/>
    <s v="p"/>
    <n v="0.2"/>
    <n v="0.2"/>
    <n v="0.2"/>
    <n v="0.2"/>
    <n v="2"/>
    <n v="478"/>
    <n v="0.15"/>
    <n v="605"/>
    <n v="0.3"/>
    <n v="0"/>
    <n v="0"/>
    <n v="0"/>
    <n v="0"/>
    <n v="0.61470000000000002"/>
    <n v="-1.1000000000000001E-3"/>
    <n v="0"/>
    <n v="-0.10009999999999999"/>
    <n v="4.7E-2"/>
    <n v="-2.3E-3"/>
    <n v="111"/>
    <n v="0.15"/>
    <n v="267"/>
    <n v="0.3"/>
    <n v="0"/>
    <n v="0"/>
    <n v="0.2"/>
    <n v="125"/>
    <n v="0"/>
  </r>
  <r>
    <x v="0"/>
    <x v="0"/>
    <s v="SPXW"/>
    <x v="10"/>
    <x v="291"/>
    <s v="p"/>
    <n v="0.25"/>
    <n v="0.25"/>
    <n v="0.25"/>
    <n v="0.25"/>
    <n v="2"/>
    <n v="125"/>
    <n v="0.2"/>
    <n v="515"/>
    <n v="0.3"/>
    <n v="0"/>
    <n v="0"/>
    <n v="0"/>
    <n v="0"/>
    <n v="0.61170000000000002"/>
    <n v="-1.1999999999999999E-3"/>
    <n v="0"/>
    <n v="-0.1099"/>
    <n v="5.1499999999999997E-2"/>
    <n v="-2.5999999999999999E-3"/>
    <n v="128"/>
    <n v="0.15"/>
    <n v="248"/>
    <n v="0.3"/>
    <n v="0"/>
    <n v="0"/>
    <n v="0.25"/>
    <n v="817"/>
    <n v="0"/>
  </r>
  <r>
    <x v="0"/>
    <x v="0"/>
    <s v="SPXW"/>
    <x v="10"/>
    <x v="405"/>
    <s v="p"/>
    <n v="0"/>
    <n v="0"/>
    <n v="0"/>
    <n v="0"/>
    <n v="0"/>
    <n v="78"/>
    <n v="0.2"/>
    <n v="426"/>
    <n v="0.3"/>
    <n v="0"/>
    <n v="0"/>
    <n v="0"/>
    <n v="0"/>
    <n v="0.60809999999999997"/>
    <n v="-1.1999999999999999E-3"/>
    <n v="0"/>
    <n v="-0.10979999999999999"/>
    <n v="5.1799999999999999E-2"/>
    <n v="-2.5999999999999999E-3"/>
    <n v="102"/>
    <n v="0.15"/>
    <n v="222"/>
    <n v="0.3"/>
    <n v="0"/>
    <n v="0"/>
    <n v="0"/>
    <n v="66"/>
    <n v="0"/>
  </r>
  <r>
    <x v="0"/>
    <x v="0"/>
    <s v="SPXW"/>
    <x v="10"/>
    <x v="406"/>
    <s v="p"/>
    <n v="0.25"/>
    <n v="0.25"/>
    <n v="0.25"/>
    <n v="0.25"/>
    <n v="1"/>
    <n v="120"/>
    <n v="0.2"/>
    <n v="394"/>
    <n v="0.3"/>
    <n v="0"/>
    <n v="0"/>
    <n v="0"/>
    <n v="0"/>
    <n v="0.60489999999999999"/>
    <n v="-1.1999999999999999E-3"/>
    <n v="0"/>
    <n v="-0.10979999999999999"/>
    <n v="5.21E-2"/>
    <n v="-2.5999999999999999E-3"/>
    <n v="101"/>
    <n v="0.15"/>
    <n v="393"/>
    <n v="0.35"/>
    <n v="0"/>
    <n v="0"/>
    <n v="0.25"/>
    <n v="16"/>
    <n v="0"/>
  </r>
  <r>
    <x v="0"/>
    <x v="0"/>
    <s v="SPXW"/>
    <x v="10"/>
    <x v="407"/>
    <s v="p"/>
    <n v="0"/>
    <n v="0"/>
    <n v="0"/>
    <n v="0"/>
    <n v="0"/>
    <n v="144"/>
    <n v="0.2"/>
    <n v="399"/>
    <n v="0.3"/>
    <n v="0"/>
    <n v="0"/>
    <n v="0"/>
    <n v="0"/>
    <n v="0.60299999999999998"/>
    <n v="-1.1999999999999999E-3"/>
    <n v="0"/>
    <n v="-0.10970000000000001"/>
    <n v="5.2200000000000003E-2"/>
    <n v="-2.5999999999999999E-3"/>
    <n v="14"/>
    <n v="0.2"/>
    <n v="222"/>
    <n v="0.3"/>
    <n v="0"/>
    <n v="0"/>
    <n v="0"/>
    <n v="65"/>
    <n v="0"/>
  </r>
  <r>
    <x v="0"/>
    <x v="0"/>
    <s v="SPXW"/>
    <x v="10"/>
    <x v="408"/>
    <s v="p"/>
    <n v="0.25"/>
    <n v="0.25"/>
    <n v="0.25"/>
    <n v="0.25"/>
    <n v="1"/>
    <n v="130"/>
    <n v="0.2"/>
    <n v="548"/>
    <n v="0.3"/>
    <n v="0"/>
    <n v="0"/>
    <n v="0"/>
    <n v="0"/>
    <n v="0.60150000000000003"/>
    <n v="-1.1999999999999999E-3"/>
    <n v="0"/>
    <n v="-0.10970000000000001"/>
    <n v="5.2299999999999999E-2"/>
    <n v="-2.5999999999999999E-3"/>
    <n v="14"/>
    <n v="0.2"/>
    <n v="385"/>
    <n v="0.35"/>
    <n v="0"/>
    <n v="0"/>
    <n v="0.25"/>
    <n v="109"/>
    <n v="0"/>
  </r>
  <r>
    <x v="0"/>
    <x v="0"/>
    <s v="SPXW"/>
    <x v="10"/>
    <x v="409"/>
    <s v="p"/>
    <n v="0"/>
    <n v="0"/>
    <n v="0"/>
    <n v="0"/>
    <n v="0"/>
    <n v="261"/>
    <n v="0.2"/>
    <n v="247"/>
    <n v="0.3"/>
    <n v="0"/>
    <n v="0"/>
    <n v="0"/>
    <n v="0"/>
    <n v="0.59809999999999997"/>
    <n v="-1.2999999999999999E-3"/>
    <n v="0"/>
    <n v="-0.10970000000000001"/>
    <n v="5.2600000000000001E-2"/>
    <n v="-2.5999999999999999E-3"/>
    <n v="14"/>
    <n v="0.2"/>
    <n v="375"/>
    <n v="0.35"/>
    <n v="0"/>
    <n v="0"/>
    <n v="0"/>
    <n v="116"/>
    <n v="0"/>
  </r>
  <r>
    <x v="0"/>
    <x v="0"/>
    <s v="SPXW"/>
    <x v="10"/>
    <x v="15"/>
    <s v="p"/>
    <n v="0"/>
    <n v="0"/>
    <n v="0"/>
    <n v="0"/>
    <n v="0"/>
    <n v="414"/>
    <n v="0.2"/>
    <n v="228"/>
    <n v="0.3"/>
    <n v="0"/>
    <n v="0"/>
    <n v="0"/>
    <n v="0"/>
    <n v="0.59470000000000001"/>
    <n v="-1.2999999999999999E-3"/>
    <n v="0"/>
    <n v="-0.1096"/>
    <n v="5.2900000000000003E-2"/>
    <n v="-2.7000000000000001E-3"/>
    <n v="64"/>
    <n v="0.2"/>
    <n v="377"/>
    <n v="0.35"/>
    <n v="0"/>
    <n v="0"/>
    <n v="0"/>
    <n v="7809"/>
    <n v="0"/>
  </r>
  <r>
    <x v="0"/>
    <x v="0"/>
    <s v="SPXW"/>
    <x v="10"/>
    <x v="410"/>
    <s v="p"/>
    <n v="0"/>
    <n v="0"/>
    <n v="0"/>
    <n v="0"/>
    <n v="0"/>
    <n v="334"/>
    <n v="0.2"/>
    <n v="646"/>
    <n v="0.35"/>
    <n v="0"/>
    <n v="0"/>
    <n v="0"/>
    <n v="0"/>
    <n v="0.59619999999999995"/>
    <n v="-1.4E-3"/>
    <n v="0"/>
    <n v="-0.1193"/>
    <n v="5.7099999999999998E-2"/>
    <n v="-2.8999999999999998E-3"/>
    <n v="74"/>
    <n v="0.2"/>
    <n v="357"/>
    <n v="0.35"/>
    <n v="0"/>
    <n v="0"/>
    <n v="0"/>
    <n v="34"/>
    <n v="0"/>
  </r>
  <r>
    <x v="0"/>
    <x v="0"/>
    <s v="SPXW"/>
    <x v="10"/>
    <x v="411"/>
    <s v="p"/>
    <n v="0.25"/>
    <n v="0.25"/>
    <n v="0.25"/>
    <n v="0.25"/>
    <n v="1"/>
    <n v="366"/>
    <n v="0.2"/>
    <n v="608"/>
    <n v="0.35"/>
    <n v="0"/>
    <n v="0"/>
    <n v="0"/>
    <n v="0"/>
    <n v="0.59279999999999999"/>
    <n v="-1.4E-3"/>
    <n v="0"/>
    <n v="-0.1192"/>
    <n v="5.74E-2"/>
    <n v="-2.8999999999999998E-3"/>
    <n v="73"/>
    <n v="0.2"/>
    <n v="345"/>
    <n v="0.35"/>
    <n v="0"/>
    <n v="0"/>
    <n v="0.25"/>
    <n v="79"/>
    <n v="0"/>
  </r>
  <r>
    <x v="0"/>
    <x v="0"/>
    <s v="SPXW"/>
    <x v="10"/>
    <x v="412"/>
    <s v="p"/>
    <n v="0.25"/>
    <n v="0.3"/>
    <n v="0.25"/>
    <n v="0.3"/>
    <n v="4"/>
    <n v="595"/>
    <n v="0.2"/>
    <n v="601"/>
    <n v="0.35"/>
    <n v="0"/>
    <n v="0"/>
    <n v="0"/>
    <n v="0"/>
    <n v="0.59109999999999996"/>
    <n v="-1.4E-3"/>
    <n v="0"/>
    <n v="-0.1192"/>
    <n v="5.7599999999999998E-2"/>
    <n v="-2.8999999999999998E-3"/>
    <n v="104"/>
    <n v="0.2"/>
    <n v="306"/>
    <n v="0.35"/>
    <n v="0"/>
    <n v="0"/>
    <n v="0.27500000000000002"/>
    <n v="113"/>
    <n v="0"/>
  </r>
  <r>
    <x v="0"/>
    <x v="0"/>
    <s v="SPXW"/>
    <x v="10"/>
    <x v="413"/>
    <s v="p"/>
    <n v="0.25"/>
    <n v="0.25"/>
    <n v="0.25"/>
    <n v="0.25"/>
    <n v="1"/>
    <n v="483"/>
    <n v="0.2"/>
    <n v="569"/>
    <n v="0.35"/>
    <n v="0"/>
    <n v="0"/>
    <n v="0"/>
    <n v="0"/>
    <n v="0.58940000000000003"/>
    <n v="-1.4E-3"/>
    <n v="0"/>
    <n v="-0.1192"/>
    <n v="5.7799999999999997E-2"/>
    <n v="-2.8999999999999998E-3"/>
    <n v="87"/>
    <n v="0.2"/>
    <n v="293"/>
    <n v="0.35"/>
    <n v="0"/>
    <n v="0"/>
    <n v="0.25"/>
    <n v="6"/>
    <n v="0"/>
  </r>
  <r>
    <x v="0"/>
    <x v="0"/>
    <s v="SPXW"/>
    <x v="10"/>
    <x v="414"/>
    <s v="p"/>
    <n v="0"/>
    <n v="0"/>
    <n v="0"/>
    <n v="0"/>
    <n v="0"/>
    <n v="430"/>
    <n v="0.2"/>
    <n v="532"/>
    <n v="0.35"/>
    <n v="0"/>
    <n v="0"/>
    <n v="0"/>
    <n v="0"/>
    <n v="0.58589999999999998"/>
    <n v="-1.4E-3"/>
    <n v="0"/>
    <n v="-0.1191"/>
    <n v="5.8099999999999999E-2"/>
    <n v="-2.8999999999999998E-3"/>
    <n v="88"/>
    <n v="0.2"/>
    <n v="231"/>
    <n v="0.35"/>
    <n v="0"/>
    <n v="0"/>
    <n v="0"/>
    <n v="38"/>
    <n v="0"/>
  </r>
  <r>
    <x v="0"/>
    <x v="0"/>
    <s v="SPXW"/>
    <x v="10"/>
    <x v="292"/>
    <s v="p"/>
    <n v="0.35"/>
    <n v="0.35"/>
    <n v="0.35"/>
    <n v="0.35"/>
    <n v="2"/>
    <n v="500"/>
    <n v="0.2"/>
    <n v="525"/>
    <n v="0.35"/>
    <n v="0"/>
    <n v="0"/>
    <n v="0"/>
    <n v="0"/>
    <n v="0.58709999999999996"/>
    <n v="-1.5E-3"/>
    <n v="0"/>
    <n v="-0.12859999999999999"/>
    <n v="6.2399999999999997E-2"/>
    <n v="-3.2000000000000002E-3"/>
    <n v="121"/>
    <n v="0.2"/>
    <n v="255"/>
    <n v="0.35"/>
    <n v="0"/>
    <n v="0"/>
    <n v="0.35"/>
    <n v="6703"/>
    <n v="0"/>
  </r>
  <r>
    <x v="0"/>
    <x v="0"/>
    <s v="SPXW"/>
    <x v="10"/>
    <x v="415"/>
    <s v="p"/>
    <n v="0"/>
    <n v="0"/>
    <n v="0"/>
    <n v="0"/>
    <n v="0"/>
    <n v="73"/>
    <n v="0.25"/>
    <n v="399"/>
    <n v="0.35"/>
    <n v="0"/>
    <n v="0"/>
    <n v="0"/>
    <n v="0"/>
    <n v="0.5837"/>
    <n v="-1.5E-3"/>
    <n v="0"/>
    <n v="-0.12859999999999999"/>
    <n v="6.2700000000000006E-2"/>
    <n v="-3.2000000000000002E-3"/>
    <n v="89"/>
    <n v="0.2"/>
    <n v="384"/>
    <n v="0.4"/>
    <n v="0"/>
    <n v="0"/>
    <n v="0"/>
    <n v="298"/>
    <n v="0"/>
  </r>
  <r>
    <x v="0"/>
    <x v="0"/>
    <s v="SPXW"/>
    <x v="10"/>
    <x v="416"/>
    <s v="p"/>
    <n v="0.3"/>
    <n v="0.3"/>
    <n v="0.3"/>
    <n v="0.3"/>
    <n v="1"/>
    <n v="115"/>
    <n v="0.25"/>
    <n v="364"/>
    <n v="0.35"/>
    <n v="0"/>
    <n v="0"/>
    <n v="0"/>
    <n v="0"/>
    <n v="0.58030000000000004"/>
    <n v="-1.5E-3"/>
    <n v="0"/>
    <n v="-0.1285"/>
    <n v="6.3E-2"/>
    <n v="-3.2000000000000002E-3"/>
    <n v="88"/>
    <n v="0.2"/>
    <n v="372"/>
    <n v="0.4"/>
    <n v="0"/>
    <n v="0"/>
    <n v="0.3"/>
    <n v="114"/>
    <n v="0"/>
  </r>
  <r>
    <x v="0"/>
    <x v="0"/>
    <s v="SPXW"/>
    <x v="10"/>
    <x v="417"/>
    <s v="p"/>
    <n v="0"/>
    <n v="0"/>
    <n v="0"/>
    <n v="0"/>
    <n v="0"/>
    <n v="126"/>
    <n v="0.25"/>
    <n v="547"/>
    <n v="0.35"/>
    <n v="0"/>
    <n v="0"/>
    <n v="0"/>
    <n v="0"/>
    <n v="0.5786"/>
    <n v="-1.5E-3"/>
    <n v="0"/>
    <n v="-0.1285"/>
    <n v="6.3200000000000006E-2"/>
    <n v="-3.2000000000000002E-3"/>
    <n v="106"/>
    <n v="0.2"/>
    <n v="377"/>
    <n v="0.4"/>
    <n v="0"/>
    <n v="0"/>
    <n v="0"/>
    <n v="66"/>
    <n v="0"/>
  </r>
  <r>
    <x v="0"/>
    <x v="0"/>
    <s v="SPXW"/>
    <x v="10"/>
    <x v="418"/>
    <s v="p"/>
    <n v="0.25"/>
    <n v="0.25"/>
    <n v="0.25"/>
    <n v="0.25"/>
    <n v="1"/>
    <n v="115"/>
    <n v="0.25"/>
    <n v="498"/>
    <n v="0.35"/>
    <n v="0"/>
    <n v="0"/>
    <n v="0"/>
    <n v="0"/>
    <n v="0.57679999999999998"/>
    <n v="-1.5E-3"/>
    <n v="0"/>
    <n v="-0.12839999999999999"/>
    <n v="6.3399999999999998E-2"/>
    <n v="-3.2000000000000002E-3"/>
    <n v="14"/>
    <n v="0.25"/>
    <n v="362"/>
    <n v="0.4"/>
    <n v="0"/>
    <n v="0"/>
    <n v="0.25"/>
    <n v="41"/>
    <n v="0"/>
  </r>
  <r>
    <x v="0"/>
    <x v="0"/>
    <s v="SPXW"/>
    <x v="10"/>
    <x v="419"/>
    <s v="p"/>
    <n v="0"/>
    <n v="0"/>
    <n v="0"/>
    <n v="0"/>
    <n v="0"/>
    <n v="124"/>
    <n v="0.25"/>
    <n v="226"/>
    <n v="0.35"/>
    <n v="0"/>
    <n v="0"/>
    <n v="0"/>
    <n v="0"/>
    <n v="0.57350000000000001"/>
    <n v="-1.5E-3"/>
    <n v="0"/>
    <n v="-0.1283"/>
    <n v="6.3799999999999996E-2"/>
    <n v="-3.3E-3"/>
    <n v="14"/>
    <n v="0.25"/>
    <n v="348"/>
    <n v="0.4"/>
    <n v="0"/>
    <n v="0"/>
    <n v="0"/>
    <n v="41"/>
    <n v="0"/>
  </r>
  <r>
    <x v="0"/>
    <x v="0"/>
    <s v="SPXW"/>
    <x v="10"/>
    <x v="16"/>
    <s v="p"/>
    <n v="0.25"/>
    <n v="0.37"/>
    <n v="0.25"/>
    <n v="0.31"/>
    <n v="91"/>
    <n v="430"/>
    <n v="0.25"/>
    <n v="235"/>
    <n v="0.35"/>
    <n v="0"/>
    <n v="0"/>
    <n v="0"/>
    <n v="0"/>
    <n v="0.57010000000000005"/>
    <n v="-1.5E-3"/>
    <n v="0"/>
    <n v="-0.1283"/>
    <n v="6.4100000000000004E-2"/>
    <n v="-3.3E-3"/>
    <n v="80"/>
    <n v="0.25"/>
    <n v="360"/>
    <n v="0.4"/>
    <n v="0"/>
    <n v="0"/>
    <n v="0.27089999999999997"/>
    <n v="1330"/>
    <n v="0"/>
  </r>
  <r>
    <x v="0"/>
    <x v="0"/>
    <s v="SPXW"/>
    <x v="10"/>
    <x v="420"/>
    <s v="p"/>
    <n v="0"/>
    <n v="0"/>
    <n v="0"/>
    <n v="0"/>
    <n v="0"/>
    <n v="319"/>
    <n v="0.25"/>
    <n v="569"/>
    <n v="0.4"/>
    <n v="0"/>
    <n v="0"/>
    <n v="0"/>
    <n v="0"/>
    <n v="0.57079999999999997"/>
    <n v="-1.6999999999999999E-3"/>
    <n v="0"/>
    <n v="-0.13769999999999999"/>
    <n v="6.8500000000000005E-2"/>
    <n v="-3.5000000000000001E-3"/>
    <n v="71"/>
    <n v="0.25"/>
    <n v="313"/>
    <n v="0.4"/>
    <n v="0"/>
    <n v="0"/>
    <n v="0"/>
    <n v="53"/>
    <n v="0"/>
  </r>
  <r>
    <x v="0"/>
    <x v="0"/>
    <s v="SPXW"/>
    <x v="10"/>
    <x v="421"/>
    <s v="p"/>
    <n v="0.3"/>
    <n v="0.3"/>
    <n v="0.3"/>
    <n v="0.3"/>
    <n v="2"/>
    <n v="353"/>
    <n v="0.25"/>
    <n v="526"/>
    <n v="0.4"/>
    <n v="0"/>
    <n v="0"/>
    <n v="0"/>
    <n v="0"/>
    <n v="0.56720000000000004"/>
    <n v="-1.6999999999999999E-3"/>
    <n v="0"/>
    <n v="-0.1376"/>
    <n v="6.8900000000000003E-2"/>
    <n v="-3.5000000000000001E-3"/>
    <n v="71"/>
    <n v="0.25"/>
    <n v="308"/>
    <n v="0.4"/>
    <n v="0"/>
    <n v="0"/>
    <n v="0.3"/>
    <n v="67"/>
    <n v="0"/>
  </r>
  <r>
    <x v="0"/>
    <x v="0"/>
    <s v="SPXW"/>
    <x v="10"/>
    <x v="422"/>
    <s v="p"/>
    <n v="0.3"/>
    <n v="0.3"/>
    <n v="0.3"/>
    <n v="0.3"/>
    <n v="6"/>
    <n v="1"/>
    <n v="0.3"/>
    <n v="517"/>
    <n v="0.4"/>
    <n v="0"/>
    <n v="0"/>
    <n v="0"/>
    <n v="0"/>
    <n v="0.56950000000000001"/>
    <n v="-1.8E-3"/>
    <n v="0"/>
    <n v="-0.1469"/>
    <n v="7.2999999999999995E-2"/>
    <n v="-3.8E-3"/>
    <n v="79"/>
    <n v="0.25"/>
    <n v="507"/>
    <n v="0.4"/>
    <n v="0"/>
    <n v="0"/>
    <n v="0.3"/>
    <n v="70"/>
    <n v="0"/>
  </r>
  <r>
    <x v="0"/>
    <x v="0"/>
    <s v="SPXW"/>
    <x v="10"/>
    <x v="423"/>
    <s v="p"/>
    <n v="0"/>
    <n v="0"/>
    <n v="0"/>
    <n v="0"/>
    <n v="0"/>
    <n v="617"/>
    <n v="0.25"/>
    <n v="474"/>
    <n v="0.4"/>
    <n v="0"/>
    <n v="0"/>
    <n v="0"/>
    <n v="0"/>
    <n v="0.56389999999999996"/>
    <n v="-1.6999999999999999E-3"/>
    <n v="0"/>
    <n v="-0.13750000000000001"/>
    <n v="6.93E-2"/>
    <n v="-3.5999999999999999E-3"/>
    <n v="82"/>
    <n v="0.25"/>
    <n v="213"/>
    <n v="0.4"/>
    <n v="0"/>
    <n v="0"/>
    <n v="0"/>
    <n v="43"/>
    <n v="0"/>
  </r>
  <r>
    <x v="0"/>
    <x v="0"/>
    <s v="SPXW"/>
    <x v="10"/>
    <x v="424"/>
    <s v="p"/>
    <n v="0"/>
    <n v="0"/>
    <n v="0"/>
    <n v="0"/>
    <n v="0"/>
    <n v="426"/>
    <n v="0.25"/>
    <n v="430"/>
    <n v="0.4"/>
    <n v="0"/>
    <n v="0"/>
    <n v="0"/>
    <n v="0"/>
    <n v="0.5605"/>
    <n v="-1.6999999999999999E-3"/>
    <n v="0"/>
    <n v="-0.13739999999999999"/>
    <n v="6.9699999999999998E-2"/>
    <n v="-3.5999999999999999E-3"/>
    <n v="86"/>
    <n v="0.25"/>
    <n v="212"/>
    <n v="0.4"/>
    <n v="0"/>
    <n v="0"/>
    <n v="0"/>
    <n v="587"/>
    <n v="0"/>
  </r>
  <r>
    <x v="0"/>
    <x v="0"/>
    <s v="SPXW"/>
    <x v="10"/>
    <x v="293"/>
    <s v="p"/>
    <n v="0.3"/>
    <n v="0.35"/>
    <n v="0.3"/>
    <n v="0.35"/>
    <n v="203"/>
    <n v="80"/>
    <n v="0.3"/>
    <n v="431"/>
    <n v="0.4"/>
    <n v="0"/>
    <n v="0"/>
    <n v="0"/>
    <n v="0"/>
    <n v="0.56100000000000005"/>
    <n v="-1.8E-3"/>
    <n v="0"/>
    <n v="-0.1467"/>
    <n v="7.3999999999999996E-2"/>
    <n v="-3.8E-3"/>
    <n v="116"/>
    <n v="0.25"/>
    <n v="215"/>
    <n v="0.4"/>
    <n v="0"/>
    <n v="0"/>
    <n v="0.3246"/>
    <n v="345"/>
    <n v="0"/>
  </r>
  <r>
    <x v="0"/>
    <x v="0"/>
    <s v="SPXW"/>
    <x v="10"/>
    <x v="425"/>
    <s v="p"/>
    <n v="0.3"/>
    <n v="0.3"/>
    <n v="0.3"/>
    <n v="0.3"/>
    <n v="1"/>
    <n v="69"/>
    <n v="0.3"/>
    <n v="514"/>
    <n v="0.4"/>
    <n v="0"/>
    <n v="0"/>
    <n v="0"/>
    <n v="0"/>
    <n v="0.5575"/>
    <n v="-1.8E-3"/>
    <n v="0"/>
    <n v="-0.14660000000000001"/>
    <n v="7.4399999999999994E-2"/>
    <n v="-3.8999999999999998E-3"/>
    <n v="88"/>
    <n v="0.25"/>
    <n v="341"/>
    <n v="0.45"/>
    <n v="0"/>
    <n v="0"/>
    <n v="0.3"/>
    <n v="76"/>
    <n v="0"/>
  </r>
  <r>
    <x v="0"/>
    <x v="0"/>
    <s v="SPXW"/>
    <x v="10"/>
    <x v="426"/>
    <s v="p"/>
    <n v="0.3"/>
    <n v="0.3"/>
    <n v="0.3"/>
    <n v="0.3"/>
    <n v="1"/>
    <n v="111"/>
    <n v="0.3"/>
    <n v="413"/>
    <n v="0.4"/>
    <n v="0"/>
    <n v="0"/>
    <n v="0"/>
    <n v="0"/>
    <n v="0.55420000000000003"/>
    <n v="-1.8E-3"/>
    <n v="0"/>
    <n v="-0.14649999999999999"/>
    <n v="7.4800000000000005E-2"/>
    <n v="-3.8999999999999998E-3"/>
    <n v="104"/>
    <n v="0.25"/>
    <n v="330"/>
    <n v="0.45"/>
    <n v="0"/>
    <n v="0"/>
    <n v="0.3"/>
    <n v="38"/>
    <n v="0"/>
  </r>
  <r>
    <x v="0"/>
    <x v="0"/>
    <s v="SPXW"/>
    <x v="10"/>
    <x v="17"/>
    <s v="p"/>
    <n v="0.35"/>
    <n v="0.35"/>
    <n v="0.35"/>
    <n v="0.35"/>
    <n v="1"/>
    <n v="130"/>
    <n v="0.3"/>
    <n v="221"/>
    <n v="0.4"/>
    <n v="0"/>
    <n v="0"/>
    <n v="0"/>
    <n v="0"/>
    <n v="0.55220000000000002"/>
    <n v="-1.8E-3"/>
    <n v="0"/>
    <n v="-0.14649999999999999"/>
    <n v="7.51E-2"/>
    <n v="-3.8999999999999998E-3"/>
    <n v="58"/>
    <n v="0.3"/>
    <n v="333"/>
    <n v="0.45"/>
    <n v="0"/>
    <n v="0"/>
    <n v="0.35"/>
    <n v="83"/>
    <n v="0"/>
  </r>
  <r>
    <x v="0"/>
    <x v="0"/>
    <s v="SPXW"/>
    <x v="10"/>
    <x v="427"/>
    <s v="p"/>
    <n v="0"/>
    <n v="0"/>
    <n v="0"/>
    <n v="0"/>
    <n v="0"/>
    <n v="274"/>
    <n v="0.3"/>
    <n v="573"/>
    <n v="0.45"/>
    <n v="0"/>
    <n v="0"/>
    <n v="0"/>
    <n v="0"/>
    <n v="0.55430000000000001"/>
    <n v="-1.9E-3"/>
    <n v="0"/>
    <n v="-0.15570000000000001"/>
    <n v="7.9200000000000007E-2"/>
    <n v="-4.1000000000000003E-3"/>
    <n v="14"/>
    <n v="0.3"/>
    <n v="316"/>
    <n v="0.45"/>
    <n v="0"/>
    <n v="0"/>
    <n v="0"/>
    <n v="23"/>
    <n v="0"/>
  </r>
  <r>
    <x v="0"/>
    <x v="0"/>
    <s v="SPXW"/>
    <x v="10"/>
    <x v="428"/>
    <s v="p"/>
    <n v="0"/>
    <n v="0"/>
    <n v="0"/>
    <n v="0"/>
    <n v="0"/>
    <n v="527"/>
    <n v="0.3"/>
    <n v="526"/>
    <n v="0.45"/>
    <n v="0"/>
    <n v="0"/>
    <n v="0"/>
    <n v="0"/>
    <n v="0.55089999999999995"/>
    <n v="-2E-3"/>
    <n v="0"/>
    <n v="-0.15559999999999999"/>
    <n v="7.9600000000000004E-2"/>
    <n v="-4.1999999999999997E-3"/>
    <n v="14"/>
    <n v="0.3"/>
    <n v="304"/>
    <n v="0.45"/>
    <n v="0"/>
    <n v="0"/>
    <n v="0"/>
    <n v="31"/>
    <n v="0"/>
  </r>
  <r>
    <x v="0"/>
    <x v="0"/>
    <s v="SPXW"/>
    <x v="10"/>
    <x v="18"/>
    <s v="p"/>
    <n v="0.35"/>
    <n v="0.42"/>
    <n v="0.35"/>
    <n v="0.42"/>
    <n v="9"/>
    <n v="343"/>
    <n v="0.3"/>
    <n v="524"/>
    <n v="0.45"/>
    <n v="0"/>
    <n v="0"/>
    <n v="0"/>
    <n v="0"/>
    <n v="0.54749999999999999"/>
    <n v="-2E-3"/>
    <n v="0"/>
    <n v="-0.1555"/>
    <n v="8.0100000000000005E-2"/>
    <n v="-4.1999999999999997E-3"/>
    <n v="92"/>
    <n v="0.3"/>
    <n v="525"/>
    <n v="0.45"/>
    <n v="0"/>
    <n v="0"/>
    <n v="0.3967"/>
    <n v="1028"/>
    <n v="0"/>
  </r>
  <r>
    <x v="0"/>
    <x v="0"/>
    <s v="SPXW"/>
    <x v="10"/>
    <x v="429"/>
    <s v="p"/>
    <n v="0.35"/>
    <n v="0.35"/>
    <n v="0.35"/>
    <n v="0.35"/>
    <n v="1"/>
    <n v="604"/>
    <n v="0.3"/>
    <n v="424"/>
    <n v="0.45"/>
    <n v="0"/>
    <n v="0"/>
    <n v="0"/>
    <n v="0"/>
    <n v="0.54400000000000004"/>
    <n v="-2E-3"/>
    <n v="0"/>
    <n v="-0.15540000000000001"/>
    <n v="8.0500000000000002E-2"/>
    <n v="-4.1999999999999997E-3"/>
    <n v="68"/>
    <n v="0.3"/>
    <n v="232"/>
    <n v="0.45"/>
    <n v="0"/>
    <n v="0"/>
    <n v="0.35"/>
    <n v="188"/>
    <n v="0"/>
  </r>
  <r>
    <x v="0"/>
    <x v="0"/>
    <s v="SPXW"/>
    <x v="10"/>
    <x v="430"/>
    <s v="p"/>
    <n v="0"/>
    <n v="0"/>
    <n v="0"/>
    <n v="0"/>
    <n v="0"/>
    <n v="410"/>
    <n v="0.3"/>
    <n v="379"/>
    <n v="0.45"/>
    <n v="0"/>
    <n v="0"/>
    <n v="0"/>
    <n v="0"/>
    <n v="0.54059999999999997"/>
    <n v="-2E-3"/>
    <n v="0"/>
    <n v="-0.15529999999999999"/>
    <n v="8.1000000000000003E-2"/>
    <n v="-4.1999999999999997E-3"/>
    <n v="84"/>
    <n v="0.3"/>
    <n v="197"/>
    <n v="0.45"/>
    <n v="0"/>
    <n v="0"/>
    <n v="0"/>
    <n v="55"/>
    <n v="0"/>
  </r>
  <r>
    <x v="0"/>
    <x v="0"/>
    <s v="SPXW"/>
    <x v="10"/>
    <x v="19"/>
    <s v="p"/>
    <n v="0.4"/>
    <n v="0.4"/>
    <n v="0.4"/>
    <n v="0.4"/>
    <n v="180"/>
    <n v="75"/>
    <n v="0.35"/>
    <n v="413"/>
    <n v="0.45"/>
    <n v="0"/>
    <n v="0"/>
    <n v="0"/>
    <n v="0"/>
    <n v="0.5423"/>
    <n v="-2.0999999999999999E-3"/>
    <n v="0"/>
    <n v="-0.16439999999999999"/>
    <n v="8.5099999999999995E-2"/>
    <n v="-4.4999999999999997E-3"/>
    <n v="112"/>
    <n v="0.3"/>
    <n v="203"/>
    <n v="0.45"/>
    <n v="0"/>
    <n v="0"/>
    <n v="0.4"/>
    <n v="53"/>
    <n v="0"/>
  </r>
  <r>
    <x v="0"/>
    <x v="0"/>
    <s v="SPXW"/>
    <x v="10"/>
    <x v="431"/>
    <s v="p"/>
    <n v="0"/>
    <n v="0"/>
    <n v="0"/>
    <n v="0"/>
    <n v="0"/>
    <n v="65"/>
    <n v="0.35"/>
    <n v="569"/>
    <n v="0.45"/>
    <n v="0"/>
    <n v="0"/>
    <n v="0"/>
    <n v="0"/>
    <n v="0.54049999999999998"/>
    <n v="-2.0999999999999999E-3"/>
    <n v="0"/>
    <n v="-0.1643"/>
    <n v="8.5400000000000004E-2"/>
    <n v="-4.4999999999999997E-3"/>
    <n v="86"/>
    <n v="0.3"/>
    <n v="326"/>
    <n v="0.5"/>
    <n v="0"/>
    <n v="0"/>
    <n v="0"/>
    <n v="48"/>
    <n v="0"/>
  </r>
  <r>
    <x v="0"/>
    <x v="0"/>
    <s v="SPXW"/>
    <x v="10"/>
    <x v="432"/>
    <s v="p"/>
    <n v="0"/>
    <n v="0"/>
    <n v="0"/>
    <n v="0"/>
    <n v="0"/>
    <n v="65"/>
    <n v="0.35"/>
    <n v="415"/>
    <n v="0.45"/>
    <n v="0"/>
    <n v="0"/>
    <n v="0"/>
    <n v="0"/>
    <n v="0.53710000000000002"/>
    <n v="-2.0999999999999999E-3"/>
    <n v="0"/>
    <n v="-0.16420000000000001"/>
    <n v="8.5900000000000004E-2"/>
    <n v="-4.4999999999999997E-3"/>
    <n v="93"/>
    <n v="0.3"/>
    <n v="313"/>
    <n v="0.5"/>
    <n v="0"/>
    <n v="0"/>
    <n v="0"/>
    <n v="40"/>
    <n v="0"/>
  </r>
  <r>
    <x v="0"/>
    <x v="0"/>
    <s v="SPXW"/>
    <x v="10"/>
    <x v="20"/>
    <s v="p"/>
    <n v="0.35"/>
    <n v="0.42"/>
    <n v="0.35"/>
    <n v="0.42"/>
    <n v="7"/>
    <n v="117"/>
    <n v="0.35"/>
    <n v="156"/>
    <n v="0.45"/>
    <n v="0"/>
    <n v="0"/>
    <n v="0"/>
    <n v="0"/>
    <n v="0.53380000000000005"/>
    <n v="-2.0999999999999999E-3"/>
    <n v="0"/>
    <n v="-0.1641"/>
    <n v="8.6300000000000002E-2"/>
    <n v="-4.4999999999999997E-3"/>
    <n v="14"/>
    <n v="0.35"/>
    <n v="310"/>
    <n v="0.5"/>
    <n v="0"/>
    <n v="0"/>
    <n v="0.41"/>
    <n v="431"/>
    <n v="0"/>
  </r>
  <r>
    <x v="0"/>
    <x v="0"/>
    <s v="SPXW"/>
    <x v="10"/>
    <x v="433"/>
    <s v="p"/>
    <n v="0.35"/>
    <n v="0.35"/>
    <n v="0.35"/>
    <n v="0.35"/>
    <n v="1"/>
    <n v="271"/>
    <n v="0.35"/>
    <n v="494"/>
    <n v="0.5"/>
    <n v="0"/>
    <n v="0"/>
    <n v="0"/>
    <n v="0"/>
    <n v="0.53349999999999997"/>
    <n v="-2.3E-3"/>
    <n v="0"/>
    <n v="-0.17299999999999999"/>
    <n v="9.0700000000000003E-2"/>
    <n v="-4.7999999999999996E-3"/>
    <n v="14"/>
    <n v="0.35"/>
    <n v="291"/>
    <n v="0.5"/>
    <n v="0"/>
    <n v="0"/>
    <n v="0.35"/>
    <n v="77"/>
    <n v="0"/>
  </r>
  <r>
    <x v="0"/>
    <x v="0"/>
    <s v="SPXW"/>
    <x v="10"/>
    <x v="434"/>
    <s v="p"/>
    <n v="0.45"/>
    <n v="0.47"/>
    <n v="0.45"/>
    <n v="0.47"/>
    <n v="100"/>
    <n v="309"/>
    <n v="0.35"/>
    <n v="479"/>
    <n v="0.5"/>
    <n v="0"/>
    <n v="0"/>
    <n v="0"/>
    <n v="0"/>
    <n v="0.53010000000000002"/>
    <n v="-2.3E-3"/>
    <n v="0"/>
    <n v="-0.1729"/>
    <n v="9.1300000000000006E-2"/>
    <n v="-4.7999999999999996E-3"/>
    <n v="83"/>
    <n v="0.35"/>
    <n v="488"/>
    <n v="0.5"/>
    <n v="0"/>
    <n v="0"/>
    <n v="0.46"/>
    <n v="31"/>
    <n v="0"/>
  </r>
  <r>
    <x v="0"/>
    <x v="0"/>
    <s v="SPXW"/>
    <x v="10"/>
    <x v="21"/>
    <s v="p"/>
    <n v="0"/>
    <n v="0"/>
    <n v="0"/>
    <n v="0"/>
    <n v="0"/>
    <n v="341"/>
    <n v="0.35"/>
    <n v="434"/>
    <n v="0.5"/>
    <n v="0"/>
    <n v="0"/>
    <n v="0"/>
    <n v="0"/>
    <n v="0.52839999999999998"/>
    <n v="-2.3E-3"/>
    <n v="0"/>
    <n v="-0.17280000000000001"/>
    <n v="9.1499999999999998E-2"/>
    <n v="-4.7999999999999996E-3"/>
    <n v="74"/>
    <n v="0.35"/>
    <n v="405"/>
    <n v="0.5"/>
    <n v="0"/>
    <n v="0"/>
    <n v="0"/>
    <n v="117"/>
    <n v="0"/>
  </r>
  <r>
    <x v="0"/>
    <x v="0"/>
    <s v="SPXW"/>
    <x v="10"/>
    <x v="435"/>
    <s v="p"/>
    <n v="0"/>
    <n v="0"/>
    <n v="0"/>
    <n v="0"/>
    <n v="0"/>
    <n v="351"/>
    <n v="0.35"/>
    <n v="389"/>
    <n v="0.5"/>
    <n v="0"/>
    <n v="0"/>
    <n v="0"/>
    <n v="0"/>
    <n v="0.52649999999999997"/>
    <n v="-2.3E-3"/>
    <n v="0"/>
    <n v="-0.17280000000000001"/>
    <n v="9.1800000000000007E-2"/>
    <n v="-4.8999999999999998E-3"/>
    <n v="67"/>
    <n v="0.35"/>
    <n v="222"/>
    <n v="0.5"/>
    <n v="0"/>
    <n v="0"/>
    <n v="0"/>
    <n v="195"/>
    <n v="0"/>
  </r>
  <r>
    <x v="0"/>
    <x v="0"/>
    <s v="SPXW"/>
    <x v="10"/>
    <x v="436"/>
    <s v="p"/>
    <n v="0"/>
    <n v="0"/>
    <n v="0"/>
    <n v="0"/>
    <n v="0"/>
    <n v="391"/>
    <n v="0.35"/>
    <n v="357"/>
    <n v="0.5"/>
    <n v="0"/>
    <n v="0"/>
    <n v="0"/>
    <n v="0"/>
    <n v="0.52310000000000001"/>
    <n v="-2.3E-3"/>
    <n v="0"/>
    <n v="-0.1726"/>
    <n v="9.2399999999999996E-2"/>
    <n v="-4.8999999999999998E-3"/>
    <n v="79"/>
    <n v="0.35"/>
    <n v="170"/>
    <n v="0.5"/>
    <n v="0"/>
    <n v="0"/>
    <n v="0"/>
    <n v="158"/>
    <n v="0"/>
  </r>
  <r>
    <x v="0"/>
    <x v="0"/>
    <s v="SPXW"/>
    <x v="10"/>
    <x v="22"/>
    <s v="p"/>
    <n v="0.37"/>
    <n v="0.37"/>
    <n v="0.37"/>
    <n v="0.37"/>
    <n v="10"/>
    <n v="74"/>
    <n v="0.4"/>
    <n v="582"/>
    <n v="0.5"/>
    <n v="0"/>
    <n v="0"/>
    <n v="0"/>
    <n v="0"/>
    <n v="0.52280000000000004"/>
    <n v="-2.3999999999999998E-3"/>
    <n v="0"/>
    <n v="-0.18149999999999999"/>
    <n v="9.69E-2"/>
    <n v="-5.1999999999999998E-3"/>
    <n v="110"/>
    <n v="0.35"/>
    <n v="191"/>
    <n v="0.5"/>
    <n v="0"/>
    <n v="0"/>
    <n v="0.37"/>
    <n v="1054"/>
    <n v="0"/>
  </r>
  <r>
    <x v="0"/>
    <x v="0"/>
    <s v="SPXW"/>
    <x v="10"/>
    <x v="437"/>
    <s v="p"/>
    <n v="0"/>
    <n v="0"/>
    <n v="0"/>
    <n v="0"/>
    <n v="0"/>
    <n v="64"/>
    <n v="0.4"/>
    <n v="384"/>
    <n v="0.5"/>
    <n v="0"/>
    <n v="0"/>
    <n v="0"/>
    <n v="0"/>
    <n v="0.51939999999999997"/>
    <n v="-2.3999999999999998E-3"/>
    <n v="0"/>
    <n v="-0.18129999999999999"/>
    <n v="9.74E-2"/>
    <n v="-5.1999999999999998E-3"/>
    <n v="90"/>
    <n v="0.35"/>
    <n v="292"/>
    <n v="0.55000000000000004"/>
    <n v="0"/>
    <n v="0"/>
    <n v="0"/>
    <n v="42"/>
    <n v="0"/>
  </r>
  <r>
    <x v="0"/>
    <x v="0"/>
    <s v="SPXW"/>
    <x v="10"/>
    <x v="438"/>
    <s v="p"/>
    <n v="0"/>
    <n v="0"/>
    <n v="0"/>
    <n v="0"/>
    <n v="0"/>
    <n v="135"/>
    <n v="0.4"/>
    <n v="115"/>
    <n v="0.5"/>
    <n v="0"/>
    <n v="0"/>
    <n v="0"/>
    <n v="0"/>
    <n v="0.51600000000000001"/>
    <n v="-2.5000000000000001E-3"/>
    <n v="0"/>
    <n v="-0.1812"/>
    <n v="9.8000000000000004E-2"/>
    <n v="-5.1999999999999998E-3"/>
    <n v="14"/>
    <n v="0.4"/>
    <n v="281"/>
    <n v="0.55000000000000004"/>
    <n v="0"/>
    <n v="0"/>
    <n v="0"/>
    <n v="137"/>
    <n v="0"/>
  </r>
  <r>
    <x v="0"/>
    <x v="0"/>
    <s v="SPXW"/>
    <x v="10"/>
    <x v="23"/>
    <s v="p"/>
    <n v="0"/>
    <n v="0"/>
    <n v="0"/>
    <n v="0"/>
    <n v="0"/>
    <n v="269"/>
    <n v="0.4"/>
    <n v="472"/>
    <n v="0.55000000000000004"/>
    <n v="0"/>
    <n v="0"/>
    <n v="0"/>
    <n v="0"/>
    <n v="0.51690000000000003"/>
    <n v="-2.5999999999999999E-3"/>
    <n v="0"/>
    <n v="-0.19"/>
    <n v="0.1023"/>
    <n v="-5.4999999999999997E-3"/>
    <n v="54"/>
    <n v="0.4"/>
    <n v="288"/>
    <n v="0.55000000000000004"/>
    <n v="0"/>
    <n v="0"/>
    <n v="0"/>
    <n v="87"/>
    <n v="0"/>
  </r>
  <r>
    <x v="0"/>
    <x v="0"/>
    <s v="SPXW"/>
    <x v="10"/>
    <x v="439"/>
    <s v="p"/>
    <n v="0.4"/>
    <n v="0.4"/>
    <n v="0.4"/>
    <n v="0.4"/>
    <n v="1"/>
    <n v="271"/>
    <n v="0.4"/>
    <n v="438"/>
    <n v="0.55000000000000004"/>
    <n v="0"/>
    <n v="0"/>
    <n v="0"/>
    <n v="0"/>
    <n v="0.51529999999999998"/>
    <n v="-2.5999999999999999E-3"/>
    <n v="0"/>
    <n v="-0.18990000000000001"/>
    <n v="0.1026"/>
    <n v="-5.4999999999999997E-3"/>
    <n v="14"/>
    <n v="0.4"/>
    <n v="470"/>
    <n v="0.55000000000000004"/>
    <n v="0"/>
    <n v="0"/>
    <n v="0.4"/>
    <n v="182"/>
    <n v="0"/>
  </r>
  <r>
    <x v="0"/>
    <x v="0"/>
    <s v="SPXW"/>
    <x v="10"/>
    <x v="440"/>
    <s v="p"/>
    <n v="0.4"/>
    <n v="0.45"/>
    <n v="0.4"/>
    <n v="0.45"/>
    <n v="2"/>
    <n v="415"/>
    <n v="0.4"/>
    <n v="378"/>
    <n v="0.55000000000000004"/>
    <n v="0"/>
    <n v="0"/>
    <n v="0"/>
    <n v="0"/>
    <n v="0.51180000000000003"/>
    <n v="-2.5999999999999999E-3"/>
    <n v="0"/>
    <n v="-0.1898"/>
    <n v="0.1032"/>
    <n v="-5.4999999999999997E-3"/>
    <n v="66"/>
    <n v="0.4"/>
    <n v="212"/>
    <n v="0.55000000000000004"/>
    <n v="0"/>
    <n v="0"/>
    <n v="0.42499999999999999"/>
    <n v="185"/>
    <n v="0"/>
  </r>
  <r>
    <x v="0"/>
    <x v="0"/>
    <s v="SPXW"/>
    <x v="10"/>
    <x v="24"/>
    <s v="p"/>
    <n v="0.45"/>
    <n v="0.56000000000000005"/>
    <n v="0.45"/>
    <n v="0.56000000000000005"/>
    <n v="7"/>
    <n v="467"/>
    <n v="0.4"/>
    <n v="586"/>
    <n v="0.55000000000000004"/>
    <n v="0"/>
    <n v="0"/>
    <n v="0"/>
    <n v="0"/>
    <n v="0.50829999999999997"/>
    <n v="-2.5999999999999999E-3"/>
    <n v="0"/>
    <n v="-0.18959999999999999"/>
    <n v="0.10390000000000001"/>
    <n v="-5.5999999999999999E-3"/>
    <n v="73"/>
    <n v="0.4"/>
    <n v="218"/>
    <n v="0.55000000000000004"/>
    <n v="0"/>
    <n v="0"/>
    <n v="0.54430000000000001"/>
    <n v="679"/>
    <n v="0"/>
  </r>
  <r>
    <x v="0"/>
    <x v="0"/>
    <s v="SPXW"/>
    <x v="10"/>
    <x v="441"/>
    <s v="p"/>
    <n v="0.45"/>
    <n v="0.45"/>
    <n v="0.45"/>
    <n v="0.45"/>
    <n v="1"/>
    <n v="63"/>
    <n v="0.45"/>
    <n v="527"/>
    <n v="0.55000000000000004"/>
    <n v="0"/>
    <n v="0"/>
    <n v="0"/>
    <n v="0"/>
    <n v="0.50749999999999995"/>
    <n v="-2.7000000000000001E-3"/>
    <n v="0"/>
    <n v="-0.19819999999999999"/>
    <n v="0.1085"/>
    <n v="-5.7999999999999996E-3"/>
    <n v="190"/>
    <n v="0.4"/>
    <n v="292"/>
    <n v="0.6"/>
    <n v="0"/>
    <n v="0"/>
    <n v="0.45"/>
    <n v="56"/>
    <n v="0"/>
  </r>
  <r>
    <x v="0"/>
    <x v="0"/>
    <s v="SPXW"/>
    <x v="10"/>
    <x v="442"/>
    <s v="p"/>
    <n v="0"/>
    <n v="0"/>
    <n v="0"/>
    <n v="0"/>
    <n v="0"/>
    <n v="63"/>
    <n v="0.45"/>
    <n v="317"/>
    <n v="0.55000000000000004"/>
    <n v="0"/>
    <n v="0"/>
    <n v="0"/>
    <n v="0"/>
    <n v="0.50419999999999998"/>
    <n v="-2.8E-3"/>
    <n v="0"/>
    <n v="-0.1981"/>
    <n v="0.10920000000000001"/>
    <n v="-5.8999999999999999E-3"/>
    <n v="198"/>
    <n v="0.4"/>
    <n v="278"/>
    <n v="0.6"/>
    <n v="0"/>
    <n v="0"/>
    <n v="0"/>
    <n v="91"/>
    <n v="0"/>
  </r>
  <r>
    <x v="0"/>
    <x v="0"/>
    <s v="SPXW"/>
    <x v="10"/>
    <x v="25"/>
    <s v="p"/>
    <n v="0"/>
    <n v="0"/>
    <n v="0"/>
    <n v="0"/>
    <n v="0"/>
    <n v="72"/>
    <n v="0.45"/>
    <n v="28"/>
    <n v="0.55000000000000004"/>
    <n v="0"/>
    <n v="0"/>
    <n v="0"/>
    <n v="0"/>
    <n v="0.50239999999999996"/>
    <n v="-2.8E-3"/>
    <n v="0"/>
    <n v="-0.19800000000000001"/>
    <n v="0.1095"/>
    <n v="-5.8999999999999999E-3"/>
    <n v="206"/>
    <n v="0.4"/>
    <n v="279"/>
    <n v="0.6"/>
    <n v="0"/>
    <n v="0"/>
    <n v="0"/>
    <n v="174"/>
    <n v="0"/>
  </r>
  <r>
    <x v="0"/>
    <x v="0"/>
    <s v="SPXW"/>
    <x v="10"/>
    <x v="443"/>
    <s v="p"/>
    <n v="0"/>
    <n v="0"/>
    <n v="0"/>
    <n v="0"/>
    <n v="0"/>
    <n v="147"/>
    <n v="0.45"/>
    <n v="455"/>
    <n v="0.6"/>
    <n v="0"/>
    <n v="0"/>
    <n v="0"/>
    <n v="0"/>
    <n v="0.50329999999999997"/>
    <n v="-2.8999999999999998E-3"/>
    <n v="0"/>
    <n v="-0.20660000000000001"/>
    <n v="0.1139"/>
    <n v="-6.1000000000000004E-3"/>
    <n v="196"/>
    <n v="0.4"/>
    <n v="269"/>
    <n v="0.6"/>
    <n v="0"/>
    <n v="0"/>
    <n v="0"/>
    <n v="90"/>
    <n v="0"/>
  </r>
  <r>
    <x v="0"/>
    <x v="0"/>
    <s v="SPXW"/>
    <x v="10"/>
    <x v="444"/>
    <s v="p"/>
    <n v="0"/>
    <n v="0"/>
    <n v="0"/>
    <n v="0"/>
    <n v="0"/>
    <n v="363"/>
    <n v="0.45"/>
    <n v="404"/>
    <n v="0.6"/>
    <n v="0"/>
    <n v="0"/>
    <n v="0"/>
    <n v="0"/>
    <n v="0.49990000000000001"/>
    <n v="-2.8999999999999998E-3"/>
    <n v="0"/>
    <n v="-0.2064"/>
    <n v="0.11459999999999999"/>
    <n v="-6.1999999999999998E-3"/>
    <n v="34"/>
    <n v="0.45"/>
    <n v="437"/>
    <n v="0.6"/>
    <n v="0"/>
    <n v="0"/>
    <n v="0"/>
    <n v="42"/>
    <n v="0"/>
  </r>
  <r>
    <x v="0"/>
    <x v="0"/>
    <s v="SPXW"/>
    <x v="10"/>
    <x v="26"/>
    <s v="p"/>
    <n v="0.45"/>
    <n v="0.82"/>
    <n v="0.4"/>
    <n v="0.56999999999999995"/>
    <n v="135"/>
    <n v="420"/>
    <n v="0.45"/>
    <n v="385"/>
    <n v="0.6"/>
    <n v="0"/>
    <n v="0"/>
    <n v="0"/>
    <n v="0"/>
    <n v="0.49640000000000001"/>
    <n v="-2.8999999999999998E-3"/>
    <n v="0"/>
    <n v="-0.20630000000000001"/>
    <n v="0.1153"/>
    <n v="-6.1999999999999998E-3"/>
    <n v="195"/>
    <n v="0.45"/>
    <n v="226"/>
    <n v="0.6"/>
    <n v="0"/>
    <n v="0"/>
    <n v="0.41610000000000003"/>
    <n v="2374"/>
    <n v="0"/>
  </r>
  <r>
    <x v="0"/>
    <x v="0"/>
    <s v="SPXW"/>
    <x v="10"/>
    <x v="445"/>
    <s v="p"/>
    <n v="0"/>
    <n v="0"/>
    <n v="0"/>
    <n v="0"/>
    <n v="0"/>
    <n v="455"/>
    <n v="0.45"/>
    <n v="318"/>
    <n v="0.6"/>
    <n v="0"/>
    <n v="0"/>
    <n v="0"/>
    <n v="0"/>
    <n v="0.4929"/>
    <n v="-2.8999999999999998E-3"/>
    <n v="0"/>
    <n v="-0.20610000000000001"/>
    <n v="0.11609999999999999"/>
    <n v="-6.3E-3"/>
    <n v="179"/>
    <n v="0.45"/>
    <n v="156"/>
    <n v="0.6"/>
    <n v="0"/>
    <n v="0"/>
    <n v="0"/>
    <n v="112"/>
    <n v="0"/>
  </r>
  <r>
    <x v="0"/>
    <x v="0"/>
    <s v="SPXW"/>
    <x v="10"/>
    <x v="446"/>
    <s v="p"/>
    <n v="0"/>
    <n v="0"/>
    <n v="0"/>
    <n v="0"/>
    <n v="0"/>
    <n v="62"/>
    <n v="0.5"/>
    <n v="353"/>
    <n v="0.6"/>
    <n v="0"/>
    <n v="0"/>
    <n v="0"/>
    <n v="0"/>
    <n v="0.49180000000000001"/>
    <n v="-3.0999999999999999E-3"/>
    <n v="0"/>
    <n v="-0.2145"/>
    <n v="0.1208"/>
    <n v="-6.6E-3"/>
    <n v="191"/>
    <n v="0.45"/>
    <n v="271"/>
    <n v="0.65"/>
    <n v="0"/>
    <n v="0"/>
    <n v="0"/>
    <n v="99"/>
    <n v="0"/>
  </r>
  <r>
    <x v="0"/>
    <x v="0"/>
    <s v="SPXW"/>
    <x v="10"/>
    <x v="27"/>
    <s v="p"/>
    <n v="0"/>
    <n v="0"/>
    <n v="0"/>
    <n v="0"/>
    <n v="0"/>
    <n v="72"/>
    <n v="0.5"/>
    <n v="188"/>
    <n v="0.6"/>
    <n v="0"/>
    <n v="0"/>
    <n v="0"/>
    <n v="0"/>
    <n v="0.49030000000000001"/>
    <n v="-3.0999999999999999E-3"/>
    <n v="0"/>
    <n v="-0.21440000000000001"/>
    <n v="0.1211"/>
    <n v="-6.6E-3"/>
    <n v="198"/>
    <n v="0.45"/>
    <n v="271"/>
    <n v="0.65"/>
    <n v="0"/>
    <n v="0"/>
    <n v="0"/>
    <n v="111"/>
    <n v="0"/>
  </r>
  <r>
    <x v="0"/>
    <x v="0"/>
    <s v="SPXW"/>
    <x v="10"/>
    <x v="447"/>
    <s v="p"/>
    <n v="0.64"/>
    <n v="0.64"/>
    <n v="0.64"/>
    <n v="0.64"/>
    <n v="2"/>
    <n v="194"/>
    <n v="0.5"/>
    <n v="451"/>
    <n v="0.65"/>
    <n v="0"/>
    <n v="0"/>
    <n v="0"/>
    <n v="0"/>
    <n v="0.49080000000000001"/>
    <n v="-3.2000000000000002E-3"/>
    <n v="0"/>
    <n v="-0.22289999999999999"/>
    <n v="0.1255"/>
    <n v="-6.8999999999999999E-3"/>
    <n v="190"/>
    <n v="0.45"/>
    <n v="262"/>
    <n v="0.65"/>
    <n v="0"/>
    <n v="0"/>
    <n v="0.64"/>
    <n v="51"/>
    <n v="0"/>
  </r>
  <r>
    <x v="0"/>
    <x v="0"/>
    <s v="SPXW"/>
    <x v="10"/>
    <x v="448"/>
    <s v="p"/>
    <n v="0"/>
    <n v="0"/>
    <n v="0"/>
    <n v="0"/>
    <n v="0"/>
    <n v="345"/>
    <n v="0.5"/>
    <n v="400"/>
    <n v="0.65"/>
    <n v="0"/>
    <n v="0"/>
    <n v="0"/>
    <n v="0"/>
    <n v="0.4874"/>
    <n v="-3.2000000000000002E-3"/>
    <n v="0"/>
    <n v="-0.22270000000000001"/>
    <n v="0.1263"/>
    <n v="-6.8999999999999999E-3"/>
    <n v="14"/>
    <n v="0.5"/>
    <n v="426"/>
    <n v="0.65"/>
    <n v="0"/>
    <n v="0"/>
    <n v="0"/>
    <n v="48"/>
    <n v="0"/>
  </r>
  <r>
    <x v="0"/>
    <x v="0"/>
    <s v="SPXW"/>
    <x v="10"/>
    <x v="28"/>
    <s v="p"/>
    <n v="0.5"/>
    <n v="0.72"/>
    <n v="0.5"/>
    <n v="0.7"/>
    <n v="30"/>
    <n v="387"/>
    <n v="0.5"/>
    <n v="303"/>
    <n v="0.65"/>
    <n v="0"/>
    <n v="0"/>
    <n v="0"/>
    <n v="0"/>
    <n v="0.4839"/>
    <n v="-3.3E-3"/>
    <n v="0"/>
    <n v="-0.2225"/>
    <n v="0.12709999999999999"/>
    <n v="-6.8999999999999999E-3"/>
    <n v="181"/>
    <n v="0.5"/>
    <n v="234"/>
    <n v="0.65"/>
    <n v="0"/>
    <n v="0"/>
    <n v="0.69730000000000003"/>
    <n v="1254"/>
    <n v="0"/>
  </r>
  <r>
    <x v="0"/>
    <x v="0"/>
    <s v="SPXW"/>
    <x v="10"/>
    <x v="449"/>
    <s v="p"/>
    <n v="0.67"/>
    <n v="0.67"/>
    <n v="0.67"/>
    <n v="0.67"/>
    <n v="3"/>
    <n v="657"/>
    <n v="0.5"/>
    <n v="440"/>
    <n v="0.65"/>
    <n v="0"/>
    <n v="0"/>
    <n v="0"/>
    <n v="0"/>
    <n v="0.4803"/>
    <n v="-3.3E-3"/>
    <n v="0"/>
    <n v="-0.2223"/>
    <n v="0.12790000000000001"/>
    <n v="-7.0000000000000001E-3"/>
    <n v="174"/>
    <n v="0.5"/>
    <n v="163"/>
    <n v="0.65"/>
    <n v="0"/>
    <n v="0"/>
    <n v="0.67"/>
    <n v="107"/>
    <n v="0"/>
  </r>
  <r>
    <x v="0"/>
    <x v="0"/>
    <s v="SPXW"/>
    <x v="10"/>
    <x v="450"/>
    <s v="p"/>
    <n v="0.67"/>
    <n v="0.7"/>
    <n v="0.67"/>
    <n v="0.7"/>
    <n v="22"/>
    <n v="147"/>
    <n v="0.55000000000000004"/>
    <n v="349"/>
    <n v="0.65"/>
    <n v="0"/>
    <n v="0"/>
    <n v="0"/>
    <n v="0"/>
    <n v="0.47920000000000001"/>
    <n v="-3.3999999999999998E-3"/>
    <n v="0"/>
    <n v="-0.23050000000000001"/>
    <n v="0.13270000000000001"/>
    <n v="-7.3000000000000001E-3"/>
    <n v="184"/>
    <n v="0.5"/>
    <n v="261"/>
    <n v="0.7"/>
    <n v="0"/>
    <n v="0"/>
    <n v="0.69730000000000003"/>
    <n v="120"/>
    <n v="0"/>
  </r>
  <r>
    <x v="0"/>
    <x v="0"/>
    <s v="SPXW"/>
    <x v="10"/>
    <x v="29"/>
    <s v="p"/>
    <n v="0"/>
    <n v="0"/>
    <n v="0"/>
    <n v="0"/>
    <n v="0"/>
    <n v="155"/>
    <n v="0.55000000000000004"/>
    <n v="272"/>
    <n v="0.65"/>
    <n v="0"/>
    <n v="0"/>
    <n v="0"/>
    <n v="0"/>
    <n v="0.47760000000000002"/>
    <n v="-3.3999999999999998E-3"/>
    <n v="0"/>
    <n v="-0.23039999999999999"/>
    <n v="0.1331"/>
    <n v="-7.3000000000000001E-3"/>
    <n v="191"/>
    <n v="0.5"/>
    <n v="264"/>
    <n v="0.7"/>
    <n v="0"/>
    <n v="0"/>
    <n v="0"/>
    <n v="625"/>
    <n v="0"/>
  </r>
  <r>
    <x v="0"/>
    <x v="0"/>
    <s v="SPXW"/>
    <x v="10"/>
    <x v="451"/>
    <s v="p"/>
    <n v="0"/>
    <n v="0"/>
    <n v="0"/>
    <n v="0"/>
    <n v="0"/>
    <n v="230"/>
    <n v="0.55000000000000004"/>
    <n v="24"/>
    <n v="0.65"/>
    <n v="0"/>
    <n v="0"/>
    <n v="0"/>
    <n v="0"/>
    <n v="0.47570000000000001"/>
    <n v="-3.3999999999999998E-3"/>
    <n v="0"/>
    <n v="-0.2303"/>
    <n v="0.13350000000000001"/>
    <n v="-7.3000000000000001E-3"/>
    <n v="182"/>
    <n v="0.5"/>
    <n v="435"/>
    <n v="0.7"/>
    <n v="0"/>
    <n v="0"/>
    <n v="0"/>
    <n v="107"/>
    <n v="0"/>
  </r>
  <r>
    <x v="0"/>
    <x v="0"/>
    <s v="SPXW"/>
    <x v="10"/>
    <x v="452"/>
    <s v="p"/>
    <n v="0.74"/>
    <n v="0.74"/>
    <n v="0.74"/>
    <n v="0.74"/>
    <n v="2"/>
    <n v="238"/>
    <n v="0.55000000000000004"/>
    <n v="297"/>
    <n v="0.7"/>
    <n v="0"/>
    <n v="0"/>
    <n v="0"/>
    <n v="0"/>
    <n v="0.4743"/>
    <n v="-3.5999999999999999E-3"/>
    <n v="0"/>
    <n v="-0.23849999999999999"/>
    <n v="0.13830000000000001"/>
    <n v="-7.6E-3"/>
    <n v="159"/>
    <n v="0.55000000000000004"/>
    <n v="356"/>
    <n v="0.7"/>
    <n v="0"/>
    <n v="0"/>
    <n v="0.74"/>
    <n v="90"/>
    <n v="0"/>
  </r>
  <r>
    <x v="0"/>
    <x v="0"/>
    <s v="SPXW"/>
    <x v="10"/>
    <x v="30"/>
    <s v="p"/>
    <n v="0.7"/>
    <n v="0.8"/>
    <n v="0.6"/>
    <n v="0.6"/>
    <n v="88"/>
    <n v="373"/>
    <n v="0.55000000000000004"/>
    <n v="282"/>
    <n v="0.7"/>
    <n v="0"/>
    <n v="0"/>
    <n v="0"/>
    <n v="0"/>
    <n v="0.47099999999999997"/>
    <n v="-3.5999999999999999E-3"/>
    <n v="0"/>
    <n v="-0.23830000000000001"/>
    <n v="0.13919999999999999"/>
    <n v="-7.7000000000000002E-3"/>
    <n v="192"/>
    <n v="0.55000000000000004"/>
    <n v="129"/>
    <n v="0.7"/>
    <n v="0"/>
    <n v="0"/>
    <n v="0.7"/>
    <n v="1676"/>
    <n v="0"/>
  </r>
  <r>
    <x v="0"/>
    <x v="0"/>
    <s v="SPXW"/>
    <x v="10"/>
    <x v="453"/>
    <s v="p"/>
    <n v="0.55000000000000004"/>
    <n v="0.7"/>
    <n v="0.55000000000000004"/>
    <n v="0.7"/>
    <n v="56"/>
    <n v="141"/>
    <n v="0.6"/>
    <n v="441"/>
    <n v="0.7"/>
    <n v="0"/>
    <n v="0"/>
    <n v="0"/>
    <n v="0"/>
    <n v="0.46949999999999997"/>
    <n v="-3.7000000000000002E-3"/>
    <n v="0"/>
    <n v="-0.24629999999999999"/>
    <n v="0.14399999999999999"/>
    <n v="-8.0000000000000002E-3"/>
    <n v="192"/>
    <n v="0.55000000000000004"/>
    <n v="68"/>
    <n v="0.7"/>
    <n v="0"/>
    <n v="0"/>
    <n v="0.69730000000000003"/>
    <n v="159"/>
    <n v="0"/>
  </r>
  <r>
    <x v="0"/>
    <x v="0"/>
    <s v="SPXW"/>
    <x v="10"/>
    <x v="454"/>
    <s v="p"/>
    <n v="0.77"/>
    <n v="0.77"/>
    <n v="0.77"/>
    <n v="0.77"/>
    <n v="3"/>
    <n v="182"/>
    <n v="0.6"/>
    <n v="231"/>
    <n v="0.7"/>
    <n v="0"/>
    <n v="0"/>
    <n v="0"/>
    <n v="0"/>
    <n v="0.46579999999999999"/>
    <n v="-3.8E-3"/>
    <n v="0"/>
    <n v="-0.24610000000000001"/>
    <n v="0.14499999999999999"/>
    <n v="-8.0000000000000002E-3"/>
    <n v="176"/>
    <n v="0.55000000000000004"/>
    <n v="248"/>
    <n v="0.75"/>
    <n v="0"/>
    <n v="0"/>
    <n v="0.77"/>
    <n v="180"/>
    <n v="0"/>
  </r>
  <r>
    <x v="0"/>
    <x v="0"/>
    <s v="SPXW"/>
    <x v="10"/>
    <x v="31"/>
    <s v="p"/>
    <n v="0"/>
    <n v="0"/>
    <n v="0"/>
    <n v="0"/>
    <n v="0"/>
    <n v="233"/>
    <n v="0.6"/>
    <n v="351"/>
    <n v="0.75"/>
    <n v="0"/>
    <n v="0"/>
    <n v="0"/>
    <n v="0"/>
    <n v="0.4662"/>
    <n v="-3.8999999999999998E-3"/>
    <n v="0"/>
    <n v="-0.25419999999999998"/>
    <n v="0.14929999999999999"/>
    <n v="-8.3000000000000001E-3"/>
    <n v="184"/>
    <n v="0.55000000000000004"/>
    <n v="425"/>
    <n v="0.75"/>
    <n v="0"/>
    <n v="0"/>
    <n v="0"/>
    <n v="507"/>
    <n v="0"/>
  </r>
  <r>
    <x v="0"/>
    <x v="0"/>
    <s v="SPXW"/>
    <x v="10"/>
    <x v="455"/>
    <s v="p"/>
    <n v="0.77"/>
    <n v="0.77"/>
    <n v="0.7"/>
    <n v="0.7"/>
    <n v="32"/>
    <n v="233"/>
    <n v="0.6"/>
    <n v="311"/>
    <n v="0.75"/>
    <n v="0"/>
    <n v="0"/>
    <n v="0"/>
    <n v="0"/>
    <n v="0.46429999999999999"/>
    <n v="-3.8999999999999998E-3"/>
    <n v="0"/>
    <n v="-0.25409999999999999"/>
    <n v="0.14979999999999999"/>
    <n v="-8.3000000000000001E-3"/>
    <n v="94"/>
    <n v="0.6"/>
    <n v="437"/>
    <n v="0.75"/>
    <n v="0"/>
    <n v="0"/>
    <n v="0.70440000000000003"/>
    <n v="359"/>
    <n v="0"/>
  </r>
  <r>
    <x v="0"/>
    <x v="0"/>
    <s v="SPXW"/>
    <x v="10"/>
    <x v="456"/>
    <s v="p"/>
    <n v="0"/>
    <n v="0"/>
    <n v="0"/>
    <n v="0"/>
    <n v="0"/>
    <n v="332"/>
    <n v="0.6"/>
    <n v="244"/>
    <n v="0.75"/>
    <n v="0"/>
    <n v="0"/>
    <n v="0"/>
    <n v="0"/>
    <n v="0.46110000000000001"/>
    <n v="-3.8999999999999998E-3"/>
    <n v="0"/>
    <n v="-0.25390000000000001"/>
    <n v="0.1507"/>
    <n v="-8.3999999999999995E-3"/>
    <n v="152"/>
    <n v="0.6"/>
    <n v="104"/>
    <n v="0.75"/>
    <n v="0"/>
    <n v="0"/>
    <n v="0"/>
    <n v="79"/>
    <n v="0"/>
  </r>
  <r>
    <x v="0"/>
    <x v="0"/>
    <s v="SPXW"/>
    <x v="10"/>
    <x v="32"/>
    <s v="p"/>
    <n v="0.6"/>
    <n v="1.05"/>
    <n v="0.6"/>
    <n v="0.71"/>
    <n v="125"/>
    <n v="175"/>
    <n v="0.65"/>
    <n v="463"/>
    <n v="0.75"/>
    <n v="0"/>
    <n v="0"/>
    <n v="0"/>
    <n v="0"/>
    <n v="0.45950000000000002"/>
    <n v="-4.1000000000000003E-3"/>
    <n v="0"/>
    <n v="-0.26179999999999998"/>
    <n v="0.15570000000000001"/>
    <n v="-8.6999999999999994E-3"/>
    <n v="196"/>
    <n v="0.6"/>
    <n v="115"/>
    <n v="0.75"/>
    <n v="0"/>
    <n v="0"/>
    <n v="0.75060000000000004"/>
    <n v="2316"/>
    <n v="0"/>
  </r>
  <r>
    <x v="0"/>
    <x v="0"/>
    <s v="SPXW"/>
    <x v="10"/>
    <x v="457"/>
    <s v="p"/>
    <n v="0.59"/>
    <n v="0.72"/>
    <n v="0.59"/>
    <n v="0.72"/>
    <n v="3"/>
    <n v="178"/>
    <n v="0.65"/>
    <n v="233"/>
    <n v="0.75"/>
    <n v="0"/>
    <n v="0"/>
    <n v="0"/>
    <n v="0"/>
    <n v="0.45569999999999999"/>
    <n v="-4.1000000000000003E-3"/>
    <n v="0"/>
    <n v="-0.26150000000000001"/>
    <n v="0.15679999999999999"/>
    <n v="-8.8000000000000005E-3"/>
    <n v="172"/>
    <n v="0.6"/>
    <n v="242"/>
    <n v="0.8"/>
    <n v="0"/>
    <n v="0"/>
    <n v="0.67"/>
    <n v="143"/>
    <n v="0"/>
  </r>
  <r>
    <x v="0"/>
    <x v="0"/>
    <s v="SPXW"/>
    <x v="10"/>
    <x v="458"/>
    <s v="p"/>
    <n v="0.8"/>
    <n v="0.8"/>
    <n v="0.75"/>
    <n v="0.77"/>
    <n v="62"/>
    <n v="228"/>
    <n v="0.65"/>
    <n v="345"/>
    <n v="0.8"/>
    <n v="0"/>
    <n v="0"/>
    <n v="0"/>
    <n v="0"/>
    <n v="0.45400000000000001"/>
    <n v="-4.3E-3"/>
    <n v="0"/>
    <n v="-0.26939999999999997"/>
    <n v="0.1618"/>
    <n v="-9.1000000000000004E-3"/>
    <n v="106"/>
    <n v="0.65"/>
    <n v="335"/>
    <n v="0.8"/>
    <n v="0"/>
    <n v="0"/>
    <n v="0.79390000000000005"/>
    <n v="238"/>
    <n v="0"/>
  </r>
  <r>
    <x v="0"/>
    <x v="0"/>
    <s v="SPXW"/>
    <x v="10"/>
    <x v="33"/>
    <s v="p"/>
    <n v="0.6"/>
    <n v="1.2"/>
    <n v="0.6"/>
    <n v="0.7"/>
    <n v="112"/>
    <n v="237"/>
    <n v="0.65"/>
    <n v="323"/>
    <n v="0.8"/>
    <n v="0"/>
    <n v="0"/>
    <n v="0"/>
    <n v="0"/>
    <n v="0.4526"/>
    <n v="-4.3E-3"/>
    <n v="0"/>
    <n v="-0.26929999999999998"/>
    <n v="0.1623"/>
    <n v="-9.1000000000000004E-3"/>
    <n v="172"/>
    <n v="0.65"/>
    <n v="282"/>
    <n v="0.8"/>
    <n v="0"/>
    <n v="0"/>
    <n v="1.0349999999999999"/>
    <n v="237"/>
    <n v="0"/>
  </r>
  <r>
    <x v="0"/>
    <x v="0"/>
    <s v="SPXW"/>
    <x v="10"/>
    <x v="459"/>
    <s v="p"/>
    <n v="0"/>
    <n v="0"/>
    <n v="0"/>
    <n v="0"/>
    <n v="0"/>
    <n v="228"/>
    <n v="0.65"/>
    <n v="242"/>
    <n v="0.8"/>
    <n v="0"/>
    <n v="0"/>
    <n v="0"/>
    <n v="0"/>
    <n v="0.45090000000000002"/>
    <n v="-4.3E-3"/>
    <n v="0"/>
    <n v="-0.26910000000000001"/>
    <n v="0.1628"/>
    <n v="-9.1000000000000004E-3"/>
    <n v="119"/>
    <n v="0.65"/>
    <n v="92"/>
    <n v="0.8"/>
    <n v="0"/>
    <n v="0"/>
    <n v="0"/>
    <n v="84"/>
    <n v="0"/>
  </r>
  <r>
    <x v="0"/>
    <x v="0"/>
    <s v="SPXW"/>
    <x v="10"/>
    <x v="460"/>
    <s v="p"/>
    <n v="0.8"/>
    <n v="0.8"/>
    <n v="0.75"/>
    <n v="0.75"/>
    <n v="20"/>
    <n v="497"/>
    <n v="0.65"/>
    <n v="390"/>
    <n v="0.8"/>
    <n v="0"/>
    <n v="0"/>
    <n v="0"/>
    <n v="0"/>
    <n v="0.4491"/>
    <n v="-4.3E-3"/>
    <n v="0"/>
    <n v="-0.26900000000000002"/>
    <n v="0.16339999999999999"/>
    <n v="-9.1999999999999998E-3"/>
    <n v="71"/>
    <n v="0.65"/>
    <n v="97"/>
    <n v="0.8"/>
    <n v="0"/>
    <n v="0"/>
    <n v="0.77500000000000002"/>
    <n v="172"/>
    <n v="0"/>
  </r>
  <r>
    <x v="0"/>
    <x v="0"/>
    <s v="SPXW"/>
    <x v="10"/>
    <x v="461"/>
    <s v="p"/>
    <n v="0.6"/>
    <n v="0.65"/>
    <n v="0.6"/>
    <n v="0.65"/>
    <n v="3"/>
    <n v="98"/>
    <n v="0.7"/>
    <n v="421"/>
    <n v="0.8"/>
    <n v="0"/>
    <n v="0"/>
    <n v="0"/>
    <n v="0"/>
    <n v="0.44919999999999999"/>
    <n v="-4.4000000000000003E-3"/>
    <n v="0"/>
    <n v="-0.27700000000000002"/>
    <n v="0.16789999999999999"/>
    <n v="-9.4999999999999998E-3"/>
    <n v="169"/>
    <n v="0.65"/>
    <n v="53"/>
    <n v="0.8"/>
    <n v="0"/>
    <n v="0"/>
    <n v="0.63"/>
    <n v="160"/>
    <n v="0"/>
  </r>
  <r>
    <x v="0"/>
    <x v="0"/>
    <s v="SPXW"/>
    <x v="10"/>
    <x v="462"/>
    <s v="p"/>
    <n v="0"/>
    <n v="0"/>
    <n v="0"/>
    <n v="0"/>
    <n v="0"/>
    <n v="60"/>
    <n v="0.7"/>
    <n v="358"/>
    <n v="0.8"/>
    <n v="0"/>
    <n v="0"/>
    <n v="0"/>
    <n v="0"/>
    <n v="0.44729999999999998"/>
    <n v="-4.4000000000000003E-3"/>
    <n v="0"/>
    <n v="-0.27679999999999999"/>
    <n v="0.16850000000000001"/>
    <n v="-9.4999999999999998E-3"/>
    <n v="84"/>
    <n v="0.65"/>
    <n v="165"/>
    <n v="0.85"/>
    <n v="0"/>
    <n v="0"/>
    <n v="0"/>
    <n v="48"/>
    <n v="0"/>
  </r>
  <r>
    <x v="0"/>
    <x v="0"/>
    <s v="SPXW"/>
    <x v="10"/>
    <x v="34"/>
    <s v="p"/>
    <n v="0.64"/>
    <n v="1.1499999999999999"/>
    <n v="0.63"/>
    <n v="0.82"/>
    <n v="1248"/>
    <n v="184"/>
    <n v="0.7"/>
    <n v="297"/>
    <n v="0.8"/>
    <n v="0"/>
    <n v="0"/>
    <n v="0"/>
    <n v="0"/>
    <n v="0.4456"/>
    <n v="-4.4999999999999997E-3"/>
    <n v="0"/>
    <n v="-0.2767"/>
    <n v="0.1691"/>
    <n v="-9.4999999999999998E-3"/>
    <n v="89"/>
    <n v="0.7"/>
    <n v="286"/>
    <n v="0.85"/>
    <n v="0"/>
    <n v="0"/>
    <n v="0.73060000000000003"/>
    <n v="10792"/>
    <n v="0"/>
  </r>
  <r>
    <x v="0"/>
    <x v="0"/>
    <s v="SPXW"/>
    <x v="10"/>
    <x v="463"/>
    <s v="p"/>
    <n v="0"/>
    <n v="0"/>
    <n v="0"/>
    <n v="0"/>
    <n v="0"/>
    <n v="153"/>
    <n v="0.7"/>
    <n v="327"/>
    <n v="0.85"/>
    <n v="0"/>
    <n v="0"/>
    <n v="0"/>
    <n v="0"/>
    <n v="0.4456"/>
    <n v="-4.5999999999999999E-3"/>
    <n v="0"/>
    <n v="-0.28449999999999998"/>
    <n v="0.1736"/>
    <n v="-9.7999999999999997E-3"/>
    <n v="14"/>
    <n v="0.7"/>
    <n v="328"/>
    <n v="0.85"/>
    <n v="0"/>
    <n v="0"/>
    <n v="0"/>
    <n v="73"/>
    <n v="0"/>
  </r>
  <r>
    <x v="0"/>
    <x v="0"/>
    <s v="SPXW"/>
    <x v="10"/>
    <x v="464"/>
    <s v="p"/>
    <n v="0"/>
    <n v="0"/>
    <n v="0"/>
    <n v="0"/>
    <n v="0"/>
    <n v="225"/>
    <n v="0.7"/>
    <n v="297"/>
    <n v="0.85"/>
    <n v="0"/>
    <n v="0"/>
    <n v="0"/>
    <n v="0"/>
    <n v="0.44379999999999997"/>
    <n v="-4.5999999999999999E-3"/>
    <n v="0"/>
    <n v="-0.2843"/>
    <n v="0.17430000000000001"/>
    <n v="-9.7999999999999997E-3"/>
    <n v="87"/>
    <n v="0.7"/>
    <n v="264"/>
    <n v="0.85"/>
    <n v="0"/>
    <n v="0"/>
    <n v="0"/>
    <n v="180"/>
    <n v="0"/>
  </r>
  <r>
    <x v="0"/>
    <x v="0"/>
    <s v="SPXW"/>
    <x v="10"/>
    <x v="465"/>
    <s v="p"/>
    <n v="0"/>
    <n v="0"/>
    <n v="0"/>
    <n v="0"/>
    <n v="0"/>
    <n v="154"/>
    <n v="0.7"/>
    <n v="256"/>
    <n v="0.85"/>
    <n v="0"/>
    <n v="0"/>
    <n v="0"/>
    <n v="0"/>
    <n v="0.44209999999999999"/>
    <n v="-4.5999999999999999E-3"/>
    <n v="0"/>
    <n v="-0.28420000000000001"/>
    <n v="0.1749"/>
    <n v="-9.9000000000000008E-3"/>
    <n v="34"/>
    <n v="0.7"/>
    <n v="315"/>
    <n v="0.85"/>
    <n v="0"/>
    <n v="0"/>
    <n v="0"/>
    <n v="50"/>
    <n v="0"/>
  </r>
  <r>
    <x v="0"/>
    <x v="0"/>
    <s v="SPXW"/>
    <x v="10"/>
    <x v="466"/>
    <s v="p"/>
    <n v="1.1000000000000001"/>
    <n v="1.1000000000000001"/>
    <n v="1.1000000000000001"/>
    <n v="1.1000000000000001"/>
    <n v="60"/>
    <n v="256"/>
    <n v="0.7"/>
    <n v="265"/>
    <n v="0.85"/>
    <n v="0"/>
    <n v="0"/>
    <n v="0"/>
    <n v="0"/>
    <n v="0.4405"/>
    <n v="-4.5999999999999999E-3"/>
    <n v="0"/>
    <n v="-0.28410000000000002"/>
    <n v="0.1754"/>
    <n v="-9.9000000000000008E-3"/>
    <n v="131"/>
    <n v="0.7"/>
    <n v="97"/>
    <n v="0.85"/>
    <n v="0"/>
    <n v="0"/>
    <n v="1.1000000000000001"/>
    <n v="146"/>
    <n v="0"/>
  </r>
  <r>
    <x v="0"/>
    <x v="0"/>
    <s v="SPXW"/>
    <x v="10"/>
    <x v="35"/>
    <s v="p"/>
    <n v="0.75"/>
    <n v="0.75"/>
    <n v="0.75"/>
    <n v="0.75"/>
    <n v="11"/>
    <n v="129"/>
    <n v="0.75"/>
    <n v="364"/>
    <n v="0.85"/>
    <n v="0"/>
    <n v="0"/>
    <n v="0"/>
    <n v="0"/>
    <n v="0.44030000000000002"/>
    <n v="-4.7999999999999996E-3"/>
    <n v="0"/>
    <n v="-0.29189999999999999"/>
    <n v="0.18010000000000001"/>
    <n v="-1.0200000000000001E-2"/>
    <n v="174"/>
    <n v="0.7"/>
    <n v="90"/>
    <n v="0.85"/>
    <n v="0"/>
    <n v="0"/>
    <n v="0.75"/>
    <n v="494"/>
    <n v="0"/>
  </r>
  <r>
    <x v="0"/>
    <x v="0"/>
    <s v="SPXW"/>
    <x v="10"/>
    <x v="467"/>
    <s v="p"/>
    <n v="1.05"/>
    <n v="1.05"/>
    <n v="1.05"/>
    <n v="1.05"/>
    <n v="48"/>
    <n v="130"/>
    <n v="0.75"/>
    <n v="435"/>
    <n v="0.85"/>
    <n v="0"/>
    <n v="0"/>
    <n v="0"/>
    <n v="0"/>
    <n v="0.4385"/>
    <n v="-4.7999999999999996E-3"/>
    <n v="0"/>
    <n v="-0.29170000000000001"/>
    <n v="0.1807"/>
    <n v="-1.0200000000000001E-2"/>
    <n v="86"/>
    <n v="0.75"/>
    <n v="250"/>
    <n v="0.9"/>
    <n v="0"/>
    <n v="0"/>
    <n v="1.05"/>
    <n v="92"/>
    <n v="0"/>
  </r>
  <r>
    <x v="0"/>
    <x v="0"/>
    <s v="SPXW"/>
    <x v="10"/>
    <x v="468"/>
    <s v="p"/>
    <n v="0.85"/>
    <n v="0.9"/>
    <n v="0.8"/>
    <n v="0.8"/>
    <n v="56"/>
    <n v="102"/>
    <n v="0.75"/>
    <n v="136"/>
    <n v="0.85"/>
    <n v="0"/>
    <n v="0"/>
    <n v="0"/>
    <n v="0"/>
    <n v="0.43680000000000002"/>
    <n v="-4.7999999999999996E-3"/>
    <n v="0"/>
    <n v="-0.29149999999999998"/>
    <n v="0.18129999999999999"/>
    <n v="-1.03E-2"/>
    <n v="102"/>
    <n v="0.7"/>
    <n v="177"/>
    <n v="0.9"/>
    <n v="0"/>
    <n v="0"/>
    <n v="0.86339999999999995"/>
    <n v="104"/>
    <n v="0"/>
  </r>
  <r>
    <x v="0"/>
    <x v="0"/>
    <s v="SPXW"/>
    <x v="10"/>
    <x v="469"/>
    <s v="p"/>
    <n v="0"/>
    <n v="0"/>
    <n v="0"/>
    <n v="0"/>
    <n v="0"/>
    <n v="222"/>
    <n v="0.75"/>
    <n v="326"/>
    <n v="0.9"/>
    <n v="0"/>
    <n v="0"/>
    <n v="0"/>
    <n v="0"/>
    <n v="0.4365"/>
    <n v="-5.0000000000000001E-3"/>
    <n v="0"/>
    <n v="-0.29920000000000002"/>
    <n v="0.186"/>
    <n v="-1.06E-2"/>
    <n v="84"/>
    <n v="0.75"/>
    <n v="327"/>
    <n v="0.9"/>
    <n v="0"/>
    <n v="0"/>
    <n v="0"/>
    <n v="85"/>
    <n v="0"/>
  </r>
  <r>
    <x v="0"/>
    <x v="0"/>
    <s v="SPXW"/>
    <x v="10"/>
    <x v="470"/>
    <s v="p"/>
    <n v="0"/>
    <n v="0"/>
    <n v="0"/>
    <n v="0"/>
    <n v="0"/>
    <n v="152"/>
    <n v="0.75"/>
    <n v="297"/>
    <n v="0.9"/>
    <n v="0"/>
    <n v="0"/>
    <n v="0"/>
    <n v="0"/>
    <n v="0.43490000000000001"/>
    <n v="-5.0000000000000001E-3"/>
    <n v="0"/>
    <n v="-0.29909999999999998"/>
    <n v="0.18659999999999999"/>
    <n v="-1.06E-2"/>
    <n v="14"/>
    <n v="0.75"/>
    <n v="337"/>
    <n v="0.9"/>
    <n v="0"/>
    <n v="0"/>
    <n v="0"/>
    <n v="43"/>
    <n v="0"/>
  </r>
  <r>
    <x v="0"/>
    <x v="0"/>
    <s v="SPXW"/>
    <x v="10"/>
    <x v="36"/>
    <s v="p"/>
    <n v="0.65"/>
    <n v="1.25"/>
    <n v="0.65"/>
    <n v="0.85"/>
    <n v="24"/>
    <n v="229"/>
    <n v="0.75"/>
    <n v="321"/>
    <n v="0.9"/>
    <n v="0"/>
    <n v="0"/>
    <n v="0"/>
    <n v="0"/>
    <n v="0.43309999999999998"/>
    <n v="-5.0000000000000001E-3"/>
    <n v="0"/>
    <n v="-0.2989"/>
    <n v="0.18729999999999999"/>
    <n v="-1.0699999999999999E-2"/>
    <n v="163"/>
    <n v="0.75"/>
    <n v="356"/>
    <n v="0.9"/>
    <n v="0"/>
    <n v="0"/>
    <n v="1.0125"/>
    <n v="21245"/>
    <n v="0"/>
  </r>
  <r>
    <x v="0"/>
    <x v="0"/>
    <s v="SPXW"/>
    <x v="10"/>
    <x v="471"/>
    <s v="p"/>
    <n v="0"/>
    <n v="0"/>
    <n v="0"/>
    <n v="0"/>
    <n v="0"/>
    <n v="154"/>
    <n v="0.75"/>
    <n v="230"/>
    <n v="0.9"/>
    <n v="0"/>
    <n v="0"/>
    <n v="0"/>
    <n v="0"/>
    <n v="0.43140000000000001"/>
    <n v="-5.0000000000000001E-3"/>
    <n v="0"/>
    <n v="-0.29880000000000001"/>
    <n v="0.188"/>
    <n v="-1.0699999999999999E-2"/>
    <n v="44"/>
    <n v="0.75"/>
    <n v="82"/>
    <n v="0.9"/>
    <n v="0"/>
    <n v="0"/>
    <n v="0"/>
    <n v="55"/>
    <n v="0"/>
  </r>
  <r>
    <x v="0"/>
    <x v="0"/>
    <s v="SPXW"/>
    <x v="10"/>
    <x v="472"/>
    <s v="p"/>
    <n v="0"/>
    <n v="0"/>
    <n v="0"/>
    <n v="0"/>
    <n v="0"/>
    <n v="79"/>
    <n v="0.8"/>
    <n v="345"/>
    <n v="0.9"/>
    <n v="0"/>
    <n v="0"/>
    <n v="0"/>
    <n v="0"/>
    <n v="0.43080000000000002"/>
    <n v="-5.1999999999999998E-3"/>
    <n v="0"/>
    <n v="-0.30640000000000001"/>
    <n v="0.1928"/>
    <n v="-1.0999999999999999E-2"/>
    <n v="164"/>
    <n v="0.75"/>
    <n v="53"/>
    <n v="0.9"/>
    <n v="0"/>
    <n v="0"/>
    <n v="0"/>
    <n v="127"/>
    <n v="0"/>
  </r>
  <r>
    <x v="0"/>
    <x v="0"/>
    <s v="SPXW"/>
    <x v="10"/>
    <x v="473"/>
    <s v="p"/>
    <n v="0"/>
    <n v="0"/>
    <n v="0"/>
    <n v="0"/>
    <n v="0"/>
    <n v="102"/>
    <n v="0.8"/>
    <n v="267"/>
    <n v="0.9"/>
    <n v="0"/>
    <n v="0"/>
    <n v="0"/>
    <n v="0"/>
    <n v="0.42909999999999998"/>
    <n v="-5.1999999999999998E-3"/>
    <n v="0"/>
    <n v="-0.30620000000000003"/>
    <n v="0.19350000000000001"/>
    <n v="-1.11E-2"/>
    <n v="86"/>
    <n v="0.75"/>
    <n v="155"/>
    <n v="0.95"/>
    <n v="0"/>
    <n v="0"/>
    <n v="0"/>
    <n v="134"/>
    <n v="0"/>
  </r>
  <r>
    <x v="0"/>
    <x v="0"/>
    <s v="SPXW"/>
    <x v="10"/>
    <x v="294"/>
    <s v="p"/>
    <n v="0"/>
    <n v="0"/>
    <n v="0"/>
    <n v="0"/>
    <n v="0"/>
    <n v="168"/>
    <n v="0.8"/>
    <n v="275"/>
    <n v="0.9"/>
    <n v="0"/>
    <n v="0"/>
    <n v="0"/>
    <n v="0"/>
    <n v="0.42770000000000002"/>
    <n v="-5.1999999999999998E-3"/>
    <n v="0"/>
    <n v="-0.30609999999999998"/>
    <n v="0.19400000000000001"/>
    <n v="-1.11E-2"/>
    <n v="96"/>
    <n v="0.8"/>
    <n v="266"/>
    <n v="0.95"/>
    <n v="0"/>
    <n v="0"/>
    <n v="0"/>
    <n v="1233"/>
    <n v="0"/>
  </r>
  <r>
    <x v="0"/>
    <x v="0"/>
    <s v="SPXW"/>
    <x v="10"/>
    <x v="37"/>
    <s v="p"/>
    <n v="0.92"/>
    <n v="0.92"/>
    <n v="0.85"/>
    <n v="0.85"/>
    <n v="5"/>
    <n v="228"/>
    <n v="0.8"/>
    <n v="325"/>
    <n v="0.95"/>
    <n v="0"/>
    <n v="0"/>
    <n v="0"/>
    <n v="0"/>
    <n v="0.42730000000000001"/>
    <n v="-5.3E-3"/>
    <n v="0"/>
    <n v="-0.31359999999999999"/>
    <n v="0.19869999999999999"/>
    <n v="-1.14E-2"/>
    <n v="81"/>
    <n v="0.8"/>
    <n v="364"/>
    <n v="0.95"/>
    <n v="0"/>
    <n v="0"/>
    <n v="0.878"/>
    <n v="448"/>
    <n v="0"/>
  </r>
  <r>
    <x v="0"/>
    <x v="0"/>
    <s v="SPXW"/>
    <x v="10"/>
    <x v="295"/>
    <s v="p"/>
    <n v="1.2"/>
    <n v="1.2"/>
    <n v="1.2"/>
    <n v="1.2"/>
    <n v="50"/>
    <n v="217"/>
    <n v="0.8"/>
    <n v="315"/>
    <n v="0.95"/>
    <n v="0"/>
    <n v="0"/>
    <n v="0"/>
    <n v="0"/>
    <n v="0.42570000000000002"/>
    <n v="-5.4000000000000003E-3"/>
    <n v="0"/>
    <n v="-0.3135"/>
    <n v="0.19939999999999999"/>
    <n v="-1.14E-2"/>
    <n v="95"/>
    <n v="0.8"/>
    <n v="266"/>
    <n v="0.95"/>
    <n v="0"/>
    <n v="0"/>
    <n v="1.2"/>
    <n v="141"/>
    <n v="0"/>
  </r>
  <r>
    <x v="0"/>
    <x v="0"/>
    <s v="SPXW"/>
    <x v="10"/>
    <x v="474"/>
    <s v="p"/>
    <n v="1.2"/>
    <n v="1.2"/>
    <n v="1.2"/>
    <n v="1.2"/>
    <n v="40"/>
    <n v="152"/>
    <n v="0.8"/>
    <n v="240"/>
    <n v="0.95"/>
    <n v="0"/>
    <n v="0"/>
    <n v="0"/>
    <n v="0"/>
    <n v="0.4239"/>
    <n v="-5.4000000000000003E-3"/>
    <n v="0"/>
    <n v="-0.31330000000000002"/>
    <n v="0.2001"/>
    <n v="-1.15E-2"/>
    <n v="34"/>
    <n v="0.8"/>
    <n v="100"/>
    <n v="0.95"/>
    <n v="0"/>
    <n v="0"/>
    <n v="1.2"/>
    <n v="216"/>
    <n v="0"/>
  </r>
  <r>
    <x v="0"/>
    <x v="0"/>
    <s v="SPXW"/>
    <x v="10"/>
    <x v="296"/>
    <s v="p"/>
    <n v="1.1000000000000001"/>
    <n v="1.1200000000000001"/>
    <n v="1.1000000000000001"/>
    <n v="1.1200000000000001"/>
    <n v="2"/>
    <n v="217"/>
    <n v="0.8"/>
    <n v="340"/>
    <n v="0.95"/>
    <n v="0"/>
    <n v="0"/>
    <n v="0"/>
    <n v="0"/>
    <n v="0.42209999999999998"/>
    <n v="-5.4000000000000003E-3"/>
    <n v="0"/>
    <n v="-0.31309999999999999"/>
    <n v="0.2009"/>
    <n v="-1.15E-2"/>
    <n v="159"/>
    <n v="0.8"/>
    <n v="81"/>
    <n v="0.95"/>
    <n v="0"/>
    <n v="0"/>
    <n v="1.1100000000000001"/>
    <n v="236"/>
    <n v="0"/>
  </r>
  <r>
    <x v="0"/>
    <x v="0"/>
    <s v="SPXW"/>
    <x v="10"/>
    <x v="475"/>
    <s v="p"/>
    <n v="0.97"/>
    <n v="0.97"/>
    <n v="0.97"/>
    <n v="0.97"/>
    <n v="2"/>
    <n v="242"/>
    <n v="0.8"/>
    <n v="344"/>
    <n v="0.95"/>
    <n v="0"/>
    <n v="0"/>
    <n v="0"/>
    <n v="0"/>
    <n v="0.42030000000000001"/>
    <n v="-5.4000000000000003E-3"/>
    <n v="0"/>
    <n v="-0.313"/>
    <n v="0.20169999999999999"/>
    <n v="-1.1599999999999999E-2"/>
    <n v="84"/>
    <n v="0.8"/>
    <n v="156"/>
    <n v="1"/>
    <n v="0"/>
    <n v="0"/>
    <n v="0.97"/>
    <n v="21"/>
    <n v="0"/>
  </r>
  <r>
    <x v="0"/>
    <x v="0"/>
    <s v="SPXW"/>
    <x v="10"/>
    <x v="38"/>
    <s v="p"/>
    <n v="0.82"/>
    <n v="1.37"/>
    <n v="0.8"/>
    <n v="0.97"/>
    <n v="137"/>
    <n v="182"/>
    <n v="0.85"/>
    <n v="177"/>
    <n v="0.95"/>
    <n v="0"/>
    <n v="0"/>
    <n v="0"/>
    <n v="0"/>
    <n v="0.41980000000000001"/>
    <n v="-5.5999999999999999E-3"/>
    <n v="0"/>
    <n v="-0.32050000000000001"/>
    <n v="0.2064"/>
    <n v="-1.1900000000000001E-2"/>
    <n v="80"/>
    <n v="0.85"/>
    <n v="177"/>
    <n v="1"/>
    <n v="0"/>
    <n v="0"/>
    <n v="0.95479999999999998"/>
    <n v="3348"/>
    <n v="0"/>
  </r>
  <r>
    <x v="0"/>
    <x v="0"/>
    <s v="SPXW"/>
    <x v="10"/>
    <x v="476"/>
    <s v="p"/>
    <n v="0"/>
    <n v="0"/>
    <n v="0"/>
    <n v="0"/>
    <n v="0"/>
    <n v="151"/>
    <n v="0.85"/>
    <n v="321"/>
    <n v="1"/>
    <n v="0"/>
    <n v="0"/>
    <n v="0"/>
    <n v="0"/>
    <n v="0.41959999999999997"/>
    <n v="-5.7000000000000002E-3"/>
    <n v="0"/>
    <n v="-0.32790000000000002"/>
    <n v="0.21099999999999999"/>
    <n v="-1.2200000000000001E-2"/>
    <n v="15"/>
    <n v="0.85"/>
    <n v="311"/>
    <n v="1"/>
    <n v="0"/>
    <n v="0"/>
    <n v="0"/>
    <n v="79"/>
    <n v="0"/>
  </r>
  <r>
    <x v="0"/>
    <x v="0"/>
    <s v="SPXW"/>
    <x v="10"/>
    <x v="297"/>
    <s v="p"/>
    <n v="0"/>
    <n v="0"/>
    <n v="0"/>
    <n v="0"/>
    <n v="0"/>
    <n v="214"/>
    <n v="0.85"/>
    <n v="289"/>
    <n v="1"/>
    <n v="0"/>
    <n v="0"/>
    <n v="0"/>
    <n v="0"/>
    <n v="0.41789999999999999"/>
    <n v="-5.7000000000000002E-3"/>
    <n v="0"/>
    <n v="-0.32769999999999999"/>
    <n v="0.21179999999999999"/>
    <n v="-1.2200000000000001E-2"/>
    <n v="79"/>
    <n v="0.85"/>
    <n v="252"/>
    <n v="1"/>
    <n v="0"/>
    <n v="0"/>
    <n v="0"/>
    <n v="161"/>
    <n v="0"/>
  </r>
  <r>
    <x v="0"/>
    <x v="0"/>
    <s v="SPXW"/>
    <x v="10"/>
    <x v="477"/>
    <s v="p"/>
    <n v="0"/>
    <n v="0"/>
    <n v="0"/>
    <n v="0"/>
    <n v="0"/>
    <n v="152"/>
    <n v="0.85"/>
    <n v="243"/>
    <n v="1"/>
    <n v="0"/>
    <n v="0"/>
    <n v="0"/>
    <n v="0"/>
    <n v="0.41620000000000001"/>
    <n v="-5.7000000000000002E-3"/>
    <n v="0"/>
    <n v="-0.3276"/>
    <n v="0.21249999999999999"/>
    <n v="-1.23E-2"/>
    <n v="45"/>
    <n v="0.85"/>
    <n v="291"/>
    <n v="1"/>
    <n v="0"/>
    <n v="0"/>
    <n v="0"/>
    <n v="53"/>
    <n v="0"/>
  </r>
  <r>
    <x v="0"/>
    <x v="0"/>
    <s v="SPXW"/>
    <x v="10"/>
    <x v="298"/>
    <s v="p"/>
    <n v="0"/>
    <n v="0"/>
    <n v="0"/>
    <n v="0"/>
    <n v="0"/>
    <n v="214"/>
    <n v="0.85"/>
    <n v="224"/>
    <n v="1"/>
    <n v="0"/>
    <n v="0"/>
    <n v="0"/>
    <n v="0"/>
    <n v="0.41439999999999999"/>
    <n v="-5.7999999999999996E-3"/>
    <n v="0"/>
    <n v="-0.32740000000000002"/>
    <n v="0.21329999999999999"/>
    <n v="-1.23E-2"/>
    <n v="146"/>
    <n v="0.85"/>
    <n v="81"/>
    <n v="1"/>
    <n v="0"/>
    <n v="0"/>
    <n v="0"/>
    <n v="130"/>
    <n v="0"/>
  </r>
  <r>
    <x v="0"/>
    <x v="0"/>
    <s v="SPXW"/>
    <x v="10"/>
    <x v="39"/>
    <s v="p"/>
    <n v="0"/>
    <n v="0"/>
    <n v="0"/>
    <n v="0"/>
    <n v="0"/>
    <n v="130"/>
    <n v="0.9"/>
    <n v="342"/>
    <n v="1"/>
    <n v="0"/>
    <n v="0"/>
    <n v="0"/>
    <n v="0"/>
    <n v="0.41370000000000001"/>
    <n v="-5.8999999999999999E-3"/>
    <n v="0"/>
    <n v="-0.33479999999999999"/>
    <n v="0.21809999999999999"/>
    <n v="-1.2699999999999999E-2"/>
    <n v="164"/>
    <n v="0.85"/>
    <n v="93"/>
    <n v="1"/>
    <n v="0"/>
    <n v="0"/>
    <n v="0"/>
    <n v="114"/>
    <n v="0"/>
  </r>
  <r>
    <x v="0"/>
    <x v="0"/>
    <s v="SPXW"/>
    <x v="10"/>
    <x v="299"/>
    <s v="p"/>
    <n v="0.92"/>
    <n v="0.92"/>
    <n v="0.92"/>
    <n v="0.92"/>
    <n v="2"/>
    <n v="170"/>
    <n v="0.9"/>
    <n v="254"/>
    <n v="1"/>
    <n v="0"/>
    <n v="0"/>
    <n v="0"/>
    <n v="0"/>
    <n v="0.41199999999999998"/>
    <n v="-5.8999999999999999E-3"/>
    <n v="0"/>
    <n v="-0.33450000000000002"/>
    <n v="0.21890000000000001"/>
    <n v="-1.2699999999999999E-2"/>
    <n v="157"/>
    <n v="0.85"/>
    <n v="153"/>
    <n v="1.05"/>
    <n v="0"/>
    <n v="0"/>
    <n v="0.92"/>
    <n v="151"/>
    <n v="0"/>
  </r>
  <r>
    <x v="0"/>
    <x v="0"/>
    <s v="SPXW"/>
    <x v="10"/>
    <x v="478"/>
    <s v="p"/>
    <n v="0"/>
    <n v="0"/>
    <n v="0"/>
    <n v="0"/>
    <n v="0"/>
    <n v="149"/>
    <n v="0.9"/>
    <n v="314"/>
    <n v="1.05"/>
    <n v="0"/>
    <n v="0"/>
    <n v="0"/>
    <n v="0"/>
    <n v="0.41189999999999999"/>
    <n v="-6.1000000000000004E-3"/>
    <n v="0"/>
    <n v="-0.34200000000000003"/>
    <n v="0.2235"/>
    <n v="-1.2999999999999999E-2"/>
    <n v="21"/>
    <n v="0.9"/>
    <n v="343"/>
    <n v="1.05"/>
    <n v="0"/>
    <n v="0"/>
    <n v="0"/>
    <n v="72"/>
    <n v="0"/>
  </r>
  <r>
    <x v="0"/>
    <x v="0"/>
    <s v="SPXW"/>
    <x v="10"/>
    <x v="300"/>
    <s v="p"/>
    <n v="0.97"/>
    <n v="0.97"/>
    <n v="0.97"/>
    <n v="0.97"/>
    <n v="2"/>
    <n v="210"/>
    <n v="0.9"/>
    <n v="281"/>
    <n v="1.05"/>
    <n v="0"/>
    <n v="0"/>
    <n v="0"/>
    <n v="0"/>
    <n v="0.41010000000000002"/>
    <n v="-6.1000000000000004E-3"/>
    <n v="0"/>
    <n v="-0.34179999999999999"/>
    <n v="0.2243"/>
    <n v="-1.3100000000000001E-2"/>
    <n v="76"/>
    <n v="0.9"/>
    <n v="245"/>
    <n v="1.05"/>
    <n v="0"/>
    <n v="0"/>
    <n v="0.97"/>
    <n v="208"/>
    <n v="0"/>
  </r>
  <r>
    <x v="0"/>
    <x v="0"/>
    <s v="SPXW"/>
    <x v="10"/>
    <x v="479"/>
    <s v="p"/>
    <n v="0"/>
    <n v="0"/>
    <n v="0"/>
    <n v="0"/>
    <n v="0"/>
    <n v="151"/>
    <n v="0.9"/>
    <n v="235"/>
    <n v="1.05"/>
    <n v="0"/>
    <n v="0"/>
    <n v="0"/>
    <n v="0"/>
    <n v="0.40839999999999999"/>
    <n v="-6.1000000000000004E-3"/>
    <n v="0"/>
    <n v="-0.34160000000000001"/>
    <n v="0.22509999999999999"/>
    <n v="-1.3100000000000001E-2"/>
    <n v="42"/>
    <n v="0.9"/>
    <n v="298"/>
    <n v="1.05"/>
    <n v="0"/>
    <n v="0"/>
    <n v="0"/>
    <n v="26"/>
    <n v="0"/>
  </r>
  <r>
    <x v="0"/>
    <x v="0"/>
    <s v="SPXW"/>
    <x v="10"/>
    <x v="40"/>
    <s v="p"/>
    <n v="1.06"/>
    <n v="1.3"/>
    <n v="1"/>
    <n v="1"/>
    <n v="189"/>
    <n v="138"/>
    <n v="0.95"/>
    <n v="328"/>
    <n v="1.05"/>
    <n v="0"/>
    <n v="0"/>
    <n v="0"/>
    <n v="0"/>
    <n v="0.40789999999999998"/>
    <n v="-6.3E-3"/>
    <n v="0"/>
    <n v="-0.3488"/>
    <n v="0.2298"/>
    <n v="-1.34E-2"/>
    <n v="163"/>
    <n v="0.9"/>
    <n v="103"/>
    <n v="1.05"/>
    <n v="0"/>
    <n v="0"/>
    <n v="1.0659000000000001"/>
    <n v="2802"/>
    <n v="0"/>
  </r>
  <r>
    <x v="0"/>
    <x v="0"/>
    <s v="SPXW"/>
    <x v="10"/>
    <x v="480"/>
    <s v="p"/>
    <n v="0"/>
    <n v="0"/>
    <n v="0"/>
    <n v="0"/>
    <n v="0"/>
    <n v="364"/>
    <n v="0.9"/>
    <n v="278"/>
    <n v="1.05"/>
    <n v="0"/>
    <n v="0"/>
    <n v="0"/>
    <n v="0"/>
    <n v="0.4047"/>
    <n v="-6.1999999999999998E-3"/>
    <n v="0"/>
    <n v="-0.34110000000000001"/>
    <n v="0.22689999999999999"/>
    <n v="-1.32E-2"/>
    <n v="83"/>
    <n v="0.9"/>
    <n v="148"/>
    <n v="1.1000000000000001"/>
    <n v="0"/>
    <n v="0"/>
    <n v="0"/>
    <n v="141"/>
    <n v="0"/>
  </r>
  <r>
    <x v="0"/>
    <x v="0"/>
    <s v="SPXW"/>
    <x v="10"/>
    <x v="301"/>
    <s v="p"/>
    <n v="0"/>
    <n v="0"/>
    <n v="0"/>
    <n v="0"/>
    <n v="0"/>
    <n v="167"/>
    <n v="0.95"/>
    <n v="88"/>
    <n v="1.05"/>
    <n v="0"/>
    <n v="0"/>
    <n v="0"/>
    <n v="0"/>
    <n v="0.40400000000000003"/>
    <n v="-6.3E-3"/>
    <n v="0"/>
    <n v="-0.34839999999999999"/>
    <n v="0.23169999999999999"/>
    <n v="-1.3599999999999999E-2"/>
    <n v="153"/>
    <n v="0.9"/>
    <n v="240"/>
    <n v="1.1000000000000001"/>
    <n v="0"/>
    <n v="0"/>
    <n v="0"/>
    <n v="206"/>
    <n v="0"/>
  </r>
  <r>
    <x v="0"/>
    <x v="0"/>
    <s v="SPXW"/>
    <x v="10"/>
    <x v="481"/>
    <s v="p"/>
    <n v="0"/>
    <n v="0"/>
    <n v="0"/>
    <n v="0"/>
    <n v="0"/>
    <n v="149"/>
    <n v="0.95"/>
    <n v="297"/>
    <n v="1.1000000000000001"/>
    <n v="0"/>
    <n v="0"/>
    <n v="0"/>
    <n v="0"/>
    <n v="0.40379999999999999"/>
    <n v="-6.4999999999999997E-3"/>
    <n v="0"/>
    <n v="-0.35560000000000003"/>
    <n v="0.23630000000000001"/>
    <n v="-1.3899999999999999E-2"/>
    <n v="15"/>
    <n v="0.95"/>
    <n v="335"/>
    <n v="1.1000000000000001"/>
    <n v="0"/>
    <n v="0"/>
    <n v="0"/>
    <n v="11"/>
    <n v="0"/>
  </r>
  <r>
    <x v="0"/>
    <x v="0"/>
    <s v="SPXW"/>
    <x v="10"/>
    <x v="302"/>
    <s v="p"/>
    <n v="0"/>
    <n v="0"/>
    <n v="0"/>
    <n v="0"/>
    <n v="0"/>
    <n v="208"/>
    <n v="0.95"/>
    <n v="251"/>
    <n v="1.1000000000000001"/>
    <n v="0"/>
    <n v="0"/>
    <n v="0"/>
    <n v="0"/>
    <n v="0.40210000000000001"/>
    <n v="-6.4999999999999997E-3"/>
    <n v="0"/>
    <n v="-0.35539999999999999"/>
    <n v="0.23719999999999999"/>
    <n v="-1.3899999999999999E-2"/>
    <n v="113"/>
    <n v="0.95"/>
    <n v="297"/>
    <n v="1.1000000000000001"/>
    <n v="0"/>
    <n v="0"/>
    <n v="0"/>
    <n v="82"/>
    <n v="0"/>
  </r>
  <r>
    <x v="0"/>
    <x v="0"/>
    <s v="SPXW"/>
    <x v="10"/>
    <x v="41"/>
    <s v="p"/>
    <n v="0.92"/>
    <n v="1.22"/>
    <n v="0.9"/>
    <n v="1.22"/>
    <n v="12"/>
    <n v="217"/>
    <n v="0.95"/>
    <n v="228"/>
    <n v="1.1000000000000001"/>
    <n v="0"/>
    <n v="0"/>
    <n v="0"/>
    <n v="0"/>
    <n v="0.4"/>
    <n v="-6.4999999999999997E-3"/>
    <n v="0"/>
    <n v="-0.35520000000000002"/>
    <n v="0.2382"/>
    <n v="-1.4E-2"/>
    <n v="146"/>
    <n v="0.95"/>
    <n v="90"/>
    <n v="1.1000000000000001"/>
    <n v="0"/>
    <n v="0"/>
    <n v="0.92830000000000001"/>
    <n v="363"/>
    <n v="0"/>
  </r>
  <r>
    <x v="0"/>
    <x v="0"/>
    <s v="SPXW"/>
    <x v="10"/>
    <x v="303"/>
    <s v="p"/>
    <n v="1.05"/>
    <n v="1.05"/>
    <n v="1.05"/>
    <n v="1.05"/>
    <n v="1"/>
    <n v="67"/>
    <n v="1"/>
    <n v="304"/>
    <n v="1.1000000000000001"/>
    <n v="0"/>
    <n v="0"/>
    <n v="0"/>
    <n v="0"/>
    <n v="0.39979999999999999"/>
    <n v="-6.7000000000000002E-3"/>
    <n v="0"/>
    <n v="-0.3624"/>
    <n v="0.2429"/>
    <n v="-1.43E-2"/>
    <n v="152"/>
    <n v="0.95"/>
    <n v="52"/>
    <n v="1.1000000000000001"/>
    <n v="0"/>
    <n v="0"/>
    <n v="1.05"/>
    <n v="74"/>
    <n v="0"/>
  </r>
  <r>
    <x v="0"/>
    <x v="0"/>
    <s v="SPXW"/>
    <x v="10"/>
    <x v="482"/>
    <s v="p"/>
    <n v="0"/>
    <n v="0"/>
    <n v="0"/>
    <n v="0"/>
    <n v="0"/>
    <n v="108"/>
    <n v="1"/>
    <n v="99"/>
    <n v="1.1000000000000001"/>
    <n v="0"/>
    <n v="0"/>
    <n v="0"/>
    <n v="0"/>
    <n v="0.39810000000000001"/>
    <n v="-6.7000000000000002E-3"/>
    <n v="0"/>
    <n v="-0.36220000000000002"/>
    <n v="0.24379999999999999"/>
    <n v="-1.44E-2"/>
    <n v="80"/>
    <n v="0.95"/>
    <n v="136"/>
    <n v="1.1499999999999999"/>
    <n v="0"/>
    <n v="0"/>
    <n v="0"/>
    <n v="45"/>
    <n v="0"/>
  </r>
  <r>
    <x v="0"/>
    <x v="0"/>
    <s v="SPXW"/>
    <x v="10"/>
    <x v="304"/>
    <s v="p"/>
    <n v="0.92"/>
    <n v="1.72"/>
    <n v="0.92"/>
    <n v="1.72"/>
    <n v="2"/>
    <n v="205"/>
    <n v="1"/>
    <n v="303"/>
    <n v="1.1499999999999999"/>
    <n v="0"/>
    <n v="0"/>
    <n v="0"/>
    <n v="0"/>
    <n v="0.39739999999999998"/>
    <n v="-6.8999999999999999E-3"/>
    <n v="0"/>
    <n v="-0.36930000000000002"/>
    <n v="0.24859999999999999"/>
    <n v="-1.47E-2"/>
    <n v="81"/>
    <n v="1"/>
    <n v="337"/>
    <n v="1.1499999999999999"/>
    <n v="0"/>
    <n v="0"/>
    <n v="1.32"/>
    <n v="103"/>
    <n v="0"/>
  </r>
  <r>
    <x v="0"/>
    <x v="0"/>
    <s v="SPXW"/>
    <x v="10"/>
    <x v="483"/>
    <s v="p"/>
    <n v="0"/>
    <n v="0"/>
    <n v="0"/>
    <n v="0"/>
    <n v="0"/>
    <n v="150"/>
    <n v="1"/>
    <n v="254"/>
    <n v="1.1499999999999999"/>
    <n v="0"/>
    <n v="0"/>
    <n v="0"/>
    <n v="0"/>
    <n v="0.3957"/>
    <n v="-6.8999999999999999E-3"/>
    <n v="0"/>
    <n v="-0.36909999999999998"/>
    <n v="0.24959999999999999"/>
    <n v="-1.47E-2"/>
    <n v="45"/>
    <n v="1"/>
    <n v="228"/>
    <n v="1.1499999999999999"/>
    <n v="0"/>
    <n v="0"/>
    <n v="0"/>
    <n v="69"/>
    <n v="0"/>
  </r>
  <r>
    <x v="0"/>
    <x v="0"/>
    <s v="SPXW"/>
    <x v="10"/>
    <x v="42"/>
    <s v="p"/>
    <n v="0.95"/>
    <n v="1.75"/>
    <n v="0.9"/>
    <n v="1.7"/>
    <n v="1101"/>
    <n v="215"/>
    <n v="1"/>
    <n v="259"/>
    <n v="1.1499999999999999"/>
    <n v="0"/>
    <n v="0"/>
    <n v="0"/>
    <n v="0"/>
    <n v="0.39379999999999998"/>
    <n v="-6.8999999999999999E-3"/>
    <n v="0"/>
    <n v="-0.36880000000000002"/>
    <n v="0.25059999999999999"/>
    <n v="-1.4800000000000001E-2"/>
    <n v="160"/>
    <n v="1"/>
    <n v="194"/>
    <n v="1.1499999999999999"/>
    <n v="0"/>
    <n v="0"/>
    <n v="0.94989999999999997"/>
    <n v="1193"/>
    <n v="0"/>
  </r>
  <r>
    <x v="0"/>
    <x v="0"/>
    <s v="SPXW"/>
    <x v="10"/>
    <x v="484"/>
    <s v="p"/>
    <n v="0"/>
    <n v="0"/>
    <n v="0"/>
    <n v="0"/>
    <n v="0"/>
    <n v="345"/>
    <n v="1"/>
    <n v="297"/>
    <n v="1.1499999999999999"/>
    <n v="0"/>
    <n v="0"/>
    <n v="0"/>
    <n v="0"/>
    <n v="0.39200000000000002"/>
    <n v="-6.8999999999999999E-3"/>
    <n v="0"/>
    <n v="-0.36859999999999998"/>
    <n v="0.25159999999999999"/>
    <n v="-1.49E-2"/>
    <n v="84"/>
    <n v="1"/>
    <n v="53"/>
    <n v="1.1499999999999999"/>
    <n v="0"/>
    <n v="0"/>
    <n v="0"/>
    <n v="130"/>
    <n v="0"/>
  </r>
  <r>
    <x v="0"/>
    <x v="0"/>
    <s v="SPXW"/>
    <x v="10"/>
    <x v="305"/>
    <s v="p"/>
    <n v="0"/>
    <n v="0"/>
    <n v="0"/>
    <n v="0"/>
    <n v="0"/>
    <n v="161"/>
    <n v="1.05"/>
    <n v="86"/>
    <n v="1.1499999999999999"/>
    <n v="0"/>
    <n v="0"/>
    <n v="0"/>
    <n v="0"/>
    <n v="0.39119999999999999"/>
    <n v="-7.1000000000000004E-3"/>
    <n v="0"/>
    <n v="-0.37559999999999999"/>
    <n v="0.25659999999999999"/>
    <n v="-1.52E-2"/>
    <n v="150"/>
    <n v="1"/>
    <n v="239"/>
    <n v="1.2"/>
    <n v="0"/>
    <n v="0"/>
    <n v="0"/>
    <n v="97"/>
    <n v="0"/>
  </r>
  <r>
    <x v="0"/>
    <x v="0"/>
    <s v="SPXW"/>
    <x v="10"/>
    <x v="485"/>
    <s v="p"/>
    <n v="0"/>
    <n v="0"/>
    <n v="0"/>
    <n v="0"/>
    <n v="0"/>
    <n v="149"/>
    <n v="1.05"/>
    <n v="296"/>
    <n v="1.2"/>
    <n v="0"/>
    <n v="0"/>
    <n v="0"/>
    <n v="0"/>
    <n v="0.39069999999999999"/>
    <n v="-7.3000000000000001E-3"/>
    <n v="0"/>
    <n v="-0.38269999999999998"/>
    <n v="0.26140000000000002"/>
    <n v="-1.55E-2"/>
    <n v="24"/>
    <n v="1.05"/>
    <n v="332"/>
    <n v="1.2"/>
    <n v="0"/>
    <n v="0"/>
    <n v="0"/>
    <n v="45"/>
    <n v="0"/>
  </r>
  <r>
    <x v="0"/>
    <x v="0"/>
    <s v="SPXW"/>
    <x v="10"/>
    <x v="306"/>
    <s v="p"/>
    <n v="0"/>
    <n v="0"/>
    <n v="0"/>
    <n v="0"/>
    <n v="0"/>
    <n v="204"/>
    <n v="1.05"/>
    <n v="247"/>
    <n v="1.2"/>
    <n v="0"/>
    <n v="0"/>
    <n v="0"/>
    <n v="0"/>
    <n v="0.3891"/>
    <n v="-7.3000000000000001E-3"/>
    <n v="0"/>
    <n v="-0.38250000000000001"/>
    <n v="0.26229999999999998"/>
    <n v="-1.5599999999999999E-2"/>
    <n v="109"/>
    <n v="1.05"/>
    <n v="291"/>
    <n v="1.2"/>
    <n v="0"/>
    <n v="0"/>
    <n v="0"/>
    <n v="210"/>
    <n v="0"/>
  </r>
  <r>
    <x v="0"/>
    <x v="0"/>
    <s v="SPXW"/>
    <x v="10"/>
    <x v="43"/>
    <s v="p"/>
    <n v="1.1499999999999999"/>
    <n v="1.1499999999999999"/>
    <n v="1.1499999999999999"/>
    <n v="1.1499999999999999"/>
    <n v="10"/>
    <n v="211"/>
    <n v="1.05"/>
    <n v="226"/>
    <n v="1.2"/>
    <n v="0"/>
    <n v="0"/>
    <n v="0"/>
    <n v="0"/>
    <n v="0.38700000000000001"/>
    <n v="-7.3000000000000001E-3"/>
    <n v="0"/>
    <n v="-0.3821"/>
    <n v="0.2636"/>
    <n v="-1.5699999999999999E-2"/>
    <n v="141"/>
    <n v="1.05"/>
    <n v="96"/>
    <n v="1.2"/>
    <n v="0"/>
    <n v="0"/>
    <n v="1.1499999999999999"/>
    <n v="202"/>
    <n v="0"/>
  </r>
  <r>
    <x v="0"/>
    <x v="0"/>
    <s v="SPXW"/>
    <x v="10"/>
    <x v="307"/>
    <s v="p"/>
    <n v="1.77"/>
    <n v="1.77"/>
    <n v="1.77"/>
    <n v="1.77"/>
    <n v="1"/>
    <n v="118"/>
    <n v="1.1000000000000001"/>
    <n v="254"/>
    <n v="1.2"/>
    <n v="0"/>
    <n v="0"/>
    <n v="0"/>
    <n v="0"/>
    <n v="0.38650000000000001"/>
    <n v="-7.4999999999999997E-3"/>
    <n v="0"/>
    <n v="-0.38919999999999999"/>
    <n v="0.26850000000000002"/>
    <n v="-1.6E-2"/>
    <n v="147"/>
    <n v="1.05"/>
    <n v="153"/>
    <n v="1.25"/>
    <n v="0"/>
    <n v="0"/>
    <n v="1.77"/>
    <n v="120"/>
    <n v="0"/>
  </r>
  <r>
    <x v="0"/>
    <x v="0"/>
    <s v="SPXW"/>
    <x v="10"/>
    <x v="486"/>
    <s v="p"/>
    <n v="0"/>
    <n v="0"/>
    <n v="0"/>
    <n v="0"/>
    <n v="0"/>
    <n v="119"/>
    <n v="1.1000000000000001"/>
    <n v="308"/>
    <n v="1.25"/>
    <n v="0"/>
    <n v="0"/>
    <n v="0"/>
    <n v="0"/>
    <n v="0.38590000000000002"/>
    <n v="-7.6E-3"/>
    <n v="0"/>
    <n v="-0.3962"/>
    <n v="0.27339999999999998"/>
    <n v="-1.6299999999999999E-2"/>
    <n v="80"/>
    <n v="1.05"/>
    <n v="227"/>
    <n v="1.25"/>
    <n v="0"/>
    <n v="0"/>
    <n v="0"/>
    <n v="77"/>
    <n v="0"/>
  </r>
  <r>
    <x v="0"/>
    <x v="0"/>
    <s v="SPXW"/>
    <x v="10"/>
    <x v="308"/>
    <s v="p"/>
    <n v="1.82"/>
    <n v="1.82"/>
    <n v="1.82"/>
    <n v="1.82"/>
    <n v="1"/>
    <n v="200"/>
    <n v="1.1000000000000001"/>
    <n v="258"/>
    <n v="1.25"/>
    <n v="0"/>
    <n v="0"/>
    <n v="0"/>
    <n v="0"/>
    <n v="0.38419999999999999"/>
    <n v="-7.7000000000000002E-3"/>
    <n v="0"/>
    <n v="-0.39589999999999997"/>
    <n v="0.27450000000000002"/>
    <n v="-1.6400000000000001E-2"/>
    <n v="77"/>
    <n v="1.1000000000000001"/>
    <n v="316"/>
    <n v="1.25"/>
    <n v="0"/>
    <n v="0"/>
    <n v="1.82"/>
    <n v="83"/>
    <n v="0"/>
  </r>
  <r>
    <x v="0"/>
    <x v="0"/>
    <s v="SPXW"/>
    <x v="10"/>
    <x v="487"/>
    <s v="p"/>
    <n v="0"/>
    <n v="0"/>
    <n v="0"/>
    <n v="0"/>
    <n v="0"/>
    <n v="148"/>
    <n v="1.1000000000000001"/>
    <n v="220"/>
    <n v="1.25"/>
    <n v="0"/>
    <n v="0"/>
    <n v="0"/>
    <n v="0"/>
    <n v="0.38240000000000002"/>
    <n v="-7.7000000000000002E-3"/>
    <n v="0"/>
    <n v="-0.39560000000000001"/>
    <n v="0.27560000000000001"/>
    <n v="-1.6500000000000001E-2"/>
    <n v="44"/>
    <n v="1.1000000000000001"/>
    <n v="208"/>
    <n v="1.25"/>
    <n v="0"/>
    <n v="0"/>
    <n v="0"/>
    <n v="34"/>
    <n v="0"/>
  </r>
  <r>
    <x v="0"/>
    <x v="0"/>
    <s v="SPXW"/>
    <x v="10"/>
    <x v="44"/>
    <s v="p"/>
    <n v="1.05"/>
    <n v="1.4"/>
    <n v="1.01"/>
    <n v="1.2"/>
    <n v="29"/>
    <n v="133"/>
    <n v="1.1499999999999999"/>
    <n v="326"/>
    <n v="1.25"/>
    <n v="0"/>
    <n v="0"/>
    <n v="0"/>
    <n v="0"/>
    <n v="0.38129999999999997"/>
    <n v="-7.9000000000000008E-3"/>
    <n v="0"/>
    <n v="-0.40239999999999998"/>
    <n v="0.28089999999999998"/>
    <n v="-1.6799999999999999E-2"/>
    <n v="167"/>
    <n v="1.1000000000000001"/>
    <n v="67"/>
    <n v="1.25"/>
    <n v="0"/>
    <n v="0"/>
    <n v="1.3003"/>
    <n v="1578"/>
    <n v="0"/>
  </r>
  <r>
    <x v="0"/>
    <x v="0"/>
    <s v="SPXW"/>
    <x v="10"/>
    <x v="488"/>
    <s v="p"/>
    <n v="0"/>
    <n v="0"/>
    <n v="0"/>
    <n v="0"/>
    <n v="0"/>
    <n v="106"/>
    <n v="1.1499999999999999"/>
    <n v="84"/>
    <n v="1.25"/>
    <n v="0"/>
    <n v="0"/>
    <n v="0"/>
    <n v="0"/>
    <n v="0.37980000000000003"/>
    <n v="-7.9000000000000008E-3"/>
    <n v="1E-4"/>
    <n v="-0.4022"/>
    <n v="0.28189999999999998"/>
    <n v="-1.6899999999999998E-2"/>
    <n v="83"/>
    <n v="1.1000000000000001"/>
    <n v="235"/>
    <n v="1.3"/>
    <n v="0"/>
    <n v="0"/>
    <n v="0"/>
    <n v="102"/>
    <n v="0"/>
  </r>
  <r>
    <x v="0"/>
    <x v="0"/>
    <s v="SPXW"/>
    <x v="10"/>
    <x v="309"/>
    <s v="p"/>
    <n v="1.65"/>
    <n v="1.65"/>
    <n v="1.65"/>
    <n v="1.65"/>
    <n v="7"/>
    <n v="199"/>
    <n v="1.1499999999999999"/>
    <n v="280"/>
    <n v="1.3"/>
    <n v="0"/>
    <n v="0"/>
    <n v="0"/>
    <n v="0"/>
    <n v="0.37919999999999998"/>
    <n v="-8.0000000000000002E-3"/>
    <n v="1E-4"/>
    <n v="-0.40910000000000002"/>
    <n v="0.28689999999999999"/>
    <n v="-1.72E-2"/>
    <n v="77"/>
    <n v="1.1499999999999999"/>
    <n v="325"/>
    <n v="1.3"/>
    <n v="0"/>
    <n v="0"/>
    <n v="1.65"/>
    <n v="91"/>
    <n v="0"/>
  </r>
  <r>
    <x v="0"/>
    <x v="0"/>
    <s v="SPXW"/>
    <x v="10"/>
    <x v="489"/>
    <s v="p"/>
    <n v="1.4"/>
    <n v="1.4"/>
    <n v="1.25"/>
    <n v="1.25"/>
    <n v="42"/>
    <n v="159"/>
    <n v="1.1499999999999999"/>
    <n v="259"/>
    <n v="1.3"/>
    <n v="0"/>
    <n v="0"/>
    <n v="0"/>
    <n v="0"/>
    <n v="0.37740000000000001"/>
    <n v="-8.0999999999999996E-3"/>
    <n v="1E-4"/>
    <n v="-0.4088"/>
    <n v="0.28810000000000002"/>
    <n v="-1.7299999999999999E-2"/>
    <n v="63"/>
    <n v="1.1499999999999999"/>
    <n v="297"/>
    <n v="1.3"/>
    <n v="0"/>
    <n v="0"/>
    <n v="1.2857000000000001"/>
    <n v="45"/>
    <n v="0"/>
  </r>
  <r>
    <x v="0"/>
    <x v="0"/>
    <s v="SPXW"/>
    <x v="10"/>
    <x v="310"/>
    <s v="p"/>
    <n v="0"/>
    <n v="0"/>
    <n v="0"/>
    <n v="0"/>
    <n v="0"/>
    <n v="90"/>
    <n v="1.2"/>
    <n v="252"/>
    <n v="1.3"/>
    <n v="0"/>
    <n v="0"/>
    <n v="0"/>
    <n v="0"/>
    <n v="0.37619999999999998"/>
    <n v="-8.3000000000000001E-3"/>
    <n v="1E-4"/>
    <n v="-0.41549999999999998"/>
    <n v="0.29349999999999998"/>
    <n v="-1.77E-2"/>
    <n v="145"/>
    <n v="1.1499999999999999"/>
    <n v="52"/>
    <n v="1.3"/>
    <n v="0"/>
    <n v="0"/>
    <n v="0"/>
    <n v="86"/>
    <n v="0"/>
  </r>
  <r>
    <x v="0"/>
    <x v="0"/>
    <s v="SPXW"/>
    <x v="10"/>
    <x v="45"/>
    <s v="p"/>
    <n v="1.1000000000000001"/>
    <n v="1.1000000000000001"/>
    <n v="1.1000000000000001"/>
    <n v="1.1000000000000001"/>
    <n v="1"/>
    <n v="124"/>
    <n v="1.2"/>
    <n v="142"/>
    <n v="1.3"/>
    <n v="0"/>
    <n v="0"/>
    <n v="0"/>
    <n v="0"/>
    <n v="0.37469999999999998"/>
    <n v="-8.3000000000000001E-3"/>
    <n v="1E-4"/>
    <n v="-0.4153"/>
    <n v="0.29449999999999998"/>
    <n v="-1.77E-2"/>
    <n v="151"/>
    <n v="1.1499999999999999"/>
    <n v="243"/>
    <n v="1.35"/>
    <n v="0"/>
    <n v="0"/>
    <n v="1.1000000000000001"/>
    <n v="254"/>
    <n v="0"/>
  </r>
  <r>
    <x v="0"/>
    <x v="0"/>
    <s v="SPXW"/>
    <x v="10"/>
    <x v="311"/>
    <s v="p"/>
    <n v="0"/>
    <n v="0"/>
    <n v="0"/>
    <n v="0"/>
    <n v="0"/>
    <n v="197"/>
    <n v="1.2"/>
    <n v="280"/>
    <n v="1.35"/>
    <n v="0"/>
    <n v="0"/>
    <n v="0"/>
    <n v="0"/>
    <n v="0.37409999999999999"/>
    <n v="-8.3999999999999995E-3"/>
    <n v="1E-4"/>
    <n v="-0.42199999999999999"/>
    <n v="0.29959999999999998"/>
    <n v="-1.8100000000000002E-2"/>
    <n v="75"/>
    <n v="1.2"/>
    <n v="299"/>
    <n v="1.35"/>
    <n v="0"/>
    <n v="0"/>
    <n v="0"/>
    <n v="113"/>
    <n v="0"/>
  </r>
  <r>
    <x v="0"/>
    <x v="0"/>
    <s v="SPXW"/>
    <x v="10"/>
    <x v="490"/>
    <s v="p"/>
    <n v="0"/>
    <n v="0"/>
    <n v="0"/>
    <n v="0"/>
    <n v="0"/>
    <n v="148"/>
    <n v="1.2"/>
    <n v="226"/>
    <n v="1.35"/>
    <n v="0"/>
    <n v="0"/>
    <n v="0"/>
    <n v="0"/>
    <n v="0.37230000000000002"/>
    <n v="-8.5000000000000006E-3"/>
    <n v="1E-4"/>
    <n v="-0.42170000000000002"/>
    <n v="0.30080000000000001"/>
    <n v="-1.8200000000000001E-2"/>
    <n v="45"/>
    <n v="1.2"/>
    <n v="265"/>
    <n v="1.35"/>
    <n v="0"/>
    <n v="0"/>
    <n v="0"/>
    <n v="55"/>
    <n v="0"/>
  </r>
  <r>
    <x v="0"/>
    <x v="0"/>
    <s v="SPXW"/>
    <x v="10"/>
    <x v="312"/>
    <s v="p"/>
    <n v="0"/>
    <n v="0"/>
    <n v="0"/>
    <n v="0"/>
    <n v="0"/>
    <n v="6"/>
    <n v="1.25"/>
    <n v="217"/>
    <n v="1.35"/>
    <n v="0"/>
    <n v="0"/>
    <n v="0"/>
    <n v="0"/>
    <n v="0.37130000000000002"/>
    <n v="-8.6E-3"/>
    <n v="1E-4"/>
    <n v="-0.4284"/>
    <n v="0.30609999999999998"/>
    <n v="-1.8499999999999999E-2"/>
    <n v="143"/>
    <n v="1.2"/>
    <n v="137"/>
    <n v="1.35"/>
    <n v="0"/>
    <n v="0"/>
    <n v="0"/>
    <n v="197"/>
    <n v="0"/>
  </r>
  <r>
    <x v="0"/>
    <x v="0"/>
    <s v="SPXW"/>
    <x v="10"/>
    <x v="491"/>
    <s v="p"/>
    <n v="0"/>
    <n v="0"/>
    <n v="0"/>
    <n v="0"/>
    <n v="0"/>
    <n v="64"/>
    <n v="1.25"/>
    <n v="311"/>
    <n v="1.4"/>
    <n v="0"/>
    <n v="0"/>
    <n v="0"/>
    <n v="0"/>
    <n v="0.36969999999999997"/>
    <n v="-8.6999999999999994E-3"/>
    <n v="1E-4"/>
    <n v="-0.42809999999999998"/>
    <n v="0.30730000000000002"/>
    <n v="-1.8599999999999998E-2"/>
    <n v="79"/>
    <n v="1.2"/>
    <n v="231"/>
    <n v="1.4"/>
    <n v="0"/>
    <n v="0"/>
    <n v="0"/>
    <n v="356"/>
    <n v="0"/>
  </r>
  <r>
    <x v="0"/>
    <x v="0"/>
    <s v="SPXW"/>
    <x v="10"/>
    <x v="46"/>
    <s v="p"/>
    <n v="1.1499999999999999"/>
    <n v="1.97"/>
    <n v="1.1499999999999999"/>
    <n v="1.32"/>
    <n v="91"/>
    <n v="235"/>
    <n v="1.25"/>
    <n v="310"/>
    <n v="1.4"/>
    <n v="0"/>
    <n v="0"/>
    <n v="0"/>
    <n v="0"/>
    <n v="0.36890000000000001"/>
    <n v="-8.8999999999999999E-3"/>
    <n v="1E-4"/>
    <n v="-0.43469999999999998"/>
    <n v="0.3125"/>
    <n v="-1.9E-2"/>
    <n v="72"/>
    <n v="1.25"/>
    <n v="312"/>
    <n v="1.4"/>
    <n v="0"/>
    <n v="0"/>
    <n v="1.5086999999999999"/>
    <n v="5726"/>
    <n v="0"/>
  </r>
  <r>
    <x v="0"/>
    <x v="0"/>
    <s v="SPXW"/>
    <x v="10"/>
    <x v="492"/>
    <s v="p"/>
    <n v="0"/>
    <n v="0"/>
    <n v="0"/>
    <n v="0"/>
    <n v="0"/>
    <n v="146"/>
    <n v="1.25"/>
    <n v="214"/>
    <n v="1.4"/>
    <n v="0"/>
    <n v="0"/>
    <n v="0"/>
    <n v="0"/>
    <n v="0.36699999999999999"/>
    <n v="-8.8999999999999999E-3"/>
    <n v="1E-4"/>
    <n v="-0.43440000000000001"/>
    <n v="0.31380000000000002"/>
    <n v="-1.9099999999999999E-2"/>
    <n v="41"/>
    <n v="1.25"/>
    <n v="255"/>
    <n v="1.4"/>
    <n v="0"/>
    <n v="0"/>
    <n v="0"/>
    <n v="61"/>
    <n v="0"/>
  </r>
  <r>
    <x v="0"/>
    <x v="0"/>
    <s v="SPXW"/>
    <x v="10"/>
    <x v="313"/>
    <s v="p"/>
    <n v="0"/>
    <n v="0"/>
    <n v="0"/>
    <n v="0"/>
    <n v="0"/>
    <n v="53"/>
    <n v="1.3"/>
    <n v="272"/>
    <n v="1.4"/>
    <n v="0"/>
    <n v="0"/>
    <n v="0"/>
    <n v="0"/>
    <n v="0.36609999999999998"/>
    <n v="-9.1000000000000004E-3"/>
    <n v="1E-4"/>
    <n v="-0.441"/>
    <n v="0.31909999999999999"/>
    <n v="-1.9400000000000001E-2"/>
    <n v="142"/>
    <n v="1.25"/>
    <n v="46"/>
    <n v="1.4"/>
    <n v="0"/>
    <n v="0"/>
    <n v="0"/>
    <n v="271"/>
    <n v="0"/>
  </r>
  <r>
    <x v="0"/>
    <x v="0"/>
    <s v="SPXW"/>
    <x v="10"/>
    <x v="493"/>
    <s v="p"/>
    <n v="0"/>
    <n v="0"/>
    <n v="0"/>
    <n v="0"/>
    <n v="0"/>
    <n v="116"/>
    <n v="1.3"/>
    <n v="293"/>
    <n v="1.45"/>
    <n v="0"/>
    <n v="0"/>
    <n v="0"/>
    <n v="0"/>
    <n v="0.36520000000000002"/>
    <n v="-9.1999999999999998E-3"/>
    <n v="1E-4"/>
    <n v="-0.4476"/>
    <n v="0.32429999999999998"/>
    <n v="-1.9800000000000002E-2"/>
    <n v="84"/>
    <n v="1.25"/>
    <n v="225"/>
    <n v="1.45"/>
    <n v="0"/>
    <n v="0"/>
    <n v="0"/>
    <n v="19"/>
    <n v="0"/>
  </r>
  <r>
    <x v="0"/>
    <x v="0"/>
    <s v="SPXW"/>
    <x v="10"/>
    <x v="314"/>
    <s v="p"/>
    <n v="0"/>
    <n v="0"/>
    <n v="0"/>
    <n v="0"/>
    <n v="0"/>
    <n v="193"/>
    <n v="1.3"/>
    <n v="236"/>
    <n v="1.45"/>
    <n v="0"/>
    <n v="0"/>
    <n v="0"/>
    <n v="0"/>
    <n v="0.36330000000000001"/>
    <n v="-9.2999999999999992E-3"/>
    <n v="1E-4"/>
    <n v="-0.44719999999999999"/>
    <n v="0.32569999999999999"/>
    <n v="-1.9900000000000001E-2"/>
    <n v="72"/>
    <n v="1.3"/>
    <n v="279"/>
    <n v="1.45"/>
    <n v="0"/>
    <n v="0"/>
    <n v="0"/>
    <n v="159"/>
    <n v="0"/>
  </r>
  <r>
    <x v="0"/>
    <x v="0"/>
    <s v="SPXW"/>
    <x v="10"/>
    <x v="47"/>
    <s v="p"/>
    <n v="1.4"/>
    <n v="1.4"/>
    <n v="1.4"/>
    <n v="1.4"/>
    <n v="1"/>
    <n v="6"/>
    <n v="1.35"/>
    <n v="209"/>
    <n v="1.45"/>
    <n v="0"/>
    <n v="0"/>
    <n v="0"/>
    <n v="0"/>
    <n v="0.3624"/>
    <n v="-9.4000000000000004E-3"/>
    <n v="1E-4"/>
    <n v="-0.45379999999999998"/>
    <n v="0.33090000000000003"/>
    <n v="-2.0299999999999999E-2"/>
    <n v="148"/>
    <n v="1.3"/>
    <n v="222"/>
    <n v="1.45"/>
    <n v="0"/>
    <n v="0"/>
    <n v="1.4"/>
    <n v="114"/>
    <n v="0"/>
  </r>
  <r>
    <x v="0"/>
    <x v="0"/>
    <s v="SPXW"/>
    <x v="10"/>
    <x v="48"/>
    <s v="p"/>
    <n v="1.8"/>
    <n v="1.85"/>
    <n v="1.8"/>
    <n v="1.85"/>
    <n v="55"/>
    <n v="119"/>
    <n v="1.35"/>
    <n v="277"/>
    <n v="1.45"/>
    <n v="0"/>
    <n v="0"/>
    <n v="0"/>
    <n v="0"/>
    <n v="0.36070000000000002"/>
    <n v="-9.4999999999999998E-3"/>
    <n v="1E-4"/>
    <n v="-0.45340000000000003"/>
    <n v="0.33229999999999998"/>
    <n v="-2.0400000000000001E-2"/>
    <n v="156"/>
    <n v="1.3"/>
    <n v="61"/>
    <n v="1.45"/>
    <n v="0"/>
    <n v="0"/>
    <n v="1.8445"/>
    <n v="107"/>
    <n v="0"/>
  </r>
  <r>
    <x v="0"/>
    <x v="0"/>
    <s v="SPXW"/>
    <x v="10"/>
    <x v="494"/>
    <s v="p"/>
    <n v="0"/>
    <n v="0"/>
    <n v="0"/>
    <n v="0"/>
    <n v="0"/>
    <n v="146"/>
    <n v="1.35"/>
    <n v="265"/>
    <n v="1.5"/>
    <n v="0"/>
    <n v="0"/>
    <n v="0"/>
    <n v="0"/>
    <n v="0.35980000000000001"/>
    <n v="-9.7000000000000003E-3"/>
    <n v="1E-4"/>
    <n v="-0.45989999999999998"/>
    <n v="0.33750000000000002"/>
    <n v="-2.07E-2"/>
    <n v="80"/>
    <n v="1.3"/>
    <n v="281"/>
    <n v="1.5"/>
    <n v="0"/>
    <n v="0"/>
    <n v="0"/>
    <n v="52"/>
    <n v="0"/>
  </r>
  <r>
    <x v="0"/>
    <x v="0"/>
    <s v="SPXW"/>
    <x v="10"/>
    <x v="49"/>
    <s v="p"/>
    <n v="1.5"/>
    <n v="1.5"/>
    <n v="1.5"/>
    <n v="1.5"/>
    <n v="1"/>
    <n v="6"/>
    <n v="1.4"/>
    <n v="207"/>
    <n v="1.5"/>
    <n v="0"/>
    <n v="0"/>
    <n v="0"/>
    <n v="0"/>
    <n v="0.35880000000000001"/>
    <n v="-9.7999999999999997E-3"/>
    <n v="1E-4"/>
    <n v="-0.46629999999999999"/>
    <n v="0.34289999999999998"/>
    <n v="-2.1100000000000001E-2"/>
    <n v="102"/>
    <n v="1.35"/>
    <n v="242"/>
    <n v="1.5"/>
    <n v="0"/>
    <n v="0"/>
    <n v="1.5"/>
    <n v="147"/>
    <n v="0"/>
  </r>
  <r>
    <x v="0"/>
    <x v="0"/>
    <s v="SPXW"/>
    <x v="10"/>
    <x v="495"/>
    <s v="p"/>
    <n v="2.15"/>
    <n v="2.15"/>
    <n v="2.15"/>
    <n v="2.15"/>
    <n v="55"/>
    <n v="146"/>
    <n v="1.35"/>
    <n v="307"/>
    <n v="1.5"/>
    <n v="0"/>
    <n v="0"/>
    <n v="0"/>
    <n v="0"/>
    <n v="0.35630000000000001"/>
    <n v="-9.7000000000000003E-3"/>
    <n v="1E-4"/>
    <n v="-0.4592"/>
    <n v="0.34039999999999998"/>
    <n v="-2.0899999999999998E-2"/>
    <n v="105"/>
    <n v="1.35"/>
    <n v="62"/>
    <n v="1.5"/>
    <n v="0"/>
    <n v="0"/>
    <n v="2.15"/>
    <n v="45"/>
    <n v="0"/>
  </r>
  <r>
    <x v="0"/>
    <x v="0"/>
    <s v="SPXW"/>
    <x v="10"/>
    <x v="50"/>
    <s v="p"/>
    <n v="1.2"/>
    <n v="2.2200000000000002"/>
    <n v="1.2"/>
    <n v="1.41"/>
    <n v="162"/>
    <n v="149"/>
    <n v="1.4"/>
    <n v="42"/>
    <n v="1.5"/>
    <n v="0"/>
    <n v="0"/>
    <n v="0"/>
    <n v="0"/>
    <n v="0.35520000000000002"/>
    <n v="-9.9000000000000008E-3"/>
    <n v="1E-4"/>
    <n v="-0.46550000000000002"/>
    <n v="0.3458"/>
    <n v="-2.1299999999999999E-2"/>
    <n v="60"/>
    <n v="1.4"/>
    <n v="319"/>
    <n v="1.55"/>
    <n v="0"/>
    <n v="0"/>
    <n v="1.6444000000000001"/>
    <n v="996"/>
    <n v="0"/>
  </r>
  <r>
    <x v="0"/>
    <x v="0"/>
    <s v="SPXW"/>
    <x v="10"/>
    <x v="496"/>
    <s v="p"/>
    <n v="0"/>
    <n v="0"/>
    <n v="0"/>
    <n v="0"/>
    <n v="0"/>
    <n v="145"/>
    <n v="1.4"/>
    <n v="213"/>
    <n v="1.55"/>
    <n v="0"/>
    <n v="0"/>
    <n v="0"/>
    <n v="0"/>
    <n v="0.35420000000000001"/>
    <n v="-1.01E-2"/>
    <n v="1E-4"/>
    <n v="-0.47189999999999999"/>
    <n v="0.35110000000000002"/>
    <n v="-2.1700000000000001E-2"/>
    <n v="81"/>
    <n v="1.35"/>
    <n v="200"/>
    <n v="1.55"/>
    <n v="0"/>
    <n v="0"/>
    <n v="0"/>
    <n v="33"/>
    <n v="0"/>
  </r>
  <r>
    <x v="0"/>
    <x v="0"/>
    <s v="SPXW"/>
    <x v="10"/>
    <x v="51"/>
    <s v="p"/>
    <n v="0"/>
    <n v="0"/>
    <n v="0"/>
    <n v="0"/>
    <n v="0"/>
    <n v="6"/>
    <n v="1.45"/>
    <n v="204"/>
    <n v="1.55"/>
    <n v="0"/>
    <n v="0"/>
    <n v="0"/>
    <n v="0"/>
    <n v="0.35320000000000001"/>
    <n v="-1.03E-2"/>
    <n v="1E-4"/>
    <n v="-0.4783"/>
    <n v="0.35639999999999999"/>
    <n v="-2.2100000000000002E-2"/>
    <n v="136"/>
    <n v="1.4"/>
    <n v="135"/>
    <n v="1.55"/>
    <n v="0"/>
    <n v="0"/>
    <n v="0"/>
    <n v="146"/>
    <n v="0"/>
  </r>
  <r>
    <x v="0"/>
    <x v="0"/>
    <s v="SPXW"/>
    <x v="10"/>
    <x v="497"/>
    <s v="p"/>
    <n v="0"/>
    <n v="0"/>
    <n v="0"/>
    <n v="0"/>
    <n v="0"/>
    <n v="75"/>
    <n v="1.45"/>
    <n v="273"/>
    <n v="1.6"/>
    <n v="0"/>
    <n v="0"/>
    <n v="0"/>
    <n v="0"/>
    <n v="0.35220000000000001"/>
    <n v="-1.0500000000000001E-2"/>
    <n v="1E-4"/>
    <n v="-0.48459999999999998"/>
    <n v="0.36170000000000002"/>
    <n v="-2.2499999999999999E-2"/>
    <n v="77"/>
    <n v="1.4"/>
    <n v="218"/>
    <n v="1.6"/>
    <n v="0"/>
    <n v="0"/>
    <n v="0"/>
    <n v="57"/>
    <n v="0"/>
  </r>
  <r>
    <x v="0"/>
    <x v="0"/>
    <s v="SPXW"/>
    <x v="10"/>
    <x v="52"/>
    <s v="p"/>
    <n v="0"/>
    <n v="0"/>
    <n v="0"/>
    <n v="0"/>
    <n v="0"/>
    <n v="191"/>
    <n v="1.45"/>
    <n v="213"/>
    <n v="1.6"/>
    <n v="0"/>
    <n v="0"/>
    <n v="0"/>
    <n v="0"/>
    <n v="0.35039999999999999"/>
    <n v="-1.0500000000000001E-2"/>
    <n v="1E-4"/>
    <n v="-0.48409999999999997"/>
    <n v="0.36330000000000001"/>
    <n v="-2.2599999999999999E-2"/>
    <n v="50"/>
    <n v="1.45"/>
    <n v="199"/>
    <n v="1.6"/>
    <n v="0"/>
    <n v="0"/>
    <n v="0"/>
    <n v="100"/>
    <n v="0"/>
  </r>
  <r>
    <x v="0"/>
    <x v="0"/>
    <s v="SPXW"/>
    <x v="10"/>
    <x v="53"/>
    <s v="p"/>
    <n v="1.42"/>
    <n v="1.55"/>
    <n v="1.42"/>
    <n v="1.55"/>
    <n v="4"/>
    <n v="5"/>
    <n v="1.5"/>
    <n v="210"/>
    <n v="1.6"/>
    <n v="0"/>
    <n v="0"/>
    <n v="0"/>
    <n v="0"/>
    <n v="0.34949999999999998"/>
    <n v="-1.0699999999999999E-2"/>
    <n v="1E-4"/>
    <n v="-0.49049999999999999"/>
    <n v="0.36859999999999998"/>
    <n v="-2.3E-2"/>
    <n v="132"/>
    <n v="1.45"/>
    <n v="134"/>
    <n v="1.6"/>
    <n v="0"/>
    <n v="0"/>
    <n v="1.5024999999999999"/>
    <n v="292"/>
    <n v="0"/>
  </r>
  <r>
    <x v="0"/>
    <x v="0"/>
    <s v="SPXW"/>
    <x v="10"/>
    <x v="54"/>
    <s v="p"/>
    <n v="1.4"/>
    <n v="1.4"/>
    <n v="1.35"/>
    <n v="1.35"/>
    <n v="404"/>
    <n v="130"/>
    <n v="1.5"/>
    <n v="33"/>
    <n v="1.6"/>
    <n v="0"/>
    <n v="0"/>
    <n v="0"/>
    <n v="0"/>
    <n v="0.3478"/>
    <n v="-1.0699999999999999E-2"/>
    <n v="1E-4"/>
    <n v="-0.49009999999999998"/>
    <n v="0.37009999999999998"/>
    <n v="-2.3099999999999999E-2"/>
    <n v="152"/>
    <n v="1.45"/>
    <n v="232"/>
    <n v="1.65"/>
    <n v="0"/>
    <n v="0"/>
    <n v="1.395"/>
    <n v="472"/>
    <n v="0"/>
  </r>
  <r>
    <x v="0"/>
    <x v="0"/>
    <s v="SPXW"/>
    <x v="10"/>
    <x v="498"/>
    <s v="p"/>
    <n v="1.57"/>
    <n v="1.57"/>
    <n v="1.57"/>
    <n v="1.57"/>
    <n v="2"/>
    <n v="146"/>
    <n v="1.5"/>
    <n v="205"/>
    <n v="1.65"/>
    <n v="0"/>
    <n v="0"/>
    <n v="0"/>
    <n v="0"/>
    <n v="0.34670000000000001"/>
    <n v="-1.09E-2"/>
    <n v="1E-4"/>
    <n v="-0.49630000000000002"/>
    <n v="0.37559999999999999"/>
    <n v="-2.3400000000000001E-2"/>
    <n v="80"/>
    <n v="1.45"/>
    <n v="197"/>
    <n v="1.65"/>
    <n v="0"/>
    <n v="0"/>
    <n v="1.57"/>
    <n v="75"/>
    <n v="0"/>
  </r>
  <r>
    <x v="0"/>
    <x v="0"/>
    <s v="SPXW"/>
    <x v="10"/>
    <x v="55"/>
    <s v="p"/>
    <n v="0"/>
    <n v="0"/>
    <n v="0"/>
    <n v="0"/>
    <n v="0"/>
    <n v="5"/>
    <n v="1.55"/>
    <n v="267"/>
    <n v="1.65"/>
    <n v="0"/>
    <n v="0"/>
    <n v="0"/>
    <n v="0"/>
    <n v="0.34549999999999997"/>
    <n v="-1.11E-2"/>
    <n v="1E-4"/>
    <n v="-0.50249999999999995"/>
    <n v="0.38119999999999998"/>
    <n v="-2.3800000000000002E-2"/>
    <n v="130"/>
    <n v="1.5"/>
    <n v="132"/>
    <n v="1.65"/>
    <n v="0"/>
    <n v="0"/>
    <n v="0"/>
    <n v="86"/>
    <n v="0"/>
  </r>
  <r>
    <x v="0"/>
    <x v="0"/>
    <s v="SPXW"/>
    <x v="10"/>
    <x v="499"/>
    <s v="p"/>
    <n v="1.4"/>
    <n v="1.4"/>
    <n v="1.37"/>
    <n v="1.37"/>
    <n v="8"/>
    <n v="74"/>
    <n v="1.55"/>
    <n v="254"/>
    <n v="1.7"/>
    <n v="0"/>
    <n v="0"/>
    <n v="0"/>
    <n v="0"/>
    <n v="0.34449999999999997"/>
    <n v="-1.1299999999999999E-2"/>
    <n v="1E-4"/>
    <n v="-0.50870000000000004"/>
    <n v="0.3866"/>
    <n v="-2.4199999999999999E-2"/>
    <n v="85"/>
    <n v="1.5"/>
    <n v="284"/>
    <n v="1.7"/>
    <n v="0"/>
    <n v="0"/>
    <n v="1.385"/>
    <n v="154"/>
    <n v="0"/>
  </r>
  <r>
    <x v="0"/>
    <x v="0"/>
    <s v="SPXW"/>
    <x v="10"/>
    <x v="56"/>
    <s v="p"/>
    <n v="1.47"/>
    <n v="2.42"/>
    <n v="1.4"/>
    <n v="1.58"/>
    <n v="210"/>
    <n v="5"/>
    <n v="1.6"/>
    <n v="235"/>
    <n v="1.7"/>
    <n v="0"/>
    <n v="0"/>
    <n v="0"/>
    <n v="0"/>
    <n v="0.34229999999999999"/>
    <n v="-1.14E-2"/>
    <n v="1E-4"/>
    <n v="-0.5081"/>
    <n v="0.38869999999999999"/>
    <n v="-2.4400000000000002E-2"/>
    <n v="96"/>
    <n v="1.55"/>
    <n v="240"/>
    <n v="1.7"/>
    <n v="0"/>
    <n v="0"/>
    <n v="1.7202999999999999"/>
    <n v="1545"/>
    <n v="0"/>
  </r>
  <r>
    <x v="0"/>
    <x v="0"/>
    <s v="SPXW"/>
    <x v="10"/>
    <x v="500"/>
    <s v="p"/>
    <n v="1.65"/>
    <n v="1.65"/>
    <n v="1.62"/>
    <n v="1.62"/>
    <n v="57"/>
    <n v="5"/>
    <n v="1.6"/>
    <n v="96"/>
    <n v="1.7"/>
    <n v="0"/>
    <n v="0"/>
    <n v="0"/>
    <n v="0"/>
    <n v="0.34160000000000001"/>
    <n v="-1.15E-2"/>
    <n v="1E-4"/>
    <n v="-0.51429999999999998"/>
    <n v="0.39389999999999997"/>
    <n v="-2.4799999999999999E-2"/>
    <n v="95"/>
    <n v="1.55"/>
    <n v="60"/>
    <n v="1.7"/>
    <n v="0"/>
    <n v="0"/>
    <n v="1.6489"/>
    <n v="53"/>
    <n v="0"/>
  </r>
  <r>
    <x v="0"/>
    <x v="0"/>
    <s v="SPXW"/>
    <x v="10"/>
    <x v="57"/>
    <s v="p"/>
    <n v="1.35"/>
    <n v="1.35"/>
    <n v="1.35"/>
    <n v="1.35"/>
    <n v="1"/>
    <n v="186"/>
    <n v="1.6"/>
    <n v="220"/>
    <n v="1.75"/>
    <n v="0"/>
    <n v="0"/>
    <n v="0"/>
    <n v="0"/>
    <n v="0.34060000000000001"/>
    <n v="-1.17E-2"/>
    <n v="1E-4"/>
    <n v="-0.52039999999999997"/>
    <n v="0.39939999999999998"/>
    <n v="-2.52E-2"/>
    <n v="135"/>
    <n v="1.55"/>
    <n v="270"/>
    <n v="1.75"/>
    <n v="0"/>
    <n v="0"/>
    <n v="1.35"/>
    <n v="107"/>
    <n v="0"/>
  </r>
  <r>
    <x v="0"/>
    <x v="0"/>
    <s v="SPXW"/>
    <x v="10"/>
    <x v="501"/>
    <s v="p"/>
    <n v="1.35"/>
    <n v="1.35"/>
    <n v="1.35"/>
    <n v="1.35"/>
    <n v="1"/>
    <n v="5"/>
    <n v="1.65"/>
    <n v="226"/>
    <n v="1.75"/>
    <n v="0"/>
    <n v="0"/>
    <n v="0"/>
    <n v="0"/>
    <n v="0.33939999999999998"/>
    <n v="-1.1900000000000001E-2"/>
    <n v="1E-4"/>
    <n v="-0.52639999999999998"/>
    <n v="0.4052"/>
    <n v="-2.5600000000000001E-2"/>
    <n v="25"/>
    <n v="1.6"/>
    <n v="177"/>
    <n v="1.75"/>
    <n v="0"/>
    <n v="0"/>
    <n v="1.35"/>
    <n v="91"/>
    <n v="0"/>
  </r>
  <r>
    <x v="0"/>
    <x v="0"/>
    <s v="SPXW"/>
    <x v="10"/>
    <x v="58"/>
    <s v="p"/>
    <n v="1.35"/>
    <n v="1.93"/>
    <n v="1.35"/>
    <n v="1.93"/>
    <n v="3"/>
    <n v="82"/>
    <n v="1.65"/>
    <n v="52"/>
    <n v="1.75"/>
    <n v="0"/>
    <n v="0"/>
    <n v="0"/>
    <n v="0"/>
    <n v="0.33750000000000002"/>
    <n v="-1.2E-2"/>
    <n v="1E-4"/>
    <n v="-0.52590000000000003"/>
    <n v="0.40699999999999997"/>
    <n v="-2.5700000000000001E-2"/>
    <n v="136"/>
    <n v="1.6"/>
    <n v="45"/>
    <n v="1.75"/>
    <n v="0"/>
    <n v="0"/>
    <n v="1.7366999999999999"/>
    <n v="353"/>
    <n v="0"/>
  </r>
  <r>
    <x v="0"/>
    <x v="0"/>
    <s v="SPXW"/>
    <x v="10"/>
    <x v="59"/>
    <s v="p"/>
    <n v="1.4"/>
    <n v="2.1"/>
    <n v="1.4"/>
    <n v="2.1"/>
    <n v="9"/>
    <n v="193"/>
    <n v="1.65"/>
    <n v="202"/>
    <n v="1.8"/>
    <n v="0"/>
    <n v="0"/>
    <n v="0"/>
    <n v="0"/>
    <n v="0.33650000000000002"/>
    <n v="-1.2200000000000001E-2"/>
    <n v="1E-4"/>
    <n v="-0.53200000000000003"/>
    <n v="0.41260000000000002"/>
    <n v="-2.6100000000000002E-2"/>
    <n v="48"/>
    <n v="1.65"/>
    <n v="220"/>
    <n v="1.8"/>
    <n v="0"/>
    <n v="0"/>
    <n v="1.54"/>
    <n v="205"/>
    <n v="0"/>
  </r>
  <r>
    <x v="0"/>
    <x v="0"/>
    <s v="SPXW"/>
    <x v="10"/>
    <x v="60"/>
    <s v="p"/>
    <n v="1.4"/>
    <n v="1.4"/>
    <n v="1.4"/>
    <n v="1.4"/>
    <n v="1"/>
    <n v="5"/>
    <n v="1.7"/>
    <n v="96"/>
    <n v="1.8"/>
    <n v="0"/>
    <n v="0"/>
    <n v="0"/>
    <n v="0"/>
    <n v="0.33539999999999998"/>
    <n v="-1.24E-2"/>
    <n v="1E-4"/>
    <n v="-0.53790000000000004"/>
    <n v="0.41830000000000001"/>
    <n v="-2.6499999999999999E-2"/>
    <n v="125"/>
    <n v="1.65"/>
    <n v="45"/>
    <n v="1.8"/>
    <n v="0"/>
    <n v="0"/>
    <n v="1.4"/>
    <n v="91"/>
    <n v="0"/>
  </r>
  <r>
    <x v="0"/>
    <x v="0"/>
    <s v="SPXW"/>
    <x v="10"/>
    <x v="502"/>
    <s v="p"/>
    <n v="0"/>
    <n v="0"/>
    <n v="0"/>
    <n v="0"/>
    <n v="0"/>
    <n v="72"/>
    <n v="1.7"/>
    <n v="222"/>
    <n v="1.85"/>
    <n v="0"/>
    <n v="0"/>
    <n v="0"/>
    <n v="0"/>
    <n v="0.33429999999999999"/>
    <n v="-1.26E-2"/>
    <n v="1E-4"/>
    <n v="-0.54379999999999995"/>
    <n v="0.42409999999999998"/>
    <n v="-2.69E-2"/>
    <n v="84"/>
    <n v="1.65"/>
    <n v="266"/>
    <n v="1.85"/>
    <n v="0"/>
    <n v="0"/>
    <n v="0"/>
    <n v="39"/>
    <n v="0"/>
  </r>
  <r>
    <x v="0"/>
    <x v="0"/>
    <s v="SPXW"/>
    <x v="10"/>
    <x v="61"/>
    <s v="p"/>
    <n v="1.9"/>
    <n v="1.9"/>
    <n v="1.9"/>
    <n v="1.9"/>
    <n v="2"/>
    <n v="5"/>
    <n v="1.75"/>
    <n v="287"/>
    <n v="1.85"/>
    <n v="0"/>
    <n v="0"/>
    <n v="0"/>
    <n v="0"/>
    <n v="0.33229999999999998"/>
    <n v="-1.26E-2"/>
    <n v="1E-4"/>
    <n v="-0.54320000000000002"/>
    <n v="0.42620000000000002"/>
    <n v="-2.7099999999999999E-2"/>
    <n v="76"/>
    <n v="1.7"/>
    <n v="171"/>
    <n v="1.85"/>
    <n v="0"/>
    <n v="0"/>
    <n v="1.9"/>
    <n v="133"/>
    <n v="0"/>
  </r>
  <r>
    <x v="0"/>
    <x v="0"/>
    <s v="SPXW"/>
    <x v="10"/>
    <x v="503"/>
    <s v="p"/>
    <n v="1.9"/>
    <n v="1.9"/>
    <n v="1.9"/>
    <n v="1.9"/>
    <n v="1"/>
    <n v="53"/>
    <n v="1.75"/>
    <n v="236"/>
    <n v="1.9"/>
    <n v="0"/>
    <n v="0"/>
    <n v="0"/>
    <n v="0"/>
    <n v="0.33119999999999999"/>
    <n v="-1.2800000000000001E-2"/>
    <n v="1E-4"/>
    <n v="-0.54920000000000002"/>
    <n v="0.432"/>
    <n v="-2.75E-2"/>
    <n v="82"/>
    <n v="1.7"/>
    <n v="44"/>
    <n v="1.85"/>
    <n v="0"/>
    <n v="0"/>
    <n v="1.9"/>
    <n v="93"/>
    <n v="0"/>
  </r>
  <r>
    <x v="0"/>
    <x v="0"/>
    <s v="SPXW"/>
    <x v="10"/>
    <x v="62"/>
    <s v="p"/>
    <n v="1.58"/>
    <n v="2.65"/>
    <n v="1.58"/>
    <n v="1.95"/>
    <n v="12"/>
    <n v="194"/>
    <n v="1.75"/>
    <n v="235"/>
    <n v="1.9"/>
    <n v="0"/>
    <n v="0"/>
    <n v="0"/>
    <n v="0"/>
    <n v="0.32969999999999999"/>
    <n v="-1.2999999999999999E-2"/>
    <n v="1E-4"/>
    <n v="-0.55489999999999995"/>
    <n v="0.43819999999999998"/>
    <n v="-2.7900000000000001E-2"/>
    <n v="47"/>
    <n v="1.75"/>
    <n v="217"/>
    <n v="1.9"/>
    <n v="0"/>
    <n v="0"/>
    <n v="1.7"/>
    <n v="666"/>
    <n v="0"/>
  </r>
  <r>
    <x v="0"/>
    <x v="0"/>
    <s v="SPXW"/>
    <x v="10"/>
    <x v="504"/>
    <s v="p"/>
    <n v="0"/>
    <n v="0"/>
    <n v="0"/>
    <n v="0"/>
    <n v="0"/>
    <n v="5"/>
    <n v="1.8"/>
    <n v="64"/>
    <n v="1.9"/>
    <n v="0"/>
    <n v="0"/>
    <n v="0"/>
    <n v="0"/>
    <n v="0.32890000000000003"/>
    <n v="-1.32E-2"/>
    <n v="1E-4"/>
    <n v="-0.56079999999999997"/>
    <n v="0.44369999999999998"/>
    <n v="-2.8400000000000002E-2"/>
    <n v="78"/>
    <n v="1.75"/>
    <n v="44"/>
    <n v="1.9"/>
    <n v="0"/>
    <n v="0"/>
    <n v="0"/>
    <n v="71"/>
    <n v="0"/>
  </r>
  <r>
    <x v="0"/>
    <x v="0"/>
    <s v="SPXW"/>
    <x v="10"/>
    <x v="63"/>
    <s v="p"/>
    <n v="2.5"/>
    <n v="2.5"/>
    <n v="2.5"/>
    <n v="2.5"/>
    <n v="21"/>
    <n v="214"/>
    <n v="1.8"/>
    <n v="267"/>
    <n v="1.95"/>
    <n v="0"/>
    <n v="0"/>
    <n v="0"/>
    <n v="0"/>
    <n v="0.32769999999999999"/>
    <n v="-1.34E-2"/>
    <n v="1E-4"/>
    <n v="-0.56659999999999999"/>
    <n v="0.4496"/>
    <n v="-2.8799999999999999E-2"/>
    <n v="150"/>
    <n v="1.75"/>
    <n v="236"/>
    <n v="1.95"/>
    <n v="0"/>
    <n v="0"/>
    <n v="2.5"/>
    <n v="158"/>
    <n v="0"/>
  </r>
  <r>
    <x v="0"/>
    <x v="0"/>
    <s v="SPXW"/>
    <x v="10"/>
    <x v="505"/>
    <s v="p"/>
    <n v="0"/>
    <n v="0"/>
    <n v="0"/>
    <n v="0"/>
    <n v="0"/>
    <n v="5"/>
    <n v="1.85"/>
    <n v="94"/>
    <n v="1.95"/>
    <n v="0"/>
    <n v="0"/>
    <n v="0"/>
    <n v="0"/>
    <n v="0.32650000000000001"/>
    <n v="-1.3599999999999999E-2"/>
    <n v="1E-4"/>
    <n v="-0.57230000000000003"/>
    <n v="0.4556"/>
    <n v="-2.92E-2"/>
    <n v="47"/>
    <n v="1.8"/>
    <n v="44"/>
    <n v="1.95"/>
    <n v="0"/>
    <n v="0"/>
    <n v="0"/>
    <n v="38"/>
    <n v="0"/>
  </r>
  <r>
    <x v="0"/>
    <x v="0"/>
    <s v="SPXW"/>
    <x v="10"/>
    <x v="64"/>
    <s v="p"/>
    <n v="1.79"/>
    <n v="2.16"/>
    <n v="1.79"/>
    <n v="2.16"/>
    <n v="4"/>
    <n v="182"/>
    <n v="1.85"/>
    <n v="193"/>
    <n v="2"/>
    <n v="0"/>
    <n v="0"/>
    <n v="0"/>
    <n v="0"/>
    <n v="0.32529999999999998"/>
    <n v="-1.38E-2"/>
    <n v="1E-4"/>
    <n v="-0.57809999999999995"/>
    <n v="0.46150000000000002"/>
    <n v="-2.9700000000000001E-2"/>
    <n v="134"/>
    <n v="1.8"/>
    <n v="243"/>
    <n v="2"/>
    <n v="0"/>
    <n v="0"/>
    <n v="1.9750000000000001"/>
    <n v="138"/>
    <n v="0"/>
  </r>
  <r>
    <x v="0"/>
    <x v="0"/>
    <s v="SPXW"/>
    <x v="10"/>
    <x v="65"/>
    <s v="p"/>
    <n v="1.59"/>
    <n v="2.2200000000000002"/>
    <n v="1.59"/>
    <n v="2.2200000000000002"/>
    <n v="3"/>
    <n v="4"/>
    <n v="1.9"/>
    <n v="102"/>
    <n v="2"/>
    <n v="0"/>
    <n v="0"/>
    <n v="0"/>
    <n v="0"/>
    <n v="0.32400000000000001"/>
    <n v="-1.4E-2"/>
    <n v="1E-4"/>
    <n v="-0.5837"/>
    <n v="0.46760000000000002"/>
    <n v="-3.0099999999999998E-2"/>
    <n v="117"/>
    <n v="1.85"/>
    <n v="127"/>
    <n v="2"/>
    <n v="0"/>
    <n v="0"/>
    <n v="1.8633"/>
    <n v="408"/>
    <n v="0"/>
  </r>
  <r>
    <x v="0"/>
    <x v="0"/>
    <s v="SPXW"/>
    <x v="10"/>
    <x v="66"/>
    <s v="p"/>
    <n v="1.64"/>
    <n v="2.84"/>
    <n v="1.64"/>
    <n v="2.84"/>
    <n v="33"/>
    <n v="161"/>
    <n v="1.9"/>
    <n v="41"/>
    <n v="2"/>
    <n v="0"/>
    <n v="0"/>
    <n v="0"/>
    <n v="0"/>
    <n v="0.3221"/>
    <n v="-1.41E-2"/>
    <n v="1E-4"/>
    <n v="-0.58299999999999996"/>
    <n v="0.47"/>
    <n v="-3.0300000000000001E-2"/>
    <n v="54"/>
    <n v="1.9"/>
    <n v="295"/>
    <n v="2.0499999999999998"/>
    <n v="0"/>
    <n v="0"/>
    <n v="2.7218"/>
    <n v="328"/>
    <n v="0"/>
  </r>
  <r>
    <x v="0"/>
    <x v="0"/>
    <s v="SPXW"/>
    <x v="10"/>
    <x v="506"/>
    <s v="p"/>
    <n v="0"/>
    <n v="0"/>
    <n v="0"/>
    <n v="0"/>
    <n v="0"/>
    <n v="4"/>
    <n v="1.95"/>
    <n v="93"/>
    <n v="2.0499999999999998"/>
    <n v="0"/>
    <n v="0"/>
    <n v="0"/>
    <n v="0"/>
    <n v="0.32090000000000002"/>
    <n v="-1.43E-2"/>
    <n v="1E-4"/>
    <n v="-0.5887"/>
    <n v="0.47599999999999998"/>
    <n v="-3.0800000000000001E-2"/>
    <n v="45"/>
    <n v="1.9"/>
    <n v="121"/>
    <n v="2.0499999999999998"/>
    <n v="0"/>
    <n v="0"/>
    <n v="0"/>
    <n v="68"/>
    <n v="0"/>
  </r>
  <r>
    <x v="0"/>
    <x v="0"/>
    <s v="SPXW"/>
    <x v="10"/>
    <x v="67"/>
    <s v="p"/>
    <n v="1.69"/>
    <n v="3.1"/>
    <n v="1.69"/>
    <n v="3.1"/>
    <n v="56"/>
    <n v="154"/>
    <n v="1.95"/>
    <n v="34"/>
    <n v="2.0499999999999998"/>
    <n v="0"/>
    <n v="0"/>
    <n v="0"/>
    <n v="0"/>
    <n v="0.3196"/>
    <n v="-1.4500000000000001E-2"/>
    <n v="1E-4"/>
    <n v="-0.59419999999999995"/>
    <n v="0.48220000000000002"/>
    <n v="-3.1199999999999999E-2"/>
    <n v="137"/>
    <n v="1.9"/>
    <n v="267"/>
    <n v="2.1"/>
    <n v="0"/>
    <n v="0"/>
    <n v="3.0245000000000002"/>
    <n v="150"/>
    <n v="0"/>
  </r>
  <r>
    <x v="0"/>
    <x v="0"/>
    <s v="SPXW"/>
    <x v="10"/>
    <x v="507"/>
    <s v="p"/>
    <n v="1.95"/>
    <n v="2.9"/>
    <n v="1.95"/>
    <n v="2.9"/>
    <n v="2"/>
    <n v="4"/>
    <n v="2"/>
    <n v="93"/>
    <n v="2.1"/>
    <n v="0"/>
    <n v="0"/>
    <n v="0"/>
    <n v="0"/>
    <n v="0.31809999999999999"/>
    <n v="-1.4800000000000001E-2"/>
    <n v="1E-4"/>
    <n v="-0.59970000000000001"/>
    <n v="0.48849999999999999"/>
    <n v="-3.1699999999999999E-2"/>
    <n v="45"/>
    <n v="1.95"/>
    <n v="120"/>
    <n v="2.1"/>
    <n v="0"/>
    <n v="0"/>
    <n v="2.4249999999999998"/>
    <n v="138"/>
    <n v="0"/>
  </r>
  <r>
    <x v="0"/>
    <x v="0"/>
    <s v="SPXW"/>
    <x v="10"/>
    <x v="68"/>
    <s v="p"/>
    <n v="1.75"/>
    <n v="2.78"/>
    <n v="1.69"/>
    <n v="2.0299999999999998"/>
    <n v="59"/>
    <n v="162"/>
    <n v="2"/>
    <n v="37"/>
    <n v="2.1"/>
    <n v="0"/>
    <n v="0"/>
    <n v="0"/>
    <n v="0"/>
    <n v="0.317"/>
    <n v="-1.4999999999999999E-2"/>
    <n v="1E-4"/>
    <n v="-0.60519999999999996"/>
    <n v="0.49440000000000001"/>
    <n v="-3.2199999999999999E-2"/>
    <n v="144"/>
    <n v="1.95"/>
    <n v="261"/>
    <n v="2.15"/>
    <n v="0"/>
    <n v="0"/>
    <n v="2.6271"/>
    <n v="2889"/>
    <n v="0"/>
  </r>
  <r>
    <x v="0"/>
    <x v="0"/>
    <s v="SPXW"/>
    <x v="10"/>
    <x v="508"/>
    <s v="p"/>
    <n v="0"/>
    <n v="0"/>
    <n v="0"/>
    <n v="0"/>
    <n v="0"/>
    <n v="4"/>
    <n v="2.0499999999999998"/>
    <n v="54"/>
    <n v="2.15"/>
    <n v="0"/>
    <n v="0"/>
    <n v="0"/>
    <n v="0"/>
    <n v="0.31580000000000003"/>
    <n v="-1.52E-2"/>
    <n v="1E-4"/>
    <n v="-0.61070000000000002"/>
    <n v="0.50060000000000004"/>
    <n v="-3.2599999999999997E-2"/>
    <n v="45"/>
    <n v="2"/>
    <n v="43"/>
    <n v="2.15"/>
    <n v="0"/>
    <n v="0"/>
    <n v="0"/>
    <n v="100"/>
    <n v="0"/>
  </r>
  <r>
    <x v="0"/>
    <x v="0"/>
    <s v="SPXW"/>
    <x v="10"/>
    <x v="69"/>
    <s v="p"/>
    <n v="0"/>
    <n v="0"/>
    <n v="0"/>
    <n v="0"/>
    <n v="0"/>
    <n v="177"/>
    <n v="2.0499999999999998"/>
    <n v="221"/>
    <n v="2.2000000000000002"/>
    <n v="0"/>
    <n v="0"/>
    <n v="0"/>
    <n v="0"/>
    <n v="0.31519999999999998"/>
    <n v="-1.55E-2"/>
    <n v="1E-4"/>
    <n v="-0.62229999999999996"/>
    <n v="0.5101"/>
    <n v="-3.3399999999999999E-2"/>
    <n v="124"/>
    <n v="2"/>
    <n v="232"/>
    <n v="2.2000000000000002"/>
    <n v="0"/>
    <n v="0"/>
    <n v="0"/>
    <n v="150"/>
    <n v="0"/>
  </r>
  <r>
    <x v="0"/>
    <x v="0"/>
    <s v="SPXW"/>
    <x v="10"/>
    <x v="509"/>
    <s v="p"/>
    <n v="1.89"/>
    <n v="1.89"/>
    <n v="1.89"/>
    <n v="1.89"/>
    <n v="1"/>
    <n v="4"/>
    <n v="2.1"/>
    <n v="54"/>
    <n v="2.2000000000000002"/>
    <n v="0"/>
    <n v="0"/>
    <n v="0"/>
    <n v="0"/>
    <n v="0.31390000000000001"/>
    <n v="-1.5699999999999999E-2"/>
    <n v="1E-4"/>
    <n v="-0.62770000000000004"/>
    <n v="0.51639999999999997"/>
    <n v="-3.39E-2"/>
    <n v="50"/>
    <n v="2.0499999999999998"/>
    <n v="43"/>
    <n v="2.2000000000000002"/>
    <n v="0"/>
    <n v="0"/>
    <n v="1.89"/>
    <n v="73"/>
    <n v="0"/>
  </r>
  <r>
    <x v="0"/>
    <x v="0"/>
    <s v="SPXW"/>
    <x v="10"/>
    <x v="70"/>
    <s v="p"/>
    <n v="0"/>
    <n v="0"/>
    <n v="0"/>
    <n v="0"/>
    <n v="0"/>
    <n v="179"/>
    <n v="2.1"/>
    <n v="122"/>
    <n v="2.25"/>
    <n v="0"/>
    <n v="0"/>
    <n v="0"/>
    <n v="0"/>
    <n v="0.3125"/>
    <n v="-1.6E-2"/>
    <n v="1E-4"/>
    <n v="-0.63300000000000001"/>
    <n v="0.52259999999999995"/>
    <n v="-3.44E-2"/>
    <n v="126"/>
    <n v="2.0499999999999998"/>
    <n v="197"/>
    <n v="2.25"/>
    <n v="0"/>
    <n v="0"/>
    <n v="0"/>
    <n v="127"/>
    <n v="0"/>
  </r>
  <r>
    <x v="0"/>
    <x v="0"/>
    <s v="SPXW"/>
    <x v="10"/>
    <x v="71"/>
    <s v="p"/>
    <n v="1.99"/>
    <n v="2.44"/>
    <n v="1.8"/>
    <n v="2.17"/>
    <n v="24"/>
    <n v="73"/>
    <n v="2.15"/>
    <n v="94"/>
    <n v="2.25"/>
    <n v="0"/>
    <n v="0"/>
    <n v="0"/>
    <n v="0"/>
    <n v="0.31119999999999998"/>
    <n v="-1.6199999999999999E-2"/>
    <n v="1E-4"/>
    <n v="-0.63839999999999997"/>
    <n v="0.52880000000000005"/>
    <n v="-3.4799999999999998E-2"/>
    <n v="150"/>
    <n v="2.1"/>
    <n v="257"/>
    <n v="2.2999999999999998"/>
    <n v="0"/>
    <n v="0"/>
    <n v="1.925"/>
    <n v="187"/>
    <n v="0"/>
  </r>
  <r>
    <x v="0"/>
    <x v="0"/>
    <s v="SPXW"/>
    <x v="10"/>
    <x v="72"/>
    <s v="p"/>
    <n v="0"/>
    <n v="0"/>
    <n v="0"/>
    <n v="0"/>
    <n v="0"/>
    <n v="178"/>
    <n v="2.15"/>
    <n v="122"/>
    <n v="2.2999999999999998"/>
    <n v="0"/>
    <n v="0"/>
    <n v="0"/>
    <n v="0"/>
    <n v="0.30959999999999999"/>
    <n v="-1.6400000000000001E-2"/>
    <n v="1E-4"/>
    <n v="-0.64349999999999996"/>
    <n v="0.53539999999999999"/>
    <n v="-3.5400000000000001E-2"/>
    <n v="132"/>
    <n v="2.1"/>
    <n v="171"/>
    <n v="2.2999999999999998"/>
    <n v="0"/>
    <n v="0"/>
    <n v="0"/>
    <n v="101"/>
    <n v="0"/>
  </r>
  <r>
    <x v="0"/>
    <x v="0"/>
    <s v="SPXW"/>
    <x v="10"/>
    <x v="510"/>
    <s v="p"/>
    <n v="0"/>
    <n v="0"/>
    <n v="0"/>
    <n v="0"/>
    <n v="0"/>
    <n v="57"/>
    <n v="2.2000000000000002"/>
    <n v="237"/>
    <n v="2.35"/>
    <n v="0"/>
    <n v="0"/>
    <n v="0"/>
    <n v="0"/>
    <n v="0.30919999999999997"/>
    <n v="-1.6799999999999999E-2"/>
    <n v="1E-4"/>
    <n v="-0.65490000000000004"/>
    <n v="0.54479999999999995"/>
    <n v="-3.61E-2"/>
    <n v="83"/>
    <n v="2.15"/>
    <n v="267"/>
    <n v="2.35"/>
    <n v="0"/>
    <n v="0"/>
    <n v="0"/>
    <n v="69"/>
    <n v="0"/>
  </r>
  <r>
    <x v="0"/>
    <x v="0"/>
    <s v="SPXW"/>
    <x v="10"/>
    <x v="73"/>
    <s v="p"/>
    <n v="1.85"/>
    <n v="3.5"/>
    <n v="1.85"/>
    <n v="2.4500000000000002"/>
    <n v="76"/>
    <n v="363"/>
    <n v="2.2000000000000002"/>
    <n v="86"/>
    <n v="2.35"/>
    <n v="0"/>
    <n v="0"/>
    <n v="0"/>
    <n v="0"/>
    <n v="0.30690000000000001"/>
    <n v="-1.6899999999999998E-2"/>
    <n v="1E-4"/>
    <n v="-0.65390000000000004"/>
    <n v="0.54800000000000004"/>
    <n v="-3.6299999999999999E-2"/>
    <n v="101"/>
    <n v="2.2000000000000002"/>
    <n v="57"/>
    <n v="2.35"/>
    <n v="0"/>
    <n v="0"/>
    <n v="3.2896000000000001"/>
    <n v="204"/>
    <n v="0"/>
  </r>
  <r>
    <x v="0"/>
    <x v="0"/>
    <s v="SPXW"/>
    <x v="10"/>
    <x v="511"/>
    <s v="p"/>
    <n v="0"/>
    <n v="0"/>
    <n v="0"/>
    <n v="0"/>
    <n v="0"/>
    <n v="138"/>
    <n v="2.25"/>
    <n v="122"/>
    <n v="2.4"/>
    <n v="0"/>
    <n v="0"/>
    <n v="0"/>
    <n v="0"/>
    <n v="0.30649999999999999"/>
    <n v="-1.72E-2"/>
    <n v="1E-4"/>
    <n v="-0.66520000000000001"/>
    <n v="0.55740000000000001"/>
    <n v="-3.7100000000000001E-2"/>
    <n v="84"/>
    <n v="2.2000000000000002"/>
    <n v="204"/>
    <n v="2.4"/>
    <n v="0"/>
    <n v="0"/>
    <n v="0"/>
    <n v="53"/>
    <n v="0"/>
  </r>
  <r>
    <x v="0"/>
    <x v="0"/>
    <s v="SPXW"/>
    <x v="10"/>
    <x v="74"/>
    <s v="p"/>
    <n v="1.9"/>
    <n v="3.47"/>
    <n v="1.9"/>
    <n v="3.47"/>
    <n v="1289"/>
    <n v="334"/>
    <n v="2.25"/>
    <n v="88"/>
    <n v="2.4"/>
    <n v="0"/>
    <n v="0"/>
    <n v="0"/>
    <n v="0"/>
    <n v="0.30449999999999999"/>
    <n v="-1.7299999999999999E-2"/>
    <n v="1E-4"/>
    <n v="-0.6643"/>
    <n v="0.5605"/>
    <n v="-3.73E-2"/>
    <n v="150"/>
    <n v="2.25"/>
    <n v="252"/>
    <n v="2.4500000000000002"/>
    <n v="0"/>
    <n v="0"/>
    <n v="3.4497"/>
    <n v="5325"/>
    <n v="0"/>
  </r>
  <r>
    <x v="0"/>
    <x v="0"/>
    <s v="SPXW"/>
    <x v="10"/>
    <x v="512"/>
    <s v="p"/>
    <n v="3"/>
    <n v="3"/>
    <n v="3"/>
    <n v="3"/>
    <n v="3"/>
    <n v="129"/>
    <n v="2.2999999999999998"/>
    <n v="43"/>
    <n v="2.4500000000000002"/>
    <n v="0"/>
    <n v="0"/>
    <n v="0"/>
    <n v="0"/>
    <n v="0.30330000000000001"/>
    <n v="-1.77E-2"/>
    <n v="1E-4"/>
    <n v="-0.67520000000000002"/>
    <n v="0.57089999999999996"/>
    <n v="-3.8100000000000002E-2"/>
    <n v="84"/>
    <n v="2.25"/>
    <n v="159"/>
    <n v="2.4500000000000002"/>
    <n v="0"/>
    <n v="0"/>
    <n v="3"/>
    <n v="65"/>
    <n v="0"/>
  </r>
  <r>
    <x v="0"/>
    <x v="0"/>
    <s v="SPXW"/>
    <x v="10"/>
    <x v="75"/>
    <s v="p"/>
    <n v="2.57"/>
    <n v="2.57"/>
    <n v="2.57"/>
    <n v="2.57"/>
    <n v="1"/>
    <n v="132"/>
    <n v="2.35"/>
    <n v="110"/>
    <n v="2.5"/>
    <n v="0"/>
    <n v="0"/>
    <n v="0"/>
    <n v="0"/>
    <n v="0.30280000000000001"/>
    <n v="-1.8100000000000002E-2"/>
    <n v="1E-4"/>
    <n v="-0.68630000000000002"/>
    <n v="0.58050000000000002"/>
    <n v="-3.8899999999999997E-2"/>
    <n v="124"/>
    <n v="2.2999999999999998"/>
    <n v="288"/>
    <n v="2.5"/>
    <n v="0"/>
    <n v="0"/>
    <n v="2.57"/>
    <n v="135"/>
    <n v="0"/>
  </r>
  <r>
    <x v="0"/>
    <x v="0"/>
    <s v="SPXW"/>
    <x v="10"/>
    <x v="513"/>
    <s v="p"/>
    <n v="0"/>
    <n v="0"/>
    <n v="0"/>
    <n v="0"/>
    <n v="0"/>
    <n v="4"/>
    <n v="2.4"/>
    <n v="15"/>
    <n v="2.5"/>
    <n v="0"/>
    <n v="0"/>
    <n v="0"/>
    <n v="0"/>
    <n v="0.30059999999999998"/>
    <n v="-1.8200000000000001E-2"/>
    <n v="1E-4"/>
    <n v="-0.68530000000000002"/>
    <n v="0.58389999999999997"/>
    <n v="-3.9100000000000003E-2"/>
    <n v="53"/>
    <n v="2.35"/>
    <n v="192"/>
    <n v="2.5499999999999998"/>
    <n v="0"/>
    <n v="0"/>
    <n v="0"/>
    <n v="61"/>
    <n v="0"/>
  </r>
  <r>
    <x v="0"/>
    <x v="0"/>
    <s v="SPXW"/>
    <x v="10"/>
    <x v="76"/>
    <s v="p"/>
    <n v="2.1"/>
    <n v="2.1"/>
    <n v="2.1"/>
    <n v="2.1"/>
    <n v="4"/>
    <n v="165"/>
    <n v="2.4"/>
    <n v="43"/>
    <n v="2.5499999999999998"/>
    <n v="0"/>
    <n v="0"/>
    <n v="0"/>
    <n v="0"/>
    <n v="0.29959999999999998"/>
    <n v="-1.8599999999999998E-2"/>
    <n v="1E-4"/>
    <n v="-0.69599999999999995"/>
    <n v="0.59430000000000005"/>
    <n v="-0.04"/>
    <n v="124"/>
    <n v="2.35"/>
    <n v="159"/>
    <n v="2.5499999999999998"/>
    <n v="0"/>
    <n v="0"/>
    <n v="2.1"/>
    <n v="184"/>
    <n v="0"/>
  </r>
  <r>
    <x v="0"/>
    <x v="0"/>
    <s v="SPXW"/>
    <x v="10"/>
    <x v="77"/>
    <s v="p"/>
    <n v="2.0499999999999998"/>
    <n v="3.1"/>
    <n v="2.0499999999999998"/>
    <n v="3.1"/>
    <n v="12"/>
    <n v="162"/>
    <n v="2.4500000000000002"/>
    <n v="116"/>
    <n v="2.6"/>
    <n v="0"/>
    <n v="0"/>
    <n v="0"/>
    <n v="0"/>
    <n v="0.29870000000000002"/>
    <n v="-1.9E-2"/>
    <n v="1E-4"/>
    <n v="-0.70669999999999999"/>
    <n v="0.60460000000000003"/>
    <n v="-4.0800000000000003E-2"/>
    <n v="123"/>
    <n v="2.4"/>
    <n v="252"/>
    <n v="2.6"/>
    <n v="0"/>
    <n v="0"/>
    <n v="2.1392000000000002"/>
    <n v="227"/>
    <n v="0"/>
  </r>
  <r>
    <x v="0"/>
    <x v="0"/>
    <s v="SPXW"/>
    <x v="10"/>
    <x v="78"/>
    <s v="p"/>
    <n v="2.2999999999999998"/>
    <n v="3.56"/>
    <n v="2"/>
    <n v="2.52"/>
    <n v="25"/>
    <n v="73"/>
    <n v="2.5"/>
    <n v="45"/>
    <n v="2.6"/>
    <n v="0"/>
    <n v="0"/>
    <n v="0"/>
    <n v="0"/>
    <n v="0.29770000000000002"/>
    <n v="-1.9199999999999998E-2"/>
    <n v="1E-4"/>
    <n v="-0.71179999999999999"/>
    <n v="0.61070000000000002"/>
    <n v="-4.1300000000000003E-2"/>
    <n v="104"/>
    <n v="2.4500000000000002"/>
    <n v="288"/>
    <n v="2.65"/>
    <n v="0"/>
    <n v="0"/>
    <n v="2.8048000000000002"/>
    <n v="92"/>
    <n v="0"/>
  </r>
  <r>
    <x v="0"/>
    <x v="0"/>
    <s v="SPXW"/>
    <x v="10"/>
    <x v="514"/>
    <s v="p"/>
    <n v="0"/>
    <n v="0"/>
    <n v="0"/>
    <n v="0"/>
    <n v="0"/>
    <n v="277"/>
    <n v="2.5"/>
    <n v="42"/>
    <n v="2.65"/>
    <n v="0"/>
    <n v="0"/>
    <n v="0"/>
    <n v="0"/>
    <n v="0.29609999999999997"/>
    <n v="-1.9400000000000001E-2"/>
    <n v="1E-4"/>
    <n v="-0.71660000000000001"/>
    <n v="0.61770000000000003"/>
    <n v="-4.1799999999999997E-2"/>
    <n v="78"/>
    <n v="2.4500000000000002"/>
    <n v="41"/>
    <n v="2.65"/>
    <n v="0"/>
    <n v="0"/>
    <n v="0"/>
    <n v="99"/>
    <n v="0"/>
  </r>
  <r>
    <x v="0"/>
    <x v="0"/>
    <s v="SPXW"/>
    <x v="10"/>
    <x v="79"/>
    <s v="p"/>
    <n v="2.25"/>
    <n v="2.57"/>
    <n v="2.25"/>
    <n v="2.57"/>
    <n v="5"/>
    <n v="162"/>
    <n v="2.5499999999999998"/>
    <n v="70"/>
    <n v="2.7"/>
    <n v="0"/>
    <n v="0"/>
    <n v="0"/>
    <n v="0"/>
    <n v="0.29509999999999997"/>
    <n v="-1.9800000000000002E-2"/>
    <n v="1E-4"/>
    <n v="-0.72699999999999998"/>
    <n v="0.62819999999999998"/>
    <n v="-4.2700000000000002E-2"/>
    <n v="124"/>
    <n v="2.5"/>
    <n v="233"/>
    <n v="2.7"/>
    <n v="0"/>
    <n v="0"/>
    <n v="2.3140000000000001"/>
    <n v="279"/>
    <n v="0"/>
  </r>
  <r>
    <x v="0"/>
    <x v="0"/>
    <s v="SPXW"/>
    <x v="10"/>
    <x v="515"/>
    <s v="p"/>
    <n v="4"/>
    <n v="4"/>
    <n v="3.72"/>
    <n v="3.72"/>
    <n v="12"/>
    <n v="120"/>
    <n v="2.6"/>
    <n v="141"/>
    <n v="2.75"/>
    <n v="0"/>
    <n v="0"/>
    <n v="0"/>
    <n v="0"/>
    <n v="0.29420000000000002"/>
    <n v="-2.0199999999999999E-2"/>
    <n v="1E-4"/>
    <n v="-0.73750000000000004"/>
    <n v="0.63859999999999995"/>
    <n v="-4.3499999999999997E-2"/>
    <n v="107"/>
    <n v="2.5499999999999998"/>
    <n v="249"/>
    <n v="2.75"/>
    <n v="0"/>
    <n v="0"/>
    <n v="3.9767000000000001"/>
    <n v="163"/>
    <n v="0"/>
  </r>
  <r>
    <x v="0"/>
    <x v="0"/>
    <s v="SPXW"/>
    <x v="10"/>
    <x v="80"/>
    <s v="p"/>
    <n v="2.4700000000000002"/>
    <n v="3.97"/>
    <n v="2.15"/>
    <n v="2.66"/>
    <n v="268"/>
    <n v="72"/>
    <n v="2.65"/>
    <n v="3"/>
    <n v="2.75"/>
    <n v="0"/>
    <n v="0"/>
    <n v="0"/>
    <n v="0"/>
    <n v="0.2928"/>
    <n v="-2.0500000000000001E-2"/>
    <n v="1E-4"/>
    <n v="-0.74219999999999997"/>
    <n v="0.64559999999999995"/>
    <n v="-4.3999999999999997E-2"/>
    <n v="140"/>
    <n v="2.6"/>
    <n v="288"/>
    <n v="2.8"/>
    <n v="0"/>
    <n v="0"/>
    <n v="3.2477"/>
    <n v="3166"/>
    <n v="0"/>
  </r>
  <r>
    <x v="0"/>
    <x v="0"/>
    <s v="SPXW"/>
    <x v="10"/>
    <x v="516"/>
    <s v="p"/>
    <n v="4.3499999999999996"/>
    <n v="4.3499999999999996"/>
    <n v="4.3499999999999996"/>
    <n v="4.3499999999999996"/>
    <n v="1"/>
    <n v="237"/>
    <n v="2.65"/>
    <n v="15"/>
    <n v="2.8"/>
    <n v="0"/>
    <n v="0"/>
    <n v="0"/>
    <n v="0"/>
    <n v="0.29099999999999998"/>
    <n v="-2.07E-2"/>
    <n v="1E-4"/>
    <n v="-0.74660000000000004"/>
    <n v="0.6532"/>
    <n v="-4.4600000000000001E-2"/>
    <n v="41"/>
    <n v="2.65"/>
    <n v="40"/>
    <n v="2.8"/>
    <n v="0"/>
    <n v="0"/>
    <n v="4.3499999999999996"/>
    <n v="136"/>
    <n v="0"/>
  </r>
  <r>
    <x v="0"/>
    <x v="0"/>
    <s v="SPXW"/>
    <x v="10"/>
    <x v="81"/>
    <s v="p"/>
    <n v="2.5299999999999998"/>
    <n v="2.5299999999999998"/>
    <n v="2.25"/>
    <n v="2.2999999999999998"/>
    <n v="12"/>
    <n v="161"/>
    <n v="2.7"/>
    <n v="42"/>
    <n v="2.85"/>
    <n v="0"/>
    <n v="0"/>
    <n v="0"/>
    <n v="0"/>
    <n v="0.29020000000000001"/>
    <n v="-2.1100000000000001E-2"/>
    <n v="1E-4"/>
    <n v="-0.75700000000000001"/>
    <n v="0.66359999999999997"/>
    <n v="-4.5499999999999999E-2"/>
    <n v="122"/>
    <n v="2.65"/>
    <n v="169"/>
    <n v="2.85"/>
    <n v="0"/>
    <n v="0"/>
    <n v="2.4874999999999998"/>
    <n v="199"/>
    <n v="0"/>
  </r>
  <r>
    <x v="0"/>
    <x v="0"/>
    <s v="SPXW"/>
    <x v="10"/>
    <x v="517"/>
    <s v="p"/>
    <n v="0"/>
    <n v="0"/>
    <n v="0"/>
    <n v="0"/>
    <n v="0"/>
    <n v="107"/>
    <n v="2.75"/>
    <n v="57"/>
    <n v="2.9"/>
    <n v="0"/>
    <n v="0"/>
    <n v="0"/>
    <n v="0"/>
    <n v="0.28910000000000002"/>
    <n v="-2.1499999999999998E-2"/>
    <n v="1E-4"/>
    <n v="-0.7671"/>
    <n v="0.67430000000000001"/>
    <n v="-4.6399999999999997E-2"/>
    <n v="86"/>
    <n v="2.7"/>
    <n v="186"/>
    <n v="2.9"/>
    <n v="0"/>
    <n v="0"/>
    <n v="0"/>
    <n v="60"/>
    <n v="0"/>
  </r>
  <r>
    <x v="0"/>
    <x v="0"/>
    <s v="SPXW"/>
    <x v="10"/>
    <x v="82"/>
    <s v="p"/>
    <n v="0"/>
    <n v="0"/>
    <n v="0"/>
    <n v="0"/>
    <n v="0"/>
    <n v="90"/>
    <n v="2.8"/>
    <n v="93"/>
    <n v="2.95"/>
    <n v="0"/>
    <n v="0"/>
    <n v="0"/>
    <n v="0"/>
    <n v="0.28810000000000002"/>
    <n v="-2.1899999999999999E-2"/>
    <n v="1E-4"/>
    <n v="-0.7772"/>
    <n v="0.68489999999999995"/>
    <n v="-4.7300000000000002E-2"/>
    <n v="96"/>
    <n v="2.75"/>
    <n v="257"/>
    <n v="2.95"/>
    <n v="0"/>
    <n v="0"/>
    <n v="0"/>
    <n v="260"/>
    <n v="0"/>
  </r>
  <r>
    <x v="0"/>
    <x v="0"/>
    <s v="SPXW"/>
    <x v="10"/>
    <x v="83"/>
    <s v="p"/>
    <n v="3.8"/>
    <n v="3.8"/>
    <n v="3.6"/>
    <n v="3.8"/>
    <n v="4"/>
    <n v="84"/>
    <n v="2.85"/>
    <n v="99"/>
    <n v="3"/>
    <n v="0"/>
    <n v="0"/>
    <n v="0"/>
    <n v="0"/>
    <n v="0.28699999999999998"/>
    <n v="-2.23E-2"/>
    <n v="2.0000000000000001E-4"/>
    <n v="-0.78710000000000002"/>
    <n v="0.69569999999999999"/>
    <n v="-4.82E-2"/>
    <n v="112"/>
    <n v="2.8"/>
    <n v="254"/>
    <n v="3"/>
    <n v="0"/>
    <n v="0"/>
    <n v="3.7"/>
    <n v="266"/>
    <n v="0"/>
  </r>
  <r>
    <x v="0"/>
    <x v="0"/>
    <s v="SPXW"/>
    <x v="10"/>
    <x v="84"/>
    <s v="p"/>
    <n v="4.6500000000000004"/>
    <n v="4.6500000000000004"/>
    <n v="4.6500000000000004"/>
    <n v="4.6500000000000004"/>
    <n v="1"/>
    <n v="36"/>
    <n v="2.9"/>
    <n v="232"/>
    <n v="3.1"/>
    <n v="0"/>
    <n v="0"/>
    <n v="0"/>
    <n v="0"/>
    <n v="0.28549999999999998"/>
    <n v="-2.2599999999999999E-2"/>
    <n v="2.0000000000000001E-4"/>
    <n v="-0.79149999999999998"/>
    <n v="0.70299999999999996"/>
    <n v="-4.8800000000000003E-2"/>
    <n v="53"/>
    <n v="2.85"/>
    <n v="259"/>
    <n v="3.1"/>
    <n v="0"/>
    <n v="0"/>
    <n v="4.6500000000000004"/>
    <n v="195"/>
    <n v="0"/>
  </r>
  <r>
    <x v="0"/>
    <x v="0"/>
    <s v="SPXW"/>
    <x v="10"/>
    <x v="518"/>
    <s v="p"/>
    <n v="2.42"/>
    <n v="3.4"/>
    <n v="2.42"/>
    <n v="3.4"/>
    <n v="51"/>
    <n v="36"/>
    <n v="2.95"/>
    <n v="140"/>
    <n v="3.1"/>
    <n v="0"/>
    <n v="0"/>
    <n v="0"/>
    <n v="0"/>
    <n v="0.28420000000000001"/>
    <n v="-2.3E-2"/>
    <n v="2.0000000000000001E-4"/>
    <n v="-0.80110000000000003"/>
    <n v="0.71419999999999995"/>
    <n v="-4.9700000000000001E-2"/>
    <n v="56"/>
    <n v="2.9"/>
    <n v="190"/>
    <n v="3.1"/>
    <n v="0"/>
    <n v="0"/>
    <n v="3.3807999999999998"/>
    <n v="35"/>
    <n v="0"/>
  </r>
  <r>
    <x v="0"/>
    <x v="0"/>
    <s v="SPXW"/>
    <x v="10"/>
    <x v="85"/>
    <s v="p"/>
    <n v="4.32"/>
    <n v="4.32"/>
    <n v="4.32"/>
    <n v="4.32"/>
    <n v="10"/>
    <n v="296"/>
    <n v="2.95"/>
    <n v="15"/>
    <n v="3.1"/>
    <n v="0"/>
    <n v="0"/>
    <n v="0"/>
    <n v="0"/>
    <n v="0.28270000000000001"/>
    <n v="-2.3300000000000001E-2"/>
    <n v="2.0000000000000001E-4"/>
    <n v="-0.8054"/>
    <n v="0.72150000000000003"/>
    <n v="-5.0299999999999997E-2"/>
    <n v="56"/>
    <n v="2.95"/>
    <n v="182"/>
    <n v="3.2"/>
    <n v="0"/>
    <n v="0"/>
    <n v="4.32"/>
    <n v="191"/>
    <n v="0"/>
  </r>
  <r>
    <x v="0"/>
    <x v="0"/>
    <s v="SPXW"/>
    <x v="10"/>
    <x v="519"/>
    <s v="p"/>
    <n v="3.5"/>
    <n v="3.5"/>
    <n v="3.5"/>
    <n v="3.5"/>
    <n v="49"/>
    <n v="291"/>
    <n v="3"/>
    <n v="139"/>
    <n v="3.2"/>
    <n v="0"/>
    <n v="0"/>
    <n v="0"/>
    <n v="0"/>
    <n v="0.28189999999999998"/>
    <n v="-2.3900000000000001E-2"/>
    <n v="2.0000000000000001E-4"/>
    <n v="-0.82050000000000001"/>
    <n v="0.73580000000000001"/>
    <n v="-5.1499999999999997E-2"/>
    <n v="95"/>
    <n v="2.95"/>
    <n v="204"/>
    <n v="3.2"/>
    <n v="0"/>
    <n v="0"/>
    <n v="3.5"/>
    <n v="98"/>
    <n v="0"/>
  </r>
  <r>
    <x v="0"/>
    <x v="0"/>
    <s v="SPXW"/>
    <x v="10"/>
    <x v="86"/>
    <s v="p"/>
    <n v="2.5"/>
    <n v="4.62"/>
    <n v="2.5"/>
    <n v="3.1"/>
    <n v="20"/>
    <n v="332"/>
    <n v="3"/>
    <n v="79"/>
    <n v="3.2"/>
    <n v="0"/>
    <n v="0"/>
    <n v="0"/>
    <n v="0"/>
    <n v="0.27979999999999999"/>
    <n v="-2.4E-2"/>
    <n v="2.0000000000000001E-4"/>
    <n v="-0.81910000000000005"/>
    <n v="0.74019999999999997"/>
    <n v="-5.1900000000000002E-2"/>
    <n v="147"/>
    <n v="3"/>
    <n v="82"/>
    <n v="3.2"/>
    <n v="0"/>
    <n v="0"/>
    <n v="3.1465000000000001"/>
    <n v="938"/>
    <n v="0"/>
  </r>
  <r>
    <x v="0"/>
    <x v="0"/>
    <s v="SPXW"/>
    <x v="10"/>
    <x v="520"/>
    <s v="p"/>
    <n v="0"/>
    <n v="0"/>
    <n v="0"/>
    <n v="0"/>
    <n v="0"/>
    <n v="116"/>
    <n v="3.1"/>
    <n v="106"/>
    <n v="3.3"/>
    <n v="0"/>
    <n v="0"/>
    <n v="0"/>
    <n v="0"/>
    <n v="0.27960000000000002"/>
    <n v="-2.47E-2"/>
    <n v="2.0000000000000001E-4"/>
    <n v="-0.83940000000000003"/>
    <n v="0.75760000000000005"/>
    <n v="-5.3400000000000003E-2"/>
    <n v="76"/>
    <n v="3"/>
    <n v="189"/>
    <n v="3.3"/>
    <n v="0"/>
    <n v="0"/>
    <n v="0"/>
    <n v="54"/>
    <n v="0"/>
  </r>
  <r>
    <x v="0"/>
    <x v="0"/>
    <s v="SPXW"/>
    <x v="10"/>
    <x v="87"/>
    <s v="p"/>
    <n v="0"/>
    <n v="0"/>
    <n v="0"/>
    <n v="0"/>
    <n v="0"/>
    <n v="292"/>
    <n v="3.1"/>
    <n v="15"/>
    <n v="3.3"/>
    <n v="0"/>
    <n v="0"/>
    <n v="0"/>
    <n v="0"/>
    <n v="0.2777"/>
    <n v="-2.4899999999999999E-2"/>
    <n v="2.0000000000000001E-4"/>
    <n v="-0.83819999999999995"/>
    <n v="0.76170000000000004"/>
    <n v="-5.3699999999999998E-2"/>
    <n v="115"/>
    <n v="3.1"/>
    <n v="39"/>
    <n v="3.3"/>
    <n v="0"/>
    <n v="0"/>
    <n v="0"/>
    <n v="157"/>
    <n v="0"/>
  </r>
  <r>
    <x v="0"/>
    <x v="0"/>
    <s v="SPXW"/>
    <x v="10"/>
    <x v="521"/>
    <s v="p"/>
    <n v="2.52"/>
    <n v="2.52"/>
    <n v="2.52"/>
    <n v="2.52"/>
    <n v="1"/>
    <n v="226"/>
    <n v="3.2"/>
    <n v="116"/>
    <n v="3.4"/>
    <n v="0"/>
    <n v="0"/>
    <n v="0"/>
    <n v="0"/>
    <n v="0.27710000000000001"/>
    <n v="-2.5600000000000001E-2"/>
    <n v="2.0000000000000001E-4"/>
    <n v="-0.85799999999999998"/>
    <n v="0.77949999999999997"/>
    <n v="-5.5300000000000002E-2"/>
    <n v="76"/>
    <n v="3.1"/>
    <n v="176"/>
    <n v="3.4"/>
    <n v="0"/>
    <n v="0"/>
    <n v="2.52"/>
    <n v="51"/>
    <n v="0"/>
  </r>
  <r>
    <x v="0"/>
    <x v="0"/>
    <s v="SPXW"/>
    <x v="10"/>
    <x v="88"/>
    <s v="p"/>
    <n v="0"/>
    <n v="0"/>
    <n v="0"/>
    <n v="0"/>
    <n v="0"/>
    <n v="309"/>
    <n v="3.2"/>
    <n v="19"/>
    <n v="3.4"/>
    <n v="0"/>
    <n v="0"/>
    <n v="0"/>
    <n v="0"/>
    <n v="0.2752"/>
    <n v="-2.58E-2"/>
    <n v="2.0000000000000001E-4"/>
    <n v="-0.85670000000000002"/>
    <n v="0.78390000000000004"/>
    <n v="-5.5599999999999997E-2"/>
    <n v="111"/>
    <n v="3.2"/>
    <n v="252"/>
    <n v="3.5"/>
    <n v="0"/>
    <n v="0"/>
    <n v="0"/>
    <n v="154"/>
    <n v="0"/>
  </r>
  <r>
    <x v="0"/>
    <x v="0"/>
    <s v="SPXW"/>
    <x v="10"/>
    <x v="89"/>
    <s v="p"/>
    <n v="3.1"/>
    <n v="5.2"/>
    <n v="2.92"/>
    <n v="3.4"/>
    <n v="84"/>
    <n v="301"/>
    <n v="3.3"/>
    <n v="192"/>
    <n v="3.5"/>
    <n v="0"/>
    <n v="0"/>
    <n v="0"/>
    <n v="0"/>
    <n v="0.27460000000000001"/>
    <n v="-2.6499999999999999E-2"/>
    <n v="2.0000000000000001E-4"/>
    <n v="-0.87629999999999997"/>
    <n v="0.80159999999999998"/>
    <n v="-5.7200000000000001E-2"/>
    <n v="146"/>
    <n v="3.2"/>
    <n v="222"/>
    <n v="3.5"/>
    <n v="0"/>
    <n v="0"/>
    <n v="3.6046"/>
    <n v="643"/>
    <n v="0"/>
  </r>
  <r>
    <x v="0"/>
    <x v="0"/>
    <s v="SPXW"/>
    <x v="10"/>
    <x v="90"/>
    <s v="p"/>
    <n v="2.69"/>
    <n v="2.69"/>
    <n v="2.61"/>
    <n v="2.61"/>
    <n v="2"/>
    <n v="34"/>
    <n v="3.4"/>
    <n v="296"/>
    <n v="3.6"/>
    <n v="0"/>
    <n v="0"/>
    <n v="0"/>
    <n v="0"/>
    <n v="0.27410000000000001"/>
    <n v="-2.7199999999999998E-2"/>
    <n v="2.0000000000000001E-4"/>
    <n v="-0.89570000000000005"/>
    <n v="0.81940000000000002"/>
    <n v="-5.8799999999999998E-2"/>
    <n v="125"/>
    <n v="3.3"/>
    <n v="246"/>
    <n v="3.6"/>
    <n v="0"/>
    <n v="0"/>
    <n v="2.65"/>
    <n v="280"/>
    <n v="0"/>
  </r>
  <r>
    <x v="0"/>
    <x v="0"/>
    <s v="SPXW"/>
    <x v="10"/>
    <x v="522"/>
    <s v="p"/>
    <n v="2.74"/>
    <n v="2.74"/>
    <n v="2.74"/>
    <n v="2.74"/>
    <n v="1"/>
    <n v="243"/>
    <n v="3.4"/>
    <n v="48"/>
    <n v="3.6"/>
    <n v="0"/>
    <n v="0"/>
    <n v="0"/>
    <n v="0"/>
    <n v="0.27210000000000001"/>
    <n v="-2.7400000000000001E-2"/>
    <n v="2.0000000000000001E-4"/>
    <n v="-0.89419999999999999"/>
    <n v="0.82399999999999995"/>
    <n v="-5.91E-2"/>
    <n v="40"/>
    <n v="3.4"/>
    <n v="211"/>
    <n v="3.6"/>
    <n v="0"/>
    <n v="0"/>
    <n v="2.74"/>
    <n v="65"/>
    <n v="0"/>
  </r>
  <r>
    <x v="0"/>
    <x v="0"/>
    <s v="SPXW"/>
    <x v="10"/>
    <x v="91"/>
    <s v="p"/>
    <n v="4.5999999999999996"/>
    <n v="4.5999999999999996"/>
    <n v="3.4"/>
    <n v="3.6"/>
    <n v="26"/>
    <n v="136"/>
    <n v="3.5"/>
    <n v="203"/>
    <n v="3.7"/>
    <n v="0"/>
    <n v="0"/>
    <n v="0"/>
    <n v="0"/>
    <n v="0.27160000000000001"/>
    <n v="-2.81E-2"/>
    <n v="2.0000000000000001E-4"/>
    <n v="-0.91339999999999999"/>
    <n v="0.84179999999999999"/>
    <n v="-6.0699999999999997E-2"/>
    <n v="128"/>
    <n v="3.4"/>
    <n v="263"/>
    <n v="3.7"/>
    <n v="0"/>
    <n v="0"/>
    <n v="4.5153999999999996"/>
    <n v="313"/>
    <n v="0"/>
  </r>
  <r>
    <x v="0"/>
    <x v="0"/>
    <s v="SPXW"/>
    <x v="10"/>
    <x v="523"/>
    <s v="p"/>
    <n v="4.7"/>
    <n v="4.7"/>
    <n v="4.7"/>
    <n v="4.7"/>
    <n v="1"/>
    <n v="261"/>
    <n v="3.5"/>
    <n v="25"/>
    <n v="3.7"/>
    <n v="0"/>
    <n v="0"/>
    <n v="0"/>
    <n v="0"/>
    <n v="0.26950000000000002"/>
    <n v="-2.8299999999999999E-2"/>
    <n v="2.0000000000000001E-4"/>
    <n v="-0.91180000000000005"/>
    <n v="0.8468"/>
    <n v="-6.1100000000000002E-2"/>
    <n v="57"/>
    <n v="3.5"/>
    <n v="46"/>
    <n v="3.7"/>
    <n v="0"/>
    <n v="0"/>
    <n v="4.7"/>
    <n v="101"/>
    <n v="0"/>
  </r>
  <r>
    <x v="0"/>
    <x v="0"/>
    <s v="SPXW"/>
    <x v="10"/>
    <x v="92"/>
    <s v="p"/>
    <n v="3.3"/>
    <n v="5.43"/>
    <n v="2.82"/>
    <n v="3.59"/>
    <n v="97"/>
    <n v="298"/>
    <n v="3.6"/>
    <n v="150"/>
    <n v="3.8"/>
    <n v="0"/>
    <n v="0"/>
    <n v="0"/>
    <n v="0"/>
    <n v="0.26879999999999998"/>
    <n v="-2.9100000000000001E-2"/>
    <n v="2.0000000000000001E-4"/>
    <n v="-0.93059999999999998"/>
    <n v="0.86499999999999999"/>
    <n v="-6.2700000000000006E-2"/>
    <n v="143"/>
    <n v="3.5"/>
    <n v="222"/>
    <n v="3.8"/>
    <n v="0"/>
    <n v="0"/>
    <n v="4.0269000000000004"/>
    <n v="3189"/>
    <n v="0"/>
  </r>
  <r>
    <x v="0"/>
    <x v="0"/>
    <s v="SPXW"/>
    <x v="10"/>
    <x v="524"/>
    <s v="p"/>
    <n v="3.95"/>
    <n v="3.95"/>
    <n v="3.95"/>
    <n v="3.95"/>
    <n v="2"/>
    <n v="33"/>
    <n v="3.7"/>
    <n v="219"/>
    <n v="3.9"/>
    <n v="0"/>
    <n v="0"/>
    <n v="0"/>
    <n v="0"/>
    <n v="0.26819999999999999"/>
    <n v="-2.98E-2"/>
    <n v="2.0000000000000001E-4"/>
    <n v="-0.94930000000000003"/>
    <n v="0.88300000000000001"/>
    <n v="-6.4299999999999996E-2"/>
    <n v="82"/>
    <n v="3.6"/>
    <n v="210"/>
    <n v="3.9"/>
    <n v="0"/>
    <n v="0"/>
    <n v="3.95"/>
    <n v="107"/>
    <n v="0"/>
  </r>
  <r>
    <x v="0"/>
    <x v="0"/>
    <s v="SPXW"/>
    <x v="10"/>
    <x v="93"/>
    <s v="p"/>
    <n v="3.38"/>
    <n v="5.18"/>
    <n v="3.38"/>
    <n v="3.7"/>
    <n v="62"/>
    <n v="252"/>
    <n v="3.7"/>
    <n v="57"/>
    <n v="3.9"/>
    <n v="0"/>
    <n v="0"/>
    <n v="0"/>
    <n v="0"/>
    <n v="0.2661"/>
    <n v="-0.03"/>
    <n v="2.0000000000000001E-4"/>
    <n v="-0.9476"/>
    <n v="0.88829999999999998"/>
    <n v="-6.4699999999999994E-2"/>
    <n v="87"/>
    <n v="3.7"/>
    <n v="149"/>
    <n v="3.9"/>
    <n v="0"/>
    <n v="0"/>
    <n v="3.6979000000000002"/>
    <n v="138"/>
    <n v="0"/>
  </r>
  <r>
    <x v="0"/>
    <x v="0"/>
    <s v="SPXW"/>
    <x v="10"/>
    <x v="525"/>
    <s v="p"/>
    <n v="0"/>
    <n v="0"/>
    <n v="0"/>
    <n v="0"/>
    <n v="0"/>
    <n v="120"/>
    <n v="3.8"/>
    <n v="99"/>
    <n v="4"/>
    <n v="0"/>
    <n v="0"/>
    <n v="0"/>
    <n v="0"/>
    <n v="0.26529999999999998"/>
    <n v="-3.0800000000000001E-2"/>
    <n v="2.0000000000000001E-4"/>
    <n v="-0.96579999999999999"/>
    <n v="0.90700000000000003"/>
    <n v="-6.6400000000000001E-2"/>
    <n v="79"/>
    <n v="3.7"/>
    <n v="168"/>
    <n v="4"/>
    <n v="0"/>
    <n v="0"/>
    <n v="0"/>
    <n v="59"/>
    <n v="0"/>
  </r>
  <r>
    <x v="0"/>
    <x v="0"/>
    <s v="SPXW"/>
    <x v="10"/>
    <x v="94"/>
    <s v="p"/>
    <n v="4.0999999999999996"/>
    <n v="4.0999999999999996"/>
    <n v="4.0999999999999996"/>
    <n v="4.0999999999999996"/>
    <n v="26"/>
    <n v="81"/>
    <n v="3.9"/>
    <n v="209"/>
    <n v="4.0999999999999996"/>
    <n v="0"/>
    <n v="0"/>
    <n v="0"/>
    <n v="0"/>
    <n v="0.2641"/>
    <n v="-3.1199999999999999E-2"/>
    <n v="2.0000000000000001E-4"/>
    <n v="-0.97419999999999995"/>
    <n v="0.91839999999999999"/>
    <n v="-6.7400000000000002E-2"/>
    <n v="122"/>
    <n v="3.8"/>
    <n v="192"/>
    <n v="4.0999999999999996"/>
    <n v="0"/>
    <n v="0"/>
    <n v="4.0999999999999996"/>
    <n v="332"/>
    <n v="0"/>
  </r>
  <r>
    <x v="0"/>
    <x v="0"/>
    <s v="SPXW"/>
    <x v="10"/>
    <x v="95"/>
    <s v="p"/>
    <n v="3.5"/>
    <n v="4.5"/>
    <n v="3.5"/>
    <n v="4.5"/>
    <n v="45"/>
    <n v="277"/>
    <n v="3.9"/>
    <n v="84"/>
    <n v="4.0999999999999996"/>
    <n v="0"/>
    <n v="0"/>
    <n v="0"/>
    <n v="0"/>
    <n v="0.2626"/>
    <n v="-3.1699999999999999E-2"/>
    <n v="2.0000000000000001E-4"/>
    <n v="-0.98219999999999996"/>
    <n v="0.93079999999999996"/>
    <n v="-6.8500000000000005E-2"/>
    <n v="118"/>
    <n v="3.9"/>
    <n v="82"/>
    <n v="4.0999999999999996"/>
    <n v="0"/>
    <n v="0"/>
    <n v="4.4778000000000002"/>
    <n v="379"/>
    <n v="0"/>
  </r>
  <r>
    <x v="0"/>
    <x v="0"/>
    <s v="SPXW"/>
    <x v="10"/>
    <x v="96"/>
    <s v="p"/>
    <n v="4.3"/>
    <n v="4.3"/>
    <n v="4.3"/>
    <n v="4.3"/>
    <n v="2"/>
    <n v="160"/>
    <n v="4"/>
    <n v="81"/>
    <n v="4.2"/>
    <n v="0"/>
    <n v="0"/>
    <n v="0"/>
    <n v="0"/>
    <n v="0.26179999999999998"/>
    <n v="-3.2500000000000001E-2"/>
    <n v="2.0000000000000001E-4"/>
    <n v="-1"/>
    <n v="0.94940000000000002"/>
    <n v="-7.0199999999999999E-2"/>
    <n v="114"/>
    <n v="3.9"/>
    <n v="108"/>
    <n v="4.2"/>
    <n v="0"/>
    <n v="0"/>
    <n v="4.3"/>
    <n v="187"/>
    <n v="0"/>
  </r>
  <r>
    <x v="0"/>
    <x v="0"/>
    <s v="SPXW"/>
    <x v="10"/>
    <x v="526"/>
    <s v="p"/>
    <n v="4.47"/>
    <n v="4.47"/>
    <n v="4.47"/>
    <n v="4.47"/>
    <n v="54"/>
    <n v="132"/>
    <n v="4.0999999999999996"/>
    <n v="142"/>
    <n v="4.3"/>
    <n v="0"/>
    <n v="0"/>
    <n v="0"/>
    <n v="0"/>
    <n v="0.26090000000000002"/>
    <n v="-3.3300000000000003E-2"/>
    <n v="2.0000000000000001E-4"/>
    <n v="-1.0175000000000001"/>
    <n v="0.96819999999999995"/>
    <n v="-7.1900000000000006E-2"/>
    <n v="88"/>
    <n v="4"/>
    <n v="150"/>
    <n v="4.3"/>
    <n v="0"/>
    <n v="0"/>
    <n v="4.47"/>
    <n v="152"/>
    <n v="0"/>
  </r>
  <r>
    <x v="0"/>
    <x v="0"/>
    <s v="SPXW"/>
    <x v="10"/>
    <x v="97"/>
    <s v="p"/>
    <n v="3.76"/>
    <n v="6"/>
    <n v="3.37"/>
    <n v="5.59"/>
    <n v="30"/>
    <n v="263"/>
    <n v="4.0999999999999996"/>
    <n v="207"/>
    <n v="4.4000000000000004"/>
    <n v="0"/>
    <n v="0"/>
    <n v="0"/>
    <n v="0"/>
    <n v="0.2596"/>
    <n v="-3.3799999999999997E-2"/>
    <n v="2.0000000000000001E-4"/>
    <n v="-1.0255000000000001"/>
    <n v="0.97989999999999999"/>
    <n v="-7.2999999999999995E-2"/>
    <n v="116"/>
    <n v="4.0999999999999996"/>
    <n v="189"/>
    <n v="4.4000000000000004"/>
    <n v="0"/>
    <n v="0"/>
    <n v="5.66"/>
    <n v="172"/>
    <n v="0"/>
  </r>
  <r>
    <x v="0"/>
    <x v="0"/>
    <s v="SPXW"/>
    <x v="10"/>
    <x v="527"/>
    <s v="p"/>
    <n v="3.4"/>
    <n v="4.7"/>
    <n v="3.4"/>
    <n v="4.7"/>
    <n v="3"/>
    <n v="234"/>
    <n v="4.2"/>
    <n v="39"/>
    <n v="4.4000000000000004"/>
    <n v="0"/>
    <n v="0"/>
    <n v="0"/>
    <n v="0"/>
    <n v="0.25800000000000001"/>
    <n v="-3.4299999999999997E-2"/>
    <n v="2.0000000000000001E-4"/>
    <n v="-1.0330999999999999"/>
    <n v="0.99260000000000004"/>
    <n v="-7.4200000000000002E-2"/>
    <n v="53"/>
    <n v="4.2"/>
    <n v="59"/>
    <n v="4.4000000000000004"/>
    <n v="0"/>
    <n v="0"/>
    <n v="3.8332999999999999"/>
    <n v="2125"/>
    <n v="0"/>
  </r>
  <r>
    <x v="0"/>
    <x v="0"/>
    <s v="SPXW"/>
    <x v="10"/>
    <x v="98"/>
    <s v="p"/>
    <n v="3.71"/>
    <n v="6.5"/>
    <n v="3.33"/>
    <n v="4.25"/>
    <n v="82"/>
    <n v="267"/>
    <n v="4.3"/>
    <n v="82"/>
    <n v="4.5"/>
    <n v="0"/>
    <n v="0"/>
    <n v="0"/>
    <n v="0"/>
    <n v="0.2571"/>
    <n v="-3.5099999999999999E-2"/>
    <n v="2.0000000000000001E-4"/>
    <n v="-1.0501"/>
    <n v="1.0112000000000001"/>
    <n v="-7.5899999999999995E-2"/>
    <n v="120"/>
    <n v="4.2"/>
    <n v="79"/>
    <n v="4.5"/>
    <n v="0"/>
    <n v="0"/>
    <n v="4.5101000000000004"/>
    <n v="3559"/>
    <n v="0"/>
  </r>
  <r>
    <x v="0"/>
    <x v="0"/>
    <s v="SPXW"/>
    <x v="10"/>
    <x v="528"/>
    <s v="p"/>
    <n v="4.9000000000000004"/>
    <n v="4.9000000000000004"/>
    <n v="4.9000000000000004"/>
    <n v="4.9000000000000004"/>
    <n v="1"/>
    <n v="174"/>
    <n v="4.4000000000000004"/>
    <n v="78"/>
    <n v="4.5999999999999996"/>
    <n v="0"/>
    <n v="0"/>
    <n v="0"/>
    <n v="0"/>
    <n v="0.25609999999999999"/>
    <n v="-3.5900000000000001E-2"/>
    <n v="2.0000000000000001E-4"/>
    <n v="-1.0669999999999999"/>
    <n v="1.0299"/>
    <n v="-7.7700000000000005E-2"/>
    <n v="69"/>
    <n v="4.3"/>
    <n v="65"/>
    <n v="4.5999999999999996"/>
    <n v="0"/>
    <n v="0"/>
    <n v="4.9000000000000004"/>
    <n v="128"/>
    <n v="0"/>
  </r>
  <r>
    <x v="0"/>
    <x v="0"/>
    <s v="SPXW"/>
    <x v="10"/>
    <x v="99"/>
    <s v="p"/>
    <n v="3.77"/>
    <n v="5"/>
    <n v="3.4"/>
    <n v="4.5999999999999996"/>
    <n v="20"/>
    <n v="119"/>
    <n v="4.5"/>
    <n v="107"/>
    <n v="4.7"/>
    <n v="0"/>
    <n v="0"/>
    <n v="0"/>
    <n v="0"/>
    <n v="0.25530000000000003"/>
    <n v="-3.6700000000000003E-2"/>
    <n v="2.9999999999999997E-4"/>
    <n v="-1.0838000000000001"/>
    <n v="1.0481"/>
    <n v="-7.9500000000000001E-2"/>
    <n v="99"/>
    <n v="4.4000000000000004"/>
    <n v="153"/>
    <n v="4.7"/>
    <n v="0"/>
    <n v="0"/>
    <n v="4.25"/>
    <n v="156"/>
    <n v="0"/>
  </r>
  <r>
    <x v="0"/>
    <x v="0"/>
    <s v="SPXW"/>
    <x v="10"/>
    <x v="529"/>
    <s v="p"/>
    <n v="3.83"/>
    <n v="3.83"/>
    <n v="3.83"/>
    <n v="3.83"/>
    <n v="1"/>
    <n v="77"/>
    <n v="4.5999999999999996"/>
    <n v="106"/>
    <n v="4.8"/>
    <n v="0"/>
    <n v="0"/>
    <n v="0"/>
    <n v="0"/>
    <n v="0.25430000000000003"/>
    <n v="-3.7499999999999999E-2"/>
    <n v="2.9999999999999997E-4"/>
    <n v="-1.1003000000000001"/>
    <n v="1.0666"/>
    <n v="-8.1299999999999997E-2"/>
    <n v="72"/>
    <n v="4.5"/>
    <n v="123"/>
    <n v="4.8"/>
    <n v="0"/>
    <n v="0"/>
    <n v="3.83"/>
    <n v="58"/>
    <n v="0"/>
  </r>
  <r>
    <x v="0"/>
    <x v="0"/>
    <s v="SPXW"/>
    <x v="10"/>
    <x v="100"/>
    <s v="p"/>
    <n v="4.17"/>
    <n v="6.21"/>
    <n v="3.7"/>
    <n v="6.21"/>
    <n v="19"/>
    <n v="229"/>
    <n v="4.5999999999999996"/>
    <n v="107"/>
    <n v="4.9000000000000004"/>
    <n v="0"/>
    <n v="0"/>
    <n v="0"/>
    <n v="0"/>
    <n v="0.25280000000000002"/>
    <n v="-3.8100000000000002E-2"/>
    <n v="2.9999999999999997E-4"/>
    <n v="-1.1073"/>
    <n v="1.0790999999999999"/>
    <n v="-8.2400000000000001E-2"/>
    <n v="95"/>
    <n v="4.5999999999999996"/>
    <n v="165"/>
    <n v="4.9000000000000004"/>
    <n v="0"/>
    <n v="0"/>
    <n v="5.5179"/>
    <n v="342"/>
    <n v="0"/>
  </r>
  <r>
    <x v="0"/>
    <x v="0"/>
    <s v="SPXW"/>
    <x v="10"/>
    <x v="101"/>
    <s v="p"/>
    <n v="4.08"/>
    <n v="5.99"/>
    <n v="3.6"/>
    <n v="5.99"/>
    <n v="28"/>
    <n v="281"/>
    <n v="4.7"/>
    <n v="141"/>
    <n v="5"/>
    <n v="0"/>
    <n v="0"/>
    <n v="0"/>
    <n v="0"/>
    <n v="0.25169999999999998"/>
    <n v="-3.8899999999999997E-2"/>
    <n v="2.9999999999999997E-4"/>
    <n v="-1.1234"/>
    <n v="1.0976999999999999"/>
    <n v="-8.4199999999999997E-2"/>
    <n v="110"/>
    <n v="4.7"/>
    <n v="183"/>
    <n v="5"/>
    <n v="0"/>
    <n v="0"/>
    <n v="5.3903999999999996"/>
    <n v="485"/>
    <n v="0"/>
  </r>
  <r>
    <x v="0"/>
    <x v="0"/>
    <s v="SPXW"/>
    <x v="10"/>
    <x v="102"/>
    <s v="p"/>
    <n v="4.2"/>
    <n v="4.2"/>
    <n v="4.2"/>
    <n v="4.2"/>
    <n v="2"/>
    <n v="238"/>
    <n v="4.8"/>
    <n v="106"/>
    <n v="5.0999999999999996"/>
    <n v="0"/>
    <n v="0"/>
    <n v="0"/>
    <n v="0"/>
    <n v="0.25059999999999999"/>
    <n v="-3.9699999999999999E-2"/>
    <n v="2.9999999999999997E-4"/>
    <n v="-1.1393"/>
    <n v="1.1164000000000001"/>
    <n v="-8.5999999999999993E-2"/>
    <n v="88"/>
    <n v="4.8"/>
    <n v="165"/>
    <n v="5.0999999999999996"/>
    <n v="0"/>
    <n v="0"/>
    <n v="4.2"/>
    <n v="454"/>
    <n v="0"/>
  </r>
  <r>
    <x v="0"/>
    <x v="0"/>
    <s v="SPXW"/>
    <x v="10"/>
    <x v="315"/>
    <s v="p"/>
    <n v="5"/>
    <n v="5"/>
    <n v="5"/>
    <n v="5"/>
    <n v="2"/>
    <n v="179"/>
    <n v="4.9000000000000004"/>
    <n v="73"/>
    <n v="5.2"/>
    <n v="0"/>
    <n v="0"/>
    <n v="0"/>
    <n v="0"/>
    <n v="0.24959999999999999"/>
    <n v="-4.0599999999999997E-2"/>
    <n v="2.9999999999999997E-4"/>
    <n v="-1.155"/>
    <n v="1.1351"/>
    <n v="-8.7900000000000006E-2"/>
    <n v="52"/>
    <n v="4.9000000000000004"/>
    <n v="129"/>
    <n v="5.2"/>
    <n v="0"/>
    <n v="0"/>
    <n v="5"/>
    <n v="394"/>
    <n v="0"/>
  </r>
  <r>
    <x v="0"/>
    <x v="0"/>
    <s v="SPXW"/>
    <x v="10"/>
    <x v="103"/>
    <s v="p"/>
    <n v="4.24"/>
    <n v="5.0999999999999996"/>
    <n v="4.24"/>
    <n v="5.0999999999999996"/>
    <n v="3"/>
    <n v="208"/>
    <n v="5"/>
    <n v="74"/>
    <n v="5.3"/>
    <n v="0"/>
    <n v="0"/>
    <n v="0"/>
    <n v="0"/>
    <n v="0.2485"/>
    <n v="-4.1399999999999999E-2"/>
    <n v="2.9999999999999997E-4"/>
    <n v="-1.1705000000000001"/>
    <n v="1.1538999999999999"/>
    <n v="-8.9700000000000002E-2"/>
    <n v="87"/>
    <n v="5"/>
    <n v="162"/>
    <n v="5.3"/>
    <n v="0"/>
    <n v="0"/>
    <n v="4.8132999999999999"/>
    <n v="347"/>
    <n v="0"/>
  </r>
  <r>
    <x v="0"/>
    <x v="0"/>
    <s v="SPXW"/>
    <x v="10"/>
    <x v="316"/>
    <s v="p"/>
    <n v="7.22"/>
    <n v="7.22"/>
    <n v="7.22"/>
    <n v="7.22"/>
    <n v="1"/>
    <n v="142"/>
    <n v="5.0999999999999996"/>
    <n v="75"/>
    <n v="5.4"/>
    <n v="0"/>
    <n v="0"/>
    <n v="0"/>
    <n v="0"/>
    <n v="0.24729999999999999"/>
    <n v="-4.2299999999999997E-2"/>
    <n v="2.9999999999999997E-4"/>
    <n v="-1.1858"/>
    <n v="1.1729000000000001"/>
    <n v="-9.1499999999999998E-2"/>
    <n v="61"/>
    <n v="5.0999999999999996"/>
    <n v="122"/>
    <n v="5.4"/>
    <n v="0"/>
    <n v="0"/>
    <n v="7.22"/>
    <n v="170"/>
    <n v="0"/>
  </r>
  <r>
    <x v="0"/>
    <x v="0"/>
    <s v="SPXW"/>
    <x v="10"/>
    <x v="104"/>
    <s v="p"/>
    <n v="4.47"/>
    <n v="7.76"/>
    <n v="3.9"/>
    <n v="5.19"/>
    <n v="240"/>
    <n v="83"/>
    <n v="5.3"/>
    <n v="105"/>
    <n v="5.5"/>
    <n v="0"/>
    <n v="0"/>
    <n v="0"/>
    <n v="0"/>
    <n v="0.24610000000000001"/>
    <n v="-4.3200000000000002E-2"/>
    <n v="2.9999999999999997E-4"/>
    <n v="-1.2008000000000001"/>
    <n v="1.1922999999999999"/>
    <n v="-9.3399999999999997E-2"/>
    <n v="102"/>
    <n v="5.2"/>
    <n v="165"/>
    <n v="5.5"/>
    <n v="0"/>
    <n v="0"/>
    <n v="6.7271000000000001"/>
    <n v="4101"/>
    <n v="0"/>
  </r>
  <r>
    <x v="0"/>
    <x v="0"/>
    <s v="SPXW"/>
    <x v="10"/>
    <x v="317"/>
    <s v="p"/>
    <n v="3.96"/>
    <n v="5.9"/>
    <n v="3.96"/>
    <n v="5.3"/>
    <n v="4"/>
    <n v="60"/>
    <n v="5.4"/>
    <n v="49"/>
    <n v="5.6"/>
    <n v="0"/>
    <n v="0"/>
    <n v="0"/>
    <n v="0"/>
    <n v="0.24540000000000001"/>
    <n v="-4.4299999999999999E-2"/>
    <n v="2.9999999999999997E-4"/>
    <n v="-1.2243999999999999"/>
    <n v="1.2171000000000001"/>
    <n v="-9.5899999999999999E-2"/>
    <n v="60"/>
    <n v="5.3"/>
    <n v="58"/>
    <n v="5.6"/>
    <n v="0"/>
    <n v="0"/>
    <n v="5.1150000000000002"/>
    <n v="294"/>
    <n v="0"/>
  </r>
  <r>
    <x v="0"/>
    <x v="0"/>
    <s v="SPXW"/>
    <x v="10"/>
    <x v="105"/>
    <s v="p"/>
    <n v="4.5199999999999996"/>
    <n v="7.3"/>
    <n v="4.38"/>
    <n v="5.6"/>
    <n v="16"/>
    <n v="156"/>
    <n v="5.5"/>
    <n v="21"/>
    <n v="5.7"/>
    <n v="0"/>
    <n v="0"/>
    <n v="0"/>
    <n v="0"/>
    <n v="0.24410000000000001"/>
    <n v="-4.5199999999999997E-2"/>
    <n v="2.9999999999999997E-4"/>
    <n v="-1.2388999999999999"/>
    <n v="1.2370000000000001"/>
    <n v="-9.7799999999999998E-2"/>
    <n v="68"/>
    <n v="5.4"/>
    <n v="69"/>
    <n v="5.7"/>
    <n v="0"/>
    <n v="0"/>
    <n v="5.4438000000000004"/>
    <n v="501"/>
    <n v="0"/>
  </r>
  <r>
    <x v="0"/>
    <x v="0"/>
    <s v="SPXW"/>
    <x v="10"/>
    <x v="106"/>
    <s v="p"/>
    <n v="4.68"/>
    <n v="5.8"/>
    <n v="4.0999999999999996"/>
    <n v="5.8"/>
    <n v="14"/>
    <n v="128"/>
    <n v="5.6"/>
    <n v="2"/>
    <n v="5.8"/>
    <n v="0"/>
    <n v="0"/>
    <n v="0"/>
    <n v="0"/>
    <n v="0.24299999999999999"/>
    <n v="-4.6100000000000002E-2"/>
    <n v="2.9999999999999997E-4"/>
    <n v="-1.2536"/>
    <n v="1.2559"/>
    <n v="-9.9699999999999997E-2"/>
    <n v="45"/>
    <n v="5.5"/>
    <n v="27"/>
    <n v="5.8"/>
    <n v="0"/>
    <n v="0"/>
    <n v="5.3129"/>
    <n v="367"/>
    <n v="0"/>
  </r>
  <r>
    <x v="0"/>
    <x v="0"/>
    <s v="SPXW"/>
    <x v="10"/>
    <x v="107"/>
    <s v="p"/>
    <n v="4.5"/>
    <n v="5.8"/>
    <n v="4.2"/>
    <n v="5.8"/>
    <n v="15"/>
    <n v="156"/>
    <n v="5.7"/>
    <n v="96"/>
    <n v="6"/>
    <n v="0"/>
    <n v="0"/>
    <n v="0"/>
    <n v="0"/>
    <n v="0.24179999999999999"/>
    <n v="-4.6899999999999997E-2"/>
    <n v="2.9999999999999997E-4"/>
    <n v="-1.2678"/>
    <n v="1.2755000000000001"/>
    <n v="-0.1017"/>
    <n v="73"/>
    <n v="5.6"/>
    <n v="26"/>
    <n v="5.9"/>
    <n v="0"/>
    <n v="0"/>
    <n v="4.91"/>
    <n v="411"/>
    <n v="0"/>
  </r>
  <r>
    <x v="0"/>
    <x v="0"/>
    <s v="SPXW"/>
    <x v="10"/>
    <x v="108"/>
    <s v="p"/>
    <n v="4.3"/>
    <n v="8.6999999999999993"/>
    <n v="4.3"/>
    <n v="5.92"/>
    <n v="37"/>
    <n v="162"/>
    <n v="5.8"/>
    <n v="52"/>
    <n v="6.1"/>
    <n v="0"/>
    <n v="0"/>
    <n v="0"/>
    <n v="0"/>
    <n v="0.2409"/>
    <n v="-4.8099999999999997E-2"/>
    <n v="2.9999999999999997E-4"/>
    <n v="-1.2902"/>
    <n v="1.3008999999999999"/>
    <n v="-0.1043"/>
    <n v="65"/>
    <n v="5.8"/>
    <n v="72"/>
    <n v="6.1"/>
    <n v="0"/>
    <n v="0"/>
    <n v="6.8677999999999999"/>
    <n v="448"/>
    <n v="0"/>
  </r>
  <r>
    <x v="0"/>
    <x v="0"/>
    <s v="SPXW"/>
    <x v="10"/>
    <x v="109"/>
    <s v="p"/>
    <n v="4.7"/>
    <n v="6.5"/>
    <n v="4.7"/>
    <n v="6.5"/>
    <n v="6"/>
    <n v="84"/>
    <n v="6"/>
    <n v="21"/>
    <n v="6.2"/>
    <n v="0"/>
    <n v="0"/>
    <n v="0"/>
    <n v="0"/>
    <n v="0.24"/>
    <n v="-4.9299999999999997E-2"/>
    <n v="2.9999999999999997E-4"/>
    <n v="-1.3123"/>
    <n v="1.3264"/>
    <n v="-0.1069"/>
    <n v="66"/>
    <n v="5.9"/>
    <n v="67"/>
    <n v="6.2"/>
    <n v="0"/>
    <n v="0"/>
    <n v="5"/>
    <n v="147"/>
    <n v="0"/>
  </r>
  <r>
    <x v="0"/>
    <x v="0"/>
    <s v="SPXW"/>
    <x v="10"/>
    <x v="110"/>
    <s v="p"/>
    <n v="4.97"/>
    <n v="6.62"/>
    <n v="4.83"/>
    <n v="6.3"/>
    <n v="70"/>
    <n v="147"/>
    <n v="6.1"/>
    <n v="2"/>
    <n v="6.3"/>
    <n v="0"/>
    <n v="0"/>
    <n v="0"/>
    <n v="0"/>
    <n v="0.23860000000000001"/>
    <n v="-5.0299999999999997E-2"/>
    <n v="4.0000000000000002E-4"/>
    <n v="-1.3254999999999999"/>
    <n v="1.3468"/>
    <n v="-0.109"/>
    <n v="53"/>
    <n v="6"/>
    <n v="37"/>
    <n v="6.3"/>
    <n v="0"/>
    <n v="0"/>
    <n v="6.4644000000000004"/>
    <n v="136"/>
    <n v="0"/>
  </r>
  <r>
    <x v="0"/>
    <x v="0"/>
    <s v="SPXW"/>
    <x v="10"/>
    <x v="111"/>
    <s v="p"/>
    <n v="5.32"/>
    <n v="8.6999999999999993"/>
    <n v="4.5999999999999996"/>
    <n v="6.54"/>
    <n v="8"/>
    <n v="133"/>
    <n v="6.2"/>
    <n v="46"/>
    <n v="6.5"/>
    <n v="0"/>
    <n v="0"/>
    <n v="0"/>
    <n v="0"/>
    <n v="0.23780000000000001"/>
    <n v="-5.1400000000000001E-2"/>
    <n v="4.0000000000000002E-4"/>
    <n v="-1.3472"/>
    <n v="1.3714999999999999"/>
    <n v="-0.1116"/>
    <n v="44"/>
    <n v="6.2"/>
    <n v="67"/>
    <n v="6.5"/>
    <n v="0"/>
    <n v="0"/>
    <n v="6.4313000000000002"/>
    <n v="119"/>
    <n v="0"/>
  </r>
  <r>
    <x v="0"/>
    <x v="0"/>
    <s v="SPXW"/>
    <x v="10"/>
    <x v="112"/>
    <s v="p"/>
    <n v="4.9000000000000004"/>
    <n v="8.17"/>
    <n v="4.9000000000000004"/>
    <n v="6.9"/>
    <n v="7"/>
    <n v="53"/>
    <n v="6.4"/>
    <n v="2"/>
    <n v="6.6"/>
    <n v="0"/>
    <n v="0"/>
    <n v="0"/>
    <n v="0"/>
    <n v="0.23680000000000001"/>
    <n v="-5.2699999999999997E-2"/>
    <n v="4.0000000000000002E-4"/>
    <n v="-1.3683000000000001"/>
    <n v="1.3968"/>
    <n v="-0.1143"/>
    <n v="42"/>
    <n v="6.3"/>
    <n v="26"/>
    <n v="6.6"/>
    <n v="0"/>
    <n v="0"/>
    <n v="7.4985999999999997"/>
    <n v="113"/>
    <n v="0"/>
  </r>
  <r>
    <x v="0"/>
    <x v="0"/>
    <s v="SPXW"/>
    <x v="10"/>
    <x v="113"/>
    <s v="p"/>
    <n v="5.32"/>
    <n v="9.4"/>
    <n v="4.8"/>
    <n v="6.57"/>
    <n v="902"/>
    <n v="175"/>
    <n v="6.5"/>
    <n v="70"/>
    <n v="6.8"/>
    <n v="0"/>
    <n v="0"/>
    <n v="0"/>
    <n v="0"/>
    <n v="0.23580000000000001"/>
    <n v="-5.3900000000000003E-2"/>
    <n v="4.0000000000000002E-4"/>
    <n v="-1.3891"/>
    <n v="1.4219999999999999"/>
    <n v="-0.11700000000000001"/>
    <n v="83"/>
    <n v="6.4"/>
    <n v="85"/>
    <n v="6.8"/>
    <n v="0"/>
    <n v="0"/>
    <n v="7.4576000000000002"/>
    <n v="5667"/>
    <n v="0"/>
  </r>
  <r>
    <x v="0"/>
    <x v="0"/>
    <s v="SPXW"/>
    <x v="10"/>
    <x v="114"/>
    <s v="p"/>
    <n v="9.31"/>
    <n v="9.31"/>
    <n v="7.2"/>
    <n v="7.2"/>
    <n v="2"/>
    <n v="53"/>
    <n v="6.7"/>
    <n v="2"/>
    <n v="6.9"/>
    <n v="0"/>
    <n v="0"/>
    <n v="0"/>
    <n v="0"/>
    <n v="0.23469999999999999"/>
    <n v="-5.5100000000000003E-2"/>
    <n v="4.0000000000000002E-4"/>
    <n v="-1.4095"/>
    <n v="1.4471000000000001"/>
    <n v="-0.1198"/>
    <n v="37"/>
    <n v="6.6"/>
    <n v="26"/>
    <n v="6.9"/>
    <n v="0"/>
    <n v="0"/>
    <n v="8.2550000000000008"/>
    <n v="98"/>
    <n v="0"/>
  </r>
  <r>
    <x v="0"/>
    <x v="0"/>
    <s v="SPXW"/>
    <x v="10"/>
    <x v="115"/>
    <s v="p"/>
    <n v="9.35"/>
    <n v="9.35"/>
    <n v="9.35"/>
    <n v="9.35"/>
    <n v="5"/>
    <n v="152"/>
    <n v="6.8"/>
    <n v="45"/>
    <n v="7.1"/>
    <n v="0"/>
    <n v="0"/>
    <n v="0"/>
    <n v="0"/>
    <n v="0.23369999999999999"/>
    <n v="-5.6399999999999999E-2"/>
    <n v="4.0000000000000002E-4"/>
    <n v="-1.4296"/>
    <n v="1.4721"/>
    <n v="-0.1225"/>
    <n v="67"/>
    <n v="6.7"/>
    <n v="70"/>
    <n v="7.1"/>
    <n v="0"/>
    <n v="0"/>
    <n v="9.35"/>
    <n v="128"/>
    <n v="0"/>
  </r>
  <r>
    <x v="0"/>
    <x v="0"/>
    <s v="SPXW"/>
    <x v="10"/>
    <x v="116"/>
    <s v="p"/>
    <n v="5.55"/>
    <n v="9.65"/>
    <n v="5"/>
    <n v="7.7"/>
    <n v="29"/>
    <n v="115"/>
    <n v="7"/>
    <n v="2"/>
    <n v="7.2"/>
    <n v="0"/>
    <n v="0"/>
    <n v="0"/>
    <n v="0"/>
    <n v="0.2326"/>
    <n v="-5.7599999999999998E-2"/>
    <n v="4.0000000000000002E-4"/>
    <n v="-1.4495"/>
    <n v="1.4971000000000001"/>
    <n v="-0.12520000000000001"/>
    <n v="37"/>
    <n v="6.9"/>
    <n v="26"/>
    <n v="7.2"/>
    <n v="0"/>
    <n v="0"/>
    <n v="6.1283000000000003"/>
    <n v="582"/>
    <n v="0"/>
  </r>
  <r>
    <x v="0"/>
    <x v="0"/>
    <s v="SPXW"/>
    <x v="10"/>
    <x v="117"/>
    <s v="p"/>
    <n v="6.07"/>
    <n v="8.3000000000000007"/>
    <n v="5.45"/>
    <n v="6.9"/>
    <n v="17"/>
    <n v="46"/>
    <n v="7.2"/>
    <n v="44"/>
    <n v="7.4"/>
    <n v="0"/>
    <n v="0"/>
    <n v="0"/>
    <n v="0"/>
    <n v="0.23139999999999999"/>
    <n v="-5.8900000000000001E-2"/>
    <n v="4.0000000000000002E-4"/>
    <n v="-1.4686999999999999"/>
    <n v="1.5226999999999999"/>
    <n v="-0.128"/>
    <n v="43"/>
    <n v="7.1"/>
    <n v="65"/>
    <n v="7.4"/>
    <n v="0"/>
    <n v="0"/>
    <n v="7.0876000000000001"/>
    <n v="212"/>
    <n v="0"/>
  </r>
  <r>
    <x v="0"/>
    <x v="0"/>
    <s v="SPXW"/>
    <x v="10"/>
    <x v="118"/>
    <s v="p"/>
    <n v="6.28"/>
    <n v="10.78"/>
    <n v="5.09"/>
    <n v="9.43"/>
    <n v="35"/>
    <n v="151"/>
    <n v="7.3"/>
    <n v="67"/>
    <n v="7.6"/>
    <n v="0"/>
    <n v="0"/>
    <n v="0"/>
    <n v="0"/>
    <n v="0.2303"/>
    <n v="-6.0199999999999997E-2"/>
    <n v="4.0000000000000002E-4"/>
    <n v="-1.488"/>
    <n v="1.5475000000000001"/>
    <n v="-0.13070000000000001"/>
    <n v="81"/>
    <n v="7.2"/>
    <n v="77"/>
    <n v="7.6"/>
    <n v="0"/>
    <n v="0"/>
    <n v="6.3977000000000004"/>
    <n v="817"/>
    <n v="0"/>
  </r>
  <r>
    <x v="0"/>
    <x v="0"/>
    <s v="SPXW"/>
    <x v="10"/>
    <x v="119"/>
    <s v="p"/>
    <n v="5.6"/>
    <n v="10.15"/>
    <n v="5.6"/>
    <n v="7.25"/>
    <n v="12"/>
    <n v="138"/>
    <n v="7.5"/>
    <n v="1"/>
    <n v="7.7"/>
    <n v="0"/>
    <n v="0"/>
    <n v="0"/>
    <n v="0"/>
    <n v="0.22950000000000001"/>
    <n v="-6.1800000000000001E-2"/>
    <n v="4.0000000000000002E-4"/>
    <n v="-1.5144"/>
    <n v="1.5779000000000001"/>
    <n v="-0.1341"/>
    <n v="66"/>
    <n v="7.4"/>
    <n v="25"/>
    <n v="7.7"/>
    <n v="0"/>
    <n v="0"/>
    <n v="8.3391999999999999"/>
    <n v="244"/>
    <n v="0"/>
  </r>
  <r>
    <x v="0"/>
    <x v="0"/>
    <s v="SPXW"/>
    <x v="10"/>
    <x v="120"/>
    <s v="p"/>
    <n v="6.63"/>
    <n v="9"/>
    <n v="6.63"/>
    <n v="8.3000000000000007"/>
    <n v="16"/>
    <n v="52"/>
    <n v="7.7"/>
    <n v="1"/>
    <n v="7.9"/>
    <n v="0"/>
    <n v="0"/>
    <n v="0"/>
    <n v="0"/>
    <n v="0.2286"/>
    <n v="-6.3299999999999995E-2"/>
    <n v="4.0000000000000002E-4"/>
    <n v="-1.5403"/>
    <n v="1.6086"/>
    <n v="-0.13750000000000001"/>
    <n v="35"/>
    <n v="7.6"/>
    <n v="25"/>
    <n v="7.9"/>
    <n v="0"/>
    <n v="0"/>
    <n v="8.2518999999999991"/>
    <n v="116"/>
    <n v="0"/>
  </r>
  <r>
    <x v="0"/>
    <x v="0"/>
    <s v="SPXW"/>
    <x v="10"/>
    <x v="121"/>
    <s v="p"/>
    <n v="6.69"/>
    <n v="10.65"/>
    <n v="5.75"/>
    <n v="7.9"/>
    <n v="57"/>
    <n v="76"/>
    <n v="7.9"/>
    <n v="38"/>
    <n v="8.1"/>
    <n v="0"/>
    <n v="0"/>
    <n v="0"/>
    <n v="0"/>
    <n v="0.2273"/>
    <n v="-6.4699999999999994E-2"/>
    <n v="4.0000000000000002E-4"/>
    <n v="-1.5581"/>
    <n v="1.6348"/>
    <n v="-0.1404"/>
    <n v="70"/>
    <n v="7.8"/>
    <n v="34"/>
    <n v="8.1"/>
    <n v="0"/>
    <n v="0"/>
    <n v="6.5492999999999997"/>
    <n v="236"/>
    <n v="0"/>
  </r>
  <r>
    <x v="0"/>
    <x v="0"/>
    <s v="SPXW"/>
    <x v="10"/>
    <x v="122"/>
    <s v="p"/>
    <n v="6.53"/>
    <n v="10.28"/>
    <n v="6"/>
    <n v="7.92"/>
    <n v="55"/>
    <n v="45"/>
    <n v="8.1"/>
    <n v="19"/>
    <n v="8.3000000000000007"/>
    <n v="0"/>
    <n v="0"/>
    <n v="0"/>
    <n v="0"/>
    <n v="0.22639999999999999"/>
    <n v="-6.6299999999999998E-2"/>
    <n v="5.0000000000000001E-4"/>
    <n v="-1.5831"/>
    <n v="1.6656"/>
    <n v="-0.1439"/>
    <n v="22"/>
    <n v="8"/>
    <n v="39"/>
    <n v="8.3000000000000007"/>
    <n v="0"/>
    <n v="0"/>
    <n v="8.3422000000000001"/>
    <n v="98"/>
    <n v="0"/>
  </r>
  <r>
    <x v="0"/>
    <x v="0"/>
    <s v="SPXW"/>
    <x v="10"/>
    <x v="123"/>
    <s v="p"/>
    <n v="7.03"/>
    <n v="12.4"/>
    <n v="5.6"/>
    <n v="8.1999999999999993"/>
    <n v="600"/>
    <n v="69"/>
    <n v="8.3000000000000007"/>
    <n v="41"/>
    <n v="8.5"/>
    <n v="0"/>
    <n v="0"/>
    <n v="0"/>
    <n v="0"/>
    <n v="0.22550000000000001"/>
    <n v="-6.7900000000000002E-2"/>
    <n v="5.0000000000000001E-4"/>
    <n v="-1.6079000000000001"/>
    <n v="1.6959"/>
    <n v="-0.1474"/>
    <n v="59"/>
    <n v="8.1999999999999993"/>
    <n v="52"/>
    <n v="8.5"/>
    <n v="0"/>
    <n v="0"/>
    <n v="9.1776999999999997"/>
    <n v="16867"/>
    <n v="0"/>
  </r>
  <r>
    <x v="0"/>
    <x v="0"/>
    <s v="SPXW"/>
    <x v="10"/>
    <x v="124"/>
    <s v="p"/>
    <n v="6.73"/>
    <n v="9.5"/>
    <n v="6"/>
    <n v="9.5"/>
    <n v="7"/>
    <n v="44"/>
    <n v="8.5"/>
    <n v="19"/>
    <n v="8.6999999999999993"/>
    <n v="0"/>
    <n v="0"/>
    <n v="0"/>
    <n v="0"/>
    <n v="0.22439999999999999"/>
    <n v="-6.9500000000000006E-2"/>
    <n v="5.0000000000000001E-4"/>
    <n v="-1.6316999999999999"/>
    <n v="1.7275"/>
    <n v="-0.151"/>
    <n v="21"/>
    <n v="8.4"/>
    <n v="39"/>
    <n v="8.6999999999999993"/>
    <n v="0"/>
    <n v="0"/>
    <n v="7.2328999999999999"/>
    <n v="129"/>
    <n v="0"/>
  </r>
  <r>
    <x v="0"/>
    <x v="0"/>
    <s v="SPXW"/>
    <x v="10"/>
    <x v="125"/>
    <s v="p"/>
    <n v="10.83"/>
    <n v="10.83"/>
    <n v="8.6999999999999993"/>
    <n v="8.6999999999999993"/>
    <n v="9"/>
    <n v="50"/>
    <n v="8.6999999999999993"/>
    <n v="1"/>
    <n v="8.9"/>
    <n v="0"/>
    <n v="0"/>
    <n v="0"/>
    <n v="0"/>
    <n v="0.22359999999999999"/>
    <n v="-7.1400000000000005E-2"/>
    <n v="5.0000000000000001E-4"/>
    <n v="-1.6624000000000001"/>
    <n v="1.7632000000000001"/>
    <n v="-0.15529999999999999"/>
    <n v="44"/>
    <n v="8.6"/>
    <n v="25"/>
    <n v="8.9"/>
    <n v="0"/>
    <n v="0"/>
    <n v="10.011100000000001"/>
    <n v="386"/>
    <n v="0"/>
  </r>
  <r>
    <x v="0"/>
    <x v="0"/>
    <s v="SPXW"/>
    <x v="10"/>
    <x v="126"/>
    <s v="p"/>
    <n v="6.8"/>
    <n v="11.73"/>
    <n v="6.1"/>
    <n v="8.6"/>
    <n v="10"/>
    <n v="31"/>
    <n v="8.9"/>
    <n v="1"/>
    <n v="9.1"/>
    <n v="0"/>
    <n v="0"/>
    <n v="0"/>
    <n v="0"/>
    <n v="0.22270000000000001"/>
    <n v="-7.2999999999999995E-2"/>
    <n v="5.0000000000000001E-4"/>
    <n v="-1.6857"/>
    <n v="1.7935000000000001"/>
    <n v="-0.15890000000000001"/>
    <n v="20"/>
    <n v="8.8000000000000007"/>
    <n v="25"/>
    <n v="9.1"/>
    <n v="0"/>
    <n v="0"/>
    <n v="8.016"/>
    <n v="150"/>
    <n v="0"/>
  </r>
  <r>
    <x v="0"/>
    <x v="0"/>
    <s v="SPXW"/>
    <x v="10"/>
    <x v="127"/>
    <s v="p"/>
    <n v="7.45"/>
    <n v="13.4"/>
    <n v="6.3"/>
    <n v="9.85"/>
    <n v="10"/>
    <n v="56"/>
    <n v="9.1"/>
    <n v="1"/>
    <n v="9.3000000000000007"/>
    <n v="0"/>
    <n v="0"/>
    <n v="0"/>
    <n v="0"/>
    <n v="0.22159999999999999"/>
    <n v="-7.4700000000000003E-2"/>
    <n v="5.0000000000000001E-4"/>
    <n v="-1.7082999999999999"/>
    <n v="1.8240000000000001"/>
    <n v="-0.16259999999999999"/>
    <n v="48"/>
    <n v="9"/>
    <n v="1"/>
    <n v="9.3000000000000007"/>
    <n v="0"/>
    <n v="0"/>
    <n v="9.61"/>
    <n v="207"/>
    <n v="0"/>
  </r>
  <r>
    <x v="0"/>
    <x v="0"/>
    <s v="SPXW"/>
    <x v="10"/>
    <x v="128"/>
    <s v="p"/>
    <n v="7.84"/>
    <n v="13.16"/>
    <n v="6.9"/>
    <n v="9"/>
    <n v="123"/>
    <n v="12"/>
    <n v="9.4"/>
    <n v="30"/>
    <n v="9.6"/>
    <n v="0"/>
    <n v="0"/>
    <n v="0"/>
    <n v="0"/>
    <n v="0.22090000000000001"/>
    <n v="-7.6899999999999996E-2"/>
    <n v="5.0000000000000001E-4"/>
    <n v="-1.7438"/>
    <n v="1.8642000000000001"/>
    <n v="-0.16750000000000001"/>
    <n v="27"/>
    <n v="9.3000000000000007"/>
    <n v="65"/>
    <n v="9.6"/>
    <n v="0"/>
    <n v="0"/>
    <n v="12.229900000000001"/>
    <n v="339"/>
    <n v="0"/>
  </r>
  <r>
    <x v="0"/>
    <x v="0"/>
    <s v="SPXW"/>
    <x v="10"/>
    <x v="129"/>
    <s v="p"/>
    <n v="7.98"/>
    <n v="14"/>
    <n v="6.55"/>
    <n v="9.8000000000000007"/>
    <n v="22"/>
    <n v="54"/>
    <n v="9.6"/>
    <n v="18"/>
    <n v="9.8000000000000007"/>
    <n v="0"/>
    <n v="0"/>
    <n v="0"/>
    <n v="0"/>
    <n v="0.21970000000000001"/>
    <n v="-7.8600000000000003E-2"/>
    <n v="5.0000000000000001E-4"/>
    <n v="-1.7653000000000001"/>
    <n v="1.8946000000000001"/>
    <n v="-0.17130000000000001"/>
    <n v="44"/>
    <n v="9.5"/>
    <n v="32"/>
    <n v="9.8000000000000007"/>
    <n v="0"/>
    <n v="0"/>
    <n v="8.4949999999999992"/>
    <n v="363"/>
    <n v="0"/>
  </r>
  <r>
    <x v="0"/>
    <x v="0"/>
    <s v="SPXW"/>
    <x v="10"/>
    <x v="130"/>
    <s v="p"/>
    <n v="8.3800000000000008"/>
    <n v="8.3800000000000008"/>
    <n v="6.88"/>
    <n v="6.88"/>
    <n v="5"/>
    <n v="35"/>
    <n v="9.8000000000000007"/>
    <n v="23"/>
    <n v="10.1"/>
    <n v="0"/>
    <n v="0"/>
    <n v="0"/>
    <n v="0"/>
    <n v="0.2185"/>
    <n v="-8.0299999999999996E-2"/>
    <n v="5.0000000000000001E-4"/>
    <n v="-1.7863"/>
    <n v="1.9248000000000001"/>
    <n v="-0.17499999999999999"/>
    <n v="24"/>
    <n v="9.6999999999999993"/>
    <n v="26"/>
    <n v="10.1"/>
    <n v="0"/>
    <n v="0"/>
    <n v="7.798"/>
    <n v="110"/>
    <n v="0"/>
  </r>
  <r>
    <x v="0"/>
    <x v="0"/>
    <s v="SPXW"/>
    <x v="10"/>
    <x v="131"/>
    <s v="p"/>
    <n v="7.75"/>
    <n v="11.57"/>
    <n v="6.77"/>
    <n v="10.199999999999999"/>
    <n v="30"/>
    <n v="57"/>
    <n v="10.1"/>
    <n v="1"/>
    <n v="10.3"/>
    <n v="0"/>
    <n v="0"/>
    <n v="0"/>
    <n v="0"/>
    <n v="0.21790000000000001"/>
    <n v="-8.2600000000000007E-2"/>
    <n v="5.9999999999999995E-4"/>
    <n v="-1.8204"/>
    <n v="1.9631000000000001"/>
    <n v="-0.1799"/>
    <n v="43"/>
    <n v="10"/>
    <n v="25"/>
    <n v="10.3"/>
    <n v="0"/>
    <n v="0"/>
    <n v="9.0957000000000008"/>
    <n v="478"/>
    <n v="0"/>
  </r>
  <r>
    <x v="0"/>
    <x v="0"/>
    <s v="SPXW"/>
    <x v="10"/>
    <x v="132"/>
    <s v="p"/>
    <n v="8.18"/>
    <n v="13.2"/>
    <n v="7.23"/>
    <n v="10.45"/>
    <n v="13"/>
    <n v="36"/>
    <n v="10.3"/>
    <n v="25"/>
    <n v="10.6"/>
    <n v="0"/>
    <n v="0"/>
    <n v="0"/>
    <n v="0"/>
    <n v="0.21690000000000001"/>
    <n v="-8.4599999999999995E-2"/>
    <n v="5.9999999999999995E-4"/>
    <n v="-1.847"/>
    <n v="1.9976"/>
    <n v="-0.1842"/>
    <n v="26"/>
    <n v="10.199999999999999"/>
    <n v="7"/>
    <n v="10.5"/>
    <n v="0"/>
    <n v="0"/>
    <n v="9.5838000000000001"/>
    <n v="703"/>
    <n v="0"/>
  </r>
  <r>
    <x v="0"/>
    <x v="0"/>
    <s v="SPXW"/>
    <x v="10"/>
    <x v="133"/>
    <s v="p"/>
    <n v="8.7799999999999994"/>
    <n v="17"/>
    <n v="7"/>
    <n v="10.16"/>
    <n v="331"/>
    <n v="72"/>
    <n v="10.6"/>
    <n v="1"/>
    <n v="10.8"/>
    <n v="0"/>
    <n v="0"/>
    <n v="0"/>
    <n v="0"/>
    <n v="0.2157"/>
    <n v="-8.6599999999999996E-2"/>
    <n v="5.9999999999999995E-4"/>
    <n v="-1.8724000000000001"/>
    <n v="2.0331999999999999"/>
    <n v="-0.18870000000000001"/>
    <n v="60"/>
    <n v="10.5"/>
    <n v="33"/>
    <n v="10.8"/>
    <n v="0"/>
    <n v="0"/>
    <n v="9.42"/>
    <n v="1671"/>
    <n v="0"/>
  </r>
  <r>
    <x v="0"/>
    <x v="0"/>
    <s v="SPXW"/>
    <x v="10"/>
    <x v="134"/>
    <s v="p"/>
    <n v="7.27"/>
    <n v="14.03"/>
    <n v="7.27"/>
    <n v="11.6"/>
    <n v="13"/>
    <n v="33"/>
    <n v="10.9"/>
    <n v="1"/>
    <n v="11.1"/>
    <n v="0"/>
    <n v="0"/>
    <n v="0"/>
    <n v="0"/>
    <n v="0.215"/>
    <n v="-8.8900000000000007E-2"/>
    <n v="5.9999999999999995E-4"/>
    <n v="-1.9046000000000001"/>
    <n v="2.0710999999999999"/>
    <n v="-0.19359999999999999"/>
    <n v="20"/>
    <n v="10.8"/>
    <n v="32"/>
    <n v="11.1"/>
    <n v="0"/>
    <n v="0"/>
    <n v="10.623100000000001"/>
    <n v="36"/>
    <n v="0"/>
  </r>
  <r>
    <x v="0"/>
    <x v="0"/>
    <s v="SPXW"/>
    <x v="10"/>
    <x v="135"/>
    <s v="p"/>
    <n v="9.48"/>
    <n v="13.55"/>
    <n v="8.1999999999999993"/>
    <n v="12.1"/>
    <n v="27"/>
    <n v="33"/>
    <n v="11.2"/>
    <n v="1"/>
    <n v="11.4"/>
    <n v="0"/>
    <n v="0"/>
    <n v="0"/>
    <n v="0"/>
    <n v="0.214"/>
    <n v="-9.1200000000000003E-2"/>
    <n v="5.9999999999999995E-4"/>
    <n v="-1.9353"/>
    <n v="2.1107"/>
    <n v="-0.19869999999999999"/>
    <n v="21"/>
    <n v="11.1"/>
    <n v="33"/>
    <n v="11.4"/>
    <n v="0"/>
    <n v="0"/>
    <n v="10.047800000000001"/>
    <n v="274"/>
    <n v="0"/>
  </r>
  <r>
    <x v="0"/>
    <x v="0"/>
    <s v="SPXW"/>
    <x v="10"/>
    <x v="136"/>
    <s v="p"/>
    <n v="8.65"/>
    <n v="12.75"/>
    <n v="7.78"/>
    <n v="11.05"/>
    <n v="65"/>
    <n v="32"/>
    <n v="11.5"/>
    <n v="1"/>
    <n v="11.7"/>
    <n v="0"/>
    <n v="0"/>
    <n v="0"/>
    <n v="0"/>
    <n v="0.21310000000000001"/>
    <n v="-9.35E-2"/>
    <n v="5.9999999999999995E-4"/>
    <n v="-1.9654"/>
    <n v="2.1497999999999999"/>
    <n v="-0.20380000000000001"/>
    <n v="20"/>
    <n v="11.4"/>
    <n v="33"/>
    <n v="11.7"/>
    <n v="0"/>
    <n v="0"/>
    <n v="8.7759999999999998"/>
    <n v="84"/>
    <n v="0"/>
  </r>
  <r>
    <x v="0"/>
    <x v="0"/>
    <s v="SPXW"/>
    <x v="10"/>
    <x v="137"/>
    <s v="p"/>
    <n v="9.23"/>
    <n v="15.75"/>
    <n v="8.6"/>
    <n v="11.72"/>
    <n v="16"/>
    <n v="30"/>
    <n v="11.8"/>
    <n v="1"/>
    <n v="12"/>
    <n v="0"/>
    <n v="0"/>
    <n v="0"/>
    <n v="0"/>
    <n v="0.2122"/>
    <n v="-9.5899999999999999E-2"/>
    <n v="5.9999999999999995E-4"/>
    <n v="-1.9948999999999999"/>
    <n v="2.1888999999999998"/>
    <n v="-0.20899999999999999"/>
    <n v="20"/>
    <n v="11.7"/>
    <n v="33"/>
    <n v="12"/>
    <n v="0"/>
    <n v="0"/>
    <n v="12.591900000000001"/>
    <n v="327"/>
    <n v="0"/>
  </r>
  <r>
    <x v="0"/>
    <x v="0"/>
    <s v="SPXW"/>
    <x v="10"/>
    <x v="138"/>
    <s v="p"/>
    <n v="9.5"/>
    <n v="17.600000000000001"/>
    <n v="8.1"/>
    <n v="12.95"/>
    <n v="69"/>
    <n v="42"/>
    <n v="12.1"/>
    <n v="13"/>
    <n v="12.3"/>
    <n v="0"/>
    <n v="0"/>
    <n v="0"/>
    <n v="0"/>
    <n v="0.21129999999999999"/>
    <n v="-9.8199999999999996E-2"/>
    <n v="6.9999999999999999E-4"/>
    <n v="-2.024"/>
    <n v="2.2271999999999998"/>
    <n v="-0.21410000000000001"/>
    <n v="38"/>
    <n v="12"/>
    <n v="48"/>
    <n v="12.3"/>
    <n v="0"/>
    <n v="0"/>
    <n v="13.468999999999999"/>
    <n v="363"/>
    <n v="0"/>
  </r>
  <r>
    <x v="0"/>
    <x v="0"/>
    <s v="SPXW"/>
    <x v="10"/>
    <x v="139"/>
    <s v="p"/>
    <n v="9.6999999999999993"/>
    <n v="17.3"/>
    <n v="9.6999999999999993"/>
    <n v="12.26"/>
    <n v="10"/>
    <n v="56"/>
    <n v="12.4"/>
    <n v="1"/>
    <n v="12.6"/>
    <n v="0"/>
    <n v="0"/>
    <n v="0"/>
    <n v="0"/>
    <n v="0.21029999999999999"/>
    <n v="-0.10059999999999999"/>
    <n v="6.9999999999999999E-4"/>
    <n v="-2.0518999999999998"/>
    <n v="2.2660999999999998"/>
    <n v="-0.21940000000000001"/>
    <n v="19"/>
    <n v="12.3"/>
    <n v="13"/>
    <n v="12.6"/>
    <n v="0"/>
    <n v="0"/>
    <n v="14.589"/>
    <n v="391"/>
    <n v="0"/>
  </r>
  <r>
    <x v="0"/>
    <x v="0"/>
    <s v="SPXW"/>
    <x v="10"/>
    <x v="140"/>
    <s v="p"/>
    <n v="9.85"/>
    <n v="15"/>
    <n v="9.08"/>
    <n v="13.5"/>
    <n v="23"/>
    <n v="34"/>
    <n v="12.7"/>
    <n v="25"/>
    <n v="13"/>
    <n v="0"/>
    <n v="0"/>
    <n v="0"/>
    <n v="0"/>
    <n v="0.20930000000000001"/>
    <n v="-0.1033"/>
    <n v="6.9999999999999999E-4"/>
    <n v="-2.0846"/>
    <n v="2.3090999999999999"/>
    <n v="-0.22550000000000001"/>
    <n v="20"/>
    <n v="12.6"/>
    <n v="6"/>
    <n v="12.9"/>
    <n v="0"/>
    <n v="0"/>
    <n v="9.8739000000000008"/>
    <n v="89"/>
    <n v="0"/>
  </r>
  <r>
    <x v="0"/>
    <x v="0"/>
    <s v="SPXW"/>
    <x v="10"/>
    <x v="141"/>
    <s v="p"/>
    <n v="10.199999999999999"/>
    <n v="14.67"/>
    <n v="8.6999999999999993"/>
    <n v="13.51"/>
    <n v="26"/>
    <n v="28"/>
    <n v="13.1"/>
    <n v="4"/>
    <n v="13.3"/>
    <n v="0"/>
    <n v="0"/>
    <n v="0"/>
    <n v="0"/>
    <n v="0.2084"/>
    <n v="-0.106"/>
    <n v="6.9999999999999999E-4"/>
    <n v="-2.1166999999999998"/>
    <n v="2.351"/>
    <n v="-0.23139999999999999"/>
    <n v="20"/>
    <n v="13"/>
    <n v="32"/>
    <n v="13.3"/>
    <n v="0"/>
    <n v="0"/>
    <n v="10.425000000000001"/>
    <n v="200"/>
    <n v="0"/>
  </r>
  <r>
    <x v="0"/>
    <x v="0"/>
    <s v="SPXW"/>
    <x v="10"/>
    <x v="142"/>
    <s v="p"/>
    <n v="10.33"/>
    <n v="16.72"/>
    <n v="8.7799999999999994"/>
    <n v="14.15"/>
    <n v="59"/>
    <n v="47"/>
    <n v="13.4"/>
    <n v="25"/>
    <n v="13.7"/>
    <n v="0"/>
    <n v="0"/>
    <n v="0"/>
    <n v="0"/>
    <n v="0.20730000000000001"/>
    <n v="-0.1084"/>
    <n v="6.9999999999999999E-4"/>
    <n v="-2.1421999999999999"/>
    <n v="2.3891"/>
    <n v="-0.2369"/>
    <n v="26"/>
    <n v="13.3"/>
    <n v="6"/>
    <n v="13.6"/>
    <n v="0"/>
    <n v="0"/>
    <n v="10.6875"/>
    <n v="251"/>
    <n v="0"/>
  </r>
  <r>
    <x v="0"/>
    <x v="0"/>
    <s v="SPXW"/>
    <x v="10"/>
    <x v="143"/>
    <s v="p"/>
    <n v="11"/>
    <n v="20"/>
    <n v="9"/>
    <n v="13.31"/>
    <n v="492"/>
    <n v="41"/>
    <n v="13.8"/>
    <n v="15"/>
    <n v="14"/>
    <n v="0"/>
    <n v="0"/>
    <n v="0"/>
    <n v="0"/>
    <n v="0.20660000000000001"/>
    <n v="-0.1113"/>
    <n v="6.9999999999999999E-4"/>
    <n v="-2.1787999999999998"/>
    <n v="2.4329000000000001"/>
    <n v="-0.2432"/>
    <n v="35"/>
    <n v="13.7"/>
    <n v="31"/>
    <n v="14"/>
    <n v="0"/>
    <n v="0"/>
    <n v="13.086600000000001"/>
    <n v="5977"/>
    <n v="0"/>
  </r>
  <r>
    <x v="0"/>
    <x v="0"/>
    <s v="SPXW"/>
    <x v="10"/>
    <x v="144"/>
    <s v="p"/>
    <n v="17.62"/>
    <n v="18.47"/>
    <n v="14.15"/>
    <n v="14.15"/>
    <n v="29"/>
    <n v="26"/>
    <n v="14.2"/>
    <n v="4"/>
    <n v="14.4"/>
    <n v="0"/>
    <n v="0"/>
    <n v="0"/>
    <n v="0"/>
    <n v="0.20549999999999999"/>
    <n v="-0.11409999999999999"/>
    <n v="8.0000000000000004E-4"/>
    <n v="-2.2079"/>
    <n v="2.4746999999999999"/>
    <n v="-0.24929999999999999"/>
    <n v="19"/>
    <n v="14.1"/>
    <n v="31"/>
    <n v="14.4"/>
    <n v="0"/>
    <n v="0"/>
    <n v="15.6859"/>
    <n v="167"/>
    <n v="0"/>
  </r>
  <r>
    <x v="0"/>
    <x v="0"/>
    <s v="SPXW"/>
    <x v="10"/>
    <x v="145"/>
    <s v="p"/>
    <n v="10.73"/>
    <n v="18.93"/>
    <n v="10.73"/>
    <n v="14.62"/>
    <n v="18"/>
    <n v="53"/>
    <n v="14.5"/>
    <n v="4"/>
    <n v="14.8"/>
    <n v="0"/>
    <n v="0"/>
    <n v="0"/>
    <n v="0"/>
    <n v="0.2046"/>
    <n v="-0.1171"/>
    <n v="8.0000000000000004E-4"/>
    <n v="-2.2421000000000002"/>
    <n v="2.5188999999999999"/>
    <n v="-0.25590000000000002"/>
    <n v="17"/>
    <n v="14.5"/>
    <n v="33"/>
    <n v="14.8"/>
    <n v="0"/>
    <n v="0"/>
    <n v="14.3239"/>
    <n v="363"/>
    <n v="0"/>
  </r>
  <r>
    <x v="0"/>
    <x v="0"/>
    <s v="SPXW"/>
    <x v="10"/>
    <x v="146"/>
    <s v="p"/>
    <n v="11.97"/>
    <n v="18.46"/>
    <n v="9.7799999999999994"/>
    <n v="15.15"/>
    <n v="37"/>
    <n v="46"/>
    <n v="14.9"/>
    <n v="4"/>
    <n v="15.2"/>
    <n v="0"/>
    <n v="0"/>
    <n v="0"/>
    <n v="0"/>
    <n v="0.20369999999999999"/>
    <n v="-0.1201"/>
    <n v="8.0000000000000004E-4"/>
    <n v="-2.2751999999999999"/>
    <n v="2.5630999999999999"/>
    <n v="-0.26240000000000002"/>
    <n v="17"/>
    <n v="14.9"/>
    <n v="40"/>
    <n v="15.2"/>
    <n v="0"/>
    <n v="0"/>
    <n v="14.8851"/>
    <n v="178"/>
    <n v="0"/>
  </r>
  <r>
    <x v="0"/>
    <x v="0"/>
    <s v="SPXW"/>
    <x v="10"/>
    <x v="147"/>
    <s v="p"/>
    <n v="12.35"/>
    <n v="19.899999999999999"/>
    <n v="10.029999999999999"/>
    <n v="14.37"/>
    <n v="8"/>
    <n v="52"/>
    <n v="15.3"/>
    <n v="4"/>
    <n v="15.6"/>
    <n v="0"/>
    <n v="0"/>
    <n v="0"/>
    <n v="0"/>
    <n v="0.20280000000000001"/>
    <n v="-0.1232"/>
    <n v="8.0000000000000004E-4"/>
    <n v="-2.3071999999999999"/>
    <n v="2.6074000000000002"/>
    <n v="-0.26910000000000001"/>
    <n v="16"/>
    <n v="15.3"/>
    <n v="30"/>
    <n v="15.6"/>
    <n v="0"/>
    <n v="0"/>
    <n v="14.022500000000001"/>
    <n v="497"/>
    <n v="0"/>
  </r>
  <r>
    <x v="0"/>
    <x v="0"/>
    <s v="SPXW"/>
    <x v="10"/>
    <x v="148"/>
    <s v="p"/>
    <n v="13.04"/>
    <n v="21.94"/>
    <n v="10.4"/>
    <n v="15.85"/>
    <n v="1077"/>
    <n v="36"/>
    <n v="15.8"/>
    <n v="14"/>
    <n v="16"/>
    <n v="0"/>
    <n v="0"/>
    <n v="0"/>
    <n v="0"/>
    <n v="0.20180000000000001"/>
    <n v="-0.1263"/>
    <n v="8.0000000000000004E-4"/>
    <n v="-2.3382999999999998"/>
    <n v="2.6516999999999999"/>
    <n v="-0.27579999999999999"/>
    <n v="33"/>
    <n v="15.7"/>
    <n v="30"/>
    <n v="16"/>
    <n v="0"/>
    <n v="0"/>
    <n v="17.125499999999999"/>
    <n v="815"/>
    <n v="0"/>
  </r>
  <r>
    <x v="0"/>
    <x v="0"/>
    <s v="SPXW"/>
    <x v="10"/>
    <x v="149"/>
    <s v="p"/>
    <n v="15.94"/>
    <n v="21.22"/>
    <n v="15.94"/>
    <n v="17.3"/>
    <n v="20"/>
    <n v="27"/>
    <n v="16.2"/>
    <n v="23"/>
    <n v="16.5"/>
    <n v="0"/>
    <n v="0"/>
    <n v="0"/>
    <n v="0"/>
    <n v="0.20100000000000001"/>
    <n v="-0.12959999999999999"/>
    <n v="8.0000000000000004E-4"/>
    <n v="-2.3734999999999999"/>
    <n v="2.6991999999999998"/>
    <n v="-0.28320000000000001"/>
    <n v="18"/>
    <n v="16.100000000000001"/>
    <n v="6"/>
    <n v="16.399999999999999"/>
    <n v="0"/>
    <n v="0"/>
    <n v="18.083500000000001"/>
    <n v="480"/>
    <n v="0"/>
  </r>
  <r>
    <x v="0"/>
    <x v="0"/>
    <s v="SPXW"/>
    <x v="10"/>
    <x v="150"/>
    <s v="p"/>
    <n v="14.3"/>
    <n v="17.64"/>
    <n v="14.3"/>
    <n v="17.64"/>
    <n v="13"/>
    <n v="17"/>
    <n v="16.7"/>
    <n v="4"/>
    <n v="16.899999999999999"/>
    <n v="0"/>
    <n v="0"/>
    <n v="0"/>
    <n v="0"/>
    <n v="0.2001"/>
    <n v="-0.13300000000000001"/>
    <n v="8.9999999999999998E-4"/>
    <n v="-2.4075000000000002"/>
    <n v="2.7465000000000002"/>
    <n v="-0.29060000000000002"/>
    <n v="16"/>
    <n v="16.600000000000001"/>
    <n v="29"/>
    <n v="16.899999999999999"/>
    <n v="0"/>
    <n v="0"/>
    <n v="17.203099999999999"/>
    <n v="106"/>
    <n v="0"/>
  </r>
  <r>
    <x v="0"/>
    <x v="0"/>
    <s v="SPXW"/>
    <x v="10"/>
    <x v="151"/>
    <s v="p"/>
    <n v="13.78"/>
    <n v="19.62"/>
    <n v="11.22"/>
    <n v="17.3"/>
    <n v="41"/>
    <n v="24"/>
    <n v="17.100000000000001"/>
    <n v="23"/>
    <n v="17.399999999999999"/>
    <n v="0"/>
    <n v="0"/>
    <n v="0"/>
    <n v="0"/>
    <n v="0.1991"/>
    <n v="-0.1363"/>
    <n v="8.9999999999999998E-4"/>
    <n v="-2.4403999999999999"/>
    <n v="2.7934000000000001"/>
    <n v="-0.29820000000000002"/>
    <n v="25"/>
    <n v="17"/>
    <n v="5"/>
    <n v="17.3"/>
    <n v="0"/>
    <n v="0"/>
    <n v="15.1366"/>
    <n v="402"/>
    <n v="0"/>
  </r>
  <r>
    <x v="0"/>
    <x v="0"/>
    <s v="SPXW"/>
    <x v="10"/>
    <x v="152"/>
    <s v="p"/>
    <n v="11.5"/>
    <n v="22.42"/>
    <n v="11.5"/>
    <n v="18.8"/>
    <n v="21"/>
    <n v="24"/>
    <n v="17.600000000000001"/>
    <n v="28"/>
    <n v="17.899999999999999"/>
    <n v="0"/>
    <n v="0"/>
    <n v="0"/>
    <n v="0"/>
    <n v="0.1981"/>
    <n v="-0.13980000000000001"/>
    <n v="8.9999999999999998E-4"/>
    <n v="-2.472"/>
    <n v="2.8399000000000001"/>
    <n v="-0.30580000000000002"/>
    <n v="17"/>
    <n v="17.5"/>
    <n v="5"/>
    <n v="17.8"/>
    <n v="0"/>
    <n v="0"/>
    <n v="19.809999999999999"/>
    <n v="174"/>
    <n v="0"/>
  </r>
  <r>
    <x v="0"/>
    <x v="0"/>
    <s v="SPXW"/>
    <x v="10"/>
    <x v="153"/>
    <s v="p"/>
    <n v="14.6"/>
    <n v="23.63"/>
    <n v="11.9"/>
    <n v="17.420000000000002"/>
    <n v="2006"/>
    <n v="28"/>
    <n v="18.100000000000001"/>
    <n v="13"/>
    <n v="18.3"/>
    <n v="0"/>
    <n v="0"/>
    <n v="0"/>
    <n v="0"/>
    <n v="0.1973"/>
    <n v="-0.1434"/>
    <n v="8.9999999999999998E-4"/>
    <n v="-2.5072999999999999"/>
    <n v="2.8885999999999998"/>
    <n v="-0.314"/>
    <n v="25"/>
    <n v="18"/>
    <n v="28"/>
    <n v="18.3"/>
    <n v="0"/>
    <n v="0"/>
    <n v="18.957699999999999"/>
    <n v="1303"/>
    <n v="0"/>
  </r>
  <r>
    <x v="0"/>
    <x v="0"/>
    <s v="SPXW"/>
    <x v="10"/>
    <x v="154"/>
    <s v="p"/>
    <n v="14.7"/>
    <n v="21.6"/>
    <n v="13.18"/>
    <n v="18.920000000000002"/>
    <n v="44"/>
    <n v="16"/>
    <n v="18.600000000000001"/>
    <n v="3"/>
    <n v="18.8"/>
    <n v="0"/>
    <n v="0"/>
    <n v="0"/>
    <n v="0"/>
    <n v="0.1963"/>
    <n v="-0.14710000000000001"/>
    <n v="8.9999999999999998E-4"/>
    <n v="-2.5413000000000001"/>
    <n v="2.9365000000000001"/>
    <n v="-0.32219999999999999"/>
    <n v="17"/>
    <n v="18.5"/>
    <n v="16"/>
    <n v="18.8"/>
    <n v="0"/>
    <n v="0"/>
    <n v="17.819500000000001"/>
    <n v="100"/>
    <n v="0"/>
  </r>
  <r>
    <x v="0"/>
    <x v="0"/>
    <s v="SPXW"/>
    <x v="10"/>
    <x v="155"/>
    <s v="p"/>
    <n v="15.37"/>
    <n v="24.01"/>
    <n v="12.47"/>
    <n v="18.27"/>
    <n v="119"/>
    <n v="22"/>
    <n v="19.100000000000001"/>
    <n v="26"/>
    <n v="19.399999999999999"/>
    <n v="0"/>
    <n v="0"/>
    <n v="0"/>
    <n v="0"/>
    <n v="0.19539999999999999"/>
    <n v="-0.15079999999999999"/>
    <n v="1E-3"/>
    <n v="-2.5739999999999998"/>
    <n v="2.984"/>
    <n v="-0.33040000000000003"/>
    <n v="23"/>
    <n v="19"/>
    <n v="10"/>
    <n v="19.3"/>
    <n v="0"/>
    <n v="0"/>
    <n v="17.538399999999999"/>
    <n v="1654"/>
    <n v="0"/>
  </r>
  <r>
    <x v="0"/>
    <x v="0"/>
    <s v="SPXW"/>
    <x v="10"/>
    <x v="156"/>
    <s v="p"/>
    <n v="15.21"/>
    <n v="22.7"/>
    <n v="12.9"/>
    <n v="19.97"/>
    <n v="56"/>
    <n v="23"/>
    <n v="19.600000000000001"/>
    <n v="20"/>
    <n v="19.899999999999999"/>
    <n v="0"/>
    <n v="0"/>
    <n v="0"/>
    <n v="0"/>
    <n v="0.1946"/>
    <n v="-0.15479999999999999"/>
    <n v="1E-3"/>
    <n v="-2.6101999999999999"/>
    <n v="3.0333999999999999"/>
    <n v="-0.33910000000000001"/>
    <n v="23"/>
    <n v="19.5"/>
    <n v="33"/>
    <n v="19.899999999999999"/>
    <n v="0"/>
    <n v="0"/>
    <n v="17.747299999999999"/>
    <n v="127"/>
    <n v="0"/>
  </r>
  <r>
    <x v="0"/>
    <x v="0"/>
    <s v="SPXW"/>
    <x v="10"/>
    <x v="157"/>
    <s v="p"/>
    <n v="14.89"/>
    <n v="22.3"/>
    <n v="14.55"/>
    <n v="20.350000000000001"/>
    <n v="21"/>
    <n v="26"/>
    <n v="20.100000000000001"/>
    <n v="3"/>
    <n v="20.399999999999999"/>
    <n v="0"/>
    <n v="0"/>
    <n v="0"/>
    <n v="0"/>
    <n v="0.19359999999999999"/>
    <n v="-0.1588"/>
    <n v="1E-3"/>
    <n v="-2.6446000000000001"/>
    <n v="3.0829"/>
    <n v="-0.3478"/>
    <n v="17"/>
    <n v="20.100000000000001"/>
    <n v="10"/>
    <n v="20.399999999999999"/>
    <n v="0"/>
    <n v="0"/>
    <n v="18.883800000000001"/>
    <n v="274"/>
    <n v="0"/>
  </r>
  <r>
    <x v="0"/>
    <x v="0"/>
    <s v="SPXW"/>
    <x v="10"/>
    <x v="158"/>
    <s v="p"/>
    <n v="16.55"/>
    <n v="25.5"/>
    <n v="13.53"/>
    <n v="20.47"/>
    <n v="120"/>
    <n v="34"/>
    <n v="20.7"/>
    <n v="13"/>
    <n v="21"/>
    <n v="0"/>
    <n v="0"/>
    <n v="0"/>
    <n v="0"/>
    <n v="0.1928"/>
    <n v="-0.16309999999999999"/>
    <n v="1E-3"/>
    <n v="-2.6823000000000001"/>
    <n v="3.1345999999999998"/>
    <n v="-0.35709999999999997"/>
    <n v="32"/>
    <n v="20.6"/>
    <n v="38"/>
    <n v="21"/>
    <n v="0"/>
    <n v="0"/>
    <n v="18.7378"/>
    <n v="510"/>
    <n v="0"/>
  </r>
  <r>
    <x v="0"/>
    <x v="0"/>
    <s v="SPXW"/>
    <x v="10"/>
    <x v="159"/>
    <s v="p"/>
    <n v="14.43"/>
    <n v="28.1"/>
    <n v="14"/>
    <n v="22.45"/>
    <n v="103"/>
    <n v="21"/>
    <n v="21.3"/>
    <n v="19"/>
    <n v="21.6"/>
    <n v="0"/>
    <n v="0"/>
    <n v="0"/>
    <n v="0"/>
    <n v="0.19170000000000001"/>
    <n v="-0.16689999999999999"/>
    <n v="1E-3"/>
    <n v="-2.7094"/>
    <n v="3.1812999999999998"/>
    <n v="-0.36559999999999998"/>
    <n v="22"/>
    <n v="21.2"/>
    <n v="31"/>
    <n v="21.6"/>
    <n v="0"/>
    <n v="0"/>
    <n v="15.8348"/>
    <n v="391"/>
    <n v="0"/>
  </r>
  <r>
    <x v="0"/>
    <x v="0"/>
    <s v="SPXW"/>
    <x v="10"/>
    <x v="160"/>
    <s v="p"/>
    <n v="17.100000000000001"/>
    <n v="25.8"/>
    <n v="14.72"/>
    <n v="25.8"/>
    <n v="31"/>
    <n v="20"/>
    <n v="21.9"/>
    <n v="19"/>
    <n v="22.2"/>
    <n v="0"/>
    <n v="0"/>
    <n v="0"/>
    <n v="0"/>
    <n v="0.1908"/>
    <n v="-0.17119999999999999"/>
    <n v="1.1000000000000001E-3"/>
    <n v="-2.7440000000000002"/>
    <n v="3.2326999999999999"/>
    <n v="-0.37509999999999999"/>
    <n v="22"/>
    <n v="21.8"/>
    <n v="31"/>
    <n v="22.2"/>
    <n v="0"/>
    <n v="0"/>
    <n v="17.467400000000001"/>
    <n v="158"/>
    <n v="0"/>
  </r>
  <r>
    <x v="0"/>
    <x v="0"/>
    <s v="SPXW"/>
    <x v="10"/>
    <x v="161"/>
    <s v="p"/>
    <n v="17.86"/>
    <n v="29.3"/>
    <n v="15.12"/>
    <n v="22.71"/>
    <n v="56"/>
    <n v="21"/>
    <n v="22.5"/>
    <n v="19"/>
    <n v="22.8"/>
    <n v="0"/>
    <n v="0"/>
    <n v="0"/>
    <n v="0"/>
    <n v="0.1898"/>
    <n v="-0.17560000000000001"/>
    <n v="1.1000000000000001E-3"/>
    <n v="-2.7770999999999999"/>
    <n v="3.2837999999999998"/>
    <n v="-0.38490000000000002"/>
    <n v="25"/>
    <n v="22.4"/>
    <n v="31"/>
    <n v="22.8"/>
    <n v="0"/>
    <n v="0"/>
    <n v="20.8355"/>
    <n v="937"/>
    <n v="0"/>
  </r>
  <r>
    <x v="0"/>
    <x v="0"/>
    <s v="SPXW"/>
    <x v="10"/>
    <x v="162"/>
    <s v="p"/>
    <n v="17.100000000000001"/>
    <n v="25.61"/>
    <n v="15.4"/>
    <n v="23.16"/>
    <n v="19"/>
    <n v="24"/>
    <n v="23.1"/>
    <n v="3"/>
    <n v="23.4"/>
    <n v="0"/>
    <n v="0"/>
    <n v="0"/>
    <n v="0"/>
    <n v="0.18909999999999999"/>
    <n v="-0.1804"/>
    <n v="1.1000000000000001E-3"/>
    <n v="-2.8169"/>
    <n v="3.3386"/>
    <n v="-0.39560000000000001"/>
    <n v="16"/>
    <n v="23.1"/>
    <n v="10"/>
    <n v="23.4"/>
    <n v="0"/>
    <n v="0"/>
    <n v="20.5505"/>
    <n v="185"/>
    <n v="0"/>
  </r>
  <r>
    <x v="0"/>
    <x v="0"/>
    <s v="SPXW"/>
    <x v="10"/>
    <x v="163"/>
    <s v="p"/>
    <n v="19.399999999999999"/>
    <n v="31.38"/>
    <n v="15.4"/>
    <n v="22.95"/>
    <n v="817"/>
    <n v="25"/>
    <n v="23.8"/>
    <n v="28"/>
    <n v="24.1"/>
    <n v="0"/>
    <n v="0"/>
    <n v="0"/>
    <n v="0"/>
    <n v="0.18820000000000001"/>
    <n v="-0.185"/>
    <n v="1.1000000000000001E-3"/>
    <n v="-2.8506"/>
    <n v="3.3904000000000001"/>
    <n v="-0.40600000000000003"/>
    <n v="29"/>
    <n v="23.7"/>
    <n v="37"/>
    <n v="24.1"/>
    <n v="0"/>
    <n v="0"/>
    <n v="21.767900000000001"/>
    <n v="3951"/>
    <n v="0"/>
  </r>
  <r>
    <x v="0"/>
    <x v="0"/>
    <s v="SPXW"/>
    <x v="10"/>
    <x v="164"/>
    <s v="p"/>
    <n v="18.7"/>
    <n v="27.65"/>
    <n v="16"/>
    <n v="24.69"/>
    <n v="47"/>
    <n v="23"/>
    <n v="24.4"/>
    <n v="3"/>
    <n v="24.7"/>
    <n v="0"/>
    <n v="0"/>
    <n v="0"/>
    <n v="0"/>
    <n v="0.18729999999999999"/>
    <n v="-0.18970000000000001"/>
    <n v="1.1999999999999999E-3"/>
    <n v="-2.8826000000000001"/>
    <n v="3.4413"/>
    <n v="-0.41639999999999999"/>
    <n v="22"/>
    <n v="24.4"/>
    <n v="27"/>
    <n v="24.8"/>
    <n v="0"/>
    <n v="0"/>
    <n v="21.148900000000001"/>
    <n v="148"/>
    <n v="0"/>
  </r>
  <r>
    <x v="0"/>
    <x v="0"/>
    <s v="SPXW"/>
    <x v="10"/>
    <x v="165"/>
    <s v="p"/>
    <n v="16.45"/>
    <n v="30.1"/>
    <n v="16.45"/>
    <n v="24.8"/>
    <n v="24"/>
    <n v="23"/>
    <n v="25.1"/>
    <n v="3"/>
    <n v="25.4"/>
    <n v="0"/>
    <n v="0"/>
    <n v="0"/>
    <n v="0"/>
    <n v="0.18640000000000001"/>
    <n v="-0.1946"/>
    <n v="1.1999999999999999E-3"/>
    <n v="-2.9169"/>
    <n v="3.4931000000000001"/>
    <n v="-0.42730000000000001"/>
    <n v="21"/>
    <n v="25.1"/>
    <n v="32"/>
    <n v="25.5"/>
    <n v="0"/>
    <n v="0"/>
    <n v="25.1587"/>
    <n v="378"/>
    <n v="0"/>
  </r>
  <r>
    <x v="0"/>
    <x v="0"/>
    <s v="SPXW"/>
    <x v="10"/>
    <x v="166"/>
    <s v="p"/>
    <n v="22.1"/>
    <n v="29.2"/>
    <n v="22.1"/>
    <n v="27.3"/>
    <n v="40"/>
    <n v="22"/>
    <n v="25.8"/>
    <n v="3"/>
    <n v="26.1"/>
    <n v="0"/>
    <n v="0"/>
    <n v="0"/>
    <n v="0"/>
    <n v="0.1855"/>
    <n v="-0.19950000000000001"/>
    <n v="1.1999999999999999E-3"/>
    <n v="-2.9491999999999998"/>
    <n v="3.5440999999999998"/>
    <n v="-0.43809999999999999"/>
    <n v="21"/>
    <n v="25.8"/>
    <n v="31"/>
    <n v="26.2"/>
    <n v="0"/>
    <n v="0"/>
    <n v="26.572500000000002"/>
    <n v="438"/>
    <n v="0"/>
  </r>
  <r>
    <x v="0"/>
    <x v="0"/>
    <s v="SPXW"/>
    <x v="10"/>
    <x v="167"/>
    <s v="p"/>
    <n v="22.25"/>
    <n v="34.29"/>
    <n v="17.399999999999999"/>
    <n v="26.73"/>
    <n v="89"/>
    <n v="14"/>
    <n v="26.6"/>
    <n v="23"/>
    <n v="26.9"/>
    <n v="0"/>
    <n v="0"/>
    <n v="0"/>
    <n v="0"/>
    <n v="0.1845"/>
    <n v="-0.20449999999999999"/>
    <n v="1.1999999999999999E-3"/>
    <n v="-2.9798"/>
    <n v="3.5945"/>
    <n v="-0.4491"/>
    <n v="21"/>
    <n v="26.5"/>
    <n v="29"/>
    <n v="26.9"/>
    <n v="0"/>
    <n v="0"/>
    <n v="22.706499999999998"/>
    <n v="305"/>
    <n v="0"/>
  </r>
  <r>
    <x v="0"/>
    <x v="0"/>
    <s v="SPXW"/>
    <x v="10"/>
    <x v="168"/>
    <s v="p"/>
    <n v="21.5"/>
    <n v="35.51"/>
    <n v="17.98"/>
    <n v="26.97"/>
    <n v="161"/>
    <n v="28"/>
    <n v="27.3"/>
    <n v="11"/>
    <n v="27.6"/>
    <n v="0"/>
    <n v="0"/>
    <n v="0"/>
    <n v="0"/>
    <n v="0.1837"/>
    <n v="-0.2099"/>
    <n v="1.2999999999999999E-3"/>
    <n v="-3.016"/>
    <n v="3.6478999999999999"/>
    <n v="-0.46089999999999998"/>
    <n v="20"/>
    <n v="27.3"/>
    <n v="39"/>
    <n v="27.7"/>
    <n v="0"/>
    <n v="0"/>
    <n v="22.9542"/>
    <n v="667"/>
    <n v="0"/>
  </r>
  <r>
    <x v="0"/>
    <x v="0"/>
    <s v="SPXW"/>
    <x v="10"/>
    <x v="169"/>
    <s v="p"/>
    <n v="23.25"/>
    <n v="34"/>
    <n v="19.73"/>
    <n v="28.47"/>
    <n v="125"/>
    <n v="14"/>
    <n v="28.1"/>
    <n v="17"/>
    <n v="28.4"/>
    <n v="0"/>
    <n v="0"/>
    <n v="0"/>
    <n v="0"/>
    <n v="0.18260000000000001"/>
    <n v="-0.215"/>
    <n v="1.2999999999999999E-3"/>
    <n v="-3.0427"/>
    <n v="3.6977000000000002"/>
    <n v="-0.47210000000000002"/>
    <n v="25"/>
    <n v="28"/>
    <n v="31"/>
    <n v="28.5"/>
    <n v="0"/>
    <n v="0"/>
    <n v="23.504300000000001"/>
    <n v="524"/>
    <n v="0"/>
  </r>
  <r>
    <x v="0"/>
    <x v="0"/>
    <s v="SPXW"/>
    <x v="10"/>
    <x v="170"/>
    <s v="p"/>
    <n v="24.25"/>
    <n v="32.4"/>
    <n v="20.11"/>
    <n v="30.83"/>
    <n v="15"/>
    <n v="23"/>
    <n v="28.8"/>
    <n v="22"/>
    <n v="29.2"/>
    <n v="0"/>
    <n v="0"/>
    <n v="0"/>
    <n v="0"/>
    <n v="0.1817"/>
    <n v="-0.2205"/>
    <n v="1.2999999999999999E-3"/>
    <n v="-3.0748000000000002"/>
    <n v="3.7504"/>
    <n v="-0.48420000000000002"/>
    <n v="19"/>
    <n v="28.8"/>
    <n v="20"/>
    <n v="29.2"/>
    <n v="0"/>
    <n v="0"/>
    <n v="26.391300000000001"/>
    <n v="208"/>
    <n v="0"/>
  </r>
  <r>
    <x v="0"/>
    <x v="0"/>
    <s v="SPXW"/>
    <x v="10"/>
    <x v="171"/>
    <s v="p"/>
    <n v="20.57"/>
    <n v="35.799999999999997"/>
    <n v="20.57"/>
    <n v="30.07"/>
    <n v="32"/>
    <n v="14"/>
    <n v="29.7"/>
    <n v="17"/>
    <n v="30"/>
    <n v="0"/>
    <n v="0"/>
    <n v="0"/>
    <n v="0"/>
    <n v="0.1807"/>
    <n v="-0.2261"/>
    <n v="1.2999999999999999E-3"/>
    <n v="-3.1046999999999998"/>
    <n v="3.8026"/>
    <n v="-0.49659999999999999"/>
    <n v="22"/>
    <n v="29.6"/>
    <n v="28"/>
    <n v="30.1"/>
    <n v="0"/>
    <n v="0"/>
    <n v="31.525600000000001"/>
    <n v="349"/>
    <n v="0"/>
  </r>
  <r>
    <x v="0"/>
    <x v="0"/>
    <s v="SPXW"/>
    <x v="10"/>
    <x v="172"/>
    <s v="p"/>
    <n v="23.51"/>
    <n v="32.450000000000003"/>
    <n v="20.43"/>
    <n v="32.450000000000003"/>
    <n v="57"/>
    <n v="5"/>
    <n v="30.5"/>
    <n v="3"/>
    <n v="30.8"/>
    <n v="0"/>
    <n v="0"/>
    <n v="0"/>
    <n v="0"/>
    <n v="0.17979999999999999"/>
    <n v="-0.23180000000000001"/>
    <n v="1.4E-3"/>
    <n v="-3.1360000000000001"/>
    <n v="3.8555000000000001"/>
    <n v="-0.50960000000000005"/>
    <n v="13"/>
    <n v="30.5"/>
    <n v="22"/>
    <n v="30.9"/>
    <n v="0"/>
    <n v="0"/>
    <n v="28.897500000000001"/>
    <n v="85"/>
    <n v="0"/>
  </r>
  <r>
    <x v="0"/>
    <x v="0"/>
    <s v="SPXW"/>
    <x v="10"/>
    <x v="173"/>
    <s v="p"/>
    <n v="25.4"/>
    <n v="40.520000000000003"/>
    <n v="20.5"/>
    <n v="31.98"/>
    <n v="1411"/>
    <n v="8"/>
    <n v="31.4"/>
    <n v="31"/>
    <n v="31.7"/>
    <n v="0"/>
    <n v="0"/>
    <n v="0"/>
    <n v="0"/>
    <n v="0.1789"/>
    <n v="-0.23769999999999999"/>
    <n v="1.4E-3"/>
    <n v="-3.1648999999999998"/>
    <n v="3.9070999999999998"/>
    <n v="-0.52270000000000005"/>
    <n v="6"/>
    <n v="31.4"/>
    <n v="34"/>
    <n v="31.8"/>
    <n v="0"/>
    <n v="0"/>
    <n v="30.7059"/>
    <n v="1136"/>
    <n v="0"/>
  </r>
  <r>
    <x v="0"/>
    <x v="0"/>
    <s v="SPXW"/>
    <x v="10"/>
    <x v="174"/>
    <s v="p"/>
    <n v="24.38"/>
    <n v="34.25"/>
    <n v="21.71"/>
    <n v="31.5"/>
    <n v="34"/>
    <n v="23"/>
    <n v="32.200000000000003"/>
    <n v="22"/>
    <n v="32.6"/>
    <n v="0"/>
    <n v="0"/>
    <n v="0"/>
    <n v="0"/>
    <n v="0.17799999999999999"/>
    <n v="-0.2437"/>
    <n v="1.4E-3"/>
    <n v="-3.1947999999999999"/>
    <n v="3.9590000000000001"/>
    <n v="-0.53620000000000001"/>
    <n v="17"/>
    <n v="32.200000000000003"/>
    <n v="23"/>
    <n v="32.700000000000003"/>
    <n v="0"/>
    <n v="0"/>
    <n v="30.007899999999999"/>
    <n v="146"/>
    <n v="0"/>
  </r>
  <r>
    <x v="0"/>
    <x v="0"/>
    <s v="SPXW"/>
    <x v="10"/>
    <x v="175"/>
    <s v="p"/>
    <n v="27.12"/>
    <n v="42.77"/>
    <n v="22.02"/>
    <n v="33.450000000000003"/>
    <n v="209"/>
    <n v="23"/>
    <n v="33.1"/>
    <n v="8"/>
    <n v="33.5"/>
    <n v="0"/>
    <n v="0"/>
    <n v="0"/>
    <n v="0"/>
    <n v="0.17699999999999999"/>
    <n v="-0.24979999999999999"/>
    <n v="1.4E-3"/>
    <n v="-3.2223000000000002"/>
    <n v="4.0092999999999996"/>
    <n v="-0.54969999999999997"/>
    <n v="22"/>
    <n v="33.1"/>
    <n v="27"/>
    <n v="33.6"/>
    <n v="0"/>
    <n v="0"/>
    <n v="26.363499999999998"/>
    <n v="1039"/>
    <n v="0"/>
  </r>
  <r>
    <x v="0"/>
    <x v="0"/>
    <s v="SPXW"/>
    <x v="10"/>
    <x v="176"/>
    <s v="p"/>
    <n v="28.69"/>
    <n v="37.549999999999997"/>
    <n v="23.35"/>
    <n v="34.53"/>
    <n v="40"/>
    <n v="13"/>
    <n v="34.1"/>
    <n v="16"/>
    <n v="34.4"/>
    <n v="0"/>
    <n v="0"/>
    <n v="0"/>
    <n v="0"/>
    <n v="0.17599999999999999"/>
    <n v="-0.25590000000000002"/>
    <n v="1.5E-3"/>
    <n v="-3.2477"/>
    <n v="4.0583"/>
    <n v="-0.56320000000000003"/>
    <n v="18"/>
    <n v="34.1"/>
    <n v="25"/>
    <n v="34.5"/>
    <n v="0"/>
    <n v="0"/>
    <n v="31.2515"/>
    <n v="174"/>
    <n v="0"/>
  </r>
  <r>
    <x v="0"/>
    <x v="0"/>
    <s v="SPXW"/>
    <x v="10"/>
    <x v="177"/>
    <s v="p"/>
    <n v="29.1"/>
    <n v="44.82"/>
    <n v="23.5"/>
    <n v="35.659999999999997"/>
    <n v="495"/>
    <n v="14"/>
    <n v="35"/>
    <n v="21"/>
    <n v="35.4"/>
    <n v="0"/>
    <n v="0"/>
    <n v="0"/>
    <n v="0"/>
    <n v="0.17499999999999999"/>
    <n v="-0.26229999999999998"/>
    <n v="1.5E-3"/>
    <n v="-3.2736999999999998"/>
    <n v="4.1077000000000004"/>
    <n v="-0.57720000000000005"/>
    <n v="21"/>
    <n v="35"/>
    <n v="26"/>
    <n v="35.5"/>
    <n v="0"/>
    <n v="0"/>
    <n v="33.444499999999998"/>
    <n v="850"/>
    <n v="0"/>
  </r>
  <r>
    <x v="0"/>
    <x v="0"/>
    <s v="SPXW"/>
    <x v="10"/>
    <x v="178"/>
    <s v="p"/>
    <n v="30.3"/>
    <n v="46.26"/>
    <n v="24.57"/>
    <n v="34.700000000000003"/>
    <n v="306"/>
    <n v="21"/>
    <n v="36"/>
    <n v="7"/>
    <n v="36.299999999999997"/>
    <n v="0"/>
    <n v="0"/>
    <n v="0"/>
    <n v="0"/>
    <n v="0.1741"/>
    <n v="-0.26889999999999997"/>
    <n v="1.5E-3"/>
    <n v="-3.3001"/>
    <n v="4.1576000000000004"/>
    <n v="-0.5917"/>
    <n v="27"/>
    <n v="36"/>
    <n v="32"/>
    <n v="36.5"/>
    <n v="0"/>
    <n v="0"/>
    <n v="34.945399999999999"/>
    <n v="360"/>
    <n v="0"/>
  </r>
  <r>
    <x v="0"/>
    <x v="0"/>
    <s v="SPXW"/>
    <x v="10"/>
    <x v="179"/>
    <s v="p"/>
    <n v="30.58"/>
    <n v="44.58"/>
    <n v="24.92"/>
    <n v="36.99"/>
    <n v="63"/>
    <n v="13"/>
    <n v="37"/>
    <n v="21"/>
    <n v="37.4"/>
    <n v="0"/>
    <n v="0"/>
    <n v="0"/>
    <n v="0"/>
    <n v="0.17319999999999999"/>
    <n v="-0.27560000000000001"/>
    <n v="1.5E-3"/>
    <n v="-3.3243"/>
    <n v="4.2065000000000001"/>
    <n v="-0.60640000000000005"/>
    <n v="21"/>
    <n v="37"/>
    <n v="24"/>
    <n v="37.5"/>
    <n v="0"/>
    <n v="0"/>
    <n v="36.4148"/>
    <n v="244"/>
    <n v="0"/>
  </r>
  <r>
    <x v="0"/>
    <x v="0"/>
    <s v="SPXW"/>
    <x v="10"/>
    <x v="180"/>
    <s v="p"/>
    <n v="26.6"/>
    <n v="45.77"/>
    <n v="26.09"/>
    <n v="38.49"/>
    <n v="12"/>
    <n v="20"/>
    <n v="38"/>
    <n v="15"/>
    <n v="38.4"/>
    <n v="0"/>
    <n v="0"/>
    <n v="0"/>
    <n v="0"/>
    <n v="0.1721"/>
    <n v="-0.2823"/>
    <n v="1.6000000000000001E-3"/>
    <n v="-3.3454999999999999"/>
    <n v="4.2548000000000004"/>
    <n v="-0.62139999999999995"/>
    <n v="12"/>
    <n v="38.1"/>
    <n v="10"/>
    <n v="38.5"/>
    <n v="0"/>
    <n v="0"/>
    <n v="35.947499999999998"/>
    <n v="88"/>
    <n v="0"/>
  </r>
  <r>
    <x v="0"/>
    <x v="0"/>
    <s v="SPXW"/>
    <x v="10"/>
    <x v="181"/>
    <s v="p"/>
    <n v="32.619999999999997"/>
    <n v="49.77"/>
    <n v="26.86"/>
    <n v="37.9"/>
    <n v="111"/>
    <n v="12"/>
    <n v="39.1"/>
    <n v="20"/>
    <n v="39.5"/>
    <n v="0"/>
    <n v="0"/>
    <n v="0"/>
    <n v="0"/>
    <n v="0.17119999999999999"/>
    <n v="-0.28939999999999999"/>
    <n v="1.6000000000000001E-3"/>
    <n v="-3.3696999999999999"/>
    <n v="4.3038999999999996"/>
    <n v="-0.63729999999999998"/>
    <n v="12"/>
    <n v="39.200000000000003"/>
    <n v="10"/>
    <n v="39.6"/>
    <n v="0"/>
    <n v="0"/>
    <n v="37.374099999999999"/>
    <n v="265"/>
    <n v="0"/>
  </r>
  <r>
    <x v="0"/>
    <x v="0"/>
    <s v="SPXW"/>
    <x v="10"/>
    <x v="182"/>
    <s v="p"/>
    <n v="33.770000000000003"/>
    <n v="49.39"/>
    <n v="33.770000000000003"/>
    <n v="40.72"/>
    <n v="59"/>
    <n v="12"/>
    <n v="40.200000000000003"/>
    <n v="3"/>
    <n v="40.5"/>
    <n v="0"/>
    <n v="0"/>
    <n v="0"/>
    <n v="0"/>
    <n v="0.17030000000000001"/>
    <n v="-0.29649999999999999"/>
    <n v="1.6000000000000001E-3"/>
    <n v="-3.3910999999999998"/>
    <n v="4.3513000000000002"/>
    <n v="-0.65339999999999998"/>
    <n v="12"/>
    <n v="40.299999999999997"/>
    <n v="10"/>
    <n v="40.700000000000003"/>
    <n v="0"/>
    <n v="0"/>
    <n v="43.372399999999999"/>
    <n v="223"/>
    <n v="0"/>
  </r>
  <r>
    <x v="0"/>
    <x v="0"/>
    <s v="SPXW"/>
    <x v="10"/>
    <x v="183"/>
    <s v="p"/>
    <n v="34.82"/>
    <n v="52.94"/>
    <n v="27.5"/>
    <n v="40.4"/>
    <n v="2059"/>
    <n v="19"/>
    <n v="41.3"/>
    <n v="7"/>
    <n v="41.6"/>
    <n v="0"/>
    <n v="0"/>
    <n v="0"/>
    <n v="0"/>
    <n v="0.16919999999999999"/>
    <n v="-0.30370000000000003"/>
    <n v="1.6999999999999999E-3"/>
    <n v="-3.4095"/>
    <n v="4.3970000000000002"/>
    <n v="-0.66959999999999997"/>
    <n v="27"/>
    <n v="41.4"/>
    <n v="19"/>
    <n v="41.9"/>
    <n v="0"/>
    <n v="0"/>
    <n v="33.676600000000001"/>
    <n v="2259"/>
    <n v="0"/>
  </r>
  <r>
    <x v="0"/>
    <x v="0"/>
    <s v="SPXW"/>
    <x v="10"/>
    <x v="184"/>
    <s v="p"/>
    <n v="29.56"/>
    <n v="49.05"/>
    <n v="28.65"/>
    <n v="41.4"/>
    <n v="72"/>
    <n v="20"/>
    <n v="42.4"/>
    <n v="15"/>
    <n v="42.8"/>
    <n v="0"/>
    <n v="0"/>
    <n v="0"/>
    <n v="0"/>
    <n v="0.1681"/>
    <n v="-0.311"/>
    <n v="1.6999999999999999E-3"/>
    <n v="-3.4249000000000001"/>
    <n v="4.4410999999999996"/>
    <n v="-0.68579999999999997"/>
    <n v="17"/>
    <n v="42.6"/>
    <n v="10"/>
    <n v="43"/>
    <n v="0"/>
    <n v="0"/>
    <n v="45.573099999999997"/>
    <n v="188"/>
    <n v="0"/>
  </r>
  <r>
    <x v="0"/>
    <x v="0"/>
    <s v="SPXW"/>
    <x v="10"/>
    <x v="185"/>
    <s v="p"/>
    <n v="36.5"/>
    <n v="54.08"/>
    <n v="29.79"/>
    <n v="43.6"/>
    <n v="106"/>
    <n v="15"/>
    <n v="43.6"/>
    <n v="13"/>
    <n v="44"/>
    <n v="0"/>
    <n v="0"/>
    <n v="0"/>
    <n v="0"/>
    <n v="0.16719999999999999"/>
    <n v="-0.31859999999999999"/>
    <n v="1.6999999999999999E-3"/>
    <n v="-3.4430000000000001"/>
    <n v="4.4847000000000001"/>
    <n v="-0.7026"/>
    <n v="12"/>
    <n v="43.8"/>
    <n v="10"/>
    <n v="44.2"/>
    <n v="0"/>
    <n v="0"/>
    <n v="37.488900000000001"/>
    <n v="454"/>
    <n v="0"/>
  </r>
  <r>
    <x v="0"/>
    <x v="0"/>
    <s v="SPXW"/>
    <x v="10"/>
    <x v="186"/>
    <s v="p"/>
    <n v="36.200000000000003"/>
    <n v="50.05"/>
    <n v="33.380000000000003"/>
    <n v="45.24"/>
    <n v="39"/>
    <n v="15"/>
    <n v="44.8"/>
    <n v="13"/>
    <n v="45.2"/>
    <n v="0"/>
    <n v="0"/>
    <n v="0"/>
    <n v="0"/>
    <n v="0.16619999999999999"/>
    <n v="-0.32629999999999998"/>
    <n v="1.6999999999999999E-3"/>
    <n v="-3.4579"/>
    <n v="4.5270000000000001"/>
    <n v="-0.71950000000000003"/>
    <n v="16"/>
    <n v="45"/>
    <n v="26"/>
    <n v="45.6"/>
    <n v="0"/>
    <n v="0"/>
    <n v="44.223300000000002"/>
    <n v="282"/>
    <n v="0"/>
  </r>
  <r>
    <x v="0"/>
    <x v="0"/>
    <s v="SPXW"/>
    <x v="10"/>
    <x v="187"/>
    <s v="p"/>
    <n v="39.53"/>
    <n v="56"/>
    <n v="31.55"/>
    <n v="46.45"/>
    <n v="82"/>
    <n v="19"/>
    <n v="46"/>
    <n v="18"/>
    <n v="46.5"/>
    <n v="0"/>
    <n v="0"/>
    <n v="0"/>
    <n v="0"/>
    <n v="0.1653"/>
    <n v="-0.33429999999999999"/>
    <n v="1.8E-3"/>
    <n v="-3.4750000000000001"/>
    <n v="4.569"/>
    <n v="-0.73709999999999998"/>
    <n v="18"/>
    <n v="46.2"/>
    <n v="9"/>
    <n v="46.7"/>
    <n v="0"/>
    <n v="0"/>
    <n v="44.4499"/>
    <n v="351"/>
    <n v="0"/>
  </r>
  <r>
    <x v="0"/>
    <x v="0"/>
    <s v="SPXW"/>
    <x v="10"/>
    <x v="188"/>
    <s v="p"/>
    <n v="40.479999999999997"/>
    <n v="59.38"/>
    <n v="32.94"/>
    <n v="47.11"/>
    <n v="254"/>
    <n v="15"/>
    <n v="47.3"/>
    <n v="9"/>
    <n v="47.7"/>
    <n v="0"/>
    <n v="0"/>
    <n v="0"/>
    <n v="0"/>
    <n v="0.1641"/>
    <n v="-0.3422"/>
    <n v="1.8E-3"/>
    <n v="-3.4832000000000001"/>
    <n v="4.6089000000000002"/>
    <n v="-0.75470000000000004"/>
    <n v="16"/>
    <n v="47.6"/>
    <n v="9"/>
    <n v="48"/>
    <n v="0"/>
    <n v="0"/>
    <n v="46.575200000000002"/>
    <n v="353"/>
    <n v="0"/>
  </r>
  <r>
    <x v="0"/>
    <x v="0"/>
    <s v="SPXW"/>
    <x v="10"/>
    <x v="189"/>
    <s v="p"/>
    <n v="38.44"/>
    <n v="60.7"/>
    <n v="33.65"/>
    <n v="49.3"/>
    <n v="142"/>
    <n v="18"/>
    <n v="48.6"/>
    <n v="11"/>
    <n v="49"/>
    <n v="0"/>
    <n v="0"/>
    <n v="0"/>
    <n v="0"/>
    <n v="0.16309999999999999"/>
    <n v="-0.35039999999999999"/>
    <n v="1.8E-3"/>
    <n v="-3.4933999999999998"/>
    <n v="4.6482999999999999"/>
    <n v="-0.77310000000000001"/>
    <n v="21"/>
    <n v="48.9"/>
    <n v="18"/>
    <n v="49.4"/>
    <n v="0"/>
    <n v="0"/>
    <n v="49.334400000000002"/>
    <n v="331"/>
    <n v="0"/>
  </r>
  <r>
    <x v="0"/>
    <x v="0"/>
    <s v="SPXW"/>
    <x v="10"/>
    <x v="190"/>
    <s v="p"/>
    <n v="40.880000000000003"/>
    <n v="54.46"/>
    <n v="34.46"/>
    <n v="50.27"/>
    <n v="85"/>
    <n v="10"/>
    <n v="50"/>
    <n v="11"/>
    <n v="50.4"/>
    <n v="0"/>
    <n v="0"/>
    <n v="0"/>
    <n v="0"/>
    <n v="0.16209999999999999"/>
    <n v="-0.35880000000000001"/>
    <n v="1.8E-3"/>
    <n v="-3.5024999999999999"/>
    <n v="4.6863000000000001"/>
    <n v="-0.79200000000000004"/>
    <n v="16"/>
    <n v="50.3"/>
    <n v="19"/>
    <n v="50.8"/>
    <n v="0"/>
    <n v="0"/>
    <n v="48.668900000000001"/>
    <n v="168"/>
    <n v="0"/>
  </r>
  <r>
    <x v="0"/>
    <x v="0"/>
    <s v="SPXW"/>
    <x v="10"/>
    <x v="191"/>
    <s v="p"/>
    <n v="42.75"/>
    <n v="64.599999999999994"/>
    <n v="35.21"/>
    <n v="52.19"/>
    <n v="228"/>
    <n v="10"/>
    <n v="51.4"/>
    <n v="11"/>
    <n v="51.8"/>
    <n v="0"/>
    <n v="0"/>
    <n v="0"/>
    <n v="0"/>
    <n v="0.16120000000000001"/>
    <n v="-0.36749999999999999"/>
    <n v="1.9E-3"/>
    <n v="-3.5131000000000001"/>
    <n v="4.7229000000000001"/>
    <n v="-0.8115"/>
    <n v="16"/>
    <n v="51.7"/>
    <n v="18"/>
    <n v="52.2"/>
    <n v="0"/>
    <n v="0"/>
    <n v="49.9129"/>
    <n v="175"/>
    <n v="0"/>
  </r>
  <r>
    <x v="0"/>
    <x v="0"/>
    <s v="SPXW"/>
    <x v="10"/>
    <x v="192"/>
    <s v="p"/>
    <n v="47.35"/>
    <n v="64.680000000000007"/>
    <n v="37.700000000000003"/>
    <n v="51.71"/>
    <n v="39"/>
    <n v="10"/>
    <n v="52.8"/>
    <n v="11"/>
    <n v="53.2"/>
    <n v="0"/>
    <n v="0"/>
    <n v="0"/>
    <n v="0"/>
    <n v="0.16009999999999999"/>
    <n v="-0.37609999999999999"/>
    <n v="1.9E-3"/>
    <n v="-3.5173000000000001"/>
    <n v="4.7567000000000004"/>
    <n v="-0.83079999999999998"/>
    <n v="18"/>
    <n v="53.1"/>
    <n v="8"/>
    <n v="53.6"/>
    <n v="0"/>
    <n v="0"/>
    <n v="50.817700000000002"/>
    <n v="299"/>
    <n v="0"/>
  </r>
  <r>
    <x v="0"/>
    <x v="0"/>
    <s v="SPXW"/>
    <x v="10"/>
    <x v="193"/>
    <s v="p"/>
    <n v="46.13"/>
    <n v="67.3"/>
    <n v="37.51"/>
    <n v="54.81"/>
    <n v="704"/>
    <n v="16"/>
    <n v="54.3"/>
    <n v="21"/>
    <n v="54.7"/>
    <n v="0"/>
    <n v="0"/>
    <n v="0"/>
    <n v="0"/>
    <n v="0.159"/>
    <n v="-0.38500000000000001"/>
    <n v="1.9E-3"/>
    <n v="-3.5203000000000002"/>
    <n v="4.7885999999999997"/>
    <n v="-0.85029999999999994"/>
    <n v="28"/>
    <n v="54.6"/>
    <n v="12"/>
    <n v="55.1"/>
    <n v="0"/>
    <n v="0"/>
    <n v="52.822000000000003"/>
    <n v="1188"/>
    <n v="0"/>
  </r>
  <r>
    <x v="0"/>
    <x v="0"/>
    <s v="SPXW"/>
    <x v="10"/>
    <x v="194"/>
    <s v="p"/>
    <n v="48.67"/>
    <n v="69.61"/>
    <n v="38.520000000000003"/>
    <n v="54.39"/>
    <n v="3220"/>
    <n v="9"/>
    <n v="55.8"/>
    <n v="10"/>
    <n v="56.2"/>
    <n v="0"/>
    <n v="0"/>
    <n v="0"/>
    <n v="0"/>
    <n v="0.15809999999999999"/>
    <n v="-0.39410000000000001"/>
    <n v="1.9E-3"/>
    <n v="-3.5243000000000002"/>
    <n v="4.8188000000000004"/>
    <n v="-0.87039999999999995"/>
    <n v="10"/>
    <n v="56.2"/>
    <n v="1"/>
    <n v="56.7"/>
    <n v="0"/>
    <n v="0"/>
    <n v="43.9099"/>
    <n v="328"/>
    <n v="0"/>
  </r>
  <r>
    <x v="0"/>
    <x v="0"/>
    <s v="SPXW"/>
    <x v="10"/>
    <x v="195"/>
    <s v="p"/>
    <n v="49.42"/>
    <n v="71.349999999999994"/>
    <n v="40.39"/>
    <n v="57.4"/>
    <n v="554"/>
    <n v="4"/>
    <n v="57.3"/>
    <n v="1"/>
    <n v="57.7"/>
    <n v="0"/>
    <n v="0"/>
    <n v="0"/>
    <n v="0"/>
    <n v="0.157"/>
    <n v="-0.4032"/>
    <n v="2E-3"/>
    <n v="-3.5217999999999998"/>
    <n v="4.8468"/>
    <n v="-0.89059999999999995"/>
    <n v="22"/>
    <n v="57.7"/>
    <n v="7"/>
    <n v="58.2"/>
    <n v="0"/>
    <n v="0"/>
    <n v="58.576700000000002"/>
    <n v="431"/>
    <n v="0"/>
  </r>
  <r>
    <x v="0"/>
    <x v="0"/>
    <s v="SPXW"/>
    <x v="10"/>
    <x v="196"/>
    <s v="p"/>
    <n v="46.4"/>
    <n v="70.48"/>
    <n v="41.44"/>
    <n v="58.2"/>
    <n v="1279"/>
    <n v="28"/>
    <n v="58.8"/>
    <n v="1"/>
    <n v="59.3"/>
    <n v="0"/>
    <n v="0"/>
    <n v="0"/>
    <n v="0"/>
    <n v="0.156"/>
    <n v="-0.41260000000000002"/>
    <n v="2E-3"/>
    <n v="-3.5204"/>
    <n v="4.8728999999999996"/>
    <n v="-0.91149999999999998"/>
    <n v="22"/>
    <n v="59.3"/>
    <n v="7"/>
    <n v="59.8"/>
    <n v="0"/>
    <n v="0"/>
    <n v="57.381"/>
    <n v="2370"/>
    <n v="0"/>
  </r>
  <r>
    <x v="0"/>
    <x v="0"/>
    <s v="SPXW"/>
    <x v="10"/>
    <x v="197"/>
    <s v="p"/>
    <n v="52.12"/>
    <n v="73.91"/>
    <n v="42.47"/>
    <n v="61.93"/>
    <n v="306"/>
    <n v="4"/>
    <n v="60.5"/>
    <n v="1"/>
    <n v="60.9"/>
    <n v="0"/>
    <n v="0"/>
    <n v="0"/>
    <n v="0"/>
    <n v="0.15490000000000001"/>
    <n v="-0.42220000000000002"/>
    <n v="2E-3"/>
    <n v="-3.5137999999999998"/>
    <n v="4.8971"/>
    <n v="-0.93310000000000004"/>
    <n v="17"/>
    <n v="61"/>
    <n v="7"/>
    <n v="61.5"/>
    <n v="0"/>
    <n v="0"/>
    <n v="55.179000000000002"/>
    <n v="508"/>
    <n v="0"/>
  </r>
  <r>
    <x v="0"/>
    <x v="0"/>
    <s v="SPXW"/>
    <x v="10"/>
    <x v="198"/>
    <s v="p"/>
    <n v="53.71"/>
    <n v="76.599999999999994"/>
    <n v="43.42"/>
    <n v="63.32"/>
    <n v="203"/>
    <n v="13"/>
    <n v="62.2"/>
    <n v="14"/>
    <n v="62.6"/>
    <n v="0"/>
    <n v="0"/>
    <n v="0"/>
    <n v="0"/>
    <n v="0.15390000000000001"/>
    <n v="-0.43190000000000001"/>
    <n v="2E-3"/>
    <n v="-3.5081000000000002"/>
    <n v="4.9187000000000003"/>
    <n v="-0.95509999999999995"/>
    <n v="27"/>
    <n v="62.7"/>
    <n v="7"/>
    <n v="63.2"/>
    <n v="0"/>
    <n v="0"/>
    <n v="57.520600000000002"/>
    <n v="352"/>
    <n v="0"/>
  </r>
  <r>
    <x v="0"/>
    <x v="0"/>
    <s v="SPXW"/>
    <x v="10"/>
    <x v="199"/>
    <s v="p"/>
    <n v="54.2"/>
    <n v="78.849999999999994"/>
    <n v="44.95"/>
    <n v="64.45"/>
    <n v="317"/>
    <n v="16"/>
    <n v="63.9"/>
    <n v="1"/>
    <n v="64.3"/>
    <n v="0"/>
    <n v="0"/>
    <n v="0"/>
    <n v="0"/>
    <n v="0.15279999999999999"/>
    <n v="-0.44180000000000003"/>
    <n v="2.0999999999999999E-3"/>
    <n v="-3.4977999999999998"/>
    <n v="4.9375"/>
    <n v="-0.97719999999999996"/>
    <n v="10"/>
    <n v="64.5"/>
    <n v="13"/>
    <n v="65"/>
    <n v="0"/>
    <n v="0"/>
    <n v="57.876800000000003"/>
    <n v="208"/>
    <n v="0"/>
  </r>
  <r>
    <x v="0"/>
    <x v="0"/>
    <s v="SPXW"/>
    <x v="10"/>
    <x v="200"/>
    <s v="p"/>
    <n v="54.89"/>
    <n v="77.08"/>
    <n v="46.28"/>
    <n v="66.44"/>
    <n v="103"/>
    <n v="27"/>
    <n v="65.599999999999994"/>
    <n v="9"/>
    <n v="66.099999999999994"/>
    <n v="0"/>
    <n v="0"/>
    <n v="0"/>
    <n v="0"/>
    <n v="0.15179999999999999"/>
    <n v="-0.45179999999999998"/>
    <n v="2.0999999999999999E-3"/>
    <n v="-3.4876999999999998"/>
    <n v="4.9535"/>
    <n v="-0.99960000000000004"/>
    <n v="10"/>
    <n v="66.3"/>
    <n v="13"/>
    <n v="66.8"/>
    <n v="0"/>
    <n v="0"/>
    <n v="61.071399999999997"/>
    <n v="63"/>
    <n v="0"/>
  </r>
  <r>
    <x v="0"/>
    <x v="0"/>
    <s v="SPXW"/>
    <x v="10"/>
    <x v="201"/>
    <s v="p"/>
    <n v="58.18"/>
    <n v="81.81"/>
    <n v="47.47"/>
    <n v="68.8"/>
    <n v="134"/>
    <n v="27"/>
    <n v="67.400000000000006"/>
    <n v="1"/>
    <n v="67.900000000000006"/>
    <n v="0"/>
    <n v="0"/>
    <n v="0"/>
    <n v="0"/>
    <n v="0.15079999999999999"/>
    <n v="-0.46200000000000002"/>
    <n v="2.0999999999999999E-3"/>
    <n v="-3.4729000000000001"/>
    <n v="4.9664999999999999"/>
    <n v="-1.022"/>
    <n v="21"/>
    <n v="68.099999999999994"/>
    <n v="7"/>
    <n v="68.599999999999994"/>
    <n v="0"/>
    <n v="0"/>
    <n v="64.649000000000001"/>
    <n v="173"/>
    <n v="0"/>
  </r>
  <r>
    <x v="0"/>
    <x v="0"/>
    <s v="SPXW"/>
    <x v="10"/>
    <x v="202"/>
    <s v="p"/>
    <n v="56.1"/>
    <n v="85.32"/>
    <n v="49.34"/>
    <n v="70.599999999999994"/>
    <n v="58"/>
    <n v="8"/>
    <n v="69.400000000000006"/>
    <n v="9"/>
    <n v="69.8"/>
    <n v="0"/>
    <n v="0"/>
    <n v="0"/>
    <n v="0"/>
    <n v="0.14960000000000001"/>
    <n v="-0.47239999999999999"/>
    <n v="2.0999999999999999E-3"/>
    <n v="-3.4533999999999998"/>
    <n v="4.9766000000000004"/>
    <n v="-1.0448999999999999"/>
    <n v="11"/>
    <n v="70"/>
    <n v="7"/>
    <n v="70.5"/>
    <n v="0"/>
    <n v="0"/>
    <n v="68.429000000000002"/>
    <n v="188"/>
    <n v="0"/>
  </r>
  <r>
    <x v="0"/>
    <x v="0"/>
    <s v="SPXW"/>
    <x v="10"/>
    <x v="203"/>
    <s v="p"/>
    <n v="60.66"/>
    <n v="89"/>
    <n v="50.3"/>
    <n v="72"/>
    <n v="2271"/>
    <n v="32"/>
    <n v="71.2"/>
    <n v="6"/>
    <n v="71.7"/>
    <n v="0"/>
    <n v="0"/>
    <n v="0"/>
    <n v="0"/>
    <n v="0.14860000000000001"/>
    <n v="-0.4829"/>
    <n v="2.0999999999999999E-3"/>
    <n v="-3.4359999999999999"/>
    <n v="4.9836999999999998"/>
    <n v="-1.0685"/>
    <n v="15"/>
    <n v="72"/>
    <n v="12"/>
    <n v="72.5"/>
    <n v="0"/>
    <n v="0"/>
    <n v="60.645299999999999"/>
    <n v="847"/>
    <n v="0"/>
  </r>
  <r>
    <x v="0"/>
    <x v="0"/>
    <s v="SPXW"/>
    <x v="10"/>
    <x v="204"/>
    <s v="p"/>
    <n v="60.24"/>
    <n v="81"/>
    <n v="52.5"/>
    <n v="71.790000000000006"/>
    <n v="38"/>
    <n v="26"/>
    <n v="73.2"/>
    <n v="1"/>
    <n v="73.599999999999994"/>
    <n v="0"/>
    <n v="0"/>
    <n v="0"/>
    <n v="0"/>
    <n v="0.14749999999999999"/>
    <n v="-0.49359999999999998"/>
    <n v="2.2000000000000001E-3"/>
    <n v="-3.4135"/>
    <n v="4.9874999999999998"/>
    <n v="-1.0926"/>
    <n v="11"/>
    <n v="74"/>
    <n v="7"/>
    <n v="74.5"/>
    <n v="0"/>
    <n v="0"/>
    <n v="69.195800000000006"/>
    <n v="161"/>
    <n v="0"/>
  </r>
  <r>
    <x v="0"/>
    <x v="0"/>
    <s v="SPXW"/>
    <x v="10"/>
    <x v="205"/>
    <s v="p"/>
    <n v="61.24"/>
    <n v="85"/>
    <n v="53.85"/>
    <n v="75.75"/>
    <n v="193"/>
    <n v="22"/>
    <n v="75.2"/>
    <n v="1"/>
    <n v="75.7"/>
    <n v="0"/>
    <n v="0"/>
    <n v="0"/>
    <n v="0"/>
    <n v="0.14660000000000001"/>
    <n v="-0.50439999999999996"/>
    <n v="2.2000000000000001E-3"/>
    <n v="-3.3904999999999998"/>
    <n v="4.9878999999999998"/>
    <n v="-1.1172"/>
    <n v="11"/>
    <n v="76"/>
    <n v="7"/>
    <n v="76.5"/>
    <n v="0"/>
    <n v="0"/>
    <n v="64.764399999999995"/>
    <n v="309"/>
    <n v="0"/>
  </r>
  <r>
    <x v="0"/>
    <x v="0"/>
    <s v="SPXW"/>
    <x v="10"/>
    <x v="206"/>
    <s v="p"/>
    <n v="66.58"/>
    <n v="90.28"/>
    <n v="55.43"/>
    <n v="75.63"/>
    <n v="68"/>
    <n v="8"/>
    <n v="77.400000000000006"/>
    <n v="1"/>
    <n v="77.7"/>
    <n v="0"/>
    <n v="0"/>
    <n v="0"/>
    <n v="0"/>
    <n v="0.14549999999999999"/>
    <n v="-0.51539999999999997"/>
    <n v="2.2000000000000001E-3"/>
    <n v="-3.3622000000000001"/>
    <n v="4.9847999999999999"/>
    <n v="-1.1417999999999999"/>
    <n v="11"/>
    <n v="78.099999999999994"/>
    <n v="13"/>
    <n v="78.8"/>
    <n v="0"/>
    <n v="0"/>
    <n v="64.832400000000007"/>
    <n v="453"/>
    <n v="0"/>
  </r>
  <r>
    <x v="0"/>
    <x v="0"/>
    <s v="SPXW"/>
    <x v="10"/>
    <x v="207"/>
    <s v="p"/>
    <n v="69.040000000000006"/>
    <n v="91.24"/>
    <n v="57.12"/>
    <n v="78.900000000000006"/>
    <n v="129"/>
    <n v="11"/>
    <n v="79.400000000000006"/>
    <n v="1"/>
    <n v="79.900000000000006"/>
    <n v="0"/>
    <n v="0"/>
    <n v="0"/>
    <n v="0"/>
    <n v="0.14449999999999999"/>
    <n v="-0.52649999999999997"/>
    <n v="2.2000000000000001E-3"/>
    <n v="-3.3355999999999999"/>
    <n v="4.9779999999999998"/>
    <n v="-1.1664000000000001"/>
    <n v="11"/>
    <n v="80.3"/>
    <n v="7"/>
    <n v="80.8"/>
    <n v="0"/>
    <n v="0"/>
    <n v="64.112799999999993"/>
    <n v="582"/>
    <n v="0"/>
  </r>
  <r>
    <x v="0"/>
    <x v="0"/>
    <s v="SPXW"/>
    <x v="10"/>
    <x v="208"/>
    <s v="p"/>
    <n v="72.14"/>
    <n v="105.85"/>
    <n v="59"/>
    <n v="82.62"/>
    <n v="402"/>
    <n v="16"/>
    <n v="81.599999999999994"/>
    <n v="6"/>
    <n v="82.1"/>
    <n v="0"/>
    <n v="0"/>
    <n v="0"/>
    <n v="0"/>
    <n v="0.14330000000000001"/>
    <n v="-0.53769999999999996"/>
    <n v="2.2000000000000001E-3"/>
    <n v="-3.2989999999999999"/>
    <n v="4.9675000000000002"/>
    <n v="-1.1913"/>
    <n v="15"/>
    <n v="82.5"/>
    <n v="7"/>
    <n v="83"/>
    <n v="0"/>
    <n v="0"/>
    <n v="73.519800000000004"/>
    <n v="5440"/>
    <n v="0"/>
  </r>
  <r>
    <x v="0"/>
    <x v="0"/>
    <s v="SPXW"/>
    <x v="10"/>
    <x v="209"/>
    <s v="p"/>
    <n v="72.569999999999993"/>
    <n v="94.2"/>
    <n v="61.1"/>
    <n v="85.8"/>
    <n v="172"/>
    <n v="11"/>
    <n v="83.8"/>
    <n v="1"/>
    <n v="84.3"/>
    <n v="0"/>
    <n v="0"/>
    <n v="0"/>
    <n v="0"/>
    <n v="0.1424"/>
    <n v="-0.54910000000000003"/>
    <n v="2.2000000000000001E-3"/>
    <n v="-3.2662"/>
    <n v="4.9531000000000001"/>
    <n v="-1.2165999999999999"/>
    <n v="9"/>
    <n v="84.8"/>
    <n v="6"/>
    <n v="85.3"/>
    <n v="0"/>
    <n v="0"/>
    <n v="69.688100000000006"/>
    <n v="551"/>
    <n v="0"/>
  </r>
  <r>
    <x v="0"/>
    <x v="0"/>
    <s v="SPXW"/>
    <x v="10"/>
    <x v="210"/>
    <s v="p"/>
    <n v="76.599999999999994"/>
    <n v="90.2"/>
    <n v="63.1"/>
    <n v="90.2"/>
    <n v="58"/>
    <n v="7"/>
    <n v="86.2"/>
    <n v="1"/>
    <n v="86.6"/>
    <n v="0"/>
    <n v="0"/>
    <n v="0"/>
    <n v="0"/>
    <n v="0.14130000000000001"/>
    <n v="-0.56059999999999999"/>
    <n v="2.2000000000000001E-3"/>
    <n v="-3.2279"/>
    <n v="4.9344000000000001"/>
    <n v="-1.2424999999999999"/>
    <n v="9"/>
    <n v="87.2"/>
    <n v="12"/>
    <n v="87.8"/>
    <n v="0"/>
    <n v="0"/>
    <n v="69.987099999999998"/>
    <n v="181"/>
    <n v="0"/>
  </r>
  <r>
    <x v="0"/>
    <x v="0"/>
    <s v="SPXW"/>
    <x v="10"/>
    <x v="211"/>
    <s v="p"/>
    <n v="71.400000000000006"/>
    <n v="105.43"/>
    <n v="64.430000000000007"/>
    <n v="88.92"/>
    <n v="204"/>
    <n v="7"/>
    <n v="88.6"/>
    <n v="1"/>
    <n v="89"/>
    <n v="0"/>
    <n v="0"/>
    <n v="0"/>
    <n v="0"/>
    <n v="0.14030000000000001"/>
    <n v="-0.57220000000000004"/>
    <n v="2.2000000000000001E-3"/>
    <n v="-3.1861000000000002"/>
    <n v="4.9112"/>
    <n v="-1.2688999999999999"/>
    <n v="9"/>
    <n v="89.6"/>
    <n v="7"/>
    <n v="90.2"/>
    <n v="0"/>
    <n v="0"/>
    <n v="83.866399999999999"/>
    <n v="89"/>
    <n v="0"/>
  </r>
  <r>
    <x v="0"/>
    <x v="0"/>
    <s v="SPXW"/>
    <x v="10"/>
    <x v="212"/>
    <s v="p"/>
    <n v="79.650000000000006"/>
    <n v="105.03"/>
    <n v="67.02"/>
    <n v="90.9"/>
    <n v="201"/>
    <n v="7"/>
    <n v="91"/>
    <n v="1"/>
    <n v="91.4"/>
    <n v="0"/>
    <n v="0"/>
    <n v="0"/>
    <n v="0"/>
    <n v="0.13930000000000001"/>
    <n v="-0.58389999999999997"/>
    <n v="2.2000000000000001E-3"/>
    <n v="-3.1433"/>
    <n v="4.8838999999999997"/>
    <n v="-1.2952999999999999"/>
    <n v="8"/>
    <n v="92"/>
    <n v="6"/>
    <n v="92.5"/>
    <n v="0"/>
    <n v="0"/>
    <n v="70.254499999999993"/>
    <n v="83"/>
    <n v="0"/>
  </r>
  <r>
    <x v="0"/>
    <x v="0"/>
    <s v="SPXW"/>
    <x v="10"/>
    <x v="213"/>
    <s v="p"/>
    <n v="80.099999999999994"/>
    <n v="110.7"/>
    <n v="68.69"/>
    <n v="95.42"/>
    <n v="201"/>
    <n v="7"/>
    <n v="93.6"/>
    <n v="1"/>
    <n v="93.9"/>
    <n v="0"/>
    <n v="0"/>
    <n v="0"/>
    <n v="0"/>
    <n v="0.13819999999999999"/>
    <n v="-0.59560000000000002"/>
    <n v="2.2000000000000001E-3"/>
    <n v="-3.0972"/>
    <n v="4.8525999999999998"/>
    <n v="-1.3214999999999999"/>
    <n v="7"/>
    <n v="94.5"/>
    <n v="6"/>
    <n v="95.2"/>
    <n v="0"/>
    <n v="0"/>
    <n v="91.414199999999994"/>
    <n v="355"/>
    <n v="0"/>
  </r>
  <r>
    <x v="0"/>
    <x v="0"/>
    <s v="SPXW"/>
    <x v="10"/>
    <x v="214"/>
    <s v="p"/>
    <n v="99.03"/>
    <n v="99.06"/>
    <n v="96.02"/>
    <n v="96.02"/>
    <n v="5"/>
    <n v="6"/>
    <n v="96"/>
    <n v="6"/>
    <n v="96.6"/>
    <n v="0"/>
    <n v="0"/>
    <n v="0"/>
    <n v="0"/>
    <n v="0.13730000000000001"/>
    <n v="-0.60740000000000005"/>
    <n v="2.2000000000000001E-3"/>
    <n v="-3.0501"/>
    <n v="4.8174000000000001"/>
    <n v="-1.3475999999999999"/>
    <n v="7"/>
    <n v="97.1"/>
    <n v="6"/>
    <n v="97.6"/>
    <n v="0"/>
    <n v="0"/>
    <n v="97.451999999999998"/>
    <n v="79"/>
    <n v="0"/>
  </r>
  <r>
    <x v="0"/>
    <x v="0"/>
    <s v="SPXW"/>
    <x v="10"/>
    <x v="215"/>
    <s v="p"/>
    <n v="86.44"/>
    <n v="106.63"/>
    <n v="73.05"/>
    <n v="98.07"/>
    <n v="63"/>
    <n v="6"/>
    <n v="98.6"/>
    <n v="6"/>
    <n v="99.2"/>
    <n v="0"/>
    <n v="0"/>
    <n v="0"/>
    <n v="0"/>
    <n v="0.13619999999999999"/>
    <n v="-0.61939999999999995"/>
    <n v="2.2000000000000001E-3"/>
    <n v="-2.9969999999999999"/>
    <n v="4.7773000000000003"/>
    <n v="-1.3743000000000001"/>
    <n v="7"/>
    <n v="99.8"/>
    <n v="6"/>
    <n v="100.4"/>
    <n v="0"/>
    <n v="0"/>
    <n v="91.941100000000006"/>
    <n v="158"/>
    <n v="0"/>
  </r>
  <r>
    <x v="0"/>
    <x v="0"/>
    <s v="SPXW"/>
    <x v="10"/>
    <x v="216"/>
    <s v="p"/>
    <n v="81.8"/>
    <n v="81.8"/>
    <n v="81.8"/>
    <n v="81.8"/>
    <n v="7"/>
    <n v="6"/>
    <n v="101.4"/>
    <n v="6"/>
    <n v="102"/>
    <n v="0"/>
    <n v="0"/>
    <n v="0"/>
    <n v="0"/>
    <n v="0.1353"/>
    <n v="-0.63119999999999998"/>
    <n v="2.2000000000000001E-3"/>
    <n v="-2.9456000000000002"/>
    <n v="4.7325999999999997"/>
    <n v="-1.4011"/>
    <n v="6"/>
    <n v="102.5"/>
    <n v="5"/>
    <n v="103"/>
    <n v="0"/>
    <n v="0"/>
    <n v="81.8"/>
    <n v="183"/>
    <n v="0"/>
  </r>
  <r>
    <x v="0"/>
    <x v="0"/>
    <s v="SPXW"/>
    <x v="10"/>
    <x v="217"/>
    <s v="p"/>
    <n v="91.36"/>
    <n v="118.2"/>
    <n v="84"/>
    <n v="112.49"/>
    <n v="12"/>
    <n v="5"/>
    <n v="104.2"/>
    <n v="5"/>
    <n v="104.8"/>
    <n v="0"/>
    <n v="0"/>
    <n v="0"/>
    <n v="0"/>
    <n v="0.1343"/>
    <n v="-0.64319999999999999"/>
    <n v="2.2000000000000001E-3"/>
    <n v="-2.8881000000000001"/>
    <n v="4.6822999999999997"/>
    <n v="-1.4285000000000001"/>
    <n v="6"/>
    <n v="105.2"/>
    <n v="5"/>
    <n v="105.8"/>
    <n v="0"/>
    <n v="0"/>
    <n v="92.323300000000003"/>
    <n v="588"/>
    <n v="0"/>
  </r>
  <r>
    <x v="0"/>
    <x v="0"/>
    <s v="SPXW"/>
    <x v="10"/>
    <x v="218"/>
    <s v="p"/>
    <n v="89"/>
    <n v="114.3"/>
    <n v="79.95"/>
    <n v="110.64"/>
    <n v="159"/>
    <n v="5"/>
    <n v="107"/>
    <n v="5"/>
    <n v="107.6"/>
    <n v="0"/>
    <n v="0"/>
    <n v="0"/>
    <n v="0"/>
    <n v="0.13339999999999999"/>
    <n v="-0.6552"/>
    <n v="2.2000000000000001E-3"/>
    <n v="-2.8296000000000001"/>
    <n v="4.6279000000000003"/>
    <n v="-1.4556"/>
    <n v="5"/>
    <n v="108.1"/>
    <n v="4"/>
    <n v="108.8"/>
    <n v="0"/>
    <n v="0"/>
    <n v="91.862499999999997"/>
    <n v="2450"/>
    <n v="0"/>
  </r>
  <r>
    <x v="0"/>
    <x v="0"/>
    <s v="SPXW"/>
    <x v="10"/>
    <x v="219"/>
    <s v="p"/>
    <n v="86.45"/>
    <n v="112.27"/>
    <n v="83.58"/>
    <n v="110.06"/>
    <n v="63"/>
    <n v="5"/>
    <n v="109.8"/>
    <n v="5"/>
    <n v="110.4"/>
    <n v="0"/>
    <n v="0"/>
    <n v="0"/>
    <n v="0"/>
    <n v="0.1321"/>
    <n v="-0.66759999999999997"/>
    <n v="2.2000000000000001E-3"/>
    <n v="-2.7593000000000001"/>
    <n v="4.5673000000000004"/>
    <n v="-1.4832000000000001"/>
    <n v="5"/>
    <n v="111"/>
    <n v="3"/>
    <n v="111.6"/>
    <n v="0"/>
    <n v="0"/>
    <n v="87.037000000000006"/>
    <n v="197"/>
    <n v="0"/>
  </r>
  <r>
    <x v="0"/>
    <x v="0"/>
    <s v="SPXW"/>
    <x v="10"/>
    <x v="220"/>
    <s v="p"/>
    <n v="93.2"/>
    <n v="93.2"/>
    <n v="85.8"/>
    <n v="85.8"/>
    <n v="11"/>
    <n v="4"/>
    <n v="112.8"/>
    <n v="4"/>
    <n v="113.4"/>
    <n v="0"/>
    <n v="0"/>
    <n v="0"/>
    <n v="0"/>
    <n v="0.13120000000000001"/>
    <n v="-0.67959999999999998"/>
    <n v="2.2000000000000001E-3"/>
    <n v="-2.6966000000000001"/>
    <n v="4.5049999999999999"/>
    <n v="-1.5098"/>
    <n v="4"/>
    <n v="114"/>
    <n v="3"/>
    <n v="114.5"/>
    <n v="0"/>
    <n v="0"/>
    <n v="92.527299999999997"/>
    <n v="13"/>
    <n v="0"/>
  </r>
  <r>
    <x v="0"/>
    <x v="0"/>
    <s v="SPXW"/>
    <x v="10"/>
    <x v="221"/>
    <s v="p"/>
    <n v="116.97"/>
    <n v="116.97"/>
    <n v="116.13"/>
    <n v="116.13"/>
    <n v="3"/>
    <n v="3"/>
    <n v="115.8"/>
    <n v="3"/>
    <n v="116.4"/>
    <n v="0"/>
    <n v="0"/>
    <n v="0"/>
    <n v="0"/>
    <n v="0.13009999999999999"/>
    <n v="-0.69169999999999998"/>
    <n v="2.2000000000000001E-3"/>
    <n v="-2.6278999999999999"/>
    <n v="4.4364999999999997"/>
    <n v="-1.5370999999999999"/>
    <n v="3"/>
    <n v="117"/>
    <n v="2"/>
    <n v="117.6"/>
    <n v="0"/>
    <n v="0"/>
    <n v="116.41"/>
    <n v="27"/>
    <n v="0"/>
  </r>
  <r>
    <x v="0"/>
    <x v="0"/>
    <s v="SPXW"/>
    <x v="10"/>
    <x v="222"/>
    <s v="p"/>
    <n v="127"/>
    <n v="127"/>
    <n v="127"/>
    <n v="127"/>
    <n v="1"/>
    <n v="8"/>
    <n v="116.8"/>
    <n v="8"/>
    <n v="121.2"/>
    <n v="0"/>
    <n v="0"/>
    <n v="0"/>
    <n v="0"/>
    <n v="0.12909999999999999"/>
    <n v="-0.70369999999999999"/>
    <n v="2.0999999999999999E-3"/>
    <n v="-2.5585"/>
    <n v="4.3628"/>
    <n v="-1.5645"/>
    <n v="8"/>
    <n v="118.2"/>
    <n v="8"/>
    <n v="122.7"/>
    <n v="0"/>
    <n v="0"/>
    <n v="127"/>
    <n v="45"/>
    <n v="0"/>
  </r>
  <r>
    <x v="0"/>
    <x v="0"/>
    <s v="SPXW"/>
    <x v="10"/>
    <x v="223"/>
    <s v="p"/>
    <n v="101.8"/>
    <n v="137.05000000000001"/>
    <n v="94.17"/>
    <n v="122.9"/>
    <n v="32"/>
    <n v="15"/>
    <n v="119.9"/>
    <n v="8"/>
    <n v="124.1"/>
    <n v="0"/>
    <n v="0"/>
    <n v="0"/>
    <n v="0"/>
    <n v="0.12770000000000001"/>
    <n v="-0.71619999999999995"/>
    <n v="2.0999999999999999E-3"/>
    <n v="-2.4763000000000002"/>
    <n v="4.2798999999999996"/>
    <n v="-1.593"/>
    <n v="14"/>
    <n v="121.4"/>
    <n v="8"/>
    <n v="125.4"/>
    <n v="0"/>
    <n v="0"/>
    <n v="122.6297"/>
    <n v="81"/>
    <n v="0"/>
  </r>
  <r>
    <x v="0"/>
    <x v="0"/>
    <s v="SPXW"/>
    <x v="10"/>
    <x v="224"/>
    <s v="p"/>
    <n v="108.79"/>
    <n v="108.79"/>
    <n v="108.79"/>
    <n v="108.79"/>
    <n v="1"/>
    <n v="7"/>
    <n v="122.9"/>
    <n v="7"/>
    <n v="127.5"/>
    <n v="0"/>
    <n v="0"/>
    <n v="0"/>
    <n v="0"/>
    <n v="0.12670000000000001"/>
    <n v="-0.72829999999999995"/>
    <n v="2.0999999999999999E-3"/>
    <n v="-2.4"/>
    <n v="4.1959999999999997"/>
    <n v="-1.62"/>
    <n v="7"/>
    <n v="124.6"/>
    <n v="7"/>
    <n v="129.19999999999999"/>
    <n v="0"/>
    <n v="0"/>
    <n v="108.79"/>
    <n v="10"/>
    <n v="0"/>
  </r>
  <r>
    <x v="0"/>
    <x v="0"/>
    <s v="SPXW"/>
    <x v="10"/>
    <x v="225"/>
    <s v="p"/>
    <n v="0"/>
    <n v="0"/>
    <n v="0"/>
    <n v="0"/>
    <n v="0"/>
    <n v="13"/>
    <n v="126.3"/>
    <n v="13"/>
    <n v="130.9"/>
    <n v="0"/>
    <n v="0"/>
    <n v="0"/>
    <n v="0"/>
    <n v="0.12590000000000001"/>
    <n v="-0.73970000000000002"/>
    <n v="2.0999999999999999E-3"/>
    <n v="-2.3304"/>
    <n v="4.1124999999999998"/>
    <n v="-1.6456"/>
    <n v="13"/>
    <n v="127.9"/>
    <n v="7"/>
    <n v="132.1"/>
    <n v="0"/>
    <n v="0"/>
    <n v="0"/>
    <n v="14"/>
    <n v="0"/>
  </r>
  <r>
    <x v="0"/>
    <x v="0"/>
    <s v="SPXW"/>
    <x v="10"/>
    <x v="226"/>
    <s v="p"/>
    <n v="0"/>
    <n v="0"/>
    <n v="0"/>
    <n v="0"/>
    <n v="0"/>
    <n v="7"/>
    <n v="129.80000000000001"/>
    <n v="7"/>
    <n v="134.4"/>
    <n v="0"/>
    <n v="0"/>
    <n v="0"/>
    <n v="0"/>
    <n v="0.12529999999999999"/>
    <n v="-0.75090000000000001"/>
    <n v="2E-3"/>
    <n v="-2.2616999999999998"/>
    <n v="4.0265000000000004"/>
    <n v="-1.6708000000000001"/>
    <n v="7"/>
    <n v="131.19999999999999"/>
    <n v="7"/>
    <n v="136"/>
    <n v="0"/>
    <n v="0"/>
    <n v="0"/>
    <n v="1"/>
    <n v="0"/>
  </r>
  <r>
    <x v="0"/>
    <x v="0"/>
    <s v="SPXW"/>
    <x v="10"/>
    <x v="227"/>
    <s v="p"/>
    <n v="121.63"/>
    <n v="121.63"/>
    <n v="121.63"/>
    <n v="121.63"/>
    <n v="3"/>
    <n v="7"/>
    <n v="133.1"/>
    <n v="7"/>
    <n v="137.6"/>
    <n v="0"/>
    <n v="0"/>
    <n v="0"/>
    <n v="0"/>
    <n v="0.12379999999999999"/>
    <n v="-0.76329999999999998"/>
    <n v="2E-3"/>
    <n v="-2.1694"/>
    <n v="3.9235000000000002"/>
    <n v="-1.6993"/>
    <n v="7"/>
    <n v="134.69999999999999"/>
    <n v="7"/>
    <n v="139.4"/>
    <n v="0"/>
    <n v="0"/>
    <n v="121.63"/>
    <n v="9"/>
    <n v="0"/>
  </r>
  <r>
    <x v="0"/>
    <x v="0"/>
    <s v="SPXW"/>
    <x v="10"/>
    <x v="228"/>
    <s v="p"/>
    <n v="0"/>
    <n v="0"/>
    <n v="0"/>
    <n v="0"/>
    <n v="0"/>
    <n v="7"/>
    <n v="136.6"/>
    <n v="7"/>
    <n v="141.5"/>
    <n v="0"/>
    <n v="0"/>
    <n v="0"/>
    <n v="0"/>
    <n v="0.1234"/>
    <n v="-0.77370000000000005"/>
    <n v="1.9E-3"/>
    <n v="-2.1051000000000002"/>
    <n v="3.8325"/>
    <n v="-1.7231000000000001"/>
    <n v="7"/>
    <n v="138.19999999999999"/>
    <n v="7"/>
    <n v="143.1"/>
    <n v="0"/>
    <n v="0"/>
    <n v="0"/>
    <n v="27"/>
    <n v="0"/>
  </r>
  <r>
    <x v="0"/>
    <x v="0"/>
    <s v="SPXW"/>
    <x v="10"/>
    <x v="229"/>
    <s v="p"/>
    <n v="0"/>
    <n v="0"/>
    <n v="0"/>
    <n v="0"/>
    <n v="0"/>
    <n v="7"/>
    <n v="140.1"/>
    <n v="7"/>
    <n v="144.9"/>
    <n v="0"/>
    <n v="0"/>
    <n v="0"/>
    <n v="0"/>
    <n v="0.122"/>
    <n v="-0.78580000000000005"/>
    <n v="1.9E-3"/>
    <n v="-2.012"/>
    <n v="3.7216999999999998"/>
    <n v="-1.7502"/>
    <n v="7"/>
    <n v="141.5"/>
    <n v="7"/>
    <n v="146.6"/>
    <n v="0"/>
    <n v="0"/>
    <n v="0"/>
    <n v="22"/>
    <n v="0"/>
  </r>
  <r>
    <x v="0"/>
    <x v="0"/>
    <s v="SPXW"/>
    <x v="10"/>
    <x v="230"/>
    <s v="p"/>
    <n v="0"/>
    <n v="0"/>
    <n v="0"/>
    <n v="0"/>
    <n v="0"/>
    <n v="7"/>
    <n v="143.6"/>
    <n v="1"/>
    <n v="148.4"/>
    <n v="0"/>
    <n v="0"/>
    <n v="0"/>
    <n v="0"/>
    <n v="0.1212"/>
    <n v="-0.79620000000000002"/>
    <n v="1.9E-3"/>
    <n v="-1.9361999999999999"/>
    <n v="3.6227999999999998"/>
    <n v="-1.7737000000000001"/>
    <n v="7"/>
    <n v="145.30000000000001"/>
    <n v="7"/>
    <n v="150.30000000000001"/>
    <n v="0"/>
    <n v="0"/>
    <n v="0"/>
    <n v="5"/>
    <n v="0"/>
  </r>
  <r>
    <x v="0"/>
    <x v="0"/>
    <s v="SPXW"/>
    <x v="10"/>
    <x v="231"/>
    <s v="p"/>
    <n v="0"/>
    <n v="0"/>
    <n v="0"/>
    <n v="0"/>
    <n v="0"/>
    <n v="7"/>
    <n v="147.4"/>
    <n v="7"/>
    <n v="152.30000000000001"/>
    <n v="0"/>
    <n v="0"/>
    <n v="0"/>
    <n v="0"/>
    <n v="0.1201"/>
    <n v="-0.80789999999999995"/>
    <n v="1.8E-3"/>
    <n v="-1.8462000000000001"/>
    <n v="3.5062000000000002"/>
    <n v="-1.8002"/>
    <n v="7"/>
    <n v="149.1"/>
    <n v="7"/>
    <n v="154"/>
    <n v="0"/>
    <n v="0"/>
    <n v="0"/>
    <n v="17"/>
    <n v="0"/>
  </r>
  <r>
    <x v="0"/>
    <x v="0"/>
    <s v="SPXW"/>
    <x v="10"/>
    <x v="232"/>
    <s v="p"/>
    <n v="0"/>
    <n v="0"/>
    <n v="0"/>
    <n v="0"/>
    <n v="0"/>
    <n v="7"/>
    <n v="151"/>
    <n v="7"/>
    <n v="156.19999999999999"/>
    <n v="0"/>
    <n v="0"/>
    <n v="0"/>
    <n v="0"/>
    <n v="0.1191"/>
    <n v="-0.81869999999999998"/>
    <n v="1.8E-3"/>
    <n v="-1.7604"/>
    <n v="3.3906000000000001"/>
    <n v="-1.8252999999999999"/>
    <n v="7"/>
    <n v="152.69999999999999"/>
    <n v="7"/>
    <n v="157.9"/>
    <n v="0"/>
    <n v="0"/>
    <n v="0"/>
    <n v="6"/>
    <n v="0"/>
  </r>
  <r>
    <x v="0"/>
    <x v="0"/>
    <s v="SPXW"/>
    <x v="10"/>
    <x v="233"/>
    <s v="p"/>
    <n v="125.47"/>
    <n v="178.93"/>
    <n v="125.47"/>
    <n v="160.19999999999999"/>
    <n v="33"/>
    <n v="7"/>
    <n v="155.1"/>
    <n v="7"/>
    <n v="159.80000000000001"/>
    <n v="0"/>
    <n v="0"/>
    <n v="0"/>
    <n v="0"/>
    <n v="0.1181"/>
    <n v="-0.82920000000000005"/>
    <n v="1.6999999999999999E-3"/>
    <n v="-1.6772"/>
    <n v="3.2738"/>
    <n v="-1.8491"/>
    <n v="7"/>
    <n v="156.6"/>
    <n v="7"/>
    <n v="161.69999999999999"/>
    <n v="0"/>
    <n v="0"/>
    <n v="176.04179999999999"/>
    <n v="31"/>
    <n v="0"/>
  </r>
  <r>
    <x v="0"/>
    <x v="0"/>
    <s v="SPXW"/>
    <x v="10"/>
    <x v="234"/>
    <s v="p"/>
    <n v="0"/>
    <n v="0"/>
    <n v="0"/>
    <n v="0"/>
    <n v="0"/>
    <n v="7"/>
    <n v="158.9"/>
    <n v="7"/>
    <n v="164"/>
    <n v="0"/>
    <n v="0"/>
    <n v="0"/>
    <n v="0"/>
    <n v="0.11749999999999999"/>
    <n v="-0.8387"/>
    <n v="1.6999999999999999E-3"/>
    <n v="-1.6023000000000001"/>
    <n v="3.1627999999999998"/>
    <n v="-1.8708"/>
    <n v="6"/>
    <n v="160.4"/>
    <n v="6"/>
    <n v="165.7"/>
    <n v="0"/>
    <n v="0"/>
    <n v="0"/>
    <n v="9"/>
    <n v="0"/>
  </r>
  <r>
    <x v="0"/>
    <x v="0"/>
    <s v="SPXW"/>
    <x v="10"/>
    <x v="235"/>
    <s v="p"/>
    <n v="165.46"/>
    <n v="165.46"/>
    <n v="165.46"/>
    <n v="165.46"/>
    <n v="2"/>
    <n v="6"/>
    <n v="162.9"/>
    <n v="6"/>
    <n v="168.1"/>
    <n v="0"/>
    <n v="0"/>
    <n v="0"/>
    <n v="0"/>
    <n v="0.1169"/>
    <n v="-0.8478"/>
    <n v="1.6000000000000001E-3"/>
    <n v="-1.53"/>
    <n v="3.0537999999999998"/>
    <n v="-1.8915999999999999"/>
    <n v="6"/>
    <n v="164.4"/>
    <n v="6"/>
    <n v="169.6"/>
    <n v="0"/>
    <n v="0"/>
    <n v="165.46"/>
    <n v="8"/>
    <n v="0"/>
  </r>
  <r>
    <x v="0"/>
    <x v="0"/>
    <s v="SPXW"/>
    <x v="10"/>
    <x v="236"/>
    <s v="p"/>
    <n v="0"/>
    <n v="0"/>
    <n v="0"/>
    <n v="0"/>
    <n v="0"/>
    <n v="6"/>
    <n v="166.5"/>
    <n v="6"/>
    <n v="171.8"/>
    <n v="0"/>
    <n v="0"/>
    <n v="0"/>
    <n v="0"/>
    <n v="0.1153"/>
    <n v="-0.85860000000000003"/>
    <n v="1.6000000000000001E-3"/>
    <n v="-1.4302999999999999"/>
    <n v="2.9190999999999998"/>
    <n v="-1.9165000000000001"/>
    <n v="6"/>
    <n v="168.4"/>
    <n v="6"/>
    <n v="173.8"/>
    <n v="0"/>
    <n v="0"/>
    <n v="0"/>
    <n v="0"/>
    <n v="0"/>
  </r>
  <r>
    <x v="0"/>
    <x v="0"/>
    <s v="SPXW"/>
    <x v="10"/>
    <x v="237"/>
    <s v="p"/>
    <n v="194.01"/>
    <n v="194.01"/>
    <n v="181.72"/>
    <n v="186.7"/>
    <n v="32"/>
    <n v="6"/>
    <n v="170.8"/>
    <n v="6"/>
    <n v="176.1"/>
    <n v="0"/>
    <n v="0"/>
    <n v="0"/>
    <n v="0"/>
    <n v="0.1152"/>
    <n v="-0.86629999999999996"/>
    <n v="1.5E-3"/>
    <n v="-1.3706"/>
    <n v="2.8167"/>
    <n v="-1.9346000000000001"/>
    <n v="6"/>
    <n v="172.5"/>
    <n v="6"/>
    <n v="177.8"/>
    <n v="0"/>
    <n v="0"/>
    <n v="193.39750000000001"/>
    <n v="16"/>
    <n v="0"/>
  </r>
  <r>
    <x v="0"/>
    <x v="0"/>
    <s v="SPXW"/>
    <x v="10"/>
    <x v="238"/>
    <s v="p"/>
    <n v="180.15"/>
    <n v="180.15"/>
    <n v="180.15"/>
    <n v="180.15"/>
    <n v="1"/>
    <n v="6"/>
    <n v="174.7"/>
    <n v="6"/>
    <n v="180"/>
    <n v="0"/>
    <n v="0"/>
    <n v="0"/>
    <n v="0"/>
    <n v="0.11260000000000001"/>
    <n v="-0.87919999999999998"/>
    <n v="1.4E-3"/>
    <n v="-1.2406999999999999"/>
    <n v="2.6398999999999999"/>
    <n v="-1.9634"/>
    <n v="6"/>
    <n v="176.7"/>
    <n v="6"/>
    <n v="182"/>
    <n v="0"/>
    <n v="0"/>
    <n v="180.15"/>
    <n v="24"/>
    <n v="0"/>
  </r>
  <r>
    <x v="0"/>
    <x v="0"/>
    <s v="SPXW"/>
    <x v="10"/>
    <x v="239"/>
    <s v="p"/>
    <n v="0"/>
    <n v="0"/>
    <n v="0"/>
    <n v="0"/>
    <n v="0"/>
    <n v="6"/>
    <n v="179"/>
    <n v="6"/>
    <n v="184.5"/>
    <n v="0"/>
    <n v="0"/>
    <n v="0"/>
    <n v="0"/>
    <n v="0.1124"/>
    <n v="-0.88660000000000005"/>
    <n v="1.4E-3"/>
    <n v="-1.1793"/>
    <n v="2.5341"/>
    <n v="-1.9805999999999999"/>
    <n v="6"/>
    <n v="180.8"/>
    <n v="6"/>
    <n v="186.2"/>
    <n v="0"/>
    <n v="0"/>
    <n v="0"/>
    <n v="6"/>
    <n v="0"/>
  </r>
  <r>
    <x v="0"/>
    <x v="0"/>
    <s v="SPXW"/>
    <x v="10"/>
    <x v="240"/>
    <s v="p"/>
    <n v="0"/>
    <n v="0"/>
    <n v="0"/>
    <n v="0"/>
    <n v="0"/>
    <n v="6"/>
    <n v="183.4"/>
    <n v="6"/>
    <n v="188.8"/>
    <n v="0"/>
    <n v="0"/>
    <n v="0"/>
    <n v="0"/>
    <n v="0.1118"/>
    <n v="-0.89419999999999999"/>
    <n v="1.2999999999999999E-3"/>
    <n v="-1.1117999999999999"/>
    <n v="2.4211999999999998"/>
    <n v="-1.9984999999999999"/>
    <n v="6"/>
    <n v="184.9"/>
    <n v="6"/>
    <n v="190.6"/>
    <n v="0"/>
    <n v="0"/>
    <n v="0"/>
    <n v="0"/>
    <n v="0"/>
  </r>
  <r>
    <x v="0"/>
    <x v="0"/>
    <s v="SPXW"/>
    <x v="10"/>
    <x v="241"/>
    <s v="p"/>
    <n v="198.28"/>
    <n v="203.65"/>
    <n v="190.53"/>
    <n v="190.53"/>
    <n v="4"/>
    <n v="6"/>
    <n v="187.5"/>
    <n v="6"/>
    <n v="193.1"/>
    <n v="0"/>
    <n v="0"/>
    <n v="0"/>
    <n v="0"/>
    <n v="0.1105"/>
    <n v="-0.90300000000000002"/>
    <n v="1.1999999999999999E-3"/>
    <n v="-1.0254000000000001"/>
    <n v="2.2843"/>
    <n v="-2.0190000000000001"/>
    <n v="5"/>
    <n v="189.5"/>
    <n v="6"/>
    <n v="194.8"/>
    <n v="0"/>
    <n v="0"/>
    <n v="195.7475"/>
    <n v="4"/>
    <n v="0"/>
  </r>
  <r>
    <x v="0"/>
    <x v="0"/>
    <s v="SPXW"/>
    <x v="10"/>
    <x v="242"/>
    <s v="p"/>
    <n v="0"/>
    <n v="0"/>
    <n v="0"/>
    <n v="0"/>
    <n v="0"/>
    <n v="6"/>
    <n v="191.8"/>
    <n v="6"/>
    <n v="197.5"/>
    <n v="0"/>
    <n v="0"/>
    <n v="0"/>
    <n v="0"/>
    <n v="0.1096"/>
    <n v="-0.91090000000000004"/>
    <n v="1.1999999999999999E-3"/>
    <n v="-0.94920000000000004"/>
    <n v="2.1568000000000001"/>
    <n v="-2.0371000000000001"/>
    <n v="6"/>
    <n v="193.5"/>
    <n v="6"/>
    <n v="199.3"/>
    <n v="0"/>
    <n v="0"/>
    <n v="0"/>
    <n v="0"/>
    <n v="0"/>
  </r>
  <r>
    <x v="0"/>
    <x v="0"/>
    <s v="SPXW"/>
    <x v="10"/>
    <x v="243"/>
    <s v="p"/>
    <n v="165.21"/>
    <n v="209.94"/>
    <n v="165.21"/>
    <n v="209.94"/>
    <n v="3"/>
    <n v="6"/>
    <n v="196.5"/>
    <n v="6"/>
    <n v="201.6"/>
    <n v="0"/>
    <n v="0"/>
    <n v="0"/>
    <n v="0"/>
    <n v="0.1086"/>
    <n v="-0.91839999999999999"/>
    <n v="1.1000000000000001E-3"/>
    <n v="-0.87529999999999997"/>
    <n v="2.0314999999999999"/>
    <n v="-2.0545"/>
    <n v="6"/>
    <n v="198"/>
    <n v="6"/>
    <n v="203.6"/>
    <n v="0"/>
    <n v="0"/>
    <n v="194.06"/>
    <n v="59"/>
    <n v="0"/>
  </r>
  <r>
    <x v="0"/>
    <x v="0"/>
    <s v="SPXW"/>
    <x v="10"/>
    <x v="244"/>
    <s v="p"/>
    <n v="0"/>
    <n v="0"/>
    <n v="0"/>
    <n v="0"/>
    <n v="0"/>
    <n v="1"/>
    <n v="196.2"/>
    <n v="1"/>
    <n v="209.7"/>
    <n v="0"/>
    <n v="0"/>
    <n v="0"/>
    <n v="0"/>
    <n v="0.10390000000000001"/>
    <n v="-0.93269999999999997"/>
    <n v="1E-3"/>
    <n v="-0.71179999999999999"/>
    <n v="1.7806999999999999"/>
    <n v="-2.0867"/>
    <n v="4"/>
    <n v="198.2"/>
    <n v="2"/>
    <n v="213.8"/>
    <n v="0"/>
    <n v="0"/>
    <n v="0"/>
    <n v="1"/>
    <n v="0"/>
  </r>
  <r>
    <x v="0"/>
    <x v="0"/>
    <s v="SPXW"/>
    <x v="10"/>
    <x v="245"/>
    <s v="p"/>
    <n v="0"/>
    <n v="0"/>
    <n v="0"/>
    <n v="0"/>
    <n v="0"/>
    <n v="3"/>
    <n v="200.6"/>
    <n v="2"/>
    <n v="213.3"/>
    <n v="0"/>
    <n v="0"/>
    <n v="0"/>
    <n v="0"/>
    <n v="9.9699999999999997E-2"/>
    <n v="-0.94510000000000005"/>
    <n v="8.9999999999999998E-4"/>
    <n v="-0.57220000000000004"/>
    <n v="1.5455000000000001"/>
    <n v="-2.1145999999999998"/>
    <n v="2"/>
    <n v="201"/>
    <n v="1"/>
    <n v="219.4"/>
    <n v="0"/>
    <n v="0"/>
    <n v="0"/>
    <n v="3"/>
    <n v="0"/>
  </r>
  <r>
    <x v="0"/>
    <x v="0"/>
    <s v="SPXW"/>
    <x v="10"/>
    <x v="246"/>
    <s v="p"/>
    <n v="0"/>
    <n v="0"/>
    <n v="0"/>
    <n v="0"/>
    <n v="0"/>
    <n v="2"/>
    <n v="205.2"/>
    <n v="1"/>
    <n v="220.2"/>
    <n v="0"/>
    <n v="0"/>
    <n v="0"/>
    <n v="0"/>
    <n v="0.1071"/>
    <n v="-0.93600000000000005"/>
    <n v="8.9999999999999998E-4"/>
    <n v="-0.70279999999999998"/>
    <n v="1.7124999999999999"/>
    <n v="-2.0966999999999998"/>
    <n v="4"/>
    <n v="203.3"/>
    <n v="1"/>
    <n v="223.5"/>
    <n v="0"/>
    <n v="0"/>
    <n v="0"/>
    <n v="0"/>
    <n v="0"/>
  </r>
  <r>
    <x v="0"/>
    <x v="0"/>
    <s v="SPXW"/>
    <x v="10"/>
    <x v="247"/>
    <s v="p"/>
    <n v="182.15"/>
    <n v="227.8"/>
    <n v="182.15"/>
    <n v="227.8"/>
    <n v="3"/>
    <n v="1"/>
    <n v="209.5"/>
    <n v="1"/>
    <n v="224.8"/>
    <n v="0"/>
    <n v="0"/>
    <n v="0"/>
    <n v="0"/>
    <n v="0.10539999999999999"/>
    <n v="-0.94340000000000002"/>
    <n v="8.9999999999999998E-4"/>
    <n v="-0.62039999999999995"/>
    <n v="1.5688"/>
    <n v="-2.1141000000000001"/>
    <n v="1"/>
    <n v="209.3"/>
    <n v="1"/>
    <n v="227.4"/>
    <n v="0"/>
    <n v="0"/>
    <n v="211.6233"/>
    <n v="2"/>
    <n v="0"/>
  </r>
  <r>
    <x v="0"/>
    <x v="0"/>
    <s v="SPXW"/>
    <x v="10"/>
    <x v="248"/>
    <s v="p"/>
    <n v="0"/>
    <n v="0"/>
    <n v="0"/>
    <n v="0"/>
    <n v="0"/>
    <n v="1"/>
    <n v="214.1"/>
    <n v="1"/>
    <n v="229.4"/>
    <n v="0"/>
    <n v="0"/>
    <n v="0"/>
    <n v="0"/>
    <n v="0.1043"/>
    <n v="-0.94930000000000003"/>
    <n v="8.0000000000000004E-4"/>
    <n v="-0.55800000000000005"/>
    <n v="1.4516"/>
    <n v="-2.1280999999999999"/>
    <n v="2"/>
    <n v="212.9"/>
    <n v="1"/>
    <n v="232.9"/>
    <n v="0"/>
    <n v="0"/>
    <n v="0"/>
    <n v="1"/>
    <n v="0"/>
  </r>
  <r>
    <x v="0"/>
    <x v="0"/>
    <s v="SPXW"/>
    <x v="10"/>
    <x v="249"/>
    <s v="p"/>
    <n v="0"/>
    <n v="0"/>
    <n v="0"/>
    <n v="0"/>
    <n v="0"/>
    <n v="1"/>
    <n v="218.8"/>
    <n v="1"/>
    <n v="234"/>
    <n v="0"/>
    <n v="0"/>
    <n v="0"/>
    <n v="0"/>
    <n v="0.10340000000000001"/>
    <n v="-0.95450000000000002"/>
    <n v="6.9999999999999999E-4"/>
    <n v="-0.50080000000000002"/>
    <n v="1.3403"/>
    <n v="-2.1408"/>
    <n v="2"/>
    <n v="217.6"/>
    <n v="1"/>
    <n v="237.5"/>
    <n v="0"/>
    <n v="0"/>
    <n v="0"/>
    <n v="3"/>
    <n v="0"/>
  </r>
  <r>
    <x v="0"/>
    <x v="0"/>
    <s v="SPXW"/>
    <x v="10"/>
    <x v="250"/>
    <s v="p"/>
    <n v="0"/>
    <n v="0"/>
    <n v="0"/>
    <n v="0"/>
    <n v="0"/>
    <n v="1"/>
    <n v="223.5"/>
    <n v="1"/>
    <n v="238.7"/>
    <n v="0"/>
    <n v="0"/>
    <n v="0"/>
    <n v="0"/>
    <n v="0.10249999999999999"/>
    <n v="-0.95920000000000005"/>
    <n v="6.9999999999999999E-4"/>
    <n v="-0.44969999999999999"/>
    <n v="1.2375"/>
    <n v="-2.1522000000000001"/>
    <n v="2"/>
    <n v="222.2"/>
    <n v="1"/>
    <n v="241.9"/>
    <n v="0"/>
    <n v="0"/>
    <n v="0"/>
    <n v="0"/>
    <n v="0"/>
  </r>
  <r>
    <x v="0"/>
    <x v="0"/>
    <s v="SPXW"/>
    <x v="10"/>
    <x v="251"/>
    <s v="p"/>
    <n v="0"/>
    <n v="0"/>
    <n v="0"/>
    <n v="0"/>
    <n v="0"/>
    <n v="1"/>
    <n v="228.2"/>
    <n v="1"/>
    <n v="243.4"/>
    <n v="0"/>
    <n v="0"/>
    <n v="0"/>
    <n v="0"/>
    <n v="0.1014"/>
    <n v="-0.96399999999999997"/>
    <n v="5.9999999999999995E-4"/>
    <n v="-0.39589999999999997"/>
    <n v="1.1291"/>
    <n v="-2.1640000000000001"/>
    <n v="1"/>
    <n v="227"/>
    <n v="1"/>
    <n v="245.6"/>
    <n v="0"/>
    <n v="0"/>
    <n v="0"/>
    <n v="0"/>
    <n v="0"/>
  </r>
  <r>
    <x v="0"/>
    <x v="0"/>
    <s v="SPXW"/>
    <x v="10"/>
    <x v="252"/>
    <s v="p"/>
    <n v="0"/>
    <n v="0"/>
    <n v="0"/>
    <n v="0"/>
    <n v="0"/>
    <n v="1"/>
    <n v="233"/>
    <n v="1"/>
    <n v="248.1"/>
    <n v="0"/>
    <n v="0"/>
    <n v="0"/>
    <n v="0"/>
    <n v="0.1"/>
    <n v="-0.96889999999999998"/>
    <n v="5.9999999999999995E-4"/>
    <n v="-0.33910000000000001"/>
    <n v="1.0128999999999999"/>
    <n v="-2.1758999999999999"/>
    <n v="1"/>
    <n v="231.7"/>
    <n v="1"/>
    <n v="251.3"/>
    <n v="0"/>
    <n v="0"/>
    <n v="0"/>
    <n v="0"/>
    <n v="0"/>
  </r>
  <r>
    <x v="0"/>
    <x v="0"/>
    <s v="SPXW"/>
    <x v="10"/>
    <x v="253"/>
    <s v="p"/>
    <n v="247.28"/>
    <n v="247.28"/>
    <n v="247.28"/>
    <n v="247.28"/>
    <n v="1"/>
    <n v="1"/>
    <n v="234"/>
    <n v="1"/>
    <n v="253.8"/>
    <n v="0"/>
    <n v="0"/>
    <n v="0"/>
    <n v="0"/>
    <n v="0.15379999999999999"/>
    <n v="-0.89"/>
    <n v="1E-3"/>
    <n v="-1.5761000000000001"/>
    <n v="2.4447000000000001"/>
    <n v="-2.0097"/>
    <n v="1"/>
    <n v="237"/>
    <n v="1"/>
    <n v="259.60000000000002"/>
    <n v="0"/>
    <n v="0"/>
    <n v="247.28"/>
    <n v="9"/>
    <n v="0"/>
  </r>
  <r>
    <x v="0"/>
    <x v="0"/>
    <s v="SPXW"/>
    <x v="10"/>
    <x v="530"/>
    <s v="p"/>
    <n v="0"/>
    <n v="0"/>
    <n v="0"/>
    <n v="0"/>
    <n v="0"/>
    <n v="1"/>
    <n v="238.8"/>
    <n v="2"/>
    <n v="259.10000000000002"/>
    <n v="0"/>
    <n v="0"/>
    <n v="0"/>
    <n v="0"/>
    <n v="0.15659999999999999"/>
    <n v="-0.89070000000000005"/>
    <n v="1E-3"/>
    <n v="-1.5961000000000001"/>
    <n v="2.4321999999999999"/>
    <n v="-2.0127000000000002"/>
    <n v="2"/>
    <n v="241.1"/>
    <n v="1"/>
    <n v="260.10000000000002"/>
    <n v="0"/>
    <n v="0"/>
    <n v="0"/>
    <n v="0"/>
    <n v="0"/>
  </r>
  <r>
    <x v="0"/>
    <x v="0"/>
    <s v="SPXW"/>
    <x v="10"/>
    <x v="254"/>
    <s v="p"/>
    <n v="0"/>
    <n v="0"/>
    <n v="0"/>
    <n v="0"/>
    <n v="0"/>
    <n v="1"/>
    <n v="243.4"/>
    <n v="1"/>
    <n v="263.8"/>
    <n v="0"/>
    <n v="0"/>
    <n v="0"/>
    <n v="0"/>
    <n v="0.15859999999999999"/>
    <n v="-0.89190000000000003"/>
    <n v="8.9999999999999998E-4"/>
    <n v="-1.6032999999999999"/>
    <n v="2.4127999999999998"/>
    <n v="-2.0167999999999999"/>
    <n v="1"/>
    <n v="245.9"/>
    <n v="1"/>
    <n v="265.89999999999998"/>
    <n v="0"/>
    <n v="0"/>
    <n v="0"/>
    <n v="0"/>
    <n v="0"/>
  </r>
  <r>
    <x v="0"/>
    <x v="0"/>
    <s v="SPXW"/>
    <x v="10"/>
    <x v="531"/>
    <s v="p"/>
    <n v="0"/>
    <n v="0"/>
    <n v="0"/>
    <n v="0"/>
    <n v="0"/>
    <n v="1"/>
    <n v="248.4"/>
    <n v="1"/>
    <n v="268.60000000000002"/>
    <n v="0"/>
    <n v="0"/>
    <n v="0"/>
    <n v="0"/>
    <n v="0.1588"/>
    <n v="-0.89629999999999999"/>
    <n v="8.9999999999999998E-4"/>
    <n v="-1.5533999999999999"/>
    <n v="2.3443000000000001"/>
    <n v="-2.0278999999999998"/>
    <n v="1"/>
    <n v="250.7"/>
    <n v="1"/>
    <n v="269.39999999999998"/>
    <n v="0"/>
    <n v="0"/>
    <n v="0"/>
    <n v="0"/>
    <n v="0"/>
  </r>
  <r>
    <x v="0"/>
    <x v="0"/>
    <s v="SPXW"/>
    <x v="10"/>
    <x v="255"/>
    <s v="p"/>
    <n v="0"/>
    <n v="0"/>
    <n v="0"/>
    <n v="0"/>
    <n v="0"/>
    <n v="1"/>
    <n v="253.3"/>
    <n v="2"/>
    <n v="273.5"/>
    <n v="0"/>
    <n v="0"/>
    <n v="0"/>
    <n v="0"/>
    <n v="0.16059999999999999"/>
    <n v="-0.89800000000000002"/>
    <n v="8.9999999999999998E-4"/>
    <n v="-1.5494000000000001"/>
    <n v="2.3153000000000001"/>
    <n v="-2.0331999999999999"/>
    <n v="2"/>
    <n v="255.5"/>
    <n v="1"/>
    <n v="274.3"/>
    <n v="0"/>
    <n v="0"/>
    <n v="0"/>
    <n v="0"/>
    <n v="0"/>
  </r>
  <r>
    <x v="0"/>
    <x v="0"/>
    <s v="SPXW"/>
    <x v="10"/>
    <x v="256"/>
    <s v="p"/>
    <n v="0"/>
    <n v="0"/>
    <n v="0"/>
    <n v="0"/>
    <n v="0"/>
    <n v="1"/>
    <n v="258"/>
    <n v="2"/>
    <n v="278.3"/>
    <n v="0"/>
    <n v="0"/>
    <n v="0"/>
    <n v="0"/>
    <n v="0.16300000000000001"/>
    <n v="-0.89849999999999997"/>
    <n v="8.9999999999999998E-4"/>
    <n v="-1.5681"/>
    <n v="2.3071000000000002"/>
    <n v="-2.0356000000000001"/>
    <n v="2"/>
    <n v="260.3"/>
    <n v="1"/>
    <n v="279.2"/>
    <n v="0"/>
    <n v="0"/>
    <n v="0"/>
    <n v="5"/>
    <n v="0"/>
  </r>
  <r>
    <x v="0"/>
    <x v="0"/>
    <s v="SPXW"/>
    <x v="10"/>
    <x v="257"/>
    <s v="p"/>
    <n v="0"/>
    <n v="0"/>
    <n v="0"/>
    <n v="0"/>
    <n v="0"/>
    <n v="1"/>
    <n v="262.89999999999998"/>
    <n v="2"/>
    <n v="283.2"/>
    <n v="0"/>
    <n v="0"/>
    <n v="0"/>
    <n v="0"/>
    <n v="0.1648"/>
    <n v="-0.9002"/>
    <n v="8.9999999999999998E-4"/>
    <n v="-1.5637000000000001"/>
    <n v="2.2789999999999999"/>
    <n v="-2.0407000000000002"/>
    <n v="2"/>
    <n v="265.2"/>
    <n v="1"/>
    <n v="284.10000000000002"/>
    <n v="0"/>
    <n v="0"/>
    <n v="0"/>
    <n v="0"/>
    <n v="0"/>
  </r>
  <r>
    <x v="0"/>
    <x v="0"/>
    <s v="SPXW"/>
    <x v="10"/>
    <x v="532"/>
    <s v="p"/>
    <n v="0"/>
    <n v="0"/>
    <n v="0"/>
    <n v="0"/>
    <n v="0"/>
    <n v="1"/>
    <n v="267.89999999999998"/>
    <n v="1"/>
    <n v="288"/>
    <n v="0"/>
    <n v="0"/>
    <n v="0"/>
    <n v="0"/>
    <n v="0.1648"/>
    <n v="-0.90439999999999998"/>
    <n v="8.0000000000000004E-4"/>
    <n v="-1.5101"/>
    <n v="2.2101000000000002"/>
    <n v="-2.0512000000000001"/>
    <n v="2"/>
    <n v="270.10000000000002"/>
    <n v="1"/>
    <n v="289"/>
    <n v="0"/>
    <n v="0"/>
    <n v="0"/>
    <n v="0"/>
    <n v="0"/>
  </r>
  <r>
    <x v="0"/>
    <x v="0"/>
    <s v="SPXW"/>
    <x v="10"/>
    <x v="258"/>
    <s v="p"/>
    <n v="0"/>
    <n v="0"/>
    <n v="0"/>
    <n v="0"/>
    <n v="0"/>
    <n v="2"/>
    <n v="272.7"/>
    <n v="1"/>
    <n v="293.8"/>
    <n v="0"/>
    <n v="0"/>
    <n v="0"/>
    <n v="0"/>
    <n v="0.1719"/>
    <n v="-0.89839999999999998"/>
    <n v="8.0000000000000004E-4"/>
    <n v="-1.6539999999999999"/>
    <n v="2.3026"/>
    <n v="-2.0400999999999998"/>
    <n v="3"/>
    <n v="274.89999999999998"/>
    <n v="1"/>
    <n v="293.8"/>
    <n v="0"/>
    <n v="0"/>
    <n v="0"/>
    <n v="1"/>
    <n v="0"/>
  </r>
  <r>
    <x v="0"/>
    <x v="0"/>
    <s v="SPXW"/>
    <x v="10"/>
    <x v="533"/>
    <s v="p"/>
    <n v="0"/>
    <n v="0"/>
    <n v="0"/>
    <n v="0"/>
    <n v="0"/>
    <n v="2"/>
    <n v="277.60000000000002"/>
    <n v="1"/>
    <n v="298.8"/>
    <n v="0"/>
    <n v="0"/>
    <n v="0"/>
    <n v="0"/>
    <n v="0.1741"/>
    <n v="-0.89939999999999998"/>
    <n v="8.0000000000000004E-4"/>
    <n v="-1.6619999999999999"/>
    <n v="2.2854999999999999"/>
    <n v="-2.0436999999999999"/>
    <n v="1"/>
    <n v="280.2"/>
    <n v="1"/>
    <n v="298.8"/>
    <n v="0"/>
    <n v="0"/>
    <n v="0"/>
    <n v="1"/>
    <n v="0"/>
  </r>
  <r>
    <x v="0"/>
    <x v="0"/>
    <s v="SPXW"/>
    <x v="10"/>
    <x v="259"/>
    <s v="p"/>
    <n v="0"/>
    <n v="0"/>
    <n v="0"/>
    <n v="0"/>
    <n v="0"/>
    <n v="1"/>
    <n v="282.3"/>
    <n v="1"/>
    <n v="303.60000000000002"/>
    <n v="0"/>
    <n v="0"/>
    <n v="0"/>
    <n v="0"/>
    <n v="0.17530000000000001"/>
    <n v="-0.90159999999999996"/>
    <n v="8.0000000000000004E-4"/>
    <n v="-1.6449"/>
    <n v="2.2496999999999998"/>
    <n v="-2.0499000000000001"/>
    <n v="1"/>
    <n v="284.7"/>
    <n v="1"/>
    <n v="303.60000000000002"/>
    <n v="0"/>
    <n v="0"/>
    <n v="0"/>
    <n v="16"/>
    <n v="0"/>
  </r>
  <r>
    <x v="0"/>
    <x v="0"/>
    <s v="SPXW"/>
    <x v="10"/>
    <x v="534"/>
    <s v="p"/>
    <n v="0"/>
    <n v="0"/>
    <n v="0"/>
    <n v="0"/>
    <n v="0"/>
    <n v="1"/>
    <n v="287.39999999999998"/>
    <n v="1"/>
    <n v="308.60000000000002"/>
    <n v="0"/>
    <n v="0"/>
    <n v="0"/>
    <n v="0"/>
    <n v="0.17749999999999999"/>
    <n v="-0.90249999999999997"/>
    <n v="8.0000000000000004E-4"/>
    <n v="-1.6525000000000001"/>
    <n v="2.2334999999999998"/>
    <n v="-2.0533999999999999"/>
    <n v="1"/>
    <n v="289.60000000000002"/>
    <n v="1"/>
    <n v="308.60000000000002"/>
    <n v="0"/>
    <n v="0"/>
    <n v="0"/>
    <n v="0"/>
    <n v="0"/>
  </r>
  <r>
    <x v="0"/>
    <x v="0"/>
    <s v="SPXW"/>
    <x v="10"/>
    <x v="260"/>
    <s v="p"/>
    <n v="0"/>
    <n v="0"/>
    <n v="0"/>
    <n v="0"/>
    <n v="0"/>
    <n v="1"/>
    <n v="292.3"/>
    <n v="1"/>
    <n v="313.39999999999998"/>
    <n v="0"/>
    <n v="0"/>
    <n v="0"/>
    <n v="0"/>
    <n v="0.1787"/>
    <n v="-0.90459999999999996"/>
    <n v="8.0000000000000004E-4"/>
    <n v="-1.6347"/>
    <n v="2.1983999999999999"/>
    <n v="-2.0592999999999999"/>
    <n v="1"/>
    <n v="294.89999999999998"/>
    <n v="1"/>
    <n v="313.39999999999998"/>
    <n v="0"/>
    <n v="0"/>
    <n v="0"/>
    <n v="0"/>
    <n v="0"/>
  </r>
  <r>
    <x v="0"/>
    <x v="0"/>
    <s v="SPXW"/>
    <x v="10"/>
    <x v="535"/>
    <s v="p"/>
    <n v="0"/>
    <n v="0"/>
    <n v="0"/>
    <n v="0"/>
    <n v="0"/>
    <n v="1"/>
    <n v="297.10000000000002"/>
    <n v="1"/>
    <n v="316.7"/>
    <n v="0"/>
    <n v="0"/>
    <n v="0"/>
    <n v="0"/>
    <n v="0.16930000000000001"/>
    <n v="-0.92049999999999998"/>
    <n v="6.9999999999999999E-4"/>
    <n v="-1.333"/>
    <n v="1.9366000000000001"/>
    <n v="-2.0943999999999998"/>
    <n v="1"/>
    <n v="300"/>
    <n v="1"/>
    <n v="323"/>
    <n v="0"/>
    <n v="0"/>
    <n v="0"/>
    <n v="0"/>
    <n v="0"/>
  </r>
  <r>
    <x v="0"/>
    <x v="0"/>
    <s v="SPXW"/>
    <x v="10"/>
    <x v="261"/>
    <s v="p"/>
    <n v="0"/>
    <n v="0"/>
    <n v="0"/>
    <n v="0"/>
    <n v="0"/>
    <n v="1"/>
    <n v="302.2"/>
    <n v="1"/>
    <n v="323.3"/>
    <n v="0"/>
    <n v="0"/>
    <n v="0"/>
    <n v="0"/>
    <n v="0.1812"/>
    <n v="-0.90869999999999995"/>
    <n v="6.9999999999999999E-4"/>
    <n v="-1.5991"/>
    <n v="2.1291000000000002"/>
    <n v="-2.0710000000000002"/>
    <n v="1"/>
    <n v="304.39999999999998"/>
    <n v="1"/>
    <n v="323.3"/>
    <n v="0"/>
    <n v="0"/>
    <n v="0"/>
    <n v="1"/>
    <n v="0"/>
  </r>
  <r>
    <x v="0"/>
    <x v="0"/>
    <s v="SPXW"/>
    <x v="10"/>
    <x v="262"/>
    <s v="p"/>
    <n v="0"/>
    <n v="0"/>
    <n v="0"/>
    <n v="0"/>
    <n v="0"/>
    <n v="1"/>
    <n v="307.2"/>
    <n v="2"/>
    <n v="328.3"/>
    <n v="0"/>
    <n v="0"/>
    <n v="0"/>
    <n v="0"/>
    <n v="0.18340000000000001"/>
    <n v="-0.90959999999999996"/>
    <n v="6.9999999999999999E-4"/>
    <n v="-1.6060000000000001"/>
    <n v="2.1145"/>
    <n v="-2.0743"/>
    <n v="3"/>
    <n v="309.3"/>
    <n v="1"/>
    <n v="328.3"/>
    <n v="0"/>
    <n v="0"/>
    <n v="0"/>
    <n v="1"/>
    <n v="0"/>
  </r>
  <r>
    <x v="0"/>
    <x v="0"/>
    <s v="SPXW"/>
    <x v="10"/>
    <x v="318"/>
    <s v="p"/>
    <n v="0"/>
    <n v="0"/>
    <n v="0"/>
    <n v="0"/>
    <n v="0"/>
    <n v="1"/>
    <n v="312.2"/>
    <n v="1"/>
    <n v="333.1"/>
    <n v="0"/>
    <n v="0"/>
    <n v="0"/>
    <n v="0"/>
    <n v="0.1845"/>
    <n v="-0.91159999999999997"/>
    <n v="6.9999999999999999E-4"/>
    <n v="-1.5864"/>
    <n v="2.0808"/>
    <n v="-2.08"/>
    <n v="1"/>
    <n v="314.60000000000002"/>
    <n v="1"/>
    <n v="333.1"/>
    <n v="0"/>
    <n v="0"/>
    <n v="0"/>
    <n v="0"/>
    <n v="0"/>
  </r>
  <r>
    <x v="0"/>
    <x v="0"/>
    <s v="SPXW"/>
    <x v="10"/>
    <x v="536"/>
    <s v="p"/>
    <n v="0"/>
    <n v="0"/>
    <n v="0"/>
    <n v="0"/>
    <n v="0"/>
    <n v="2"/>
    <n v="316.8"/>
    <n v="1"/>
    <n v="338.2"/>
    <n v="0"/>
    <n v="0"/>
    <n v="0"/>
    <n v="0"/>
    <n v="0.1855"/>
    <n v="-0.91379999999999995"/>
    <n v="6.9999999999999999E-4"/>
    <n v="-1.5626"/>
    <n v="2.0430999999999999"/>
    <n v="-2.0861999999999998"/>
    <n v="2"/>
    <n v="319.2"/>
    <n v="1"/>
    <n v="338.2"/>
    <n v="0"/>
    <n v="0"/>
    <n v="0"/>
    <n v="0"/>
    <n v="0"/>
  </r>
  <r>
    <x v="0"/>
    <x v="0"/>
    <s v="SPXW"/>
    <x v="10"/>
    <x v="319"/>
    <s v="p"/>
    <n v="0"/>
    <n v="0"/>
    <n v="0"/>
    <n v="0"/>
    <n v="0"/>
    <n v="1"/>
    <n v="322.10000000000002"/>
    <n v="1"/>
    <n v="342.6"/>
    <n v="0"/>
    <n v="0"/>
    <n v="0"/>
    <n v="0"/>
    <n v="0.18609999999999999"/>
    <n v="-0.91610000000000003"/>
    <n v="6.9999999999999999E-4"/>
    <n v="-1.5322"/>
    <n v="2.0034000000000001"/>
    <n v="-2.0926"/>
    <n v="1"/>
    <n v="324.5"/>
    <n v="1"/>
    <n v="342.6"/>
    <n v="0"/>
    <n v="0"/>
    <n v="0"/>
    <n v="0"/>
    <n v="0"/>
  </r>
  <r>
    <x v="0"/>
    <x v="0"/>
    <s v="SPXW"/>
    <x v="10"/>
    <x v="537"/>
    <s v="p"/>
    <n v="0"/>
    <n v="0"/>
    <n v="0"/>
    <n v="0"/>
    <n v="0"/>
    <n v="2"/>
    <n v="326.7"/>
    <n v="1"/>
    <n v="348"/>
    <n v="0"/>
    <n v="0"/>
    <n v="0"/>
    <n v="0"/>
    <n v="0.18870000000000001"/>
    <n v="-0.91649999999999998"/>
    <n v="6.9999999999999999E-4"/>
    <n v="-1.5482"/>
    <n v="1.9964"/>
    <n v="-2.0949"/>
    <n v="2"/>
    <n v="329.1"/>
    <n v="1"/>
    <n v="348"/>
    <n v="0"/>
    <n v="0"/>
    <n v="0"/>
    <n v="0"/>
    <n v="0"/>
  </r>
  <r>
    <x v="0"/>
    <x v="0"/>
    <s v="SPXW"/>
    <x v="10"/>
    <x v="263"/>
    <s v="p"/>
    <n v="321.57"/>
    <n v="321.57"/>
    <n v="321.57"/>
    <n v="321.57"/>
    <n v="2"/>
    <n v="1"/>
    <n v="332.1"/>
    <n v="1"/>
    <n v="353.1"/>
    <n v="0"/>
    <n v="0"/>
    <n v="0"/>
    <n v="0"/>
    <n v="0.1928"/>
    <n v="-0.91449999999999998"/>
    <n v="5.9999999999999995E-4"/>
    <n v="-1.6124000000000001"/>
    <n v="2.0270000000000001"/>
    <n v="-2.0922999999999998"/>
    <n v="3"/>
    <n v="334.1"/>
    <n v="1"/>
    <n v="353.1"/>
    <n v="0"/>
    <n v="0"/>
    <n v="321.57"/>
    <n v="1"/>
    <n v="0"/>
  </r>
  <r>
    <x v="0"/>
    <x v="0"/>
    <s v="SPXW"/>
    <x v="10"/>
    <x v="538"/>
    <s v="p"/>
    <n v="0"/>
    <n v="0"/>
    <n v="0"/>
    <n v="0"/>
    <n v="0"/>
    <n v="1"/>
    <n v="337"/>
    <n v="1"/>
    <n v="358"/>
    <n v="0"/>
    <n v="0"/>
    <n v="0"/>
    <n v="0"/>
    <n v="0.19439999999999999"/>
    <n v="-0.91579999999999995"/>
    <n v="5.9999999999999995E-4"/>
    <n v="-1.6051"/>
    <n v="2.0044"/>
    <n v="-2.0964999999999998"/>
    <n v="2"/>
    <n v="339"/>
    <n v="1"/>
    <n v="358"/>
    <n v="0"/>
    <n v="0"/>
    <n v="0"/>
    <n v="0"/>
    <n v="0"/>
  </r>
  <r>
    <x v="0"/>
    <x v="0"/>
    <s v="SPXW"/>
    <x v="10"/>
    <x v="320"/>
    <s v="p"/>
    <n v="0"/>
    <n v="0"/>
    <n v="0"/>
    <n v="0"/>
    <n v="0"/>
    <n v="2"/>
    <n v="341.6"/>
    <n v="1"/>
    <n v="362.8"/>
    <n v="0"/>
    <n v="0"/>
    <n v="0"/>
    <n v="0"/>
    <n v="0.1968"/>
    <n v="-0.91590000000000005"/>
    <n v="5.9999999999999995E-4"/>
    <n v="-1.6233"/>
    <n v="2.0015000000000001"/>
    <n v="-2.0983000000000001"/>
    <n v="1"/>
    <n v="344.5"/>
    <n v="1"/>
    <n v="362.8"/>
    <n v="0"/>
    <n v="0"/>
    <n v="0"/>
    <n v="0"/>
    <n v="0"/>
  </r>
  <r>
    <x v="0"/>
    <x v="0"/>
    <s v="SPXW"/>
    <x v="10"/>
    <x v="539"/>
    <s v="p"/>
    <n v="0"/>
    <n v="0"/>
    <n v="0"/>
    <n v="0"/>
    <n v="0"/>
    <n v="1"/>
    <n v="347"/>
    <n v="1"/>
    <n v="368"/>
    <n v="0"/>
    <n v="0"/>
    <n v="0"/>
    <n v="0"/>
    <n v="0.19850000000000001"/>
    <n v="-0.91720000000000002"/>
    <n v="5.9999999999999995E-4"/>
    <n v="-1.6174999999999999"/>
    <n v="1.9796"/>
    <n v="-2.1025"/>
    <n v="1"/>
    <n v="349.3"/>
    <n v="1"/>
    <n v="368"/>
    <n v="0"/>
    <n v="0"/>
    <n v="0"/>
    <n v="0"/>
    <n v="0"/>
  </r>
  <r>
    <x v="0"/>
    <x v="0"/>
    <s v="SPXW"/>
    <x v="10"/>
    <x v="321"/>
    <s v="p"/>
    <n v="0"/>
    <n v="0"/>
    <n v="0"/>
    <n v="0"/>
    <n v="0"/>
    <n v="1"/>
    <n v="351.9"/>
    <n v="1"/>
    <n v="372.9"/>
    <n v="0"/>
    <n v="0"/>
    <n v="0"/>
    <n v="0"/>
    <n v="0.2"/>
    <n v="-0.91839999999999999"/>
    <n v="5.9999999999999995E-4"/>
    <n v="-1.6096999999999999"/>
    <n v="1.9577"/>
    <n v="-2.1065999999999998"/>
    <n v="1"/>
    <n v="354.4"/>
    <n v="1"/>
    <n v="372.9"/>
    <n v="0"/>
    <n v="0"/>
    <n v="0"/>
    <n v="0"/>
    <n v="0"/>
  </r>
  <r>
    <x v="0"/>
    <x v="0"/>
    <s v="SPXW"/>
    <x v="10"/>
    <x v="264"/>
    <s v="p"/>
    <n v="0"/>
    <n v="0"/>
    <n v="0"/>
    <n v="0"/>
    <n v="0"/>
    <n v="1"/>
    <n v="356.5"/>
    <n v="1"/>
    <n v="377.7"/>
    <n v="0"/>
    <n v="0"/>
    <n v="0"/>
    <n v="0"/>
    <n v="0.20250000000000001"/>
    <n v="-0.91849999999999998"/>
    <n v="5.9999999999999995E-4"/>
    <n v="-1.6277999999999999"/>
    <n v="1.9553"/>
    <n v="-2.1082999999999998"/>
    <n v="1"/>
    <n v="359.4"/>
    <n v="1"/>
    <n v="377.7"/>
    <n v="0"/>
    <n v="0"/>
    <n v="0"/>
    <n v="0"/>
    <n v="0"/>
  </r>
  <r>
    <x v="0"/>
    <x v="0"/>
    <s v="SPXW"/>
    <x v="10"/>
    <x v="322"/>
    <s v="p"/>
    <n v="0"/>
    <n v="0"/>
    <n v="0"/>
    <n v="0"/>
    <n v="0"/>
    <n v="2"/>
    <n v="361.8"/>
    <n v="1"/>
    <n v="382.9"/>
    <n v="0"/>
    <n v="0"/>
    <n v="0"/>
    <n v="0"/>
    <n v="0.20519999999999999"/>
    <n v="-0.91839999999999999"/>
    <n v="5.9999999999999995E-4"/>
    <n v="-1.6504000000000001"/>
    <n v="1.9549000000000001"/>
    <n v="-2.1097000000000001"/>
    <n v="3"/>
    <n v="363.9"/>
    <n v="1"/>
    <n v="382.9"/>
    <n v="0"/>
    <n v="0"/>
    <n v="0"/>
    <n v="0"/>
    <n v="0"/>
  </r>
  <r>
    <x v="0"/>
    <x v="0"/>
    <s v="SPXW"/>
    <x v="10"/>
    <x v="540"/>
    <s v="p"/>
    <n v="0"/>
    <n v="0"/>
    <n v="0"/>
    <n v="0"/>
    <n v="0"/>
    <n v="1"/>
    <n v="366.7"/>
    <n v="1"/>
    <n v="387.8"/>
    <n v="0"/>
    <n v="0"/>
    <n v="0"/>
    <n v="0"/>
    <n v="0.20419999999999999"/>
    <n v="-0.92249999999999999"/>
    <n v="5.9999999999999995E-4"/>
    <n v="-1.5729"/>
    <n v="1.883"/>
    <n v="-2.1200999999999999"/>
    <n v="1"/>
    <n v="369.3"/>
    <n v="1"/>
    <n v="387.8"/>
    <n v="0"/>
    <n v="0"/>
    <n v="0"/>
    <n v="0"/>
    <n v="0"/>
  </r>
  <r>
    <x v="0"/>
    <x v="0"/>
    <s v="SPXW"/>
    <x v="10"/>
    <x v="323"/>
    <s v="p"/>
    <n v="0"/>
    <n v="0"/>
    <n v="0"/>
    <n v="0"/>
    <n v="0"/>
    <n v="1"/>
    <n v="371.5"/>
    <n v="1"/>
    <n v="390.9"/>
    <n v="0"/>
    <n v="0"/>
    <n v="0"/>
    <n v="0"/>
    <n v="0.1948"/>
    <n v="-0.93469999999999998"/>
    <n v="5.0000000000000001E-4"/>
    <n v="-1.2984"/>
    <n v="1.6623000000000001"/>
    <n v="-2.1472000000000002"/>
    <n v="1"/>
    <n v="374.2"/>
    <n v="1"/>
    <n v="397.2"/>
    <n v="0"/>
    <n v="0"/>
    <n v="0"/>
    <n v="0"/>
    <n v="0"/>
  </r>
  <r>
    <x v="0"/>
    <x v="0"/>
    <s v="SPXW"/>
    <x v="10"/>
    <x v="541"/>
    <s v="p"/>
    <n v="0"/>
    <n v="0"/>
    <n v="0"/>
    <n v="0"/>
    <n v="0"/>
    <n v="1"/>
    <n v="376.8"/>
    <n v="1"/>
    <n v="397.6"/>
    <n v="0"/>
    <n v="0"/>
    <n v="0"/>
    <n v="0"/>
    <n v="0.20860000000000001"/>
    <n v="-0.92310000000000003"/>
    <n v="5.9999999999999995E-4"/>
    <n v="-1.5964"/>
    <n v="1.8704000000000001"/>
    <n v="-2.1242999999999999"/>
    <n v="1"/>
    <n v="379.2"/>
    <n v="1"/>
    <n v="397.6"/>
    <n v="0"/>
    <n v="0"/>
    <n v="0"/>
    <n v="0"/>
    <n v="0"/>
  </r>
  <r>
    <x v="0"/>
    <x v="0"/>
    <s v="SPXW"/>
    <x v="10"/>
    <x v="265"/>
    <s v="p"/>
    <n v="370.76"/>
    <n v="370.76"/>
    <n v="370.76"/>
    <n v="370.76"/>
    <n v="2"/>
    <n v="2"/>
    <n v="381.7"/>
    <n v="1"/>
    <n v="402.6"/>
    <n v="0"/>
    <n v="0"/>
    <n v="0"/>
    <n v="0"/>
    <n v="0.2117"/>
    <n v="-0.92249999999999999"/>
    <n v="5.9999999999999995E-4"/>
    <n v="-1.6315999999999999"/>
    <n v="1.8807"/>
    <n v="-2.1244999999999998"/>
    <n v="3"/>
    <n v="383.8"/>
    <n v="1"/>
    <n v="402.6"/>
    <n v="0"/>
    <n v="0"/>
    <n v="370.76"/>
    <n v="1"/>
    <n v="0"/>
  </r>
  <r>
    <x v="0"/>
    <x v="0"/>
    <s v="SPXW"/>
    <x v="10"/>
    <x v="542"/>
    <s v="p"/>
    <n v="0"/>
    <n v="0"/>
    <n v="0"/>
    <n v="0"/>
    <n v="0"/>
    <n v="1"/>
    <n v="386.8"/>
    <n v="1"/>
    <n v="406.6"/>
    <n v="0"/>
    <n v="0"/>
    <n v="0"/>
    <n v="0"/>
    <n v="0.20669999999999999"/>
    <n v="-0.93"/>
    <n v="5.0000000000000001E-4"/>
    <n v="-1.4615"/>
    <n v="1.7444999999999999"/>
    <n v="-2.1419999999999999"/>
    <n v="1"/>
    <n v="390.2"/>
    <n v="1"/>
    <n v="412.5"/>
    <n v="0"/>
    <n v="0"/>
    <n v="0"/>
    <n v="0"/>
    <n v="0"/>
  </r>
  <r>
    <x v="0"/>
    <x v="0"/>
    <s v="SPXW"/>
    <x v="10"/>
    <x v="324"/>
    <s v="p"/>
    <n v="0"/>
    <n v="0"/>
    <n v="0"/>
    <n v="0"/>
    <n v="0"/>
    <n v="1"/>
    <n v="391.6"/>
    <n v="1"/>
    <n v="412.6"/>
    <n v="0"/>
    <n v="0"/>
    <n v="0"/>
    <n v="0"/>
    <n v="0.21609999999999999"/>
    <n v="-0.92320000000000002"/>
    <n v="5.0000000000000001E-4"/>
    <n v="-1.6538999999999999"/>
    <n v="1.8672"/>
    <n v="-2.1288999999999998"/>
    <n v="3"/>
    <n v="393.8"/>
    <n v="1"/>
    <n v="412.6"/>
    <n v="0"/>
    <n v="0"/>
    <n v="0"/>
    <n v="0"/>
    <n v="0"/>
  </r>
  <r>
    <x v="0"/>
    <x v="0"/>
    <s v="SPXW"/>
    <x v="10"/>
    <x v="325"/>
    <s v="p"/>
    <n v="0"/>
    <n v="0"/>
    <n v="0"/>
    <n v="0"/>
    <n v="0"/>
    <n v="2"/>
    <n v="401.6"/>
    <n v="2"/>
    <n v="422.9"/>
    <n v="0"/>
    <n v="0"/>
    <n v="0"/>
    <n v="0"/>
    <n v="0.22140000000000001"/>
    <n v="-0.92300000000000004"/>
    <n v="5.0000000000000001E-4"/>
    <n v="-1.6962999999999999"/>
    <n v="1.8672"/>
    <n v="-2.1318000000000001"/>
    <n v="3"/>
    <n v="403.7"/>
    <n v="1"/>
    <n v="423"/>
    <n v="0"/>
    <n v="0"/>
    <n v="0"/>
    <n v="0"/>
    <n v="0"/>
  </r>
  <r>
    <x v="0"/>
    <x v="0"/>
    <s v="SPXW"/>
    <x v="10"/>
    <x v="266"/>
    <s v="p"/>
    <n v="0"/>
    <n v="0"/>
    <n v="0"/>
    <n v="0"/>
    <n v="0"/>
    <n v="1"/>
    <n v="406.5"/>
    <n v="1"/>
    <n v="427.6"/>
    <n v="0"/>
    <n v="0"/>
    <n v="0"/>
    <n v="0"/>
    <n v="0.22209999999999999"/>
    <n v="-0.92469999999999997"/>
    <n v="5.0000000000000001E-4"/>
    <n v="-1.6701999999999999"/>
    <n v="1.8361000000000001"/>
    <n v="-2.1368999999999998"/>
    <n v="1"/>
    <n v="409.1"/>
    <n v="1"/>
    <n v="427.6"/>
    <n v="0"/>
    <n v="0"/>
    <n v="0"/>
    <n v="0"/>
    <n v="0"/>
  </r>
  <r>
    <x v="0"/>
    <x v="0"/>
    <s v="SPXW"/>
    <x v="10"/>
    <x v="326"/>
    <s v="p"/>
    <n v="0"/>
    <n v="0"/>
    <n v="0"/>
    <n v="0"/>
    <n v="0"/>
    <n v="1"/>
    <n v="411.5"/>
    <n v="1"/>
    <n v="432.7"/>
    <n v="0"/>
    <n v="0"/>
    <n v="0"/>
    <n v="0"/>
    <n v="0.22470000000000001"/>
    <n v="-0.92469999999999997"/>
    <n v="5.0000000000000001E-4"/>
    <n v="-1.6899"/>
    <n v="1.8355999999999999"/>
    <n v="-2.1383999999999999"/>
    <n v="3"/>
    <n v="413.7"/>
    <n v="1"/>
    <n v="432.7"/>
    <n v="0"/>
    <n v="0"/>
    <n v="0"/>
    <n v="0"/>
    <n v="0"/>
  </r>
  <r>
    <x v="0"/>
    <x v="0"/>
    <s v="SPXW"/>
    <x v="10"/>
    <x v="327"/>
    <s v="p"/>
    <n v="0"/>
    <n v="0"/>
    <n v="0"/>
    <n v="0"/>
    <n v="0"/>
    <n v="1"/>
    <n v="421.5"/>
    <n v="1"/>
    <n v="442.5"/>
    <n v="0"/>
    <n v="0"/>
    <n v="0"/>
    <n v="0"/>
    <n v="0.22750000000000001"/>
    <n v="-0.92679999999999996"/>
    <n v="5.0000000000000001E-4"/>
    <n v="-1.6715"/>
    <n v="1.7968999999999999"/>
    <n v="-2.1457999999999999"/>
    <n v="1"/>
    <n v="424"/>
    <n v="1"/>
    <n v="442.5"/>
    <n v="0"/>
    <n v="0"/>
    <n v="0"/>
    <n v="0"/>
    <n v="0"/>
  </r>
  <r>
    <x v="0"/>
    <x v="0"/>
    <s v="SPXW"/>
    <x v="10"/>
    <x v="267"/>
    <s v="p"/>
    <n v="0"/>
    <n v="0"/>
    <n v="0"/>
    <n v="0"/>
    <n v="0"/>
    <n v="1"/>
    <n v="431.6"/>
    <n v="1"/>
    <n v="452.6"/>
    <n v="0"/>
    <n v="0"/>
    <n v="0"/>
    <n v="0"/>
    <n v="0.23050000000000001"/>
    <n v="-0.92879999999999996"/>
    <n v="5.0000000000000001E-4"/>
    <n v="-1.6538999999999999"/>
    <n v="1.7589999999999999"/>
    <n v="-2.153"/>
    <n v="3"/>
    <n v="433.6"/>
    <n v="1"/>
    <n v="452.6"/>
    <n v="0"/>
    <n v="0"/>
    <n v="0"/>
    <n v="1"/>
    <n v="0"/>
  </r>
  <r>
    <x v="0"/>
    <x v="0"/>
    <s v="SPXW"/>
    <x v="10"/>
    <x v="328"/>
    <s v="p"/>
    <n v="0"/>
    <n v="0"/>
    <n v="0"/>
    <n v="0"/>
    <n v="0"/>
    <n v="1"/>
    <n v="441.4"/>
    <n v="1"/>
    <n v="462.5"/>
    <n v="0"/>
    <n v="0"/>
    <n v="0"/>
    <n v="0"/>
    <n v="0.2354"/>
    <n v="-0.92859999999999998"/>
    <n v="5.0000000000000001E-4"/>
    <n v="-1.6918"/>
    <n v="1.7596000000000001"/>
    <n v="-2.1558000000000002"/>
    <n v="1"/>
    <n v="444"/>
    <n v="1"/>
    <n v="462.5"/>
    <n v="0"/>
    <n v="0"/>
    <n v="0"/>
    <n v="0"/>
    <n v="0"/>
  </r>
  <r>
    <x v="0"/>
    <x v="0"/>
    <s v="SPXW"/>
    <x v="10"/>
    <x v="543"/>
    <s v="p"/>
    <n v="0"/>
    <n v="0"/>
    <n v="0"/>
    <n v="0"/>
    <n v="0"/>
    <n v="1"/>
    <n v="451.6"/>
    <n v="1"/>
    <n v="472.6"/>
    <n v="0"/>
    <n v="0"/>
    <n v="0"/>
    <n v="0"/>
    <n v="0.23830000000000001"/>
    <n v="-0.93049999999999999"/>
    <n v="5.0000000000000001E-4"/>
    <n v="-1.6735"/>
    <n v="1.7233000000000001"/>
    <n v="-2.1627999999999998"/>
    <n v="3"/>
    <n v="453.6"/>
    <n v="1"/>
    <n v="472.6"/>
    <n v="0"/>
    <n v="0"/>
    <n v="0"/>
    <n v="0"/>
    <n v="0"/>
  </r>
  <r>
    <x v="0"/>
    <x v="0"/>
    <s v="SPXW"/>
    <x v="10"/>
    <x v="268"/>
    <s v="p"/>
    <n v="0"/>
    <n v="0"/>
    <n v="0"/>
    <n v="0"/>
    <n v="0"/>
    <n v="1"/>
    <n v="456.6"/>
    <n v="1"/>
    <n v="477.5"/>
    <n v="0"/>
    <n v="0"/>
    <n v="0"/>
    <n v="0"/>
    <n v="0.23960000000000001"/>
    <n v="-0.93149999999999999"/>
    <n v="4.0000000000000002E-4"/>
    <n v="-1.6633"/>
    <n v="1.7053"/>
    <n v="-2.1661999999999999"/>
    <n v="1"/>
    <n v="458.8"/>
    <n v="1"/>
    <n v="477.5"/>
    <n v="0"/>
    <n v="0"/>
    <n v="0"/>
    <n v="0"/>
    <n v="0"/>
  </r>
  <r>
    <x v="0"/>
    <x v="0"/>
    <s v="SPXW"/>
    <x v="10"/>
    <x v="544"/>
    <s v="p"/>
    <n v="0"/>
    <n v="0"/>
    <n v="0"/>
    <n v="0"/>
    <n v="0"/>
    <n v="1"/>
    <n v="461.3"/>
    <n v="1"/>
    <n v="482.6"/>
    <n v="0"/>
    <n v="0"/>
    <n v="0"/>
    <n v="0"/>
    <n v="0.24379999999999999"/>
    <n v="-0.92989999999999995"/>
    <n v="4.0000000000000002E-4"/>
    <n v="-1.7262"/>
    <n v="1.7339"/>
    <n v="-2.1644000000000001"/>
    <n v="3"/>
    <n v="463.5"/>
    <n v="1"/>
    <n v="482.6"/>
    <n v="0"/>
    <n v="0"/>
    <n v="0"/>
    <n v="0"/>
    <n v="0"/>
  </r>
  <r>
    <x v="0"/>
    <x v="0"/>
    <s v="SPXW"/>
    <x v="10"/>
    <x v="545"/>
    <s v="p"/>
    <n v="0"/>
    <n v="0"/>
    <n v="0"/>
    <n v="0"/>
    <n v="0"/>
    <n v="1"/>
    <n v="471.5"/>
    <n v="1"/>
    <n v="491.6"/>
    <n v="0"/>
    <n v="0"/>
    <n v="0"/>
    <n v="0"/>
    <n v="0.2397"/>
    <n v="-0.93740000000000001"/>
    <n v="4.0000000000000002E-4"/>
    <n v="-1.5387999999999999"/>
    <n v="1.5938000000000001"/>
    <n v="-2.1829999999999998"/>
    <n v="1"/>
    <n v="474.9"/>
    <n v="1"/>
    <n v="496.9"/>
    <n v="0"/>
    <n v="0"/>
    <n v="0"/>
    <n v="0"/>
    <n v="0"/>
  </r>
  <r>
    <x v="0"/>
    <x v="0"/>
    <s v="SPXW"/>
    <x v="10"/>
    <x v="269"/>
    <s v="p"/>
    <n v="0"/>
    <n v="0"/>
    <n v="0"/>
    <n v="0"/>
    <n v="0"/>
    <n v="1"/>
    <n v="481.3"/>
    <n v="1"/>
    <n v="502.1"/>
    <n v="0"/>
    <n v="0"/>
    <n v="0"/>
    <n v="0"/>
    <n v="0.2485"/>
    <n v="-0.93400000000000005"/>
    <n v="4.0000000000000002E-4"/>
    <n v="-1.6695"/>
    <n v="1.6551"/>
    <n v="-2.1791"/>
    <n v="3"/>
    <n v="483.5"/>
    <n v="1"/>
    <n v="502.1"/>
    <n v="0"/>
    <n v="0"/>
    <n v="0"/>
    <n v="0"/>
    <n v="0"/>
  </r>
  <r>
    <x v="0"/>
    <x v="0"/>
    <s v="SPXW"/>
    <x v="10"/>
    <x v="546"/>
    <s v="p"/>
    <n v="0"/>
    <n v="0"/>
    <n v="0"/>
    <n v="0"/>
    <n v="0"/>
    <n v="2"/>
    <n v="491.4"/>
    <n v="2"/>
    <n v="512.6"/>
    <n v="0"/>
    <n v="0"/>
    <n v="0"/>
    <n v="0"/>
    <n v="0.255"/>
    <n v="-0.93269999999999997"/>
    <n v="4.0000000000000002E-4"/>
    <n v="-1.7425999999999999"/>
    <n v="1.6779999999999999"/>
    <n v="-2.1793999999999998"/>
    <n v="2"/>
    <n v="493.5"/>
    <n v="1"/>
    <n v="513.20000000000005"/>
    <n v="0"/>
    <n v="0"/>
    <n v="0"/>
    <n v="0"/>
    <n v="0"/>
  </r>
  <r>
    <x v="0"/>
    <x v="0"/>
    <s v="SPXW"/>
    <x v="10"/>
    <x v="547"/>
    <s v="p"/>
    <n v="0"/>
    <n v="0"/>
    <n v="0"/>
    <n v="0"/>
    <n v="0"/>
    <n v="1"/>
    <n v="501.3"/>
    <n v="1"/>
    <n v="522.5"/>
    <n v="0"/>
    <n v="0"/>
    <n v="0"/>
    <n v="0"/>
    <n v="0.25869999999999999"/>
    <n v="-0.9335"/>
    <n v="4.0000000000000002E-4"/>
    <n v="-1.7486999999999999"/>
    <n v="1.6613"/>
    <n v="-2.1840999999999999"/>
    <n v="3"/>
    <n v="503.4"/>
    <n v="1"/>
    <n v="522.5"/>
    <n v="0"/>
    <n v="0"/>
    <n v="0"/>
    <n v="0"/>
    <n v="0"/>
  </r>
  <r>
    <x v="0"/>
    <x v="0"/>
    <s v="SPXW"/>
    <x v="10"/>
    <x v="270"/>
    <s v="p"/>
    <n v="0"/>
    <n v="0"/>
    <n v="0"/>
    <n v="0"/>
    <n v="0"/>
    <n v="1"/>
    <n v="506.4"/>
    <n v="1"/>
    <n v="525"/>
    <n v="0"/>
    <n v="0"/>
    <n v="0"/>
    <n v="0"/>
    <n v="0.2414"/>
    <n v="-0.94850000000000001"/>
    <n v="4.0000000000000002E-4"/>
    <n v="-1.3049999999999999"/>
    <n v="1.3727"/>
    <n v="-2.2170999999999998"/>
    <n v="3"/>
    <n v="508.4"/>
    <n v="1"/>
    <n v="531.79999999999995"/>
    <n v="0"/>
    <n v="0"/>
    <n v="0"/>
    <n v="0"/>
    <n v="0"/>
  </r>
  <r>
    <x v="0"/>
    <x v="0"/>
    <s v="SPXW"/>
    <x v="10"/>
    <x v="548"/>
    <s v="p"/>
    <n v="0"/>
    <n v="0"/>
    <n v="0"/>
    <n v="0"/>
    <n v="0"/>
    <n v="2"/>
    <n v="511.1"/>
    <n v="1"/>
    <n v="532.5"/>
    <n v="0"/>
    <n v="0"/>
    <n v="0"/>
    <n v="0"/>
    <n v="0.26250000000000001"/>
    <n v="-0.93430000000000002"/>
    <n v="4.0000000000000002E-4"/>
    <n v="-1.7577"/>
    <n v="1.6467000000000001"/>
    <n v="-2.1886999999999999"/>
    <n v="1"/>
    <n v="513.79999999999995"/>
    <n v="1"/>
    <n v="532.5"/>
    <n v="0"/>
    <n v="0"/>
    <n v="0"/>
    <n v="4"/>
    <n v="0"/>
  </r>
  <r>
    <x v="0"/>
    <x v="0"/>
    <s v="SPXW"/>
    <x v="10"/>
    <x v="549"/>
    <s v="p"/>
    <n v="0"/>
    <n v="0"/>
    <n v="0"/>
    <n v="0"/>
    <n v="0"/>
    <n v="2"/>
    <n v="521.29999999999995"/>
    <n v="3"/>
    <n v="542.5"/>
    <n v="0"/>
    <n v="0"/>
    <n v="0"/>
    <n v="0"/>
    <n v="0.26590000000000003"/>
    <n v="-0.93540000000000001"/>
    <n v="4.0000000000000002E-4"/>
    <n v="-1.7543"/>
    <n v="1.6252"/>
    <n v="-2.1939000000000002"/>
    <n v="3"/>
    <n v="523.4"/>
    <n v="1"/>
    <n v="542.5"/>
    <n v="0"/>
    <n v="0"/>
    <n v="0"/>
    <n v="0"/>
    <n v="0"/>
  </r>
  <r>
    <x v="0"/>
    <x v="0"/>
    <s v="SPXW"/>
    <x v="10"/>
    <x v="329"/>
    <s v="p"/>
    <n v="0"/>
    <n v="0"/>
    <n v="0"/>
    <n v="0"/>
    <n v="0"/>
    <n v="1"/>
    <n v="531.1"/>
    <n v="1"/>
    <n v="552.29999999999995"/>
    <n v="0"/>
    <n v="0"/>
    <n v="0"/>
    <n v="0"/>
    <n v="0.26889999999999997"/>
    <n v="-0.93659999999999999"/>
    <n v="4.0000000000000002E-4"/>
    <n v="-1.7443"/>
    <n v="1.601"/>
    <n v="-2.1995"/>
    <n v="3"/>
    <n v="533.4"/>
    <n v="1"/>
    <n v="552.29999999999995"/>
    <n v="0"/>
    <n v="0"/>
    <n v="0"/>
    <n v="1"/>
    <n v="0"/>
  </r>
  <r>
    <x v="0"/>
    <x v="0"/>
    <s v="SPXW"/>
    <x v="10"/>
    <x v="550"/>
    <s v="p"/>
    <n v="0"/>
    <n v="0"/>
    <n v="0"/>
    <n v="0"/>
    <n v="0"/>
    <n v="2"/>
    <n v="541.29999999999995"/>
    <n v="1"/>
    <n v="562.4"/>
    <n v="0"/>
    <n v="0"/>
    <n v="0"/>
    <n v="0"/>
    <n v="0.27279999999999999"/>
    <n v="-0.93720000000000003"/>
    <n v="4.0000000000000002E-4"/>
    <n v="-1.756"/>
    <n v="1.5892999999999999"/>
    <n v="-2.2037"/>
    <n v="3"/>
    <n v="543.29999999999995"/>
    <n v="1"/>
    <n v="562.4"/>
    <n v="0"/>
    <n v="0"/>
    <n v="0"/>
    <n v="0"/>
    <n v="0"/>
  </r>
  <r>
    <x v="0"/>
    <x v="0"/>
    <s v="SPXW"/>
    <x v="10"/>
    <x v="551"/>
    <s v="p"/>
    <n v="0"/>
    <n v="0"/>
    <n v="0"/>
    <n v="0"/>
    <n v="0"/>
    <n v="1"/>
    <n v="551.20000000000005"/>
    <n v="1"/>
    <n v="572.4"/>
    <n v="0"/>
    <n v="0"/>
    <n v="0"/>
    <n v="0"/>
    <n v="0.27710000000000001"/>
    <n v="-0.93740000000000001"/>
    <n v="4.0000000000000002E-4"/>
    <n v="-1.7768999999999999"/>
    <n v="1.5833999999999999"/>
    <n v="-2.2073"/>
    <n v="3"/>
    <n v="553.29999999999995"/>
    <n v="1"/>
    <n v="572.4"/>
    <n v="0"/>
    <n v="0"/>
    <n v="0"/>
    <n v="0"/>
    <n v="0"/>
  </r>
  <r>
    <x v="0"/>
    <x v="0"/>
    <s v="SPXW"/>
    <x v="10"/>
    <x v="330"/>
    <s v="p"/>
    <n v="0"/>
    <n v="0"/>
    <n v="0"/>
    <n v="0"/>
    <n v="0"/>
    <n v="1"/>
    <n v="556.29999999999995"/>
    <n v="1"/>
    <n v="577.20000000000005"/>
    <n v="0"/>
    <n v="0"/>
    <n v="0"/>
    <n v="0"/>
    <n v="0.27579999999999999"/>
    <n v="-0.94010000000000005"/>
    <n v="2.9999999999999997E-4"/>
    <n v="-1.7036"/>
    <n v="1.5333000000000001"/>
    <n v="-2.2143000000000002"/>
    <n v="3"/>
    <n v="558.29999999999995"/>
    <n v="1"/>
    <n v="577.20000000000005"/>
    <n v="0"/>
    <n v="0"/>
    <n v="0"/>
    <n v="4"/>
    <n v="0"/>
  </r>
  <r>
    <x v="0"/>
    <x v="0"/>
    <s v="SPXW"/>
    <x v="10"/>
    <x v="552"/>
    <s v="p"/>
    <n v="0"/>
    <n v="0"/>
    <n v="0"/>
    <n v="0"/>
    <n v="0"/>
    <n v="1"/>
    <n v="561.29999999999995"/>
    <n v="1"/>
    <n v="581.4"/>
    <n v="0"/>
    <n v="0"/>
    <n v="0"/>
    <n v="0"/>
    <n v="0.27200000000000002"/>
    <n v="-0.94420000000000004"/>
    <n v="2.9999999999999997E-4"/>
    <n v="-1.5778000000000001"/>
    <n v="1.4521999999999999"/>
    <n v="-2.2246000000000001"/>
    <n v="1"/>
    <n v="564.70000000000005"/>
    <n v="1"/>
    <n v="586.70000000000005"/>
    <n v="0"/>
    <n v="0"/>
    <n v="0"/>
    <n v="0"/>
    <n v="0"/>
  </r>
  <r>
    <x v="0"/>
    <x v="0"/>
    <s v="SPXW"/>
    <x v="10"/>
    <x v="553"/>
    <s v="p"/>
    <n v="0"/>
    <n v="0"/>
    <n v="0"/>
    <n v="0"/>
    <n v="0"/>
    <n v="1"/>
    <n v="571.9"/>
    <n v="2"/>
    <n v="592.4"/>
    <n v="0"/>
    <n v="0"/>
    <n v="0"/>
    <n v="0"/>
    <n v="0.28460000000000002"/>
    <n v="-0.93869999999999998"/>
    <n v="2.9999999999999997E-4"/>
    <n v="-1.7935000000000001"/>
    <n v="1.5583"/>
    <n v="-2.2159"/>
    <n v="3"/>
    <n v="573.29999999999995"/>
    <n v="1"/>
    <n v="595.9"/>
    <n v="0"/>
    <n v="0"/>
    <n v="0"/>
    <n v="0"/>
    <n v="0"/>
  </r>
  <r>
    <x v="0"/>
    <x v="0"/>
    <s v="SPXW"/>
    <x v="10"/>
    <x v="271"/>
    <s v="p"/>
    <n v="0"/>
    <n v="0"/>
    <n v="0"/>
    <n v="0"/>
    <n v="0"/>
    <n v="1"/>
    <n v="581.1"/>
    <n v="1"/>
    <n v="600.5"/>
    <n v="0"/>
    <n v="0"/>
    <n v="0"/>
    <n v="0"/>
    <n v="0.27229999999999999"/>
    <n v="-0.94989999999999997"/>
    <n v="2.9999999999999997E-4"/>
    <n v="-1.4353"/>
    <n v="1.3351999999999999"/>
    <n v="-2.2425999999999999"/>
    <n v="1"/>
    <n v="583.79999999999995"/>
    <n v="1"/>
    <n v="606.9"/>
    <n v="0"/>
    <n v="0"/>
    <n v="0"/>
    <n v="0"/>
    <n v="0"/>
  </r>
  <r>
    <x v="0"/>
    <x v="0"/>
    <s v="SPXW"/>
    <x v="10"/>
    <x v="554"/>
    <s v="p"/>
    <n v="0"/>
    <n v="0"/>
    <n v="0"/>
    <n v="0"/>
    <n v="0"/>
    <n v="2"/>
    <n v="591.20000000000005"/>
    <n v="1"/>
    <n v="612.29999999999995"/>
    <n v="0"/>
    <n v="0"/>
    <n v="0"/>
    <n v="0"/>
    <n v="0.28920000000000001"/>
    <n v="-0.94179999999999997"/>
    <n v="2.9999999999999997E-4"/>
    <n v="-1.7424999999999999"/>
    <n v="1.4974000000000001"/>
    <n v="-2.2284000000000002"/>
    <n v="3"/>
    <n v="593.20000000000005"/>
    <n v="1"/>
    <n v="612.29999999999995"/>
    <n v="0"/>
    <n v="0"/>
    <n v="0"/>
    <n v="0"/>
    <n v="0"/>
  </r>
  <r>
    <x v="0"/>
    <x v="0"/>
    <s v="SPXW"/>
    <x v="10"/>
    <x v="555"/>
    <s v="p"/>
    <n v="0"/>
    <n v="0"/>
    <n v="0"/>
    <n v="0"/>
    <n v="0"/>
    <n v="1"/>
    <n v="601.29999999999995"/>
    <n v="1"/>
    <n v="622.29999999999995"/>
    <n v="0"/>
    <n v="0"/>
    <n v="0"/>
    <n v="0"/>
    <n v="0.29310000000000003"/>
    <n v="-0.94220000000000004"/>
    <n v="2.9999999999999997E-4"/>
    <n v="-1.7548999999999999"/>
    <n v="1.4885999999999999"/>
    <n v="-2.2323"/>
    <n v="4"/>
    <n v="603.20000000000005"/>
    <n v="1"/>
    <n v="622.29999999999995"/>
    <n v="0"/>
    <n v="0"/>
    <n v="0"/>
    <n v="0"/>
    <n v="0"/>
  </r>
  <r>
    <x v="0"/>
    <x v="0"/>
    <s v="SPXW"/>
    <x v="10"/>
    <x v="331"/>
    <s v="p"/>
    <n v="0"/>
    <n v="0"/>
    <n v="0"/>
    <n v="0"/>
    <n v="0"/>
    <n v="1"/>
    <n v="606.1"/>
    <n v="1"/>
    <n v="627.1"/>
    <n v="0"/>
    <n v="0"/>
    <n v="0"/>
    <n v="0"/>
    <n v="0.29549999999999998"/>
    <n v="-0.94199999999999995"/>
    <n v="2.9999999999999997E-4"/>
    <n v="-1.7732000000000001"/>
    <n v="1.4912000000000001"/>
    <n v="-2.2334999999999998"/>
    <n v="3"/>
    <n v="608.20000000000005"/>
    <n v="1"/>
    <n v="627.1"/>
    <n v="0"/>
    <n v="0"/>
    <n v="0"/>
    <n v="0"/>
    <n v="0"/>
  </r>
  <r>
    <x v="0"/>
    <x v="0"/>
    <s v="SPXW"/>
    <x v="10"/>
    <x v="556"/>
    <s v="p"/>
    <n v="0"/>
    <n v="0"/>
    <n v="0"/>
    <n v="0"/>
    <n v="0"/>
    <n v="1"/>
    <n v="610.9"/>
    <n v="1"/>
    <n v="632.20000000000005"/>
    <n v="0"/>
    <n v="0"/>
    <n v="0"/>
    <n v="0"/>
    <n v="0.29799999999999999"/>
    <n v="-0.94179999999999997"/>
    <n v="2.9999999999999997E-4"/>
    <n v="-1.7932999999999999"/>
    <n v="1.4943"/>
    <n v="-2.2345999999999999"/>
    <n v="3"/>
    <n v="613.20000000000005"/>
    <n v="1"/>
    <n v="632.20000000000005"/>
    <n v="0"/>
    <n v="0"/>
    <n v="0"/>
    <n v="0"/>
    <n v="0"/>
  </r>
  <r>
    <x v="0"/>
    <x v="0"/>
    <s v="SPXW"/>
    <x v="10"/>
    <x v="557"/>
    <s v="p"/>
    <n v="0"/>
    <n v="0"/>
    <n v="0"/>
    <n v="0"/>
    <n v="0"/>
    <n v="1"/>
    <n v="621.20000000000005"/>
    <n v="1"/>
    <n v="642.20000000000005"/>
    <n v="0"/>
    <n v="0"/>
    <n v="0"/>
    <n v="0"/>
    <n v="0.29970000000000002"/>
    <n v="-0.94359999999999999"/>
    <n v="2.9999999999999997E-4"/>
    <n v="-1.7537"/>
    <n v="1.4576"/>
    <n v="-2.2414999999999998"/>
    <n v="4"/>
    <n v="623.20000000000005"/>
    <n v="1"/>
    <n v="642.20000000000005"/>
    <n v="0"/>
    <n v="0"/>
    <n v="0"/>
    <n v="0"/>
    <n v="0"/>
  </r>
  <r>
    <x v="0"/>
    <x v="0"/>
    <s v="SPXW"/>
    <x v="10"/>
    <x v="332"/>
    <s v="p"/>
    <n v="0"/>
    <n v="0"/>
    <n v="0"/>
    <n v="0"/>
    <n v="0"/>
    <n v="1"/>
    <n v="631.20000000000005"/>
    <n v="3"/>
    <n v="652.29999999999995"/>
    <n v="0"/>
    <n v="0"/>
    <n v="0"/>
    <n v="0"/>
    <n v="0.30409999999999998"/>
    <n v="-0.94369999999999998"/>
    <n v="2.9999999999999997E-4"/>
    <n v="-1.7776000000000001"/>
    <n v="1.4556"/>
    <n v="-2.2446000000000002"/>
    <n v="2"/>
    <n v="633.20000000000005"/>
    <n v="1"/>
    <n v="652.29999999999995"/>
    <n v="0"/>
    <n v="0"/>
    <n v="0"/>
    <n v="2"/>
    <n v="0"/>
  </r>
  <r>
    <x v="0"/>
    <x v="0"/>
    <s v="SPXW"/>
    <x v="10"/>
    <x v="558"/>
    <s v="p"/>
    <n v="0"/>
    <n v="0"/>
    <n v="0"/>
    <n v="0"/>
    <n v="0"/>
    <n v="2"/>
    <n v="640.79999999999995"/>
    <n v="1"/>
    <n v="661.8"/>
    <n v="0"/>
    <n v="0"/>
    <n v="0"/>
    <n v="0"/>
    <n v="0.30609999999999998"/>
    <n v="-0.94510000000000005"/>
    <n v="2.9999999999999997E-4"/>
    <n v="-1.75"/>
    <n v="1.4271"/>
    <n v="-2.2505999999999999"/>
    <n v="3"/>
    <n v="643.1"/>
    <n v="1"/>
    <n v="661.8"/>
    <n v="0"/>
    <n v="0"/>
    <n v="0"/>
    <n v="0"/>
    <n v="0"/>
  </r>
  <r>
    <x v="0"/>
    <x v="0"/>
    <s v="SPXW"/>
    <x v="10"/>
    <x v="559"/>
    <s v="p"/>
    <n v="0"/>
    <n v="0"/>
    <n v="0"/>
    <n v="0"/>
    <n v="0"/>
    <n v="1"/>
    <n v="651.20000000000005"/>
    <n v="1"/>
    <n v="672.1"/>
    <n v="0"/>
    <n v="0"/>
    <n v="0"/>
    <n v="0"/>
    <n v="0.30990000000000001"/>
    <n v="-0.94550000000000001"/>
    <n v="2.9999999999999997E-4"/>
    <n v="-1.7588999999999999"/>
    <n v="1.4173"/>
    <n v="-2.2545000000000002"/>
    <n v="3"/>
    <n v="653.1"/>
    <n v="1"/>
    <n v="672.1"/>
    <n v="0"/>
    <n v="0"/>
    <n v="0"/>
    <n v="0"/>
    <n v="0"/>
  </r>
  <r>
    <x v="0"/>
    <x v="0"/>
    <s v="SPXW"/>
    <x v="10"/>
    <x v="333"/>
    <s v="p"/>
    <n v="0"/>
    <n v="0"/>
    <n v="0"/>
    <n v="0"/>
    <n v="0"/>
    <n v="1"/>
    <n v="656.2"/>
    <n v="1"/>
    <n v="677.2"/>
    <n v="0"/>
    <n v="0"/>
    <n v="0"/>
    <n v="0"/>
    <n v="0.31240000000000001"/>
    <n v="-0.94530000000000003"/>
    <n v="2.9999999999999997E-4"/>
    <n v="-1.7793000000000001"/>
    <n v="1.4211"/>
    <n v="-2.2555999999999998"/>
    <n v="3"/>
    <n v="658.1"/>
    <n v="1"/>
    <n v="677.2"/>
    <n v="0"/>
    <n v="0"/>
    <n v="0"/>
    <n v="0"/>
    <n v="0"/>
  </r>
  <r>
    <x v="0"/>
    <x v="0"/>
    <s v="SPXW"/>
    <x v="10"/>
    <x v="560"/>
    <s v="p"/>
    <n v="0"/>
    <n v="0"/>
    <n v="0"/>
    <n v="0"/>
    <n v="0"/>
    <n v="1"/>
    <n v="661"/>
    <n v="1"/>
    <n v="682.1"/>
    <n v="0"/>
    <n v="0"/>
    <n v="0"/>
    <n v="0"/>
    <n v="0.315"/>
    <n v="-0.94510000000000005"/>
    <n v="2.9999999999999997E-4"/>
    <n v="-1.8009999999999999"/>
    <n v="1.4258"/>
    <n v="-2.2565"/>
    <n v="3"/>
    <n v="663.1"/>
    <n v="1"/>
    <n v="682.1"/>
    <n v="0"/>
    <n v="0"/>
    <n v="0"/>
    <n v="0"/>
    <n v="0"/>
  </r>
  <r>
    <x v="0"/>
    <x v="0"/>
    <s v="SPXW"/>
    <x v="10"/>
    <x v="561"/>
    <s v="p"/>
    <n v="0"/>
    <n v="0"/>
    <n v="0"/>
    <n v="0"/>
    <n v="0"/>
    <n v="2"/>
    <n v="670.8"/>
    <n v="1"/>
    <n v="692.1"/>
    <n v="0"/>
    <n v="0"/>
    <n v="0"/>
    <n v="0"/>
    <n v="0.31469999999999998"/>
    <n v="-0.94789999999999996"/>
    <n v="2.9999999999999997E-4"/>
    <n v="-1.7175"/>
    <n v="1.3682000000000001"/>
    <n v="-2.2654999999999998"/>
    <n v="2"/>
    <n v="673.1"/>
    <n v="1"/>
    <n v="692.1"/>
    <n v="0"/>
    <n v="0"/>
    <n v="0"/>
    <n v="0"/>
    <n v="0"/>
  </r>
  <r>
    <x v="0"/>
    <x v="0"/>
    <s v="SPXW"/>
    <x v="10"/>
    <x v="272"/>
    <s v="p"/>
    <n v="0"/>
    <n v="0"/>
    <n v="0"/>
    <n v="0"/>
    <n v="0"/>
    <n v="1"/>
    <n v="681.1"/>
    <n v="1"/>
    <n v="702"/>
    <n v="0"/>
    <n v="0"/>
    <n v="0"/>
    <n v="0"/>
    <n v="0.31990000000000002"/>
    <n v="-0.94730000000000003"/>
    <n v="2.9999999999999997E-4"/>
    <n v="-1.7632000000000001"/>
    <n v="1.3793"/>
    <n v="-2.2671999999999999"/>
    <n v="3"/>
    <n v="683.1"/>
    <n v="1"/>
    <n v="702"/>
    <n v="0"/>
    <n v="0"/>
    <n v="0"/>
    <n v="2"/>
    <n v="0"/>
  </r>
  <r>
    <x v="0"/>
    <x v="0"/>
    <s v="SPXW"/>
    <x v="10"/>
    <x v="562"/>
    <s v="p"/>
    <n v="0"/>
    <n v="0"/>
    <n v="0"/>
    <n v="0"/>
    <n v="0"/>
    <n v="1"/>
    <n v="690.8"/>
    <n v="1"/>
    <n v="711.6"/>
    <n v="0"/>
    <n v="0"/>
    <n v="0"/>
    <n v="0"/>
    <n v="0.32019999999999998"/>
    <n v="-0.9496"/>
    <n v="2.9999999999999997E-4"/>
    <n v="-1.6964999999999999"/>
    <n v="1.3323"/>
    <n v="-2.2749999999999999"/>
    <n v="2"/>
    <n v="693.1"/>
    <n v="1"/>
    <n v="711.6"/>
    <n v="0"/>
    <n v="0"/>
    <n v="0"/>
    <n v="0"/>
    <n v="0"/>
  </r>
  <r>
    <x v="0"/>
    <x v="0"/>
    <s v="SPXW"/>
    <x v="10"/>
    <x v="563"/>
    <s v="p"/>
    <n v="0"/>
    <n v="0"/>
    <n v="0"/>
    <n v="0"/>
    <n v="0"/>
    <n v="1"/>
    <n v="700.9"/>
    <n v="1"/>
    <n v="721.1"/>
    <n v="0"/>
    <n v="0"/>
    <n v="0"/>
    <n v="0"/>
    <n v="0.31769999999999998"/>
    <n v="-0.95330000000000004"/>
    <n v="2.0000000000000001E-4"/>
    <n v="-1.5701000000000001"/>
    <n v="1.2547999999999999"/>
    <n v="-2.2856999999999998"/>
    <n v="1"/>
    <n v="704.4"/>
    <n v="2"/>
    <n v="727"/>
    <n v="0"/>
    <n v="0"/>
    <n v="0"/>
    <n v="0"/>
    <n v="0"/>
  </r>
  <r>
    <x v="0"/>
    <x v="0"/>
    <s v="SPXW"/>
    <x v="10"/>
    <x v="334"/>
    <s v="p"/>
    <n v="0"/>
    <n v="0"/>
    <n v="0"/>
    <n v="0"/>
    <n v="0"/>
    <n v="2"/>
    <n v="706"/>
    <n v="1"/>
    <n v="726.2"/>
    <n v="0"/>
    <n v="0"/>
    <n v="0"/>
    <n v="0"/>
    <n v="0.3241"/>
    <n v="-0.95079999999999998"/>
    <n v="2.9999999999999997E-4"/>
    <n v="-1.6783999999999999"/>
    <n v="1.3052999999999999"/>
    <n v="-2.2820999999999998"/>
    <n v="1"/>
    <n v="709.5"/>
    <n v="1"/>
    <n v="731.7"/>
    <n v="0"/>
    <n v="0"/>
    <n v="0"/>
    <n v="0"/>
    <n v="0"/>
  </r>
  <r>
    <x v="0"/>
    <x v="0"/>
    <s v="SPXW"/>
    <x v="10"/>
    <x v="564"/>
    <s v="p"/>
    <n v="0"/>
    <n v="0"/>
    <n v="0"/>
    <n v="0"/>
    <n v="0"/>
    <n v="1"/>
    <n v="711.1"/>
    <n v="1"/>
    <n v="731.9"/>
    <n v="0"/>
    <n v="0"/>
    <n v="0"/>
    <n v="0"/>
    <n v="0.32979999999999998"/>
    <n v="-0.94889999999999997"/>
    <n v="2.9999999999999997E-4"/>
    <n v="-1.7663"/>
    <n v="1.3433999999999999"/>
    <n v="-2.2797000000000001"/>
    <n v="2"/>
    <n v="713"/>
    <n v="1"/>
    <n v="731.9"/>
    <n v="0"/>
    <n v="0"/>
    <n v="0"/>
    <n v="0"/>
    <n v="0"/>
  </r>
  <r>
    <x v="0"/>
    <x v="0"/>
    <s v="SPXW"/>
    <x v="10"/>
    <x v="565"/>
    <s v="p"/>
    <n v="0"/>
    <n v="0"/>
    <n v="0"/>
    <n v="0"/>
    <n v="0"/>
    <n v="1"/>
    <n v="721.1"/>
    <n v="1"/>
    <n v="742"/>
    <n v="0"/>
    <n v="0"/>
    <n v="0"/>
    <n v="0"/>
    <n v="0.33410000000000001"/>
    <n v="-0.94889999999999997"/>
    <n v="2.9999999999999997E-4"/>
    <n v="-1.7901"/>
    <n v="1.3431999999999999"/>
    <n v="-2.2827000000000002"/>
    <n v="2"/>
    <n v="723"/>
    <n v="1"/>
    <n v="742"/>
    <n v="0"/>
    <n v="0"/>
    <n v="0"/>
    <n v="0"/>
    <n v="0"/>
  </r>
  <r>
    <x v="0"/>
    <x v="0"/>
    <s v="SPXW"/>
    <x v="10"/>
    <x v="335"/>
    <s v="p"/>
    <n v="0"/>
    <n v="0"/>
    <n v="0"/>
    <n v="0"/>
    <n v="0"/>
    <n v="1"/>
    <n v="731"/>
    <n v="1"/>
    <n v="751.9"/>
    <n v="0"/>
    <n v="0"/>
    <n v="0"/>
    <n v="0"/>
    <n v="0.33689999999999998"/>
    <n v="-0.94969999999999999"/>
    <n v="2.0000000000000001E-4"/>
    <n v="-1.7794000000000001"/>
    <n v="1.3263"/>
    <n v="-2.2873000000000001"/>
    <n v="3"/>
    <n v="733"/>
    <n v="1"/>
    <n v="751.9"/>
    <n v="0"/>
    <n v="0"/>
    <n v="0"/>
    <n v="1"/>
    <n v="0"/>
  </r>
  <r>
    <x v="0"/>
    <x v="0"/>
    <s v="SPXW"/>
    <x v="10"/>
    <x v="566"/>
    <s v="p"/>
    <n v="0"/>
    <n v="0"/>
    <n v="0"/>
    <n v="0"/>
    <n v="0"/>
    <n v="2"/>
    <n v="740.9"/>
    <n v="1"/>
    <n v="761.8"/>
    <n v="0"/>
    <n v="0"/>
    <n v="0"/>
    <n v="0"/>
    <n v="0.3412"/>
    <n v="-0.9496"/>
    <n v="2.0000000000000001E-4"/>
    <n v="-1.8048"/>
    <n v="1.3273999999999999"/>
    <n v="-2.2902"/>
    <n v="2"/>
    <n v="743"/>
    <n v="1"/>
    <n v="761.8"/>
    <n v="0"/>
    <n v="0"/>
    <n v="0"/>
    <n v="0"/>
    <n v="0"/>
  </r>
  <r>
    <x v="0"/>
    <x v="0"/>
    <s v="SPXW"/>
    <x v="10"/>
    <x v="567"/>
    <s v="p"/>
    <n v="0"/>
    <n v="0"/>
    <n v="0"/>
    <n v="0"/>
    <n v="0"/>
    <n v="1"/>
    <n v="755.7"/>
    <n v="1"/>
    <n v="777"/>
    <n v="0"/>
    <n v="0"/>
    <n v="0"/>
    <n v="0"/>
    <n v="0.34860000000000002"/>
    <n v="-0.94910000000000005"/>
    <n v="2.0000000000000001E-4"/>
    <n v="-1.8627"/>
    <n v="1.3382000000000001"/>
    <n v="-2.2934999999999999"/>
    <n v="3"/>
    <n v="757.9"/>
    <n v="1"/>
    <n v="777"/>
    <n v="0"/>
    <n v="0"/>
    <n v="0"/>
    <n v="0"/>
    <n v="0"/>
  </r>
  <r>
    <x v="0"/>
    <x v="0"/>
    <s v="SPXW"/>
    <x v="10"/>
    <x v="273"/>
    <s v="p"/>
    <n v="0"/>
    <n v="0"/>
    <n v="0"/>
    <n v="0"/>
    <n v="0"/>
    <n v="1"/>
    <n v="781"/>
    <n v="1"/>
    <n v="800.7"/>
    <n v="0"/>
    <n v="0"/>
    <n v="0"/>
    <n v="0"/>
    <n v="0.34420000000000001"/>
    <n v="-0.95640000000000003"/>
    <n v="2.0000000000000001E-4"/>
    <n v="-1.5968"/>
    <n v="1.1852"/>
    <n v="-2.3161"/>
    <n v="1"/>
    <n v="783.9"/>
    <n v="1"/>
    <n v="806.4"/>
    <n v="0"/>
    <n v="0"/>
    <n v="0"/>
    <n v="45"/>
    <n v="0"/>
  </r>
  <r>
    <x v="0"/>
    <x v="0"/>
    <s v="SPXW"/>
    <x v="10"/>
    <x v="568"/>
    <s v="p"/>
    <n v="0"/>
    <n v="0"/>
    <n v="0"/>
    <n v="0"/>
    <n v="0"/>
    <n v="2"/>
    <n v="805.8"/>
    <n v="1"/>
    <n v="826.9"/>
    <n v="0"/>
    <n v="0"/>
    <n v="0"/>
    <n v="0"/>
    <n v="0.36459999999999998"/>
    <n v="-0.95150000000000001"/>
    <n v="2.0000000000000001E-4"/>
    <n v="-1.8633999999999999"/>
    <n v="1.2853000000000001"/>
    <n v="-2.3136000000000001"/>
    <n v="2"/>
    <n v="807.9"/>
    <n v="1"/>
    <n v="826.9"/>
    <n v="0"/>
    <n v="0"/>
    <n v="0"/>
    <n v="0"/>
    <n v="0"/>
  </r>
  <r>
    <x v="0"/>
    <x v="0"/>
    <s v="SPXW"/>
    <x v="10"/>
    <x v="569"/>
    <s v="p"/>
    <n v="0"/>
    <n v="0"/>
    <n v="0"/>
    <n v="0"/>
    <n v="0"/>
    <n v="1"/>
    <n v="830.9"/>
    <n v="1"/>
    <n v="850.1"/>
    <n v="0"/>
    <n v="0"/>
    <n v="0"/>
    <n v="0"/>
    <n v="0.35570000000000002"/>
    <n v="-0.96030000000000004"/>
    <n v="2.0000000000000001E-4"/>
    <n v="-1.5123"/>
    <n v="1.0991"/>
    <n v="-2.3391999999999999"/>
    <n v="1"/>
    <n v="833.3"/>
    <n v="1"/>
    <n v="856.3"/>
    <n v="0"/>
    <n v="0"/>
    <n v="0"/>
    <n v="0"/>
    <n v="0"/>
  </r>
  <r>
    <x v="0"/>
    <x v="0"/>
    <s v="SPXW"/>
    <x v="10"/>
    <x v="570"/>
    <s v="p"/>
    <n v="0"/>
    <n v="0"/>
    <n v="0"/>
    <n v="0"/>
    <n v="0"/>
    <n v="1"/>
    <n v="855.8"/>
    <n v="1"/>
    <n v="876.8"/>
    <n v="0"/>
    <n v="0"/>
    <n v="0"/>
    <n v="0"/>
    <n v="0.37930000000000003"/>
    <n v="-0.95420000000000005"/>
    <n v="2.0000000000000001E-4"/>
    <n v="-1.8386"/>
    <n v="1.2266999999999999"/>
    <n v="-2.3340999999999998"/>
    <n v="2"/>
    <n v="857.8"/>
    <n v="1"/>
    <n v="876.8"/>
    <n v="0"/>
    <n v="0"/>
    <n v="0"/>
    <n v="0"/>
    <n v="0"/>
  </r>
  <r>
    <x v="0"/>
    <x v="0"/>
    <s v="SPXW"/>
    <x v="10"/>
    <x v="336"/>
    <s v="p"/>
    <n v="0"/>
    <n v="0"/>
    <n v="0"/>
    <n v="0"/>
    <n v="0"/>
    <n v="2"/>
    <n v="880.4"/>
    <n v="1"/>
    <n v="901.8"/>
    <n v="0"/>
    <n v="0"/>
    <n v="0"/>
    <n v="0"/>
    <n v="0.39019999999999999"/>
    <n v="-0.95379999999999998"/>
    <n v="2.0000000000000001E-4"/>
    <n v="-1.9051"/>
    <n v="1.2335"/>
    <n v="-2.3409"/>
    <n v="2"/>
    <n v="882.8"/>
    <n v="1"/>
    <n v="901.8"/>
    <n v="0"/>
    <n v="0"/>
    <n v="0"/>
    <n v="0"/>
    <n v="0"/>
  </r>
  <r>
    <x v="0"/>
    <x v="0"/>
    <s v="SPXW"/>
    <x v="10"/>
    <x v="571"/>
    <s v="p"/>
    <n v="0"/>
    <n v="0"/>
    <n v="0"/>
    <n v="0"/>
    <n v="0"/>
    <n v="1"/>
    <n v="905.6"/>
    <n v="1"/>
    <n v="926.7"/>
    <n v="0"/>
    <n v="0"/>
    <n v="0"/>
    <n v="0"/>
    <n v="0.39290000000000003"/>
    <n v="-0.95699999999999996"/>
    <n v="2.0000000000000001E-4"/>
    <n v="-1.7963"/>
    <n v="1.1657999999999999"/>
    <n v="-2.355"/>
    <n v="2"/>
    <n v="907.7"/>
    <n v="1"/>
    <n v="926.7"/>
    <n v="0"/>
    <n v="0"/>
    <n v="0"/>
    <n v="0"/>
    <n v="0"/>
  </r>
  <r>
    <x v="0"/>
    <x v="0"/>
    <s v="SPXW"/>
    <x v="10"/>
    <x v="572"/>
    <s v="p"/>
    <n v="0"/>
    <n v="0"/>
    <n v="0"/>
    <n v="0"/>
    <n v="0"/>
    <n v="2"/>
    <n v="930.6"/>
    <n v="1"/>
    <n v="951.7"/>
    <n v="0"/>
    <n v="0"/>
    <n v="0"/>
    <n v="0"/>
    <n v="0.40550000000000003"/>
    <n v="-0.95579999999999998"/>
    <n v="2.0000000000000001E-4"/>
    <n v="-1.9014"/>
    <n v="1.1901999999999999"/>
    <n v="-2.3599000000000001"/>
    <n v="3"/>
    <n v="932.7"/>
    <n v="1"/>
    <n v="951.7"/>
    <n v="0"/>
    <n v="0"/>
    <n v="0"/>
    <n v="0"/>
    <n v="0"/>
  </r>
  <r>
    <x v="0"/>
    <x v="0"/>
    <s v="SPXW"/>
    <x v="10"/>
    <x v="274"/>
    <s v="p"/>
    <n v="0"/>
    <n v="0"/>
    <n v="0"/>
    <n v="0"/>
    <n v="0"/>
    <n v="2"/>
    <n v="980.3"/>
    <n v="1"/>
    <n v="1001.4"/>
    <n v="0"/>
    <n v="0"/>
    <n v="0"/>
    <n v="0"/>
    <n v="0.42009999999999997"/>
    <n v="-0.95779999999999998"/>
    <n v="2.0000000000000001E-4"/>
    <n v="-1.8884000000000001"/>
    <n v="1.1468"/>
    <n v="-2.379"/>
    <n v="3"/>
    <n v="982.6"/>
    <n v="1"/>
    <n v="1001.4"/>
    <n v="0"/>
    <n v="0"/>
    <n v="0"/>
    <n v="0"/>
    <n v="0"/>
  </r>
  <r>
    <x v="0"/>
    <x v="0"/>
    <s v="SPXW"/>
    <x v="10"/>
    <x v="577"/>
    <s v="p"/>
    <n v="0"/>
    <n v="0"/>
    <n v="0"/>
    <n v="0"/>
    <n v="0"/>
    <n v="2"/>
    <n v="1080.0999999999999"/>
    <n v="1"/>
    <n v="1099"/>
    <n v="0"/>
    <n v="0"/>
    <n v="0"/>
    <n v="0"/>
    <n v="0.42080000000000001"/>
    <n v="-0.97060000000000002"/>
    <n v="1E-4"/>
    <n v="-1.3396999999999999"/>
    <n v="0.85529999999999995"/>
    <n v="-2.4354"/>
    <n v="3"/>
    <n v="1082.4000000000001"/>
    <n v="1"/>
    <n v="1105.9000000000001"/>
    <n v="0"/>
    <n v="0"/>
    <n v="0"/>
    <n v="42"/>
    <n v="0"/>
  </r>
  <r>
    <x v="0"/>
    <x v="0"/>
    <s v="SPXW"/>
    <x v="10"/>
    <x v="275"/>
    <s v="p"/>
    <n v="0"/>
    <n v="0"/>
    <n v="0"/>
    <n v="0"/>
    <n v="0"/>
    <n v="1"/>
    <n v="1180.3"/>
    <n v="3"/>
    <n v="1201.5"/>
    <n v="0"/>
    <n v="0"/>
    <n v="0"/>
    <n v="0"/>
    <n v="0.48299999999999998"/>
    <n v="-0.96220000000000006"/>
    <n v="1E-4"/>
    <n v="-1.9537"/>
    <n v="1.0427"/>
    <n v="-2.4481999999999999"/>
    <n v="3"/>
    <n v="1182.3"/>
    <n v="1"/>
    <n v="1201.5"/>
    <n v="0"/>
    <n v="0"/>
    <n v="0"/>
    <n v="0"/>
    <n v="0"/>
  </r>
  <r>
    <x v="0"/>
    <x v="0"/>
    <s v="SPXW"/>
    <x v="10"/>
    <x v="579"/>
    <s v="p"/>
    <n v="0"/>
    <n v="0"/>
    <n v="0"/>
    <n v="0"/>
    <n v="0"/>
    <n v="2"/>
    <n v="1279.8"/>
    <n v="1"/>
    <n v="1300.5999999999999"/>
    <n v="0"/>
    <n v="0"/>
    <n v="0"/>
    <n v="0"/>
    <n v="0.50780000000000003"/>
    <n v="-0.96560000000000001"/>
    <n v="1E-4"/>
    <n v="-1.8793"/>
    <n v="0.96489999999999998"/>
    <n v="-2.4849999999999999"/>
    <n v="1"/>
    <n v="1282.2"/>
    <n v="1"/>
    <n v="1300.5999999999999"/>
    <n v="0"/>
    <n v="0"/>
    <n v="0"/>
    <n v="0"/>
    <n v="0"/>
  </r>
  <r>
    <x v="0"/>
    <x v="0"/>
    <s v="SPXW"/>
    <x v="10"/>
    <x v="276"/>
    <s v="p"/>
    <n v="0"/>
    <n v="0"/>
    <n v="0"/>
    <n v="0"/>
    <n v="0"/>
    <n v="1"/>
    <n v="1381.4"/>
    <n v="2"/>
    <n v="1401.2"/>
    <n v="0"/>
    <n v="0"/>
    <n v="0"/>
    <n v="0"/>
    <n v="0.54490000000000005"/>
    <n v="-0.96499999999999997"/>
    <n v="1E-4"/>
    <n v="-2.044"/>
    <n v="0.97470000000000001"/>
    <n v="-2.5139"/>
    <n v="3"/>
    <n v="1382"/>
    <n v="1"/>
    <n v="1405.4"/>
    <n v="0"/>
    <n v="0"/>
    <n v="0"/>
    <n v="0"/>
    <n v="0"/>
  </r>
  <r>
    <x v="0"/>
    <x v="0"/>
    <s v="SPXW"/>
    <x v="10"/>
    <x v="580"/>
    <s v="p"/>
    <n v="1490.84"/>
    <n v="1490.84"/>
    <n v="1490.84"/>
    <n v="1490.84"/>
    <n v="1"/>
    <n v="1"/>
    <n v="1479.6"/>
    <n v="1"/>
    <n v="1500.8"/>
    <n v="0"/>
    <n v="0"/>
    <n v="0"/>
    <n v="0"/>
    <n v="0.5706"/>
    <n v="-0.96730000000000005"/>
    <n v="1E-4"/>
    <n v="-2.0062000000000002"/>
    <n v="0.92220000000000002"/>
    <n v="-2.5482999999999998"/>
    <n v="1"/>
    <n v="1481.9"/>
    <n v="1"/>
    <n v="1500.8"/>
    <n v="0"/>
    <n v="0"/>
    <n v="1490.84"/>
    <n v="0"/>
    <n v="0"/>
  </r>
  <r>
    <x v="0"/>
    <x v="0"/>
    <s v="SPXW"/>
    <x v="10"/>
    <x v="277"/>
    <s v="p"/>
    <n v="1590.71"/>
    <n v="1590.71"/>
    <n v="1590.71"/>
    <n v="1590.71"/>
    <n v="1"/>
    <n v="1"/>
    <n v="1579.6"/>
    <n v="1"/>
    <n v="1600.8"/>
    <n v="0"/>
    <n v="0"/>
    <n v="0"/>
    <n v="0"/>
    <n v="0.60019999999999996"/>
    <n v="-0.96830000000000005"/>
    <n v="1E-4"/>
    <n v="-2.0478999999999998"/>
    <n v="0.89890000000000003"/>
    <n v="-2.5802"/>
    <n v="3"/>
    <n v="1581.7"/>
    <n v="1"/>
    <n v="1600.8"/>
    <n v="0"/>
    <n v="0"/>
    <n v="1590.71"/>
    <n v="0"/>
    <n v="0"/>
  </r>
  <r>
    <x v="0"/>
    <x v="0"/>
    <s v="SPXW"/>
    <x v="10"/>
    <x v="278"/>
    <s v="p"/>
    <n v="0"/>
    <n v="0"/>
    <n v="0"/>
    <n v="0"/>
    <n v="0"/>
    <n v="1"/>
    <n v="1779.3"/>
    <n v="1"/>
    <n v="1800.4"/>
    <n v="0"/>
    <n v="0"/>
    <n v="0"/>
    <n v="0"/>
    <n v="0.65310000000000001"/>
    <n v="-0.97089999999999999"/>
    <n v="1E-4"/>
    <n v="-2.0430999999999999"/>
    <n v="0.83540000000000003"/>
    <n v="-2.6453000000000002"/>
    <n v="3"/>
    <n v="1781.4"/>
    <n v="1"/>
    <n v="1800.4"/>
    <n v="0"/>
    <n v="0"/>
    <n v="0"/>
    <n v="1"/>
    <n v="0"/>
  </r>
  <r>
    <x v="0"/>
    <x v="0"/>
    <s v="SPXW"/>
    <x v="10"/>
    <x v="279"/>
    <s v="p"/>
    <n v="0"/>
    <n v="0"/>
    <n v="0"/>
    <n v="0"/>
    <n v="0"/>
    <n v="1"/>
    <n v="1979.2"/>
    <n v="1"/>
    <n v="1997.7"/>
    <n v="0"/>
    <n v="0"/>
    <n v="0"/>
    <n v="0"/>
    <n v="0.66559999999999997"/>
    <n v="-0.97970000000000002"/>
    <n v="1E-4"/>
    <n v="-1.4383999999999999"/>
    <n v="0.61839999999999995"/>
    <n v="-2.7227000000000001"/>
    <n v="1"/>
    <n v="1981.2"/>
    <n v="1"/>
    <n v="2004.6"/>
    <n v="0"/>
    <n v="0"/>
    <n v="0"/>
    <n v="0"/>
    <n v="0"/>
  </r>
  <r>
    <x v="0"/>
    <x v="0"/>
    <s v="SPXW"/>
    <x v="10"/>
    <x v="582"/>
    <s v="p"/>
    <n v="0"/>
    <n v="0"/>
    <n v="0"/>
    <n v="0"/>
    <n v="0"/>
    <n v="2"/>
    <n v="2378.1999999999998"/>
    <n v="1"/>
    <n v="2397.1"/>
    <n v="0"/>
    <n v="0"/>
    <n v="0"/>
    <n v="0"/>
    <n v="0.75349999999999995"/>
    <n v="-0.9829"/>
    <n v="0"/>
    <n v="-1.3359000000000001"/>
    <n v="0.5302"/>
    <n v="-2.8487"/>
    <n v="3"/>
    <n v="2380.6"/>
    <n v="1"/>
    <n v="2404.1"/>
    <n v="0"/>
    <n v="0"/>
    <n v="0"/>
    <n v="0"/>
    <n v="0"/>
  </r>
  <r>
    <x v="0"/>
    <x v="0"/>
    <s v="SPXW"/>
    <x v="10"/>
    <x v="583"/>
    <s v="p"/>
    <n v="0"/>
    <n v="0"/>
    <n v="0"/>
    <n v="0"/>
    <n v="0"/>
    <n v="1"/>
    <n v="2777.7"/>
    <n v="1"/>
    <n v="2799"/>
    <n v="0"/>
    <n v="0"/>
    <n v="0"/>
    <n v="0"/>
    <n v="0.89729999999999999"/>
    <n v="-0.97809999999999997"/>
    <n v="1E-4"/>
    <n v="-2.0760999999999998"/>
    <n v="0.65290000000000004"/>
    <n v="-2.9582999999999999"/>
    <n v="3"/>
    <n v="2780"/>
    <n v="1"/>
    <n v="2799"/>
    <n v="0"/>
    <n v="0"/>
    <n v="0"/>
    <n v="0"/>
    <n v="0"/>
  </r>
  <r>
    <x v="0"/>
    <x v="0"/>
    <s v="SPXW"/>
    <x v="10"/>
    <x v="584"/>
    <s v="p"/>
    <n v="0"/>
    <n v="0"/>
    <n v="0"/>
    <n v="0"/>
    <n v="0"/>
    <n v="1"/>
    <n v="3177.4"/>
    <n v="2"/>
    <n v="3198.6"/>
    <n v="0"/>
    <n v="0"/>
    <n v="0"/>
    <n v="0"/>
    <n v="0.98250000000000004"/>
    <n v="-0.98009999999999997"/>
    <n v="0"/>
    <n v="-2.0373999999999999"/>
    <n v="0.60009999999999997"/>
    <n v="-3.0815999999999999"/>
    <n v="1"/>
    <n v="3179.5"/>
    <n v="1"/>
    <n v="3202.9"/>
    <n v="0"/>
    <n v="0"/>
    <n v="0"/>
    <n v="5"/>
    <n v="0"/>
  </r>
  <r>
    <x v="0"/>
    <x v="0"/>
    <s v="SPXW"/>
    <x v="10"/>
    <x v="585"/>
    <s v="p"/>
    <n v="0"/>
    <n v="0"/>
    <n v="0"/>
    <n v="0"/>
    <n v="0"/>
    <n v="1"/>
    <n v="3576.8"/>
    <n v="2"/>
    <n v="3598"/>
    <n v="0"/>
    <n v="0"/>
    <n v="0"/>
    <n v="0"/>
    <n v="1.0641"/>
    <n v="-0.98160000000000003"/>
    <n v="0"/>
    <n v="-2.012"/>
    <n v="0.55959999999999999"/>
    <n v="-3.2039"/>
    <n v="1"/>
    <n v="3578.9"/>
    <n v="1"/>
    <n v="3602.4"/>
    <n v="0"/>
    <n v="0"/>
    <n v="0"/>
    <n v="9"/>
    <n v="0"/>
  </r>
  <r>
    <x v="0"/>
    <x v="0"/>
    <s v="SPXW"/>
    <x v="10"/>
    <x v="586"/>
    <s v="p"/>
    <n v="0"/>
    <n v="0"/>
    <n v="0"/>
    <n v="0"/>
    <n v="0"/>
    <n v="1"/>
    <n v="3976.3"/>
    <n v="2"/>
    <n v="3997.5"/>
    <n v="0"/>
    <n v="0"/>
    <n v="0"/>
    <n v="0"/>
    <n v="1.1433"/>
    <n v="-0.98270000000000002"/>
    <n v="0"/>
    <n v="-2.0059"/>
    <n v="0.53010000000000002"/>
    <n v="-3.3252999999999999"/>
    <n v="3"/>
    <n v="3978.3"/>
    <n v="1"/>
    <n v="4001.8"/>
    <n v="0"/>
    <n v="0"/>
    <n v="0"/>
    <n v="10"/>
    <n v="0"/>
  </r>
  <r>
    <x v="0"/>
    <x v="0"/>
    <s v="SPXW"/>
    <x v="10"/>
    <x v="587"/>
    <s v="p"/>
    <n v="0"/>
    <n v="0"/>
    <n v="0"/>
    <n v="0"/>
    <n v="0"/>
    <n v="1"/>
    <n v="4375.3999999999996"/>
    <n v="2"/>
    <n v="4396.8999999999996"/>
    <n v="0"/>
    <n v="0"/>
    <n v="0"/>
    <n v="0"/>
    <n v="1.2223999999999999"/>
    <n v="-0.98329999999999995"/>
    <n v="0"/>
    <n v="-2.0451999999999999"/>
    <n v="0.51339999999999997"/>
    <n v="-3.4457"/>
    <n v="3"/>
    <n v="4377.7"/>
    <n v="1"/>
    <n v="4401.2"/>
    <n v="0"/>
    <n v="0"/>
    <n v="0"/>
    <n v="4"/>
    <n v="0"/>
  </r>
  <r>
    <x v="0"/>
    <x v="0"/>
    <s v="SPXW"/>
    <x v="10"/>
    <x v="588"/>
    <s v="p"/>
    <n v="0"/>
    <n v="0"/>
    <n v="0"/>
    <n v="0"/>
    <n v="0"/>
    <n v="2"/>
    <n v="4775"/>
    <n v="2"/>
    <n v="4796.3"/>
    <n v="0"/>
    <n v="0"/>
    <n v="0"/>
    <n v="0"/>
    <n v="1.2908999999999999"/>
    <n v="-0.98440000000000005"/>
    <n v="0"/>
    <n v="-1.9844999999999999"/>
    <n v="0.48499999999999999"/>
    <n v="-3.5669"/>
    <n v="1"/>
    <n v="4777.2"/>
    <n v="1"/>
    <n v="4800.7"/>
    <n v="0"/>
    <n v="0"/>
    <n v="0"/>
    <n v="0"/>
    <n v="0"/>
  </r>
  <r>
    <x v="0"/>
    <x v="0"/>
    <s v="SPXW"/>
    <x v="10"/>
    <x v="589"/>
    <s v="p"/>
    <n v="0"/>
    <n v="0"/>
    <n v="0"/>
    <n v="0"/>
    <n v="0"/>
    <n v="1"/>
    <n v="5174.2"/>
    <n v="2"/>
    <n v="5195.8"/>
    <n v="0"/>
    <n v="0"/>
    <n v="0"/>
    <n v="0"/>
    <n v="1.3615999999999999"/>
    <n v="-0.9849"/>
    <n v="0"/>
    <n v="-1.9894000000000001"/>
    <n v="0.4698"/>
    <n v="-3.6871999999999998"/>
    <n v="3"/>
    <n v="5176.6000000000004"/>
    <n v="1"/>
    <n v="5200.1000000000004"/>
    <n v="0"/>
    <n v="0"/>
    <n v="0"/>
    <n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13216-EBF2-4BAD-890B-7A72D9A0E90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J5:BH599" firstHeaderRow="1" firstDataRow="4" firstDataCol="1" rowPageCount="1" colPageCount="1"/>
  <pivotFields count="34">
    <pivotField axis="axisCol" showAll="0">
      <items count="3">
        <item x="1"/>
        <item x="0"/>
        <item t="default"/>
      </items>
    </pivotField>
    <pivotField axis="axisPage" numFmtId="22" showAll="0">
      <items count="2">
        <item x="0"/>
        <item t="default"/>
      </items>
    </pivotField>
    <pivotField showAll="0"/>
    <pivotField axis="axisCol" numFmtId="22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showAll="0">
      <items count="591">
        <item x="337"/>
        <item x="338"/>
        <item x="339"/>
        <item x="340"/>
        <item x="341"/>
        <item x="342"/>
        <item x="281"/>
        <item x="282"/>
        <item x="283"/>
        <item x="284"/>
        <item x="285"/>
        <item x="343"/>
        <item x="286"/>
        <item x="344"/>
        <item x="0"/>
        <item x="345"/>
        <item x="1"/>
        <item x="346"/>
        <item x="2"/>
        <item x="347"/>
        <item x="3"/>
        <item x="348"/>
        <item x="349"/>
        <item x="350"/>
        <item x="4"/>
        <item x="351"/>
        <item x="352"/>
        <item x="353"/>
        <item x="5"/>
        <item x="354"/>
        <item x="355"/>
        <item x="356"/>
        <item x="357"/>
        <item x="6"/>
        <item x="358"/>
        <item x="359"/>
        <item x="360"/>
        <item x="361"/>
        <item x="362"/>
        <item x="363"/>
        <item x="364"/>
        <item x="7"/>
        <item x="365"/>
        <item x="366"/>
        <item x="367"/>
        <item x="368"/>
        <item x="369"/>
        <item x="370"/>
        <item x="371"/>
        <item x="8"/>
        <item x="372"/>
        <item x="373"/>
        <item x="374"/>
        <item x="375"/>
        <item x="376"/>
        <item x="377"/>
        <item x="378"/>
        <item x="9"/>
        <item x="379"/>
        <item x="380"/>
        <item x="381"/>
        <item x="382"/>
        <item x="383"/>
        <item x="384"/>
        <item x="385"/>
        <item x="10"/>
        <item x="386"/>
        <item x="387"/>
        <item x="388"/>
        <item x="389"/>
        <item x="390"/>
        <item x="391"/>
        <item x="392"/>
        <item x="11"/>
        <item x="393"/>
        <item x="394"/>
        <item x="395"/>
        <item x="287"/>
        <item x="396"/>
        <item x="288"/>
        <item x="397"/>
        <item x="12"/>
        <item x="398"/>
        <item x="289"/>
        <item x="399"/>
        <item x="13"/>
        <item x="400"/>
        <item x="290"/>
        <item x="401"/>
        <item x="14"/>
        <item x="402"/>
        <item x="403"/>
        <item x="404"/>
        <item x="291"/>
        <item x="405"/>
        <item x="406"/>
        <item x="407"/>
        <item x="408"/>
        <item x="409"/>
        <item x="15"/>
        <item x="410"/>
        <item x="411"/>
        <item x="412"/>
        <item x="413"/>
        <item x="414"/>
        <item x="292"/>
        <item x="415"/>
        <item x="416"/>
        <item x="417"/>
        <item x="418"/>
        <item x="419"/>
        <item x="16"/>
        <item x="420"/>
        <item x="421"/>
        <item x="422"/>
        <item x="423"/>
        <item x="424"/>
        <item x="293"/>
        <item x="425"/>
        <item x="426"/>
        <item x="17"/>
        <item x="427"/>
        <item x="428"/>
        <item x="18"/>
        <item x="429"/>
        <item x="430"/>
        <item x="19"/>
        <item x="431"/>
        <item x="432"/>
        <item x="20"/>
        <item x="433"/>
        <item x="434"/>
        <item x="21"/>
        <item x="435"/>
        <item x="436"/>
        <item x="22"/>
        <item x="437"/>
        <item x="438"/>
        <item x="23"/>
        <item x="439"/>
        <item x="440"/>
        <item x="24"/>
        <item x="441"/>
        <item x="442"/>
        <item x="25"/>
        <item x="443"/>
        <item x="444"/>
        <item x="26"/>
        <item x="445"/>
        <item x="446"/>
        <item x="27"/>
        <item x="447"/>
        <item x="448"/>
        <item x="28"/>
        <item x="449"/>
        <item x="450"/>
        <item x="29"/>
        <item x="451"/>
        <item x="452"/>
        <item x="30"/>
        <item x="453"/>
        <item x="454"/>
        <item x="31"/>
        <item x="455"/>
        <item x="456"/>
        <item x="32"/>
        <item x="457"/>
        <item x="458"/>
        <item x="33"/>
        <item x="459"/>
        <item x="460"/>
        <item x="461"/>
        <item x="462"/>
        <item x="34"/>
        <item x="463"/>
        <item x="464"/>
        <item x="465"/>
        <item x="466"/>
        <item x="35"/>
        <item x="467"/>
        <item x="468"/>
        <item x="469"/>
        <item x="470"/>
        <item x="36"/>
        <item x="471"/>
        <item x="472"/>
        <item x="473"/>
        <item x="294"/>
        <item x="37"/>
        <item x="295"/>
        <item x="474"/>
        <item x="296"/>
        <item x="475"/>
        <item x="38"/>
        <item x="476"/>
        <item x="297"/>
        <item x="477"/>
        <item x="298"/>
        <item x="39"/>
        <item x="299"/>
        <item x="478"/>
        <item x="300"/>
        <item x="479"/>
        <item x="40"/>
        <item x="480"/>
        <item x="301"/>
        <item x="481"/>
        <item x="302"/>
        <item x="41"/>
        <item x="303"/>
        <item x="482"/>
        <item x="304"/>
        <item x="483"/>
        <item x="42"/>
        <item x="484"/>
        <item x="305"/>
        <item x="485"/>
        <item x="306"/>
        <item x="43"/>
        <item x="307"/>
        <item x="486"/>
        <item x="308"/>
        <item x="487"/>
        <item x="44"/>
        <item x="488"/>
        <item x="309"/>
        <item x="489"/>
        <item x="310"/>
        <item x="45"/>
        <item x="311"/>
        <item x="490"/>
        <item x="312"/>
        <item x="491"/>
        <item x="46"/>
        <item x="492"/>
        <item x="313"/>
        <item x="493"/>
        <item x="314"/>
        <item x="47"/>
        <item x="48"/>
        <item x="494"/>
        <item x="49"/>
        <item x="495"/>
        <item x="50"/>
        <item x="496"/>
        <item x="51"/>
        <item x="497"/>
        <item x="52"/>
        <item x="53"/>
        <item x="54"/>
        <item x="498"/>
        <item x="55"/>
        <item x="499"/>
        <item x="56"/>
        <item x="500"/>
        <item x="57"/>
        <item x="501"/>
        <item x="58"/>
        <item x="59"/>
        <item x="60"/>
        <item x="502"/>
        <item x="61"/>
        <item x="503"/>
        <item x="62"/>
        <item x="504"/>
        <item x="63"/>
        <item x="505"/>
        <item x="64"/>
        <item x="65"/>
        <item x="66"/>
        <item x="506"/>
        <item x="67"/>
        <item x="507"/>
        <item x="68"/>
        <item x="508"/>
        <item x="69"/>
        <item x="509"/>
        <item x="70"/>
        <item x="71"/>
        <item x="72"/>
        <item x="510"/>
        <item x="73"/>
        <item x="511"/>
        <item x="74"/>
        <item x="512"/>
        <item x="75"/>
        <item x="513"/>
        <item x="76"/>
        <item x="77"/>
        <item x="78"/>
        <item x="514"/>
        <item x="79"/>
        <item x="515"/>
        <item x="80"/>
        <item x="516"/>
        <item x="81"/>
        <item x="517"/>
        <item x="82"/>
        <item x="83"/>
        <item x="84"/>
        <item x="518"/>
        <item x="85"/>
        <item x="519"/>
        <item x="86"/>
        <item x="520"/>
        <item x="87"/>
        <item x="521"/>
        <item x="88"/>
        <item x="89"/>
        <item x="90"/>
        <item x="522"/>
        <item x="91"/>
        <item x="523"/>
        <item x="92"/>
        <item x="524"/>
        <item x="93"/>
        <item x="525"/>
        <item x="94"/>
        <item x="95"/>
        <item x="96"/>
        <item x="526"/>
        <item x="97"/>
        <item x="527"/>
        <item x="98"/>
        <item x="528"/>
        <item x="99"/>
        <item x="529"/>
        <item x="100"/>
        <item x="101"/>
        <item x="102"/>
        <item x="315"/>
        <item x="103"/>
        <item x="316"/>
        <item x="104"/>
        <item x="317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530"/>
        <item x="254"/>
        <item x="531"/>
        <item x="255"/>
        <item x="256"/>
        <item x="257"/>
        <item x="532"/>
        <item x="258"/>
        <item x="533"/>
        <item x="259"/>
        <item x="534"/>
        <item x="260"/>
        <item x="535"/>
        <item x="261"/>
        <item x="262"/>
        <item x="318"/>
        <item x="536"/>
        <item x="319"/>
        <item x="537"/>
        <item x="263"/>
        <item x="538"/>
        <item x="320"/>
        <item x="539"/>
        <item x="321"/>
        <item x="264"/>
        <item x="322"/>
        <item x="540"/>
        <item x="323"/>
        <item x="541"/>
        <item x="265"/>
        <item x="542"/>
        <item x="324"/>
        <item x="325"/>
        <item x="266"/>
        <item x="326"/>
        <item x="327"/>
        <item x="267"/>
        <item x="328"/>
        <item x="543"/>
        <item x="268"/>
        <item x="544"/>
        <item x="545"/>
        <item x="269"/>
        <item x="546"/>
        <item x="547"/>
        <item x="270"/>
        <item x="548"/>
        <item x="549"/>
        <item x="329"/>
        <item x="550"/>
        <item x="551"/>
        <item x="330"/>
        <item x="552"/>
        <item x="553"/>
        <item x="271"/>
        <item x="554"/>
        <item x="555"/>
        <item x="331"/>
        <item x="556"/>
        <item x="557"/>
        <item x="332"/>
        <item x="558"/>
        <item x="559"/>
        <item x="333"/>
        <item x="560"/>
        <item x="561"/>
        <item x="272"/>
        <item x="562"/>
        <item x="563"/>
        <item x="334"/>
        <item x="564"/>
        <item x="565"/>
        <item x="335"/>
        <item x="566"/>
        <item x="567"/>
        <item x="273"/>
        <item x="568"/>
        <item x="569"/>
        <item x="570"/>
        <item x="336"/>
        <item x="571"/>
        <item x="572"/>
        <item x="573"/>
        <item x="274"/>
        <item x="574"/>
        <item x="575"/>
        <item x="576"/>
        <item x="577"/>
        <item x="578"/>
        <item x="275"/>
        <item x="579"/>
        <item x="276"/>
        <item x="580"/>
        <item x="277"/>
        <item x="581"/>
        <item x="278"/>
        <item x="279"/>
        <item x="280"/>
        <item x="582"/>
        <item x="583"/>
        <item x="584"/>
        <item x="585"/>
        <item x="586"/>
        <item x="587"/>
        <item x="588"/>
        <item x="58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 t="grand">
      <x/>
    </i>
  </rowItems>
  <colFields count="3">
    <field x="3"/>
    <field x="0"/>
    <field x="-2"/>
  </colFields>
  <colItems count="24">
    <i>
      <x/>
      <x v="1"/>
      <x/>
    </i>
    <i r="2" i="1">
      <x v="1"/>
    </i>
    <i>
      <x v="1"/>
      <x v="1"/>
      <x/>
    </i>
    <i r="2" i="1">
      <x v="1"/>
    </i>
    <i>
      <x v="2"/>
      <x v="1"/>
      <x/>
    </i>
    <i r="2" i="1">
      <x v="1"/>
    </i>
    <i>
      <x v="3"/>
      <x v="1"/>
      <x/>
    </i>
    <i r="2" i="1">
      <x v="1"/>
    </i>
    <i>
      <x v="4"/>
      <x v="1"/>
      <x/>
    </i>
    <i r="2" i="1">
      <x v="1"/>
    </i>
    <i>
      <x v="5"/>
      <x v="1"/>
      <x/>
    </i>
    <i r="2" i="1">
      <x v="1"/>
    </i>
    <i>
      <x v="6"/>
      <x v="1"/>
      <x/>
    </i>
    <i r="2" i="1">
      <x v="1"/>
    </i>
    <i>
      <x v="7"/>
      <x v="1"/>
      <x/>
    </i>
    <i r="2" i="1">
      <x v="1"/>
    </i>
    <i>
      <x v="8"/>
      <x v="1"/>
      <x/>
    </i>
    <i r="2" i="1">
      <x v="1"/>
    </i>
    <i>
      <x v="9"/>
      <x/>
      <x/>
    </i>
    <i r="2" i="1">
      <x v="1"/>
    </i>
    <i>
      <x v="10"/>
      <x v="1"/>
      <x/>
    </i>
    <i r="2" i="1">
      <x v="1"/>
    </i>
    <i t="grand">
      <x/>
    </i>
    <i t="grand" i="1">
      <x/>
    </i>
  </colItems>
  <pageFields count="1">
    <pageField fld="1" item="0" hier="-1"/>
  </pageFields>
  <dataFields count="2">
    <dataField name="Sum of ask_1545" fld="14" baseField="0" baseItem="0"/>
    <dataField name="Sum of delta_1545" fld="20" baseField="0" baseItem="0"/>
  </dataFields>
  <formats count="5">
    <format dxfId="4">
      <pivotArea dataOnly="0" labelOnly="1" fieldPosition="0">
        <references count="1">
          <reference field="4" count="1">
            <x v="343"/>
          </reference>
        </references>
      </pivotArea>
    </format>
    <format dxfId="3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4"/>
          </reference>
          <reference field="4" count="1">
            <x v="343"/>
          </reference>
        </references>
      </pivotArea>
    </format>
    <format dxfId="2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3"/>
          </reference>
          <reference field="4" count="1">
            <x v="343"/>
          </reference>
        </references>
      </pivotArea>
    </format>
    <format dxfId="1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2"/>
          </reference>
          <reference field="4" count="1">
            <x v="343"/>
          </reference>
        </references>
      </pivotArea>
    </format>
    <format dxfId="0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"/>
          </reference>
          <reference field="4" count="1">
            <x v="34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D368-BED5-485B-9E0F-A90BD662AF76}">
  <dimension ref="A1:BL3392"/>
  <sheetViews>
    <sheetView topLeftCell="AJ5" workbookViewId="0">
      <pane xSplit="1" ySplit="4" topLeftCell="AP339" activePane="bottomRight" state="frozen"/>
      <selection activeCell="AJ5" sqref="AJ5"/>
      <selection pane="topRight" activeCell="AK5" sqref="AK5"/>
      <selection pane="bottomLeft" activeCell="AJ9" sqref="AJ9"/>
      <selection pane="bottomRight" activeCell="AO347" sqref="AO347"/>
    </sheetView>
  </sheetViews>
  <sheetFormatPr defaultRowHeight="14.5" x14ac:dyDescent="0.35"/>
  <cols>
    <col min="4" max="4" width="19.90625" customWidth="1"/>
    <col min="36" max="36" width="12.453125" bestFit="1" customWidth="1"/>
    <col min="37" max="37" width="16.36328125" bestFit="1" customWidth="1"/>
    <col min="38" max="38" width="16.1796875" bestFit="1" customWidth="1"/>
    <col min="39" max="39" width="16" bestFit="1" customWidth="1"/>
    <col min="40" max="40" width="16.1796875" bestFit="1" customWidth="1"/>
    <col min="41" max="41" width="16" bestFit="1" customWidth="1"/>
    <col min="42" max="42" width="16.1796875" bestFit="1" customWidth="1"/>
    <col min="43" max="43" width="16" bestFit="1" customWidth="1"/>
    <col min="44" max="44" width="16.1796875" bestFit="1" customWidth="1"/>
    <col min="45" max="45" width="16" bestFit="1" customWidth="1"/>
    <col min="46" max="46" width="16.1796875" bestFit="1" customWidth="1"/>
    <col min="47" max="47" width="17" bestFit="1" customWidth="1"/>
    <col min="48" max="48" width="16.1796875" bestFit="1" customWidth="1"/>
    <col min="49" max="49" width="17" bestFit="1" customWidth="1"/>
    <col min="50" max="50" width="16.1796875" bestFit="1" customWidth="1"/>
    <col min="51" max="51" width="17" bestFit="1" customWidth="1"/>
    <col min="52" max="52" width="16.1796875" bestFit="1" customWidth="1"/>
    <col min="53" max="53" width="17" bestFit="1" customWidth="1"/>
    <col min="54" max="54" width="16.1796875" bestFit="1" customWidth="1"/>
    <col min="55" max="55" width="16" bestFit="1" customWidth="1"/>
    <col min="56" max="56" width="16.1796875" bestFit="1" customWidth="1"/>
    <col min="57" max="57" width="17" bestFit="1" customWidth="1"/>
    <col min="58" max="58" width="16.1796875" bestFit="1" customWidth="1"/>
    <col min="59" max="59" width="19.36328125" bestFit="1" customWidth="1"/>
    <col min="60" max="60" width="20.7265625" bestFit="1" customWidth="1"/>
    <col min="63" max="63" width="21.36328125" style="6" bestFit="1" customWidth="1"/>
    <col min="64" max="64" width="21.36328125" bestFit="1" customWidth="1"/>
  </cols>
  <sheetData>
    <row r="1" spans="1:6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60" x14ac:dyDescent="0.35">
      <c r="A2" t="s">
        <v>34</v>
      </c>
      <c r="B2" s="1">
        <v>46146.65625</v>
      </c>
      <c r="C2" t="s">
        <v>34</v>
      </c>
      <c r="D2" s="1">
        <v>46146.625</v>
      </c>
      <c r="E2">
        <v>2600</v>
      </c>
      <c r="F2" t="s">
        <v>35</v>
      </c>
      <c r="G2">
        <v>0.05</v>
      </c>
      <c r="H2">
        <v>0.05</v>
      </c>
      <c r="I2">
        <v>0.05</v>
      </c>
      <c r="J2">
        <v>0.05</v>
      </c>
      <c r="K2">
        <v>3</v>
      </c>
      <c r="L2">
        <v>0</v>
      </c>
      <c r="M2">
        <v>0</v>
      </c>
      <c r="N2">
        <v>5311</v>
      </c>
      <c r="O2">
        <v>0.05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3775</v>
      </c>
      <c r="AC2">
        <v>0.05</v>
      </c>
      <c r="AD2">
        <v>0</v>
      </c>
      <c r="AE2">
        <v>0</v>
      </c>
      <c r="AF2">
        <v>0.05</v>
      </c>
      <c r="AG2">
        <v>4</v>
      </c>
      <c r="AH2">
        <v>0</v>
      </c>
    </row>
    <row r="3" spans="1:60" x14ac:dyDescent="0.35">
      <c r="A3" t="s">
        <v>34</v>
      </c>
      <c r="B3" s="1">
        <v>46146.65625</v>
      </c>
      <c r="C3" t="s">
        <v>34</v>
      </c>
      <c r="D3" s="1">
        <v>46146.625</v>
      </c>
      <c r="E3">
        <v>2800</v>
      </c>
      <c r="F3" t="s">
        <v>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3372</v>
      </c>
      <c r="O3">
        <v>0.05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1836</v>
      </c>
      <c r="AC3">
        <v>0.05</v>
      </c>
      <c r="AD3">
        <v>0</v>
      </c>
      <c r="AE3">
        <v>0</v>
      </c>
      <c r="AF3">
        <v>0</v>
      </c>
      <c r="AG3">
        <v>3</v>
      </c>
      <c r="AH3">
        <v>0</v>
      </c>
      <c r="AJ3" s="2" t="s">
        <v>1</v>
      </c>
      <c r="AK3" s="3">
        <v>46146.65625</v>
      </c>
    </row>
    <row r="4" spans="1:60" x14ac:dyDescent="0.35">
      <c r="A4" t="s">
        <v>34</v>
      </c>
      <c r="B4" s="1">
        <v>46146.65625</v>
      </c>
      <c r="C4" t="s">
        <v>34</v>
      </c>
      <c r="D4" s="1">
        <v>46146.625</v>
      </c>
      <c r="E4">
        <v>3000</v>
      </c>
      <c r="F4" t="s">
        <v>35</v>
      </c>
      <c r="G4">
        <v>0.05</v>
      </c>
      <c r="H4">
        <v>0.05</v>
      </c>
      <c r="I4">
        <v>0.05</v>
      </c>
      <c r="J4">
        <v>0.05</v>
      </c>
      <c r="K4">
        <v>1</v>
      </c>
      <c r="L4">
        <v>0</v>
      </c>
      <c r="M4">
        <v>0</v>
      </c>
      <c r="N4">
        <v>3407</v>
      </c>
      <c r="O4">
        <v>0.05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1842</v>
      </c>
      <c r="AC4">
        <v>0.05</v>
      </c>
      <c r="AD4">
        <v>0</v>
      </c>
      <c r="AE4">
        <v>0</v>
      </c>
      <c r="AF4">
        <v>0.05</v>
      </c>
      <c r="AG4">
        <v>100</v>
      </c>
      <c r="AH4">
        <v>0</v>
      </c>
      <c r="AM4">
        <v>7260</v>
      </c>
      <c r="AN4">
        <f>AM4*0.93</f>
        <v>6751.8</v>
      </c>
      <c r="AO4">
        <f>AM4-AN4</f>
        <v>508.19999999999982</v>
      </c>
      <c r="AS4">
        <v>6730</v>
      </c>
    </row>
    <row r="5" spans="1:60" x14ac:dyDescent="0.35">
      <c r="A5" t="s">
        <v>34</v>
      </c>
      <c r="B5" s="1">
        <v>46146.65625</v>
      </c>
      <c r="C5" t="s">
        <v>34</v>
      </c>
      <c r="D5" s="1">
        <v>46146.625</v>
      </c>
      <c r="E5">
        <v>3200</v>
      </c>
      <c r="F5" t="s">
        <v>35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3424</v>
      </c>
      <c r="O5">
        <v>0.05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1836</v>
      </c>
      <c r="AC5">
        <v>0.05</v>
      </c>
      <c r="AD5">
        <v>0</v>
      </c>
      <c r="AE5">
        <v>0</v>
      </c>
      <c r="AF5">
        <v>0</v>
      </c>
      <c r="AG5">
        <v>5</v>
      </c>
      <c r="AH5">
        <v>0</v>
      </c>
      <c r="AK5" s="2" t="s">
        <v>40</v>
      </c>
    </row>
    <row r="6" spans="1:60" x14ac:dyDescent="0.35">
      <c r="A6" t="s">
        <v>34</v>
      </c>
      <c r="B6" s="1">
        <v>46146.65625</v>
      </c>
      <c r="C6" t="s">
        <v>34</v>
      </c>
      <c r="D6" s="1">
        <v>46146.625</v>
      </c>
      <c r="E6">
        <v>3400</v>
      </c>
      <c r="F6" t="s">
        <v>35</v>
      </c>
      <c r="G6">
        <v>0.05</v>
      </c>
      <c r="H6">
        <v>0.05</v>
      </c>
      <c r="I6">
        <v>0.05</v>
      </c>
      <c r="J6">
        <v>0.05</v>
      </c>
      <c r="K6">
        <v>6</v>
      </c>
      <c r="L6">
        <v>0</v>
      </c>
      <c r="M6">
        <v>0</v>
      </c>
      <c r="N6">
        <v>3411</v>
      </c>
      <c r="O6">
        <v>0.05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1836</v>
      </c>
      <c r="AC6">
        <v>0.05</v>
      </c>
      <c r="AD6">
        <v>0</v>
      </c>
      <c r="AE6">
        <v>0</v>
      </c>
      <c r="AF6">
        <v>0.05</v>
      </c>
      <c r="AG6">
        <v>91</v>
      </c>
      <c r="AH6">
        <v>0</v>
      </c>
      <c r="AK6" s="1">
        <v>46146.625</v>
      </c>
      <c r="AM6" s="1">
        <v>46147.625</v>
      </c>
      <c r="AO6" s="1">
        <v>46148.625</v>
      </c>
      <c r="AQ6" s="1">
        <v>46149.625</v>
      </c>
      <c r="AS6" s="1">
        <v>46150.625</v>
      </c>
      <c r="AU6" s="1">
        <v>46153.625</v>
      </c>
      <c r="AW6" s="1">
        <v>46154.625</v>
      </c>
      <c r="AY6" s="1">
        <v>46155.625</v>
      </c>
      <c r="BA6" s="1">
        <v>46156.625</v>
      </c>
      <c r="BC6" s="1">
        <v>46157.354166666664</v>
      </c>
      <c r="BE6" s="1">
        <v>46157.625</v>
      </c>
      <c r="BG6" s="1" t="s">
        <v>42</v>
      </c>
      <c r="BH6" s="1" t="s">
        <v>43</v>
      </c>
    </row>
    <row r="7" spans="1:60" x14ac:dyDescent="0.35">
      <c r="A7" t="s">
        <v>34</v>
      </c>
      <c r="B7" s="1">
        <v>46146.65625</v>
      </c>
      <c r="C7" t="s">
        <v>34</v>
      </c>
      <c r="D7" s="1">
        <v>46146.625</v>
      </c>
      <c r="E7">
        <v>3600</v>
      </c>
      <c r="F7" t="s">
        <v>36</v>
      </c>
      <c r="G7">
        <v>0.05</v>
      </c>
      <c r="H7">
        <v>0.05</v>
      </c>
      <c r="I7">
        <v>0.05</v>
      </c>
      <c r="J7">
        <v>0.05</v>
      </c>
      <c r="K7">
        <v>1</v>
      </c>
      <c r="L7">
        <v>0</v>
      </c>
      <c r="M7">
        <v>0</v>
      </c>
      <c r="N7">
        <v>3416</v>
      </c>
      <c r="O7">
        <v>0.05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1838</v>
      </c>
      <c r="AC7">
        <v>0.05</v>
      </c>
      <c r="AD7">
        <v>0</v>
      </c>
      <c r="AE7">
        <v>0</v>
      </c>
      <c r="AF7">
        <v>0.05</v>
      </c>
      <c r="AG7">
        <v>75</v>
      </c>
      <c r="AH7">
        <v>0</v>
      </c>
      <c r="AK7" t="s">
        <v>34</v>
      </c>
      <c r="AM7" t="s">
        <v>34</v>
      </c>
      <c r="AO7" t="s">
        <v>34</v>
      </c>
      <c r="AQ7" t="s">
        <v>34</v>
      </c>
      <c r="AS7" t="s">
        <v>34</v>
      </c>
      <c r="AU7" t="s">
        <v>34</v>
      </c>
      <c r="AW7" t="s">
        <v>34</v>
      </c>
      <c r="AY7" t="s">
        <v>34</v>
      </c>
      <c r="BA7" t="s">
        <v>34</v>
      </c>
      <c r="BC7" t="s">
        <v>37</v>
      </c>
      <c r="BE7" t="s">
        <v>34</v>
      </c>
    </row>
    <row r="8" spans="1:60" x14ac:dyDescent="0.35">
      <c r="A8" t="s">
        <v>34</v>
      </c>
      <c r="B8" s="1">
        <v>46146.65625</v>
      </c>
      <c r="C8" t="s">
        <v>34</v>
      </c>
      <c r="D8" s="1">
        <v>46146.625</v>
      </c>
      <c r="E8">
        <v>3800</v>
      </c>
      <c r="F8" t="s">
        <v>36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3414</v>
      </c>
      <c r="O8">
        <v>0.05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1836</v>
      </c>
      <c r="AC8">
        <v>0.05</v>
      </c>
      <c r="AD8">
        <v>0</v>
      </c>
      <c r="AE8">
        <v>0</v>
      </c>
      <c r="AF8">
        <v>0</v>
      </c>
      <c r="AG8">
        <v>28</v>
      </c>
      <c r="AH8">
        <v>0</v>
      </c>
      <c r="AJ8" s="2" t="s">
        <v>38</v>
      </c>
      <c r="AK8" t="s">
        <v>41</v>
      </c>
      <c r="AL8" t="s">
        <v>44</v>
      </c>
      <c r="AM8" t="s">
        <v>41</v>
      </c>
      <c r="AN8" t="s">
        <v>44</v>
      </c>
      <c r="AO8" t="s">
        <v>41</v>
      </c>
      <c r="AP8" t="s">
        <v>44</v>
      </c>
      <c r="AQ8" t="s">
        <v>41</v>
      </c>
      <c r="AR8" t="s">
        <v>44</v>
      </c>
      <c r="AS8" t="s">
        <v>41</v>
      </c>
      <c r="AT8" t="s">
        <v>44</v>
      </c>
      <c r="AU8" t="s">
        <v>41</v>
      </c>
      <c r="AV8" t="s">
        <v>44</v>
      </c>
      <c r="AW8" t="s">
        <v>41</v>
      </c>
      <c r="AX8" t="s">
        <v>44</v>
      </c>
      <c r="AY8" t="s">
        <v>41</v>
      </c>
      <c r="AZ8" t="s">
        <v>44</v>
      </c>
      <c r="BA8" t="s">
        <v>41</v>
      </c>
      <c r="BB8" t="s">
        <v>44</v>
      </c>
      <c r="BC8" t="s">
        <v>41</v>
      </c>
      <c r="BD8" t="s">
        <v>44</v>
      </c>
      <c r="BE8" t="s">
        <v>41</v>
      </c>
      <c r="BF8" t="s">
        <v>44</v>
      </c>
    </row>
    <row r="9" spans="1:60" x14ac:dyDescent="0.35">
      <c r="A9" t="s">
        <v>34</v>
      </c>
      <c r="B9" s="1">
        <v>46146.65625</v>
      </c>
      <c r="C9" t="s">
        <v>34</v>
      </c>
      <c r="D9" s="1">
        <v>46146.625</v>
      </c>
      <c r="E9">
        <v>4000</v>
      </c>
      <c r="F9" t="s">
        <v>36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3414</v>
      </c>
      <c r="O9">
        <v>0.05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1841</v>
      </c>
      <c r="AC9">
        <v>0.05</v>
      </c>
      <c r="AD9">
        <v>0</v>
      </c>
      <c r="AE9">
        <v>0</v>
      </c>
      <c r="AF9">
        <v>0</v>
      </c>
      <c r="AG9">
        <v>101</v>
      </c>
      <c r="AH9">
        <v>0</v>
      </c>
      <c r="AJ9" s="4">
        <v>200</v>
      </c>
      <c r="BC9">
        <v>0.05</v>
      </c>
      <c r="BD9">
        <v>0</v>
      </c>
      <c r="BG9">
        <v>0.05</v>
      </c>
      <c r="BH9">
        <v>0</v>
      </c>
    </row>
    <row r="10" spans="1:60" x14ac:dyDescent="0.35">
      <c r="A10" t="s">
        <v>34</v>
      </c>
      <c r="B10" s="1">
        <v>46146.65625</v>
      </c>
      <c r="C10" t="s">
        <v>34</v>
      </c>
      <c r="D10" s="1">
        <v>46146.625</v>
      </c>
      <c r="E10">
        <v>4200</v>
      </c>
      <c r="F10" t="s">
        <v>36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3407</v>
      </c>
      <c r="O10">
        <v>0.05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1836</v>
      </c>
      <c r="AC10">
        <v>0.05</v>
      </c>
      <c r="AD10">
        <v>0</v>
      </c>
      <c r="AE10">
        <v>0</v>
      </c>
      <c r="AF10">
        <v>0</v>
      </c>
      <c r="AG10">
        <v>83</v>
      </c>
      <c r="AH10">
        <v>0</v>
      </c>
      <c r="AJ10" s="4">
        <v>400</v>
      </c>
      <c r="BC10">
        <v>0.05</v>
      </c>
      <c r="BD10">
        <v>0</v>
      </c>
      <c r="BG10">
        <v>0.05</v>
      </c>
      <c r="BH10">
        <v>0</v>
      </c>
    </row>
    <row r="11" spans="1:60" x14ac:dyDescent="0.35">
      <c r="A11" t="s">
        <v>34</v>
      </c>
      <c r="B11" s="1">
        <v>46146.65625</v>
      </c>
      <c r="C11" t="s">
        <v>34</v>
      </c>
      <c r="D11" s="1">
        <v>46146.625</v>
      </c>
      <c r="E11">
        <v>4400</v>
      </c>
      <c r="F11" t="s">
        <v>36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3624</v>
      </c>
      <c r="O11">
        <v>0.05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2058</v>
      </c>
      <c r="AC11">
        <v>0.05</v>
      </c>
      <c r="AD11">
        <v>0</v>
      </c>
      <c r="AE11">
        <v>0</v>
      </c>
      <c r="AF11">
        <v>0</v>
      </c>
      <c r="AG11">
        <v>766</v>
      </c>
      <c r="AH11">
        <v>0</v>
      </c>
      <c r="AJ11" s="4">
        <v>600</v>
      </c>
      <c r="BC11">
        <v>0.05</v>
      </c>
      <c r="BD11">
        <v>0</v>
      </c>
      <c r="BG11">
        <v>0.05</v>
      </c>
      <c r="BH11">
        <v>0</v>
      </c>
    </row>
    <row r="12" spans="1:60" x14ac:dyDescent="0.35">
      <c r="A12" t="s">
        <v>34</v>
      </c>
      <c r="B12" s="1">
        <v>46146.65625</v>
      </c>
      <c r="C12" t="s">
        <v>34</v>
      </c>
      <c r="D12" s="1">
        <v>46146.625</v>
      </c>
      <c r="E12">
        <v>4600</v>
      </c>
      <c r="F12" t="s">
        <v>36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3396</v>
      </c>
      <c r="O12">
        <v>0.05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1836</v>
      </c>
      <c r="AC12">
        <v>0.05</v>
      </c>
      <c r="AD12">
        <v>0</v>
      </c>
      <c r="AE12">
        <v>0</v>
      </c>
      <c r="AF12">
        <v>0</v>
      </c>
      <c r="AG12">
        <v>284</v>
      </c>
      <c r="AH12">
        <v>0</v>
      </c>
      <c r="AJ12" s="4">
        <v>800</v>
      </c>
      <c r="BC12">
        <v>0.05</v>
      </c>
      <c r="BD12">
        <v>0</v>
      </c>
      <c r="BG12">
        <v>0.05</v>
      </c>
      <c r="BH12">
        <v>0</v>
      </c>
    </row>
    <row r="13" spans="1:60" x14ac:dyDescent="0.35">
      <c r="A13" t="s">
        <v>34</v>
      </c>
      <c r="B13" s="1">
        <v>46146.65625</v>
      </c>
      <c r="C13" t="s">
        <v>34</v>
      </c>
      <c r="D13" s="1">
        <v>46146.625</v>
      </c>
      <c r="E13">
        <v>4800</v>
      </c>
      <c r="F13" t="s">
        <v>36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3833</v>
      </c>
      <c r="O13">
        <v>0.05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2284</v>
      </c>
      <c r="AC13">
        <v>0.05</v>
      </c>
      <c r="AD13">
        <v>0</v>
      </c>
      <c r="AE13">
        <v>0</v>
      </c>
      <c r="AF13">
        <v>0</v>
      </c>
      <c r="AG13">
        <v>392</v>
      </c>
      <c r="AH13">
        <v>0</v>
      </c>
      <c r="AJ13" s="4">
        <v>1000</v>
      </c>
      <c r="BC13">
        <v>0.05</v>
      </c>
      <c r="BD13">
        <v>0</v>
      </c>
      <c r="BG13">
        <v>0.05</v>
      </c>
      <c r="BH13">
        <v>0</v>
      </c>
    </row>
    <row r="14" spans="1:60" x14ac:dyDescent="0.35">
      <c r="A14" t="s">
        <v>34</v>
      </c>
      <c r="B14" s="1">
        <v>46146.65625</v>
      </c>
      <c r="C14" t="s">
        <v>34</v>
      </c>
      <c r="D14" s="1">
        <v>46146.625</v>
      </c>
      <c r="E14">
        <v>5000</v>
      </c>
      <c r="F14" t="s">
        <v>36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3849</v>
      </c>
      <c r="O14">
        <v>0.05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2512</v>
      </c>
      <c r="AC14">
        <v>0.05</v>
      </c>
      <c r="AD14">
        <v>0</v>
      </c>
      <c r="AE14">
        <v>0</v>
      </c>
      <c r="AF14">
        <v>0</v>
      </c>
      <c r="AG14">
        <v>2241</v>
      </c>
      <c r="AH14">
        <v>0</v>
      </c>
      <c r="AJ14" s="4">
        <v>1200</v>
      </c>
      <c r="BC14">
        <v>0.05</v>
      </c>
      <c r="BD14">
        <v>0</v>
      </c>
      <c r="BG14">
        <v>0.05</v>
      </c>
      <c r="BH14">
        <v>0</v>
      </c>
    </row>
    <row r="15" spans="1:60" x14ac:dyDescent="0.35">
      <c r="A15" t="s">
        <v>34</v>
      </c>
      <c r="B15" s="1">
        <v>46146.65625</v>
      </c>
      <c r="C15" t="s">
        <v>34</v>
      </c>
      <c r="D15" s="1">
        <v>46146.625</v>
      </c>
      <c r="E15">
        <v>5100</v>
      </c>
      <c r="F15" t="s">
        <v>36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3844</v>
      </c>
      <c r="O15">
        <v>0.05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2507</v>
      </c>
      <c r="AC15">
        <v>0.05</v>
      </c>
      <c r="AD15">
        <v>0</v>
      </c>
      <c r="AE15">
        <v>0</v>
      </c>
      <c r="AF15">
        <v>0</v>
      </c>
      <c r="AG15">
        <v>1078</v>
      </c>
      <c r="AH15">
        <v>0</v>
      </c>
      <c r="AJ15" s="4">
        <v>1400</v>
      </c>
      <c r="AS15">
        <v>0.05</v>
      </c>
      <c r="AT15">
        <v>0</v>
      </c>
      <c r="BC15">
        <v>0.05</v>
      </c>
      <c r="BD15">
        <v>0</v>
      </c>
      <c r="BE15">
        <v>0.05</v>
      </c>
      <c r="BF15">
        <v>0</v>
      </c>
      <c r="BG15">
        <v>0.15000000000000002</v>
      </c>
      <c r="BH15">
        <v>0</v>
      </c>
    </row>
    <row r="16" spans="1:60" x14ac:dyDescent="0.35">
      <c r="A16" t="s">
        <v>34</v>
      </c>
      <c r="B16" s="1">
        <v>46146.65625</v>
      </c>
      <c r="C16" t="s">
        <v>34</v>
      </c>
      <c r="D16" s="1">
        <v>46146.625</v>
      </c>
      <c r="E16">
        <v>5200</v>
      </c>
      <c r="F16" t="s">
        <v>36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3283</v>
      </c>
      <c r="O16">
        <v>0.05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1952</v>
      </c>
      <c r="AC16">
        <v>0.05</v>
      </c>
      <c r="AD16">
        <v>0</v>
      </c>
      <c r="AE16">
        <v>0</v>
      </c>
      <c r="AF16">
        <v>0</v>
      </c>
      <c r="AG16">
        <v>527</v>
      </c>
      <c r="AH16">
        <v>0</v>
      </c>
      <c r="AJ16" s="4">
        <v>1600</v>
      </c>
      <c r="AS16">
        <v>0.05</v>
      </c>
      <c r="AT16">
        <v>0</v>
      </c>
      <c r="BC16">
        <v>0.05</v>
      </c>
      <c r="BD16">
        <v>0</v>
      </c>
      <c r="BE16">
        <v>0.05</v>
      </c>
      <c r="BF16">
        <v>0</v>
      </c>
      <c r="BG16">
        <v>0.15000000000000002</v>
      </c>
      <c r="BH16">
        <v>0</v>
      </c>
    </row>
    <row r="17" spans="1:60" x14ac:dyDescent="0.35">
      <c r="A17" t="s">
        <v>34</v>
      </c>
      <c r="B17" s="1">
        <v>46146.65625</v>
      </c>
      <c r="C17" t="s">
        <v>34</v>
      </c>
      <c r="D17" s="1">
        <v>46146.625</v>
      </c>
      <c r="E17">
        <v>5300</v>
      </c>
      <c r="F17" t="s">
        <v>36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3283</v>
      </c>
      <c r="O17">
        <v>0.05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1952</v>
      </c>
      <c r="AC17">
        <v>0.05</v>
      </c>
      <c r="AD17">
        <v>0</v>
      </c>
      <c r="AE17">
        <v>0</v>
      </c>
      <c r="AF17">
        <v>0</v>
      </c>
      <c r="AG17">
        <v>307</v>
      </c>
      <c r="AH17">
        <v>0</v>
      </c>
      <c r="AJ17" s="4">
        <v>1800</v>
      </c>
      <c r="AS17">
        <v>0.05</v>
      </c>
      <c r="AT17">
        <v>0</v>
      </c>
      <c r="BC17">
        <v>0.05</v>
      </c>
      <c r="BD17">
        <v>0</v>
      </c>
      <c r="BE17">
        <v>0.05</v>
      </c>
      <c r="BF17">
        <v>0</v>
      </c>
      <c r="BG17">
        <v>0.15000000000000002</v>
      </c>
      <c r="BH17">
        <v>0</v>
      </c>
    </row>
    <row r="18" spans="1:60" x14ac:dyDescent="0.35">
      <c r="A18" t="s">
        <v>34</v>
      </c>
      <c r="B18" s="1">
        <v>46146.65625</v>
      </c>
      <c r="C18" t="s">
        <v>34</v>
      </c>
      <c r="D18" s="1">
        <v>46146.625</v>
      </c>
      <c r="E18">
        <v>5400</v>
      </c>
      <c r="F18" t="s">
        <v>36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3283</v>
      </c>
      <c r="O18">
        <v>0.05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1952</v>
      </c>
      <c r="AC18">
        <v>0.05</v>
      </c>
      <c r="AD18">
        <v>0</v>
      </c>
      <c r="AE18">
        <v>0</v>
      </c>
      <c r="AF18">
        <v>0</v>
      </c>
      <c r="AG18">
        <v>765</v>
      </c>
      <c r="AH18">
        <v>0</v>
      </c>
      <c r="AJ18" s="4">
        <v>2000</v>
      </c>
      <c r="AS18">
        <v>0.05</v>
      </c>
      <c r="AT18">
        <v>-1E-4</v>
      </c>
      <c r="BC18">
        <v>0.05</v>
      </c>
      <c r="BD18">
        <v>-1E-4</v>
      </c>
      <c r="BE18">
        <v>0.05</v>
      </c>
      <c r="BF18">
        <v>-1E-4</v>
      </c>
      <c r="BG18">
        <v>0.15000000000000002</v>
      </c>
      <c r="BH18">
        <v>-3.0000000000000003E-4</v>
      </c>
    </row>
    <row r="19" spans="1:60" x14ac:dyDescent="0.35">
      <c r="A19" t="s">
        <v>34</v>
      </c>
      <c r="B19" s="1">
        <v>46146.65625</v>
      </c>
      <c r="C19" t="s">
        <v>34</v>
      </c>
      <c r="D19" s="1">
        <v>46146.625</v>
      </c>
      <c r="E19">
        <v>5475</v>
      </c>
      <c r="F19" t="s">
        <v>36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2553</v>
      </c>
      <c r="O19">
        <v>0.05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1836</v>
      </c>
      <c r="AC19">
        <v>0.05</v>
      </c>
      <c r="AD19">
        <v>0</v>
      </c>
      <c r="AE19">
        <v>0</v>
      </c>
      <c r="AF19">
        <v>0</v>
      </c>
      <c r="AG19">
        <v>96</v>
      </c>
      <c r="AH19">
        <v>0</v>
      </c>
      <c r="AJ19" s="4">
        <v>2200</v>
      </c>
      <c r="AS19">
        <v>0.05</v>
      </c>
      <c r="AT19">
        <v>-1E-4</v>
      </c>
      <c r="BC19">
        <v>0.05</v>
      </c>
      <c r="BD19">
        <v>-1E-4</v>
      </c>
      <c r="BE19">
        <v>0.05</v>
      </c>
      <c r="BF19">
        <v>-1E-4</v>
      </c>
      <c r="BG19">
        <v>0.15000000000000002</v>
      </c>
      <c r="BH19">
        <v>-3.0000000000000003E-4</v>
      </c>
    </row>
    <row r="20" spans="1:60" x14ac:dyDescent="0.35">
      <c r="A20" t="s">
        <v>34</v>
      </c>
      <c r="B20" s="1">
        <v>46146.65625</v>
      </c>
      <c r="C20" t="s">
        <v>34</v>
      </c>
      <c r="D20" s="1">
        <v>46146.625</v>
      </c>
      <c r="E20">
        <v>5500</v>
      </c>
      <c r="F20" t="s">
        <v>36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3283</v>
      </c>
      <c r="O20">
        <v>0.05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1952</v>
      </c>
      <c r="AC20">
        <v>0.05</v>
      </c>
      <c r="AD20">
        <v>0</v>
      </c>
      <c r="AE20">
        <v>0</v>
      </c>
      <c r="AF20">
        <v>0</v>
      </c>
      <c r="AG20">
        <v>474</v>
      </c>
      <c r="AH20">
        <v>0</v>
      </c>
      <c r="AJ20" s="4">
        <v>2300</v>
      </c>
      <c r="BC20">
        <v>0.05</v>
      </c>
      <c r="BD20">
        <v>-1E-4</v>
      </c>
      <c r="BG20">
        <v>0.05</v>
      </c>
      <c r="BH20">
        <v>-1E-4</v>
      </c>
    </row>
    <row r="21" spans="1:60" x14ac:dyDescent="0.35">
      <c r="A21" t="s">
        <v>34</v>
      </c>
      <c r="B21" s="1">
        <v>46146.65625</v>
      </c>
      <c r="C21" t="s">
        <v>34</v>
      </c>
      <c r="D21" s="1">
        <v>46146.625</v>
      </c>
      <c r="E21">
        <v>5525</v>
      </c>
      <c r="F21" t="s">
        <v>36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2511</v>
      </c>
      <c r="O21">
        <v>0.05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1803</v>
      </c>
      <c r="AC21">
        <v>0.05</v>
      </c>
      <c r="AD21">
        <v>0</v>
      </c>
      <c r="AE21">
        <v>0</v>
      </c>
      <c r="AF21">
        <v>0</v>
      </c>
      <c r="AG21">
        <v>5</v>
      </c>
      <c r="AH21">
        <v>0</v>
      </c>
      <c r="AJ21" s="4">
        <v>2400</v>
      </c>
      <c r="AS21">
        <v>0.05</v>
      </c>
      <c r="AT21">
        <v>-1E-4</v>
      </c>
      <c r="BC21">
        <v>0.05</v>
      </c>
      <c r="BD21">
        <v>-1E-4</v>
      </c>
      <c r="BE21">
        <v>0.05</v>
      </c>
      <c r="BF21">
        <v>-1E-4</v>
      </c>
      <c r="BG21">
        <v>0.15000000000000002</v>
      </c>
      <c r="BH21">
        <v>-3.0000000000000003E-4</v>
      </c>
    </row>
    <row r="22" spans="1:60" x14ac:dyDescent="0.35">
      <c r="A22" t="s">
        <v>34</v>
      </c>
      <c r="B22" s="1">
        <v>46146.65625</v>
      </c>
      <c r="C22" t="s">
        <v>34</v>
      </c>
      <c r="D22" s="1">
        <v>46146.625</v>
      </c>
      <c r="E22">
        <v>5550</v>
      </c>
      <c r="F22" t="s">
        <v>36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2509</v>
      </c>
      <c r="O22">
        <v>0.05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1803</v>
      </c>
      <c r="AC22">
        <v>0.05</v>
      </c>
      <c r="AD22">
        <v>0</v>
      </c>
      <c r="AE22">
        <v>0</v>
      </c>
      <c r="AF22">
        <v>0</v>
      </c>
      <c r="AG22">
        <v>61</v>
      </c>
      <c r="AH22">
        <v>0</v>
      </c>
      <c r="AJ22" s="4">
        <v>2500</v>
      </c>
      <c r="BC22">
        <v>0.05</v>
      </c>
      <c r="BD22">
        <v>-1E-4</v>
      </c>
      <c r="BG22">
        <v>0.05</v>
      </c>
      <c r="BH22">
        <v>-1E-4</v>
      </c>
    </row>
    <row r="23" spans="1:60" x14ac:dyDescent="0.35">
      <c r="A23" t="s">
        <v>34</v>
      </c>
      <c r="B23" s="1">
        <v>46146.65625</v>
      </c>
      <c r="C23" t="s">
        <v>34</v>
      </c>
      <c r="D23" s="1">
        <v>46146.625</v>
      </c>
      <c r="E23">
        <v>5575</v>
      </c>
      <c r="F23" t="s">
        <v>36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3132</v>
      </c>
      <c r="O23">
        <v>0.05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1803</v>
      </c>
      <c r="AC23">
        <v>0.05</v>
      </c>
      <c r="AD23">
        <v>0</v>
      </c>
      <c r="AE23">
        <v>0</v>
      </c>
      <c r="AF23">
        <v>0</v>
      </c>
      <c r="AG23">
        <v>45</v>
      </c>
      <c r="AH23">
        <v>0</v>
      </c>
      <c r="AJ23" s="4">
        <v>2600</v>
      </c>
      <c r="AK23">
        <v>0.05</v>
      </c>
      <c r="AL23">
        <v>0</v>
      </c>
      <c r="AM23">
        <v>0.05</v>
      </c>
      <c r="AN23">
        <v>-1E-4</v>
      </c>
      <c r="AO23">
        <v>0.05</v>
      </c>
      <c r="AP23">
        <v>-1E-4</v>
      </c>
      <c r="AQ23">
        <v>0.05</v>
      </c>
      <c r="AR23">
        <v>-1E-4</v>
      </c>
      <c r="AS23">
        <v>0.05</v>
      </c>
      <c r="AT23">
        <v>-1E-4</v>
      </c>
      <c r="BC23">
        <v>0.05</v>
      </c>
      <c r="BD23">
        <v>-1E-4</v>
      </c>
      <c r="BE23">
        <v>0.05</v>
      </c>
      <c r="BF23">
        <v>-1E-4</v>
      </c>
      <c r="BG23">
        <v>0.35</v>
      </c>
      <c r="BH23">
        <v>-6.0000000000000006E-4</v>
      </c>
    </row>
    <row r="24" spans="1:60" x14ac:dyDescent="0.35">
      <c r="A24" t="s">
        <v>34</v>
      </c>
      <c r="B24" s="1">
        <v>46146.65625</v>
      </c>
      <c r="C24" t="s">
        <v>34</v>
      </c>
      <c r="D24" s="1">
        <v>46146.625</v>
      </c>
      <c r="E24">
        <v>5600</v>
      </c>
      <c r="F24" t="s">
        <v>36</v>
      </c>
      <c r="G24">
        <v>0.05</v>
      </c>
      <c r="H24">
        <v>0.05</v>
      </c>
      <c r="I24">
        <v>0.05</v>
      </c>
      <c r="J24">
        <v>0.05</v>
      </c>
      <c r="K24">
        <v>1</v>
      </c>
      <c r="L24">
        <v>0</v>
      </c>
      <c r="M24">
        <v>0</v>
      </c>
      <c r="N24">
        <v>2825</v>
      </c>
      <c r="O24">
        <v>0.05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2119</v>
      </c>
      <c r="AC24">
        <v>0.05</v>
      </c>
      <c r="AD24">
        <v>0</v>
      </c>
      <c r="AE24">
        <v>0</v>
      </c>
      <c r="AF24">
        <v>0.05</v>
      </c>
      <c r="AG24">
        <v>553</v>
      </c>
      <c r="AH24">
        <v>0</v>
      </c>
      <c r="AJ24" s="4">
        <v>2700</v>
      </c>
      <c r="BC24">
        <v>0.05</v>
      </c>
      <c r="BD24">
        <v>-1E-4</v>
      </c>
      <c r="BG24">
        <v>0.05</v>
      </c>
      <c r="BH24">
        <v>-1E-4</v>
      </c>
    </row>
    <row r="25" spans="1:60" x14ac:dyDescent="0.35">
      <c r="A25" t="s">
        <v>34</v>
      </c>
      <c r="B25" s="1">
        <v>46146.65625</v>
      </c>
      <c r="C25" t="s">
        <v>34</v>
      </c>
      <c r="D25" s="1">
        <v>46146.625</v>
      </c>
      <c r="E25">
        <v>5625</v>
      </c>
      <c r="F25" t="s">
        <v>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3133</v>
      </c>
      <c r="O25">
        <v>0.05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1803</v>
      </c>
      <c r="AC25">
        <v>0.05</v>
      </c>
      <c r="AD25">
        <v>0</v>
      </c>
      <c r="AE25">
        <v>0</v>
      </c>
      <c r="AF25">
        <v>0</v>
      </c>
      <c r="AG25">
        <v>168</v>
      </c>
      <c r="AH25">
        <v>0</v>
      </c>
      <c r="AJ25" s="4">
        <v>2800</v>
      </c>
      <c r="AK25">
        <v>0.05</v>
      </c>
      <c r="AL25">
        <v>0</v>
      </c>
      <c r="AM25">
        <v>0.05</v>
      </c>
      <c r="AN25">
        <v>-1E-4</v>
      </c>
      <c r="AO25">
        <v>0.05</v>
      </c>
      <c r="AP25">
        <v>-1E-4</v>
      </c>
      <c r="AQ25">
        <v>0.05</v>
      </c>
      <c r="AR25">
        <v>-1E-4</v>
      </c>
      <c r="AS25">
        <v>0.05</v>
      </c>
      <c r="AT25">
        <v>-1E-4</v>
      </c>
      <c r="AU25">
        <v>0.05</v>
      </c>
      <c r="AV25">
        <v>-1E-4</v>
      </c>
      <c r="AW25">
        <v>0.05</v>
      </c>
      <c r="AX25">
        <v>-1E-4</v>
      </c>
      <c r="AY25">
        <v>0.05</v>
      </c>
      <c r="AZ25">
        <v>-1E-4</v>
      </c>
      <c r="BA25">
        <v>0.05</v>
      </c>
      <c r="BB25">
        <v>-1E-4</v>
      </c>
      <c r="BC25">
        <v>0.05</v>
      </c>
      <c r="BD25">
        <v>-1E-4</v>
      </c>
      <c r="BE25">
        <v>0.05</v>
      </c>
      <c r="BF25">
        <v>-1E-4</v>
      </c>
      <c r="BG25">
        <v>0.54999999999999993</v>
      </c>
      <c r="BH25">
        <v>-1.0000000000000002E-3</v>
      </c>
    </row>
    <row r="26" spans="1:60" x14ac:dyDescent="0.35">
      <c r="A26" t="s">
        <v>34</v>
      </c>
      <c r="B26" s="1">
        <v>46146.65625</v>
      </c>
      <c r="C26" t="s">
        <v>34</v>
      </c>
      <c r="D26" s="1">
        <v>46146.625</v>
      </c>
      <c r="E26">
        <v>5650</v>
      </c>
      <c r="F26" t="s">
        <v>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3354</v>
      </c>
      <c r="O26">
        <v>0.05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2025</v>
      </c>
      <c r="AC26">
        <v>0.05</v>
      </c>
      <c r="AD26">
        <v>0</v>
      </c>
      <c r="AE26">
        <v>0</v>
      </c>
      <c r="AF26">
        <v>0</v>
      </c>
      <c r="AG26">
        <v>865</v>
      </c>
      <c r="AH26">
        <v>0</v>
      </c>
      <c r="AJ26" s="4">
        <v>2900</v>
      </c>
      <c r="BC26">
        <v>0.05</v>
      </c>
      <c r="BD26">
        <v>-1E-4</v>
      </c>
      <c r="BG26">
        <v>0.05</v>
      </c>
      <c r="BH26">
        <v>-1E-4</v>
      </c>
    </row>
    <row r="27" spans="1:60" x14ac:dyDescent="0.35">
      <c r="A27" t="s">
        <v>34</v>
      </c>
      <c r="B27" s="1">
        <v>46146.65625</v>
      </c>
      <c r="C27" t="s">
        <v>34</v>
      </c>
      <c r="D27" s="1">
        <v>46146.625</v>
      </c>
      <c r="E27">
        <v>5675</v>
      </c>
      <c r="F27" t="s">
        <v>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3183</v>
      </c>
      <c r="O27">
        <v>0.05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2469</v>
      </c>
      <c r="AC27">
        <v>0.05</v>
      </c>
      <c r="AD27">
        <v>0</v>
      </c>
      <c r="AE27">
        <v>0</v>
      </c>
      <c r="AF27">
        <v>0</v>
      </c>
      <c r="AG27">
        <v>1869</v>
      </c>
      <c r="AH27">
        <v>0</v>
      </c>
      <c r="AJ27" s="4">
        <v>3000</v>
      </c>
      <c r="AK27">
        <v>0.05</v>
      </c>
      <c r="AL27">
        <v>0</v>
      </c>
      <c r="AM27">
        <v>0.05</v>
      </c>
      <c r="AN27">
        <v>-1E-4</v>
      </c>
      <c r="AO27">
        <v>0.05</v>
      </c>
      <c r="AP27">
        <v>-1E-4</v>
      </c>
      <c r="AQ27">
        <v>0.05</v>
      </c>
      <c r="AR27">
        <v>-1E-4</v>
      </c>
      <c r="AS27">
        <v>0.05</v>
      </c>
      <c r="AT27">
        <v>-1E-4</v>
      </c>
      <c r="AU27">
        <v>0.05</v>
      </c>
      <c r="AV27">
        <v>-1E-4</v>
      </c>
      <c r="AW27">
        <v>0.05</v>
      </c>
      <c r="AX27">
        <v>-1E-4</v>
      </c>
      <c r="AY27">
        <v>0.05</v>
      </c>
      <c r="AZ27">
        <v>-1E-4</v>
      </c>
      <c r="BA27">
        <v>0.05</v>
      </c>
      <c r="BB27">
        <v>-1E-4</v>
      </c>
      <c r="BC27">
        <v>0.05</v>
      </c>
      <c r="BD27">
        <v>-1E-4</v>
      </c>
      <c r="BE27">
        <v>0.05</v>
      </c>
      <c r="BF27">
        <v>-1E-4</v>
      </c>
      <c r="BG27">
        <v>0.54999999999999993</v>
      </c>
      <c r="BH27">
        <v>-1.0000000000000002E-3</v>
      </c>
    </row>
    <row r="28" spans="1:60" x14ac:dyDescent="0.35">
      <c r="A28" t="s">
        <v>34</v>
      </c>
      <c r="B28" s="1">
        <v>46146.65625</v>
      </c>
      <c r="C28" t="s">
        <v>34</v>
      </c>
      <c r="D28" s="1">
        <v>46146.625</v>
      </c>
      <c r="E28">
        <v>5700</v>
      </c>
      <c r="F28" t="s">
        <v>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2576</v>
      </c>
      <c r="O28">
        <v>0.05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1870</v>
      </c>
      <c r="AC28">
        <v>0.05</v>
      </c>
      <c r="AD28">
        <v>0</v>
      </c>
      <c r="AE28">
        <v>0</v>
      </c>
      <c r="AF28">
        <v>0</v>
      </c>
      <c r="AG28">
        <v>543</v>
      </c>
      <c r="AH28">
        <v>0</v>
      </c>
      <c r="AJ28" s="4">
        <v>3100</v>
      </c>
      <c r="BC28">
        <v>0.05</v>
      </c>
      <c r="BD28">
        <v>-1E-4</v>
      </c>
      <c r="BG28">
        <v>0.05</v>
      </c>
      <c r="BH28">
        <v>-1E-4</v>
      </c>
    </row>
    <row r="29" spans="1:60" x14ac:dyDescent="0.35">
      <c r="A29" t="s">
        <v>34</v>
      </c>
      <c r="B29" s="1">
        <v>46146.65625</v>
      </c>
      <c r="C29" t="s">
        <v>34</v>
      </c>
      <c r="D29" s="1">
        <v>46146.625</v>
      </c>
      <c r="E29">
        <v>5725</v>
      </c>
      <c r="F29" t="s">
        <v>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2569</v>
      </c>
      <c r="O29">
        <v>0.05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1864</v>
      </c>
      <c r="AC29">
        <v>0.05</v>
      </c>
      <c r="AD29">
        <v>0</v>
      </c>
      <c r="AE29">
        <v>0</v>
      </c>
      <c r="AF29">
        <v>0</v>
      </c>
      <c r="AG29">
        <v>388</v>
      </c>
      <c r="AH29">
        <v>0</v>
      </c>
      <c r="AJ29" s="4">
        <v>3200</v>
      </c>
      <c r="AK29">
        <v>0.05</v>
      </c>
      <c r="AL29">
        <v>0</v>
      </c>
      <c r="AM29">
        <v>0.05</v>
      </c>
      <c r="AN29">
        <v>-1E-4</v>
      </c>
      <c r="AO29">
        <v>0.05</v>
      </c>
      <c r="AP29">
        <v>-1E-4</v>
      </c>
      <c r="AQ29">
        <v>0.05</v>
      </c>
      <c r="AR29">
        <v>-1E-4</v>
      </c>
      <c r="AS29">
        <v>0.05</v>
      </c>
      <c r="AT29">
        <v>-1E-4</v>
      </c>
      <c r="AU29">
        <v>0.05</v>
      </c>
      <c r="AV29">
        <v>-1E-4</v>
      </c>
      <c r="AW29">
        <v>0.05</v>
      </c>
      <c r="AX29">
        <v>-1E-4</v>
      </c>
      <c r="AY29">
        <v>0.05</v>
      </c>
      <c r="AZ29">
        <v>-1E-4</v>
      </c>
      <c r="BA29">
        <v>0.05</v>
      </c>
      <c r="BB29">
        <v>-1E-4</v>
      </c>
      <c r="BC29">
        <v>0.05</v>
      </c>
      <c r="BD29">
        <v>-1E-4</v>
      </c>
      <c r="BE29">
        <v>0.05</v>
      </c>
      <c r="BF29">
        <v>-1E-4</v>
      </c>
      <c r="BG29">
        <v>0.54999999999999993</v>
      </c>
      <c r="BH29">
        <v>-1.0000000000000002E-3</v>
      </c>
    </row>
    <row r="30" spans="1:60" x14ac:dyDescent="0.35">
      <c r="A30" t="s">
        <v>34</v>
      </c>
      <c r="B30" s="1">
        <v>46146.65625</v>
      </c>
      <c r="C30" t="s">
        <v>34</v>
      </c>
      <c r="D30" s="1">
        <v>46146.625</v>
      </c>
      <c r="E30">
        <v>5750</v>
      </c>
      <c r="F30" t="s">
        <v>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2680</v>
      </c>
      <c r="O30">
        <v>0.05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1975</v>
      </c>
      <c r="AC30">
        <v>0.05</v>
      </c>
      <c r="AD30">
        <v>0</v>
      </c>
      <c r="AE30">
        <v>0</v>
      </c>
      <c r="AF30">
        <v>0</v>
      </c>
      <c r="AG30">
        <v>633</v>
      </c>
      <c r="AH30">
        <v>0</v>
      </c>
      <c r="AJ30" s="4">
        <v>3250</v>
      </c>
      <c r="BC30">
        <v>0.05</v>
      </c>
      <c r="BD30">
        <v>-1E-4</v>
      </c>
      <c r="BG30">
        <v>0.05</v>
      </c>
      <c r="BH30">
        <v>-1E-4</v>
      </c>
    </row>
    <row r="31" spans="1:60" x14ac:dyDescent="0.35">
      <c r="A31" t="s">
        <v>34</v>
      </c>
      <c r="B31" s="1">
        <v>46146.65625</v>
      </c>
      <c r="C31" t="s">
        <v>34</v>
      </c>
      <c r="D31" s="1">
        <v>46146.625</v>
      </c>
      <c r="E31">
        <v>5775</v>
      </c>
      <c r="F31" t="s">
        <v>36</v>
      </c>
      <c r="G31">
        <v>0.03</v>
      </c>
      <c r="H31">
        <v>0.03</v>
      </c>
      <c r="I31">
        <v>0.03</v>
      </c>
      <c r="J31">
        <v>0.03</v>
      </c>
      <c r="K31">
        <v>1</v>
      </c>
      <c r="L31">
        <v>0</v>
      </c>
      <c r="M31">
        <v>0</v>
      </c>
      <c r="N31">
        <v>2458</v>
      </c>
      <c r="O31">
        <v>0.05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1753</v>
      </c>
      <c r="AC31">
        <v>0.05</v>
      </c>
      <c r="AD31">
        <v>0</v>
      </c>
      <c r="AE31">
        <v>0</v>
      </c>
      <c r="AF31">
        <v>0.03</v>
      </c>
      <c r="AG31">
        <v>58</v>
      </c>
      <c r="AH31">
        <v>0</v>
      </c>
      <c r="AJ31" s="4">
        <v>3300</v>
      </c>
      <c r="BC31">
        <v>0.1</v>
      </c>
      <c r="BD31">
        <v>-1E-4</v>
      </c>
      <c r="BE31">
        <v>0.05</v>
      </c>
      <c r="BF31">
        <v>-1E-4</v>
      </c>
      <c r="BG31">
        <v>0.15000000000000002</v>
      </c>
      <c r="BH31">
        <v>-2.0000000000000001E-4</v>
      </c>
    </row>
    <row r="32" spans="1:60" x14ac:dyDescent="0.35">
      <c r="A32" t="s">
        <v>34</v>
      </c>
      <c r="B32" s="1">
        <v>46146.65625</v>
      </c>
      <c r="C32" t="s">
        <v>34</v>
      </c>
      <c r="D32" s="1">
        <v>46146.625</v>
      </c>
      <c r="E32">
        <v>5800</v>
      </c>
      <c r="F32" t="s">
        <v>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1887</v>
      </c>
      <c r="O32">
        <v>0.05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1182</v>
      </c>
      <c r="AC32">
        <v>0.05</v>
      </c>
      <c r="AD32">
        <v>0</v>
      </c>
      <c r="AE32">
        <v>0</v>
      </c>
      <c r="AF32">
        <v>0</v>
      </c>
      <c r="AG32">
        <v>593</v>
      </c>
      <c r="AH32">
        <v>0</v>
      </c>
      <c r="AJ32" s="4">
        <v>3350</v>
      </c>
      <c r="BC32">
        <v>0.1</v>
      </c>
      <c r="BD32">
        <v>-1E-4</v>
      </c>
      <c r="BG32">
        <v>0.1</v>
      </c>
      <c r="BH32">
        <v>-1E-4</v>
      </c>
    </row>
    <row r="33" spans="1:60" x14ac:dyDescent="0.35">
      <c r="A33" t="s">
        <v>34</v>
      </c>
      <c r="B33" s="1">
        <v>46146.65625</v>
      </c>
      <c r="C33" t="s">
        <v>34</v>
      </c>
      <c r="D33" s="1">
        <v>46146.625</v>
      </c>
      <c r="E33">
        <v>5825</v>
      </c>
      <c r="F33" t="s">
        <v>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1658</v>
      </c>
      <c r="O33">
        <v>0.05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955</v>
      </c>
      <c r="AC33">
        <v>0.05</v>
      </c>
      <c r="AD33">
        <v>0</v>
      </c>
      <c r="AE33">
        <v>0</v>
      </c>
      <c r="AF33">
        <v>0</v>
      </c>
      <c r="AG33">
        <v>91</v>
      </c>
      <c r="AH33">
        <v>0</v>
      </c>
      <c r="AJ33" s="4">
        <v>3400</v>
      </c>
      <c r="AK33">
        <v>0.05</v>
      </c>
      <c r="AL33">
        <v>0</v>
      </c>
      <c r="AM33">
        <v>0.05</v>
      </c>
      <c r="AN33">
        <v>-1E-4</v>
      </c>
      <c r="AO33">
        <v>0.05</v>
      </c>
      <c r="AP33">
        <v>-1E-4</v>
      </c>
      <c r="AQ33">
        <v>0.05</v>
      </c>
      <c r="AR33">
        <v>-1E-4</v>
      </c>
      <c r="AS33">
        <v>0.05</v>
      </c>
      <c r="AT33">
        <v>-1E-4</v>
      </c>
      <c r="AU33">
        <v>0.05</v>
      </c>
      <c r="AV33">
        <v>-1E-4</v>
      </c>
      <c r="AW33">
        <v>0.05</v>
      </c>
      <c r="AX33">
        <v>-1E-4</v>
      </c>
      <c r="AY33">
        <v>0.05</v>
      </c>
      <c r="AZ33">
        <v>-1E-4</v>
      </c>
      <c r="BA33">
        <v>0.05</v>
      </c>
      <c r="BB33">
        <v>-1E-4</v>
      </c>
      <c r="BC33">
        <v>0.1</v>
      </c>
      <c r="BD33">
        <v>-1E-4</v>
      </c>
      <c r="BE33">
        <v>0.05</v>
      </c>
      <c r="BF33">
        <v>-1E-4</v>
      </c>
      <c r="BG33">
        <v>0.6</v>
      </c>
      <c r="BH33">
        <v>-1.0000000000000002E-3</v>
      </c>
    </row>
    <row r="34" spans="1:60" x14ac:dyDescent="0.35">
      <c r="A34" t="s">
        <v>34</v>
      </c>
      <c r="B34" s="1">
        <v>46146.65625</v>
      </c>
      <c r="C34" t="s">
        <v>34</v>
      </c>
      <c r="D34" s="1">
        <v>46146.625</v>
      </c>
      <c r="E34">
        <v>5850</v>
      </c>
      <c r="F34" t="s">
        <v>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2994</v>
      </c>
      <c r="O34">
        <v>0.05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2292</v>
      </c>
      <c r="AC34">
        <v>0.05</v>
      </c>
      <c r="AD34">
        <v>0</v>
      </c>
      <c r="AE34">
        <v>0</v>
      </c>
      <c r="AF34">
        <v>0</v>
      </c>
      <c r="AG34">
        <v>10419</v>
      </c>
      <c r="AH34">
        <v>0</v>
      </c>
      <c r="AJ34" s="4">
        <v>3450</v>
      </c>
      <c r="BC34">
        <v>0.1</v>
      </c>
      <c r="BD34">
        <v>-1E-4</v>
      </c>
      <c r="BG34">
        <v>0.1</v>
      </c>
      <c r="BH34">
        <v>-1E-4</v>
      </c>
    </row>
    <row r="35" spans="1:60" x14ac:dyDescent="0.35">
      <c r="A35" t="s">
        <v>34</v>
      </c>
      <c r="B35" s="1">
        <v>46146.65625</v>
      </c>
      <c r="C35" t="s">
        <v>34</v>
      </c>
      <c r="D35" s="1">
        <v>46146.625</v>
      </c>
      <c r="E35">
        <v>5875</v>
      </c>
      <c r="F35" t="s">
        <v>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1657</v>
      </c>
      <c r="O35">
        <v>0.05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955</v>
      </c>
      <c r="AC35">
        <v>0.05</v>
      </c>
      <c r="AD35">
        <v>0</v>
      </c>
      <c r="AE35">
        <v>0</v>
      </c>
      <c r="AF35">
        <v>0</v>
      </c>
      <c r="AG35">
        <v>243</v>
      </c>
      <c r="AH35">
        <v>0</v>
      </c>
      <c r="AJ35" s="4">
        <v>3500</v>
      </c>
      <c r="BC35">
        <v>0.05</v>
      </c>
      <c r="BD35">
        <v>-1E-4</v>
      </c>
      <c r="BE35">
        <v>0.05</v>
      </c>
      <c r="BF35">
        <v>-1E-4</v>
      </c>
      <c r="BG35">
        <v>0.1</v>
      </c>
      <c r="BH35">
        <v>-2.0000000000000001E-4</v>
      </c>
    </row>
    <row r="36" spans="1:60" x14ac:dyDescent="0.35">
      <c r="A36" t="s">
        <v>34</v>
      </c>
      <c r="B36" s="1">
        <v>46146.65625</v>
      </c>
      <c r="C36" t="s">
        <v>34</v>
      </c>
      <c r="D36" s="1">
        <v>46146.625</v>
      </c>
      <c r="E36">
        <v>5900</v>
      </c>
      <c r="F36" t="s">
        <v>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2328</v>
      </c>
      <c r="O36">
        <v>0.05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1626</v>
      </c>
      <c r="AC36">
        <v>0.05</v>
      </c>
      <c r="AD36">
        <v>0</v>
      </c>
      <c r="AE36">
        <v>0</v>
      </c>
      <c r="AF36">
        <v>0</v>
      </c>
      <c r="AG36">
        <v>2276</v>
      </c>
      <c r="AH36">
        <v>0</v>
      </c>
      <c r="AJ36" s="4">
        <v>3550</v>
      </c>
      <c r="BC36">
        <v>0.1</v>
      </c>
      <c r="BD36">
        <v>-2.0000000000000001E-4</v>
      </c>
      <c r="BG36">
        <v>0.1</v>
      </c>
      <c r="BH36">
        <v>-2.0000000000000001E-4</v>
      </c>
    </row>
    <row r="37" spans="1:60" x14ac:dyDescent="0.35">
      <c r="A37" t="s">
        <v>34</v>
      </c>
      <c r="B37" s="1">
        <v>46146.65625</v>
      </c>
      <c r="C37" t="s">
        <v>34</v>
      </c>
      <c r="D37" s="1">
        <v>46146.625</v>
      </c>
      <c r="E37">
        <v>5925</v>
      </c>
      <c r="F37" t="s">
        <v>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1879</v>
      </c>
      <c r="O37">
        <v>0.05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1177</v>
      </c>
      <c r="AC37">
        <v>0.05</v>
      </c>
      <c r="AD37">
        <v>0</v>
      </c>
      <c r="AE37">
        <v>0</v>
      </c>
      <c r="AF37">
        <v>0</v>
      </c>
      <c r="AG37">
        <v>961</v>
      </c>
      <c r="AH37">
        <v>0</v>
      </c>
      <c r="AJ37" s="4">
        <v>3600</v>
      </c>
      <c r="AK37">
        <v>0.05</v>
      </c>
      <c r="AL37">
        <v>0</v>
      </c>
      <c r="AM37">
        <v>0.05</v>
      </c>
      <c r="AN37">
        <v>-1E-4</v>
      </c>
      <c r="AO37">
        <v>0.05</v>
      </c>
      <c r="AP37">
        <v>-1E-4</v>
      </c>
      <c r="AQ37">
        <v>0.05</v>
      </c>
      <c r="AR37">
        <v>-1E-4</v>
      </c>
      <c r="AS37">
        <v>0.05</v>
      </c>
      <c r="AT37">
        <v>-1E-4</v>
      </c>
      <c r="AU37">
        <v>0.05</v>
      </c>
      <c r="AV37">
        <v>-1E-4</v>
      </c>
      <c r="AW37">
        <v>0.05</v>
      </c>
      <c r="AX37">
        <v>-1E-4</v>
      </c>
      <c r="AY37">
        <v>0.05</v>
      </c>
      <c r="AZ37">
        <v>-1E-4</v>
      </c>
      <c r="BA37">
        <v>0.05</v>
      </c>
      <c r="BB37">
        <v>-1E-4</v>
      </c>
      <c r="BC37">
        <v>0.1</v>
      </c>
      <c r="BD37">
        <v>-2.0000000000000001E-4</v>
      </c>
      <c r="BE37">
        <v>0.05</v>
      </c>
      <c r="BF37">
        <v>-1E-4</v>
      </c>
      <c r="BG37">
        <v>0.6</v>
      </c>
      <c r="BH37">
        <v>-1.1000000000000003E-3</v>
      </c>
    </row>
    <row r="38" spans="1:60" x14ac:dyDescent="0.35">
      <c r="A38" t="s">
        <v>34</v>
      </c>
      <c r="B38" s="1">
        <v>46146.65625</v>
      </c>
      <c r="C38" t="s">
        <v>34</v>
      </c>
      <c r="D38" s="1">
        <v>46146.625</v>
      </c>
      <c r="E38">
        <v>5950</v>
      </c>
      <c r="F38" t="s">
        <v>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1767</v>
      </c>
      <c r="O38">
        <v>0.05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1066</v>
      </c>
      <c r="AC38">
        <v>0.05</v>
      </c>
      <c r="AD38">
        <v>0</v>
      </c>
      <c r="AE38">
        <v>0</v>
      </c>
      <c r="AF38">
        <v>0</v>
      </c>
      <c r="AG38">
        <v>562</v>
      </c>
      <c r="AH38">
        <v>0</v>
      </c>
      <c r="AJ38" s="4">
        <v>3650</v>
      </c>
      <c r="BC38">
        <v>0.1</v>
      </c>
      <c r="BD38">
        <v>-2.0000000000000001E-4</v>
      </c>
      <c r="BG38">
        <v>0.1</v>
      </c>
      <c r="BH38">
        <v>-2.0000000000000001E-4</v>
      </c>
    </row>
    <row r="39" spans="1:60" x14ac:dyDescent="0.35">
      <c r="A39" t="s">
        <v>34</v>
      </c>
      <c r="B39" s="1">
        <v>46146.65625</v>
      </c>
      <c r="C39" t="s">
        <v>34</v>
      </c>
      <c r="D39" s="1">
        <v>46146.625</v>
      </c>
      <c r="E39">
        <v>5975</v>
      </c>
      <c r="F39" t="s">
        <v>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1656</v>
      </c>
      <c r="O39">
        <v>0.05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955</v>
      </c>
      <c r="AC39">
        <v>0.05</v>
      </c>
      <c r="AD39">
        <v>0</v>
      </c>
      <c r="AE39">
        <v>0</v>
      </c>
      <c r="AF39">
        <v>0</v>
      </c>
      <c r="AG39">
        <v>165</v>
      </c>
      <c r="AH39">
        <v>0</v>
      </c>
      <c r="AJ39" s="4">
        <v>3700</v>
      </c>
      <c r="BC39">
        <v>0.1</v>
      </c>
      <c r="BD39">
        <v>-2.0000000000000001E-4</v>
      </c>
      <c r="BE39">
        <v>0.1</v>
      </c>
      <c r="BF39">
        <v>-2.0000000000000001E-4</v>
      </c>
      <c r="BG39">
        <v>0.2</v>
      </c>
      <c r="BH39">
        <v>-4.0000000000000002E-4</v>
      </c>
    </row>
    <row r="40" spans="1:60" x14ac:dyDescent="0.35">
      <c r="A40" t="s">
        <v>34</v>
      </c>
      <c r="B40" s="1">
        <v>46146.65625</v>
      </c>
      <c r="C40" t="s">
        <v>34</v>
      </c>
      <c r="D40" s="1">
        <v>46146.625</v>
      </c>
      <c r="E40">
        <v>6000</v>
      </c>
      <c r="F40" t="s">
        <v>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1882</v>
      </c>
      <c r="O40">
        <v>0.05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1182</v>
      </c>
      <c r="AC40">
        <v>0.05</v>
      </c>
      <c r="AD40">
        <v>0</v>
      </c>
      <c r="AE40">
        <v>0</v>
      </c>
      <c r="AF40">
        <v>0</v>
      </c>
      <c r="AG40">
        <v>6927</v>
      </c>
      <c r="AH40">
        <v>0</v>
      </c>
      <c r="AJ40" s="4">
        <v>3750</v>
      </c>
      <c r="BC40">
        <v>0.1</v>
      </c>
      <c r="BD40">
        <v>-2.0000000000000001E-4</v>
      </c>
      <c r="BG40">
        <v>0.1</v>
      </c>
      <c r="BH40">
        <v>-2.0000000000000001E-4</v>
      </c>
    </row>
    <row r="41" spans="1:60" x14ac:dyDescent="0.35">
      <c r="A41" t="s">
        <v>34</v>
      </c>
      <c r="B41" s="1">
        <v>46146.65625</v>
      </c>
      <c r="C41" t="s">
        <v>34</v>
      </c>
      <c r="D41" s="1">
        <v>46146.625</v>
      </c>
      <c r="E41">
        <v>6025</v>
      </c>
      <c r="F41" t="s">
        <v>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1666</v>
      </c>
      <c r="O41">
        <v>0.05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969</v>
      </c>
      <c r="AC41">
        <v>0.05</v>
      </c>
      <c r="AD41">
        <v>0</v>
      </c>
      <c r="AE41">
        <v>0</v>
      </c>
      <c r="AF41">
        <v>0</v>
      </c>
      <c r="AG41">
        <v>224</v>
      </c>
      <c r="AH41">
        <v>0</v>
      </c>
      <c r="AJ41" s="4">
        <v>3775</v>
      </c>
      <c r="BC41">
        <v>0.1</v>
      </c>
      <c r="BD41">
        <v>-2.0000000000000001E-4</v>
      </c>
      <c r="BG41">
        <v>0.1</v>
      </c>
      <c r="BH41">
        <v>-2.0000000000000001E-4</v>
      </c>
    </row>
    <row r="42" spans="1:60" x14ac:dyDescent="0.35">
      <c r="A42" t="s">
        <v>34</v>
      </c>
      <c r="B42" s="1">
        <v>46146.65625</v>
      </c>
      <c r="C42" t="s">
        <v>34</v>
      </c>
      <c r="D42" s="1">
        <v>46146.625</v>
      </c>
      <c r="E42">
        <v>6050</v>
      </c>
      <c r="F42" t="s">
        <v>36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1666</v>
      </c>
      <c r="O42">
        <v>0.05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969</v>
      </c>
      <c r="AC42">
        <v>0.05</v>
      </c>
      <c r="AD42">
        <v>0</v>
      </c>
      <c r="AE42">
        <v>0</v>
      </c>
      <c r="AF42">
        <v>0</v>
      </c>
      <c r="AG42">
        <v>672</v>
      </c>
      <c r="AH42">
        <v>0</v>
      </c>
      <c r="AJ42" s="4">
        <v>3800</v>
      </c>
      <c r="AK42">
        <v>0.05</v>
      </c>
      <c r="AL42">
        <v>0</v>
      </c>
      <c r="AM42">
        <v>0.05</v>
      </c>
      <c r="AN42">
        <v>-1E-4</v>
      </c>
      <c r="AO42">
        <v>0.05</v>
      </c>
      <c r="AP42">
        <v>-1E-4</v>
      </c>
      <c r="AQ42">
        <v>0.05</v>
      </c>
      <c r="AR42">
        <v>-1E-4</v>
      </c>
      <c r="AS42">
        <v>0.05</v>
      </c>
      <c r="AT42">
        <v>-1E-4</v>
      </c>
      <c r="AU42">
        <v>0.05</v>
      </c>
      <c r="AV42">
        <v>-1E-4</v>
      </c>
      <c r="AW42">
        <v>0.05</v>
      </c>
      <c r="AX42">
        <v>-1E-4</v>
      </c>
      <c r="AY42">
        <v>0.05</v>
      </c>
      <c r="AZ42">
        <v>-1E-4</v>
      </c>
      <c r="BA42">
        <v>0.1</v>
      </c>
      <c r="BB42">
        <v>-2.0000000000000001E-4</v>
      </c>
      <c r="BC42">
        <v>0.1</v>
      </c>
      <c r="BD42">
        <v>-2.0000000000000001E-4</v>
      </c>
      <c r="BE42">
        <v>0.05</v>
      </c>
      <c r="BF42">
        <v>-1E-4</v>
      </c>
      <c r="BG42">
        <v>0.65</v>
      </c>
      <c r="BH42">
        <v>-1.2000000000000001E-3</v>
      </c>
    </row>
    <row r="43" spans="1:60" x14ac:dyDescent="0.35">
      <c r="A43" t="s">
        <v>34</v>
      </c>
      <c r="B43" s="1">
        <v>46146.65625</v>
      </c>
      <c r="C43" t="s">
        <v>34</v>
      </c>
      <c r="D43" s="1">
        <v>46146.625</v>
      </c>
      <c r="E43">
        <v>6075</v>
      </c>
      <c r="F43" t="s">
        <v>36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1564</v>
      </c>
      <c r="O43">
        <v>0.05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868</v>
      </c>
      <c r="AC43">
        <v>0.05</v>
      </c>
      <c r="AD43">
        <v>0</v>
      </c>
      <c r="AE43">
        <v>0</v>
      </c>
      <c r="AF43">
        <v>0</v>
      </c>
      <c r="AG43">
        <v>275</v>
      </c>
      <c r="AH43">
        <v>0</v>
      </c>
      <c r="AJ43" s="4">
        <v>3825</v>
      </c>
      <c r="BC43">
        <v>0.1</v>
      </c>
      <c r="BD43">
        <v>-2.0000000000000001E-4</v>
      </c>
      <c r="BG43">
        <v>0.1</v>
      </c>
      <c r="BH43">
        <v>-2.0000000000000001E-4</v>
      </c>
    </row>
    <row r="44" spans="1:60" x14ac:dyDescent="0.35">
      <c r="A44" t="s">
        <v>34</v>
      </c>
      <c r="B44" s="1">
        <v>46146.65625</v>
      </c>
      <c r="C44" t="s">
        <v>34</v>
      </c>
      <c r="D44" s="1">
        <v>46146.625</v>
      </c>
      <c r="E44">
        <v>6100</v>
      </c>
      <c r="F44" t="s">
        <v>36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2300</v>
      </c>
      <c r="O44">
        <v>0.05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989</v>
      </c>
      <c r="AC44">
        <v>0.05</v>
      </c>
      <c r="AD44">
        <v>0</v>
      </c>
      <c r="AE44">
        <v>0</v>
      </c>
      <c r="AF44">
        <v>0</v>
      </c>
      <c r="AG44">
        <v>595</v>
      </c>
      <c r="AH44">
        <v>0</v>
      </c>
      <c r="AJ44" s="4">
        <v>3850</v>
      </c>
      <c r="BC44">
        <v>0.1</v>
      </c>
      <c r="BD44">
        <v>-2.0000000000000001E-4</v>
      </c>
      <c r="BE44">
        <v>0.1</v>
      </c>
      <c r="BF44">
        <v>-2.0000000000000001E-4</v>
      </c>
      <c r="BG44">
        <v>0.2</v>
      </c>
      <c r="BH44">
        <v>-4.0000000000000002E-4</v>
      </c>
    </row>
    <row r="45" spans="1:60" x14ac:dyDescent="0.35">
      <c r="A45" t="s">
        <v>34</v>
      </c>
      <c r="B45" s="1">
        <v>46146.65625</v>
      </c>
      <c r="C45" t="s">
        <v>34</v>
      </c>
      <c r="D45" s="1">
        <v>46146.625</v>
      </c>
      <c r="E45">
        <v>6125</v>
      </c>
      <c r="F45" t="s">
        <v>36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1973</v>
      </c>
      <c r="O45">
        <v>0.05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656</v>
      </c>
      <c r="AC45">
        <v>0.05</v>
      </c>
      <c r="AD45">
        <v>0</v>
      </c>
      <c r="AE45">
        <v>0</v>
      </c>
      <c r="AF45">
        <v>0</v>
      </c>
      <c r="AG45">
        <v>162</v>
      </c>
      <c r="AH45">
        <v>0</v>
      </c>
      <c r="AJ45" s="4">
        <v>3875</v>
      </c>
      <c r="BC45">
        <v>0.1</v>
      </c>
      <c r="BD45">
        <v>-2.0000000000000001E-4</v>
      </c>
      <c r="BG45">
        <v>0.1</v>
      </c>
      <c r="BH45">
        <v>-2.0000000000000001E-4</v>
      </c>
    </row>
    <row r="46" spans="1:60" x14ac:dyDescent="0.35">
      <c r="A46" t="s">
        <v>34</v>
      </c>
      <c r="B46" s="1">
        <v>46146.65625</v>
      </c>
      <c r="C46" t="s">
        <v>34</v>
      </c>
      <c r="D46" s="1">
        <v>46146.625</v>
      </c>
      <c r="E46">
        <v>6150</v>
      </c>
      <c r="F46" t="s">
        <v>36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1999</v>
      </c>
      <c r="O46">
        <v>0.05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692</v>
      </c>
      <c r="AC46">
        <v>0.05</v>
      </c>
      <c r="AD46">
        <v>0</v>
      </c>
      <c r="AE46">
        <v>0</v>
      </c>
      <c r="AF46">
        <v>0</v>
      </c>
      <c r="AG46">
        <v>442</v>
      </c>
      <c r="AH46">
        <v>0</v>
      </c>
      <c r="AJ46" s="4">
        <v>3900</v>
      </c>
      <c r="BC46">
        <v>0.1</v>
      </c>
      <c r="BD46">
        <v>-2.0000000000000001E-4</v>
      </c>
      <c r="BE46">
        <v>0.05</v>
      </c>
      <c r="BF46">
        <v>-1E-4</v>
      </c>
      <c r="BG46">
        <v>0.15000000000000002</v>
      </c>
      <c r="BH46">
        <v>-3.0000000000000003E-4</v>
      </c>
    </row>
    <row r="47" spans="1:60" x14ac:dyDescent="0.35">
      <c r="A47" t="s">
        <v>34</v>
      </c>
      <c r="B47" s="1">
        <v>46146.65625</v>
      </c>
      <c r="C47" t="s">
        <v>34</v>
      </c>
      <c r="D47" s="1">
        <v>46146.625</v>
      </c>
      <c r="E47">
        <v>6175</v>
      </c>
      <c r="F47" t="s">
        <v>36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1825</v>
      </c>
      <c r="O47">
        <v>0.05</v>
      </c>
      <c r="P47">
        <v>0</v>
      </c>
      <c r="Q47">
        <v>0</v>
      </c>
      <c r="R47">
        <v>0</v>
      </c>
      <c r="S47">
        <v>0</v>
      </c>
      <c r="T47">
        <v>8.4908000000000001</v>
      </c>
      <c r="U47">
        <v>-2.9999999999999997E-4</v>
      </c>
      <c r="V47">
        <v>0</v>
      </c>
      <c r="W47">
        <v>-2.5000000000000001E-2</v>
      </c>
      <c r="X47">
        <v>4.0000000000000002E-4</v>
      </c>
      <c r="Y47">
        <v>0</v>
      </c>
      <c r="Z47">
        <v>0</v>
      </c>
      <c r="AA47">
        <v>0</v>
      </c>
      <c r="AB47">
        <v>515</v>
      </c>
      <c r="AC47">
        <v>0.05</v>
      </c>
      <c r="AD47">
        <v>0</v>
      </c>
      <c r="AE47">
        <v>0</v>
      </c>
      <c r="AF47">
        <v>0</v>
      </c>
      <c r="AG47">
        <v>190</v>
      </c>
      <c r="AH47">
        <v>0</v>
      </c>
      <c r="AJ47" s="4">
        <v>3925</v>
      </c>
      <c r="BC47">
        <v>0.1</v>
      </c>
      <c r="BD47">
        <v>-2.0000000000000001E-4</v>
      </c>
      <c r="BG47">
        <v>0.1</v>
      </c>
      <c r="BH47">
        <v>-2.0000000000000001E-4</v>
      </c>
    </row>
    <row r="48" spans="1:60" x14ac:dyDescent="0.35">
      <c r="A48" t="s">
        <v>34</v>
      </c>
      <c r="B48" s="1">
        <v>46146.65625</v>
      </c>
      <c r="C48" t="s">
        <v>34</v>
      </c>
      <c r="D48" s="1">
        <v>46146.625</v>
      </c>
      <c r="E48">
        <v>6200</v>
      </c>
      <c r="F48" t="s">
        <v>36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1598</v>
      </c>
      <c r="O48">
        <v>0.05</v>
      </c>
      <c r="P48">
        <v>0</v>
      </c>
      <c r="Q48">
        <v>0</v>
      </c>
      <c r="R48">
        <v>0</v>
      </c>
      <c r="S48">
        <v>0</v>
      </c>
      <c r="T48">
        <v>8.2815999999999992</v>
      </c>
      <c r="U48">
        <v>-2.9999999999999997E-4</v>
      </c>
      <c r="V48">
        <v>0</v>
      </c>
      <c r="W48">
        <v>-2.5000000000000001E-2</v>
      </c>
      <c r="X48">
        <v>4.0000000000000002E-4</v>
      </c>
      <c r="Y48">
        <v>0</v>
      </c>
      <c r="Z48">
        <v>0</v>
      </c>
      <c r="AA48">
        <v>0</v>
      </c>
      <c r="AB48">
        <v>614</v>
      </c>
      <c r="AC48">
        <v>0.05</v>
      </c>
      <c r="AD48">
        <v>0</v>
      </c>
      <c r="AE48">
        <v>0</v>
      </c>
      <c r="AF48">
        <v>0</v>
      </c>
      <c r="AG48">
        <v>1774</v>
      </c>
      <c r="AH48">
        <v>0</v>
      </c>
      <c r="AJ48" s="4">
        <v>3950</v>
      </c>
      <c r="BC48">
        <v>0.1</v>
      </c>
      <c r="BD48">
        <v>-2.0000000000000001E-4</v>
      </c>
      <c r="BE48">
        <v>0.1</v>
      </c>
      <c r="BF48">
        <v>-2.0000000000000001E-4</v>
      </c>
      <c r="BG48">
        <v>0.2</v>
      </c>
      <c r="BH48">
        <v>-4.0000000000000002E-4</v>
      </c>
    </row>
    <row r="49" spans="1:60" x14ac:dyDescent="0.35">
      <c r="A49" t="s">
        <v>34</v>
      </c>
      <c r="B49" s="1">
        <v>46146.65625</v>
      </c>
      <c r="C49" t="s">
        <v>34</v>
      </c>
      <c r="D49" s="1">
        <v>46146.625</v>
      </c>
      <c r="E49">
        <v>6225</v>
      </c>
      <c r="F49" t="s">
        <v>36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1240</v>
      </c>
      <c r="O49">
        <v>0.05</v>
      </c>
      <c r="P49">
        <v>0</v>
      </c>
      <c r="Q49">
        <v>0</v>
      </c>
      <c r="R49">
        <v>0</v>
      </c>
      <c r="S49">
        <v>0</v>
      </c>
      <c r="T49">
        <v>8.0730000000000004</v>
      </c>
      <c r="U49">
        <v>-2.9999999999999997E-4</v>
      </c>
      <c r="V49">
        <v>0</v>
      </c>
      <c r="W49">
        <v>-2.5000000000000001E-2</v>
      </c>
      <c r="X49">
        <v>5.0000000000000001E-4</v>
      </c>
      <c r="Y49">
        <v>0</v>
      </c>
      <c r="Z49">
        <v>0</v>
      </c>
      <c r="AA49">
        <v>0</v>
      </c>
      <c r="AB49">
        <v>548</v>
      </c>
      <c r="AC49">
        <v>0.05</v>
      </c>
      <c r="AD49">
        <v>0</v>
      </c>
      <c r="AE49">
        <v>0</v>
      </c>
      <c r="AF49">
        <v>0</v>
      </c>
      <c r="AG49">
        <v>467</v>
      </c>
      <c r="AH49">
        <v>0</v>
      </c>
      <c r="AJ49" s="4">
        <v>3975</v>
      </c>
      <c r="BC49">
        <v>0.1</v>
      </c>
      <c r="BD49">
        <v>-2.0000000000000001E-4</v>
      </c>
      <c r="BG49">
        <v>0.1</v>
      </c>
      <c r="BH49">
        <v>-2.0000000000000001E-4</v>
      </c>
    </row>
    <row r="50" spans="1:60" x14ac:dyDescent="0.35">
      <c r="A50" t="s">
        <v>34</v>
      </c>
      <c r="B50" s="1">
        <v>46146.65625</v>
      </c>
      <c r="C50" t="s">
        <v>34</v>
      </c>
      <c r="D50" s="1">
        <v>46146.625</v>
      </c>
      <c r="E50">
        <v>6230</v>
      </c>
      <c r="F50" t="s">
        <v>36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1207</v>
      </c>
      <c r="O50">
        <v>0.05</v>
      </c>
      <c r="P50">
        <v>0</v>
      </c>
      <c r="Q50">
        <v>0</v>
      </c>
      <c r="R50">
        <v>0</v>
      </c>
      <c r="S50">
        <v>0</v>
      </c>
      <c r="T50">
        <v>8.0312999999999999</v>
      </c>
      <c r="U50">
        <v>-2.9999999999999997E-4</v>
      </c>
      <c r="V50">
        <v>0</v>
      </c>
      <c r="W50">
        <v>-2.5000000000000001E-2</v>
      </c>
      <c r="X50">
        <v>5.0000000000000001E-4</v>
      </c>
      <c r="Y50">
        <v>0</v>
      </c>
      <c r="Z50">
        <v>0</v>
      </c>
      <c r="AA50">
        <v>0</v>
      </c>
      <c r="AB50">
        <v>515</v>
      </c>
      <c r="AC50">
        <v>0.05</v>
      </c>
      <c r="AD50">
        <v>0</v>
      </c>
      <c r="AE50">
        <v>0</v>
      </c>
      <c r="AF50">
        <v>0</v>
      </c>
      <c r="AG50">
        <v>190</v>
      </c>
      <c r="AH50">
        <v>0</v>
      </c>
      <c r="AJ50" s="4">
        <v>4000</v>
      </c>
      <c r="AK50">
        <v>0.05</v>
      </c>
      <c r="AL50">
        <v>0</v>
      </c>
      <c r="AM50">
        <v>0.05</v>
      </c>
      <c r="AN50">
        <v>-1E-4</v>
      </c>
      <c r="AO50">
        <v>0.05</v>
      </c>
      <c r="AP50">
        <v>-1E-4</v>
      </c>
      <c r="AQ50">
        <v>0.05</v>
      </c>
      <c r="AR50">
        <v>-1E-4</v>
      </c>
      <c r="AS50">
        <v>0.05</v>
      </c>
      <c r="AT50">
        <v>-1E-4</v>
      </c>
      <c r="AU50">
        <v>0.05</v>
      </c>
      <c r="AV50">
        <v>-1E-4</v>
      </c>
      <c r="AW50">
        <v>0.05</v>
      </c>
      <c r="AX50">
        <v>-1E-4</v>
      </c>
      <c r="AY50">
        <v>0.05</v>
      </c>
      <c r="AZ50">
        <v>-1E-4</v>
      </c>
      <c r="BA50">
        <v>0.1</v>
      </c>
      <c r="BB50">
        <v>-2.0000000000000001E-4</v>
      </c>
      <c r="BC50">
        <v>0.1</v>
      </c>
      <c r="BD50">
        <v>-2.0000000000000001E-4</v>
      </c>
      <c r="BE50">
        <v>0.05</v>
      </c>
      <c r="BF50">
        <v>-1E-4</v>
      </c>
      <c r="BG50">
        <v>0.65</v>
      </c>
      <c r="BH50">
        <v>-1.2000000000000001E-3</v>
      </c>
    </row>
    <row r="51" spans="1:60" x14ac:dyDescent="0.35">
      <c r="A51" t="s">
        <v>34</v>
      </c>
      <c r="B51" s="1">
        <v>46146.65625</v>
      </c>
      <c r="C51" t="s">
        <v>34</v>
      </c>
      <c r="D51" s="1">
        <v>46146.625</v>
      </c>
      <c r="E51">
        <v>6240</v>
      </c>
      <c r="F51" t="s">
        <v>36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1206</v>
      </c>
      <c r="O51">
        <v>0.05</v>
      </c>
      <c r="P51">
        <v>0</v>
      </c>
      <c r="Q51">
        <v>0</v>
      </c>
      <c r="R51">
        <v>0</v>
      </c>
      <c r="S51">
        <v>0</v>
      </c>
      <c r="T51">
        <v>7.9480000000000004</v>
      </c>
      <c r="U51">
        <v>-4.0000000000000002E-4</v>
      </c>
      <c r="V51">
        <v>0</v>
      </c>
      <c r="W51">
        <v>-2.5000000000000001E-2</v>
      </c>
      <c r="X51">
        <v>5.0000000000000001E-4</v>
      </c>
      <c r="Y51">
        <v>0</v>
      </c>
      <c r="Z51">
        <v>0</v>
      </c>
      <c r="AA51">
        <v>0</v>
      </c>
      <c r="AB51">
        <v>515</v>
      </c>
      <c r="AC51">
        <v>0.05</v>
      </c>
      <c r="AD51">
        <v>0</v>
      </c>
      <c r="AE51">
        <v>0</v>
      </c>
      <c r="AF51">
        <v>0</v>
      </c>
      <c r="AG51">
        <v>200</v>
      </c>
      <c r="AH51">
        <v>0</v>
      </c>
      <c r="AJ51" s="4">
        <v>4025</v>
      </c>
      <c r="BC51">
        <v>0.1</v>
      </c>
      <c r="BD51">
        <v>-2.0000000000000001E-4</v>
      </c>
      <c r="BG51">
        <v>0.1</v>
      </c>
      <c r="BH51">
        <v>-2.0000000000000001E-4</v>
      </c>
    </row>
    <row r="52" spans="1:60" x14ac:dyDescent="0.35">
      <c r="A52" t="s">
        <v>34</v>
      </c>
      <c r="B52" s="1">
        <v>46146.65625</v>
      </c>
      <c r="C52" t="s">
        <v>34</v>
      </c>
      <c r="D52" s="1">
        <v>46146.625</v>
      </c>
      <c r="E52">
        <v>6250</v>
      </c>
      <c r="F52" t="s">
        <v>36</v>
      </c>
      <c r="G52">
        <v>0.03</v>
      </c>
      <c r="H52">
        <v>0.03</v>
      </c>
      <c r="I52">
        <v>0.03</v>
      </c>
      <c r="J52">
        <v>0.03</v>
      </c>
      <c r="K52">
        <v>1</v>
      </c>
      <c r="L52">
        <v>0</v>
      </c>
      <c r="M52">
        <v>0</v>
      </c>
      <c r="N52">
        <v>1276</v>
      </c>
      <c r="O52">
        <v>0.05</v>
      </c>
      <c r="P52">
        <v>0</v>
      </c>
      <c r="Q52">
        <v>0</v>
      </c>
      <c r="R52">
        <v>0</v>
      </c>
      <c r="S52">
        <v>0</v>
      </c>
      <c r="T52">
        <v>7.8648999999999996</v>
      </c>
      <c r="U52">
        <v>-4.0000000000000002E-4</v>
      </c>
      <c r="V52">
        <v>0</v>
      </c>
      <c r="W52">
        <v>-2.5000000000000001E-2</v>
      </c>
      <c r="X52">
        <v>5.0000000000000001E-4</v>
      </c>
      <c r="Y52">
        <v>0</v>
      </c>
      <c r="Z52">
        <v>0</v>
      </c>
      <c r="AA52">
        <v>0</v>
      </c>
      <c r="AB52">
        <v>581</v>
      </c>
      <c r="AC52">
        <v>0.05</v>
      </c>
      <c r="AD52">
        <v>0</v>
      </c>
      <c r="AE52">
        <v>0</v>
      </c>
      <c r="AF52">
        <v>0.03</v>
      </c>
      <c r="AG52">
        <v>812</v>
      </c>
      <c r="AH52">
        <v>0</v>
      </c>
      <c r="AJ52" s="4">
        <v>4050</v>
      </c>
      <c r="BC52">
        <v>0.1</v>
      </c>
      <c r="BD52">
        <v>-2.0000000000000001E-4</v>
      </c>
      <c r="BE52">
        <v>0.1</v>
      </c>
      <c r="BF52">
        <v>-2.0000000000000001E-4</v>
      </c>
      <c r="BG52">
        <v>0.2</v>
      </c>
      <c r="BH52">
        <v>-4.0000000000000002E-4</v>
      </c>
    </row>
    <row r="53" spans="1:60" x14ac:dyDescent="0.35">
      <c r="A53" t="s">
        <v>34</v>
      </c>
      <c r="B53" s="1">
        <v>46146.65625</v>
      </c>
      <c r="C53" t="s">
        <v>34</v>
      </c>
      <c r="D53" s="1">
        <v>46146.625</v>
      </c>
      <c r="E53">
        <v>6260</v>
      </c>
      <c r="F53" t="s">
        <v>36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682</v>
      </c>
      <c r="O53">
        <v>0.05</v>
      </c>
      <c r="P53">
        <v>0</v>
      </c>
      <c r="Q53">
        <v>0</v>
      </c>
      <c r="R53">
        <v>0</v>
      </c>
      <c r="S53">
        <v>0</v>
      </c>
      <c r="T53">
        <v>7.7817999999999996</v>
      </c>
      <c r="U53">
        <v>-4.0000000000000002E-4</v>
      </c>
      <c r="V53">
        <v>0</v>
      </c>
      <c r="W53">
        <v>-2.5000000000000001E-2</v>
      </c>
      <c r="X53">
        <v>5.0000000000000001E-4</v>
      </c>
      <c r="Y53">
        <v>0</v>
      </c>
      <c r="Z53">
        <v>0</v>
      </c>
      <c r="AA53">
        <v>0</v>
      </c>
      <c r="AB53">
        <v>10</v>
      </c>
      <c r="AC53">
        <v>0.05</v>
      </c>
      <c r="AD53">
        <v>0</v>
      </c>
      <c r="AE53">
        <v>0</v>
      </c>
      <c r="AF53">
        <v>0</v>
      </c>
      <c r="AG53">
        <v>146</v>
      </c>
      <c r="AH53">
        <v>0</v>
      </c>
      <c r="AJ53" s="4">
        <v>4075</v>
      </c>
      <c r="BC53">
        <v>0.1</v>
      </c>
      <c r="BD53">
        <v>-2.0000000000000001E-4</v>
      </c>
      <c r="BG53">
        <v>0.1</v>
      </c>
      <c r="BH53">
        <v>-2.0000000000000001E-4</v>
      </c>
    </row>
    <row r="54" spans="1:60" x14ac:dyDescent="0.35">
      <c r="A54" t="s">
        <v>34</v>
      </c>
      <c r="B54" s="1">
        <v>46146.65625</v>
      </c>
      <c r="C54" t="s">
        <v>34</v>
      </c>
      <c r="D54" s="1">
        <v>46146.625</v>
      </c>
      <c r="E54">
        <v>6270</v>
      </c>
      <c r="F54" t="s">
        <v>36</v>
      </c>
      <c r="G54">
        <v>0.05</v>
      </c>
      <c r="H54">
        <v>0.05</v>
      </c>
      <c r="I54">
        <v>0.05</v>
      </c>
      <c r="J54">
        <v>0.05</v>
      </c>
      <c r="K54">
        <v>1</v>
      </c>
      <c r="L54">
        <v>0</v>
      </c>
      <c r="M54">
        <v>0</v>
      </c>
      <c r="N54">
        <v>683</v>
      </c>
      <c r="O54">
        <v>0.05</v>
      </c>
      <c r="P54">
        <v>0</v>
      </c>
      <c r="Q54">
        <v>0</v>
      </c>
      <c r="R54">
        <v>0</v>
      </c>
      <c r="S54">
        <v>0</v>
      </c>
      <c r="T54">
        <v>7.6988000000000003</v>
      </c>
      <c r="U54">
        <v>-4.0000000000000002E-4</v>
      </c>
      <c r="V54">
        <v>0</v>
      </c>
      <c r="W54">
        <v>-2.5000000000000001E-2</v>
      </c>
      <c r="X54">
        <v>5.0000000000000001E-4</v>
      </c>
      <c r="Y54">
        <v>0</v>
      </c>
      <c r="Z54">
        <v>0</v>
      </c>
      <c r="AA54">
        <v>0</v>
      </c>
      <c r="AB54">
        <v>11</v>
      </c>
      <c r="AC54">
        <v>0.05</v>
      </c>
      <c r="AD54">
        <v>0</v>
      </c>
      <c r="AE54">
        <v>0</v>
      </c>
      <c r="AF54">
        <v>0.05</v>
      </c>
      <c r="AG54">
        <v>42</v>
      </c>
      <c r="AH54">
        <v>0</v>
      </c>
      <c r="AJ54" s="4">
        <v>4100</v>
      </c>
      <c r="BC54">
        <v>0.1</v>
      </c>
      <c r="BD54">
        <v>-2.0000000000000001E-4</v>
      </c>
      <c r="BE54">
        <v>0.1</v>
      </c>
      <c r="BF54">
        <v>-2.0000000000000001E-4</v>
      </c>
      <c r="BG54">
        <v>0.2</v>
      </c>
      <c r="BH54">
        <v>-4.0000000000000002E-4</v>
      </c>
    </row>
    <row r="55" spans="1:60" x14ac:dyDescent="0.35">
      <c r="A55" t="s">
        <v>34</v>
      </c>
      <c r="B55" s="1">
        <v>46146.65625</v>
      </c>
      <c r="C55" t="s">
        <v>34</v>
      </c>
      <c r="D55" s="1">
        <v>46146.625</v>
      </c>
      <c r="E55">
        <v>6275</v>
      </c>
      <c r="F55" t="s">
        <v>36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902</v>
      </c>
      <c r="O55">
        <v>0.05</v>
      </c>
      <c r="P55">
        <v>0</v>
      </c>
      <c r="Q55">
        <v>0</v>
      </c>
      <c r="R55">
        <v>0</v>
      </c>
      <c r="S55">
        <v>0</v>
      </c>
      <c r="T55">
        <v>7.6573000000000002</v>
      </c>
      <c r="U55">
        <v>-4.0000000000000002E-4</v>
      </c>
      <c r="V55">
        <v>0</v>
      </c>
      <c r="W55">
        <v>-2.5000000000000001E-2</v>
      </c>
      <c r="X55">
        <v>5.0000000000000001E-4</v>
      </c>
      <c r="Y55">
        <v>0</v>
      </c>
      <c r="Z55">
        <v>0</v>
      </c>
      <c r="AA55">
        <v>0</v>
      </c>
      <c r="AB55">
        <v>210</v>
      </c>
      <c r="AC55">
        <v>0.05</v>
      </c>
      <c r="AD55">
        <v>0</v>
      </c>
      <c r="AE55">
        <v>0</v>
      </c>
      <c r="AF55">
        <v>0</v>
      </c>
      <c r="AG55">
        <v>221</v>
      </c>
      <c r="AH55">
        <v>0</v>
      </c>
      <c r="AJ55" s="4">
        <v>4125</v>
      </c>
      <c r="BC55">
        <v>0.1</v>
      </c>
      <c r="BD55">
        <v>-2.0000000000000001E-4</v>
      </c>
      <c r="BG55">
        <v>0.1</v>
      </c>
      <c r="BH55">
        <v>-2.0000000000000001E-4</v>
      </c>
    </row>
    <row r="56" spans="1:60" x14ac:dyDescent="0.35">
      <c r="A56" t="s">
        <v>34</v>
      </c>
      <c r="B56" s="1">
        <v>46146.65625</v>
      </c>
      <c r="C56" t="s">
        <v>34</v>
      </c>
      <c r="D56" s="1">
        <v>46146.625</v>
      </c>
      <c r="E56">
        <v>6280</v>
      </c>
      <c r="F56" t="s">
        <v>36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681</v>
      </c>
      <c r="O56">
        <v>0.05</v>
      </c>
      <c r="P56">
        <v>0</v>
      </c>
      <c r="Q56">
        <v>0</v>
      </c>
      <c r="R56">
        <v>0</v>
      </c>
      <c r="S56">
        <v>0</v>
      </c>
      <c r="T56">
        <v>7.6158999999999999</v>
      </c>
      <c r="U56">
        <v>-4.0000000000000002E-4</v>
      </c>
      <c r="V56">
        <v>0</v>
      </c>
      <c r="W56">
        <v>-2.5000000000000001E-2</v>
      </c>
      <c r="X56">
        <v>5.0000000000000001E-4</v>
      </c>
      <c r="Y56">
        <v>0</v>
      </c>
      <c r="Z56">
        <v>0</v>
      </c>
      <c r="AA56">
        <v>0</v>
      </c>
      <c r="AB56">
        <v>10</v>
      </c>
      <c r="AC56">
        <v>0.05</v>
      </c>
      <c r="AD56">
        <v>0</v>
      </c>
      <c r="AE56">
        <v>0</v>
      </c>
      <c r="AF56">
        <v>0</v>
      </c>
      <c r="AG56">
        <v>140</v>
      </c>
      <c r="AH56">
        <v>0</v>
      </c>
      <c r="AJ56" s="4">
        <v>4150</v>
      </c>
      <c r="BC56">
        <v>0.1</v>
      </c>
      <c r="BD56">
        <v>-2.0000000000000001E-4</v>
      </c>
      <c r="BE56">
        <v>0.1</v>
      </c>
      <c r="BF56">
        <v>-2.0000000000000001E-4</v>
      </c>
      <c r="BG56">
        <v>0.2</v>
      </c>
      <c r="BH56">
        <v>-4.0000000000000002E-4</v>
      </c>
    </row>
    <row r="57" spans="1:60" x14ac:dyDescent="0.35">
      <c r="A57" t="s">
        <v>34</v>
      </c>
      <c r="B57" s="1">
        <v>46146.65625</v>
      </c>
      <c r="C57" t="s">
        <v>34</v>
      </c>
      <c r="D57" s="1">
        <v>46146.625</v>
      </c>
      <c r="E57">
        <v>6290</v>
      </c>
      <c r="F57" t="s">
        <v>36</v>
      </c>
      <c r="G57">
        <v>0.05</v>
      </c>
      <c r="H57">
        <v>0.05</v>
      </c>
      <c r="I57">
        <v>0.05</v>
      </c>
      <c r="J57">
        <v>0.05</v>
      </c>
      <c r="K57">
        <v>1</v>
      </c>
      <c r="L57">
        <v>0</v>
      </c>
      <c r="M57">
        <v>0</v>
      </c>
      <c r="N57">
        <v>740</v>
      </c>
      <c r="O57">
        <v>0.05</v>
      </c>
      <c r="P57">
        <v>0</v>
      </c>
      <c r="Q57">
        <v>0</v>
      </c>
      <c r="R57">
        <v>0</v>
      </c>
      <c r="S57">
        <v>0</v>
      </c>
      <c r="T57">
        <v>7.5331000000000001</v>
      </c>
      <c r="U57">
        <v>-4.0000000000000002E-4</v>
      </c>
      <c r="V57">
        <v>0</v>
      </c>
      <c r="W57">
        <v>-2.5000000000000001E-2</v>
      </c>
      <c r="X57">
        <v>5.0000000000000001E-4</v>
      </c>
      <c r="Y57">
        <v>0</v>
      </c>
      <c r="Z57">
        <v>0</v>
      </c>
      <c r="AA57">
        <v>0</v>
      </c>
      <c r="AB57">
        <v>49</v>
      </c>
      <c r="AC57">
        <v>0.05</v>
      </c>
      <c r="AD57">
        <v>0</v>
      </c>
      <c r="AE57">
        <v>0</v>
      </c>
      <c r="AF57">
        <v>0.05</v>
      </c>
      <c r="AG57">
        <v>169</v>
      </c>
      <c r="AH57">
        <v>0</v>
      </c>
      <c r="AJ57" s="4">
        <v>4175</v>
      </c>
      <c r="BC57">
        <v>0.1</v>
      </c>
      <c r="BD57">
        <v>-2.0000000000000001E-4</v>
      </c>
      <c r="BG57">
        <v>0.1</v>
      </c>
      <c r="BH57">
        <v>-2.0000000000000001E-4</v>
      </c>
    </row>
    <row r="58" spans="1:60" x14ac:dyDescent="0.35">
      <c r="A58" t="s">
        <v>34</v>
      </c>
      <c r="B58" s="1">
        <v>46146.65625</v>
      </c>
      <c r="C58" t="s">
        <v>34</v>
      </c>
      <c r="D58" s="1">
        <v>46146.625</v>
      </c>
      <c r="E58">
        <v>6300</v>
      </c>
      <c r="F58" t="s">
        <v>36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934</v>
      </c>
      <c r="O58">
        <v>0.05</v>
      </c>
      <c r="P58">
        <v>0</v>
      </c>
      <c r="Q58">
        <v>0</v>
      </c>
      <c r="R58">
        <v>0</v>
      </c>
      <c r="S58">
        <v>0</v>
      </c>
      <c r="T58">
        <v>7.4503000000000004</v>
      </c>
      <c r="U58">
        <v>-4.0000000000000002E-4</v>
      </c>
      <c r="V58">
        <v>0</v>
      </c>
      <c r="W58">
        <v>-2.5000000000000001E-2</v>
      </c>
      <c r="X58">
        <v>5.0000000000000001E-4</v>
      </c>
      <c r="Y58">
        <v>0</v>
      </c>
      <c r="Z58">
        <v>0</v>
      </c>
      <c r="AA58">
        <v>0</v>
      </c>
      <c r="AB58">
        <v>243</v>
      </c>
      <c r="AC58">
        <v>0.05</v>
      </c>
      <c r="AD58">
        <v>0</v>
      </c>
      <c r="AE58">
        <v>0</v>
      </c>
      <c r="AF58">
        <v>0</v>
      </c>
      <c r="AG58">
        <v>1210</v>
      </c>
      <c r="AH58">
        <v>0</v>
      </c>
      <c r="AJ58" s="4">
        <v>4200</v>
      </c>
      <c r="AK58">
        <v>0.05</v>
      </c>
      <c r="AL58">
        <v>0</v>
      </c>
      <c r="AM58">
        <v>0.05</v>
      </c>
      <c r="AN58">
        <v>-1E-4</v>
      </c>
      <c r="AO58">
        <v>0.05</v>
      </c>
      <c r="AP58">
        <v>-1E-4</v>
      </c>
      <c r="AQ58">
        <v>0.05</v>
      </c>
      <c r="AR58">
        <v>-1E-4</v>
      </c>
      <c r="AS58">
        <v>0.05</v>
      </c>
      <c r="AT58">
        <v>-1E-4</v>
      </c>
      <c r="AU58">
        <v>0.05</v>
      </c>
      <c r="AV58">
        <v>-1E-4</v>
      </c>
      <c r="AW58">
        <v>0.05</v>
      </c>
      <c r="AX58">
        <v>-1E-4</v>
      </c>
      <c r="AY58">
        <v>0.1</v>
      </c>
      <c r="AZ58">
        <v>-2.0000000000000001E-4</v>
      </c>
      <c r="BA58">
        <v>0.05</v>
      </c>
      <c r="BB58">
        <v>-1E-4</v>
      </c>
      <c r="BC58">
        <v>0.1</v>
      </c>
      <c r="BD58">
        <v>-2.0000000000000001E-4</v>
      </c>
      <c r="BE58">
        <v>0.05</v>
      </c>
      <c r="BF58">
        <v>-1E-4</v>
      </c>
      <c r="BG58">
        <v>0.65</v>
      </c>
      <c r="BH58">
        <v>-1.2000000000000001E-3</v>
      </c>
    </row>
    <row r="59" spans="1:60" x14ac:dyDescent="0.35">
      <c r="A59" t="s">
        <v>34</v>
      </c>
      <c r="B59" s="1">
        <v>46146.65625</v>
      </c>
      <c r="C59" t="s">
        <v>34</v>
      </c>
      <c r="D59" s="1">
        <v>46146.625</v>
      </c>
      <c r="E59">
        <v>6310</v>
      </c>
      <c r="F59" t="s">
        <v>36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680</v>
      </c>
      <c r="O59">
        <v>0.05</v>
      </c>
      <c r="P59">
        <v>0</v>
      </c>
      <c r="Q59">
        <v>0</v>
      </c>
      <c r="R59">
        <v>0</v>
      </c>
      <c r="S59">
        <v>0</v>
      </c>
      <c r="T59">
        <v>7.3676000000000004</v>
      </c>
      <c r="U59">
        <v>-4.0000000000000002E-4</v>
      </c>
      <c r="V59">
        <v>0</v>
      </c>
      <c r="W59">
        <v>-2.5000000000000001E-2</v>
      </c>
      <c r="X59">
        <v>5.0000000000000001E-4</v>
      </c>
      <c r="Y59">
        <v>0</v>
      </c>
      <c r="Z59">
        <v>0</v>
      </c>
      <c r="AA59">
        <v>0</v>
      </c>
      <c r="AB59">
        <v>10</v>
      </c>
      <c r="AC59">
        <v>0.05</v>
      </c>
      <c r="AD59">
        <v>0</v>
      </c>
      <c r="AE59">
        <v>0</v>
      </c>
      <c r="AF59">
        <v>0</v>
      </c>
      <c r="AG59">
        <v>113</v>
      </c>
      <c r="AH59">
        <v>0</v>
      </c>
      <c r="AJ59" s="4">
        <v>4225</v>
      </c>
      <c r="BC59">
        <v>0.1</v>
      </c>
      <c r="BD59">
        <v>-2.0000000000000001E-4</v>
      </c>
      <c r="BG59">
        <v>0.1</v>
      </c>
      <c r="BH59">
        <v>-2.0000000000000001E-4</v>
      </c>
    </row>
    <row r="60" spans="1:60" x14ac:dyDescent="0.35">
      <c r="A60" t="s">
        <v>34</v>
      </c>
      <c r="B60" s="1">
        <v>46146.65625</v>
      </c>
      <c r="C60" t="s">
        <v>34</v>
      </c>
      <c r="D60" s="1">
        <v>46146.625</v>
      </c>
      <c r="E60">
        <v>6320</v>
      </c>
      <c r="F60" t="s">
        <v>36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678</v>
      </c>
      <c r="O60">
        <v>0.05</v>
      </c>
      <c r="P60">
        <v>0</v>
      </c>
      <c r="Q60">
        <v>0</v>
      </c>
      <c r="R60">
        <v>0</v>
      </c>
      <c r="S60">
        <v>0</v>
      </c>
      <c r="T60">
        <v>7.2850000000000001</v>
      </c>
      <c r="U60">
        <v>-4.0000000000000002E-4</v>
      </c>
      <c r="V60">
        <v>0</v>
      </c>
      <c r="W60">
        <v>-2.5000000000000001E-2</v>
      </c>
      <c r="X60">
        <v>5.0000000000000001E-4</v>
      </c>
      <c r="Y60">
        <v>0</v>
      </c>
      <c r="Z60">
        <v>0</v>
      </c>
      <c r="AA60">
        <v>0</v>
      </c>
      <c r="AB60">
        <v>10</v>
      </c>
      <c r="AC60">
        <v>0.05</v>
      </c>
      <c r="AD60">
        <v>0</v>
      </c>
      <c r="AE60">
        <v>0</v>
      </c>
      <c r="AF60">
        <v>0</v>
      </c>
      <c r="AG60">
        <v>172</v>
      </c>
      <c r="AH60">
        <v>0</v>
      </c>
      <c r="AJ60" s="4">
        <v>4250</v>
      </c>
      <c r="BC60">
        <v>0.1</v>
      </c>
      <c r="BD60">
        <v>-2.0000000000000001E-4</v>
      </c>
      <c r="BE60">
        <v>0.1</v>
      </c>
      <c r="BF60">
        <v>-2.0000000000000001E-4</v>
      </c>
      <c r="BG60">
        <v>0.2</v>
      </c>
      <c r="BH60">
        <v>-4.0000000000000002E-4</v>
      </c>
    </row>
    <row r="61" spans="1:60" x14ac:dyDescent="0.35">
      <c r="A61" t="s">
        <v>34</v>
      </c>
      <c r="B61" s="1">
        <v>46146.65625</v>
      </c>
      <c r="C61" t="s">
        <v>34</v>
      </c>
      <c r="D61" s="1">
        <v>46146.625</v>
      </c>
      <c r="E61">
        <v>6325</v>
      </c>
      <c r="F61" t="s">
        <v>36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898</v>
      </c>
      <c r="O61">
        <v>0.05</v>
      </c>
      <c r="P61">
        <v>0</v>
      </c>
      <c r="Q61">
        <v>0</v>
      </c>
      <c r="R61">
        <v>0</v>
      </c>
      <c r="S61">
        <v>0</v>
      </c>
      <c r="T61">
        <v>7.2438000000000002</v>
      </c>
      <c r="U61">
        <v>-4.0000000000000002E-4</v>
      </c>
      <c r="V61">
        <v>0</v>
      </c>
      <c r="W61">
        <v>-2.5000000000000001E-2</v>
      </c>
      <c r="X61">
        <v>5.0000000000000001E-4</v>
      </c>
      <c r="Y61">
        <v>0</v>
      </c>
      <c r="Z61">
        <v>0</v>
      </c>
      <c r="AA61">
        <v>0</v>
      </c>
      <c r="AB61">
        <v>210</v>
      </c>
      <c r="AC61">
        <v>0.05</v>
      </c>
      <c r="AD61">
        <v>0</v>
      </c>
      <c r="AE61">
        <v>0</v>
      </c>
      <c r="AF61">
        <v>0</v>
      </c>
      <c r="AG61">
        <v>200</v>
      </c>
      <c r="AH61">
        <v>0</v>
      </c>
      <c r="AJ61" s="4">
        <v>4275</v>
      </c>
      <c r="BC61">
        <v>0.1</v>
      </c>
      <c r="BD61">
        <v>-2.0000000000000001E-4</v>
      </c>
      <c r="BG61">
        <v>0.1</v>
      </c>
      <c r="BH61">
        <v>-2.0000000000000001E-4</v>
      </c>
    </row>
    <row r="62" spans="1:60" x14ac:dyDescent="0.35">
      <c r="A62" t="s">
        <v>34</v>
      </c>
      <c r="B62" s="1">
        <v>46146.65625</v>
      </c>
      <c r="C62" t="s">
        <v>34</v>
      </c>
      <c r="D62" s="1">
        <v>46146.625</v>
      </c>
      <c r="E62">
        <v>6330</v>
      </c>
      <c r="F62" t="s">
        <v>36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677</v>
      </c>
      <c r="O62">
        <v>0.05</v>
      </c>
      <c r="P62">
        <v>0</v>
      </c>
      <c r="Q62">
        <v>0</v>
      </c>
      <c r="R62">
        <v>0</v>
      </c>
      <c r="S62">
        <v>0</v>
      </c>
      <c r="T62">
        <v>7.2024999999999997</v>
      </c>
      <c r="U62">
        <v>-4.0000000000000002E-4</v>
      </c>
      <c r="V62">
        <v>0</v>
      </c>
      <c r="W62">
        <v>-2.5000000000000001E-2</v>
      </c>
      <c r="X62">
        <v>5.0000000000000001E-4</v>
      </c>
      <c r="Y62">
        <v>0</v>
      </c>
      <c r="Z62">
        <v>0</v>
      </c>
      <c r="AA62">
        <v>0</v>
      </c>
      <c r="AB62">
        <v>10</v>
      </c>
      <c r="AC62">
        <v>0.05</v>
      </c>
      <c r="AD62">
        <v>0</v>
      </c>
      <c r="AE62">
        <v>0</v>
      </c>
      <c r="AF62">
        <v>0</v>
      </c>
      <c r="AG62">
        <v>128</v>
      </c>
      <c r="AH62">
        <v>0</v>
      </c>
      <c r="AJ62" s="4">
        <v>4300</v>
      </c>
      <c r="BC62">
        <v>0.1</v>
      </c>
      <c r="BD62">
        <v>-2.0000000000000001E-4</v>
      </c>
      <c r="BE62">
        <v>0.05</v>
      </c>
      <c r="BF62">
        <v>-1E-4</v>
      </c>
      <c r="BG62">
        <v>0.15000000000000002</v>
      </c>
      <c r="BH62">
        <v>-3.0000000000000003E-4</v>
      </c>
    </row>
    <row r="63" spans="1:60" x14ac:dyDescent="0.35">
      <c r="A63" t="s">
        <v>34</v>
      </c>
      <c r="B63" s="1">
        <v>46146.65625</v>
      </c>
      <c r="C63" t="s">
        <v>34</v>
      </c>
      <c r="D63" s="1">
        <v>46146.625</v>
      </c>
      <c r="E63">
        <v>6340</v>
      </c>
      <c r="F63" t="s">
        <v>36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681</v>
      </c>
      <c r="O63">
        <v>0.05</v>
      </c>
      <c r="P63">
        <v>0</v>
      </c>
      <c r="Q63">
        <v>0</v>
      </c>
      <c r="R63">
        <v>0</v>
      </c>
      <c r="S63">
        <v>0</v>
      </c>
      <c r="T63">
        <v>7.1200999999999999</v>
      </c>
      <c r="U63">
        <v>-4.0000000000000002E-4</v>
      </c>
      <c r="V63">
        <v>0</v>
      </c>
      <c r="W63">
        <v>-2.5000000000000001E-2</v>
      </c>
      <c r="X63">
        <v>5.0000000000000001E-4</v>
      </c>
      <c r="Y63">
        <v>0</v>
      </c>
      <c r="Z63">
        <v>0</v>
      </c>
      <c r="AA63">
        <v>0</v>
      </c>
      <c r="AB63">
        <v>10</v>
      </c>
      <c r="AC63">
        <v>0.05</v>
      </c>
      <c r="AD63">
        <v>0</v>
      </c>
      <c r="AE63">
        <v>0</v>
      </c>
      <c r="AF63">
        <v>0</v>
      </c>
      <c r="AG63">
        <v>157</v>
      </c>
      <c r="AH63">
        <v>0</v>
      </c>
      <c r="AJ63" s="4">
        <v>4325</v>
      </c>
      <c r="BC63">
        <v>0.1</v>
      </c>
      <c r="BD63">
        <v>-2.0000000000000001E-4</v>
      </c>
      <c r="BG63">
        <v>0.1</v>
      </c>
      <c r="BH63">
        <v>-2.0000000000000001E-4</v>
      </c>
    </row>
    <row r="64" spans="1:60" x14ac:dyDescent="0.35">
      <c r="A64" t="s">
        <v>34</v>
      </c>
      <c r="B64" s="1">
        <v>46146.65625</v>
      </c>
      <c r="C64" t="s">
        <v>34</v>
      </c>
      <c r="D64" s="1">
        <v>46146.625</v>
      </c>
      <c r="E64">
        <v>6350</v>
      </c>
      <c r="F64" t="s">
        <v>36</v>
      </c>
      <c r="G64">
        <v>0.05</v>
      </c>
      <c r="H64">
        <v>0.05</v>
      </c>
      <c r="I64">
        <v>0.05</v>
      </c>
      <c r="J64">
        <v>0.05</v>
      </c>
      <c r="K64">
        <v>6</v>
      </c>
      <c r="L64">
        <v>0</v>
      </c>
      <c r="M64">
        <v>0</v>
      </c>
      <c r="N64">
        <v>874</v>
      </c>
      <c r="O64">
        <v>0.05</v>
      </c>
      <c r="P64">
        <v>0</v>
      </c>
      <c r="Q64">
        <v>0</v>
      </c>
      <c r="R64">
        <v>0</v>
      </c>
      <c r="S64">
        <v>0</v>
      </c>
      <c r="T64">
        <v>7.0377000000000001</v>
      </c>
      <c r="U64">
        <v>-4.0000000000000002E-4</v>
      </c>
      <c r="V64">
        <v>0</v>
      </c>
      <c r="W64">
        <v>-2.5000000000000001E-2</v>
      </c>
      <c r="X64">
        <v>5.0000000000000001E-4</v>
      </c>
      <c r="Y64">
        <v>0</v>
      </c>
      <c r="Z64">
        <v>0</v>
      </c>
      <c r="AA64">
        <v>0</v>
      </c>
      <c r="AB64">
        <v>189</v>
      </c>
      <c r="AC64">
        <v>0.05</v>
      </c>
      <c r="AD64">
        <v>0</v>
      </c>
      <c r="AE64">
        <v>0</v>
      </c>
      <c r="AF64">
        <v>0.05</v>
      </c>
      <c r="AG64">
        <v>786</v>
      </c>
      <c r="AH64">
        <v>0</v>
      </c>
      <c r="AJ64" s="4">
        <v>4350</v>
      </c>
      <c r="BC64">
        <v>0.15</v>
      </c>
      <c r="BD64">
        <v>-2.9999999999999997E-4</v>
      </c>
      <c r="BE64">
        <v>0.1</v>
      </c>
      <c r="BF64">
        <v>-2.0000000000000001E-4</v>
      </c>
      <c r="BG64">
        <v>0.25</v>
      </c>
      <c r="BH64">
        <v>-5.0000000000000001E-4</v>
      </c>
    </row>
    <row r="65" spans="1:60" x14ac:dyDescent="0.35">
      <c r="A65" t="s">
        <v>34</v>
      </c>
      <c r="B65" s="1">
        <v>46146.65625</v>
      </c>
      <c r="C65" t="s">
        <v>34</v>
      </c>
      <c r="D65" s="1">
        <v>46146.625</v>
      </c>
      <c r="E65">
        <v>6360</v>
      </c>
      <c r="F65" t="s">
        <v>36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674</v>
      </c>
      <c r="O65">
        <v>0.05</v>
      </c>
      <c r="P65">
        <v>0</v>
      </c>
      <c r="Q65">
        <v>0</v>
      </c>
      <c r="R65">
        <v>0</v>
      </c>
      <c r="S65">
        <v>0</v>
      </c>
      <c r="T65">
        <v>6.9554999999999998</v>
      </c>
      <c r="U65">
        <v>-4.0000000000000002E-4</v>
      </c>
      <c r="V65">
        <v>0</v>
      </c>
      <c r="W65">
        <v>-2.5000000000000001E-2</v>
      </c>
      <c r="X65">
        <v>5.0000000000000001E-4</v>
      </c>
      <c r="Y65">
        <v>0</v>
      </c>
      <c r="Z65">
        <v>0</v>
      </c>
      <c r="AA65">
        <v>0</v>
      </c>
      <c r="AB65">
        <v>10</v>
      </c>
      <c r="AC65">
        <v>0.05</v>
      </c>
      <c r="AD65">
        <v>0</v>
      </c>
      <c r="AE65">
        <v>0</v>
      </c>
      <c r="AF65">
        <v>0</v>
      </c>
      <c r="AG65">
        <v>294</v>
      </c>
      <c r="AH65">
        <v>0</v>
      </c>
      <c r="AJ65" s="4">
        <v>4375</v>
      </c>
      <c r="BC65">
        <v>0.15</v>
      </c>
      <c r="BD65">
        <v>-2.9999999999999997E-4</v>
      </c>
      <c r="BG65">
        <v>0.15</v>
      </c>
      <c r="BH65">
        <v>-2.9999999999999997E-4</v>
      </c>
    </row>
    <row r="66" spans="1:60" x14ac:dyDescent="0.35">
      <c r="A66" t="s">
        <v>34</v>
      </c>
      <c r="B66" s="1">
        <v>46146.65625</v>
      </c>
      <c r="C66" t="s">
        <v>34</v>
      </c>
      <c r="D66" s="1">
        <v>46146.625</v>
      </c>
      <c r="E66">
        <v>6370</v>
      </c>
      <c r="F66" t="s">
        <v>36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673</v>
      </c>
      <c r="O66">
        <v>0.05</v>
      </c>
      <c r="P66">
        <v>0</v>
      </c>
      <c r="Q66">
        <v>0</v>
      </c>
      <c r="R66">
        <v>0</v>
      </c>
      <c r="S66">
        <v>0</v>
      </c>
      <c r="T66">
        <v>6.8582999999999998</v>
      </c>
      <c r="U66">
        <v>-4.0000000000000002E-4</v>
      </c>
      <c r="V66">
        <v>0</v>
      </c>
      <c r="W66">
        <v>-2.5000000000000001E-2</v>
      </c>
      <c r="X66">
        <v>5.0000000000000001E-4</v>
      </c>
      <c r="Y66">
        <v>0</v>
      </c>
      <c r="Z66">
        <v>0</v>
      </c>
      <c r="AA66">
        <v>0</v>
      </c>
      <c r="AB66">
        <v>10</v>
      </c>
      <c r="AC66">
        <v>0.05</v>
      </c>
      <c r="AD66">
        <v>0</v>
      </c>
      <c r="AE66">
        <v>0</v>
      </c>
      <c r="AF66">
        <v>0</v>
      </c>
      <c r="AG66">
        <v>155</v>
      </c>
      <c r="AH66">
        <v>0</v>
      </c>
      <c r="AJ66" s="4">
        <v>4400</v>
      </c>
      <c r="AK66">
        <v>0.05</v>
      </c>
      <c r="AL66">
        <v>0</v>
      </c>
      <c r="AM66">
        <v>0.05</v>
      </c>
      <c r="AN66">
        <v>-1E-4</v>
      </c>
      <c r="AO66">
        <v>0.05</v>
      </c>
      <c r="AP66">
        <v>-1E-4</v>
      </c>
      <c r="AQ66">
        <v>0.05</v>
      </c>
      <c r="AR66">
        <v>-1E-4</v>
      </c>
      <c r="AS66">
        <v>0.05</v>
      </c>
      <c r="AT66">
        <v>-1E-4</v>
      </c>
      <c r="AU66">
        <v>0.05</v>
      </c>
      <c r="AV66">
        <v>-1E-4</v>
      </c>
      <c r="AW66">
        <v>0.05</v>
      </c>
      <c r="AX66">
        <v>-1E-4</v>
      </c>
      <c r="AY66">
        <v>0.1</v>
      </c>
      <c r="AZ66">
        <v>-2.0000000000000001E-4</v>
      </c>
      <c r="BA66">
        <v>0.1</v>
      </c>
      <c r="BB66">
        <v>-2.0000000000000001E-4</v>
      </c>
      <c r="BC66">
        <v>0.15</v>
      </c>
      <c r="BD66">
        <v>-2.9999999999999997E-4</v>
      </c>
      <c r="BE66">
        <v>0.1</v>
      </c>
      <c r="BF66">
        <v>-2.0000000000000001E-4</v>
      </c>
      <c r="BG66">
        <v>0.79999999999999993</v>
      </c>
      <c r="BH66">
        <v>-1.5E-3</v>
      </c>
    </row>
    <row r="67" spans="1:60" x14ac:dyDescent="0.35">
      <c r="A67" t="s">
        <v>34</v>
      </c>
      <c r="B67" s="1">
        <v>46146.65625</v>
      </c>
      <c r="C67" t="s">
        <v>34</v>
      </c>
      <c r="D67" s="1">
        <v>46146.625</v>
      </c>
      <c r="E67">
        <v>6375</v>
      </c>
      <c r="F67" t="s">
        <v>36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877</v>
      </c>
      <c r="O67">
        <v>0.05</v>
      </c>
      <c r="P67">
        <v>0</v>
      </c>
      <c r="Q67">
        <v>0</v>
      </c>
      <c r="R67">
        <v>0</v>
      </c>
      <c r="S67">
        <v>0</v>
      </c>
      <c r="T67">
        <v>6.8173000000000004</v>
      </c>
      <c r="U67">
        <v>-4.0000000000000002E-4</v>
      </c>
      <c r="V67">
        <v>0</v>
      </c>
      <c r="W67">
        <v>-2.5000000000000001E-2</v>
      </c>
      <c r="X67">
        <v>5.0000000000000001E-4</v>
      </c>
      <c r="Y67">
        <v>0</v>
      </c>
      <c r="Z67">
        <v>0</v>
      </c>
      <c r="AA67">
        <v>0</v>
      </c>
      <c r="AB67">
        <v>193</v>
      </c>
      <c r="AC67">
        <v>0.05</v>
      </c>
      <c r="AD67">
        <v>0</v>
      </c>
      <c r="AE67">
        <v>0</v>
      </c>
      <c r="AF67">
        <v>0</v>
      </c>
      <c r="AG67">
        <v>932</v>
      </c>
      <c r="AH67">
        <v>0</v>
      </c>
      <c r="AJ67" s="4">
        <v>4425</v>
      </c>
      <c r="BC67">
        <v>0.15</v>
      </c>
      <c r="BD67">
        <v>-2.9999999999999997E-4</v>
      </c>
      <c r="BG67">
        <v>0.15</v>
      </c>
      <c r="BH67">
        <v>-2.9999999999999997E-4</v>
      </c>
    </row>
    <row r="68" spans="1:60" x14ac:dyDescent="0.35">
      <c r="A68" t="s">
        <v>34</v>
      </c>
      <c r="B68" s="1">
        <v>46146.65625</v>
      </c>
      <c r="C68" t="s">
        <v>34</v>
      </c>
      <c r="D68" s="1">
        <v>46146.625</v>
      </c>
      <c r="E68">
        <v>6380</v>
      </c>
      <c r="F68" t="s">
        <v>36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661</v>
      </c>
      <c r="O68">
        <v>0.05</v>
      </c>
      <c r="P68">
        <v>0</v>
      </c>
      <c r="Q68">
        <v>0</v>
      </c>
      <c r="R68">
        <v>0</v>
      </c>
      <c r="S68">
        <v>0</v>
      </c>
      <c r="T68">
        <v>6.7763</v>
      </c>
      <c r="U68">
        <v>-4.0000000000000002E-4</v>
      </c>
      <c r="V68">
        <v>0</v>
      </c>
      <c r="W68">
        <v>-2.5000000000000001E-2</v>
      </c>
      <c r="X68">
        <v>5.0000000000000001E-4</v>
      </c>
      <c r="Y68">
        <v>0</v>
      </c>
      <c r="Z68">
        <v>0</v>
      </c>
      <c r="AA68">
        <v>0</v>
      </c>
      <c r="AB68">
        <v>1</v>
      </c>
      <c r="AC68">
        <v>4.0999999999999996</v>
      </c>
      <c r="AD68">
        <v>0</v>
      </c>
      <c r="AE68">
        <v>0</v>
      </c>
      <c r="AF68">
        <v>0</v>
      </c>
      <c r="AG68">
        <v>34</v>
      </c>
      <c r="AH68">
        <v>0</v>
      </c>
      <c r="AJ68" s="4">
        <v>4450</v>
      </c>
      <c r="BC68">
        <v>0.15</v>
      </c>
      <c r="BD68">
        <v>-2.9999999999999997E-4</v>
      </c>
      <c r="BE68">
        <v>0.15</v>
      </c>
      <c r="BF68">
        <v>-2.9999999999999997E-4</v>
      </c>
      <c r="BG68">
        <v>0.3</v>
      </c>
      <c r="BH68">
        <v>-5.9999999999999995E-4</v>
      </c>
    </row>
    <row r="69" spans="1:60" x14ac:dyDescent="0.35">
      <c r="A69" t="s">
        <v>34</v>
      </c>
      <c r="B69" s="1">
        <v>46146.65625</v>
      </c>
      <c r="C69" t="s">
        <v>34</v>
      </c>
      <c r="D69" s="1">
        <v>46146.625</v>
      </c>
      <c r="E69">
        <v>6390</v>
      </c>
      <c r="F69" t="s">
        <v>36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670</v>
      </c>
      <c r="O69">
        <v>0.05</v>
      </c>
      <c r="P69">
        <v>0</v>
      </c>
      <c r="Q69">
        <v>0</v>
      </c>
      <c r="R69">
        <v>0</v>
      </c>
      <c r="S69">
        <v>0</v>
      </c>
      <c r="T69">
        <v>6.6943999999999999</v>
      </c>
      <c r="U69">
        <v>-4.0000000000000002E-4</v>
      </c>
      <c r="V69">
        <v>0</v>
      </c>
      <c r="W69">
        <v>-2.5000000000000001E-2</v>
      </c>
      <c r="X69">
        <v>5.0000000000000001E-4</v>
      </c>
      <c r="Y69">
        <v>0</v>
      </c>
      <c r="Z69">
        <v>0</v>
      </c>
      <c r="AA69">
        <v>0</v>
      </c>
      <c r="AB69">
        <v>10</v>
      </c>
      <c r="AC69">
        <v>0.05</v>
      </c>
      <c r="AD69">
        <v>0</v>
      </c>
      <c r="AE69">
        <v>0</v>
      </c>
      <c r="AF69">
        <v>0</v>
      </c>
      <c r="AG69">
        <v>133</v>
      </c>
      <c r="AH69">
        <v>0</v>
      </c>
      <c r="AJ69" s="4">
        <v>4475</v>
      </c>
      <c r="BC69">
        <v>0.1</v>
      </c>
      <c r="BD69">
        <v>-2.0000000000000001E-4</v>
      </c>
      <c r="BG69">
        <v>0.1</v>
      </c>
      <c r="BH69">
        <v>-2.0000000000000001E-4</v>
      </c>
    </row>
    <row r="70" spans="1:60" x14ac:dyDescent="0.35">
      <c r="A70" t="s">
        <v>34</v>
      </c>
      <c r="B70" s="1">
        <v>46146.65625</v>
      </c>
      <c r="C70" t="s">
        <v>34</v>
      </c>
      <c r="D70" s="1">
        <v>46146.625</v>
      </c>
      <c r="E70">
        <v>6400</v>
      </c>
      <c r="F70" t="s">
        <v>36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875</v>
      </c>
      <c r="O70">
        <v>0.05</v>
      </c>
      <c r="P70">
        <v>0</v>
      </c>
      <c r="Q70">
        <v>0</v>
      </c>
      <c r="R70">
        <v>0</v>
      </c>
      <c r="S70">
        <v>0</v>
      </c>
      <c r="T70">
        <v>6.6125999999999996</v>
      </c>
      <c r="U70">
        <v>-4.0000000000000002E-4</v>
      </c>
      <c r="V70">
        <v>0</v>
      </c>
      <c r="W70">
        <v>-2.5000000000000001E-2</v>
      </c>
      <c r="X70">
        <v>5.0000000000000001E-4</v>
      </c>
      <c r="Y70">
        <v>0</v>
      </c>
      <c r="Z70">
        <v>0</v>
      </c>
      <c r="AA70">
        <v>0</v>
      </c>
      <c r="AB70">
        <v>194</v>
      </c>
      <c r="AC70">
        <v>0.05</v>
      </c>
      <c r="AD70">
        <v>0</v>
      </c>
      <c r="AE70">
        <v>0</v>
      </c>
      <c r="AF70">
        <v>0</v>
      </c>
      <c r="AG70">
        <v>540</v>
      </c>
      <c r="AH70">
        <v>0</v>
      </c>
      <c r="AJ70" s="4">
        <v>4500</v>
      </c>
      <c r="BC70">
        <v>0.1</v>
      </c>
      <c r="BD70">
        <v>-2.0000000000000001E-4</v>
      </c>
      <c r="BE70">
        <v>0.15</v>
      </c>
      <c r="BF70">
        <v>-2.9999999999999997E-4</v>
      </c>
      <c r="BG70">
        <v>0.25</v>
      </c>
      <c r="BH70">
        <v>-5.0000000000000001E-4</v>
      </c>
    </row>
    <row r="71" spans="1:60" x14ac:dyDescent="0.35">
      <c r="A71" t="s">
        <v>34</v>
      </c>
      <c r="B71" s="1">
        <v>46146.65625</v>
      </c>
      <c r="C71" t="s">
        <v>34</v>
      </c>
      <c r="D71" s="1">
        <v>46146.625</v>
      </c>
      <c r="E71">
        <v>6410</v>
      </c>
      <c r="F71" t="s">
        <v>36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657</v>
      </c>
      <c r="O71">
        <v>0.05</v>
      </c>
      <c r="P71">
        <v>0</v>
      </c>
      <c r="Q71">
        <v>0</v>
      </c>
      <c r="R71">
        <v>0</v>
      </c>
      <c r="S71">
        <v>0</v>
      </c>
      <c r="T71">
        <v>6.5308999999999999</v>
      </c>
      <c r="U71">
        <v>-4.0000000000000002E-4</v>
      </c>
      <c r="V71">
        <v>0</v>
      </c>
      <c r="W71">
        <v>-2.5000000000000001E-2</v>
      </c>
      <c r="X71">
        <v>5.0000000000000001E-4</v>
      </c>
      <c r="Y71">
        <v>0</v>
      </c>
      <c r="Z71">
        <v>0</v>
      </c>
      <c r="AA71">
        <v>0</v>
      </c>
      <c r="AB71">
        <v>1</v>
      </c>
      <c r="AC71">
        <v>4.0999999999999996</v>
      </c>
      <c r="AD71">
        <v>0</v>
      </c>
      <c r="AE71">
        <v>0</v>
      </c>
      <c r="AF71">
        <v>0</v>
      </c>
      <c r="AG71">
        <v>87</v>
      </c>
      <c r="AH71">
        <v>0</v>
      </c>
      <c r="AJ71" s="4">
        <v>4525</v>
      </c>
      <c r="BC71">
        <v>0.1</v>
      </c>
      <c r="BD71">
        <v>-2.0000000000000001E-4</v>
      </c>
      <c r="BG71">
        <v>0.1</v>
      </c>
      <c r="BH71">
        <v>-2.0000000000000001E-4</v>
      </c>
    </row>
    <row r="72" spans="1:60" x14ac:dyDescent="0.35">
      <c r="A72" t="s">
        <v>34</v>
      </c>
      <c r="B72" s="1">
        <v>46146.65625</v>
      </c>
      <c r="C72" t="s">
        <v>34</v>
      </c>
      <c r="D72" s="1">
        <v>46146.625</v>
      </c>
      <c r="E72">
        <v>6420</v>
      </c>
      <c r="F72" t="s">
        <v>36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656</v>
      </c>
      <c r="O72">
        <v>0.05</v>
      </c>
      <c r="P72">
        <v>0</v>
      </c>
      <c r="Q72">
        <v>0</v>
      </c>
      <c r="R72">
        <v>0</v>
      </c>
      <c r="S72">
        <v>0</v>
      </c>
      <c r="T72">
        <v>6.4492000000000003</v>
      </c>
      <c r="U72">
        <v>-4.0000000000000002E-4</v>
      </c>
      <c r="V72">
        <v>0</v>
      </c>
      <c r="W72">
        <v>-2.5000000000000001E-2</v>
      </c>
      <c r="X72">
        <v>5.9999999999999995E-4</v>
      </c>
      <c r="Y72">
        <v>0</v>
      </c>
      <c r="Z72">
        <v>0</v>
      </c>
      <c r="AA72">
        <v>0</v>
      </c>
      <c r="AB72">
        <v>1</v>
      </c>
      <c r="AC72">
        <v>4.0999999999999996</v>
      </c>
      <c r="AD72">
        <v>0</v>
      </c>
      <c r="AE72">
        <v>0</v>
      </c>
      <c r="AF72">
        <v>0</v>
      </c>
      <c r="AG72">
        <v>14</v>
      </c>
      <c r="AH72">
        <v>0</v>
      </c>
      <c r="AJ72" s="4">
        <v>4550</v>
      </c>
      <c r="BC72">
        <v>0.1</v>
      </c>
      <c r="BD72">
        <v>-2.0000000000000001E-4</v>
      </c>
      <c r="BE72">
        <v>0.15</v>
      </c>
      <c r="BF72">
        <v>-4.0000000000000002E-4</v>
      </c>
      <c r="BG72">
        <v>0.25</v>
      </c>
      <c r="BH72">
        <v>-6.0000000000000006E-4</v>
      </c>
    </row>
    <row r="73" spans="1:60" x14ac:dyDescent="0.35">
      <c r="A73" t="s">
        <v>34</v>
      </c>
      <c r="B73" s="1">
        <v>46146.65625</v>
      </c>
      <c r="C73" t="s">
        <v>34</v>
      </c>
      <c r="D73" s="1">
        <v>46146.625</v>
      </c>
      <c r="E73">
        <v>6425</v>
      </c>
      <c r="F73" t="s">
        <v>36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819</v>
      </c>
      <c r="O73">
        <v>0.05</v>
      </c>
      <c r="P73">
        <v>0</v>
      </c>
      <c r="Q73">
        <v>0</v>
      </c>
      <c r="R73">
        <v>0</v>
      </c>
      <c r="S73">
        <v>0</v>
      </c>
      <c r="T73">
        <v>6.4084000000000003</v>
      </c>
      <c r="U73">
        <v>-4.0000000000000002E-4</v>
      </c>
      <c r="V73">
        <v>0</v>
      </c>
      <c r="W73">
        <v>-2.5000000000000001E-2</v>
      </c>
      <c r="X73">
        <v>5.9999999999999995E-4</v>
      </c>
      <c r="Y73">
        <v>0</v>
      </c>
      <c r="Z73">
        <v>0</v>
      </c>
      <c r="AA73">
        <v>0</v>
      </c>
      <c r="AB73">
        <v>140</v>
      </c>
      <c r="AC73">
        <v>0.05</v>
      </c>
      <c r="AD73">
        <v>0</v>
      </c>
      <c r="AE73">
        <v>0</v>
      </c>
      <c r="AF73">
        <v>0</v>
      </c>
      <c r="AG73">
        <v>136</v>
      </c>
      <c r="AH73">
        <v>0</v>
      </c>
      <c r="AJ73" s="4">
        <v>4575</v>
      </c>
      <c r="BC73">
        <v>0.1</v>
      </c>
      <c r="BD73">
        <v>-2.9999999999999997E-4</v>
      </c>
      <c r="BG73">
        <v>0.1</v>
      </c>
      <c r="BH73">
        <v>-2.9999999999999997E-4</v>
      </c>
    </row>
    <row r="74" spans="1:60" x14ac:dyDescent="0.35">
      <c r="A74" t="s">
        <v>34</v>
      </c>
      <c r="B74" s="1">
        <v>46146.65625</v>
      </c>
      <c r="C74" t="s">
        <v>34</v>
      </c>
      <c r="D74" s="1">
        <v>46146.625</v>
      </c>
      <c r="E74">
        <v>6430</v>
      </c>
      <c r="F74" t="s">
        <v>36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690</v>
      </c>
      <c r="O74">
        <v>0.05</v>
      </c>
      <c r="P74">
        <v>0</v>
      </c>
      <c r="Q74">
        <v>0</v>
      </c>
      <c r="R74">
        <v>0</v>
      </c>
      <c r="S74">
        <v>0</v>
      </c>
      <c r="T74">
        <v>6.3676000000000004</v>
      </c>
      <c r="U74">
        <v>-4.0000000000000002E-4</v>
      </c>
      <c r="V74">
        <v>0</v>
      </c>
      <c r="W74">
        <v>-2.5000000000000001E-2</v>
      </c>
      <c r="X74">
        <v>5.9999999999999995E-4</v>
      </c>
      <c r="Y74">
        <v>0</v>
      </c>
      <c r="Z74">
        <v>0</v>
      </c>
      <c r="AA74">
        <v>0</v>
      </c>
      <c r="AB74">
        <v>10</v>
      </c>
      <c r="AC74">
        <v>0.05</v>
      </c>
      <c r="AD74">
        <v>0</v>
      </c>
      <c r="AE74">
        <v>0</v>
      </c>
      <c r="AF74">
        <v>0</v>
      </c>
      <c r="AG74">
        <v>154</v>
      </c>
      <c r="AH74">
        <v>0</v>
      </c>
      <c r="AJ74" s="4">
        <v>4600</v>
      </c>
      <c r="AK74">
        <v>0.05</v>
      </c>
      <c r="AL74">
        <v>0</v>
      </c>
      <c r="AM74">
        <v>0.05</v>
      </c>
      <c r="AN74">
        <v>-1E-4</v>
      </c>
      <c r="AO74">
        <v>0.05</v>
      </c>
      <c r="AP74">
        <v>-1E-4</v>
      </c>
      <c r="AQ74">
        <v>0.05</v>
      </c>
      <c r="AR74">
        <v>-1E-4</v>
      </c>
      <c r="AS74">
        <v>0.05</v>
      </c>
      <c r="AT74">
        <v>-1E-4</v>
      </c>
      <c r="AU74">
        <v>0.05</v>
      </c>
      <c r="AV74">
        <v>-1E-4</v>
      </c>
      <c r="AW74">
        <v>0.05</v>
      </c>
      <c r="AX74">
        <v>-1E-4</v>
      </c>
      <c r="AY74">
        <v>0.05</v>
      </c>
      <c r="AZ74">
        <v>-1E-4</v>
      </c>
      <c r="BA74">
        <v>0.1</v>
      </c>
      <c r="BB74">
        <v>-2.0000000000000001E-4</v>
      </c>
      <c r="BC74">
        <v>0.1</v>
      </c>
      <c r="BD74">
        <v>-2.0000000000000001E-4</v>
      </c>
      <c r="BE74">
        <v>0.15</v>
      </c>
      <c r="BF74">
        <v>-4.0000000000000002E-4</v>
      </c>
      <c r="BG74">
        <v>0.75</v>
      </c>
      <c r="BH74">
        <v>-1.5E-3</v>
      </c>
    </row>
    <row r="75" spans="1:60" x14ac:dyDescent="0.35">
      <c r="A75" t="s">
        <v>34</v>
      </c>
      <c r="B75" s="1">
        <v>46146.65625</v>
      </c>
      <c r="C75" t="s">
        <v>34</v>
      </c>
      <c r="D75" s="1">
        <v>46146.625</v>
      </c>
      <c r="E75">
        <v>6440</v>
      </c>
      <c r="F75" t="s">
        <v>36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675</v>
      </c>
      <c r="O75">
        <v>0.05</v>
      </c>
      <c r="P75">
        <v>0</v>
      </c>
      <c r="Q75">
        <v>0</v>
      </c>
      <c r="R75">
        <v>0</v>
      </c>
      <c r="S75">
        <v>0</v>
      </c>
      <c r="T75">
        <v>6.2861000000000002</v>
      </c>
      <c r="U75">
        <v>-4.0000000000000002E-4</v>
      </c>
      <c r="V75">
        <v>0</v>
      </c>
      <c r="W75">
        <v>-2.5000000000000001E-2</v>
      </c>
      <c r="X75">
        <v>5.9999999999999995E-4</v>
      </c>
      <c r="Y75">
        <v>0</v>
      </c>
      <c r="Z75">
        <v>0</v>
      </c>
      <c r="AA75">
        <v>0</v>
      </c>
      <c r="AB75">
        <v>1</v>
      </c>
      <c r="AC75">
        <v>4.0999999999999996</v>
      </c>
      <c r="AD75">
        <v>0</v>
      </c>
      <c r="AE75">
        <v>0</v>
      </c>
      <c r="AF75">
        <v>0</v>
      </c>
      <c r="AG75">
        <v>48</v>
      </c>
      <c r="AH75">
        <v>0</v>
      </c>
      <c r="AJ75" s="4">
        <v>4625</v>
      </c>
      <c r="BC75">
        <v>0.15</v>
      </c>
      <c r="BD75">
        <v>-2.9999999999999997E-4</v>
      </c>
      <c r="BG75">
        <v>0.15</v>
      </c>
      <c r="BH75">
        <v>-2.9999999999999997E-4</v>
      </c>
    </row>
    <row r="76" spans="1:60" x14ac:dyDescent="0.35">
      <c r="A76" t="s">
        <v>34</v>
      </c>
      <c r="B76" s="1">
        <v>46146.65625</v>
      </c>
      <c r="C76" t="s">
        <v>34</v>
      </c>
      <c r="D76" s="1">
        <v>46146.625</v>
      </c>
      <c r="E76">
        <v>6450</v>
      </c>
      <c r="F76" t="s">
        <v>36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833</v>
      </c>
      <c r="O76">
        <v>0.05</v>
      </c>
      <c r="P76">
        <v>0</v>
      </c>
      <c r="Q76">
        <v>0</v>
      </c>
      <c r="R76">
        <v>0</v>
      </c>
      <c r="S76">
        <v>0</v>
      </c>
      <c r="T76">
        <v>6.2046000000000001</v>
      </c>
      <c r="U76">
        <v>-4.0000000000000002E-4</v>
      </c>
      <c r="V76">
        <v>0</v>
      </c>
      <c r="W76">
        <v>-2.5000000000000001E-2</v>
      </c>
      <c r="X76">
        <v>5.9999999999999995E-4</v>
      </c>
      <c r="Y76">
        <v>0</v>
      </c>
      <c r="Z76">
        <v>0</v>
      </c>
      <c r="AA76">
        <v>0</v>
      </c>
      <c r="AB76">
        <v>140</v>
      </c>
      <c r="AC76">
        <v>0.05</v>
      </c>
      <c r="AD76">
        <v>0</v>
      </c>
      <c r="AE76">
        <v>0</v>
      </c>
      <c r="AF76">
        <v>0</v>
      </c>
      <c r="AG76">
        <v>830</v>
      </c>
      <c r="AH76">
        <v>0</v>
      </c>
      <c r="AJ76" s="4">
        <v>4650</v>
      </c>
      <c r="BC76">
        <v>0.15</v>
      </c>
      <c r="BD76">
        <v>-2.9999999999999997E-4</v>
      </c>
      <c r="BE76">
        <v>0.15</v>
      </c>
      <c r="BF76">
        <v>-4.0000000000000002E-4</v>
      </c>
      <c r="BG76">
        <v>0.3</v>
      </c>
      <c r="BH76">
        <v>-6.9999999999999999E-4</v>
      </c>
    </row>
    <row r="77" spans="1:60" x14ac:dyDescent="0.35">
      <c r="A77" t="s">
        <v>34</v>
      </c>
      <c r="B77" s="1">
        <v>46146.65625</v>
      </c>
      <c r="C77" t="s">
        <v>34</v>
      </c>
      <c r="D77" s="1">
        <v>46146.625</v>
      </c>
      <c r="E77">
        <v>6460</v>
      </c>
      <c r="F77" t="s">
        <v>36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674</v>
      </c>
      <c r="O77">
        <v>0.05</v>
      </c>
      <c r="P77">
        <v>0</v>
      </c>
      <c r="Q77">
        <v>0</v>
      </c>
      <c r="R77">
        <v>0</v>
      </c>
      <c r="S77">
        <v>0</v>
      </c>
      <c r="T77">
        <v>6.1231999999999998</v>
      </c>
      <c r="U77">
        <v>-4.0000000000000002E-4</v>
      </c>
      <c r="V77">
        <v>0</v>
      </c>
      <c r="W77">
        <v>-2.5000000000000001E-2</v>
      </c>
      <c r="X77">
        <v>5.9999999999999995E-4</v>
      </c>
      <c r="Y77">
        <v>0</v>
      </c>
      <c r="Z77">
        <v>0</v>
      </c>
      <c r="AA77">
        <v>0</v>
      </c>
      <c r="AB77">
        <v>1</v>
      </c>
      <c r="AC77">
        <v>4.0999999999999996</v>
      </c>
      <c r="AD77">
        <v>0</v>
      </c>
      <c r="AE77">
        <v>0</v>
      </c>
      <c r="AF77">
        <v>0</v>
      </c>
      <c r="AG77">
        <v>123</v>
      </c>
      <c r="AH77">
        <v>0</v>
      </c>
      <c r="AJ77" s="4">
        <v>4675</v>
      </c>
      <c r="BC77">
        <v>0.15</v>
      </c>
      <c r="BD77">
        <v>-2.9999999999999997E-4</v>
      </c>
      <c r="BG77">
        <v>0.15</v>
      </c>
      <c r="BH77">
        <v>-2.9999999999999997E-4</v>
      </c>
    </row>
    <row r="78" spans="1:60" x14ac:dyDescent="0.35">
      <c r="A78" t="s">
        <v>34</v>
      </c>
      <c r="B78" s="1">
        <v>46146.65625</v>
      </c>
      <c r="C78" t="s">
        <v>34</v>
      </c>
      <c r="D78" s="1">
        <v>46146.625</v>
      </c>
      <c r="E78">
        <v>6470</v>
      </c>
      <c r="F78" t="s">
        <v>36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672</v>
      </c>
      <c r="O78">
        <v>0.05</v>
      </c>
      <c r="P78">
        <v>0</v>
      </c>
      <c r="Q78">
        <v>0</v>
      </c>
      <c r="R78">
        <v>0</v>
      </c>
      <c r="S78">
        <v>0</v>
      </c>
      <c r="T78">
        <v>6.0549999999999997</v>
      </c>
      <c r="U78">
        <v>-5.0000000000000001E-4</v>
      </c>
      <c r="V78">
        <v>0</v>
      </c>
      <c r="W78">
        <v>-2.5000000000000001E-2</v>
      </c>
      <c r="X78">
        <v>5.9999999999999995E-4</v>
      </c>
      <c r="Y78">
        <v>0</v>
      </c>
      <c r="Z78">
        <v>0</v>
      </c>
      <c r="AA78">
        <v>0</v>
      </c>
      <c r="AB78">
        <v>1</v>
      </c>
      <c r="AC78">
        <v>4.0999999999999996</v>
      </c>
      <c r="AD78">
        <v>0</v>
      </c>
      <c r="AE78">
        <v>0</v>
      </c>
      <c r="AF78">
        <v>0</v>
      </c>
      <c r="AG78">
        <v>53</v>
      </c>
      <c r="AH78">
        <v>0</v>
      </c>
      <c r="AJ78" s="4">
        <v>4700</v>
      </c>
      <c r="BC78">
        <v>0.15</v>
      </c>
      <c r="BD78">
        <v>-4.0000000000000002E-4</v>
      </c>
      <c r="BE78">
        <v>0.15</v>
      </c>
      <c r="BF78">
        <v>-4.0000000000000002E-4</v>
      </c>
      <c r="BG78">
        <v>0.3</v>
      </c>
      <c r="BH78">
        <v>-8.0000000000000004E-4</v>
      </c>
    </row>
    <row r="79" spans="1:60" x14ac:dyDescent="0.35">
      <c r="A79" t="s">
        <v>34</v>
      </c>
      <c r="B79" s="1">
        <v>46146.65625</v>
      </c>
      <c r="C79" t="s">
        <v>34</v>
      </c>
      <c r="D79" s="1">
        <v>46146.625</v>
      </c>
      <c r="E79">
        <v>6475</v>
      </c>
      <c r="F79" t="s">
        <v>36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871</v>
      </c>
      <c r="O79">
        <v>0.05</v>
      </c>
      <c r="P79">
        <v>0</v>
      </c>
      <c r="Q79">
        <v>0</v>
      </c>
      <c r="R79">
        <v>0</v>
      </c>
      <c r="S79">
        <v>0</v>
      </c>
      <c r="T79">
        <v>6.0143000000000004</v>
      </c>
      <c r="U79">
        <v>-5.0000000000000001E-4</v>
      </c>
      <c r="V79">
        <v>0</v>
      </c>
      <c r="W79">
        <v>-2.5000000000000001E-2</v>
      </c>
      <c r="X79">
        <v>5.9999999999999995E-4</v>
      </c>
      <c r="Y79">
        <v>0</v>
      </c>
      <c r="Z79">
        <v>0</v>
      </c>
      <c r="AA79">
        <v>0</v>
      </c>
      <c r="AB79">
        <v>142</v>
      </c>
      <c r="AC79">
        <v>0.05</v>
      </c>
      <c r="AD79">
        <v>0</v>
      </c>
      <c r="AE79">
        <v>0</v>
      </c>
      <c r="AF79">
        <v>0</v>
      </c>
      <c r="AG79">
        <v>294</v>
      </c>
      <c r="AH79">
        <v>0</v>
      </c>
      <c r="AJ79" s="4">
        <v>4725</v>
      </c>
      <c r="BC79">
        <v>0.15</v>
      </c>
      <c r="BD79">
        <v>-4.0000000000000002E-4</v>
      </c>
      <c r="BG79">
        <v>0.15</v>
      </c>
      <c r="BH79">
        <v>-4.0000000000000002E-4</v>
      </c>
    </row>
    <row r="80" spans="1:60" x14ac:dyDescent="0.35">
      <c r="A80" t="s">
        <v>34</v>
      </c>
      <c r="B80" s="1">
        <v>46146.65625</v>
      </c>
      <c r="C80" t="s">
        <v>34</v>
      </c>
      <c r="D80" s="1">
        <v>46146.625</v>
      </c>
      <c r="E80">
        <v>6480</v>
      </c>
      <c r="F80" t="s">
        <v>36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671</v>
      </c>
      <c r="O80">
        <v>0.05</v>
      </c>
      <c r="P80">
        <v>0</v>
      </c>
      <c r="Q80">
        <v>0</v>
      </c>
      <c r="R80">
        <v>0</v>
      </c>
      <c r="S80">
        <v>0</v>
      </c>
      <c r="T80">
        <v>5.9736000000000002</v>
      </c>
      <c r="U80">
        <v>-5.0000000000000001E-4</v>
      </c>
      <c r="V80">
        <v>0</v>
      </c>
      <c r="W80">
        <v>-2.5000000000000001E-2</v>
      </c>
      <c r="X80">
        <v>5.9999999999999995E-4</v>
      </c>
      <c r="Y80">
        <v>0</v>
      </c>
      <c r="Z80">
        <v>0</v>
      </c>
      <c r="AA80">
        <v>0</v>
      </c>
      <c r="AB80">
        <v>1</v>
      </c>
      <c r="AC80">
        <v>4.0999999999999996</v>
      </c>
      <c r="AD80">
        <v>0</v>
      </c>
      <c r="AE80">
        <v>0</v>
      </c>
      <c r="AF80">
        <v>0</v>
      </c>
      <c r="AG80">
        <v>185</v>
      </c>
      <c r="AH80">
        <v>0</v>
      </c>
      <c r="AJ80" s="4">
        <v>4750</v>
      </c>
      <c r="BC80">
        <v>0.1</v>
      </c>
      <c r="BD80">
        <v>-2.9999999999999997E-4</v>
      </c>
      <c r="BE80">
        <v>0.15</v>
      </c>
      <c r="BF80">
        <v>-4.0000000000000002E-4</v>
      </c>
      <c r="BG80">
        <v>0.25</v>
      </c>
      <c r="BH80">
        <v>-6.9999999999999999E-4</v>
      </c>
    </row>
    <row r="81" spans="1:60" x14ac:dyDescent="0.35">
      <c r="A81" t="s">
        <v>34</v>
      </c>
      <c r="B81" s="1">
        <v>46146.65625</v>
      </c>
      <c r="C81" t="s">
        <v>34</v>
      </c>
      <c r="D81" s="1">
        <v>46146.625</v>
      </c>
      <c r="E81">
        <v>6490</v>
      </c>
      <c r="F81" t="s">
        <v>36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707</v>
      </c>
      <c r="O81">
        <v>0.05</v>
      </c>
      <c r="P81">
        <v>0</v>
      </c>
      <c r="Q81">
        <v>0</v>
      </c>
      <c r="R81">
        <v>0</v>
      </c>
      <c r="S81">
        <v>0</v>
      </c>
      <c r="T81">
        <v>5.8921999999999999</v>
      </c>
      <c r="U81">
        <v>-5.0000000000000001E-4</v>
      </c>
      <c r="V81">
        <v>0</v>
      </c>
      <c r="W81">
        <v>-2.5000000000000001E-2</v>
      </c>
      <c r="X81">
        <v>5.9999999999999995E-4</v>
      </c>
      <c r="Y81">
        <v>0</v>
      </c>
      <c r="Z81">
        <v>0</v>
      </c>
      <c r="AA81">
        <v>0</v>
      </c>
      <c r="AB81">
        <v>1</v>
      </c>
      <c r="AC81">
        <v>4.0999999999999996</v>
      </c>
      <c r="AD81">
        <v>0</v>
      </c>
      <c r="AE81">
        <v>0</v>
      </c>
      <c r="AF81">
        <v>0</v>
      </c>
      <c r="AG81">
        <v>98</v>
      </c>
      <c r="AH81">
        <v>0</v>
      </c>
      <c r="AJ81" s="4">
        <v>4775</v>
      </c>
      <c r="BC81">
        <v>0.15</v>
      </c>
      <c r="BD81">
        <v>-4.0000000000000002E-4</v>
      </c>
      <c r="BG81">
        <v>0.15</v>
      </c>
      <c r="BH81">
        <v>-4.0000000000000002E-4</v>
      </c>
    </row>
    <row r="82" spans="1:60" x14ac:dyDescent="0.35">
      <c r="A82" t="s">
        <v>34</v>
      </c>
      <c r="B82" s="1">
        <v>46146.65625</v>
      </c>
      <c r="C82" t="s">
        <v>34</v>
      </c>
      <c r="D82" s="1">
        <v>46146.625</v>
      </c>
      <c r="E82">
        <v>6500</v>
      </c>
      <c r="F82" t="s">
        <v>36</v>
      </c>
      <c r="G82">
        <v>0.03</v>
      </c>
      <c r="H82">
        <v>0.03</v>
      </c>
      <c r="I82">
        <v>0.03</v>
      </c>
      <c r="J82">
        <v>0.03</v>
      </c>
      <c r="K82">
        <v>8</v>
      </c>
      <c r="L82">
        <v>0</v>
      </c>
      <c r="M82">
        <v>0</v>
      </c>
      <c r="N82">
        <v>866</v>
      </c>
      <c r="O82">
        <v>0.05</v>
      </c>
      <c r="P82">
        <v>0</v>
      </c>
      <c r="Q82">
        <v>0</v>
      </c>
      <c r="R82">
        <v>0</v>
      </c>
      <c r="S82">
        <v>0</v>
      </c>
      <c r="T82">
        <v>5.8108000000000004</v>
      </c>
      <c r="U82">
        <v>-5.0000000000000001E-4</v>
      </c>
      <c r="V82">
        <v>0</v>
      </c>
      <c r="W82">
        <v>-2.5000000000000001E-2</v>
      </c>
      <c r="X82">
        <v>5.9999999999999995E-4</v>
      </c>
      <c r="Y82">
        <v>0</v>
      </c>
      <c r="Z82">
        <v>0</v>
      </c>
      <c r="AA82">
        <v>0</v>
      </c>
      <c r="AB82">
        <v>141</v>
      </c>
      <c r="AC82">
        <v>0.05</v>
      </c>
      <c r="AD82">
        <v>0</v>
      </c>
      <c r="AE82">
        <v>0</v>
      </c>
      <c r="AF82">
        <v>0.03</v>
      </c>
      <c r="AG82">
        <v>1770</v>
      </c>
      <c r="AH82">
        <v>0</v>
      </c>
      <c r="AJ82" s="4">
        <v>4800</v>
      </c>
      <c r="AK82">
        <v>0.05</v>
      </c>
      <c r="AL82">
        <v>0</v>
      </c>
      <c r="AM82">
        <v>0.05</v>
      </c>
      <c r="AN82">
        <v>-1E-4</v>
      </c>
      <c r="AO82">
        <v>0.05</v>
      </c>
      <c r="AP82">
        <v>-1E-4</v>
      </c>
      <c r="AQ82">
        <v>0.05</v>
      </c>
      <c r="AR82">
        <v>-1E-4</v>
      </c>
      <c r="AS82">
        <v>0.05</v>
      </c>
      <c r="AT82">
        <v>-1E-4</v>
      </c>
      <c r="AU82">
        <v>0.05</v>
      </c>
      <c r="AV82">
        <v>-1E-4</v>
      </c>
      <c r="AW82">
        <v>0.1</v>
      </c>
      <c r="AX82">
        <v>-2.9999999999999997E-4</v>
      </c>
      <c r="AY82">
        <v>0.1</v>
      </c>
      <c r="AZ82">
        <v>-4.0000000000000002E-4</v>
      </c>
      <c r="BA82">
        <v>0.15</v>
      </c>
      <c r="BB82">
        <v>-4.0000000000000002E-4</v>
      </c>
      <c r="BC82">
        <v>0.15</v>
      </c>
      <c r="BD82">
        <v>-5.0000000000000001E-4</v>
      </c>
      <c r="BE82">
        <v>0.15</v>
      </c>
      <c r="BF82">
        <v>-5.0000000000000001E-4</v>
      </c>
      <c r="BG82">
        <v>0.95000000000000007</v>
      </c>
      <c r="BH82">
        <v>-2.5999999999999999E-3</v>
      </c>
    </row>
    <row r="83" spans="1:60" x14ac:dyDescent="0.35">
      <c r="A83" t="s">
        <v>34</v>
      </c>
      <c r="B83" s="1">
        <v>46146.65625</v>
      </c>
      <c r="C83" t="s">
        <v>34</v>
      </c>
      <c r="D83" s="1">
        <v>46146.625</v>
      </c>
      <c r="E83">
        <v>6510</v>
      </c>
      <c r="F83" t="s">
        <v>36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701</v>
      </c>
      <c r="O83">
        <v>0.05</v>
      </c>
      <c r="P83">
        <v>0</v>
      </c>
      <c r="Q83">
        <v>0</v>
      </c>
      <c r="R83">
        <v>0</v>
      </c>
      <c r="S83">
        <v>0</v>
      </c>
      <c r="T83">
        <v>5.7294999999999998</v>
      </c>
      <c r="U83">
        <v>-5.0000000000000001E-4</v>
      </c>
      <c r="V83">
        <v>0</v>
      </c>
      <c r="W83">
        <v>-2.5000000000000001E-2</v>
      </c>
      <c r="X83">
        <v>5.9999999999999995E-4</v>
      </c>
      <c r="Y83">
        <v>0</v>
      </c>
      <c r="Z83">
        <v>0</v>
      </c>
      <c r="AA83">
        <v>0</v>
      </c>
      <c r="AB83">
        <v>1</v>
      </c>
      <c r="AC83">
        <v>4.0999999999999996</v>
      </c>
      <c r="AD83">
        <v>0</v>
      </c>
      <c r="AE83">
        <v>0</v>
      </c>
      <c r="AF83">
        <v>0</v>
      </c>
      <c r="AG83">
        <v>61</v>
      </c>
      <c r="AH83">
        <v>0</v>
      </c>
      <c r="AJ83" s="4">
        <v>4825</v>
      </c>
      <c r="BC83">
        <v>0.15</v>
      </c>
      <c r="BD83">
        <v>-5.9999999999999995E-4</v>
      </c>
      <c r="BG83">
        <v>0.15</v>
      </c>
      <c r="BH83">
        <v>-5.9999999999999995E-4</v>
      </c>
    </row>
    <row r="84" spans="1:60" x14ac:dyDescent="0.35">
      <c r="A84" t="s">
        <v>34</v>
      </c>
      <c r="B84" s="1">
        <v>46146.65625</v>
      </c>
      <c r="C84" t="s">
        <v>34</v>
      </c>
      <c r="D84" s="1">
        <v>46146.625</v>
      </c>
      <c r="E84">
        <v>6520</v>
      </c>
      <c r="F84" t="s">
        <v>36</v>
      </c>
      <c r="G84">
        <v>0.05</v>
      </c>
      <c r="H84">
        <v>0.05</v>
      </c>
      <c r="I84">
        <v>0.05</v>
      </c>
      <c r="J84">
        <v>0.05</v>
      </c>
      <c r="K84">
        <v>50</v>
      </c>
      <c r="L84">
        <v>0</v>
      </c>
      <c r="M84">
        <v>0</v>
      </c>
      <c r="N84">
        <v>843</v>
      </c>
      <c r="O84">
        <v>0.05</v>
      </c>
      <c r="P84">
        <v>0</v>
      </c>
      <c r="Q84">
        <v>0</v>
      </c>
      <c r="R84">
        <v>0</v>
      </c>
      <c r="S84">
        <v>0</v>
      </c>
      <c r="T84">
        <v>5.6482999999999999</v>
      </c>
      <c r="U84">
        <v>-5.0000000000000001E-4</v>
      </c>
      <c r="V84">
        <v>0</v>
      </c>
      <c r="W84">
        <v>-2.5000000000000001E-2</v>
      </c>
      <c r="X84">
        <v>5.9999999999999995E-4</v>
      </c>
      <c r="Y84">
        <v>0</v>
      </c>
      <c r="Z84">
        <v>0</v>
      </c>
      <c r="AA84">
        <v>0</v>
      </c>
      <c r="AB84">
        <v>124</v>
      </c>
      <c r="AC84">
        <v>0.05</v>
      </c>
      <c r="AD84">
        <v>0</v>
      </c>
      <c r="AE84">
        <v>0</v>
      </c>
      <c r="AF84">
        <v>0.05</v>
      </c>
      <c r="AG84">
        <v>97</v>
      </c>
      <c r="AH84">
        <v>0</v>
      </c>
      <c r="AJ84" s="4">
        <v>4850</v>
      </c>
      <c r="BC84">
        <v>0.2</v>
      </c>
      <c r="BD84">
        <v>-5.9999999999999995E-4</v>
      </c>
      <c r="BE84">
        <v>0.2</v>
      </c>
      <c r="BF84">
        <v>-5.9999999999999995E-4</v>
      </c>
      <c r="BG84">
        <v>0.4</v>
      </c>
      <c r="BH84">
        <v>-1.1999999999999999E-3</v>
      </c>
    </row>
    <row r="85" spans="1:60" x14ac:dyDescent="0.35">
      <c r="A85" t="s">
        <v>34</v>
      </c>
      <c r="B85" s="1">
        <v>46146.65625</v>
      </c>
      <c r="C85" t="s">
        <v>34</v>
      </c>
      <c r="D85" s="1">
        <v>46146.625</v>
      </c>
      <c r="E85">
        <v>6525</v>
      </c>
      <c r="F85" t="s">
        <v>36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829</v>
      </c>
      <c r="O85">
        <v>0.05</v>
      </c>
      <c r="P85">
        <v>0</v>
      </c>
      <c r="Q85">
        <v>0</v>
      </c>
      <c r="R85">
        <v>0</v>
      </c>
      <c r="S85">
        <v>0</v>
      </c>
      <c r="T85">
        <v>5.6077000000000004</v>
      </c>
      <c r="U85">
        <v>-5.0000000000000001E-4</v>
      </c>
      <c r="V85">
        <v>0</v>
      </c>
      <c r="W85">
        <v>-2.5000000000000001E-2</v>
      </c>
      <c r="X85">
        <v>5.9999999999999995E-4</v>
      </c>
      <c r="Y85">
        <v>0</v>
      </c>
      <c r="Z85">
        <v>0</v>
      </c>
      <c r="AA85">
        <v>0</v>
      </c>
      <c r="AB85">
        <v>112</v>
      </c>
      <c r="AC85">
        <v>0.05</v>
      </c>
      <c r="AD85">
        <v>0</v>
      </c>
      <c r="AE85">
        <v>0</v>
      </c>
      <c r="AF85">
        <v>0</v>
      </c>
      <c r="AG85">
        <v>79</v>
      </c>
      <c r="AH85">
        <v>0</v>
      </c>
      <c r="AJ85" s="4">
        <v>4875</v>
      </c>
      <c r="BC85">
        <v>0.2</v>
      </c>
      <c r="BD85">
        <v>-5.9999999999999995E-4</v>
      </c>
      <c r="BG85">
        <v>0.2</v>
      </c>
      <c r="BH85">
        <v>-5.9999999999999995E-4</v>
      </c>
    </row>
    <row r="86" spans="1:60" x14ac:dyDescent="0.35">
      <c r="A86" t="s">
        <v>34</v>
      </c>
      <c r="B86" s="1">
        <v>46146.65625</v>
      </c>
      <c r="C86" t="s">
        <v>34</v>
      </c>
      <c r="D86" s="1">
        <v>46146.625</v>
      </c>
      <c r="E86">
        <v>6530</v>
      </c>
      <c r="F86" t="s">
        <v>36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703</v>
      </c>
      <c r="O86">
        <v>0.05</v>
      </c>
      <c r="P86">
        <v>0</v>
      </c>
      <c r="Q86">
        <v>0</v>
      </c>
      <c r="R86">
        <v>0</v>
      </c>
      <c r="S86">
        <v>0</v>
      </c>
      <c r="T86">
        <v>5.5670999999999999</v>
      </c>
      <c r="U86">
        <v>-5.0000000000000001E-4</v>
      </c>
      <c r="V86">
        <v>0</v>
      </c>
      <c r="W86">
        <v>-2.5000000000000001E-2</v>
      </c>
      <c r="X86">
        <v>5.9999999999999995E-4</v>
      </c>
      <c r="Y86">
        <v>0</v>
      </c>
      <c r="Z86">
        <v>0</v>
      </c>
      <c r="AA86">
        <v>0</v>
      </c>
      <c r="AB86">
        <v>4</v>
      </c>
      <c r="AC86">
        <v>0.05</v>
      </c>
      <c r="AD86">
        <v>0</v>
      </c>
      <c r="AE86">
        <v>0</v>
      </c>
      <c r="AF86">
        <v>0</v>
      </c>
      <c r="AG86">
        <v>35</v>
      </c>
      <c r="AH86">
        <v>0</v>
      </c>
      <c r="AJ86" s="4">
        <v>4900</v>
      </c>
      <c r="AS86">
        <v>0.05</v>
      </c>
      <c r="AT86">
        <v>-1E-4</v>
      </c>
      <c r="BC86">
        <v>0.15</v>
      </c>
      <c r="BD86">
        <v>-5.0000000000000001E-4</v>
      </c>
      <c r="BE86">
        <v>0.2</v>
      </c>
      <c r="BF86">
        <v>-6.9999999999999999E-4</v>
      </c>
      <c r="BG86">
        <v>0.4</v>
      </c>
      <c r="BH86">
        <v>-1.2999999999999999E-3</v>
      </c>
    </row>
    <row r="87" spans="1:60" x14ac:dyDescent="0.35">
      <c r="A87" t="s">
        <v>34</v>
      </c>
      <c r="B87" s="1">
        <v>46146.65625</v>
      </c>
      <c r="C87" t="s">
        <v>34</v>
      </c>
      <c r="D87" s="1">
        <v>46146.625</v>
      </c>
      <c r="E87">
        <v>6540</v>
      </c>
      <c r="F87" t="s">
        <v>36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697</v>
      </c>
      <c r="O87">
        <v>0.05</v>
      </c>
      <c r="P87">
        <v>0</v>
      </c>
      <c r="Q87">
        <v>0</v>
      </c>
      <c r="R87">
        <v>0</v>
      </c>
      <c r="S87">
        <v>0</v>
      </c>
      <c r="T87">
        <v>5.4859999999999998</v>
      </c>
      <c r="U87">
        <v>-5.0000000000000001E-4</v>
      </c>
      <c r="V87">
        <v>0</v>
      </c>
      <c r="W87">
        <v>-2.5000000000000001E-2</v>
      </c>
      <c r="X87">
        <v>5.9999999999999995E-4</v>
      </c>
      <c r="Y87">
        <v>0</v>
      </c>
      <c r="Z87">
        <v>0</v>
      </c>
      <c r="AA87">
        <v>0</v>
      </c>
      <c r="AB87">
        <v>1</v>
      </c>
      <c r="AC87">
        <v>4.0999999999999996</v>
      </c>
      <c r="AD87">
        <v>0</v>
      </c>
      <c r="AE87">
        <v>0</v>
      </c>
      <c r="AF87">
        <v>0</v>
      </c>
      <c r="AG87">
        <v>178</v>
      </c>
      <c r="AH87">
        <v>0</v>
      </c>
      <c r="AJ87" s="4">
        <v>4925</v>
      </c>
      <c r="BC87">
        <v>0.2</v>
      </c>
      <c r="BD87">
        <v>-5.9999999999999995E-4</v>
      </c>
      <c r="BG87">
        <v>0.2</v>
      </c>
      <c r="BH87">
        <v>-5.9999999999999995E-4</v>
      </c>
    </row>
    <row r="88" spans="1:60" x14ac:dyDescent="0.35">
      <c r="A88" t="s">
        <v>34</v>
      </c>
      <c r="B88" s="1">
        <v>46146.65625</v>
      </c>
      <c r="C88" t="s">
        <v>34</v>
      </c>
      <c r="D88" s="1">
        <v>46146.625</v>
      </c>
      <c r="E88">
        <v>6550</v>
      </c>
      <c r="F88" t="s">
        <v>36</v>
      </c>
      <c r="G88">
        <v>0.03</v>
      </c>
      <c r="H88">
        <v>0.05</v>
      </c>
      <c r="I88">
        <v>0.03</v>
      </c>
      <c r="J88">
        <v>0.05</v>
      </c>
      <c r="K88">
        <v>9</v>
      </c>
      <c r="L88">
        <v>0</v>
      </c>
      <c r="M88">
        <v>0</v>
      </c>
      <c r="N88">
        <v>826</v>
      </c>
      <c r="O88">
        <v>0.05</v>
      </c>
      <c r="P88">
        <v>0</v>
      </c>
      <c r="Q88">
        <v>0</v>
      </c>
      <c r="R88">
        <v>0</v>
      </c>
      <c r="S88">
        <v>0</v>
      </c>
      <c r="T88">
        <v>5.4048999999999996</v>
      </c>
      <c r="U88">
        <v>-5.0000000000000001E-4</v>
      </c>
      <c r="V88">
        <v>0</v>
      </c>
      <c r="W88">
        <v>-2.5000000000000001E-2</v>
      </c>
      <c r="X88">
        <v>5.9999999999999995E-4</v>
      </c>
      <c r="Y88">
        <v>0</v>
      </c>
      <c r="Z88">
        <v>0</v>
      </c>
      <c r="AA88">
        <v>0</v>
      </c>
      <c r="AB88">
        <v>112</v>
      </c>
      <c r="AC88">
        <v>0.05</v>
      </c>
      <c r="AD88">
        <v>0</v>
      </c>
      <c r="AE88">
        <v>0</v>
      </c>
      <c r="AF88">
        <v>3.8899999999999997E-2</v>
      </c>
      <c r="AG88">
        <v>316</v>
      </c>
      <c r="AH88">
        <v>0</v>
      </c>
      <c r="AJ88" s="4">
        <v>4950</v>
      </c>
      <c r="AS88">
        <v>0.05</v>
      </c>
      <c r="AT88">
        <v>-2.0000000000000001E-4</v>
      </c>
      <c r="BC88">
        <v>0.2</v>
      </c>
      <c r="BD88">
        <v>-5.9999999999999995E-4</v>
      </c>
      <c r="BE88">
        <v>0.2</v>
      </c>
      <c r="BF88">
        <v>-6.9999999999999999E-4</v>
      </c>
      <c r="BG88">
        <v>0.45</v>
      </c>
      <c r="BH88">
        <v>-1.5E-3</v>
      </c>
    </row>
    <row r="89" spans="1:60" x14ac:dyDescent="0.35">
      <c r="A89" t="s">
        <v>34</v>
      </c>
      <c r="B89" s="1">
        <v>46146.65625</v>
      </c>
      <c r="C89" t="s">
        <v>34</v>
      </c>
      <c r="D89" s="1">
        <v>46146.625</v>
      </c>
      <c r="E89">
        <v>6560</v>
      </c>
      <c r="F89" t="s">
        <v>36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693</v>
      </c>
      <c r="O89">
        <v>0.05</v>
      </c>
      <c r="P89">
        <v>0</v>
      </c>
      <c r="Q89">
        <v>0</v>
      </c>
      <c r="R89">
        <v>0</v>
      </c>
      <c r="S89">
        <v>0</v>
      </c>
      <c r="T89">
        <v>5.3239000000000001</v>
      </c>
      <c r="U89">
        <v>-5.0000000000000001E-4</v>
      </c>
      <c r="V89">
        <v>0</v>
      </c>
      <c r="W89">
        <v>-2.5000000000000001E-2</v>
      </c>
      <c r="X89">
        <v>6.9999999999999999E-4</v>
      </c>
      <c r="Y89">
        <v>0</v>
      </c>
      <c r="Z89">
        <v>0</v>
      </c>
      <c r="AA89">
        <v>0</v>
      </c>
      <c r="AB89">
        <v>1</v>
      </c>
      <c r="AC89">
        <v>0.05</v>
      </c>
      <c r="AD89">
        <v>0</v>
      </c>
      <c r="AE89">
        <v>0</v>
      </c>
      <c r="AF89">
        <v>0</v>
      </c>
      <c r="AG89">
        <v>196</v>
      </c>
      <c r="AH89">
        <v>0</v>
      </c>
      <c r="AJ89" s="4">
        <v>4975</v>
      </c>
      <c r="BC89">
        <v>0.2</v>
      </c>
      <c r="BD89">
        <v>-5.9999999999999995E-4</v>
      </c>
      <c r="BG89">
        <v>0.2</v>
      </c>
      <c r="BH89">
        <v>-5.9999999999999995E-4</v>
      </c>
    </row>
    <row r="90" spans="1:60" x14ac:dyDescent="0.35">
      <c r="A90" t="s">
        <v>34</v>
      </c>
      <c r="B90" s="1">
        <v>46146.65625</v>
      </c>
      <c r="C90" t="s">
        <v>34</v>
      </c>
      <c r="D90" s="1">
        <v>46146.625</v>
      </c>
      <c r="E90">
        <v>6570</v>
      </c>
      <c r="F90" t="s">
        <v>36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697</v>
      </c>
      <c r="O90">
        <v>0.05</v>
      </c>
      <c r="P90">
        <v>0</v>
      </c>
      <c r="Q90">
        <v>0</v>
      </c>
      <c r="R90">
        <v>0</v>
      </c>
      <c r="S90">
        <v>0</v>
      </c>
      <c r="T90">
        <v>5.2428999999999997</v>
      </c>
      <c r="U90">
        <v>-5.0000000000000001E-4</v>
      </c>
      <c r="V90">
        <v>0</v>
      </c>
      <c r="W90">
        <v>-2.5000000000000001E-2</v>
      </c>
      <c r="X90">
        <v>6.9999999999999999E-4</v>
      </c>
      <c r="Y90">
        <v>0</v>
      </c>
      <c r="Z90">
        <v>0</v>
      </c>
      <c r="AA90">
        <v>0</v>
      </c>
      <c r="AB90">
        <v>1</v>
      </c>
      <c r="AC90">
        <v>4.0999999999999996</v>
      </c>
      <c r="AD90">
        <v>0</v>
      </c>
      <c r="AE90">
        <v>0</v>
      </c>
      <c r="AF90">
        <v>0</v>
      </c>
      <c r="AG90">
        <v>86</v>
      </c>
      <c r="AH90">
        <v>0</v>
      </c>
      <c r="AJ90" s="4">
        <v>5000</v>
      </c>
      <c r="AK90">
        <v>0.05</v>
      </c>
      <c r="AL90">
        <v>0</v>
      </c>
      <c r="AM90">
        <v>0.05</v>
      </c>
      <c r="AN90">
        <v>-2.0000000000000001E-4</v>
      </c>
      <c r="AO90">
        <v>0.05</v>
      </c>
      <c r="AP90">
        <v>-2.0000000000000001E-4</v>
      </c>
      <c r="AQ90">
        <v>0.05</v>
      </c>
      <c r="AR90">
        <v>-2.0000000000000001E-4</v>
      </c>
      <c r="AS90">
        <v>0.05</v>
      </c>
      <c r="AT90">
        <v>-2.0000000000000001E-4</v>
      </c>
      <c r="AU90">
        <v>0.05</v>
      </c>
      <c r="AV90">
        <v>-2.0000000000000001E-4</v>
      </c>
      <c r="AW90">
        <v>0.1</v>
      </c>
      <c r="AX90">
        <v>-2.9999999999999997E-4</v>
      </c>
      <c r="AY90">
        <v>0.1</v>
      </c>
      <c r="AZ90">
        <v>-4.0000000000000002E-4</v>
      </c>
      <c r="BA90">
        <v>0.15</v>
      </c>
      <c r="BB90">
        <v>-5.9999999999999995E-4</v>
      </c>
      <c r="BC90">
        <v>0.15</v>
      </c>
      <c r="BD90">
        <v>-5.9999999999999995E-4</v>
      </c>
      <c r="BE90">
        <v>0.2</v>
      </c>
      <c r="BF90">
        <v>-6.9999999999999999E-4</v>
      </c>
      <c r="BG90">
        <v>1</v>
      </c>
      <c r="BH90">
        <v>-3.5999999999999999E-3</v>
      </c>
    </row>
    <row r="91" spans="1:60" x14ac:dyDescent="0.35">
      <c r="A91" t="s">
        <v>34</v>
      </c>
      <c r="B91" s="1">
        <v>46146.65625</v>
      </c>
      <c r="C91" t="s">
        <v>34</v>
      </c>
      <c r="D91" s="1">
        <v>46146.625</v>
      </c>
      <c r="E91">
        <v>6575</v>
      </c>
      <c r="F91" t="s">
        <v>36</v>
      </c>
      <c r="G91">
        <v>0.03</v>
      </c>
      <c r="H91">
        <v>0.03</v>
      </c>
      <c r="I91">
        <v>0.03</v>
      </c>
      <c r="J91">
        <v>0.03</v>
      </c>
      <c r="K91">
        <v>1</v>
      </c>
      <c r="L91">
        <v>0</v>
      </c>
      <c r="M91">
        <v>0</v>
      </c>
      <c r="N91">
        <v>825</v>
      </c>
      <c r="O91">
        <v>0.05</v>
      </c>
      <c r="P91">
        <v>0</v>
      </c>
      <c r="Q91">
        <v>0</v>
      </c>
      <c r="R91">
        <v>0</v>
      </c>
      <c r="S91">
        <v>0</v>
      </c>
      <c r="T91">
        <v>5.2023999999999999</v>
      </c>
      <c r="U91">
        <v>-5.0000000000000001E-4</v>
      </c>
      <c r="V91">
        <v>0</v>
      </c>
      <c r="W91">
        <v>-2.5000000000000001E-2</v>
      </c>
      <c r="X91">
        <v>6.9999999999999999E-4</v>
      </c>
      <c r="Y91">
        <v>0</v>
      </c>
      <c r="Z91">
        <v>0</v>
      </c>
      <c r="AA91">
        <v>0</v>
      </c>
      <c r="AB91">
        <v>109</v>
      </c>
      <c r="AC91">
        <v>0.05</v>
      </c>
      <c r="AD91">
        <v>0</v>
      </c>
      <c r="AE91">
        <v>0</v>
      </c>
      <c r="AF91">
        <v>0.03</v>
      </c>
      <c r="AG91">
        <v>131</v>
      </c>
      <c r="AH91">
        <v>0</v>
      </c>
      <c r="AJ91" s="4">
        <v>5025</v>
      </c>
      <c r="BC91">
        <v>0.25</v>
      </c>
      <c r="BD91">
        <v>-8.0000000000000004E-4</v>
      </c>
      <c r="BG91">
        <v>0.25</v>
      </c>
      <c r="BH91">
        <v>-8.0000000000000004E-4</v>
      </c>
    </row>
    <row r="92" spans="1:60" x14ac:dyDescent="0.35">
      <c r="A92" t="s">
        <v>34</v>
      </c>
      <c r="B92" s="1">
        <v>46146.65625</v>
      </c>
      <c r="C92" t="s">
        <v>34</v>
      </c>
      <c r="D92" s="1">
        <v>46146.625</v>
      </c>
      <c r="E92">
        <v>6580</v>
      </c>
      <c r="F92" t="s">
        <v>36</v>
      </c>
      <c r="G92">
        <v>0.02</v>
      </c>
      <c r="H92">
        <v>0.02</v>
      </c>
      <c r="I92">
        <v>0.02</v>
      </c>
      <c r="J92">
        <v>0.02</v>
      </c>
      <c r="K92">
        <v>2</v>
      </c>
      <c r="L92">
        <v>0</v>
      </c>
      <c r="M92">
        <v>0</v>
      </c>
      <c r="N92">
        <v>696</v>
      </c>
      <c r="O92">
        <v>0.05</v>
      </c>
      <c r="P92">
        <v>0</v>
      </c>
      <c r="Q92">
        <v>0</v>
      </c>
      <c r="R92">
        <v>0</v>
      </c>
      <c r="S92">
        <v>0</v>
      </c>
      <c r="T92">
        <v>5.1619999999999999</v>
      </c>
      <c r="U92">
        <v>-5.0000000000000001E-4</v>
      </c>
      <c r="V92">
        <v>0</v>
      </c>
      <c r="W92">
        <v>-2.5000000000000001E-2</v>
      </c>
      <c r="X92">
        <v>6.9999999999999999E-4</v>
      </c>
      <c r="Y92">
        <v>0</v>
      </c>
      <c r="Z92">
        <v>0</v>
      </c>
      <c r="AA92">
        <v>0</v>
      </c>
      <c r="AB92">
        <v>1</v>
      </c>
      <c r="AC92">
        <v>4.0999999999999996</v>
      </c>
      <c r="AD92">
        <v>0</v>
      </c>
      <c r="AE92">
        <v>0</v>
      </c>
      <c r="AF92">
        <v>0.02</v>
      </c>
      <c r="AG92">
        <v>290</v>
      </c>
      <c r="AH92">
        <v>0</v>
      </c>
      <c r="AJ92" s="4">
        <v>5050</v>
      </c>
      <c r="AS92">
        <v>0.05</v>
      </c>
      <c r="AT92">
        <v>-2.0000000000000001E-4</v>
      </c>
      <c r="BC92">
        <v>0.25</v>
      </c>
      <c r="BD92">
        <v>-8.0000000000000004E-4</v>
      </c>
      <c r="BE92">
        <v>0.2</v>
      </c>
      <c r="BF92">
        <v>-6.9999999999999999E-4</v>
      </c>
      <c r="BG92">
        <v>0.5</v>
      </c>
      <c r="BH92">
        <v>-1.7000000000000001E-3</v>
      </c>
    </row>
    <row r="93" spans="1:60" x14ac:dyDescent="0.35">
      <c r="A93" t="s">
        <v>34</v>
      </c>
      <c r="B93" s="1">
        <v>46146.65625</v>
      </c>
      <c r="C93" t="s">
        <v>34</v>
      </c>
      <c r="D93" s="1">
        <v>46146.625</v>
      </c>
      <c r="E93">
        <v>6590</v>
      </c>
      <c r="F93" t="s">
        <v>36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695</v>
      </c>
      <c r="O93">
        <v>0.05</v>
      </c>
      <c r="P93">
        <v>0</v>
      </c>
      <c r="Q93">
        <v>0</v>
      </c>
      <c r="R93">
        <v>0</v>
      </c>
      <c r="S93">
        <v>0</v>
      </c>
      <c r="T93">
        <v>5.0701000000000001</v>
      </c>
      <c r="U93">
        <v>-5.0000000000000001E-4</v>
      </c>
      <c r="V93">
        <v>0</v>
      </c>
      <c r="W93">
        <v>-2.5000000000000001E-2</v>
      </c>
      <c r="X93">
        <v>6.9999999999999999E-4</v>
      </c>
      <c r="Y93">
        <v>0</v>
      </c>
      <c r="Z93">
        <v>0</v>
      </c>
      <c r="AA93">
        <v>0</v>
      </c>
      <c r="AB93">
        <v>1</v>
      </c>
      <c r="AC93">
        <v>4.0999999999999996</v>
      </c>
      <c r="AD93">
        <v>0</v>
      </c>
      <c r="AE93">
        <v>0</v>
      </c>
      <c r="AF93">
        <v>0</v>
      </c>
      <c r="AG93">
        <v>333</v>
      </c>
      <c r="AH93">
        <v>0</v>
      </c>
      <c r="AJ93" s="4">
        <v>5075</v>
      </c>
      <c r="BC93">
        <v>0.25</v>
      </c>
      <c r="BD93">
        <v>-8.0000000000000004E-4</v>
      </c>
      <c r="BG93">
        <v>0.25</v>
      </c>
      <c r="BH93">
        <v>-8.0000000000000004E-4</v>
      </c>
    </row>
    <row r="94" spans="1:60" x14ac:dyDescent="0.35">
      <c r="A94" t="s">
        <v>34</v>
      </c>
      <c r="B94" s="1">
        <v>46146.65625</v>
      </c>
      <c r="C94" t="s">
        <v>34</v>
      </c>
      <c r="D94" s="1">
        <v>46146.625</v>
      </c>
      <c r="E94">
        <v>6600</v>
      </c>
      <c r="F94" t="s">
        <v>36</v>
      </c>
      <c r="G94">
        <v>0.05</v>
      </c>
      <c r="H94">
        <v>0.05</v>
      </c>
      <c r="I94">
        <v>0.03</v>
      </c>
      <c r="J94">
        <v>0.05</v>
      </c>
      <c r="K94">
        <v>1125</v>
      </c>
      <c r="L94">
        <v>0</v>
      </c>
      <c r="M94">
        <v>0</v>
      </c>
      <c r="N94">
        <v>1225</v>
      </c>
      <c r="O94">
        <v>0.05</v>
      </c>
      <c r="P94">
        <v>0</v>
      </c>
      <c r="Q94">
        <v>0</v>
      </c>
      <c r="R94">
        <v>0</v>
      </c>
      <c r="S94">
        <v>0</v>
      </c>
      <c r="T94">
        <v>4.9893999999999998</v>
      </c>
      <c r="U94">
        <v>-5.0000000000000001E-4</v>
      </c>
      <c r="V94">
        <v>0</v>
      </c>
      <c r="W94">
        <v>-2.5000000000000001E-2</v>
      </c>
      <c r="X94">
        <v>6.9999999999999999E-4</v>
      </c>
      <c r="Y94">
        <v>0</v>
      </c>
      <c r="Z94">
        <v>0</v>
      </c>
      <c r="AA94">
        <v>0</v>
      </c>
      <c r="AB94">
        <v>513</v>
      </c>
      <c r="AC94">
        <v>0.05</v>
      </c>
      <c r="AD94">
        <v>0</v>
      </c>
      <c r="AE94">
        <v>0</v>
      </c>
      <c r="AF94">
        <v>3.73E-2</v>
      </c>
      <c r="AG94">
        <v>1517</v>
      </c>
      <c r="AH94">
        <v>0</v>
      </c>
      <c r="AJ94" s="4">
        <v>5100</v>
      </c>
      <c r="AK94">
        <v>0.05</v>
      </c>
      <c r="AL94">
        <v>0</v>
      </c>
      <c r="AO94">
        <v>0.05</v>
      </c>
      <c r="AP94">
        <v>-2.0000000000000001E-4</v>
      </c>
      <c r="AQ94">
        <v>0.05</v>
      </c>
      <c r="AR94">
        <v>-2.0000000000000001E-4</v>
      </c>
      <c r="AS94">
        <v>0.05</v>
      </c>
      <c r="AT94">
        <v>-2.0000000000000001E-4</v>
      </c>
      <c r="BC94">
        <v>0.25</v>
      </c>
      <c r="BD94">
        <v>-8.0000000000000004E-4</v>
      </c>
      <c r="BE94">
        <v>0.2</v>
      </c>
      <c r="BF94">
        <v>-6.9999999999999999E-4</v>
      </c>
      <c r="BG94">
        <v>0.65</v>
      </c>
      <c r="BH94">
        <v>-2.1000000000000003E-3</v>
      </c>
    </row>
    <row r="95" spans="1:60" x14ac:dyDescent="0.35">
      <c r="A95" t="s">
        <v>34</v>
      </c>
      <c r="B95" s="1">
        <v>46146.65625</v>
      </c>
      <c r="C95" t="s">
        <v>34</v>
      </c>
      <c r="D95" s="1">
        <v>46146.625</v>
      </c>
      <c r="E95">
        <v>6610</v>
      </c>
      <c r="F95" t="s">
        <v>36</v>
      </c>
      <c r="G95">
        <v>0.05</v>
      </c>
      <c r="H95">
        <v>0.05</v>
      </c>
      <c r="I95">
        <v>0.05</v>
      </c>
      <c r="J95">
        <v>0.05</v>
      </c>
      <c r="K95">
        <v>6</v>
      </c>
      <c r="L95">
        <v>0</v>
      </c>
      <c r="M95">
        <v>0</v>
      </c>
      <c r="N95">
        <v>690</v>
      </c>
      <c r="O95">
        <v>0.05</v>
      </c>
      <c r="P95">
        <v>0</v>
      </c>
      <c r="Q95">
        <v>0</v>
      </c>
      <c r="R95">
        <v>0</v>
      </c>
      <c r="S95">
        <v>0</v>
      </c>
      <c r="T95">
        <v>4.9088000000000003</v>
      </c>
      <c r="U95">
        <v>-5.0000000000000001E-4</v>
      </c>
      <c r="V95">
        <v>0</v>
      </c>
      <c r="W95">
        <v>-2.5000000000000001E-2</v>
      </c>
      <c r="X95">
        <v>6.9999999999999999E-4</v>
      </c>
      <c r="Y95">
        <v>0</v>
      </c>
      <c r="Z95">
        <v>0</v>
      </c>
      <c r="AA95">
        <v>0</v>
      </c>
      <c r="AB95">
        <v>1</v>
      </c>
      <c r="AC95">
        <v>4.0999999999999996</v>
      </c>
      <c r="AD95">
        <v>0</v>
      </c>
      <c r="AE95">
        <v>0</v>
      </c>
      <c r="AF95">
        <v>0.05</v>
      </c>
      <c r="AG95">
        <v>81</v>
      </c>
      <c r="AH95">
        <v>0</v>
      </c>
      <c r="AJ95" s="4">
        <v>5125</v>
      </c>
      <c r="BC95">
        <v>0.25</v>
      </c>
      <c r="BD95">
        <v>-8.9999999999999998E-4</v>
      </c>
      <c r="BE95">
        <v>0.25</v>
      </c>
      <c r="BF95">
        <v>-1E-3</v>
      </c>
      <c r="BG95">
        <v>0.5</v>
      </c>
      <c r="BH95">
        <v>-1.9E-3</v>
      </c>
    </row>
    <row r="96" spans="1:60" x14ac:dyDescent="0.35">
      <c r="A96" t="s">
        <v>34</v>
      </c>
      <c r="B96" s="1">
        <v>46146.65625</v>
      </c>
      <c r="C96" t="s">
        <v>34</v>
      </c>
      <c r="D96" s="1">
        <v>46146.625</v>
      </c>
      <c r="E96">
        <v>6620</v>
      </c>
      <c r="F96" t="s">
        <v>36</v>
      </c>
      <c r="G96">
        <v>0.03</v>
      </c>
      <c r="H96">
        <v>0.05</v>
      </c>
      <c r="I96">
        <v>0.03</v>
      </c>
      <c r="J96">
        <v>0.05</v>
      </c>
      <c r="K96">
        <v>52</v>
      </c>
      <c r="L96">
        <v>0</v>
      </c>
      <c r="M96">
        <v>0</v>
      </c>
      <c r="N96">
        <v>793</v>
      </c>
      <c r="O96">
        <v>0.05</v>
      </c>
      <c r="P96">
        <v>0</v>
      </c>
      <c r="Q96">
        <v>0</v>
      </c>
      <c r="R96">
        <v>0</v>
      </c>
      <c r="S96">
        <v>0</v>
      </c>
      <c r="T96">
        <v>4.8281999999999998</v>
      </c>
      <c r="U96">
        <v>-5.9999999999999995E-4</v>
      </c>
      <c r="V96">
        <v>0</v>
      </c>
      <c r="W96">
        <v>-2.5000000000000001E-2</v>
      </c>
      <c r="X96">
        <v>6.9999999999999999E-4</v>
      </c>
      <c r="Y96">
        <v>0</v>
      </c>
      <c r="Z96">
        <v>0</v>
      </c>
      <c r="AA96">
        <v>0</v>
      </c>
      <c r="AB96">
        <v>84</v>
      </c>
      <c r="AC96">
        <v>0.05</v>
      </c>
      <c r="AD96">
        <v>0</v>
      </c>
      <c r="AE96">
        <v>0</v>
      </c>
      <c r="AF96">
        <v>4.9599999999999998E-2</v>
      </c>
      <c r="AG96">
        <v>121</v>
      </c>
      <c r="AH96">
        <v>0</v>
      </c>
      <c r="AJ96" s="4">
        <v>5150</v>
      </c>
      <c r="AS96">
        <v>0.05</v>
      </c>
      <c r="AT96">
        <v>-2.0000000000000001E-4</v>
      </c>
      <c r="BC96">
        <v>0.25</v>
      </c>
      <c r="BD96">
        <v>-8.9999999999999998E-4</v>
      </c>
      <c r="BE96">
        <v>0.25</v>
      </c>
      <c r="BF96">
        <v>-1E-3</v>
      </c>
      <c r="BG96">
        <v>0.55000000000000004</v>
      </c>
      <c r="BH96">
        <v>-2.1000000000000003E-3</v>
      </c>
    </row>
    <row r="97" spans="1:60" x14ac:dyDescent="0.35">
      <c r="A97" t="s">
        <v>34</v>
      </c>
      <c r="B97" s="1">
        <v>46146.65625</v>
      </c>
      <c r="C97" t="s">
        <v>34</v>
      </c>
      <c r="D97" s="1">
        <v>46146.625</v>
      </c>
      <c r="E97">
        <v>6625</v>
      </c>
      <c r="F97" t="s">
        <v>36</v>
      </c>
      <c r="G97">
        <v>0.05</v>
      </c>
      <c r="H97">
        <v>0.05</v>
      </c>
      <c r="I97">
        <v>0.05</v>
      </c>
      <c r="J97">
        <v>0.05</v>
      </c>
      <c r="K97">
        <v>45</v>
      </c>
      <c r="L97">
        <v>0</v>
      </c>
      <c r="M97">
        <v>0</v>
      </c>
      <c r="N97">
        <v>809</v>
      </c>
      <c r="O97">
        <v>0.05</v>
      </c>
      <c r="P97">
        <v>0</v>
      </c>
      <c r="Q97">
        <v>0</v>
      </c>
      <c r="R97">
        <v>0</v>
      </c>
      <c r="S97">
        <v>0</v>
      </c>
      <c r="T97">
        <v>4.7878999999999996</v>
      </c>
      <c r="U97">
        <v>-5.9999999999999995E-4</v>
      </c>
      <c r="V97">
        <v>0</v>
      </c>
      <c r="W97">
        <v>-2.5000000000000001E-2</v>
      </c>
      <c r="X97">
        <v>6.9999999999999999E-4</v>
      </c>
      <c r="Y97">
        <v>0</v>
      </c>
      <c r="Z97">
        <v>0</v>
      </c>
      <c r="AA97">
        <v>0</v>
      </c>
      <c r="AB97">
        <v>105</v>
      </c>
      <c r="AC97">
        <v>0.05</v>
      </c>
      <c r="AD97">
        <v>0</v>
      </c>
      <c r="AE97">
        <v>0</v>
      </c>
      <c r="AF97">
        <v>0.05</v>
      </c>
      <c r="AG97">
        <v>229</v>
      </c>
      <c r="AH97">
        <v>0</v>
      </c>
      <c r="AJ97" s="4">
        <v>5175</v>
      </c>
      <c r="BC97">
        <v>0.25</v>
      </c>
      <c r="BD97">
        <v>-8.9999999999999998E-4</v>
      </c>
      <c r="BE97">
        <v>0.25</v>
      </c>
      <c r="BF97">
        <v>-1E-3</v>
      </c>
      <c r="BG97">
        <v>0.5</v>
      </c>
      <c r="BH97">
        <v>-1.9E-3</v>
      </c>
    </row>
    <row r="98" spans="1:60" x14ac:dyDescent="0.35">
      <c r="A98" t="s">
        <v>34</v>
      </c>
      <c r="B98" s="1">
        <v>46146.65625</v>
      </c>
      <c r="C98" t="s">
        <v>34</v>
      </c>
      <c r="D98" s="1">
        <v>46146.625</v>
      </c>
      <c r="E98">
        <v>6630</v>
      </c>
      <c r="F98" t="s">
        <v>36</v>
      </c>
      <c r="G98">
        <v>0.05</v>
      </c>
      <c r="H98">
        <v>0.05</v>
      </c>
      <c r="I98">
        <v>0.05</v>
      </c>
      <c r="J98">
        <v>0.05</v>
      </c>
      <c r="K98">
        <v>8</v>
      </c>
      <c r="L98">
        <v>0</v>
      </c>
      <c r="M98">
        <v>0</v>
      </c>
      <c r="N98">
        <v>682</v>
      </c>
      <c r="O98">
        <v>0.05</v>
      </c>
      <c r="P98">
        <v>0</v>
      </c>
      <c r="Q98">
        <v>0</v>
      </c>
      <c r="R98">
        <v>0</v>
      </c>
      <c r="S98">
        <v>0</v>
      </c>
      <c r="T98">
        <v>4.7476000000000003</v>
      </c>
      <c r="U98">
        <v>-5.9999999999999995E-4</v>
      </c>
      <c r="V98">
        <v>0</v>
      </c>
      <c r="W98">
        <v>-2.5000000000000001E-2</v>
      </c>
      <c r="X98">
        <v>6.9999999999999999E-4</v>
      </c>
      <c r="Y98">
        <v>0</v>
      </c>
      <c r="Z98">
        <v>0</v>
      </c>
      <c r="AA98">
        <v>0</v>
      </c>
      <c r="AB98">
        <v>1</v>
      </c>
      <c r="AC98">
        <v>4.0999999999999996</v>
      </c>
      <c r="AD98">
        <v>0</v>
      </c>
      <c r="AE98">
        <v>0</v>
      </c>
      <c r="AF98">
        <v>0.05</v>
      </c>
      <c r="AG98">
        <v>131</v>
      </c>
      <c r="AH98">
        <v>0</v>
      </c>
      <c r="AJ98" s="4">
        <v>5200</v>
      </c>
      <c r="AK98">
        <v>0.05</v>
      </c>
      <c r="AL98">
        <v>0</v>
      </c>
      <c r="AM98">
        <v>0.05</v>
      </c>
      <c r="AN98">
        <v>-2.0000000000000001E-4</v>
      </c>
      <c r="AO98">
        <v>0.05</v>
      </c>
      <c r="AP98">
        <v>-2.0000000000000001E-4</v>
      </c>
      <c r="AQ98">
        <v>0.05</v>
      </c>
      <c r="AR98">
        <v>-2.0000000000000001E-4</v>
      </c>
      <c r="AS98">
        <v>0.05</v>
      </c>
      <c r="AT98">
        <v>-2.0000000000000001E-4</v>
      </c>
      <c r="AU98">
        <v>0.1</v>
      </c>
      <c r="AV98">
        <v>-4.0000000000000002E-4</v>
      </c>
      <c r="AW98">
        <v>0.15</v>
      </c>
      <c r="AX98">
        <v>-5.9999999999999995E-4</v>
      </c>
      <c r="AY98">
        <v>0.15</v>
      </c>
      <c r="AZ98">
        <v>-5.9999999999999995E-4</v>
      </c>
      <c r="BA98">
        <v>0.25</v>
      </c>
      <c r="BB98">
        <v>-8.9999999999999998E-4</v>
      </c>
      <c r="BC98">
        <v>0.25</v>
      </c>
      <c r="BD98">
        <v>-8.9999999999999998E-4</v>
      </c>
      <c r="BE98">
        <v>0.25</v>
      </c>
      <c r="BF98">
        <v>-1E-3</v>
      </c>
      <c r="BG98">
        <v>1.4</v>
      </c>
      <c r="BH98">
        <v>-5.1999999999999998E-3</v>
      </c>
    </row>
    <row r="99" spans="1:60" x14ac:dyDescent="0.35">
      <c r="A99" t="s">
        <v>34</v>
      </c>
      <c r="B99" s="1">
        <v>46146.65625</v>
      </c>
      <c r="C99" t="s">
        <v>34</v>
      </c>
      <c r="D99" s="1">
        <v>46146.625</v>
      </c>
      <c r="E99">
        <v>6640</v>
      </c>
      <c r="F99" t="s">
        <v>36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681</v>
      </c>
      <c r="O99">
        <v>0.05</v>
      </c>
      <c r="P99">
        <v>0</v>
      </c>
      <c r="Q99">
        <v>0</v>
      </c>
      <c r="R99">
        <v>0</v>
      </c>
      <c r="S99">
        <v>0</v>
      </c>
      <c r="T99">
        <v>4.6670999999999996</v>
      </c>
      <c r="U99">
        <v>-5.9999999999999995E-4</v>
      </c>
      <c r="V99">
        <v>0</v>
      </c>
      <c r="W99">
        <v>-2.5000000000000001E-2</v>
      </c>
      <c r="X99">
        <v>6.9999999999999999E-4</v>
      </c>
      <c r="Y99">
        <v>0</v>
      </c>
      <c r="Z99">
        <v>0</v>
      </c>
      <c r="AA99">
        <v>0</v>
      </c>
      <c r="AB99">
        <v>1</v>
      </c>
      <c r="AC99">
        <v>4.0999999999999996</v>
      </c>
      <c r="AD99">
        <v>0</v>
      </c>
      <c r="AE99">
        <v>0</v>
      </c>
      <c r="AF99">
        <v>0</v>
      </c>
      <c r="AG99">
        <v>98</v>
      </c>
      <c r="AH99">
        <v>0</v>
      </c>
      <c r="AJ99" s="4">
        <v>5225</v>
      </c>
      <c r="BC99">
        <v>0.3</v>
      </c>
      <c r="BD99">
        <v>-1.1000000000000001E-3</v>
      </c>
      <c r="BE99">
        <v>0.3</v>
      </c>
      <c r="BF99">
        <v>-1.1000000000000001E-3</v>
      </c>
      <c r="BG99">
        <v>0.6</v>
      </c>
      <c r="BH99">
        <v>-2.2000000000000001E-3</v>
      </c>
    </row>
    <row r="100" spans="1:60" x14ac:dyDescent="0.35">
      <c r="A100" t="s">
        <v>34</v>
      </c>
      <c r="B100" s="1">
        <v>46146.65625</v>
      </c>
      <c r="C100" t="s">
        <v>34</v>
      </c>
      <c r="D100" s="1">
        <v>46146.625</v>
      </c>
      <c r="E100">
        <v>6650</v>
      </c>
      <c r="F100" t="s">
        <v>36</v>
      </c>
      <c r="G100">
        <v>0.03</v>
      </c>
      <c r="H100">
        <v>0.05</v>
      </c>
      <c r="I100">
        <v>0.03</v>
      </c>
      <c r="J100">
        <v>0.05</v>
      </c>
      <c r="K100">
        <v>11</v>
      </c>
      <c r="L100">
        <v>0</v>
      </c>
      <c r="M100">
        <v>0</v>
      </c>
      <c r="N100">
        <v>812</v>
      </c>
      <c r="O100">
        <v>0.05</v>
      </c>
      <c r="P100">
        <v>0</v>
      </c>
      <c r="Q100">
        <v>0</v>
      </c>
      <c r="R100">
        <v>0</v>
      </c>
      <c r="S100">
        <v>0</v>
      </c>
      <c r="T100">
        <v>4.5964999999999998</v>
      </c>
      <c r="U100">
        <v>-5.9999999999999995E-4</v>
      </c>
      <c r="V100">
        <v>0</v>
      </c>
      <c r="W100">
        <v>-2.5000000000000001E-2</v>
      </c>
      <c r="X100">
        <v>6.9999999999999999E-4</v>
      </c>
      <c r="Y100">
        <v>0</v>
      </c>
      <c r="Z100">
        <v>0</v>
      </c>
      <c r="AA100">
        <v>0</v>
      </c>
      <c r="AB100">
        <v>112</v>
      </c>
      <c r="AC100">
        <v>0.05</v>
      </c>
      <c r="AD100">
        <v>0</v>
      </c>
      <c r="AE100">
        <v>0</v>
      </c>
      <c r="AF100">
        <v>4.0899999999999999E-2</v>
      </c>
      <c r="AG100">
        <v>634</v>
      </c>
      <c r="AH100">
        <v>0</v>
      </c>
      <c r="AJ100" s="4">
        <v>5230</v>
      </c>
      <c r="BC100">
        <v>0.3</v>
      </c>
      <c r="BD100">
        <v>-1.1000000000000001E-3</v>
      </c>
      <c r="BG100">
        <v>0.3</v>
      </c>
      <c r="BH100">
        <v>-1.1000000000000001E-3</v>
      </c>
    </row>
    <row r="101" spans="1:60" x14ac:dyDescent="0.35">
      <c r="A101" t="s">
        <v>34</v>
      </c>
      <c r="B101" s="1">
        <v>46146.65625</v>
      </c>
      <c r="C101" t="s">
        <v>34</v>
      </c>
      <c r="D101" s="1">
        <v>46146.625</v>
      </c>
      <c r="E101">
        <v>6660</v>
      </c>
      <c r="F101" t="s">
        <v>36</v>
      </c>
      <c r="G101">
        <v>0.03</v>
      </c>
      <c r="H101">
        <v>0.03</v>
      </c>
      <c r="I101">
        <v>0.03</v>
      </c>
      <c r="J101">
        <v>0.03</v>
      </c>
      <c r="K101">
        <v>2</v>
      </c>
      <c r="L101">
        <v>0</v>
      </c>
      <c r="M101">
        <v>0</v>
      </c>
      <c r="N101">
        <v>676</v>
      </c>
      <c r="O101">
        <v>0.05</v>
      </c>
      <c r="P101">
        <v>0</v>
      </c>
      <c r="Q101">
        <v>0</v>
      </c>
      <c r="R101">
        <v>0</v>
      </c>
      <c r="S101">
        <v>0</v>
      </c>
      <c r="T101">
        <v>4.5061</v>
      </c>
      <c r="U101">
        <v>-5.9999999999999995E-4</v>
      </c>
      <c r="V101">
        <v>0</v>
      </c>
      <c r="W101">
        <v>-2.5000000000000001E-2</v>
      </c>
      <c r="X101">
        <v>8.0000000000000004E-4</v>
      </c>
      <c r="Y101">
        <v>0</v>
      </c>
      <c r="Z101">
        <v>0</v>
      </c>
      <c r="AA101">
        <v>0</v>
      </c>
      <c r="AB101">
        <v>1</v>
      </c>
      <c r="AC101">
        <v>4.0999999999999996</v>
      </c>
      <c r="AD101">
        <v>0</v>
      </c>
      <c r="AE101">
        <v>0</v>
      </c>
      <c r="AF101">
        <v>0.03</v>
      </c>
      <c r="AG101">
        <v>268</v>
      </c>
      <c r="AH101">
        <v>0</v>
      </c>
      <c r="AJ101" s="4">
        <v>5240</v>
      </c>
      <c r="BC101">
        <v>0.3</v>
      </c>
      <c r="BD101">
        <v>-1.1000000000000001E-3</v>
      </c>
      <c r="BG101">
        <v>0.3</v>
      </c>
      <c r="BH101">
        <v>-1.1000000000000001E-3</v>
      </c>
    </row>
    <row r="102" spans="1:60" x14ac:dyDescent="0.35">
      <c r="A102" t="s">
        <v>34</v>
      </c>
      <c r="B102" s="1">
        <v>46146.65625</v>
      </c>
      <c r="C102" t="s">
        <v>34</v>
      </c>
      <c r="D102" s="1">
        <v>46146.625</v>
      </c>
      <c r="E102">
        <v>6670</v>
      </c>
      <c r="F102" t="s">
        <v>36</v>
      </c>
      <c r="G102">
        <v>0.05</v>
      </c>
      <c r="H102">
        <v>0.05</v>
      </c>
      <c r="I102">
        <v>0.05</v>
      </c>
      <c r="J102">
        <v>0.05</v>
      </c>
      <c r="K102">
        <v>14</v>
      </c>
      <c r="L102">
        <v>0</v>
      </c>
      <c r="M102">
        <v>0</v>
      </c>
      <c r="N102">
        <v>672</v>
      </c>
      <c r="O102">
        <v>0.05</v>
      </c>
      <c r="P102">
        <v>0</v>
      </c>
      <c r="Q102">
        <v>0</v>
      </c>
      <c r="R102">
        <v>0</v>
      </c>
      <c r="S102">
        <v>0</v>
      </c>
      <c r="T102">
        <v>4.4257</v>
      </c>
      <c r="U102">
        <v>-5.9999999999999995E-4</v>
      </c>
      <c r="V102">
        <v>0</v>
      </c>
      <c r="W102">
        <v>-2.5000000000000001E-2</v>
      </c>
      <c r="X102">
        <v>8.0000000000000004E-4</v>
      </c>
      <c r="Y102">
        <v>0</v>
      </c>
      <c r="Z102">
        <v>0</v>
      </c>
      <c r="AA102">
        <v>0</v>
      </c>
      <c r="AB102">
        <v>1</v>
      </c>
      <c r="AC102">
        <v>4.0999999999999996</v>
      </c>
      <c r="AD102">
        <v>0</v>
      </c>
      <c r="AE102">
        <v>0</v>
      </c>
      <c r="AF102">
        <v>0.05</v>
      </c>
      <c r="AG102">
        <v>121</v>
      </c>
      <c r="AH102">
        <v>0</v>
      </c>
      <c r="AJ102" s="4">
        <v>5250</v>
      </c>
      <c r="AS102">
        <v>0.05</v>
      </c>
      <c r="AT102">
        <v>-2.0000000000000001E-4</v>
      </c>
      <c r="BC102">
        <v>0.3</v>
      </c>
      <c r="BD102">
        <v>-1.1000000000000001E-3</v>
      </c>
      <c r="BE102">
        <v>0.3</v>
      </c>
      <c r="BF102">
        <v>-1.1999999999999999E-3</v>
      </c>
      <c r="BG102">
        <v>0.64999999999999991</v>
      </c>
      <c r="BH102">
        <v>-2.5000000000000001E-3</v>
      </c>
    </row>
    <row r="103" spans="1:60" x14ac:dyDescent="0.35">
      <c r="A103" t="s">
        <v>34</v>
      </c>
      <c r="B103" s="1">
        <v>46146.65625</v>
      </c>
      <c r="C103" t="s">
        <v>34</v>
      </c>
      <c r="D103" s="1">
        <v>46146.625</v>
      </c>
      <c r="E103">
        <v>6675</v>
      </c>
      <c r="F103" t="s">
        <v>36</v>
      </c>
      <c r="G103">
        <v>0.02</v>
      </c>
      <c r="H103">
        <v>0.02</v>
      </c>
      <c r="I103">
        <v>0.02</v>
      </c>
      <c r="J103">
        <v>0.02</v>
      </c>
      <c r="K103">
        <v>10</v>
      </c>
      <c r="L103">
        <v>0</v>
      </c>
      <c r="M103">
        <v>0</v>
      </c>
      <c r="N103">
        <v>805</v>
      </c>
      <c r="O103">
        <v>0.05</v>
      </c>
      <c r="P103">
        <v>0</v>
      </c>
      <c r="Q103">
        <v>0</v>
      </c>
      <c r="R103">
        <v>0</v>
      </c>
      <c r="S103">
        <v>0</v>
      </c>
      <c r="T103">
        <v>4.3949999999999996</v>
      </c>
      <c r="U103">
        <v>-5.9999999999999995E-4</v>
      </c>
      <c r="V103">
        <v>0</v>
      </c>
      <c r="W103">
        <v>-2.5000000000000001E-2</v>
      </c>
      <c r="X103">
        <v>8.0000000000000004E-4</v>
      </c>
      <c r="Y103">
        <v>0</v>
      </c>
      <c r="Z103">
        <v>0</v>
      </c>
      <c r="AA103">
        <v>0</v>
      </c>
      <c r="AB103">
        <v>114</v>
      </c>
      <c r="AC103">
        <v>0.05</v>
      </c>
      <c r="AD103">
        <v>0</v>
      </c>
      <c r="AE103">
        <v>0</v>
      </c>
      <c r="AF103">
        <v>0.02</v>
      </c>
      <c r="AG103">
        <v>486</v>
      </c>
      <c r="AH103">
        <v>0</v>
      </c>
      <c r="AJ103" s="4">
        <v>5260</v>
      </c>
      <c r="BC103">
        <v>0.3</v>
      </c>
      <c r="BD103">
        <v>-1.1000000000000001E-3</v>
      </c>
      <c r="BE103">
        <v>0.3</v>
      </c>
      <c r="BF103">
        <v>-1.1999999999999999E-3</v>
      </c>
      <c r="BG103">
        <v>0.6</v>
      </c>
      <c r="BH103">
        <v>-2.3E-3</v>
      </c>
    </row>
    <row r="104" spans="1:60" x14ac:dyDescent="0.35">
      <c r="A104" t="s">
        <v>34</v>
      </c>
      <c r="B104" s="1">
        <v>46146.65625</v>
      </c>
      <c r="C104" t="s">
        <v>34</v>
      </c>
      <c r="D104" s="1">
        <v>46146.625</v>
      </c>
      <c r="E104">
        <v>6680</v>
      </c>
      <c r="F104" t="s">
        <v>36</v>
      </c>
      <c r="G104">
        <v>0.03</v>
      </c>
      <c r="H104">
        <v>0.05</v>
      </c>
      <c r="I104">
        <v>0.03</v>
      </c>
      <c r="J104">
        <v>0.05</v>
      </c>
      <c r="K104">
        <v>31</v>
      </c>
      <c r="L104">
        <v>0</v>
      </c>
      <c r="M104">
        <v>0</v>
      </c>
      <c r="N104">
        <v>669</v>
      </c>
      <c r="O104">
        <v>0.05</v>
      </c>
      <c r="P104">
        <v>0</v>
      </c>
      <c r="Q104">
        <v>0</v>
      </c>
      <c r="R104">
        <v>0</v>
      </c>
      <c r="S104">
        <v>0</v>
      </c>
      <c r="T104">
        <v>4.3452999999999999</v>
      </c>
      <c r="U104">
        <v>-5.9999999999999995E-4</v>
      </c>
      <c r="V104">
        <v>0</v>
      </c>
      <c r="W104">
        <v>-2.5000000000000001E-2</v>
      </c>
      <c r="X104">
        <v>8.0000000000000004E-4</v>
      </c>
      <c r="Y104">
        <v>0</v>
      </c>
      <c r="Z104">
        <v>0</v>
      </c>
      <c r="AA104">
        <v>0</v>
      </c>
      <c r="AB104">
        <v>1</v>
      </c>
      <c r="AC104">
        <v>0.1</v>
      </c>
      <c r="AD104">
        <v>0</v>
      </c>
      <c r="AE104">
        <v>0</v>
      </c>
      <c r="AF104">
        <v>4.87E-2</v>
      </c>
      <c r="AG104">
        <v>93</v>
      </c>
      <c r="AH104">
        <v>0</v>
      </c>
      <c r="AJ104" s="4">
        <v>5270</v>
      </c>
      <c r="BC104">
        <v>0.3</v>
      </c>
      <c r="BD104">
        <v>-1.1000000000000001E-3</v>
      </c>
      <c r="BE104">
        <v>0.3</v>
      </c>
      <c r="BF104">
        <v>-1.1999999999999999E-3</v>
      </c>
      <c r="BG104">
        <v>0.6</v>
      </c>
      <c r="BH104">
        <v>-2.3E-3</v>
      </c>
    </row>
    <row r="105" spans="1:60" x14ac:dyDescent="0.35">
      <c r="A105" t="s">
        <v>34</v>
      </c>
      <c r="B105" s="1">
        <v>46146.65625</v>
      </c>
      <c r="C105" t="s">
        <v>34</v>
      </c>
      <c r="D105" s="1">
        <v>46146.625</v>
      </c>
      <c r="E105">
        <v>6690</v>
      </c>
      <c r="F105" t="s">
        <v>36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666</v>
      </c>
      <c r="O105">
        <v>0.05</v>
      </c>
      <c r="P105">
        <v>0</v>
      </c>
      <c r="Q105">
        <v>0</v>
      </c>
      <c r="R105">
        <v>0</v>
      </c>
      <c r="S105">
        <v>0</v>
      </c>
      <c r="T105">
        <v>4.2648999999999999</v>
      </c>
      <c r="U105">
        <v>-5.9999999999999995E-4</v>
      </c>
      <c r="V105">
        <v>0</v>
      </c>
      <c r="W105">
        <v>-2.5000000000000001E-2</v>
      </c>
      <c r="X105">
        <v>8.0000000000000004E-4</v>
      </c>
      <c r="Y105">
        <v>0</v>
      </c>
      <c r="Z105">
        <v>0</v>
      </c>
      <c r="AA105">
        <v>0</v>
      </c>
      <c r="AB105">
        <v>1</v>
      </c>
      <c r="AC105">
        <v>4.0999999999999996</v>
      </c>
      <c r="AD105">
        <v>0</v>
      </c>
      <c r="AE105">
        <v>0</v>
      </c>
      <c r="AF105">
        <v>0</v>
      </c>
      <c r="AG105">
        <v>194</v>
      </c>
      <c r="AH105">
        <v>0</v>
      </c>
      <c r="AJ105" s="4">
        <v>5275</v>
      </c>
      <c r="BC105">
        <v>0.3</v>
      </c>
      <c r="BD105">
        <v>-1.1000000000000001E-3</v>
      </c>
      <c r="BE105">
        <v>0.3</v>
      </c>
      <c r="BF105">
        <v>-1.1999999999999999E-3</v>
      </c>
      <c r="BG105">
        <v>0.6</v>
      </c>
      <c r="BH105">
        <v>-2.3E-3</v>
      </c>
    </row>
    <row r="106" spans="1:60" x14ac:dyDescent="0.35">
      <c r="A106" t="s">
        <v>34</v>
      </c>
      <c r="B106" s="1">
        <v>46146.65625</v>
      </c>
      <c r="C106" t="s">
        <v>34</v>
      </c>
      <c r="D106" s="1">
        <v>46146.625</v>
      </c>
      <c r="E106">
        <v>6700</v>
      </c>
      <c r="F106" t="s">
        <v>36</v>
      </c>
      <c r="G106">
        <v>0.05</v>
      </c>
      <c r="H106">
        <v>0.05</v>
      </c>
      <c r="I106">
        <v>0.03</v>
      </c>
      <c r="J106">
        <v>0.03</v>
      </c>
      <c r="K106">
        <v>96</v>
      </c>
      <c r="L106">
        <v>0</v>
      </c>
      <c r="M106">
        <v>0</v>
      </c>
      <c r="N106">
        <v>800</v>
      </c>
      <c r="O106">
        <v>0.05</v>
      </c>
      <c r="P106">
        <v>0</v>
      </c>
      <c r="Q106">
        <v>0</v>
      </c>
      <c r="R106">
        <v>0</v>
      </c>
      <c r="S106">
        <v>0</v>
      </c>
      <c r="T106">
        <v>4.1936</v>
      </c>
      <c r="U106">
        <v>-5.9999999999999995E-4</v>
      </c>
      <c r="V106">
        <v>0</v>
      </c>
      <c r="W106">
        <v>-2.5000000000000001E-2</v>
      </c>
      <c r="X106">
        <v>8.0000000000000004E-4</v>
      </c>
      <c r="Y106">
        <v>0</v>
      </c>
      <c r="Z106">
        <v>0</v>
      </c>
      <c r="AA106">
        <v>0</v>
      </c>
      <c r="AB106">
        <v>114</v>
      </c>
      <c r="AC106">
        <v>0.05</v>
      </c>
      <c r="AD106">
        <v>0</v>
      </c>
      <c r="AE106">
        <v>0</v>
      </c>
      <c r="AF106">
        <v>4.1000000000000002E-2</v>
      </c>
      <c r="AG106">
        <v>505</v>
      </c>
      <c r="AH106">
        <v>0</v>
      </c>
      <c r="AJ106" s="4">
        <v>5280</v>
      </c>
      <c r="BC106">
        <v>0.3</v>
      </c>
      <c r="BD106">
        <v>-1.1000000000000001E-3</v>
      </c>
      <c r="BE106">
        <v>0.3</v>
      </c>
      <c r="BF106">
        <v>-1.1999999999999999E-3</v>
      </c>
      <c r="BG106">
        <v>0.6</v>
      </c>
      <c r="BH106">
        <v>-2.3E-3</v>
      </c>
    </row>
    <row r="107" spans="1:60" x14ac:dyDescent="0.35">
      <c r="A107" t="s">
        <v>34</v>
      </c>
      <c r="B107" s="1">
        <v>46146.65625</v>
      </c>
      <c r="C107" t="s">
        <v>34</v>
      </c>
      <c r="D107" s="1">
        <v>46146.625</v>
      </c>
      <c r="E107">
        <v>6710</v>
      </c>
      <c r="F107" t="s">
        <v>36</v>
      </c>
      <c r="G107">
        <v>0.05</v>
      </c>
      <c r="H107">
        <v>0.05</v>
      </c>
      <c r="I107">
        <v>0.03</v>
      </c>
      <c r="J107">
        <v>0.03</v>
      </c>
      <c r="K107">
        <v>13</v>
      </c>
      <c r="L107">
        <v>0</v>
      </c>
      <c r="M107">
        <v>0</v>
      </c>
      <c r="N107">
        <v>664</v>
      </c>
      <c r="O107">
        <v>0.05</v>
      </c>
      <c r="P107">
        <v>0</v>
      </c>
      <c r="Q107">
        <v>0</v>
      </c>
      <c r="R107">
        <v>0</v>
      </c>
      <c r="S107">
        <v>0</v>
      </c>
      <c r="T107">
        <v>4.1041999999999996</v>
      </c>
      <c r="U107">
        <v>-5.9999999999999995E-4</v>
      </c>
      <c r="V107">
        <v>0</v>
      </c>
      <c r="W107">
        <v>-2.5000000000000001E-2</v>
      </c>
      <c r="X107">
        <v>8.0000000000000004E-4</v>
      </c>
      <c r="Y107">
        <v>0</v>
      </c>
      <c r="Z107">
        <v>0</v>
      </c>
      <c r="AA107">
        <v>0</v>
      </c>
      <c r="AB107">
        <v>1</v>
      </c>
      <c r="AC107">
        <v>4.0999999999999996</v>
      </c>
      <c r="AD107">
        <v>0</v>
      </c>
      <c r="AE107">
        <v>0</v>
      </c>
      <c r="AF107">
        <v>4.8500000000000001E-2</v>
      </c>
      <c r="AG107">
        <v>1369</v>
      </c>
      <c r="AH107">
        <v>0</v>
      </c>
      <c r="AJ107" s="4">
        <v>5290</v>
      </c>
      <c r="BC107">
        <v>0.3</v>
      </c>
      <c r="BD107">
        <v>-1.1000000000000001E-3</v>
      </c>
      <c r="BE107">
        <v>0.3</v>
      </c>
      <c r="BF107">
        <v>-1.2999999999999999E-3</v>
      </c>
      <c r="BG107">
        <v>0.6</v>
      </c>
      <c r="BH107">
        <v>-2.4000000000000002E-3</v>
      </c>
    </row>
    <row r="108" spans="1:60" x14ac:dyDescent="0.35">
      <c r="A108" t="s">
        <v>34</v>
      </c>
      <c r="B108" s="1">
        <v>46146.65625</v>
      </c>
      <c r="C108" t="s">
        <v>34</v>
      </c>
      <c r="D108" s="1">
        <v>46146.625</v>
      </c>
      <c r="E108">
        <v>6715</v>
      </c>
      <c r="F108" t="s">
        <v>36</v>
      </c>
      <c r="G108">
        <v>0.05</v>
      </c>
      <c r="H108">
        <v>0.05</v>
      </c>
      <c r="I108">
        <v>0.05</v>
      </c>
      <c r="J108">
        <v>0.05</v>
      </c>
      <c r="K108">
        <v>16</v>
      </c>
      <c r="L108">
        <v>0</v>
      </c>
      <c r="M108">
        <v>0</v>
      </c>
      <c r="N108">
        <v>661</v>
      </c>
      <c r="O108">
        <v>0.05</v>
      </c>
      <c r="P108">
        <v>0</v>
      </c>
      <c r="Q108">
        <v>0</v>
      </c>
      <c r="R108">
        <v>0</v>
      </c>
      <c r="S108">
        <v>0</v>
      </c>
      <c r="T108">
        <v>4.0640999999999998</v>
      </c>
      <c r="U108">
        <v>-5.9999999999999995E-4</v>
      </c>
      <c r="V108">
        <v>0</v>
      </c>
      <c r="W108">
        <v>-2.5000000000000001E-2</v>
      </c>
      <c r="X108">
        <v>8.0000000000000004E-4</v>
      </c>
      <c r="Y108">
        <v>0</v>
      </c>
      <c r="Z108">
        <v>0</v>
      </c>
      <c r="AA108">
        <v>0</v>
      </c>
      <c r="AB108">
        <v>1</v>
      </c>
      <c r="AC108">
        <v>4.0999999999999996</v>
      </c>
      <c r="AD108">
        <v>0</v>
      </c>
      <c r="AE108">
        <v>0</v>
      </c>
      <c r="AF108">
        <v>0.05</v>
      </c>
      <c r="AG108">
        <v>131</v>
      </c>
      <c r="AH108">
        <v>0</v>
      </c>
      <c r="AJ108" s="4">
        <v>5300</v>
      </c>
      <c r="AK108">
        <v>0.05</v>
      </c>
      <c r="AL108">
        <v>0</v>
      </c>
      <c r="AM108">
        <v>0.05</v>
      </c>
      <c r="AN108">
        <v>-2.0000000000000001E-4</v>
      </c>
      <c r="AO108">
        <v>0.05</v>
      </c>
      <c r="AP108">
        <v>-2.0000000000000001E-4</v>
      </c>
      <c r="AQ108">
        <v>0.05</v>
      </c>
      <c r="AR108">
        <v>-2.0000000000000001E-4</v>
      </c>
      <c r="AS108">
        <v>0.05</v>
      </c>
      <c r="AT108">
        <v>-2.0000000000000001E-4</v>
      </c>
      <c r="AU108">
        <v>0.1</v>
      </c>
      <c r="AV108">
        <v>-5.0000000000000001E-4</v>
      </c>
      <c r="AW108">
        <v>0.15</v>
      </c>
      <c r="AX108">
        <v>-5.0000000000000001E-4</v>
      </c>
      <c r="AY108">
        <v>0.2</v>
      </c>
      <c r="AZ108">
        <v>-6.9999999999999999E-4</v>
      </c>
      <c r="BA108">
        <v>0.25</v>
      </c>
      <c r="BB108">
        <v>-8.9999999999999998E-4</v>
      </c>
      <c r="BC108">
        <v>0.3</v>
      </c>
      <c r="BD108">
        <v>-1.1999999999999999E-3</v>
      </c>
      <c r="BE108">
        <v>0.3</v>
      </c>
      <c r="BF108">
        <v>-1.2999999999999999E-3</v>
      </c>
      <c r="BG108">
        <v>1.55</v>
      </c>
      <c r="BH108">
        <v>-5.8999999999999999E-3</v>
      </c>
    </row>
    <row r="109" spans="1:60" x14ac:dyDescent="0.35">
      <c r="A109" t="s">
        <v>34</v>
      </c>
      <c r="B109" s="1">
        <v>46146.65625</v>
      </c>
      <c r="C109" t="s">
        <v>34</v>
      </c>
      <c r="D109" s="1">
        <v>46146.625</v>
      </c>
      <c r="E109">
        <v>6720</v>
      </c>
      <c r="F109" t="s">
        <v>36</v>
      </c>
      <c r="G109">
        <v>0.05</v>
      </c>
      <c r="H109">
        <v>0.05</v>
      </c>
      <c r="I109">
        <v>0.05</v>
      </c>
      <c r="J109">
        <v>0.05</v>
      </c>
      <c r="K109">
        <v>12</v>
      </c>
      <c r="L109">
        <v>0</v>
      </c>
      <c r="M109">
        <v>0</v>
      </c>
      <c r="N109">
        <v>660</v>
      </c>
      <c r="O109">
        <v>0.05</v>
      </c>
      <c r="P109">
        <v>0</v>
      </c>
      <c r="Q109">
        <v>0</v>
      </c>
      <c r="R109">
        <v>0</v>
      </c>
      <c r="S109">
        <v>0</v>
      </c>
      <c r="T109">
        <v>4.0239000000000003</v>
      </c>
      <c r="U109">
        <v>-6.9999999999999999E-4</v>
      </c>
      <c r="V109">
        <v>0</v>
      </c>
      <c r="W109">
        <v>-2.5000000000000001E-2</v>
      </c>
      <c r="X109">
        <v>8.0000000000000004E-4</v>
      </c>
      <c r="Y109">
        <v>0</v>
      </c>
      <c r="Z109">
        <v>0</v>
      </c>
      <c r="AA109">
        <v>0</v>
      </c>
      <c r="AB109">
        <v>1</v>
      </c>
      <c r="AC109">
        <v>4</v>
      </c>
      <c r="AD109">
        <v>0</v>
      </c>
      <c r="AE109">
        <v>0</v>
      </c>
      <c r="AF109">
        <v>0.05</v>
      </c>
      <c r="AG109">
        <v>2014</v>
      </c>
      <c r="AH109">
        <v>0</v>
      </c>
      <c r="AJ109" s="4">
        <v>5310</v>
      </c>
      <c r="BC109">
        <v>0.3</v>
      </c>
      <c r="BD109">
        <v>-1.1999999999999999E-3</v>
      </c>
      <c r="BE109">
        <v>0.35</v>
      </c>
      <c r="BF109">
        <v>-1.4E-3</v>
      </c>
      <c r="BG109">
        <v>0.64999999999999991</v>
      </c>
      <c r="BH109">
        <v>-2.5999999999999999E-3</v>
      </c>
    </row>
    <row r="110" spans="1:60" x14ac:dyDescent="0.35">
      <c r="A110" t="s">
        <v>34</v>
      </c>
      <c r="B110" s="1">
        <v>46146.65625</v>
      </c>
      <c r="C110" t="s">
        <v>34</v>
      </c>
      <c r="D110" s="1">
        <v>46146.625</v>
      </c>
      <c r="E110">
        <v>6725</v>
      </c>
      <c r="F110" t="s">
        <v>36</v>
      </c>
      <c r="G110">
        <v>0.05</v>
      </c>
      <c r="H110">
        <v>0.05</v>
      </c>
      <c r="I110">
        <v>0.05</v>
      </c>
      <c r="J110">
        <v>0.05</v>
      </c>
      <c r="K110">
        <v>52</v>
      </c>
      <c r="L110">
        <v>0</v>
      </c>
      <c r="M110">
        <v>0</v>
      </c>
      <c r="N110">
        <v>791</v>
      </c>
      <c r="O110">
        <v>0.05</v>
      </c>
      <c r="P110">
        <v>0</v>
      </c>
      <c r="Q110">
        <v>0</v>
      </c>
      <c r="R110">
        <v>0</v>
      </c>
      <c r="S110">
        <v>0</v>
      </c>
      <c r="T110">
        <v>3.9923999999999999</v>
      </c>
      <c r="U110">
        <v>-6.9999999999999999E-4</v>
      </c>
      <c r="V110">
        <v>0</v>
      </c>
      <c r="W110">
        <v>-2.5000000000000001E-2</v>
      </c>
      <c r="X110">
        <v>8.0000000000000004E-4</v>
      </c>
      <c r="Y110">
        <v>0</v>
      </c>
      <c r="Z110">
        <v>0</v>
      </c>
      <c r="AA110">
        <v>0</v>
      </c>
      <c r="AB110">
        <v>111</v>
      </c>
      <c r="AC110">
        <v>0.05</v>
      </c>
      <c r="AD110">
        <v>0</v>
      </c>
      <c r="AE110">
        <v>0</v>
      </c>
      <c r="AF110">
        <v>0.05</v>
      </c>
      <c r="AG110">
        <v>1557</v>
      </c>
      <c r="AH110">
        <v>0</v>
      </c>
      <c r="AJ110" s="4">
        <v>5320</v>
      </c>
      <c r="BC110">
        <v>0.3</v>
      </c>
      <c r="BD110">
        <v>-1.1999999999999999E-3</v>
      </c>
      <c r="BE110">
        <v>0.35</v>
      </c>
      <c r="BF110">
        <v>-1.4E-3</v>
      </c>
      <c r="BG110">
        <v>0.64999999999999991</v>
      </c>
      <c r="BH110">
        <v>-2.5999999999999999E-3</v>
      </c>
    </row>
    <row r="111" spans="1:60" x14ac:dyDescent="0.35">
      <c r="A111" t="s">
        <v>34</v>
      </c>
      <c r="B111" s="1">
        <v>46146.65625</v>
      </c>
      <c r="C111" t="s">
        <v>34</v>
      </c>
      <c r="D111" s="1">
        <v>46146.625</v>
      </c>
      <c r="E111">
        <v>6730</v>
      </c>
      <c r="F111" t="s">
        <v>36</v>
      </c>
      <c r="G111">
        <v>0.05</v>
      </c>
      <c r="H111">
        <v>0.05</v>
      </c>
      <c r="I111">
        <v>0.02</v>
      </c>
      <c r="J111">
        <v>0.02</v>
      </c>
      <c r="K111">
        <v>7</v>
      </c>
      <c r="L111">
        <v>0</v>
      </c>
      <c r="M111">
        <v>0</v>
      </c>
      <c r="N111">
        <v>658</v>
      </c>
      <c r="O111">
        <v>0.05</v>
      </c>
      <c r="P111">
        <v>0</v>
      </c>
      <c r="Q111">
        <v>0</v>
      </c>
      <c r="R111">
        <v>0</v>
      </c>
      <c r="S111">
        <v>0</v>
      </c>
      <c r="T111">
        <v>3.9436</v>
      </c>
      <c r="U111">
        <v>-6.9999999999999999E-4</v>
      </c>
      <c r="V111">
        <v>0</v>
      </c>
      <c r="W111">
        <v>-2.5000000000000001E-2</v>
      </c>
      <c r="X111">
        <v>8.9999999999999998E-4</v>
      </c>
      <c r="Y111">
        <v>0</v>
      </c>
      <c r="Z111">
        <v>0</v>
      </c>
      <c r="AA111">
        <v>0</v>
      </c>
      <c r="AB111">
        <v>1</v>
      </c>
      <c r="AC111">
        <v>4</v>
      </c>
      <c r="AD111">
        <v>0</v>
      </c>
      <c r="AE111">
        <v>0</v>
      </c>
      <c r="AF111">
        <v>4.5699999999999998E-2</v>
      </c>
      <c r="AG111">
        <v>313</v>
      </c>
      <c r="AH111">
        <v>0</v>
      </c>
      <c r="AJ111" s="4">
        <v>5325</v>
      </c>
      <c r="BC111">
        <v>0.3</v>
      </c>
      <c r="BD111">
        <v>-1.1999999999999999E-3</v>
      </c>
      <c r="BE111">
        <v>0.35</v>
      </c>
      <c r="BF111">
        <v>-1.4E-3</v>
      </c>
      <c r="BG111">
        <v>0.64999999999999991</v>
      </c>
      <c r="BH111">
        <v>-2.5999999999999999E-3</v>
      </c>
    </row>
    <row r="112" spans="1:60" x14ac:dyDescent="0.35">
      <c r="A112" t="s">
        <v>34</v>
      </c>
      <c r="B112" s="1">
        <v>46146.65625</v>
      </c>
      <c r="C112" t="s">
        <v>34</v>
      </c>
      <c r="D112" s="1">
        <v>46146.625</v>
      </c>
      <c r="E112">
        <v>6735</v>
      </c>
      <c r="F112" t="s">
        <v>36</v>
      </c>
      <c r="G112">
        <v>0.03</v>
      </c>
      <c r="H112">
        <v>0.03</v>
      </c>
      <c r="I112">
        <v>0.03</v>
      </c>
      <c r="J112">
        <v>0.03</v>
      </c>
      <c r="K112">
        <v>60</v>
      </c>
      <c r="L112">
        <v>0</v>
      </c>
      <c r="M112">
        <v>0</v>
      </c>
      <c r="N112">
        <v>656</v>
      </c>
      <c r="O112">
        <v>0.05</v>
      </c>
      <c r="P112">
        <v>0</v>
      </c>
      <c r="Q112">
        <v>0</v>
      </c>
      <c r="R112">
        <v>0</v>
      </c>
      <c r="S112">
        <v>0</v>
      </c>
      <c r="T112">
        <v>3.9034</v>
      </c>
      <c r="U112">
        <v>-6.9999999999999999E-4</v>
      </c>
      <c r="V112">
        <v>0</v>
      </c>
      <c r="W112">
        <v>-2.5000000000000001E-2</v>
      </c>
      <c r="X112">
        <v>8.9999999999999998E-4</v>
      </c>
      <c r="Y112">
        <v>0</v>
      </c>
      <c r="Z112">
        <v>0</v>
      </c>
      <c r="AA112">
        <v>0</v>
      </c>
      <c r="AB112">
        <v>1</v>
      </c>
      <c r="AC112">
        <v>4.0999999999999996</v>
      </c>
      <c r="AD112">
        <v>0</v>
      </c>
      <c r="AE112">
        <v>0</v>
      </c>
      <c r="AF112">
        <v>0.03</v>
      </c>
      <c r="AG112">
        <v>2</v>
      </c>
      <c r="AH112">
        <v>0</v>
      </c>
      <c r="AJ112" s="4">
        <v>5330</v>
      </c>
      <c r="BC112">
        <v>0.3</v>
      </c>
      <c r="BD112">
        <v>-1.1999999999999999E-3</v>
      </c>
      <c r="BE112">
        <v>0.35</v>
      </c>
      <c r="BF112">
        <v>-1.4E-3</v>
      </c>
      <c r="BG112">
        <v>0.64999999999999991</v>
      </c>
      <c r="BH112">
        <v>-2.5999999999999999E-3</v>
      </c>
    </row>
    <row r="113" spans="1:60" x14ac:dyDescent="0.35">
      <c r="A113" t="s">
        <v>34</v>
      </c>
      <c r="B113" s="1">
        <v>46146.65625</v>
      </c>
      <c r="C113" t="s">
        <v>34</v>
      </c>
      <c r="D113" s="1">
        <v>46146.625</v>
      </c>
      <c r="E113">
        <v>6740</v>
      </c>
      <c r="F113" t="s">
        <v>36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656</v>
      </c>
      <c r="O113">
        <v>0.05</v>
      </c>
      <c r="P113">
        <v>0</v>
      </c>
      <c r="Q113">
        <v>0</v>
      </c>
      <c r="R113">
        <v>0</v>
      </c>
      <c r="S113">
        <v>0</v>
      </c>
      <c r="T113">
        <v>3.8715999999999999</v>
      </c>
      <c r="U113">
        <v>-6.9999999999999999E-4</v>
      </c>
      <c r="V113">
        <v>0</v>
      </c>
      <c r="W113">
        <v>-2.5000000000000001E-2</v>
      </c>
      <c r="X113">
        <v>8.9999999999999998E-4</v>
      </c>
      <c r="Y113">
        <v>0</v>
      </c>
      <c r="Z113">
        <v>0</v>
      </c>
      <c r="AA113">
        <v>0</v>
      </c>
      <c r="AB113">
        <v>1</v>
      </c>
      <c r="AC113">
        <v>0.05</v>
      </c>
      <c r="AD113">
        <v>0</v>
      </c>
      <c r="AE113">
        <v>0</v>
      </c>
      <c r="AF113">
        <v>0</v>
      </c>
      <c r="AG113">
        <v>161</v>
      </c>
      <c r="AH113">
        <v>0</v>
      </c>
      <c r="AJ113" s="4">
        <v>5340</v>
      </c>
      <c r="BC113">
        <v>0.35</v>
      </c>
      <c r="BD113">
        <v>-1.2999999999999999E-3</v>
      </c>
      <c r="BE113">
        <v>0.35</v>
      </c>
      <c r="BF113">
        <v>-1.4E-3</v>
      </c>
      <c r="BG113">
        <v>0.7</v>
      </c>
      <c r="BH113">
        <v>-2.7000000000000001E-3</v>
      </c>
    </row>
    <row r="114" spans="1:60" x14ac:dyDescent="0.35">
      <c r="A114" t="s">
        <v>34</v>
      </c>
      <c r="B114" s="1">
        <v>46146.65625</v>
      </c>
      <c r="C114" t="s">
        <v>34</v>
      </c>
      <c r="D114" s="1">
        <v>46146.625</v>
      </c>
      <c r="E114">
        <v>6745</v>
      </c>
      <c r="F114" t="s">
        <v>36</v>
      </c>
      <c r="G114">
        <v>0.05</v>
      </c>
      <c r="H114">
        <v>0.05</v>
      </c>
      <c r="I114">
        <v>0.03</v>
      </c>
      <c r="J114">
        <v>0.03</v>
      </c>
      <c r="K114">
        <v>35</v>
      </c>
      <c r="L114">
        <v>0</v>
      </c>
      <c r="M114">
        <v>0</v>
      </c>
      <c r="N114">
        <v>655</v>
      </c>
      <c r="O114">
        <v>0.05</v>
      </c>
      <c r="P114">
        <v>0</v>
      </c>
      <c r="Q114">
        <v>0</v>
      </c>
      <c r="R114">
        <v>0</v>
      </c>
      <c r="S114">
        <v>0</v>
      </c>
      <c r="T114">
        <v>3.8313999999999999</v>
      </c>
      <c r="U114">
        <v>-6.9999999999999999E-4</v>
      </c>
      <c r="V114">
        <v>0</v>
      </c>
      <c r="W114">
        <v>-2.5000000000000001E-2</v>
      </c>
      <c r="X114">
        <v>8.9999999999999998E-4</v>
      </c>
      <c r="Y114">
        <v>0</v>
      </c>
      <c r="Z114">
        <v>0</v>
      </c>
      <c r="AA114">
        <v>0</v>
      </c>
      <c r="AB114">
        <v>1</v>
      </c>
      <c r="AC114">
        <v>4.0999999999999996</v>
      </c>
      <c r="AD114">
        <v>0</v>
      </c>
      <c r="AE114">
        <v>0</v>
      </c>
      <c r="AF114">
        <v>4.9399999999999999E-2</v>
      </c>
      <c r="AG114">
        <v>78</v>
      </c>
      <c r="AH114">
        <v>0</v>
      </c>
      <c r="AJ114" s="4">
        <v>5350</v>
      </c>
      <c r="AS114">
        <v>0.05</v>
      </c>
      <c r="AT114">
        <v>-2.0000000000000001E-4</v>
      </c>
      <c r="BC114">
        <v>0.35</v>
      </c>
      <c r="BD114">
        <v>-1.4E-3</v>
      </c>
      <c r="BE114">
        <v>0.35</v>
      </c>
      <c r="BF114">
        <v>-1.5E-3</v>
      </c>
      <c r="BG114">
        <v>0.75</v>
      </c>
      <c r="BH114">
        <v>-3.1000000000000003E-3</v>
      </c>
    </row>
    <row r="115" spans="1:60" x14ac:dyDescent="0.35">
      <c r="A115" t="s">
        <v>34</v>
      </c>
      <c r="B115" s="1">
        <v>46146.65625</v>
      </c>
      <c r="C115" t="s">
        <v>34</v>
      </c>
      <c r="D115" s="1">
        <v>46146.625</v>
      </c>
      <c r="E115">
        <v>6750</v>
      </c>
      <c r="F115" t="s">
        <v>36</v>
      </c>
      <c r="G115">
        <v>0.03</v>
      </c>
      <c r="H115">
        <v>0.05</v>
      </c>
      <c r="I115">
        <v>0.03</v>
      </c>
      <c r="J115">
        <v>0.05</v>
      </c>
      <c r="K115">
        <v>46</v>
      </c>
      <c r="L115">
        <v>0</v>
      </c>
      <c r="M115">
        <v>0</v>
      </c>
      <c r="N115">
        <v>800</v>
      </c>
      <c r="O115">
        <v>0.05</v>
      </c>
      <c r="P115">
        <v>0</v>
      </c>
      <c r="Q115">
        <v>0</v>
      </c>
      <c r="R115">
        <v>0</v>
      </c>
      <c r="S115">
        <v>0</v>
      </c>
      <c r="T115">
        <v>3.7911999999999999</v>
      </c>
      <c r="U115">
        <v>-6.9999999999999999E-4</v>
      </c>
      <c r="V115">
        <v>0</v>
      </c>
      <c r="W115">
        <v>-2.5000000000000001E-2</v>
      </c>
      <c r="X115">
        <v>8.9999999999999998E-4</v>
      </c>
      <c r="Y115">
        <v>0</v>
      </c>
      <c r="Z115">
        <v>0</v>
      </c>
      <c r="AA115">
        <v>0</v>
      </c>
      <c r="AB115">
        <v>125</v>
      </c>
      <c r="AC115">
        <v>0.05</v>
      </c>
      <c r="AD115">
        <v>0</v>
      </c>
      <c r="AE115">
        <v>0</v>
      </c>
      <c r="AF115">
        <v>4.5699999999999998E-2</v>
      </c>
      <c r="AG115">
        <v>799</v>
      </c>
      <c r="AH115">
        <v>0</v>
      </c>
      <c r="AJ115" s="4">
        <v>5360</v>
      </c>
      <c r="BC115">
        <v>0.35</v>
      </c>
      <c r="BD115">
        <v>-1.4E-3</v>
      </c>
      <c r="BE115">
        <v>0.35</v>
      </c>
      <c r="BF115">
        <v>-1.5E-3</v>
      </c>
      <c r="BG115">
        <v>0.7</v>
      </c>
      <c r="BH115">
        <v>-2.8999999999999998E-3</v>
      </c>
    </row>
    <row r="116" spans="1:60" x14ac:dyDescent="0.35">
      <c r="A116" t="s">
        <v>34</v>
      </c>
      <c r="B116" s="1">
        <v>46146.65625</v>
      </c>
      <c r="C116" t="s">
        <v>34</v>
      </c>
      <c r="D116" s="1">
        <v>46146.625</v>
      </c>
      <c r="E116">
        <v>6755</v>
      </c>
      <c r="F116" t="s">
        <v>36</v>
      </c>
      <c r="G116">
        <v>0.05</v>
      </c>
      <c r="H116">
        <v>0.05</v>
      </c>
      <c r="I116">
        <v>0.03</v>
      </c>
      <c r="J116">
        <v>0.03</v>
      </c>
      <c r="K116">
        <v>25</v>
      </c>
      <c r="L116">
        <v>0</v>
      </c>
      <c r="M116">
        <v>0</v>
      </c>
      <c r="N116">
        <v>658</v>
      </c>
      <c r="O116">
        <v>0.05</v>
      </c>
      <c r="P116">
        <v>0</v>
      </c>
      <c r="Q116">
        <v>0</v>
      </c>
      <c r="R116">
        <v>0</v>
      </c>
      <c r="S116">
        <v>0</v>
      </c>
      <c r="T116">
        <v>3.7509999999999999</v>
      </c>
      <c r="U116">
        <v>-6.9999999999999999E-4</v>
      </c>
      <c r="V116">
        <v>0</v>
      </c>
      <c r="W116">
        <v>-2.5000000000000001E-2</v>
      </c>
      <c r="X116">
        <v>8.9999999999999998E-4</v>
      </c>
      <c r="Y116">
        <v>0</v>
      </c>
      <c r="Z116">
        <v>0</v>
      </c>
      <c r="AA116">
        <v>0</v>
      </c>
      <c r="AB116">
        <v>1</v>
      </c>
      <c r="AC116">
        <v>4.0999999999999996</v>
      </c>
      <c r="AD116">
        <v>0</v>
      </c>
      <c r="AE116">
        <v>0</v>
      </c>
      <c r="AF116">
        <v>4.9200000000000001E-2</v>
      </c>
      <c r="AG116">
        <v>144</v>
      </c>
      <c r="AH116">
        <v>0</v>
      </c>
      <c r="AJ116" s="4">
        <v>5370</v>
      </c>
      <c r="BC116">
        <v>0.35</v>
      </c>
      <c r="BD116">
        <v>-1.4E-3</v>
      </c>
      <c r="BE116">
        <v>0.35</v>
      </c>
      <c r="BF116">
        <v>-1.5E-3</v>
      </c>
      <c r="BG116">
        <v>0.7</v>
      </c>
      <c r="BH116">
        <v>-2.8999999999999998E-3</v>
      </c>
    </row>
    <row r="117" spans="1:60" x14ac:dyDescent="0.35">
      <c r="A117" t="s">
        <v>34</v>
      </c>
      <c r="B117" s="1">
        <v>46146.65625</v>
      </c>
      <c r="C117" t="s">
        <v>34</v>
      </c>
      <c r="D117" s="1">
        <v>46146.625</v>
      </c>
      <c r="E117">
        <v>6760</v>
      </c>
      <c r="F117" t="s">
        <v>36</v>
      </c>
      <c r="G117">
        <v>0.03</v>
      </c>
      <c r="H117">
        <v>0.03</v>
      </c>
      <c r="I117">
        <v>0.03</v>
      </c>
      <c r="J117">
        <v>0.03</v>
      </c>
      <c r="K117">
        <v>12</v>
      </c>
      <c r="L117">
        <v>0</v>
      </c>
      <c r="M117">
        <v>0</v>
      </c>
      <c r="N117">
        <v>655</v>
      </c>
      <c r="O117">
        <v>0.05</v>
      </c>
      <c r="P117">
        <v>0</v>
      </c>
      <c r="Q117">
        <v>0</v>
      </c>
      <c r="R117">
        <v>0</v>
      </c>
      <c r="S117">
        <v>0</v>
      </c>
      <c r="T117">
        <v>3.7107000000000001</v>
      </c>
      <c r="U117">
        <v>-6.9999999999999999E-4</v>
      </c>
      <c r="V117">
        <v>0</v>
      </c>
      <c r="W117">
        <v>-2.5000000000000001E-2</v>
      </c>
      <c r="X117">
        <v>8.9999999999999998E-4</v>
      </c>
      <c r="Y117">
        <v>0</v>
      </c>
      <c r="Z117">
        <v>0</v>
      </c>
      <c r="AA117">
        <v>0</v>
      </c>
      <c r="AB117">
        <v>1</v>
      </c>
      <c r="AC117">
        <v>4.0999999999999996</v>
      </c>
      <c r="AD117">
        <v>0</v>
      </c>
      <c r="AE117">
        <v>0</v>
      </c>
      <c r="AF117">
        <v>0.03</v>
      </c>
      <c r="AG117">
        <v>454</v>
      </c>
      <c r="AH117">
        <v>0</v>
      </c>
      <c r="AJ117" s="4">
        <v>5375</v>
      </c>
      <c r="BC117">
        <v>0.35</v>
      </c>
      <c r="BD117">
        <v>-1.4E-3</v>
      </c>
      <c r="BE117">
        <v>0.35</v>
      </c>
      <c r="BF117">
        <v>-1.5E-3</v>
      </c>
      <c r="BG117">
        <v>0.7</v>
      </c>
      <c r="BH117">
        <v>-2.8999999999999998E-3</v>
      </c>
    </row>
    <row r="118" spans="1:60" x14ac:dyDescent="0.35">
      <c r="A118" t="s">
        <v>34</v>
      </c>
      <c r="B118" s="1">
        <v>46146.65625</v>
      </c>
      <c r="C118" t="s">
        <v>34</v>
      </c>
      <c r="D118" s="1">
        <v>46146.625</v>
      </c>
      <c r="E118">
        <v>6765</v>
      </c>
      <c r="F118" t="s">
        <v>36</v>
      </c>
      <c r="G118">
        <v>0.03</v>
      </c>
      <c r="H118">
        <v>0.03</v>
      </c>
      <c r="I118">
        <v>0.03</v>
      </c>
      <c r="J118">
        <v>0.03</v>
      </c>
      <c r="K118">
        <v>12</v>
      </c>
      <c r="L118">
        <v>0</v>
      </c>
      <c r="M118">
        <v>0</v>
      </c>
      <c r="N118">
        <v>775</v>
      </c>
      <c r="O118">
        <v>0.05</v>
      </c>
      <c r="P118">
        <v>0</v>
      </c>
      <c r="Q118">
        <v>0</v>
      </c>
      <c r="R118">
        <v>0</v>
      </c>
      <c r="S118">
        <v>0</v>
      </c>
      <c r="T118">
        <v>3.6705000000000001</v>
      </c>
      <c r="U118">
        <v>-6.9999999999999999E-4</v>
      </c>
      <c r="V118">
        <v>0</v>
      </c>
      <c r="W118">
        <v>-2.5000000000000001E-2</v>
      </c>
      <c r="X118">
        <v>8.9999999999999998E-4</v>
      </c>
      <c r="Y118">
        <v>0</v>
      </c>
      <c r="Z118">
        <v>0</v>
      </c>
      <c r="AA118">
        <v>0</v>
      </c>
      <c r="AB118">
        <v>1</v>
      </c>
      <c r="AC118">
        <v>4.0999999999999996</v>
      </c>
      <c r="AD118">
        <v>0</v>
      </c>
      <c r="AE118">
        <v>0</v>
      </c>
      <c r="AF118">
        <v>0.03</v>
      </c>
      <c r="AG118">
        <v>111</v>
      </c>
      <c r="AH118">
        <v>0</v>
      </c>
      <c r="AJ118" s="4">
        <v>5380</v>
      </c>
      <c r="BC118">
        <v>0.35</v>
      </c>
      <c r="BD118">
        <v>-1.4E-3</v>
      </c>
      <c r="BE118">
        <v>0.35</v>
      </c>
      <c r="BF118">
        <v>-1.5E-3</v>
      </c>
      <c r="BG118">
        <v>0.7</v>
      </c>
      <c r="BH118">
        <v>-2.8999999999999998E-3</v>
      </c>
    </row>
    <row r="119" spans="1:60" x14ac:dyDescent="0.35">
      <c r="A119" t="s">
        <v>34</v>
      </c>
      <c r="B119" s="1">
        <v>46146.65625</v>
      </c>
      <c r="C119" t="s">
        <v>34</v>
      </c>
      <c r="D119" s="1">
        <v>46146.625</v>
      </c>
      <c r="E119">
        <v>6770</v>
      </c>
      <c r="F119" t="s">
        <v>36</v>
      </c>
      <c r="G119">
        <v>0.05</v>
      </c>
      <c r="H119">
        <v>0.05</v>
      </c>
      <c r="I119">
        <v>0.05</v>
      </c>
      <c r="J119">
        <v>0.05</v>
      </c>
      <c r="K119">
        <v>3</v>
      </c>
      <c r="L119">
        <v>0</v>
      </c>
      <c r="M119">
        <v>0</v>
      </c>
      <c r="N119">
        <v>774</v>
      </c>
      <c r="O119">
        <v>0.05</v>
      </c>
      <c r="P119">
        <v>0</v>
      </c>
      <c r="Q119">
        <v>0</v>
      </c>
      <c r="R119">
        <v>0</v>
      </c>
      <c r="S119">
        <v>0</v>
      </c>
      <c r="T119">
        <v>3.6303000000000001</v>
      </c>
      <c r="U119">
        <v>-6.9999999999999999E-4</v>
      </c>
      <c r="V119">
        <v>0</v>
      </c>
      <c r="W119">
        <v>-2.5000000000000001E-2</v>
      </c>
      <c r="X119">
        <v>8.9999999999999998E-4</v>
      </c>
      <c r="Y119">
        <v>0</v>
      </c>
      <c r="Z119">
        <v>0</v>
      </c>
      <c r="AA119">
        <v>0</v>
      </c>
      <c r="AB119">
        <v>1</v>
      </c>
      <c r="AC119">
        <v>4.0999999999999996</v>
      </c>
      <c r="AD119">
        <v>0</v>
      </c>
      <c r="AE119">
        <v>0</v>
      </c>
      <c r="AF119">
        <v>0.05</v>
      </c>
      <c r="AG119">
        <v>299</v>
      </c>
      <c r="AH119">
        <v>0</v>
      </c>
      <c r="AJ119" s="4">
        <v>5390</v>
      </c>
      <c r="BC119">
        <v>0.35</v>
      </c>
      <c r="BD119">
        <v>-1.4E-3</v>
      </c>
      <c r="BE119">
        <v>0.35</v>
      </c>
      <c r="BF119">
        <v>-1.5E-3</v>
      </c>
      <c r="BG119">
        <v>0.7</v>
      </c>
      <c r="BH119">
        <v>-2.8999999999999998E-3</v>
      </c>
    </row>
    <row r="120" spans="1:60" x14ac:dyDescent="0.35">
      <c r="A120" t="s">
        <v>34</v>
      </c>
      <c r="B120" s="1">
        <v>46146.65625</v>
      </c>
      <c r="C120" t="s">
        <v>34</v>
      </c>
      <c r="D120" s="1">
        <v>46146.625</v>
      </c>
      <c r="E120">
        <v>6775</v>
      </c>
      <c r="F120" t="s">
        <v>36</v>
      </c>
      <c r="G120">
        <v>0.05</v>
      </c>
      <c r="H120">
        <v>0.05</v>
      </c>
      <c r="I120">
        <v>0.02</v>
      </c>
      <c r="J120">
        <v>0.05</v>
      </c>
      <c r="K120">
        <v>38</v>
      </c>
      <c r="L120">
        <v>0</v>
      </c>
      <c r="M120">
        <v>0</v>
      </c>
      <c r="N120">
        <v>881</v>
      </c>
      <c r="O120">
        <v>0.05</v>
      </c>
      <c r="P120">
        <v>0</v>
      </c>
      <c r="Q120">
        <v>0</v>
      </c>
      <c r="R120">
        <v>0</v>
      </c>
      <c r="S120">
        <v>0</v>
      </c>
      <c r="T120">
        <v>3.59</v>
      </c>
      <c r="U120">
        <v>-6.9999999999999999E-4</v>
      </c>
      <c r="V120">
        <v>0</v>
      </c>
      <c r="W120">
        <v>-2.5000000000000001E-2</v>
      </c>
      <c r="X120">
        <v>8.9999999999999998E-4</v>
      </c>
      <c r="Y120">
        <v>0</v>
      </c>
      <c r="Z120">
        <v>0</v>
      </c>
      <c r="AA120">
        <v>0</v>
      </c>
      <c r="AB120">
        <v>109</v>
      </c>
      <c r="AC120">
        <v>0.05</v>
      </c>
      <c r="AD120">
        <v>0</v>
      </c>
      <c r="AE120">
        <v>0</v>
      </c>
      <c r="AF120">
        <v>4.6100000000000002E-2</v>
      </c>
      <c r="AG120">
        <v>421</v>
      </c>
      <c r="AH120">
        <v>0</v>
      </c>
      <c r="AJ120" s="4">
        <v>5400</v>
      </c>
      <c r="AK120">
        <v>0.05</v>
      </c>
      <c r="AL120">
        <v>0</v>
      </c>
      <c r="AM120">
        <v>0.05</v>
      </c>
      <c r="AN120">
        <v>-2.0000000000000001E-4</v>
      </c>
      <c r="AO120">
        <v>0.05</v>
      </c>
      <c r="AP120">
        <v>-2.0000000000000001E-4</v>
      </c>
      <c r="AQ120">
        <v>0.05</v>
      </c>
      <c r="AR120">
        <v>-2.0000000000000001E-4</v>
      </c>
      <c r="AS120">
        <v>0.05</v>
      </c>
      <c r="AT120">
        <v>-2.0000000000000001E-4</v>
      </c>
      <c r="AU120">
        <v>0.1</v>
      </c>
      <c r="AV120">
        <v>-5.0000000000000001E-4</v>
      </c>
      <c r="AW120">
        <v>0.15</v>
      </c>
      <c r="AX120">
        <v>-5.9999999999999995E-4</v>
      </c>
      <c r="AY120">
        <v>0.2</v>
      </c>
      <c r="AZ120">
        <v>-8.9999999999999998E-4</v>
      </c>
      <c r="BA120">
        <v>0.3</v>
      </c>
      <c r="BB120">
        <v>-1.1999999999999999E-3</v>
      </c>
      <c r="BC120">
        <v>0.35</v>
      </c>
      <c r="BD120">
        <v>-1.4E-3</v>
      </c>
      <c r="BE120">
        <v>0.35</v>
      </c>
      <c r="BF120">
        <v>-1.5E-3</v>
      </c>
      <c r="BG120">
        <v>1.7000000000000002</v>
      </c>
      <c r="BH120">
        <v>-6.8999999999999999E-3</v>
      </c>
    </row>
    <row r="121" spans="1:60" x14ac:dyDescent="0.35">
      <c r="A121" t="s">
        <v>34</v>
      </c>
      <c r="B121" s="1">
        <v>46146.65625</v>
      </c>
      <c r="C121" t="s">
        <v>34</v>
      </c>
      <c r="D121" s="1">
        <v>46146.625</v>
      </c>
      <c r="E121">
        <v>6780</v>
      </c>
      <c r="F121" t="s">
        <v>36</v>
      </c>
      <c r="G121">
        <v>0.05</v>
      </c>
      <c r="H121">
        <v>0.05</v>
      </c>
      <c r="I121">
        <v>0.03</v>
      </c>
      <c r="J121">
        <v>0.03</v>
      </c>
      <c r="K121">
        <v>3</v>
      </c>
      <c r="L121">
        <v>0</v>
      </c>
      <c r="M121">
        <v>0</v>
      </c>
      <c r="N121">
        <v>762</v>
      </c>
      <c r="O121">
        <v>0.05</v>
      </c>
      <c r="P121">
        <v>0</v>
      </c>
      <c r="Q121">
        <v>0</v>
      </c>
      <c r="R121">
        <v>0</v>
      </c>
      <c r="S121">
        <v>0</v>
      </c>
      <c r="T121">
        <v>3.5497999999999998</v>
      </c>
      <c r="U121">
        <v>-6.9999999999999999E-4</v>
      </c>
      <c r="V121">
        <v>0</v>
      </c>
      <c r="W121">
        <v>-2.5000000000000001E-2</v>
      </c>
      <c r="X121">
        <v>8.9999999999999998E-4</v>
      </c>
      <c r="Y121">
        <v>0</v>
      </c>
      <c r="Z121">
        <v>0</v>
      </c>
      <c r="AA121">
        <v>0</v>
      </c>
      <c r="AB121">
        <v>1</v>
      </c>
      <c r="AC121">
        <v>4.0999999999999996</v>
      </c>
      <c r="AD121">
        <v>0</v>
      </c>
      <c r="AE121">
        <v>0</v>
      </c>
      <c r="AF121">
        <v>4.3299999999999998E-2</v>
      </c>
      <c r="AG121">
        <v>215</v>
      </c>
      <c r="AH121">
        <v>0</v>
      </c>
      <c r="AJ121" s="4">
        <v>5410</v>
      </c>
      <c r="BC121">
        <v>0.35</v>
      </c>
      <c r="BD121">
        <v>-1.4E-3</v>
      </c>
      <c r="BE121">
        <v>0.4</v>
      </c>
      <c r="BF121">
        <v>-1.6999999999999999E-3</v>
      </c>
      <c r="BG121">
        <v>0.75</v>
      </c>
      <c r="BH121">
        <v>-3.0999999999999999E-3</v>
      </c>
    </row>
    <row r="122" spans="1:60" x14ac:dyDescent="0.35">
      <c r="A122" t="s">
        <v>34</v>
      </c>
      <c r="B122" s="1">
        <v>46146.65625</v>
      </c>
      <c r="C122" t="s">
        <v>34</v>
      </c>
      <c r="D122" s="1">
        <v>46146.625</v>
      </c>
      <c r="E122">
        <v>6785</v>
      </c>
      <c r="F122" t="s">
        <v>36</v>
      </c>
      <c r="G122">
        <v>0.1</v>
      </c>
      <c r="H122">
        <v>0.1</v>
      </c>
      <c r="I122">
        <v>0.05</v>
      </c>
      <c r="J122">
        <v>0.05</v>
      </c>
      <c r="K122">
        <v>35</v>
      </c>
      <c r="L122">
        <v>0</v>
      </c>
      <c r="M122">
        <v>0</v>
      </c>
      <c r="N122">
        <v>763</v>
      </c>
      <c r="O122">
        <v>0.05</v>
      </c>
      <c r="P122">
        <v>0</v>
      </c>
      <c r="Q122">
        <v>0</v>
      </c>
      <c r="R122">
        <v>0</v>
      </c>
      <c r="S122">
        <v>0</v>
      </c>
      <c r="T122">
        <v>3.5095999999999998</v>
      </c>
      <c r="U122">
        <v>-6.9999999999999999E-4</v>
      </c>
      <c r="V122">
        <v>0</v>
      </c>
      <c r="W122">
        <v>-2.5000000000000001E-2</v>
      </c>
      <c r="X122">
        <v>8.9999999999999998E-4</v>
      </c>
      <c r="Y122">
        <v>0</v>
      </c>
      <c r="Z122">
        <v>0</v>
      </c>
      <c r="AA122">
        <v>0</v>
      </c>
      <c r="AB122">
        <v>1</v>
      </c>
      <c r="AC122">
        <v>0.05</v>
      </c>
      <c r="AD122">
        <v>0</v>
      </c>
      <c r="AE122">
        <v>0</v>
      </c>
      <c r="AF122">
        <v>6.7699999999999996E-2</v>
      </c>
      <c r="AG122">
        <v>541</v>
      </c>
      <c r="AH122">
        <v>0</v>
      </c>
      <c r="AJ122" s="4">
        <v>5420</v>
      </c>
      <c r="BC122">
        <v>0.35</v>
      </c>
      <c r="BD122">
        <v>-1.5E-3</v>
      </c>
      <c r="BE122">
        <v>0.4</v>
      </c>
      <c r="BF122">
        <v>-1.6999999999999999E-3</v>
      </c>
      <c r="BG122">
        <v>0.75</v>
      </c>
      <c r="BH122">
        <v>-3.1999999999999997E-3</v>
      </c>
    </row>
    <row r="123" spans="1:60" x14ac:dyDescent="0.35">
      <c r="A123" t="s">
        <v>34</v>
      </c>
      <c r="B123" s="1">
        <v>46146.65625</v>
      </c>
      <c r="C123" t="s">
        <v>34</v>
      </c>
      <c r="D123" s="1">
        <v>46146.625</v>
      </c>
      <c r="E123">
        <v>6790</v>
      </c>
      <c r="F123" t="s">
        <v>36</v>
      </c>
      <c r="G123">
        <v>0.05</v>
      </c>
      <c r="H123">
        <v>0.1</v>
      </c>
      <c r="I123">
        <v>0.05</v>
      </c>
      <c r="J123">
        <v>0.05</v>
      </c>
      <c r="K123">
        <v>70</v>
      </c>
      <c r="L123">
        <v>0</v>
      </c>
      <c r="M123">
        <v>0</v>
      </c>
      <c r="N123">
        <v>759</v>
      </c>
      <c r="O123">
        <v>0.05</v>
      </c>
      <c r="P123">
        <v>0</v>
      </c>
      <c r="Q123">
        <v>0</v>
      </c>
      <c r="R123">
        <v>0</v>
      </c>
      <c r="S123">
        <v>0</v>
      </c>
      <c r="T123">
        <v>3.4693999999999998</v>
      </c>
      <c r="U123">
        <v>-6.9999999999999999E-4</v>
      </c>
      <c r="V123">
        <v>0</v>
      </c>
      <c r="W123">
        <v>-2.5000000000000001E-2</v>
      </c>
      <c r="X123">
        <v>1E-3</v>
      </c>
      <c r="Y123">
        <v>0</v>
      </c>
      <c r="Z123">
        <v>0</v>
      </c>
      <c r="AA123">
        <v>0</v>
      </c>
      <c r="AB123">
        <v>1</v>
      </c>
      <c r="AC123">
        <v>0.1</v>
      </c>
      <c r="AD123">
        <v>0</v>
      </c>
      <c r="AE123">
        <v>0</v>
      </c>
      <c r="AF123">
        <v>6.6400000000000001E-2</v>
      </c>
      <c r="AG123">
        <v>232</v>
      </c>
      <c r="AH123">
        <v>0</v>
      </c>
      <c r="AJ123" s="4">
        <v>5425</v>
      </c>
      <c r="BC123">
        <v>0.4</v>
      </c>
      <c r="BD123">
        <v>-1.6000000000000001E-3</v>
      </c>
      <c r="BE123">
        <v>0.4</v>
      </c>
      <c r="BF123">
        <v>-1.8E-3</v>
      </c>
      <c r="BG123">
        <v>0.8</v>
      </c>
      <c r="BH123">
        <v>-3.4000000000000002E-3</v>
      </c>
    </row>
    <row r="124" spans="1:60" x14ac:dyDescent="0.35">
      <c r="A124" t="s">
        <v>34</v>
      </c>
      <c r="B124" s="1">
        <v>46146.65625</v>
      </c>
      <c r="C124" t="s">
        <v>34</v>
      </c>
      <c r="D124" s="1">
        <v>46146.625</v>
      </c>
      <c r="E124">
        <v>6795</v>
      </c>
      <c r="F124" t="s">
        <v>36</v>
      </c>
      <c r="G124">
        <v>0.03</v>
      </c>
      <c r="H124">
        <v>0.1</v>
      </c>
      <c r="I124">
        <v>0.01</v>
      </c>
      <c r="J124">
        <v>0.01</v>
      </c>
      <c r="K124">
        <v>26</v>
      </c>
      <c r="L124">
        <v>0</v>
      </c>
      <c r="M124">
        <v>0</v>
      </c>
      <c r="N124">
        <v>758</v>
      </c>
      <c r="O124">
        <v>0.05</v>
      </c>
      <c r="P124">
        <v>0</v>
      </c>
      <c r="Q124">
        <v>0</v>
      </c>
      <c r="R124">
        <v>0</v>
      </c>
      <c r="S124">
        <v>0</v>
      </c>
      <c r="T124">
        <v>3.4291999999999998</v>
      </c>
      <c r="U124">
        <v>-8.0000000000000004E-4</v>
      </c>
      <c r="V124">
        <v>0</v>
      </c>
      <c r="W124">
        <v>-2.5000000000000001E-2</v>
      </c>
      <c r="X124">
        <v>1E-3</v>
      </c>
      <c r="Y124">
        <v>0</v>
      </c>
      <c r="Z124">
        <v>0</v>
      </c>
      <c r="AA124">
        <v>0</v>
      </c>
      <c r="AB124">
        <v>1</v>
      </c>
      <c r="AC124">
        <v>4.0999999999999996</v>
      </c>
      <c r="AD124">
        <v>0</v>
      </c>
      <c r="AE124">
        <v>0</v>
      </c>
      <c r="AF124">
        <v>7.8799999999999995E-2</v>
      </c>
      <c r="AG124">
        <v>171</v>
      </c>
      <c r="AH124">
        <v>0</v>
      </c>
      <c r="AJ124" s="4">
        <v>5430</v>
      </c>
      <c r="BC124">
        <v>0.4</v>
      </c>
      <c r="BD124">
        <v>-1.6000000000000001E-3</v>
      </c>
      <c r="BE124">
        <v>0.4</v>
      </c>
      <c r="BF124">
        <v>-1.6999999999999999E-3</v>
      </c>
      <c r="BG124">
        <v>0.8</v>
      </c>
      <c r="BH124">
        <v>-3.3E-3</v>
      </c>
    </row>
    <row r="125" spans="1:60" x14ac:dyDescent="0.35">
      <c r="A125" t="s">
        <v>34</v>
      </c>
      <c r="B125" s="1">
        <v>46146.65625</v>
      </c>
      <c r="C125" t="s">
        <v>34</v>
      </c>
      <c r="D125" s="1">
        <v>46146.625</v>
      </c>
      <c r="E125">
        <v>6800</v>
      </c>
      <c r="F125" t="s">
        <v>36</v>
      </c>
      <c r="G125">
        <v>0.05</v>
      </c>
      <c r="H125">
        <v>0.1</v>
      </c>
      <c r="I125">
        <v>0.03</v>
      </c>
      <c r="J125">
        <v>0.03</v>
      </c>
      <c r="K125">
        <v>271</v>
      </c>
      <c r="L125">
        <v>0</v>
      </c>
      <c r="M125">
        <v>0</v>
      </c>
      <c r="N125">
        <v>873</v>
      </c>
      <c r="O125">
        <v>0.05</v>
      </c>
      <c r="P125">
        <v>0</v>
      </c>
      <c r="Q125">
        <v>0</v>
      </c>
      <c r="R125">
        <v>0</v>
      </c>
      <c r="S125">
        <v>0</v>
      </c>
      <c r="T125">
        <v>3.3889</v>
      </c>
      <c r="U125">
        <v>-8.0000000000000004E-4</v>
      </c>
      <c r="V125">
        <v>0</v>
      </c>
      <c r="W125">
        <v>-2.5000000000000001E-2</v>
      </c>
      <c r="X125">
        <v>1E-3</v>
      </c>
      <c r="Y125">
        <v>0</v>
      </c>
      <c r="Z125">
        <v>0</v>
      </c>
      <c r="AA125">
        <v>0</v>
      </c>
      <c r="AB125">
        <v>118</v>
      </c>
      <c r="AC125">
        <v>0.05</v>
      </c>
      <c r="AD125">
        <v>0</v>
      </c>
      <c r="AE125">
        <v>0</v>
      </c>
      <c r="AF125">
        <v>4.7800000000000002E-2</v>
      </c>
      <c r="AG125">
        <v>2352</v>
      </c>
      <c r="AH125">
        <v>0</v>
      </c>
      <c r="AJ125" s="4">
        <v>5440</v>
      </c>
      <c r="BC125">
        <v>0.4</v>
      </c>
      <c r="BD125">
        <v>-1.6999999999999999E-3</v>
      </c>
      <c r="BE125">
        <v>0.4</v>
      </c>
      <c r="BF125">
        <v>-1.6999999999999999E-3</v>
      </c>
      <c r="BG125">
        <v>0.8</v>
      </c>
      <c r="BH125">
        <v>-3.3999999999999998E-3</v>
      </c>
    </row>
    <row r="126" spans="1:60" x14ac:dyDescent="0.35">
      <c r="A126" t="s">
        <v>34</v>
      </c>
      <c r="B126" s="1">
        <v>46146.65625</v>
      </c>
      <c r="C126" t="s">
        <v>34</v>
      </c>
      <c r="D126" s="1">
        <v>46146.625</v>
      </c>
      <c r="E126">
        <v>6805</v>
      </c>
      <c r="F126" t="s">
        <v>36</v>
      </c>
      <c r="G126">
        <v>0.05</v>
      </c>
      <c r="H126">
        <v>0.1</v>
      </c>
      <c r="I126">
        <v>0.05</v>
      </c>
      <c r="J126">
        <v>0.1</v>
      </c>
      <c r="K126">
        <v>16</v>
      </c>
      <c r="L126">
        <v>0</v>
      </c>
      <c r="M126">
        <v>0</v>
      </c>
      <c r="N126">
        <v>754</v>
      </c>
      <c r="O126">
        <v>0.05</v>
      </c>
      <c r="P126">
        <v>0</v>
      </c>
      <c r="Q126">
        <v>0</v>
      </c>
      <c r="R126">
        <v>0</v>
      </c>
      <c r="S126">
        <v>0</v>
      </c>
      <c r="T126">
        <v>3.3487</v>
      </c>
      <c r="U126">
        <v>-8.0000000000000004E-4</v>
      </c>
      <c r="V126">
        <v>0</v>
      </c>
      <c r="W126">
        <v>-2.5000000000000001E-2</v>
      </c>
      <c r="X126">
        <v>1E-3</v>
      </c>
      <c r="Y126">
        <v>0</v>
      </c>
      <c r="Z126">
        <v>0</v>
      </c>
      <c r="AA126">
        <v>0</v>
      </c>
      <c r="AB126">
        <v>1</v>
      </c>
      <c r="AC126">
        <v>4.0999999999999996</v>
      </c>
      <c r="AD126">
        <v>0</v>
      </c>
      <c r="AE126">
        <v>0</v>
      </c>
      <c r="AF126">
        <v>6.25E-2</v>
      </c>
      <c r="AG126">
        <v>394</v>
      </c>
      <c r="AH126">
        <v>0</v>
      </c>
      <c r="AJ126" s="4">
        <v>5450</v>
      </c>
      <c r="AS126">
        <v>0.05</v>
      </c>
      <c r="AT126">
        <v>-2.0000000000000001E-4</v>
      </c>
      <c r="BC126">
        <v>0.35</v>
      </c>
      <c r="BD126">
        <v>-1.6000000000000001E-3</v>
      </c>
      <c r="BE126">
        <v>0.4</v>
      </c>
      <c r="BF126">
        <v>-1.8E-3</v>
      </c>
      <c r="BG126">
        <v>0.8</v>
      </c>
      <c r="BH126">
        <v>-3.5999999999999999E-3</v>
      </c>
    </row>
    <row r="127" spans="1:60" x14ac:dyDescent="0.35">
      <c r="A127" t="s">
        <v>34</v>
      </c>
      <c r="B127" s="1">
        <v>46146.65625</v>
      </c>
      <c r="C127" t="s">
        <v>34</v>
      </c>
      <c r="D127" s="1">
        <v>46146.625</v>
      </c>
      <c r="E127">
        <v>6810</v>
      </c>
      <c r="F127" t="s">
        <v>36</v>
      </c>
      <c r="G127">
        <v>0.05</v>
      </c>
      <c r="H127">
        <v>0.1</v>
      </c>
      <c r="I127">
        <v>0.03</v>
      </c>
      <c r="J127">
        <v>0.05</v>
      </c>
      <c r="K127">
        <v>30</v>
      </c>
      <c r="L127">
        <v>0</v>
      </c>
      <c r="M127">
        <v>0</v>
      </c>
      <c r="N127">
        <v>758</v>
      </c>
      <c r="O127">
        <v>0.05</v>
      </c>
      <c r="P127">
        <v>0</v>
      </c>
      <c r="Q127">
        <v>0</v>
      </c>
      <c r="R127">
        <v>0</v>
      </c>
      <c r="S127">
        <v>0</v>
      </c>
      <c r="T127">
        <v>3.3085</v>
      </c>
      <c r="U127">
        <v>-8.0000000000000004E-4</v>
      </c>
      <c r="V127">
        <v>0</v>
      </c>
      <c r="W127">
        <v>-2.5000000000000001E-2</v>
      </c>
      <c r="X127">
        <v>1E-3</v>
      </c>
      <c r="Y127">
        <v>0</v>
      </c>
      <c r="Z127">
        <v>0</v>
      </c>
      <c r="AA127">
        <v>0</v>
      </c>
      <c r="AB127">
        <v>5</v>
      </c>
      <c r="AC127">
        <v>0.05</v>
      </c>
      <c r="AD127">
        <v>0</v>
      </c>
      <c r="AE127">
        <v>0</v>
      </c>
      <c r="AF127">
        <v>6.0299999999999999E-2</v>
      </c>
      <c r="AG127">
        <v>144</v>
      </c>
      <c r="AH127">
        <v>0</v>
      </c>
      <c r="AJ127" s="4">
        <v>5460</v>
      </c>
      <c r="BC127">
        <v>0.4</v>
      </c>
      <c r="BD127">
        <v>-1.6999999999999999E-3</v>
      </c>
      <c r="BE127">
        <v>0.4</v>
      </c>
      <c r="BF127">
        <v>-1.8E-3</v>
      </c>
      <c r="BG127">
        <v>0.8</v>
      </c>
      <c r="BH127">
        <v>-3.4999999999999996E-3</v>
      </c>
    </row>
    <row r="128" spans="1:60" x14ac:dyDescent="0.35">
      <c r="A128" t="s">
        <v>34</v>
      </c>
      <c r="B128" s="1">
        <v>46146.65625</v>
      </c>
      <c r="C128" t="s">
        <v>34</v>
      </c>
      <c r="D128" s="1">
        <v>46146.625</v>
      </c>
      <c r="E128">
        <v>6815</v>
      </c>
      <c r="F128" t="s">
        <v>36</v>
      </c>
      <c r="G128">
        <v>0.05</v>
      </c>
      <c r="H128">
        <v>0.1</v>
      </c>
      <c r="I128">
        <v>0.05</v>
      </c>
      <c r="J128">
        <v>0.05</v>
      </c>
      <c r="K128">
        <v>46</v>
      </c>
      <c r="L128">
        <v>0</v>
      </c>
      <c r="M128">
        <v>0</v>
      </c>
      <c r="N128">
        <v>749</v>
      </c>
      <c r="O128">
        <v>0.05</v>
      </c>
      <c r="P128">
        <v>0</v>
      </c>
      <c r="Q128">
        <v>0</v>
      </c>
      <c r="R128">
        <v>0</v>
      </c>
      <c r="S128">
        <v>0</v>
      </c>
      <c r="T128">
        <v>3.2682000000000002</v>
      </c>
      <c r="U128">
        <v>-8.0000000000000004E-4</v>
      </c>
      <c r="V128">
        <v>0</v>
      </c>
      <c r="W128">
        <v>-2.5000000000000001E-2</v>
      </c>
      <c r="X128">
        <v>1E-3</v>
      </c>
      <c r="Y128">
        <v>0</v>
      </c>
      <c r="Z128">
        <v>0</v>
      </c>
      <c r="AA128">
        <v>0</v>
      </c>
      <c r="AB128">
        <v>1</v>
      </c>
      <c r="AC128">
        <v>4.0999999999999996</v>
      </c>
      <c r="AD128">
        <v>0</v>
      </c>
      <c r="AE128">
        <v>0</v>
      </c>
      <c r="AF128">
        <v>5.5399999999999998E-2</v>
      </c>
      <c r="AG128">
        <v>313</v>
      </c>
      <c r="AH128">
        <v>0</v>
      </c>
      <c r="AJ128" s="4">
        <v>5470</v>
      </c>
      <c r="BC128">
        <v>0.4</v>
      </c>
      <c r="BD128">
        <v>-1.6999999999999999E-3</v>
      </c>
      <c r="BE128">
        <v>0.4</v>
      </c>
      <c r="BF128">
        <v>-1.8E-3</v>
      </c>
      <c r="BG128">
        <v>0.8</v>
      </c>
      <c r="BH128">
        <v>-3.4999999999999996E-3</v>
      </c>
    </row>
    <row r="129" spans="1:60" x14ac:dyDescent="0.35">
      <c r="A129" t="s">
        <v>34</v>
      </c>
      <c r="B129" s="1">
        <v>46146.65625</v>
      </c>
      <c r="C129" t="s">
        <v>34</v>
      </c>
      <c r="D129" s="1">
        <v>46146.625</v>
      </c>
      <c r="E129">
        <v>6820</v>
      </c>
      <c r="F129" t="s">
        <v>36</v>
      </c>
      <c r="G129">
        <v>0.05</v>
      </c>
      <c r="H129">
        <v>0.15</v>
      </c>
      <c r="I129">
        <v>0.05</v>
      </c>
      <c r="J129">
        <v>0.1</v>
      </c>
      <c r="K129">
        <v>61</v>
      </c>
      <c r="L129">
        <v>0</v>
      </c>
      <c r="M129">
        <v>0</v>
      </c>
      <c r="N129">
        <v>1695</v>
      </c>
      <c r="O129">
        <v>0.05</v>
      </c>
      <c r="P129">
        <v>0</v>
      </c>
      <c r="Q129">
        <v>0</v>
      </c>
      <c r="R129">
        <v>0</v>
      </c>
      <c r="S129">
        <v>0</v>
      </c>
      <c r="T129">
        <v>3.2280000000000002</v>
      </c>
      <c r="U129">
        <v>-8.0000000000000004E-4</v>
      </c>
      <c r="V129">
        <v>0</v>
      </c>
      <c r="W129">
        <v>-2.5000000000000001E-2</v>
      </c>
      <c r="X129">
        <v>1E-3</v>
      </c>
      <c r="Y129">
        <v>0</v>
      </c>
      <c r="Z129">
        <v>0</v>
      </c>
      <c r="AA129">
        <v>0</v>
      </c>
      <c r="AB129">
        <v>1</v>
      </c>
      <c r="AC129">
        <v>4.0999999999999996</v>
      </c>
      <c r="AD129">
        <v>0</v>
      </c>
      <c r="AE129">
        <v>0</v>
      </c>
      <c r="AF129">
        <v>6.1499999999999999E-2</v>
      </c>
      <c r="AG129">
        <v>175</v>
      </c>
      <c r="AH129">
        <v>0</v>
      </c>
      <c r="AJ129" s="4">
        <v>5475</v>
      </c>
      <c r="AK129">
        <v>0.05</v>
      </c>
      <c r="AL129">
        <v>0</v>
      </c>
      <c r="AS129">
        <v>0.05</v>
      </c>
      <c r="AT129">
        <v>-2.0000000000000001E-4</v>
      </c>
      <c r="BC129">
        <v>0.4</v>
      </c>
      <c r="BD129">
        <v>-1.6999999999999999E-3</v>
      </c>
      <c r="BE129">
        <v>0.4</v>
      </c>
      <c r="BF129">
        <v>-1.8E-3</v>
      </c>
      <c r="BG129">
        <v>0.9</v>
      </c>
      <c r="BH129">
        <v>-3.7000000000000002E-3</v>
      </c>
    </row>
    <row r="130" spans="1:60" x14ac:dyDescent="0.35">
      <c r="A130" t="s">
        <v>34</v>
      </c>
      <c r="B130" s="1">
        <v>46146.65625</v>
      </c>
      <c r="C130" t="s">
        <v>34</v>
      </c>
      <c r="D130" s="1">
        <v>46146.625</v>
      </c>
      <c r="E130">
        <v>6825</v>
      </c>
      <c r="F130" t="s">
        <v>36</v>
      </c>
      <c r="G130">
        <v>0.03</v>
      </c>
      <c r="H130">
        <v>0.1</v>
      </c>
      <c r="I130">
        <v>0.03</v>
      </c>
      <c r="J130">
        <v>0.03</v>
      </c>
      <c r="K130">
        <v>312</v>
      </c>
      <c r="L130">
        <v>0</v>
      </c>
      <c r="M130">
        <v>0</v>
      </c>
      <c r="N130">
        <v>1814</v>
      </c>
      <c r="O130">
        <v>0.05</v>
      </c>
      <c r="P130">
        <v>0</v>
      </c>
      <c r="Q130">
        <v>0</v>
      </c>
      <c r="R130">
        <v>0</v>
      </c>
      <c r="S130">
        <v>0</v>
      </c>
      <c r="T130">
        <v>3.1877</v>
      </c>
      <c r="U130">
        <v>-8.0000000000000004E-4</v>
      </c>
      <c r="V130">
        <v>0</v>
      </c>
      <c r="W130">
        <v>-2.5000000000000001E-2</v>
      </c>
      <c r="X130">
        <v>1E-3</v>
      </c>
      <c r="Y130">
        <v>0</v>
      </c>
      <c r="Z130">
        <v>0</v>
      </c>
      <c r="AA130">
        <v>0</v>
      </c>
      <c r="AB130">
        <v>103</v>
      </c>
      <c r="AC130">
        <v>0.05</v>
      </c>
      <c r="AD130">
        <v>0</v>
      </c>
      <c r="AE130">
        <v>0</v>
      </c>
      <c r="AF130">
        <v>5.0500000000000003E-2</v>
      </c>
      <c r="AG130">
        <v>406</v>
      </c>
      <c r="AH130">
        <v>0</v>
      </c>
      <c r="AJ130" s="4">
        <v>5480</v>
      </c>
      <c r="BC130">
        <v>0.4</v>
      </c>
      <c r="BD130">
        <v>-1.6999999999999999E-3</v>
      </c>
      <c r="BE130">
        <v>0.45</v>
      </c>
      <c r="BF130">
        <v>-1.9E-3</v>
      </c>
      <c r="BG130">
        <v>0.85000000000000009</v>
      </c>
      <c r="BH130">
        <v>-3.5999999999999999E-3</v>
      </c>
    </row>
    <row r="131" spans="1:60" x14ac:dyDescent="0.35">
      <c r="A131" t="s">
        <v>34</v>
      </c>
      <c r="B131" s="1">
        <v>46146.65625</v>
      </c>
      <c r="C131" t="s">
        <v>34</v>
      </c>
      <c r="D131" s="1">
        <v>46146.625</v>
      </c>
      <c r="E131">
        <v>6830</v>
      </c>
      <c r="F131" t="s">
        <v>36</v>
      </c>
      <c r="G131">
        <v>0.05</v>
      </c>
      <c r="H131">
        <v>0.1</v>
      </c>
      <c r="I131">
        <v>0.03</v>
      </c>
      <c r="J131">
        <v>0.05</v>
      </c>
      <c r="K131">
        <v>24</v>
      </c>
      <c r="L131">
        <v>0</v>
      </c>
      <c r="M131">
        <v>0</v>
      </c>
      <c r="N131">
        <v>1686</v>
      </c>
      <c r="O131">
        <v>0.05</v>
      </c>
      <c r="P131">
        <v>0</v>
      </c>
      <c r="Q131">
        <v>0</v>
      </c>
      <c r="R131">
        <v>0</v>
      </c>
      <c r="S131">
        <v>0</v>
      </c>
      <c r="T131">
        <v>3.1475</v>
      </c>
      <c r="U131">
        <v>-8.0000000000000004E-4</v>
      </c>
      <c r="V131">
        <v>0</v>
      </c>
      <c r="W131">
        <v>-2.5000000000000001E-2</v>
      </c>
      <c r="X131">
        <v>1E-3</v>
      </c>
      <c r="Y131">
        <v>0</v>
      </c>
      <c r="Z131">
        <v>0</v>
      </c>
      <c r="AA131">
        <v>0</v>
      </c>
      <c r="AB131">
        <v>1</v>
      </c>
      <c r="AC131">
        <v>4.0999999999999996</v>
      </c>
      <c r="AD131">
        <v>0</v>
      </c>
      <c r="AE131">
        <v>0</v>
      </c>
      <c r="AF131">
        <v>5.8799999999999998E-2</v>
      </c>
      <c r="AG131">
        <v>237</v>
      </c>
      <c r="AH131">
        <v>0</v>
      </c>
      <c r="AJ131" s="4">
        <v>5490</v>
      </c>
      <c r="BC131">
        <v>0.4</v>
      </c>
      <c r="BD131">
        <v>-1.6999999999999999E-3</v>
      </c>
      <c r="BE131">
        <v>0.45</v>
      </c>
      <c r="BF131">
        <v>-2E-3</v>
      </c>
      <c r="BG131">
        <v>0.85000000000000009</v>
      </c>
      <c r="BH131">
        <v>-3.7000000000000002E-3</v>
      </c>
    </row>
    <row r="132" spans="1:60" x14ac:dyDescent="0.35">
      <c r="A132" t="s">
        <v>34</v>
      </c>
      <c r="B132" s="1">
        <v>46146.65625</v>
      </c>
      <c r="C132" t="s">
        <v>34</v>
      </c>
      <c r="D132" s="1">
        <v>46146.625</v>
      </c>
      <c r="E132">
        <v>6835</v>
      </c>
      <c r="F132" t="s">
        <v>36</v>
      </c>
      <c r="G132">
        <v>0.03</v>
      </c>
      <c r="H132">
        <v>0.1</v>
      </c>
      <c r="I132">
        <v>0.03</v>
      </c>
      <c r="J132">
        <v>0.1</v>
      </c>
      <c r="K132">
        <v>6</v>
      </c>
      <c r="L132">
        <v>0</v>
      </c>
      <c r="M132">
        <v>0</v>
      </c>
      <c r="N132">
        <v>1702</v>
      </c>
      <c r="O132">
        <v>0.05</v>
      </c>
      <c r="P132">
        <v>0</v>
      </c>
      <c r="Q132">
        <v>0</v>
      </c>
      <c r="R132">
        <v>0</v>
      </c>
      <c r="S132">
        <v>0</v>
      </c>
      <c r="T132">
        <v>3.1072000000000002</v>
      </c>
      <c r="U132">
        <v>-8.0000000000000004E-4</v>
      </c>
      <c r="V132">
        <v>0</v>
      </c>
      <c r="W132">
        <v>-2.5000000000000001E-2</v>
      </c>
      <c r="X132">
        <v>1E-3</v>
      </c>
      <c r="Y132">
        <v>0</v>
      </c>
      <c r="Z132">
        <v>0</v>
      </c>
      <c r="AA132">
        <v>0</v>
      </c>
      <c r="AB132">
        <v>1</v>
      </c>
      <c r="AC132">
        <v>4.0999999999999996</v>
      </c>
      <c r="AD132">
        <v>0</v>
      </c>
      <c r="AE132">
        <v>0</v>
      </c>
      <c r="AF132">
        <v>0.08</v>
      </c>
      <c r="AG132">
        <v>430</v>
      </c>
      <c r="AH132">
        <v>0</v>
      </c>
      <c r="AJ132" s="4">
        <v>5500</v>
      </c>
      <c r="AK132">
        <v>0.05</v>
      </c>
      <c r="AL132">
        <v>0</v>
      </c>
      <c r="AM132">
        <v>0.05</v>
      </c>
      <c r="AN132">
        <v>-2.0000000000000001E-4</v>
      </c>
      <c r="AO132">
        <v>0.05</v>
      </c>
      <c r="AP132">
        <v>-2.0000000000000001E-4</v>
      </c>
      <c r="AQ132">
        <v>0.05</v>
      </c>
      <c r="AR132">
        <v>-2.0000000000000001E-4</v>
      </c>
      <c r="AS132">
        <v>0.05</v>
      </c>
      <c r="AT132">
        <v>-2.0000000000000001E-4</v>
      </c>
      <c r="AU132">
        <v>0.1</v>
      </c>
      <c r="AV132">
        <v>-5.0000000000000001E-4</v>
      </c>
      <c r="AW132">
        <v>0.2</v>
      </c>
      <c r="AX132">
        <v>-8.0000000000000004E-4</v>
      </c>
      <c r="AY132">
        <v>0.25</v>
      </c>
      <c r="AZ132">
        <v>-1E-3</v>
      </c>
      <c r="BA132">
        <v>0.35</v>
      </c>
      <c r="BB132">
        <v>-1.5E-3</v>
      </c>
      <c r="BC132">
        <v>0.4</v>
      </c>
      <c r="BD132">
        <v>-1.6999999999999999E-3</v>
      </c>
      <c r="BE132">
        <v>0.45</v>
      </c>
      <c r="BF132">
        <v>-2E-3</v>
      </c>
      <c r="BG132">
        <v>1.9999999999999998</v>
      </c>
      <c r="BH132">
        <v>-8.3000000000000001E-3</v>
      </c>
    </row>
    <row r="133" spans="1:60" x14ac:dyDescent="0.35">
      <c r="A133" t="s">
        <v>34</v>
      </c>
      <c r="B133" s="1">
        <v>46146.65625</v>
      </c>
      <c r="C133" t="s">
        <v>34</v>
      </c>
      <c r="D133" s="1">
        <v>46146.625</v>
      </c>
      <c r="E133">
        <v>6840</v>
      </c>
      <c r="F133" t="s">
        <v>36</v>
      </c>
      <c r="G133">
        <v>0.03</v>
      </c>
      <c r="H133">
        <v>0.03</v>
      </c>
      <c r="I133">
        <v>0.03</v>
      </c>
      <c r="J133">
        <v>0.03</v>
      </c>
      <c r="K133">
        <v>10</v>
      </c>
      <c r="L133">
        <v>0</v>
      </c>
      <c r="M133">
        <v>0</v>
      </c>
      <c r="N133">
        <v>1701</v>
      </c>
      <c r="O133">
        <v>0.05</v>
      </c>
      <c r="P133">
        <v>0</v>
      </c>
      <c r="Q133">
        <v>0</v>
      </c>
      <c r="R133">
        <v>0</v>
      </c>
      <c r="S133">
        <v>0</v>
      </c>
      <c r="T133">
        <v>3.0670000000000002</v>
      </c>
      <c r="U133">
        <v>-8.0000000000000004E-4</v>
      </c>
      <c r="V133">
        <v>0</v>
      </c>
      <c r="W133">
        <v>-2.5000000000000001E-2</v>
      </c>
      <c r="X133">
        <v>1.1000000000000001E-3</v>
      </c>
      <c r="Y133">
        <v>0</v>
      </c>
      <c r="Z133">
        <v>0</v>
      </c>
      <c r="AA133">
        <v>0</v>
      </c>
      <c r="AB133">
        <v>1</v>
      </c>
      <c r="AC133">
        <v>4.0999999999999996</v>
      </c>
      <c r="AD133">
        <v>0</v>
      </c>
      <c r="AE133">
        <v>0</v>
      </c>
      <c r="AF133">
        <v>0.03</v>
      </c>
      <c r="AG133">
        <v>375</v>
      </c>
      <c r="AH133">
        <v>0</v>
      </c>
      <c r="AJ133" s="4">
        <v>5510</v>
      </c>
      <c r="BC133">
        <v>0.45</v>
      </c>
      <c r="BD133">
        <v>-1.9E-3</v>
      </c>
      <c r="BE133">
        <v>0.45</v>
      </c>
      <c r="BF133">
        <v>-2E-3</v>
      </c>
      <c r="BG133">
        <v>0.9</v>
      </c>
      <c r="BH133">
        <v>-3.8999999999999998E-3</v>
      </c>
    </row>
    <row r="134" spans="1:60" x14ac:dyDescent="0.35">
      <c r="A134" t="s">
        <v>34</v>
      </c>
      <c r="B134" s="1">
        <v>46146.65625</v>
      </c>
      <c r="C134" t="s">
        <v>34</v>
      </c>
      <c r="D134" s="1">
        <v>46146.625</v>
      </c>
      <c r="E134">
        <v>6845</v>
      </c>
      <c r="F134" t="s">
        <v>36</v>
      </c>
      <c r="G134">
        <v>0.05</v>
      </c>
      <c r="H134">
        <v>0.1</v>
      </c>
      <c r="I134">
        <v>0.05</v>
      </c>
      <c r="J134">
        <v>0.05</v>
      </c>
      <c r="K134">
        <v>74</v>
      </c>
      <c r="L134">
        <v>0</v>
      </c>
      <c r="M134">
        <v>0</v>
      </c>
      <c r="N134">
        <v>1693</v>
      </c>
      <c r="O134">
        <v>0.05</v>
      </c>
      <c r="P134">
        <v>0</v>
      </c>
      <c r="Q134">
        <v>0</v>
      </c>
      <c r="R134">
        <v>0</v>
      </c>
      <c r="S134">
        <v>0</v>
      </c>
      <c r="T134">
        <v>3.0266999999999999</v>
      </c>
      <c r="U134">
        <v>-8.0000000000000004E-4</v>
      </c>
      <c r="V134">
        <v>0</v>
      </c>
      <c r="W134">
        <v>-2.5000000000000001E-2</v>
      </c>
      <c r="X134">
        <v>1.1000000000000001E-3</v>
      </c>
      <c r="Y134">
        <v>0</v>
      </c>
      <c r="Z134">
        <v>0</v>
      </c>
      <c r="AA134">
        <v>0</v>
      </c>
      <c r="AB134">
        <v>6</v>
      </c>
      <c r="AC134">
        <v>0.05</v>
      </c>
      <c r="AD134">
        <v>0</v>
      </c>
      <c r="AE134">
        <v>0</v>
      </c>
      <c r="AF134">
        <v>7.1800000000000003E-2</v>
      </c>
      <c r="AG134">
        <v>350</v>
      </c>
      <c r="AH134">
        <v>0</v>
      </c>
      <c r="AJ134" s="4">
        <v>5520</v>
      </c>
      <c r="BC134">
        <v>0.45</v>
      </c>
      <c r="BD134">
        <v>-2E-3</v>
      </c>
      <c r="BE134">
        <v>0.45</v>
      </c>
      <c r="BF134">
        <v>-2E-3</v>
      </c>
      <c r="BG134">
        <v>0.9</v>
      </c>
      <c r="BH134">
        <v>-4.0000000000000001E-3</v>
      </c>
    </row>
    <row r="135" spans="1:60" x14ac:dyDescent="0.35">
      <c r="A135" t="s">
        <v>34</v>
      </c>
      <c r="B135" s="1">
        <v>46146.65625</v>
      </c>
      <c r="C135" t="s">
        <v>34</v>
      </c>
      <c r="D135" s="1">
        <v>46146.625</v>
      </c>
      <c r="E135">
        <v>6850</v>
      </c>
      <c r="F135" t="s">
        <v>36</v>
      </c>
      <c r="G135">
        <v>0.05</v>
      </c>
      <c r="H135">
        <v>0.2</v>
      </c>
      <c r="I135">
        <v>0.03</v>
      </c>
      <c r="J135">
        <v>0.03</v>
      </c>
      <c r="K135">
        <v>1089</v>
      </c>
      <c r="L135">
        <v>0</v>
      </c>
      <c r="M135">
        <v>0</v>
      </c>
      <c r="N135">
        <v>1823</v>
      </c>
      <c r="O135">
        <v>0.05</v>
      </c>
      <c r="P135">
        <v>0</v>
      </c>
      <c r="Q135">
        <v>0</v>
      </c>
      <c r="R135">
        <v>0</v>
      </c>
      <c r="S135">
        <v>0</v>
      </c>
      <c r="T135">
        <v>2.9864000000000002</v>
      </c>
      <c r="U135">
        <v>-8.9999999999999998E-4</v>
      </c>
      <c r="V135">
        <v>0</v>
      </c>
      <c r="W135">
        <v>-2.5000000000000001E-2</v>
      </c>
      <c r="X135">
        <v>1.1000000000000001E-3</v>
      </c>
      <c r="Y135">
        <v>0</v>
      </c>
      <c r="Z135">
        <v>0</v>
      </c>
      <c r="AA135">
        <v>0</v>
      </c>
      <c r="AB135">
        <v>109</v>
      </c>
      <c r="AC135">
        <v>0.05</v>
      </c>
      <c r="AD135">
        <v>0</v>
      </c>
      <c r="AE135">
        <v>0</v>
      </c>
      <c r="AF135">
        <v>5.0599999999999999E-2</v>
      </c>
      <c r="AG135">
        <v>1498</v>
      </c>
      <c r="AH135">
        <v>0</v>
      </c>
      <c r="AJ135" s="4">
        <v>5525</v>
      </c>
      <c r="AK135">
        <v>0.05</v>
      </c>
      <c r="AL135">
        <v>0</v>
      </c>
      <c r="AS135">
        <v>0.05</v>
      </c>
      <c r="AT135">
        <v>-2.0000000000000001E-4</v>
      </c>
      <c r="BC135">
        <v>0.45</v>
      </c>
      <c r="BD135">
        <v>-2E-3</v>
      </c>
      <c r="BE135">
        <v>0.45</v>
      </c>
      <c r="BF135">
        <v>-2.0999999999999999E-3</v>
      </c>
      <c r="BG135">
        <v>1</v>
      </c>
      <c r="BH135">
        <v>-4.3E-3</v>
      </c>
    </row>
    <row r="136" spans="1:60" x14ac:dyDescent="0.35">
      <c r="A136" t="s">
        <v>34</v>
      </c>
      <c r="B136" s="1">
        <v>46146.65625</v>
      </c>
      <c r="C136" t="s">
        <v>34</v>
      </c>
      <c r="D136" s="1">
        <v>46146.625</v>
      </c>
      <c r="E136">
        <v>6855</v>
      </c>
      <c r="F136" t="s">
        <v>36</v>
      </c>
      <c r="G136">
        <v>0.03</v>
      </c>
      <c r="H136">
        <v>0.2</v>
      </c>
      <c r="I136">
        <v>0.03</v>
      </c>
      <c r="J136">
        <v>0.05</v>
      </c>
      <c r="K136">
        <v>178</v>
      </c>
      <c r="L136">
        <v>0</v>
      </c>
      <c r="M136">
        <v>0</v>
      </c>
      <c r="N136">
        <v>1690</v>
      </c>
      <c r="O136">
        <v>0.05</v>
      </c>
      <c r="P136">
        <v>0</v>
      </c>
      <c r="Q136">
        <v>0</v>
      </c>
      <c r="R136">
        <v>0</v>
      </c>
      <c r="S136">
        <v>0</v>
      </c>
      <c r="T136">
        <v>2.9460999999999999</v>
      </c>
      <c r="U136">
        <v>-8.9999999999999998E-4</v>
      </c>
      <c r="V136">
        <v>0</v>
      </c>
      <c r="W136">
        <v>-2.5000000000000001E-2</v>
      </c>
      <c r="X136">
        <v>1.1000000000000001E-3</v>
      </c>
      <c r="Y136">
        <v>0</v>
      </c>
      <c r="Z136">
        <v>0</v>
      </c>
      <c r="AA136">
        <v>0</v>
      </c>
      <c r="AB136">
        <v>1</v>
      </c>
      <c r="AC136">
        <v>4.0999999999999996</v>
      </c>
      <c r="AD136">
        <v>0</v>
      </c>
      <c r="AE136">
        <v>0</v>
      </c>
      <c r="AF136">
        <v>5.3999999999999999E-2</v>
      </c>
      <c r="AG136">
        <v>1215</v>
      </c>
      <c r="AH136">
        <v>0</v>
      </c>
      <c r="AJ136" s="4">
        <v>5530</v>
      </c>
      <c r="BC136">
        <v>0.45</v>
      </c>
      <c r="BD136">
        <v>-2E-3</v>
      </c>
      <c r="BE136">
        <v>0.45</v>
      </c>
      <c r="BF136">
        <v>-2.0999999999999999E-3</v>
      </c>
      <c r="BG136">
        <v>0.9</v>
      </c>
      <c r="BH136">
        <v>-4.0999999999999995E-3</v>
      </c>
    </row>
    <row r="137" spans="1:60" x14ac:dyDescent="0.35">
      <c r="A137" t="s">
        <v>34</v>
      </c>
      <c r="B137" s="1">
        <v>46146.65625</v>
      </c>
      <c r="C137" t="s">
        <v>34</v>
      </c>
      <c r="D137" s="1">
        <v>46146.625</v>
      </c>
      <c r="E137">
        <v>6860</v>
      </c>
      <c r="F137" t="s">
        <v>36</v>
      </c>
      <c r="G137">
        <v>0.03</v>
      </c>
      <c r="H137">
        <v>0.2</v>
      </c>
      <c r="I137">
        <v>0.03</v>
      </c>
      <c r="J137">
        <v>0.05</v>
      </c>
      <c r="K137">
        <v>858</v>
      </c>
      <c r="L137">
        <v>0</v>
      </c>
      <c r="M137">
        <v>0</v>
      </c>
      <c r="N137">
        <v>1681</v>
      </c>
      <c r="O137">
        <v>0.05</v>
      </c>
      <c r="P137">
        <v>0</v>
      </c>
      <c r="Q137">
        <v>0</v>
      </c>
      <c r="R137">
        <v>0</v>
      </c>
      <c r="S137">
        <v>0</v>
      </c>
      <c r="T137">
        <v>2.9058999999999999</v>
      </c>
      <c r="U137">
        <v>-8.9999999999999998E-4</v>
      </c>
      <c r="V137">
        <v>0</v>
      </c>
      <c r="W137">
        <v>-2.5000000000000001E-2</v>
      </c>
      <c r="X137">
        <v>1.1000000000000001E-3</v>
      </c>
      <c r="Y137">
        <v>0</v>
      </c>
      <c r="Z137">
        <v>0</v>
      </c>
      <c r="AA137">
        <v>0</v>
      </c>
      <c r="AB137">
        <v>1</v>
      </c>
      <c r="AC137">
        <v>4.0999999999999996</v>
      </c>
      <c r="AD137">
        <v>0</v>
      </c>
      <c r="AE137">
        <v>0</v>
      </c>
      <c r="AF137">
        <v>3.9699999999999999E-2</v>
      </c>
      <c r="AG137">
        <v>1047</v>
      </c>
      <c r="AH137">
        <v>0</v>
      </c>
      <c r="AJ137" s="4">
        <v>5540</v>
      </c>
      <c r="BC137">
        <v>0.45</v>
      </c>
      <c r="BD137">
        <v>-2E-3</v>
      </c>
      <c r="BE137">
        <v>0.45</v>
      </c>
      <c r="BF137">
        <v>-2.0999999999999999E-3</v>
      </c>
      <c r="BG137">
        <v>0.9</v>
      </c>
      <c r="BH137">
        <v>-4.0999999999999995E-3</v>
      </c>
    </row>
    <row r="138" spans="1:60" x14ac:dyDescent="0.35">
      <c r="A138" t="s">
        <v>34</v>
      </c>
      <c r="B138" s="1">
        <v>46146.65625</v>
      </c>
      <c r="C138" t="s">
        <v>34</v>
      </c>
      <c r="D138" s="1">
        <v>46146.625</v>
      </c>
      <c r="E138">
        <v>6865</v>
      </c>
      <c r="F138" t="s">
        <v>36</v>
      </c>
      <c r="G138">
        <v>0.05</v>
      </c>
      <c r="H138">
        <v>0.2</v>
      </c>
      <c r="I138">
        <v>0.03</v>
      </c>
      <c r="J138">
        <v>0.03</v>
      </c>
      <c r="K138">
        <v>203</v>
      </c>
      <c r="L138">
        <v>0</v>
      </c>
      <c r="M138">
        <v>0</v>
      </c>
      <c r="N138">
        <v>1678</v>
      </c>
      <c r="O138">
        <v>0.05</v>
      </c>
      <c r="P138">
        <v>0</v>
      </c>
      <c r="Q138">
        <v>0</v>
      </c>
      <c r="R138">
        <v>0</v>
      </c>
      <c r="S138">
        <v>0</v>
      </c>
      <c r="T138">
        <v>2.8656000000000001</v>
      </c>
      <c r="U138">
        <v>-8.9999999999999998E-4</v>
      </c>
      <c r="V138">
        <v>0</v>
      </c>
      <c r="W138">
        <v>-2.5000000000000001E-2</v>
      </c>
      <c r="X138">
        <v>1.1000000000000001E-3</v>
      </c>
      <c r="Y138">
        <v>0</v>
      </c>
      <c r="Z138">
        <v>0</v>
      </c>
      <c r="AA138">
        <v>0</v>
      </c>
      <c r="AB138">
        <v>1</v>
      </c>
      <c r="AC138">
        <v>4.0999999999999996</v>
      </c>
      <c r="AD138">
        <v>0</v>
      </c>
      <c r="AE138">
        <v>0</v>
      </c>
      <c r="AF138">
        <v>5.7099999999999998E-2</v>
      </c>
      <c r="AG138">
        <v>1478</v>
      </c>
      <c r="AH138">
        <v>0</v>
      </c>
      <c r="AJ138" s="4">
        <v>5550</v>
      </c>
      <c r="AK138">
        <v>0.05</v>
      </c>
      <c r="AL138">
        <v>0</v>
      </c>
      <c r="AS138">
        <v>0.05</v>
      </c>
      <c r="AT138">
        <v>-2.0000000000000001E-4</v>
      </c>
      <c r="BC138">
        <v>0.45</v>
      </c>
      <c r="BD138">
        <v>-2E-3</v>
      </c>
      <c r="BE138">
        <v>0.45</v>
      </c>
      <c r="BF138">
        <v>-2.0999999999999999E-3</v>
      </c>
      <c r="BG138">
        <v>1</v>
      </c>
      <c r="BH138">
        <v>-4.3E-3</v>
      </c>
    </row>
    <row r="139" spans="1:60" x14ac:dyDescent="0.35">
      <c r="A139" t="s">
        <v>34</v>
      </c>
      <c r="B139" s="1">
        <v>46146.65625</v>
      </c>
      <c r="C139" t="s">
        <v>34</v>
      </c>
      <c r="D139" s="1">
        <v>46146.625</v>
      </c>
      <c r="E139">
        <v>6870</v>
      </c>
      <c r="F139" t="s">
        <v>36</v>
      </c>
      <c r="G139">
        <v>0.03</v>
      </c>
      <c r="H139">
        <v>0.25</v>
      </c>
      <c r="I139">
        <v>0.03</v>
      </c>
      <c r="J139">
        <v>7.0000000000000007E-2</v>
      </c>
      <c r="K139">
        <v>291</v>
      </c>
      <c r="L139">
        <v>0</v>
      </c>
      <c r="M139">
        <v>0</v>
      </c>
      <c r="N139">
        <v>1671</v>
      </c>
      <c r="O139">
        <v>0.05</v>
      </c>
      <c r="P139">
        <v>0</v>
      </c>
      <c r="Q139">
        <v>0</v>
      </c>
      <c r="R139">
        <v>0</v>
      </c>
      <c r="S139">
        <v>0</v>
      </c>
      <c r="T139">
        <v>2.8252000000000002</v>
      </c>
      <c r="U139">
        <v>-8.9999999999999998E-4</v>
      </c>
      <c r="V139">
        <v>0</v>
      </c>
      <c r="W139">
        <v>-2.5000000000000001E-2</v>
      </c>
      <c r="X139">
        <v>1.1000000000000001E-3</v>
      </c>
      <c r="Y139">
        <v>0</v>
      </c>
      <c r="Z139">
        <v>0</v>
      </c>
      <c r="AA139">
        <v>0</v>
      </c>
      <c r="AB139">
        <v>1</v>
      </c>
      <c r="AC139">
        <v>0.05</v>
      </c>
      <c r="AD139">
        <v>0</v>
      </c>
      <c r="AE139">
        <v>0</v>
      </c>
      <c r="AF139">
        <v>5.0799999999999998E-2</v>
      </c>
      <c r="AG139">
        <v>174</v>
      </c>
      <c r="AH139">
        <v>0</v>
      </c>
      <c r="AJ139" s="4">
        <v>5560</v>
      </c>
      <c r="BC139">
        <v>0.45</v>
      </c>
      <c r="BD139">
        <v>-2E-3</v>
      </c>
      <c r="BE139">
        <v>0.5</v>
      </c>
      <c r="BF139">
        <v>-2.3E-3</v>
      </c>
      <c r="BG139">
        <v>0.95</v>
      </c>
      <c r="BH139">
        <v>-4.3E-3</v>
      </c>
    </row>
    <row r="140" spans="1:60" x14ac:dyDescent="0.35">
      <c r="A140" t="s">
        <v>34</v>
      </c>
      <c r="B140" s="1">
        <v>46146.65625</v>
      </c>
      <c r="C140" t="s">
        <v>34</v>
      </c>
      <c r="D140" s="1">
        <v>46146.625</v>
      </c>
      <c r="E140">
        <v>6875</v>
      </c>
      <c r="F140" t="s">
        <v>36</v>
      </c>
      <c r="G140">
        <v>0.05</v>
      </c>
      <c r="H140">
        <v>0.2</v>
      </c>
      <c r="I140">
        <v>0.02</v>
      </c>
      <c r="J140">
        <v>0.1</v>
      </c>
      <c r="K140">
        <v>868</v>
      </c>
      <c r="L140">
        <v>0</v>
      </c>
      <c r="M140">
        <v>0</v>
      </c>
      <c r="N140">
        <v>1744</v>
      </c>
      <c r="O140">
        <v>0.05</v>
      </c>
      <c r="P140">
        <v>0</v>
      </c>
      <c r="Q140">
        <v>0</v>
      </c>
      <c r="R140">
        <v>0</v>
      </c>
      <c r="S140">
        <v>0</v>
      </c>
      <c r="T140">
        <v>2.7848999999999999</v>
      </c>
      <c r="U140">
        <v>-8.9999999999999998E-4</v>
      </c>
      <c r="V140">
        <v>0</v>
      </c>
      <c r="W140">
        <v>-2.5000000000000001E-2</v>
      </c>
      <c r="X140">
        <v>1.1999999999999999E-3</v>
      </c>
      <c r="Y140">
        <v>0</v>
      </c>
      <c r="Z140">
        <v>0</v>
      </c>
      <c r="AA140">
        <v>0</v>
      </c>
      <c r="AB140">
        <v>104</v>
      </c>
      <c r="AC140">
        <v>0.05</v>
      </c>
      <c r="AD140">
        <v>0</v>
      </c>
      <c r="AE140">
        <v>0</v>
      </c>
      <c r="AF140">
        <v>4.9299999999999997E-2</v>
      </c>
      <c r="AG140">
        <v>728</v>
      </c>
      <c r="AH140">
        <v>0</v>
      </c>
      <c r="AJ140" s="4">
        <v>5570</v>
      </c>
      <c r="BC140">
        <v>0.45</v>
      </c>
      <c r="BD140">
        <v>-2.0999999999999999E-3</v>
      </c>
      <c r="BE140">
        <v>0.5</v>
      </c>
      <c r="BF140">
        <v>-2.3E-3</v>
      </c>
      <c r="BG140">
        <v>0.95</v>
      </c>
      <c r="BH140">
        <v>-4.3999999999999994E-3</v>
      </c>
    </row>
    <row r="141" spans="1:60" x14ac:dyDescent="0.35">
      <c r="A141" t="s">
        <v>34</v>
      </c>
      <c r="B141" s="1">
        <v>46146.65625</v>
      </c>
      <c r="C141" t="s">
        <v>34</v>
      </c>
      <c r="D141" s="1">
        <v>46146.625</v>
      </c>
      <c r="E141">
        <v>6880</v>
      </c>
      <c r="F141" t="s">
        <v>36</v>
      </c>
      <c r="G141">
        <v>0.05</v>
      </c>
      <c r="H141">
        <v>0.2</v>
      </c>
      <c r="I141">
        <v>0.03</v>
      </c>
      <c r="J141">
        <v>0.03</v>
      </c>
      <c r="K141">
        <v>1033</v>
      </c>
      <c r="L141">
        <v>0</v>
      </c>
      <c r="M141">
        <v>0</v>
      </c>
      <c r="N141">
        <v>1644</v>
      </c>
      <c r="O141">
        <v>0.05</v>
      </c>
      <c r="P141">
        <v>0</v>
      </c>
      <c r="Q141">
        <v>0</v>
      </c>
      <c r="R141">
        <v>0</v>
      </c>
      <c r="S141">
        <v>0</v>
      </c>
      <c r="T141">
        <v>2.7446000000000002</v>
      </c>
      <c r="U141">
        <v>-8.9999999999999998E-4</v>
      </c>
      <c r="V141">
        <v>0</v>
      </c>
      <c r="W141">
        <v>-2.5000000000000001E-2</v>
      </c>
      <c r="X141">
        <v>1.1999999999999999E-3</v>
      </c>
      <c r="Y141">
        <v>0</v>
      </c>
      <c r="Z141">
        <v>0</v>
      </c>
      <c r="AA141">
        <v>0</v>
      </c>
      <c r="AB141">
        <v>1</v>
      </c>
      <c r="AC141">
        <v>4.0999999999999996</v>
      </c>
      <c r="AD141">
        <v>0</v>
      </c>
      <c r="AE141">
        <v>0</v>
      </c>
      <c r="AF141">
        <v>4.8899999999999999E-2</v>
      </c>
      <c r="AG141">
        <v>753</v>
      </c>
      <c r="AH141">
        <v>0</v>
      </c>
      <c r="AJ141" s="4">
        <v>5575</v>
      </c>
      <c r="AK141">
        <v>0.05</v>
      </c>
      <c r="AL141">
        <v>0</v>
      </c>
      <c r="AS141">
        <v>0.05</v>
      </c>
      <c r="AT141">
        <v>-2.0000000000000001E-4</v>
      </c>
      <c r="BC141">
        <v>0.5</v>
      </c>
      <c r="BD141">
        <v>-2.2000000000000001E-3</v>
      </c>
      <c r="BE141">
        <v>0.5</v>
      </c>
      <c r="BF141">
        <v>-2.3E-3</v>
      </c>
      <c r="BG141">
        <v>1.1000000000000001</v>
      </c>
      <c r="BH141">
        <v>-4.7000000000000002E-3</v>
      </c>
    </row>
    <row r="142" spans="1:60" x14ac:dyDescent="0.35">
      <c r="A142" t="s">
        <v>34</v>
      </c>
      <c r="B142" s="1">
        <v>46146.65625</v>
      </c>
      <c r="C142" t="s">
        <v>34</v>
      </c>
      <c r="D142" s="1">
        <v>46146.625</v>
      </c>
      <c r="E142">
        <v>6885</v>
      </c>
      <c r="F142" t="s">
        <v>36</v>
      </c>
      <c r="G142">
        <v>0.05</v>
      </c>
      <c r="H142">
        <v>0.2</v>
      </c>
      <c r="I142">
        <v>0.03</v>
      </c>
      <c r="J142">
        <v>0.05</v>
      </c>
      <c r="K142">
        <v>190</v>
      </c>
      <c r="L142">
        <v>0</v>
      </c>
      <c r="M142">
        <v>0</v>
      </c>
      <c r="N142">
        <v>1637</v>
      </c>
      <c r="O142">
        <v>0.05</v>
      </c>
      <c r="P142">
        <v>0</v>
      </c>
      <c r="Q142">
        <v>0</v>
      </c>
      <c r="R142">
        <v>0</v>
      </c>
      <c r="S142">
        <v>0</v>
      </c>
      <c r="T142">
        <v>2.7042000000000002</v>
      </c>
      <c r="U142">
        <v>-8.9999999999999998E-4</v>
      </c>
      <c r="V142">
        <v>0</v>
      </c>
      <c r="W142">
        <v>-2.5000000000000001E-2</v>
      </c>
      <c r="X142">
        <v>1.1999999999999999E-3</v>
      </c>
      <c r="Y142">
        <v>0</v>
      </c>
      <c r="Z142">
        <v>0</v>
      </c>
      <c r="AA142">
        <v>0</v>
      </c>
      <c r="AB142">
        <v>2</v>
      </c>
      <c r="AC142">
        <v>0.1</v>
      </c>
      <c r="AD142">
        <v>0</v>
      </c>
      <c r="AE142">
        <v>0</v>
      </c>
      <c r="AF142">
        <v>5.7099999999999998E-2</v>
      </c>
      <c r="AG142">
        <v>241</v>
      </c>
      <c r="AH142">
        <v>0</v>
      </c>
      <c r="AJ142" s="4">
        <v>5580</v>
      </c>
      <c r="BC142">
        <v>0.5</v>
      </c>
      <c r="BD142">
        <v>-2.2000000000000001E-3</v>
      </c>
      <c r="BE142">
        <v>0.5</v>
      </c>
      <c r="BF142">
        <v>-2.3E-3</v>
      </c>
      <c r="BG142">
        <v>1</v>
      </c>
      <c r="BH142">
        <v>-4.5000000000000005E-3</v>
      </c>
    </row>
    <row r="143" spans="1:60" x14ac:dyDescent="0.35">
      <c r="A143" t="s">
        <v>34</v>
      </c>
      <c r="B143" s="1">
        <v>46146.65625</v>
      </c>
      <c r="C143" t="s">
        <v>34</v>
      </c>
      <c r="D143" s="1">
        <v>46146.625</v>
      </c>
      <c r="E143">
        <v>6890</v>
      </c>
      <c r="F143" t="s">
        <v>36</v>
      </c>
      <c r="G143">
        <v>0.03</v>
      </c>
      <c r="H143">
        <v>0.2</v>
      </c>
      <c r="I143">
        <v>0.03</v>
      </c>
      <c r="J143">
        <v>0.03</v>
      </c>
      <c r="K143">
        <v>145</v>
      </c>
      <c r="L143">
        <v>0</v>
      </c>
      <c r="M143">
        <v>0</v>
      </c>
      <c r="N143">
        <v>1621</v>
      </c>
      <c r="O143">
        <v>0.05</v>
      </c>
      <c r="P143">
        <v>0</v>
      </c>
      <c r="Q143">
        <v>0</v>
      </c>
      <c r="R143">
        <v>0</v>
      </c>
      <c r="S143">
        <v>0</v>
      </c>
      <c r="T143">
        <v>2.6638999999999999</v>
      </c>
      <c r="U143">
        <v>-1E-3</v>
      </c>
      <c r="V143">
        <v>0</v>
      </c>
      <c r="W143">
        <v>-2.5000000000000001E-2</v>
      </c>
      <c r="X143">
        <v>1.1999999999999999E-3</v>
      </c>
      <c r="Y143">
        <v>0</v>
      </c>
      <c r="Z143">
        <v>0</v>
      </c>
      <c r="AA143">
        <v>0</v>
      </c>
      <c r="AB143">
        <v>1</v>
      </c>
      <c r="AC143">
        <v>4.0999999999999996</v>
      </c>
      <c r="AD143">
        <v>0</v>
      </c>
      <c r="AE143">
        <v>0</v>
      </c>
      <c r="AF143">
        <v>5.0799999999999998E-2</v>
      </c>
      <c r="AG143">
        <v>2294</v>
      </c>
      <c r="AH143">
        <v>0</v>
      </c>
      <c r="AJ143" s="4">
        <v>5590</v>
      </c>
      <c r="BC143">
        <v>0.5</v>
      </c>
      <c r="BD143">
        <v>-2.3E-3</v>
      </c>
      <c r="BE143">
        <v>0.5</v>
      </c>
      <c r="BF143">
        <v>-2.3E-3</v>
      </c>
      <c r="BG143">
        <v>1</v>
      </c>
      <c r="BH143">
        <v>-4.5999999999999999E-3</v>
      </c>
    </row>
    <row r="144" spans="1:60" x14ac:dyDescent="0.35">
      <c r="A144" t="s">
        <v>34</v>
      </c>
      <c r="B144" s="1">
        <v>46146.65625</v>
      </c>
      <c r="C144" t="s">
        <v>34</v>
      </c>
      <c r="D144" s="1">
        <v>46146.625</v>
      </c>
      <c r="E144">
        <v>6895</v>
      </c>
      <c r="F144" t="s">
        <v>36</v>
      </c>
      <c r="G144">
        <v>0.1</v>
      </c>
      <c r="H144">
        <v>0.1</v>
      </c>
      <c r="I144">
        <v>0.03</v>
      </c>
      <c r="J144">
        <v>0.03</v>
      </c>
      <c r="K144">
        <v>522</v>
      </c>
      <c r="L144">
        <v>0</v>
      </c>
      <c r="M144">
        <v>0</v>
      </c>
      <c r="N144">
        <v>1577</v>
      </c>
      <c r="O144">
        <v>0.05</v>
      </c>
      <c r="P144">
        <v>0</v>
      </c>
      <c r="Q144">
        <v>0</v>
      </c>
      <c r="R144">
        <v>0</v>
      </c>
      <c r="S144">
        <v>0</v>
      </c>
      <c r="T144">
        <v>2.6234999999999999</v>
      </c>
      <c r="U144">
        <v>-1E-3</v>
      </c>
      <c r="V144">
        <v>0</v>
      </c>
      <c r="W144">
        <v>-2.5000000000000001E-2</v>
      </c>
      <c r="X144">
        <v>1.1999999999999999E-3</v>
      </c>
      <c r="Y144">
        <v>0</v>
      </c>
      <c r="Z144">
        <v>0</v>
      </c>
      <c r="AA144">
        <v>0</v>
      </c>
      <c r="AB144">
        <v>1</v>
      </c>
      <c r="AC144">
        <v>0.05</v>
      </c>
      <c r="AD144">
        <v>0</v>
      </c>
      <c r="AE144">
        <v>0</v>
      </c>
      <c r="AF144">
        <v>6.5699999999999995E-2</v>
      </c>
      <c r="AG144">
        <v>140</v>
      </c>
      <c r="AH144">
        <v>0</v>
      </c>
      <c r="AJ144" s="4">
        <v>5600</v>
      </c>
      <c r="AK144">
        <v>0.05</v>
      </c>
      <c r="AL144">
        <v>0</v>
      </c>
      <c r="AM144">
        <v>0.05</v>
      </c>
      <c r="AN144">
        <v>-2.0000000000000001E-4</v>
      </c>
      <c r="AO144">
        <v>0.05</v>
      </c>
      <c r="AP144">
        <v>-2.0000000000000001E-4</v>
      </c>
      <c r="AQ144">
        <v>0.05</v>
      </c>
      <c r="AR144">
        <v>-2.0000000000000001E-4</v>
      </c>
      <c r="AS144">
        <v>0.05</v>
      </c>
      <c r="AT144">
        <v>-2.0000000000000001E-4</v>
      </c>
      <c r="AU144">
        <v>0.1</v>
      </c>
      <c r="AV144">
        <v>-5.0000000000000001E-4</v>
      </c>
      <c r="AW144">
        <v>0.2</v>
      </c>
      <c r="AX144">
        <v>-1E-3</v>
      </c>
      <c r="AY144">
        <v>0.3</v>
      </c>
      <c r="AZ144">
        <v>-1.4E-3</v>
      </c>
      <c r="BA144">
        <v>0.4</v>
      </c>
      <c r="BB144">
        <v>-1.9E-3</v>
      </c>
      <c r="BC144">
        <v>0.5</v>
      </c>
      <c r="BD144">
        <v>-2.3E-3</v>
      </c>
      <c r="BE144">
        <v>0.5</v>
      </c>
      <c r="BF144">
        <v>-2.3999999999999998E-3</v>
      </c>
      <c r="BG144">
        <v>2.25</v>
      </c>
      <c r="BH144">
        <v>-1.03E-2</v>
      </c>
    </row>
    <row r="145" spans="1:60" x14ac:dyDescent="0.35">
      <c r="A145" t="s">
        <v>34</v>
      </c>
      <c r="B145" s="1">
        <v>46146.65625</v>
      </c>
      <c r="C145" t="s">
        <v>34</v>
      </c>
      <c r="D145" s="1">
        <v>46146.625</v>
      </c>
      <c r="E145">
        <v>6900</v>
      </c>
      <c r="F145" t="s">
        <v>36</v>
      </c>
      <c r="G145">
        <v>0.05</v>
      </c>
      <c r="H145">
        <v>0.2</v>
      </c>
      <c r="I145">
        <v>0.03</v>
      </c>
      <c r="J145">
        <v>0.03</v>
      </c>
      <c r="K145">
        <v>994</v>
      </c>
      <c r="L145">
        <v>0</v>
      </c>
      <c r="M145">
        <v>0</v>
      </c>
      <c r="N145">
        <v>1662</v>
      </c>
      <c r="O145">
        <v>0.05</v>
      </c>
      <c r="P145">
        <v>0</v>
      </c>
      <c r="Q145">
        <v>0</v>
      </c>
      <c r="R145">
        <v>0</v>
      </c>
      <c r="S145">
        <v>0</v>
      </c>
      <c r="T145">
        <v>2.5831</v>
      </c>
      <c r="U145">
        <v>-1E-3</v>
      </c>
      <c r="V145">
        <v>0</v>
      </c>
      <c r="W145">
        <v>-2.5000000000000001E-2</v>
      </c>
      <c r="X145">
        <v>1.1999999999999999E-3</v>
      </c>
      <c r="Y145">
        <v>0</v>
      </c>
      <c r="Z145">
        <v>0</v>
      </c>
      <c r="AA145">
        <v>0</v>
      </c>
      <c r="AB145">
        <v>112</v>
      </c>
      <c r="AC145">
        <v>0.05</v>
      </c>
      <c r="AD145">
        <v>0</v>
      </c>
      <c r="AE145">
        <v>0</v>
      </c>
      <c r="AF145">
        <v>5.4800000000000001E-2</v>
      </c>
      <c r="AG145">
        <v>6697</v>
      </c>
      <c r="AH145">
        <v>0</v>
      </c>
      <c r="AJ145" s="4">
        <v>5610</v>
      </c>
      <c r="BC145">
        <v>0.5</v>
      </c>
      <c r="BD145">
        <v>-2.3E-3</v>
      </c>
      <c r="BE145">
        <v>0.5</v>
      </c>
      <c r="BF145">
        <v>-2.3999999999999998E-3</v>
      </c>
      <c r="BG145">
        <v>1</v>
      </c>
      <c r="BH145">
        <v>-4.6999999999999993E-3</v>
      </c>
    </row>
    <row r="146" spans="1:60" x14ac:dyDescent="0.35">
      <c r="A146" t="s">
        <v>34</v>
      </c>
      <c r="B146" s="1">
        <v>46146.65625</v>
      </c>
      <c r="C146" t="s">
        <v>34</v>
      </c>
      <c r="D146" s="1">
        <v>46146.625</v>
      </c>
      <c r="E146">
        <v>6905</v>
      </c>
      <c r="F146" t="s">
        <v>36</v>
      </c>
      <c r="G146">
        <v>0.05</v>
      </c>
      <c r="H146">
        <v>7.0000000000000007E-2</v>
      </c>
      <c r="I146">
        <v>0.03</v>
      </c>
      <c r="J146">
        <v>0.05</v>
      </c>
      <c r="K146">
        <v>413</v>
      </c>
      <c r="L146">
        <v>0</v>
      </c>
      <c r="M146">
        <v>0</v>
      </c>
      <c r="N146">
        <v>1560</v>
      </c>
      <c r="O146">
        <v>0.05</v>
      </c>
      <c r="P146">
        <v>0</v>
      </c>
      <c r="Q146">
        <v>0</v>
      </c>
      <c r="R146">
        <v>0</v>
      </c>
      <c r="S146">
        <v>0</v>
      </c>
      <c r="T146">
        <v>2.5427</v>
      </c>
      <c r="U146">
        <v>-1E-3</v>
      </c>
      <c r="V146">
        <v>0</v>
      </c>
      <c r="W146">
        <v>-2.5000000000000001E-2</v>
      </c>
      <c r="X146">
        <v>1.1999999999999999E-3</v>
      </c>
      <c r="Y146">
        <v>0</v>
      </c>
      <c r="Z146">
        <v>0</v>
      </c>
      <c r="AA146">
        <v>0</v>
      </c>
      <c r="AB146">
        <v>1</v>
      </c>
      <c r="AC146">
        <v>0.1</v>
      </c>
      <c r="AD146">
        <v>0</v>
      </c>
      <c r="AE146">
        <v>0</v>
      </c>
      <c r="AF146">
        <v>4.7399999999999998E-2</v>
      </c>
      <c r="AG146">
        <v>325</v>
      </c>
      <c r="AH146">
        <v>0</v>
      </c>
      <c r="AJ146" s="4">
        <v>5620</v>
      </c>
      <c r="BC146">
        <v>0.5</v>
      </c>
      <c r="BD146">
        <v>-2.3E-3</v>
      </c>
      <c r="BE146">
        <v>0.5</v>
      </c>
      <c r="BF146">
        <v>-2.5000000000000001E-3</v>
      </c>
      <c r="BG146">
        <v>1</v>
      </c>
      <c r="BH146">
        <v>-4.8000000000000004E-3</v>
      </c>
    </row>
    <row r="147" spans="1:60" x14ac:dyDescent="0.35">
      <c r="A147" t="s">
        <v>34</v>
      </c>
      <c r="B147" s="1">
        <v>46146.65625</v>
      </c>
      <c r="C147" t="s">
        <v>34</v>
      </c>
      <c r="D147" s="1">
        <v>46146.625</v>
      </c>
      <c r="E147">
        <v>6910</v>
      </c>
      <c r="F147" t="s">
        <v>36</v>
      </c>
      <c r="G147">
        <v>7.0000000000000007E-2</v>
      </c>
      <c r="H147">
        <v>0.25</v>
      </c>
      <c r="I147">
        <v>0.03</v>
      </c>
      <c r="J147">
        <v>0.03</v>
      </c>
      <c r="K147">
        <v>336</v>
      </c>
      <c r="L147">
        <v>0</v>
      </c>
      <c r="M147">
        <v>0</v>
      </c>
      <c r="N147">
        <v>1551</v>
      </c>
      <c r="O147">
        <v>0.05</v>
      </c>
      <c r="P147">
        <v>0</v>
      </c>
      <c r="Q147">
        <v>0</v>
      </c>
      <c r="R147">
        <v>0</v>
      </c>
      <c r="S147">
        <v>0</v>
      </c>
      <c r="T147">
        <v>2.5023</v>
      </c>
      <c r="U147">
        <v>-1E-3</v>
      </c>
      <c r="V147">
        <v>0</v>
      </c>
      <c r="W147">
        <v>-2.5000000000000001E-2</v>
      </c>
      <c r="X147">
        <v>1.2999999999999999E-3</v>
      </c>
      <c r="Y147">
        <v>0</v>
      </c>
      <c r="Z147">
        <v>0</v>
      </c>
      <c r="AA147">
        <v>0</v>
      </c>
      <c r="AB147">
        <v>7</v>
      </c>
      <c r="AC147">
        <v>0.05</v>
      </c>
      <c r="AD147">
        <v>0</v>
      </c>
      <c r="AE147">
        <v>0</v>
      </c>
      <c r="AF147">
        <v>0.1157</v>
      </c>
      <c r="AG147">
        <v>884</v>
      </c>
      <c r="AH147">
        <v>0</v>
      </c>
      <c r="AJ147" s="4">
        <v>5625</v>
      </c>
      <c r="AK147">
        <v>0.05</v>
      </c>
      <c r="AL147">
        <v>0</v>
      </c>
      <c r="AM147">
        <v>0.05</v>
      </c>
      <c r="AN147">
        <v>-2.0000000000000001E-4</v>
      </c>
      <c r="AS147">
        <v>0.1</v>
      </c>
      <c r="AT147">
        <v>-4.0000000000000002E-4</v>
      </c>
      <c r="BC147">
        <v>0.5</v>
      </c>
      <c r="BD147">
        <v>-2.3E-3</v>
      </c>
      <c r="BE147">
        <v>0.55000000000000004</v>
      </c>
      <c r="BF147">
        <v>-2.5999999999999999E-3</v>
      </c>
      <c r="BG147">
        <v>1.25</v>
      </c>
      <c r="BH147">
        <v>-5.4999999999999997E-3</v>
      </c>
    </row>
    <row r="148" spans="1:60" x14ac:dyDescent="0.35">
      <c r="A148" t="s">
        <v>34</v>
      </c>
      <c r="B148" s="1">
        <v>46146.65625</v>
      </c>
      <c r="C148" t="s">
        <v>34</v>
      </c>
      <c r="D148" s="1">
        <v>46146.625</v>
      </c>
      <c r="E148">
        <v>6915</v>
      </c>
      <c r="F148" t="s">
        <v>36</v>
      </c>
      <c r="G148">
        <v>0.05</v>
      </c>
      <c r="H148">
        <v>0.3</v>
      </c>
      <c r="I148">
        <v>0.03</v>
      </c>
      <c r="J148">
        <v>0.1</v>
      </c>
      <c r="K148">
        <v>900</v>
      </c>
      <c r="L148">
        <v>0</v>
      </c>
      <c r="M148">
        <v>0</v>
      </c>
      <c r="N148">
        <v>1534</v>
      </c>
      <c r="O148">
        <v>0.05</v>
      </c>
      <c r="P148">
        <v>0</v>
      </c>
      <c r="Q148">
        <v>0</v>
      </c>
      <c r="R148">
        <v>0</v>
      </c>
      <c r="S148">
        <v>0</v>
      </c>
      <c r="T148">
        <v>2.4618000000000002</v>
      </c>
      <c r="U148">
        <v>-1E-3</v>
      </c>
      <c r="V148">
        <v>0</v>
      </c>
      <c r="W148">
        <v>-2.5000000000000001E-2</v>
      </c>
      <c r="X148">
        <v>1.2999999999999999E-3</v>
      </c>
      <c r="Y148">
        <v>0</v>
      </c>
      <c r="Z148">
        <v>0</v>
      </c>
      <c r="AA148">
        <v>0</v>
      </c>
      <c r="AB148">
        <v>1</v>
      </c>
      <c r="AC148">
        <v>4.0999999999999996</v>
      </c>
      <c r="AD148">
        <v>0</v>
      </c>
      <c r="AE148">
        <v>0</v>
      </c>
      <c r="AF148">
        <v>5.9900000000000002E-2</v>
      </c>
      <c r="AG148">
        <v>186</v>
      </c>
      <c r="AH148">
        <v>0</v>
      </c>
      <c r="AJ148" s="4">
        <v>5630</v>
      </c>
      <c r="BC148">
        <v>0.5</v>
      </c>
      <c r="BD148">
        <v>-2.3999999999999998E-3</v>
      </c>
      <c r="BE148">
        <v>0.55000000000000004</v>
      </c>
      <c r="BF148">
        <v>-2.5999999999999999E-3</v>
      </c>
      <c r="BG148">
        <v>1.05</v>
      </c>
      <c r="BH148">
        <v>-4.9999999999999992E-3</v>
      </c>
    </row>
    <row r="149" spans="1:60" x14ac:dyDescent="0.35">
      <c r="A149" t="s">
        <v>34</v>
      </c>
      <c r="B149" s="1">
        <v>46146.65625</v>
      </c>
      <c r="C149" t="s">
        <v>34</v>
      </c>
      <c r="D149" s="1">
        <v>46146.625</v>
      </c>
      <c r="E149">
        <v>6920</v>
      </c>
      <c r="F149" t="s">
        <v>36</v>
      </c>
      <c r="G149">
        <v>0.05</v>
      </c>
      <c r="H149">
        <v>0.3</v>
      </c>
      <c r="I149">
        <v>0.03</v>
      </c>
      <c r="J149">
        <v>0.03</v>
      </c>
      <c r="K149">
        <v>308</v>
      </c>
      <c r="L149">
        <v>0</v>
      </c>
      <c r="M149">
        <v>0</v>
      </c>
      <c r="N149">
        <v>1531</v>
      </c>
      <c r="O149">
        <v>0.05</v>
      </c>
      <c r="P149">
        <v>0</v>
      </c>
      <c r="Q149">
        <v>0</v>
      </c>
      <c r="R149">
        <v>0</v>
      </c>
      <c r="S149">
        <v>0</v>
      </c>
      <c r="T149">
        <v>2.4214000000000002</v>
      </c>
      <c r="U149">
        <v>-1E-3</v>
      </c>
      <c r="V149">
        <v>0</v>
      </c>
      <c r="W149">
        <v>-2.5000000000000001E-2</v>
      </c>
      <c r="X149">
        <v>1.2999999999999999E-3</v>
      </c>
      <c r="Y149">
        <v>0</v>
      </c>
      <c r="Z149">
        <v>0</v>
      </c>
      <c r="AA149">
        <v>0</v>
      </c>
      <c r="AB149">
        <v>2</v>
      </c>
      <c r="AC149">
        <v>0.05</v>
      </c>
      <c r="AD149">
        <v>0</v>
      </c>
      <c r="AE149">
        <v>0</v>
      </c>
      <c r="AF149">
        <v>6.0600000000000001E-2</v>
      </c>
      <c r="AG149">
        <v>320</v>
      </c>
      <c r="AH149">
        <v>0</v>
      </c>
      <c r="AJ149" s="4">
        <v>5640</v>
      </c>
      <c r="BC149">
        <v>0.5</v>
      </c>
      <c r="BD149">
        <v>-2.3999999999999998E-3</v>
      </c>
      <c r="BE149">
        <v>0.55000000000000004</v>
      </c>
      <c r="BF149">
        <v>-2.5999999999999999E-3</v>
      </c>
      <c r="BG149">
        <v>1.05</v>
      </c>
      <c r="BH149">
        <v>-4.9999999999999992E-3</v>
      </c>
    </row>
    <row r="150" spans="1:60" x14ac:dyDescent="0.35">
      <c r="A150" t="s">
        <v>34</v>
      </c>
      <c r="B150" s="1">
        <v>46146.65625</v>
      </c>
      <c r="C150" t="s">
        <v>34</v>
      </c>
      <c r="D150" s="1">
        <v>46146.625</v>
      </c>
      <c r="E150">
        <v>6925</v>
      </c>
      <c r="F150" t="s">
        <v>36</v>
      </c>
      <c r="G150">
        <v>0.08</v>
      </c>
      <c r="H150">
        <v>0.3</v>
      </c>
      <c r="I150">
        <v>0.03</v>
      </c>
      <c r="J150">
        <v>0.03</v>
      </c>
      <c r="K150">
        <v>335</v>
      </c>
      <c r="L150">
        <v>0</v>
      </c>
      <c r="M150">
        <v>0</v>
      </c>
      <c r="N150">
        <v>1561</v>
      </c>
      <c r="O150">
        <v>0.05</v>
      </c>
      <c r="P150">
        <v>0</v>
      </c>
      <c r="Q150">
        <v>0</v>
      </c>
      <c r="R150">
        <v>0</v>
      </c>
      <c r="S150">
        <v>0</v>
      </c>
      <c r="T150">
        <v>2.3809</v>
      </c>
      <c r="U150">
        <v>-1.1000000000000001E-3</v>
      </c>
      <c r="V150">
        <v>0</v>
      </c>
      <c r="W150">
        <v>-2.5000000000000001E-2</v>
      </c>
      <c r="X150">
        <v>1.2999999999999999E-3</v>
      </c>
      <c r="Y150">
        <v>0</v>
      </c>
      <c r="Z150">
        <v>0</v>
      </c>
      <c r="AA150">
        <v>0</v>
      </c>
      <c r="AB150">
        <v>100</v>
      </c>
      <c r="AC150">
        <v>0.05</v>
      </c>
      <c r="AD150">
        <v>0</v>
      </c>
      <c r="AE150">
        <v>0</v>
      </c>
      <c r="AF150">
        <v>9.1800000000000007E-2</v>
      </c>
      <c r="AG150">
        <v>3437</v>
      </c>
      <c r="AH150">
        <v>0</v>
      </c>
      <c r="AJ150" s="4">
        <v>5650</v>
      </c>
      <c r="AK150">
        <v>0.05</v>
      </c>
      <c r="AL150">
        <v>0</v>
      </c>
      <c r="AM150">
        <v>0.05</v>
      </c>
      <c r="AN150">
        <v>-2.0000000000000001E-4</v>
      </c>
      <c r="AS150">
        <v>0.1</v>
      </c>
      <c r="AT150">
        <v>-4.0000000000000002E-4</v>
      </c>
      <c r="BC150">
        <v>0.45</v>
      </c>
      <c r="BD150">
        <v>-2.3E-3</v>
      </c>
      <c r="BE150">
        <v>0.55000000000000004</v>
      </c>
      <c r="BF150">
        <v>-2.5999999999999999E-3</v>
      </c>
      <c r="BG150">
        <v>1.2000000000000002</v>
      </c>
      <c r="BH150">
        <v>-5.4999999999999997E-3</v>
      </c>
    </row>
    <row r="151" spans="1:60" x14ac:dyDescent="0.35">
      <c r="A151" t="s">
        <v>34</v>
      </c>
      <c r="B151" s="1">
        <v>46146.65625</v>
      </c>
      <c r="C151" t="s">
        <v>34</v>
      </c>
      <c r="D151" s="1">
        <v>46146.625</v>
      </c>
      <c r="E151">
        <v>6930</v>
      </c>
      <c r="F151" t="s">
        <v>36</v>
      </c>
      <c r="G151">
        <v>7.0000000000000007E-2</v>
      </c>
      <c r="H151">
        <v>0.25</v>
      </c>
      <c r="I151">
        <v>0.04</v>
      </c>
      <c r="J151">
        <v>0.17</v>
      </c>
      <c r="K151">
        <v>214</v>
      </c>
      <c r="L151">
        <v>0</v>
      </c>
      <c r="M151">
        <v>0</v>
      </c>
      <c r="N151">
        <v>1543</v>
      </c>
      <c r="O151">
        <v>0.05</v>
      </c>
      <c r="P151">
        <v>0</v>
      </c>
      <c r="Q151">
        <v>0</v>
      </c>
      <c r="R151">
        <v>0</v>
      </c>
      <c r="S151">
        <v>0</v>
      </c>
      <c r="T151">
        <v>2.3403999999999998</v>
      </c>
      <c r="U151">
        <v>-1.1000000000000001E-3</v>
      </c>
      <c r="V151">
        <v>0</v>
      </c>
      <c r="W151">
        <v>-2.5000000000000001E-2</v>
      </c>
      <c r="X151">
        <v>1.2999999999999999E-3</v>
      </c>
      <c r="Y151">
        <v>0</v>
      </c>
      <c r="Z151">
        <v>0</v>
      </c>
      <c r="AA151">
        <v>0</v>
      </c>
      <c r="AB151">
        <v>1</v>
      </c>
      <c r="AC151">
        <v>0.1</v>
      </c>
      <c r="AD151">
        <v>0</v>
      </c>
      <c r="AE151">
        <v>0</v>
      </c>
      <c r="AF151">
        <v>7.8899999999999998E-2</v>
      </c>
      <c r="AG151">
        <v>5920</v>
      </c>
      <c r="AH151">
        <v>0</v>
      </c>
      <c r="AJ151" s="4">
        <v>5660</v>
      </c>
      <c r="BC151">
        <v>0.55000000000000004</v>
      </c>
      <c r="BD151">
        <v>-2.5000000000000001E-3</v>
      </c>
      <c r="BE151">
        <v>0.55000000000000004</v>
      </c>
      <c r="BF151">
        <v>-2.7000000000000001E-3</v>
      </c>
      <c r="BG151">
        <v>1.1000000000000001</v>
      </c>
      <c r="BH151">
        <v>-5.1999999999999998E-3</v>
      </c>
    </row>
    <row r="152" spans="1:60" x14ac:dyDescent="0.35">
      <c r="A152" t="s">
        <v>34</v>
      </c>
      <c r="B152" s="1">
        <v>46146.65625</v>
      </c>
      <c r="C152" t="s">
        <v>34</v>
      </c>
      <c r="D152" s="1">
        <v>46146.625</v>
      </c>
      <c r="E152">
        <v>6935</v>
      </c>
      <c r="F152" t="s">
        <v>36</v>
      </c>
      <c r="G152">
        <v>0.1</v>
      </c>
      <c r="H152">
        <v>0.25</v>
      </c>
      <c r="I152">
        <v>0.03</v>
      </c>
      <c r="J152">
        <v>0.05</v>
      </c>
      <c r="K152">
        <v>314</v>
      </c>
      <c r="L152">
        <v>0</v>
      </c>
      <c r="M152">
        <v>0</v>
      </c>
      <c r="N152">
        <v>1526</v>
      </c>
      <c r="O152">
        <v>0.05</v>
      </c>
      <c r="P152">
        <v>0</v>
      </c>
      <c r="Q152">
        <v>0</v>
      </c>
      <c r="R152">
        <v>0</v>
      </c>
      <c r="S152">
        <v>0</v>
      </c>
      <c r="T152">
        <v>2.2999000000000001</v>
      </c>
      <c r="U152">
        <v>-1.1000000000000001E-3</v>
      </c>
      <c r="V152">
        <v>0</v>
      </c>
      <c r="W152">
        <v>-2.5000000000000001E-2</v>
      </c>
      <c r="X152">
        <v>1.4E-3</v>
      </c>
      <c r="Y152">
        <v>0</v>
      </c>
      <c r="Z152">
        <v>0</v>
      </c>
      <c r="AA152">
        <v>0</v>
      </c>
      <c r="AB152">
        <v>2</v>
      </c>
      <c r="AC152">
        <v>0.2</v>
      </c>
      <c r="AD152">
        <v>0</v>
      </c>
      <c r="AE152">
        <v>0</v>
      </c>
      <c r="AF152">
        <v>0.1038</v>
      </c>
      <c r="AG152">
        <v>3401</v>
      </c>
      <c r="AH152">
        <v>0</v>
      </c>
      <c r="AJ152" s="4">
        <v>5670</v>
      </c>
      <c r="BC152">
        <v>0.55000000000000004</v>
      </c>
      <c r="BD152">
        <v>-2.5999999999999999E-3</v>
      </c>
      <c r="BE152">
        <v>0.55000000000000004</v>
      </c>
      <c r="BF152">
        <v>-2.8E-3</v>
      </c>
      <c r="BG152">
        <v>1.1000000000000001</v>
      </c>
      <c r="BH152">
        <v>-5.4000000000000003E-3</v>
      </c>
    </row>
    <row r="153" spans="1:60" x14ac:dyDescent="0.35">
      <c r="A153" t="s">
        <v>34</v>
      </c>
      <c r="B153" s="1">
        <v>46146.65625</v>
      </c>
      <c r="C153" t="s">
        <v>34</v>
      </c>
      <c r="D153" s="1">
        <v>46146.625</v>
      </c>
      <c r="E153">
        <v>6940</v>
      </c>
      <c r="F153" t="s">
        <v>36</v>
      </c>
      <c r="G153">
        <v>7.0000000000000007E-2</v>
      </c>
      <c r="H153">
        <v>0.35</v>
      </c>
      <c r="I153">
        <v>0.03</v>
      </c>
      <c r="J153">
        <v>0.03</v>
      </c>
      <c r="K153">
        <v>164</v>
      </c>
      <c r="L153">
        <v>0</v>
      </c>
      <c r="M153">
        <v>0</v>
      </c>
      <c r="N153">
        <v>1522</v>
      </c>
      <c r="O153">
        <v>0.05</v>
      </c>
      <c r="P153">
        <v>0</v>
      </c>
      <c r="Q153">
        <v>0</v>
      </c>
      <c r="R153">
        <v>0</v>
      </c>
      <c r="S153">
        <v>0</v>
      </c>
      <c r="T153">
        <v>2.2593000000000001</v>
      </c>
      <c r="U153">
        <v>-1.1000000000000001E-3</v>
      </c>
      <c r="V153">
        <v>0</v>
      </c>
      <c r="W153">
        <v>-2.5000000000000001E-2</v>
      </c>
      <c r="X153">
        <v>1.4E-3</v>
      </c>
      <c r="Y153">
        <v>0</v>
      </c>
      <c r="Z153">
        <v>0</v>
      </c>
      <c r="AA153">
        <v>0</v>
      </c>
      <c r="AB153">
        <v>3</v>
      </c>
      <c r="AC153">
        <v>0.05</v>
      </c>
      <c r="AD153">
        <v>0</v>
      </c>
      <c r="AE153">
        <v>0</v>
      </c>
      <c r="AF153">
        <v>0.10920000000000001</v>
      </c>
      <c r="AG153">
        <v>342</v>
      </c>
      <c r="AH153">
        <v>0</v>
      </c>
      <c r="AJ153" s="4">
        <v>5675</v>
      </c>
      <c r="AK153">
        <v>0.05</v>
      </c>
      <c r="AL153">
        <v>0</v>
      </c>
      <c r="AM153">
        <v>0.05</v>
      </c>
      <c r="AN153">
        <v>-2.0000000000000001E-4</v>
      </c>
      <c r="AO153">
        <v>0.05</v>
      </c>
      <c r="AP153">
        <v>-2.0000000000000001E-4</v>
      </c>
      <c r="AQ153">
        <v>0.05</v>
      </c>
      <c r="AR153">
        <v>-2.0000000000000001E-4</v>
      </c>
      <c r="AS153">
        <v>0.1</v>
      </c>
      <c r="AT153">
        <v>-4.0000000000000002E-4</v>
      </c>
      <c r="BC153">
        <v>0.55000000000000004</v>
      </c>
      <c r="BD153">
        <v>-2.7000000000000001E-3</v>
      </c>
      <c r="BE153">
        <v>0.55000000000000004</v>
      </c>
      <c r="BF153">
        <v>-2.8E-3</v>
      </c>
      <c r="BG153">
        <v>1.4000000000000001</v>
      </c>
      <c r="BH153">
        <v>-6.5000000000000006E-3</v>
      </c>
    </row>
    <row r="154" spans="1:60" x14ac:dyDescent="0.35">
      <c r="A154" t="s">
        <v>34</v>
      </c>
      <c r="B154" s="1">
        <v>46146.65625</v>
      </c>
      <c r="C154" t="s">
        <v>34</v>
      </c>
      <c r="D154" s="1">
        <v>46146.625</v>
      </c>
      <c r="E154">
        <v>6945</v>
      </c>
      <c r="F154" t="s">
        <v>36</v>
      </c>
      <c r="G154">
        <v>7.0000000000000007E-2</v>
      </c>
      <c r="H154">
        <v>0.25</v>
      </c>
      <c r="I154">
        <v>0.03</v>
      </c>
      <c r="J154">
        <v>0.03</v>
      </c>
      <c r="K154">
        <v>127</v>
      </c>
      <c r="L154">
        <v>0</v>
      </c>
      <c r="M154">
        <v>0</v>
      </c>
      <c r="N154">
        <v>1510</v>
      </c>
      <c r="O154">
        <v>0.05</v>
      </c>
      <c r="P154">
        <v>0</v>
      </c>
      <c r="Q154">
        <v>0</v>
      </c>
      <c r="R154">
        <v>0</v>
      </c>
      <c r="S154">
        <v>0</v>
      </c>
      <c r="T154">
        <v>2.2187000000000001</v>
      </c>
      <c r="U154">
        <v>-1.1000000000000001E-3</v>
      </c>
      <c r="V154">
        <v>0</v>
      </c>
      <c r="W154">
        <v>-2.5000000000000001E-2</v>
      </c>
      <c r="X154">
        <v>1.4E-3</v>
      </c>
      <c r="Y154">
        <v>0</v>
      </c>
      <c r="Z154">
        <v>0</v>
      </c>
      <c r="AA154">
        <v>0</v>
      </c>
      <c r="AB154">
        <v>4</v>
      </c>
      <c r="AC154">
        <v>0.05</v>
      </c>
      <c r="AD154">
        <v>0</v>
      </c>
      <c r="AE154">
        <v>0</v>
      </c>
      <c r="AF154">
        <v>7.2099999999999997E-2</v>
      </c>
      <c r="AG154">
        <v>294</v>
      </c>
      <c r="AH154">
        <v>0</v>
      </c>
      <c r="AJ154" s="4">
        <v>5680</v>
      </c>
      <c r="BC154">
        <v>0.55000000000000004</v>
      </c>
      <c r="BD154">
        <v>-2.7000000000000001E-3</v>
      </c>
      <c r="BE154">
        <v>0.6</v>
      </c>
      <c r="BF154">
        <v>-2.8999999999999998E-3</v>
      </c>
      <c r="BG154">
        <v>1.1499999999999999</v>
      </c>
      <c r="BH154">
        <v>-5.5999999999999999E-3</v>
      </c>
    </row>
    <row r="155" spans="1:60" x14ac:dyDescent="0.35">
      <c r="A155" t="s">
        <v>34</v>
      </c>
      <c r="B155" s="1">
        <v>46146.65625</v>
      </c>
      <c r="C155" t="s">
        <v>34</v>
      </c>
      <c r="D155" s="1">
        <v>46146.625</v>
      </c>
      <c r="E155">
        <v>6950</v>
      </c>
      <c r="F155" t="s">
        <v>36</v>
      </c>
      <c r="G155">
        <v>7.0000000000000007E-2</v>
      </c>
      <c r="H155">
        <v>0.45</v>
      </c>
      <c r="I155">
        <v>0.03</v>
      </c>
      <c r="J155">
        <v>0.03</v>
      </c>
      <c r="K155">
        <v>710</v>
      </c>
      <c r="L155">
        <v>0</v>
      </c>
      <c r="M155">
        <v>0</v>
      </c>
      <c r="N155">
        <v>1524</v>
      </c>
      <c r="O155">
        <v>0.05</v>
      </c>
      <c r="P155">
        <v>0</v>
      </c>
      <c r="Q155">
        <v>0</v>
      </c>
      <c r="R155">
        <v>0</v>
      </c>
      <c r="S155">
        <v>0</v>
      </c>
      <c r="T155">
        <v>2.1781999999999999</v>
      </c>
      <c r="U155">
        <v>-1.1000000000000001E-3</v>
      </c>
      <c r="V155">
        <v>1E-4</v>
      </c>
      <c r="W155">
        <v>-2.5000000000000001E-2</v>
      </c>
      <c r="X155">
        <v>1.4E-3</v>
      </c>
      <c r="Y155">
        <v>0</v>
      </c>
      <c r="Z155">
        <v>0</v>
      </c>
      <c r="AA155">
        <v>0</v>
      </c>
      <c r="AB155">
        <v>62</v>
      </c>
      <c r="AC155">
        <v>0.05</v>
      </c>
      <c r="AD155">
        <v>0</v>
      </c>
      <c r="AE155">
        <v>0</v>
      </c>
      <c r="AF155">
        <v>9.5299999999999996E-2</v>
      </c>
      <c r="AG155">
        <v>1679</v>
      </c>
      <c r="AH155">
        <v>0</v>
      </c>
      <c r="AJ155" s="4">
        <v>5690</v>
      </c>
      <c r="BC155">
        <v>0.55000000000000004</v>
      </c>
      <c r="BD155">
        <v>-2.7000000000000001E-3</v>
      </c>
      <c r="BE155">
        <v>0.6</v>
      </c>
      <c r="BF155">
        <v>-2.8999999999999998E-3</v>
      </c>
      <c r="BG155">
        <v>1.1499999999999999</v>
      </c>
      <c r="BH155">
        <v>-5.5999999999999999E-3</v>
      </c>
    </row>
    <row r="156" spans="1:60" x14ac:dyDescent="0.35">
      <c r="A156" t="s">
        <v>34</v>
      </c>
      <c r="B156" s="1">
        <v>46146.65625</v>
      </c>
      <c r="C156" t="s">
        <v>34</v>
      </c>
      <c r="D156" s="1">
        <v>46146.625</v>
      </c>
      <c r="E156">
        <v>6955</v>
      </c>
      <c r="F156" t="s">
        <v>36</v>
      </c>
      <c r="G156">
        <v>7.0000000000000007E-2</v>
      </c>
      <c r="H156">
        <v>0.47</v>
      </c>
      <c r="I156">
        <v>0.05</v>
      </c>
      <c r="J156">
        <v>0.05</v>
      </c>
      <c r="K156">
        <v>322</v>
      </c>
      <c r="L156">
        <v>0</v>
      </c>
      <c r="M156">
        <v>0</v>
      </c>
      <c r="N156">
        <v>1481</v>
      </c>
      <c r="O156">
        <v>0.05</v>
      </c>
      <c r="P156">
        <v>0</v>
      </c>
      <c r="Q156">
        <v>0</v>
      </c>
      <c r="R156">
        <v>0</v>
      </c>
      <c r="S156">
        <v>0</v>
      </c>
      <c r="T156">
        <v>2.1375000000000002</v>
      </c>
      <c r="U156">
        <v>-1.1999999999999999E-3</v>
      </c>
      <c r="V156">
        <v>1E-4</v>
      </c>
      <c r="W156">
        <v>-2.5000000000000001E-2</v>
      </c>
      <c r="X156">
        <v>1.5E-3</v>
      </c>
      <c r="Y156">
        <v>0</v>
      </c>
      <c r="Z156">
        <v>0</v>
      </c>
      <c r="AA156">
        <v>0</v>
      </c>
      <c r="AB156">
        <v>2</v>
      </c>
      <c r="AC156">
        <v>0.05</v>
      </c>
      <c r="AD156">
        <v>0</v>
      </c>
      <c r="AE156">
        <v>0</v>
      </c>
      <c r="AF156">
        <v>0.11210000000000001</v>
      </c>
      <c r="AG156">
        <v>277</v>
      </c>
      <c r="AH156">
        <v>0</v>
      </c>
      <c r="AJ156" s="4">
        <v>5700</v>
      </c>
      <c r="AK156">
        <v>0.05</v>
      </c>
      <c r="AL156">
        <v>0</v>
      </c>
      <c r="AM156">
        <v>0.05</v>
      </c>
      <c r="AN156">
        <v>-2.0000000000000001E-4</v>
      </c>
      <c r="AO156">
        <v>0.05</v>
      </c>
      <c r="AP156">
        <v>-2.0000000000000001E-4</v>
      </c>
      <c r="AQ156">
        <v>0.1</v>
      </c>
      <c r="AR156">
        <v>-4.0000000000000002E-4</v>
      </c>
      <c r="AS156">
        <v>0.1</v>
      </c>
      <c r="AT156">
        <v>-4.0000000000000002E-4</v>
      </c>
      <c r="AU156">
        <v>0.15</v>
      </c>
      <c r="AV156">
        <v>-8.9999999999999998E-4</v>
      </c>
      <c r="AW156">
        <v>0.25</v>
      </c>
      <c r="AX156">
        <v>-1.1999999999999999E-3</v>
      </c>
      <c r="AY156">
        <v>0.35</v>
      </c>
      <c r="AZ156">
        <v>-1.6999999999999999E-3</v>
      </c>
      <c r="BA156">
        <v>0.45</v>
      </c>
      <c r="BB156">
        <v>-2.2000000000000001E-3</v>
      </c>
      <c r="BC156">
        <v>0.5</v>
      </c>
      <c r="BD156">
        <v>-2.5999999999999999E-3</v>
      </c>
      <c r="BE156">
        <v>0.6</v>
      </c>
      <c r="BF156">
        <v>-2.8999999999999998E-3</v>
      </c>
      <c r="BG156">
        <v>2.65</v>
      </c>
      <c r="BH156">
        <v>-1.2699999999999999E-2</v>
      </c>
    </row>
    <row r="157" spans="1:60" x14ac:dyDescent="0.35">
      <c r="A157" t="s">
        <v>34</v>
      </c>
      <c r="B157" s="1">
        <v>46146.65625</v>
      </c>
      <c r="C157" t="s">
        <v>34</v>
      </c>
      <c r="D157" s="1">
        <v>46146.625</v>
      </c>
      <c r="E157">
        <v>6960</v>
      </c>
      <c r="F157" t="s">
        <v>36</v>
      </c>
      <c r="G157">
        <v>0.1</v>
      </c>
      <c r="H157">
        <v>0.5</v>
      </c>
      <c r="I157">
        <v>0.03</v>
      </c>
      <c r="J157">
        <v>0.03</v>
      </c>
      <c r="K157">
        <v>807</v>
      </c>
      <c r="L157">
        <v>0</v>
      </c>
      <c r="M157">
        <v>0</v>
      </c>
      <c r="N157">
        <v>1474</v>
      </c>
      <c r="O157">
        <v>0.05</v>
      </c>
      <c r="P157">
        <v>0</v>
      </c>
      <c r="Q157">
        <v>0</v>
      </c>
      <c r="R157">
        <v>0</v>
      </c>
      <c r="S157">
        <v>0</v>
      </c>
      <c r="T157">
        <v>2.0969000000000002</v>
      </c>
      <c r="U157">
        <v>-1.1999999999999999E-3</v>
      </c>
      <c r="V157">
        <v>1E-4</v>
      </c>
      <c r="W157">
        <v>-2.5000000000000001E-2</v>
      </c>
      <c r="X157">
        <v>1.5E-3</v>
      </c>
      <c r="Y157">
        <v>0</v>
      </c>
      <c r="Z157">
        <v>0</v>
      </c>
      <c r="AA157">
        <v>0</v>
      </c>
      <c r="AB157">
        <v>5</v>
      </c>
      <c r="AC157">
        <v>0.05</v>
      </c>
      <c r="AD157">
        <v>0</v>
      </c>
      <c r="AE157">
        <v>0</v>
      </c>
      <c r="AF157">
        <v>0.16059999999999999</v>
      </c>
      <c r="AG157">
        <v>427</v>
      </c>
      <c r="AH157">
        <v>0</v>
      </c>
      <c r="AJ157" s="4">
        <v>5710</v>
      </c>
      <c r="BC157">
        <v>0.6</v>
      </c>
      <c r="BD157">
        <v>-2.8E-3</v>
      </c>
      <c r="BE157">
        <v>0.6</v>
      </c>
      <c r="BF157">
        <v>-2.8999999999999998E-3</v>
      </c>
      <c r="BG157">
        <v>1.2</v>
      </c>
      <c r="BH157">
        <v>-5.7000000000000002E-3</v>
      </c>
    </row>
    <row r="158" spans="1:60" x14ac:dyDescent="0.35">
      <c r="A158" t="s">
        <v>34</v>
      </c>
      <c r="B158" s="1">
        <v>46146.65625</v>
      </c>
      <c r="C158" t="s">
        <v>34</v>
      </c>
      <c r="D158" s="1">
        <v>46146.625</v>
      </c>
      <c r="E158">
        <v>6965</v>
      </c>
      <c r="F158" t="s">
        <v>36</v>
      </c>
      <c r="G158">
        <v>0.1</v>
      </c>
      <c r="H158">
        <v>0.5</v>
      </c>
      <c r="I158">
        <v>0.03</v>
      </c>
      <c r="J158">
        <v>0.05</v>
      </c>
      <c r="K158">
        <v>1261</v>
      </c>
      <c r="L158">
        <v>0</v>
      </c>
      <c r="M158">
        <v>0</v>
      </c>
      <c r="N158">
        <v>1461</v>
      </c>
      <c r="O158">
        <v>0.05</v>
      </c>
      <c r="P158">
        <v>0</v>
      </c>
      <c r="Q158">
        <v>0</v>
      </c>
      <c r="R158">
        <v>0</v>
      </c>
      <c r="S158">
        <v>0</v>
      </c>
      <c r="T158">
        <v>2.0562</v>
      </c>
      <c r="U158">
        <v>-1.1999999999999999E-3</v>
      </c>
      <c r="V158">
        <v>1E-4</v>
      </c>
      <c r="W158">
        <v>-2.5000000000000001E-2</v>
      </c>
      <c r="X158">
        <v>1.5E-3</v>
      </c>
      <c r="Y158">
        <v>0</v>
      </c>
      <c r="Z158">
        <v>0</v>
      </c>
      <c r="AA158">
        <v>0</v>
      </c>
      <c r="AB158">
        <v>3</v>
      </c>
      <c r="AC158">
        <v>0.05</v>
      </c>
      <c r="AD158">
        <v>0</v>
      </c>
      <c r="AE158">
        <v>0</v>
      </c>
      <c r="AF158">
        <v>0.13070000000000001</v>
      </c>
      <c r="AG158">
        <v>375</v>
      </c>
      <c r="AH158">
        <v>0</v>
      </c>
      <c r="AJ158" s="4">
        <v>5720</v>
      </c>
      <c r="BC158">
        <v>0.6</v>
      </c>
      <c r="BD158">
        <v>-2.8E-3</v>
      </c>
      <c r="BE158">
        <v>0.6</v>
      </c>
      <c r="BF158">
        <v>-3.0999999999999999E-3</v>
      </c>
      <c r="BG158">
        <v>1.2</v>
      </c>
      <c r="BH158">
        <v>-5.8999999999999999E-3</v>
      </c>
    </row>
    <row r="159" spans="1:60" x14ac:dyDescent="0.35">
      <c r="A159" t="s">
        <v>34</v>
      </c>
      <c r="B159" s="1">
        <v>46146.65625</v>
      </c>
      <c r="C159" t="s">
        <v>34</v>
      </c>
      <c r="D159" s="1">
        <v>46146.625</v>
      </c>
      <c r="E159">
        <v>6970</v>
      </c>
      <c r="F159" t="s">
        <v>36</v>
      </c>
      <c r="G159">
        <v>0.1</v>
      </c>
      <c r="H159">
        <v>0.55000000000000004</v>
      </c>
      <c r="I159">
        <v>0.03</v>
      </c>
      <c r="J159">
        <v>0.05</v>
      </c>
      <c r="K159">
        <v>2868</v>
      </c>
      <c r="L159">
        <v>0</v>
      </c>
      <c r="M159">
        <v>0</v>
      </c>
      <c r="N159">
        <v>1438</v>
      </c>
      <c r="O159">
        <v>0.05</v>
      </c>
      <c r="P159">
        <v>0</v>
      </c>
      <c r="Q159">
        <v>0</v>
      </c>
      <c r="R159">
        <v>0</v>
      </c>
      <c r="S159">
        <v>0</v>
      </c>
      <c r="T159">
        <v>2.0154999999999998</v>
      </c>
      <c r="U159">
        <v>-1.1999999999999999E-3</v>
      </c>
      <c r="V159">
        <v>1E-4</v>
      </c>
      <c r="W159">
        <v>-2.5000000000000001E-2</v>
      </c>
      <c r="X159">
        <v>1.5E-3</v>
      </c>
      <c r="Y159">
        <v>0</v>
      </c>
      <c r="Z159">
        <v>0</v>
      </c>
      <c r="AA159">
        <v>0</v>
      </c>
      <c r="AB159">
        <v>4</v>
      </c>
      <c r="AC159">
        <v>0.05</v>
      </c>
      <c r="AD159">
        <v>0</v>
      </c>
      <c r="AE159">
        <v>0</v>
      </c>
      <c r="AF159">
        <v>0.1129</v>
      </c>
      <c r="AG159">
        <v>1729</v>
      </c>
      <c r="AH159">
        <v>0</v>
      </c>
      <c r="AJ159" s="4">
        <v>5725</v>
      </c>
      <c r="AK159">
        <v>0.05</v>
      </c>
      <c r="AL159">
        <v>0</v>
      </c>
      <c r="AM159">
        <v>0.05</v>
      </c>
      <c r="AN159">
        <v>-2.0000000000000001E-4</v>
      </c>
      <c r="AO159">
        <v>0.05</v>
      </c>
      <c r="AP159">
        <v>-2.0000000000000001E-4</v>
      </c>
      <c r="AQ159">
        <v>0.1</v>
      </c>
      <c r="AR159">
        <v>-4.0000000000000002E-4</v>
      </c>
      <c r="AS159">
        <v>0.1</v>
      </c>
      <c r="AT159">
        <v>-4.0000000000000002E-4</v>
      </c>
      <c r="AU159">
        <v>0.15</v>
      </c>
      <c r="AV159">
        <v>-8.0000000000000004E-4</v>
      </c>
      <c r="AW159">
        <v>0.25</v>
      </c>
      <c r="AX159">
        <v>-1.1999999999999999E-3</v>
      </c>
      <c r="BC159">
        <v>0.6</v>
      </c>
      <c r="BD159">
        <v>-3.0000000000000001E-3</v>
      </c>
      <c r="BE159">
        <v>0.6</v>
      </c>
      <c r="BF159">
        <v>-3.0999999999999999E-3</v>
      </c>
      <c r="BG159">
        <v>1.9500000000000002</v>
      </c>
      <c r="BH159">
        <v>-9.2999999999999992E-3</v>
      </c>
    </row>
    <row r="160" spans="1:60" x14ac:dyDescent="0.35">
      <c r="A160" t="s">
        <v>34</v>
      </c>
      <c r="B160" s="1">
        <v>46146.65625</v>
      </c>
      <c r="C160" t="s">
        <v>34</v>
      </c>
      <c r="D160" s="1">
        <v>46146.625</v>
      </c>
      <c r="E160">
        <v>6975</v>
      </c>
      <c r="F160" t="s">
        <v>36</v>
      </c>
      <c r="G160">
        <v>0.12</v>
      </c>
      <c r="H160">
        <v>0.62</v>
      </c>
      <c r="I160">
        <v>0.03</v>
      </c>
      <c r="J160">
        <v>0.05</v>
      </c>
      <c r="K160">
        <v>3796</v>
      </c>
      <c r="L160">
        <v>0</v>
      </c>
      <c r="M160">
        <v>0</v>
      </c>
      <c r="N160">
        <v>1500</v>
      </c>
      <c r="O160">
        <v>0.05</v>
      </c>
      <c r="P160">
        <v>0</v>
      </c>
      <c r="Q160">
        <v>0</v>
      </c>
      <c r="R160">
        <v>0</v>
      </c>
      <c r="S160">
        <v>0</v>
      </c>
      <c r="T160">
        <v>1.9746999999999999</v>
      </c>
      <c r="U160">
        <v>-1.1999999999999999E-3</v>
      </c>
      <c r="V160">
        <v>1E-4</v>
      </c>
      <c r="W160">
        <v>-2.5000000000000001E-2</v>
      </c>
      <c r="X160">
        <v>1.6000000000000001E-3</v>
      </c>
      <c r="Y160">
        <v>0</v>
      </c>
      <c r="Z160">
        <v>0</v>
      </c>
      <c r="AA160">
        <v>0</v>
      </c>
      <c r="AB160">
        <v>103</v>
      </c>
      <c r="AC160">
        <v>0.05</v>
      </c>
      <c r="AD160">
        <v>0</v>
      </c>
      <c r="AE160">
        <v>0</v>
      </c>
      <c r="AF160">
        <v>0.13730000000000001</v>
      </c>
      <c r="AG160">
        <v>1611</v>
      </c>
      <c r="AH160">
        <v>0</v>
      </c>
      <c r="AJ160" s="4">
        <v>5730</v>
      </c>
      <c r="BC160">
        <v>0.6</v>
      </c>
      <c r="BD160">
        <v>-3.0000000000000001E-3</v>
      </c>
      <c r="BE160">
        <v>0.65</v>
      </c>
      <c r="BF160">
        <v>-3.2000000000000002E-3</v>
      </c>
      <c r="BG160">
        <v>1.25</v>
      </c>
      <c r="BH160">
        <v>-6.2000000000000006E-3</v>
      </c>
    </row>
    <row r="161" spans="1:60" x14ac:dyDescent="0.35">
      <c r="A161" t="s">
        <v>34</v>
      </c>
      <c r="B161" s="1">
        <v>46146.65625</v>
      </c>
      <c r="C161" t="s">
        <v>34</v>
      </c>
      <c r="D161" s="1">
        <v>46146.625</v>
      </c>
      <c r="E161">
        <v>6980</v>
      </c>
      <c r="F161" t="s">
        <v>36</v>
      </c>
      <c r="G161">
        <v>0.1</v>
      </c>
      <c r="H161">
        <v>0.65</v>
      </c>
      <c r="I161">
        <v>0.03</v>
      </c>
      <c r="J161">
        <v>0.03</v>
      </c>
      <c r="K161">
        <v>2330</v>
      </c>
      <c r="L161">
        <v>0</v>
      </c>
      <c r="M161">
        <v>0</v>
      </c>
      <c r="N161">
        <v>1409</v>
      </c>
      <c r="O161">
        <v>0.05</v>
      </c>
      <c r="P161">
        <v>0</v>
      </c>
      <c r="Q161">
        <v>0</v>
      </c>
      <c r="R161">
        <v>0</v>
      </c>
      <c r="S161">
        <v>0</v>
      </c>
      <c r="T161">
        <v>1.9339999999999999</v>
      </c>
      <c r="U161">
        <v>-1.2999999999999999E-3</v>
      </c>
      <c r="V161">
        <v>1E-4</v>
      </c>
      <c r="W161">
        <v>-2.5000000000000001E-2</v>
      </c>
      <c r="X161">
        <v>1.6000000000000001E-3</v>
      </c>
      <c r="Y161">
        <v>0</v>
      </c>
      <c r="Z161">
        <v>0</v>
      </c>
      <c r="AA161">
        <v>0</v>
      </c>
      <c r="AB161">
        <v>4</v>
      </c>
      <c r="AC161">
        <v>0.05</v>
      </c>
      <c r="AD161">
        <v>0</v>
      </c>
      <c r="AE161">
        <v>0</v>
      </c>
      <c r="AF161">
        <v>0.1275</v>
      </c>
      <c r="AG161">
        <v>730</v>
      </c>
      <c r="AH161">
        <v>0</v>
      </c>
      <c r="AJ161" s="4">
        <v>5740</v>
      </c>
      <c r="BC161">
        <v>0.6</v>
      </c>
      <c r="BD161">
        <v>-3.0000000000000001E-3</v>
      </c>
      <c r="BE161">
        <v>0.65</v>
      </c>
      <c r="BF161">
        <v>-3.2000000000000002E-3</v>
      </c>
      <c r="BG161">
        <v>1.25</v>
      </c>
      <c r="BH161">
        <v>-6.2000000000000006E-3</v>
      </c>
    </row>
    <row r="162" spans="1:60" x14ac:dyDescent="0.35">
      <c r="A162" t="s">
        <v>34</v>
      </c>
      <c r="B162" s="1">
        <v>46146.65625</v>
      </c>
      <c r="C162" t="s">
        <v>34</v>
      </c>
      <c r="D162" s="1">
        <v>46146.625</v>
      </c>
      <c r="E162">
        <v>6985</v>
      </c>
      <c r="F162" t="s">
        <v>36</v>
      </c>
      <c r="G162">
        <v>0.12</v>
      </c>
      <c r="H162">
        <v>0.65</v>
      </c>
      <c r="I162">
        <v>0.03</v>
      </c>
      <c r="J162">
        <v>0.03</v>
      </c>
      <c r="K162">
        <v>2822</v>
      </c>
      <c r="L162">
        <v>0</v>
      </c>
      <c r="M162">
        <v>0</v>
      </c>
      <c r="N162">
        <v>1372</v>
      </c>
      <c r="O162">
        <v>0.05</v>
      </c>
      <c r="P162">
        <v>0</v>
      </c>
      <c r="Q162">
        <v>0</v>
      </c>
      <c r="R162">
        <v>0</v>
      </c>
      <c r="S162">
        <v>0</v>
      </c>
      <c r="T162">
        <v>1.8931</v>
      </c>
      <c r="U162">
        <v>-1.2999999999999999E-3</v>
      </c>
      <c r="V162">
        <v>1E-4</v>
      </c>
      <c r="W162">
        <v>-2.5000000000000001E-2</v>
      </c>
      <c r="X162">
        <v>1.6000000000000001E-3</v>
      </c>
      <c r="Y162">
        <v>0</v>
      </c>
      <c r="Z162">
        <v>0</v>
      </c>
      <c r="AA162">
        <v>0</v>
      </c>
      <c r="AB162">
        <v>9</v>
      </c>
      <c r="AC162">
        <v>0.05</v>
      </c>
      <c r="AD162">
        <v>0</v>
      </c>
      <c r="AE162">
        <v>0</v>
      </c>
      <c r="AF162">
        <v>0.14230000000000001</v>
      </c>
      <c r="AG162">
        <v>1340</v>
      </c>
      <c r="AH162">
        <v>0</v>
      </c>
      <c r="AJ162" s="4">
        <v>5750</v>
      </c>
      <c r="AK162">
        <v>0.05</v>
      </c>
      <c r="AL162">
        <v>0</v>
      </c>
      <c r="AM162">
        <v>0.05</v>
      </c>
      <c r="AN162">
        <v>-2.0000000000000001E-4</v>
      </c>
      <c r="AO162">
        <v>0.05</v>
      </c>
      <c r="AP162">
        <v>-2.0000000000000001E-4</v>
      </c>
      <c r="AQ162">
        <v>0.05</v>
      </c>
      <c r="AR162">
        <v>-2.0000000000000001E-4</v>
      </c>
      <c r="AS162">
        <v>0.1</v>
      </c>
      <c r="AT162">
        <v>-4.0000000000000002E-4</v>
      </c>
      <c r="AU162">
        <v>0.15</v>
      </c>
      <c r="AV162">
        <v>-8.0000000000000004E-4</v>
      </c>
      <c r="AW162">
        <v>0.25</v>
      </c>
      <c r="AX162">
        <v>-1.1999999999999999E-3</v>
      </c>
      <c r="BC162">
        <v>0.6</v>
      </c>
      <c r="BD162">
        <v>-3.0000000000000001E-3</v>
      </c>
      <c r="BE162">
        <v>0.65</v>
      </c>
      <c r="BF162">
        <v>-3.3E-3</v>
      </c>
      <c r="BG162">
        <v>1.9500000000000002</v>
      </c>
      <c r="BH162">
        <v>-9.2999999999999992E-3</v>
      </c>
    </row>
    <row r="163" spans="1:60" x14ac:dyDescent="0.35">
      <c r="A163" t="s">
        <v>34</v>
      </c>
      <c r="B163" s="1">
        <v>46146.65625</v>
      </c>
      <c r="C163" t="s">
        <v>34</v>
      </c>
      <c r="D163" s="1">
        <v>46146.625</v>
      </c>
      <c r="E163">
        <v>6990</v>
      </c>
      <c r="F163" t="s">
        <v>36</v>
      </c>
      <c r="G163">
        <v>0.12</v>
      </c>
      <c r="H163">
        <v>0.65</v>
      </c>
      <c r="I163">
        <v>0.03</v>
      </c>
      <c r="J163">
        <v>0.05</v>
      </c>
      <c r="K163">
        <v>2569</v>
      </c>
      <c r="L163">
        <v>0</v>
      </c>
      <c r="M163">
        <v>0</v>
      </c>
      <c r="N163">
        <v>520</v>
      </c>
      <c r="O163">
        <v>0.05</v>
      </c>
      <c r="P163">
        <v>0</v>
      </c>
      <c r="Q163">
        <v>0</v>
      </c>
      <c r="R163">
        <v>0</v>
      </c>
      <c r="S163">
        <v>0</v>
      </c>
      <c r="T163">
        <v>1.8523000000000001</v>
      </c>
      <c r="U163">
        <v>-1.2999999999999999E-3</v>
      </c>
      <c r="V163">
        <v>1E-4</v>
      </c>
      <c r="W163">
        <v>-2.5000000000000001E-2</v>
      </c>
      <c r="X163">
        <v>1.6000000000000001E-3</v>
      </c>
      <c r="Y163">
        <v>0</v>
      </c>
      <c r="Z163">
        <v>0</v>
      </c>
      <c r="AA163">
        <v>0</v>
      </c>
      <c r="AB163">
        <v>51</v>
      </c>
      <c r="AC163">
        <v>0.05</v>
      </c>
      <c r="AD163">
        <v>0</v>
      </c>
      <c r="AE163">
        <v>0</v>
      </c>
      <c r="AF163">
        <v>0.2019</v>
      </c>
      <c r="AG163">
        <v>1748</v>
      </c>
      <c r="AH163">
        <v>0</v>
      </c>
      <c r="AJ163" s="4">
        <v>5760</v>
      </c>
      <c r="BC163">
        <v>0.65</v>
      </c>
      <c r="BD163">
        <v>-3.2000000000000002E-3</v>
      </c>
      <c r="BE163">
        <v>0.65</v>
      </c>
      <c r="BF163">
        <v>-3.3E-3</v>
      </c>
      <c r="BG163">
        <v>1.3</v>
      </c>
      <c r="BH163">
        <v>-6.5000000000000006E-3</v>
      </c>
    </row>
    <row r="164" spans="1:60" x14ac:dyDescent="0.35">
      <c r="A164" t="s">
        <v>34</v>
      </c>
      <c r="B164" s="1">
        <v>46146.65625</v>
      </c>
      <c r="C164" t="s">
        <v>34</v>
      </c>
      <c r="D164" s="1">
        <v>46146.625</v>
      </c>
      <c r="E164">
        <v>6995</v>
      </c>
      <c r="F164" t="s">
        <v>36</v>
      </c>
      <c r="G164">
        <v>0.12</v>
      </c>
      <c r="H164">
        <v>0.7</v>
      </c>
      <c r="I164">
        <v>0.03</v>
      </c>
      <c r="J164">
        <v>0.05</v>
      </c>
      <c r="K164">
        <v>2678</v>
      </c>
      <c r="L164">
        <v>0</v>
      </c>
      <c r="M164">
        <v>0</v>
      </c>
      <c r="N164">
        <v>997</v>
      </c>
      <c r="O164">
        <v>0.05</v>
      </c>
      <c r="P164">
        <v>0</v>
      </c>
      <c r="Q164">
        <v>0</v>
      </c>
      <c r="R164">
        <v>0</v>
      </c>
      <c r="S164">
        <v>0</v>
      </c>
      <c r="T164">
        <v>1.8113999999999999</v>
      </c>
      <c r="U164">
        <v>-1.4E-3</v>
      </c>
      <c r="V164">
        <v>1E-4</v>
      </c>
      <c r="W164">
        <v>-2.5000000000000001E-2</v>
      </c>
      <c r="X164">
        <v>1.6999999999999999E-3</v>
      </c>
      <c r="Y164">
        <v>0</v>
      </c>
      <c r="Z164">
        <v>0</v>
      </c>
      <c r="AA164">
        <v>0</v>
      </c>
      <c r="AB164">
        <v>501</v>
      </c>
      <c r="AC164">
        <v>0.05</v>
      </c>
      <c r="AD164">
        <v>0</v>
      </c>
      <c r="AE164">
        <v>0</v>
      </c>
      <c r="AF164">
        <v>0.18659999999999999</v>
      </c>
      <c r="AG164">
        <v>928</v>
      </c>
      <c r="AH164">
        <v>0</v>
      </c>
      <c r="AJ164" s="4">
        <v>5770</v>
      </c>
      <c r="BC164">
        <v>0.65</v>
      </c>
      <c r="BD164">
        <v>-3.2000000000000002E-3</v>
      </c>
      <c r="BE164">
        <v>0.65</v>
      </c>
      <c r="BF164">
        <v>-3.3999999999999998E-3</v>
      </c>
      <c r="BG164">
        <v>1.3</v>
      </c>
      <c r="BH164">
        <v>-6.6E-3</v>
      </c>
    </row>
    <row r="165" spans="1:60" x14ac:dyDescent="0.35">
      <c r="A165" t="s">
        <v>34</v>
      </c>
      <c r="B165" s="1">
        <v>46146.65625</v>
      </c>
      <c r="C165" t="s">
        <v>34</v>
      </c>
      <c r="D165" s="1">
        <v>46146.625</v>
      </c>
      <c r="E165">
        <v>7000</v>
      </c>
      <c r="F165" t="s">
        <v>36</v>
      </c>
      <c r="G165">
        <v>0.15</v>
      </c>
      <c r="H165">
        <v>0.73</v>
      </c>
      <c r="I165">
        <v>0.03</v>
      </c>
      <c r="J165">
        <v>0.03</v>
      </c>
      <c r="K165">
        <v>5524</v>
      </c>
      <c r="L165">
        <v>0</v>
      </c>
      <c r="M165">
        <v>0</v>
      </c>
      <c r="N165">
        <v>732</v>
      </c>
      <c r="O165">
        <v>0.05</v>
      </c>
      <c r="P165">
        <v>0</v>
      </c>
      <c r="Q165">
        <v>0</v>
      </c>
      <c r="R165">
        <v>0</v>
      </c>
      <c r="S165">
        <v>0</v>
      </c>
      <c r="T165">
        <v>1.7705</v>
      </c>
      <c r="U165">
        <v>-1.4E-3</v>
      </c>
      <c r="V165">
        <v>1E-4</v>
      </c>
      <c r="W165">
        <v>-2.5000000000000001E-2</v>
      </c>
      <c r="X165">
        <v>1.6999999999999999E-3</v>
      </c>
      <c r="Y165">
        <v>0</v>
      </c>
      <c r="Z165">
        <v>0</v>
      </c>
      <c r="AA165">
        <v>0</v>
      </c>
      <c r="AB165">
        <v>249</v>
      </c>
      <c r="AC165">
        <v>0.05</v>
      </c>
      <c r="AD165">
        <v>0</v>
      </c>
      <c r="AE165">
        <v>0</v>
      </c>
      <c r="AF165">
        <v>0.18379999999999999</v>
      </c>
      <c r="AG165">
        <v>7751</v>
      </c>
      <c r="AH165">
        <v>0</v>
      </c>
      <c r="AJ165" s="4">
        <v>5775</v>
      </c>
      <c r="AK165">
        <v>0.05</v>
      </c>
      <c r="AL165">
        <v>0</v>
      </c>
      <c r="AM165">
        <v>0.05</v>
      </c>
      <c r="AN165">
        <v>-2.0000000000000001E-4</v>
      </c>
      <c r="AO165">
        <v>0.05</v>
      </c>
      <c r="AP165">
        <v>-2.0000000000000001E-4</v>
      </c>
      <c r="AQ165">
        <v>0.1</v>
      </c>
      <c r="AR165">
        <v>-4.0000000000000002E-4</v>
      </c>
      <c r="AS165">
        <v>0.1</v>
      </c>
      <c r="AT165">
        <v>-4.0000000000000002E-4</v>
      </c>
      <c r="AU165">
        <v>0.15</v>
      </c>
      <c r="AV165">
        <v>-8.9999999999999998E-4</v>
      </c>
      <c r="AW165">
        <v>0.3</v>
      </c>
      <c r="AX165">
        <v>-1.5E-3</v>
      </c>
      <c r="BC165">
        <v>0.65</v>
      </c>
      <c r="BD165">
        <v>-3.3E-3</v>
      </c>
      <c r="BE165">
        <v>0.65</v>
      </c>
      <c r="BF165">
        <v>-3.3999999999999998E-3</v>
      </c>
      <c r="BG165">
        <v>2.1</v>
      </c>
      <c r="BH165">
        <v>-1.03E-2</v>
      </c>
    </row>
    <row r="166" spans="1:60" x14ac:dyDescent="0.35">
      <c r="A166" t="s">
        <v>34</v>
      </c>
      <c r="B166" s="1">
        <v>46146.65625</v>
      </c>
      <c r="C166" t="s">
        <v>34</v>
      </c>
      <c r="D166" s="1">
        <v>46146.625</v>
      </c>
      <c r="E166">
        <v>7005</v>
      </c>
      <c r="F166" t="s">
        <v>36</v>
      </c>
      <c r="G166">
        <v>0.1</v>
      </c>
      <c r="H166">
        <v>0.7</v>
      </c>
      <c r="I166">
        <v>0.03</v>
      </c>
      <c r="J166">
        <v>0.03</v>
      </c>
      <c r="K166">
        <v>1714</v>
      </c>
      <c r="L166">
        <v>0</v>
      </c>
      <c r="M166">
        <v>0</v>
      </c>
      <c r="N166">
        <v>460</v>
      </c>
      <c r="O166">
        <v>0.05</v>
      </c>
      <c r="P166">
        <v>0</v>
      </c>
      <c r="Q166">
        <v>0</v>
      </c>
      <c r="R166">
        <v>0</v>
      </c>
      <c r="S166">
        <v>0</v>
      </c>
      <c r="T166">
        <v>1.7295</v>
      </c>
      <c r="U166">
        <v>-1.4E-3</v>
      </c>
      <c r="V166">
        <v>1E-4</v>
      </c>
      <c r="W166">
        <v>-2.5000000000000001E-2</v>
      </c>
      <c r="X166">
        <v>1.6999999999999999E-3</v>
      </c>
      <c r="Y166">
        <v>0</v>
      </c>
      <c r="Z166">
        <v>0</v>
      </c>
      <c r="AA166">
        <v>0</v>
      </c>
      <c r="AB166">
        <v>6</v>
      </c>
      <c r="AC166">
        <v>0.05</v>
      </c>
      <c r="AD166">
        <v>0</v>
      </c>
      <c r="AE166">
        <v>0</v>
      </c>
      <c r="AF166">
        <v>0.16139999999999999</v>
      </c>
      <c r="AG166">
        <v>373</v>
      </c>
      <c r="AH166">
        <v>0</v>
      </c>
      <c r="AJ166" s="4">
        <v>5780</v>
      </c>
      <c r="BC166">
        <v>0.65</v>
      </c>
      <c r="BD166">
        <v>-3.3E-3</v>
      </c>
      <c r="BE166">
        <v>0.65</v>
      </c>
      <c r="BF166">
        <v>-3.3999999999999998E-3</v>
      </c>
      <c r="BG166">
        <v>1.3</v>
      </c>
      <c r="BH166">
        <v>-6.6999999999999994E-3</v>
      </c>
    </row>
    <row r="167" spans="1:60" x14ac:dyDescent="0.35">
      <c r="A167" t="s">
        <v>34</v>
      </c>
      <c r="B167" s="1">
        <v>46146.65625</v>
      </c>
      <c r="C167" t="s">
        <v>34</v>
      </c>
      <c r="D167" s="1">
        <v>46146.625</v>
      </c>
      <c r="E167">
        <v>7010</v>
      </c>
      <c r="F167" t="s">
        <v>36</v>
      </c>
      <c r="G167">
        <v>0.2</v>
      </c>
      <c r="H167">
        <v>0.83</v>
      </c>
      <c r="I167">
        <v>0.03</v>
      </c>
      <c r="J167">
        <v>0.05</v>
      </c>
      <c r="K167">
        <v>2458</v>
      </c>
      <c r="L167">
        <v>0</v>
      </c>
      <c r="M167">
        <v>0</v>
      </c>
      <c r="N167">
        <v>454</v>
      </c>
      <c r="O167">
        <v>0.05</v>
      </c>
      <c r="P167">
        <v>0</v>
      </c>
      <c r="Q167">
        <v>0</v>
      </c>
      <c r="R167">
        <v>0</v>
      </c>
      <c r="S167">
        <v>0</v>
      </c>
      <c r="T167">
        <v>1.6884999999999999</v>
      </c>
      <c r="U167">
        <v>-1.4E-3</v>
      </c>
      <c r="V167">
        <v>1E-4</v>
      </c>
      <c r="W167">
        <v>-2.5000000000000001E-2</v>
      </c>
      <c r="X167">
        <v>1.8E-3</v>
      </c>
      <c r="Y167">
        <v>0</v>
      </c>
      <c r="Z167">
        <v>0</v>
      </c>
      <c r="AA167">
        <v>0</v>
      </c>
      <c r="AB167">
        <v>9</v>
      </c>
      <c r="AC167">
        <v>0.05</v>
      </c>
      <c r="AD167">
        <v>0</v>
      </c>
      <c r="AE167">
        <v>0</v>
      </c>
      <c r="AF167">
        <v>0.15770000000000001</v>
      </c>
      <c r="AG167">
        <v>527</v>
      </c>
      <c r="AH167">
        <v>0</v>
      </c>
      <c r="AJ167" s="4">
        <v>5790</v>
      </c>
      <c r="BC167">
        <v>0.65</v>
      </c>
      <c r="BD167">
        <v>-3.3E-3</v>
      </c>
      <c r="BE167">
        <v>0.7</v>
      </c>
      <c r="BF167">
        <v>-3.5999999999999999E-3</v>
      </c>
      <c r="BG167">
        <v>1.35</v>
      </c>
      <c r="BH167">
        <v>-6.8999999999999999E-3</v>
      </c>
    </row>
    <row r="168" spans="1:60" x14ac:dyDescent="0.35">
      <c r="A168" t="s">
        <v>34</v>
      </c>
      <c r="B168" s="1">
        <v>46146.65625</v>
      </c>
      <c r="C168" t="s">
        <v>34</v>
      </c>
      <c r="D168" s="1">
        <v>46146.625</v>
      </c>
      <c r="E168">
        <v>7015</v>
      </c>
      <c r="F168" t="s">
        <v>36</v>
      </c>
      <c r="G168">
        <v>0.17</v>
      </c>
      <c r="H168">
        <v>0.85</v>
      </c>
      <c r="I168">
        <v>0.05</v>
      </c>
      <c r="J168">
        <v>0.05</v>
      </c>
      <c r="K168">
        <v>3426</v>
      </c>
      <c r="L168">
        <v>0</v>
      </c>
      <c r="M168">
        <v>0</v>
      </c>
      <c r="N168">
        <v>452</v>
      </c>
      <c r="O168">
        <v>0.05</v>
      </c>
      <c r="P168">
        <v>0</v>
      </c>
      <c r="Q168">
        <v>0</v>
      </c>
      <c r="R168">
        <v>0</v>
      </c>
      <c r="S168">
        <v>0</v>
      </c>
      <c r="T168">
        <v>1.6474</v>
      </c>
      <c r="U168">
        <v>-1.5E-3</v>
      </c>
      <c r="V168">
        <v>1E-4</v>
      </c>
      <c r="W168">
        <v>-2.5000000000000001E-2</v>
      </c>
      <c r="X168">
        <v>1.8E-3</v>
      </c>
      <c r="Y168">
        <v>0</v>
      </c>
      <c r="Z168">
        <v>0</v>
      </c>
      <c r="AA168">
        <v>0</v>
      </c>
      <c r="AB168">
        <v>1</v>
      </c>
      <c r="AC168">
        <v>0.05</v>
      </c>
      <c r="AD168">
        <v>0</v>
      </c>
      <c r="AE168">
        <v>0</v>
      </c>
      <c r="AF168">
        <v>0.24199999999999999</v>
      </c>
      <c r="AG168">
        <v>384</v>
      </c>
      <c r="AH168">
        <v>0</v>
      </c>
      <c r="AJ168" s="4">
        <v>5800</v>
      </c>
      <c r="AK168">
        <v>0.05</v>
      </c>
      <c r="AL168">
        <v>0</v>
      </c>
      <c r="AM168">
        <v>0.05</v>
      </c>
      <c r="AN168">
        <v>-2.0000000000000001E-4</v>
      </c>
      <c r="AO168">
        <v>0.05</v>
      </c>
      <c r="AP168">
        <v>-2.0000000000000001E-4</v>
      </c>
      <c r="AQ168">
        <v>0.1</v>
      </c>
      <c r="AR168">
        <v>-4.0000000000000002E-4</v>
      </c>
      <c r="AS168">
        <v>0.1</v>
      </c>
      <c r="AT168">
        <v>-5.9999999999999995E-4</v>
      </c>
      <c r="AU168">
        <v>0.15</v>
      </c>
      <c r="AV168">
        <v>-1E-3</v>
      </c>
      <c r="AW168">
        <v>0.3</v>
      </c>
      <c r="AX168">
        <v>-1.6000000000000001E-3</v>
      </c>
      <c r="AY168">
        <v>0.4</v>
      </c>
      <c r="AZ168">
        <v>-2.0999999999999999E-3</v>
      </c>
      <c r="BA168">
        <v>0.55000000000000004</v>
      </c>
      <c r="BB168">
        <v>-2.8999999999999998E-3</v>
      </c>
      <c r="BC168">
        <v>0.65</v>
      </c>
      <c r="BD168">
        <v>-3.3999999999999998E-3</v>
      </c>
      <c r="BE168">
        <v>0.7</v>
      </c>
      <c r="BF168">
        <v>-3.5999999999999999E-3</v>
      </c>
      <c r="BG168">
        <v>3.1000000000000005</v>
      </c>
      <c r="BH168">
        <v>-1.6E-2</v>
      </c>
    </row>
    <row r="169" spans="1:60" x14ac:dyDescent="0.35">
      <c r="A169" t="s">
        <v>34</v>
      </c>
      <c r="B169" s="1">
        <v>46146.65625</v>
      </c>
      <c r="C169" t="s">
        <v>34</v>
      </c>
      <c r="D169" s="1">
        <v>46146.625</v>
      </c>
      <c r="E169">
        <v>7020</v>
      </c>
      <c r="F169" t="s">
        <v>36</v>
      </c>
      <c r="G169">
        <v>0.17</v>
      </c>
      <c r="H169">
        <v>0.92</v>
      </c>
      <c r="I169">
        <v>0.02</v>
      </c>
      <c r="J169">
        <v>0.03</v>
      </c>
      <c r="K169">
        <v>2762</v>
      </c>
      <c r="L169">
        <v>0</v>
      </c>
      <c r="M169">
        <v>0</v>
      </c>
      <c r="N169">
        <v>457</v>
      </c>
      <c r="O169">
        <v>0.05</v>
      </c>
      <c r="P169">
        <v>0</v>
      </c>
      <c r="Q169">
        <v>0</v>
      </c>
      <c r="R169">
        <v>0</v>
      </c>
      <c r="S169">
        <v>0</v>
      </c>
      <c r="T169">
        <v>1.6063000000000001</v>
      </c>
      <c r="U169">
        <v>-1.5E-3</v>
      </c>
      <c r="V169">
        <v>1E-4</v>
      </c>
      <c r="W169">
        <v>-2.5000000000000001E-2</v>
      </c>
      <c r="X169">
        <v>1.9E-3</v>
      </c>
      <c r="Y169">
        <v>0</v>
      </c>
      <c r="Z169">
        <v>0</v>
      </c>
      <c r="AA169">
        <v>0</v>
      </c>
      <c r="AB169">
        <v>3</v>
      </c>
      <c r="AC169">
        <v>0.05</v>
      </c>
      <c r="AD169">
        <v>0</v>
      </c>
      <c r="AE169">
        <v>0</v>
      </c>
      <c r="AF169">
        <v>0.249</v>
      </c>
      <c r="AG169">
        <v>1805</v>
      </c>
      <c r="AH169">
        <v>0</v>
      </c>
      <c r="AJ169" s="4">
        <v>5810</v>
      </c>
      <c r="BC169">
        <v>0.7</v>
      </c>
      <c r="BD169">
        <v>-3.5000000000000001E-3</v>
      </c>
      <c r="BE169">
        <v>0.7</v>
      </c>
      <c r="BF169">
        <v>-3.7000000000000002E-3</v>
      </c>
      <c r="BG169">
        <v>1.4</v>
      </c>
      <c r="BH169">
        <v>-7.1999999999999998E-3</v>
      </c>
    </row>
    <row r="170" spans="1:60" x14ac:dyDescent="0.35">
      <c r="A170" t="s">
        <v>34</v>
      </c>
      <c r="B170" s="1">
        <v>46146.65625</v>
      </c>
      <c r="C170" t="s">
        <v>34</v>
      </c>
      <c r="D170" s="1">
        <v>46146.625</v>
      </c>
      <c r="E170">
        <v>7025</v>
      </c>
      <c r="F170" t="s">
        <v>36</v>
      </c>
      <c r="G170">
        <v>0.17</v>
      </c>
      <c r="H170">
        <v>0.97</v>
      </c>
      <c r="I170">
        <v>0.02</v>
      </c>
      <c r="J170">
        <v>0.05</v>
      </c>
      <c r="K170">
        <v>3331</v>
      </c>
      <c r="L170">
        <v>0</v>
      </c>
      <c r="M170">
        <v>0</v>
      </c>
      <c r="N170">
        <v>453</v>
      </c>
      <c r="O170">
        <v>0.05</v>
      </c>
      <c r="P170">
        <v>0</v>
      </c>
      <c r="Q170">
        <v>0</v>
      </c>
      <c r="R170">
        <v>0</v>
      </c>
      <c r="S170">
        <v>0</v>
      </c>
      <c r="T170">
        <v>1.5651999999999999</v>
      </c>
      <c r="U170">
        <v>-1.5E-3</v>
      </c>
      <c r="V170">
        <v>1E-4</v>
      </c>
      <c r="W170">
        <v>-2.5000000000000001E-2</v>
      </c>
      <c r="X170">
        <v>1.9E-3</v>
      </c>
      <c r="Y170">
        <v>0</v>
      </c>
      <c r="Z170">
        <v>0</v>
      </c>
      <c r="AA170">
        <v>0</v>
      </c>
      <c r="AB170">
        <v>6</v>
      </c>
      <c r="AC170">
        <v>0.05</v>
      </c>
      <c r="AD170">
        <v>0</v>
      </c>
      <c r="AE170">
        <v>0</v>
      </c>
      <c r="AF170">
        <v>0.31130000000000002</v>
      </c>
      <c r="AG170">
        <v>3674</v>
      </c>
      <c r="AH170">
        <v>0</v>
      </c>
      <c r="AJ170" s="4">
        <v>5820</v>
      </c>
      <c r="BC170">
        <v>0.7</v>
      </c>
      <c r="BD170">
        <v>-3.5999999999999999E-3</v>
      </c>
      <c r="BE170">
        <v>0.7</v>
      </c>
      <c r="BF170">
        <v>-3.8E-3</v>
      </c>
      <c r="BG170">
        <v>1.4</v>
      </c>
      <c r="BH170">
        <v>-7.4000000000000003E-3</v>
      </c>
    </row>
    <row r="171" spans="1:60" x14ac:dyDescent="0.35">
      <c r="A171" t="s">
        <v>34</v>
      </c>
      <c r="B171" s="1">
        <v>46146.65625</v>
      </c>
      <c r="C171" t="s">
        <v>34</v>
      </c>
      <c r="D171" s="1">
        <v>46146.625</v>
      </c>
      <c r="E171">
        <v>7030</v>
      </c>
      <c r="F171" t="s">
        <v>36</v>
      </c>
      <c r="G171">
        <v>0.23</v>
      </c>
      <c r="H171">
        <v>1.03</v>
      </c>
      <c r="I171">
        <v>0.02</v>
      </c>
      <c r="J171">
        <v>0.02</v>
      </c>
      <c r="K171">
        <v>3750</v>
      </c>
      <c r="L171">
        <v>0</v>
      </c>
      <c r="M171">
        <v>0</v>
      </c>
      <c r="N171">
        <v>470</v>
      </c>
      <c r="O171">
        <v>0.05</v>
      </c>
      <c r="P171">
        <v>0</v>
      </c>
      <c r="Q171">
        <v>0</v>
      </c>
      <c r="R171">
        <v>0</v>
      </c>
      <c r="S171">
        <v>0</v>
      </c>
      <c r="T171">
        <v>1.5239</v>
      </c>
      <c r="U171">
        <v>-1.6000000000000001E-3</v>
      </c>
      <c r="V171">
        <v>1E-4</v>
      </c>
      <c r="W171">
        <v>-2.5000000000000001E-2</v>
      </c>
      <c r="X171">
        <v>1.9E-3</v>
      </c>
      <c r="Y171">
        <v>0</v>
      </c>
      <c r="Z171">
        <v>0</v>
      </c>
      <c r="AA171">
        <v>0</v>
      </c>
      <c r="AB171">
        <v>4</v>
      </c>
      <c r="AC171">
        <v>0.05</v>
      </c>
      <c r="AD171">
        <v>0</v>
      </c>
      <c r="AE171">
        <v>0</v>
      </c>
      <c r="AF171">
        <v>0.29039999999999999</v>
      </c>
      <c r="AG171">
        <v>5415</v>
      </c>
      <c r="AH171">
        <v>0</v>
      </c>
      <c r="AJ171" s="4">
        <v>5825</v>
      </c>
      <c r="AK171">
        <v>0.05</v>
      </c>
      <c r="AL171">
        <v>0</v>
      </c>
      <c r="AM171">
        <v>0.05</v>
      </c>
      <c r="AN171">
        <v>-2.0000000000000001E-4</v>
      </c>
      <c r="AO171">
        <v>0.05</v>
      </c>
      <c r="AP171">
        <v>-2.0000000000000001E-4</v>
      </c>
      <c r="AQ171">
        <v>0.1</v>
      </c>
      <c r="AR171">
        <v>-4.0000000000000002E-4</v>
      </c>
      <c r="AS171">
        <v>0.1</v>
      </c>
      <c r="AT171">
        <v>-4.0000000000000002E-4</v>
      </c>
      <c r="AU171">
        <v>0.15</v>
      </c>
      <c r="AV171">
        <v>-1E-3</v>
      </c>
      <c r="AW171">
        <v>0.3</v>
      </c>
      <c r="AX171">
        <v>-1.6000000000000001E-3</v>
      </c>
      <c r="BC171">
        <v>0.7</v>
      </c>
      <c r="BD171">
        <v>-3.7000000000000002E-3</v>
      </c>
      <c r="BE171">
        <v>0.75</v>
      </c>
      <c r="BF171">
        <v>-3.8999999999999998E-3</v>
      </c>
      <c r="BG171">
        <v>2.25</v>
      </c>
      <c r="BH171">
        <v>-1.14E-2</v>
      </c>
    </row>
    <row r="172" spans="1:60" x14ac:dyDescent="0.35">
      <c r="A172" t="s">
        <v>34</v>
      </c>
      <c r="B172" s="1">
        <v>46146.65625</v>
      </c>
      <c r="C172" t="s">
        <v>34</v>
      </c>
      <c r="D172" s="1">
        <v>46146.625</v>
      </c>
      <c r="E172">
        <v>7035</v>
      </c>
      <c r="F172" t="s">
        <v>36</v>
      </c>
      <c r="G172">
        <v>0.25</v>
      </c>
      <c r="H172">
        <v>1.1000000000000001</v>
      </c>
      <c r="I172">
        <v>0.03</v>
      </c>
      <c r="J172">
        <v>0.05</v>
      </c>
      <c r="K172">
        <v>3478</v>
      </c>
      <c r="L172">
        <v>0</v>
      </c>
      <c r="M172">
        <v>0</v>
      </c>
      <c r="N172">
        <v>469</v>
      </c>
      <c r="O172">
        <v>0.05</v>
      </c>
      <c r="P172">
        <v>0</v>
      </c>
      <c r="Q172">
        <v>0</v>
      </c>
      <c r="R172">
        <v>0</v>
      </c>
      <c r="S172">
        <v>0</v>
      </c>
      <c r="T172">
        <v>1.4826999999999999</v>
      </c>
      <c r="U172">
        <v>-1.6000000000000001E-3</v>
      </c>
      <c r="V172">
        <v>1E-4</v>
      </c>
      <c r="W172">
        <v>-2.5000000000000001E-2</v>
      </c>
      <c r="X172">
        <v>2E-3</v>
      </c>
      <c r="Y172">
        <v>0</v>
      </c>
      <c r="Z172">
        <v>0</v>
      </c>
      <c r="AA172">
        <v>0</v>
      </c>
      <c r="AB172">
        <v>9</v>
      </c>
      <c r="AC172">
        <v>0.05</v>
      </c>
      <c r="AD172">
        <v>0</v>
      </c>
      <c r="AE172">
        <v>0</v>
      </c>
      <c r="AF172">
        <v>0.24909999999999999</v>
      </c>
      <c r="AG172">
        <v>4753</v>
      </c>
      <c r="AH172">
        <v>0</v>
      </c>
      <c r="AJ172" s="4">
        <v>5830</v>
      </c>
      <c r="BC172">
        <v>0.7</v>
      </c>
      <c r="BD172">
        <v>-3.7000000000000002E-3</v>
      </c>
      <c r="BE172">
        <v>0.75</v>
      </c>
      <c r="BF172">
        <v>-3.8999999999999998E-3</v>
      </c>
      <c r="BG172">
        <v>1.45</v>
      </c>
      <c r="BH172">
        <v>-7.6E-3</v>
      </c>
    </row>
    <row r="173" spans="1:60" x14ac:dyDescent="0.35">
      <c r="A173" t="s">
        <v>34</v>
      </c>
      <c r="B173" s="1">
        <v>46146.65625</v>
      </c>
      <c r="C173" t="s">
        <v>34</v>
      </c>
      <c r="D173" s="1">
        <v>46146.625</v>
      </c>
      <c r="E173">
        <v>7040</v>
      </c>
      <c r="F173" t="s">
        <v>36</v>
      </c>
      <c r="G173">
        <v>0.24</v>
      </c>
      <c r="H173">
        <v>1.3</v>
      </c>
      <c r="I173">
        <v>0.03</v>
      </c>
      <c r="J173">
        <v>0.05</v>
      </c>
      <c r="K173">
        <v>4337</v>
      </c>
      <c r="L173">
        <v>0</v>
      </c>
      <c r="M173">
        <v>0</v>
      </c>
      <c r="N173">
        <v>419</v>
      </c>
      <c r="O173">
        <v>0.05</v>
      </c>
      <c r="P173">
        <v>0</v>
      </c>
      <c r="Q173">
        <v>0</v>
      </c>
      <c r="R173">
        <v>0</v>
      </c>
      <c r="S173">
        <v>0</v>
      </c>
      <c r="T173">
        <v>1.4413</v>
      </c>
      <c r="U173">
        <v>-1.6999999999999999E-3</v>
      </c>
      <c r="V173">
        <v>1E-4</v>
      </c>
      <c r="W173">
        <v>-2.5000000000000001E-2</v>
      </c>
      <c r="X173">
        <v>2E-3</v>
      </c>
      <c r="Y173">
        <v>0</v>
      </c>
      <c r="Z173">
        <v>0</v>
      </c>
      <c r="AA173">
        <v>0</v>
      </c>
      <c r="AB173">
        <v>10</v>
      </c>
      <c r="AC173">
        <v>0.05</v>
      </c>
      <c r="AD173">
        <v>0</v>
      </c>
      <c r="AE173">
        <v>0</v>
      </c>
      <c r="AF173">
        <v>0.30320000000000003</v>
      </c>
      <c r="AG173">
        <v>964</v>
      </c>
      <c r="AH173">
        <v>0</v>
      </c>
      <c r="AJ173" s="4">
        <v>5840</v>
      </c>
      <c r="BC173">
        <v>0.7</v>
      </c>
      <c r="BD173">
        <v>-3.7000000000000002E-3</v>
      </c>
      <c r="BE173">
        <v>0.75</v>
      </c>
      <c r="BF173">
        <v>-3.8999999999999998E-3</v>
      </c>
      <c r="BG173">
        <v>1.45</v>
      </c>
      <c r="BH173">
        <v>-7.6E-3</v>
      </c>
    </row>
    <row r="174" spans="1:60" x14ac:dyDescent="0.35">
      <c r="A174" t="s">
        <v>34</v>
      </c>
      <c r="B174" s="1">
        <v>46146.65625</v>
      </c>
      <c r="C174" t="s">
        <v>34</v>
      </c>
      <c r="D174" s="1">
        <v>46146.625</v>
      </c>
      <c r="E174">
        <v>7045</v>
      </c>
      <c r="F174" t="s">
        <v>36</v>
      </c>
      <c r="G174">
        <v>0.25</v>
      </c>
      <c r="H174">
        <v>1.3</v>
      </c>
      <c r="I174">
        <v>0.02</v>
      </c>
      <c r="J174">
        <v>0.05</v>
      </c>
      <c r="K174">
        <v>3980</v>
      </c>
      <c r="L174">
        <v>0</v>
      </c>
      <c r="M174">
        <v>0</v>
      </c>
      <c r="N174">
        <v>416</v>
      </c>
      <c r="O174">
        <v>0.05</v>
      </c>
      <c r="P174">
        <v>0</v>
      </c>
      <c r="Q174">
        <v>0</v>
      </c>
      <c r="R174">
        <v>0</v>
      </c>
      <c r="S174">
        <v>0</v>
      </c>
      <c r="T174">
        <v>1.3998999999999999</v>
      </c>
      <c r="U174">
        <v>-1.6999999999999999E-3</v>
      </c>
      <c r="V174">
        <v>1E-4</v>
      </c>
      <c r="W174">
        <v>-2.5000000000000001E-2</v>
      </c>
      <c r="X174">
        <v>2.0999999999999999E-3</v>
      </c>
      <c r="Y174">
        <v>0</v>
      </c>
      <c r="Z174">
        <v>0</v>
      </c>
      <c r="AA174">
        <v>0</v>
      </c>
      <c r="AB174">
        <v>5</v>
      </c>
      <c r="AC174">
        <v>0.05</v>
      </c>
      <c r="AD174">
        <v>0</v>
      </c>
      <c r="AE174">
        <v>0</v>
      </c>
      <c r="AF174">
        <v>0.33860000000000001</v>
      </c>
      <c r="AG174">
        <v>780</v>
      </c>
      <c r="AH174">
        <v>0</v>
      </c>
      <c r="AJ174" s="4">
        <v>5850</v>
      </c>
      <c r="AK174">
        <v>0.05</v>
      </c>
      <c r="AL174">
        <v>0</v>
      </c>
      <c r="AM174">
        <v>0.05</v>
      </c>
      <c r="AN174">
        <v>-2.9999999999999997E-4</v>
      </c>
      <c r="AO174">
        <v>0.05</v>
      </c>
      <c r="AP174">
        <v>-2.9999999999999997E-4</v>
      </c>
      <c r="AQ174">
        <v>0.1</v>
      </c>
      <c r="AR174">
        <v>-5.0000000000000001E-4</v>
      </c>
      <c r="AS174">
        <v>0.1</v>
      </c>
      <c r="AT174">
        <v>-5.0000000000000001E-4</v>
      </c>
      <c r="AU174">
        <v>0.15</v>
      </c>
      <c r="AV174">
        <v>-1E-3</v>
      </c>
      <c r="AW174">
        <v>0.3</v>
      </c>
      <c r="AX174">
        <v>-1.6000000000000001E-3</v>
      </c>
      <c r="AY174">
        <v>0.45</v>
      </c>
      <c r="AZ174">
        <v>-2.3E-3</v>
      </c>
      <c r="BC174">
        <v>0.65</v>
      </c>
      <c r="BD174">
        <v>-3.5999999999999999E-3</v>
      </c>
      <c r="BE174">
        <v>0.75</v>
      </c>
      <c r="BF174">
        <v>-4.1000000000000003E-3</v>
      </c>
      <c r="BG174">
        <v>2.65</v>
      </c>
      <c r="BH174">
        <v>-1.4200000000000001E-2</v>
      </c>
    </row>
    <row r="175" spans="1:60" x14ac:dyDescent="0.35">
      <c r="A175" t="s">
        <v>34</v>
      </c>
      <c r="B175" s="1">
        <v>46146.65625</v>
      </c>
      <c r="C175" t="s">
        <v>34</v>
      </c>
      <c r="D175" s="1">
        <v>46146.625</v>
      </c>
      <c r="E175">
        <v>7050</v>
      </c>
      <c r="F175" t="s">
        <v>36</v>
      </c>
      <c r="G175">
        <v>0.3</v>
      </c>
      <c r="H175">
        <v>1.45</v>
      </c>
      <c r="I175">
        <v>0.02</v>
      </c>
      <c r="J175">
        <v>0.02</v>
      </c>
      <c r="K175">
        <v>6339</v>
      </c>
      <c r="L175">
        <v>0</v>
      </c>
      <c r="M175">
        <v>0</v>
      </c>
      <c r="N175">
        <v>457</v>
      </c>
      <c r="O175">
        <v>0.05</v>
      </c>
      <c r="P175">
        <v>0</v>
      </c>
      <c r="Q175">
        <v>0</v>
      </c>
      <c r="R175">
        <v>0</v>
      </c>
      <c r="S175">
        <v>0</v>
      </c>
      <c r="T175">
        <v>1.3585</v>
      </c>
      <c r="U175">
        <v>-1.8E-3</v>
      </c>
      <c r="V175">
        <v>1E-4</v>
      </c>
      <c r="W175">
        <v>-2.5000000000000001E-2</v>
      </c>
      <c r="X175">
        <v>2.2000000000000001E-3</v>
      </c>
      <c r="Y175">
        <v>0</v>
      </c>
      <c r="Z175">
        <v>0</v>
      </c>
      <c r="AA175">
        <v>0</v>
      </c>
      <c r="AB175">
        <v>82</v>
      </c>
      <c r="AC175">
        <v>0.05</v>
      </c>
      <c r="AD175">
        <v>0</v>
      </c>
      <c r="AE175">
        <v>0</v>
      </c>
      <c r="AF175">
        <v>0.32540000000000002</v>
      </c>
      <c r="AG175">
        <v>4037</v>
      </c>
      <c r="AH175">
        <v>0</v>
      </c>
      <c r="AJ175" s="4">
        <v>5860</v>
      </c>
      <c r="BC175">
        <v>0.75</v>
      </c>
      <c r="BD175">
        <v>-3.8999999999999998E-3</v>
      </c>
      <c r="BE175">
        <v>0.75</v>
      </c>
      <c r="BF175">
        <v>-4.1000000000000003E-3</v>
      </c>
      <c r="BG175">
        <v>1.5</v>
      </c>
      <c r="BH175">
        <v>-8.0000000000000002E-3</v>
      </c>
    </row>
    <row r="176" spans="1:60" x14ac:dyDescent="0.35">
      <c r="A176" t="s">
        <v>34</v>
      </c>
      <c r="B176" s="1">
        <v>46146.65625</v>
      </c>
      <c r="C176" t="s">
        <v>34</v>
      </c>
      <c r="D176" s="1">
        <v>46146.625</v>
      </c>
      <c r="E176">
        <v>7055</v>
      </c>
      <c r="F176" t="s">
        <v>36</v>
      </c>
      <c r="G176">
        <v>0.25</v>
      </c>
      <c r="H176">
        <v>1.85</v>
      </c>
      <c r="I176">
        <v>0.03</v>
      </c>
      <c r="J176">
        <v>0.03</v>
      </c>
      <c r="K176">
        <v>3610</v>
      </c>
      <c r="L176">
        <v>0</v>
      </c>
      <c r="M176">
        <v>0</v>
      </c>
      <c r="N176">
        <v>465</v>
      </c>
      <c r="O176">
        <v>0.05</v>
      </c>
      <c r="P176">
        <v>0</v>
      </c>
      <c r="Q176">
        <v>0</v>
      </c>
      <c r="R176">
        <v>0</v>
      </c>
      <c r="S176">
        <v>0</v>
      </c>
      <c r="T176">
        <v>1.3169</v>
      </c>
      <c r="U176">
        <v>-1.8E-3</v>
      </c>
      <c r="V176">
        <v>1E-4</v>
      </c>
      <c r="W176">
        <v>-2.5000000000000001E-2</v>
      </c>
      <c r="X176">
        <v>2.2000000000000001E-3</v>
      </c>
      <c r="Y176">
        <v>0</v>
      </c>
      <c r="Z176">
        <v>0</v>
      </c>
      <c r="AA176">
        <v>0</v>
      </c>
      <c r="AB176">
        <v>94</v>
      </c>
      <c r="AC176">
        <v>0.05</v>
      </c>
      <c r="AD176">
        <v>0</v>
      </c>
      <c r="AE176">
        <v>0</v>
      </c>
      <c r="AF176">
        <v>0.44030000000000002</v>
      </c>
      <c r="AG176">
        <v>686</v>
      </c>
      <c r="AH176">
        <v>0</v>
      </c>
      <c r="AJ176" s="4">
        <v>5870</v>
      </c>
      <c r="BC176">
        <v>0.75</v>
      </c>
      <c r="BD176">
        <v>-4.0000000000000001E-3</v>
      </c>
      <c r="BE176">
        <v>0.8</v>
      </c>
      <c r="BF176">
        <v>-4.3E-3</v>
      </c>
      <c r="BG176">
        <v>1.55</v>
      </c>
      <c r="BH176">
        <v>-8.3000000000000001E-3</v>
      </c>
    </row>
    <row r="177" spans="1:60" x14ac:dyDescent="0.35">
      <c r="A177" t="s">
        <v>34</v>
      </c>
      <c r="B177" s="1">
        <v>46146.65625</v>
      </c>
      <c r="C177" t="s">
        <v>34</v>
      </c>
      <c r="D177" s="1">
        <v>46146.625</v>
      </c>
      <c r="E177">
        <v>7060</v>
      </c>
      <c r="F177" t="s">
        <v>36</v>
      </c>
      <c r="G177">
        <v>0.3</v>
      </c>
      <c r="H177">
        <v>1.65</v>
      </c>
      <c r="I177">
        <v>0.03</v>
      </c>
      <c r="J177">
        <v>0.05</v>
      </c>
      <c r="K177">
        <v>5397</v>
      </c>
      <c r="L177">
        <v>0</v>
      </c>
      <c r="M177">
        <v>0</v>
      </c>
      <c r="N177">
        <v>473</v>
      </c>
      <c r="O177">
        <v>0.05</v>
      </c>
      <c r="P177">
        <v>0</v>
      </c>
      <c r="Q177">
        <v>0</v>
      </c>
      <c r="R177">
        <v>0</v>
      </c>
      <c r="S177">
        <v>0</v>
      </c>
      <c r="T177">
        <v>1.2753000000000001</v>
      </c>
      <c r="U177">
        <v>-1.9E-3</v>
      </c>
      <c r="V177">
        <v>1E-4</v>
      </c>
      <c r="W177">
        <v>-2.5000000000000001E-2</v>
      </c>
      <c r="X177">
        <v>2.3E-3</v>
      </c>
      <c r="Y177">
        <v>0</v>
      </c>
      <c r="Z177">
        <v>0</v>
      </c>
      <c r="AA177">
        <v>0</v>
      </c>
      <c r="AB177">
        <v>64</v>
      </c>
      <c r="AC177">
        <v>0.05</v>
      </c>
      <c r="AD177">
        <v>0</v>
      </c>
      <c r="AE177">
        <v>0</v>
      </c>
      <c r="AF177">
        <v>0.44109999999999999</v>
      </c>
      <c r="AG177">
        <v>1712</v>
      </c>
      <c r="AH177">
        <v>0</v>
      </c>
      <c r="AJ177" s="4">
        <v>5875</v>
      </c>
      <c r="AK177">
        <v>0.05</v>
      </c>
      <c r="AL177">
        <v>0</v>
      </c>
      <c r="AM177">
        <v>0.05</v>
      </c>
      <c r="AN177">
        <v>-2.9999999999999997E-4</v>
      </c>
      <c r="AO177">
        <v>0.05</v>
      </c>
      <c r="AP177">
        <v>-2.9999999999999997E-4</v>
      </c>
      <c r="AQ177">
        <v>0.1</v>
      </c>
      <c r="AR177">
        <v>-5.0000000000000001E-4</v>
      </c>
      <c r="AS177">
        <v>0.1</v>
      </c>
      <c r="AT177">
        <v>-6.9999999999999999E-4</v>
      </c>
      <c r="AU177">
        <v>0.15</v>
      </c>
      <c r="AV177">
        <v>-1E-3</v>
      </c>
      <c r="AW177">
        <v>0.3</v>
      </c>
      <c r="AX177">
        <v>-1.8E-3</v>
      </c>
      <c r="AY177">
        <v>0.45</v>
      </c>
      <c r="AZ177">
        <v>-2.5000000000000001E-3</v>
      </c>
      <c r="BA177">
        <v>0.6</v>
      </c>
      <c r="BB177">
        <v>-3.3E-3</v>
      </c>
      <c r="BC177">
        <v>0.75</v>
      </c>
      <c r="BD177">
        <v>-4.0000000000000001E-3</v>
      </c>
      <c r="BE177">
        <v>0.8</v>
      </c>
      <c r="BF177">
        <v>-4.3E-3</v>
      </c>
      <c r="BG177">
        <v>3.4000000000000004</v>
      </c>
      <c r="BH177">
        <v>-1.8700000000000001E-2</v>
      </c>
    </row>
    <row r="178" spans="1:60" x14ac:dyDescent="0.35">
      <c r="A178" t="s">
        <v>34</v>
      </c>
      <c r="B178" s="1">
        <v>46146.65625</v>
      </c>
      <c r="C178" t="s">
        <v>34</v>
      </c>
      <c r="D178" s="1">
        <v>46146.625</v>
      </c>
      <c r="E178">
        <v>7065</v>
      </c>
      <c r="F178" t="s">
        <v>36</v>
      </c>
      <c r="G178">
        <v>0.4</v>
      </c>
      <c r="H178">
        <v>1.74</v>
      </c>
      <c r="I178">
        <v>0.03</v>
      </c>
      <c r="J178">
        <v>0.03</v>
      </c>
      <c r="K178">
        <v>4830</v>
      </c>
      <c r="L178">
        <v>0</v>
      </c>
      <c r="M178">
        <v>0</v>
      </c>
      <c r="N178">
        <v>406</v>
      </c>
      <c r="O178">
        <v>0.05</v>
      </c>
      <c r="P178">
        <v>0</v>
      </c>
      <c r="Q178">
        <v>0</v>
      </c>
      <c r="R178">
        <v>0</v>
      </c>
      <c r="S178">
        <v>0</v>
      </c>
      <c r="T178">
        <v>1.2336</v>
      </c>
      <c r="U178">
        <v>-1.9E-3</v>
      </c>
      <c r="V178">
        <v>1E-4</v>
      </c>
      <c r="W178">
        <v>-2.5000000000000001E-2</v>
      </c>
      <c r="X178">
        <v>2.3E-3</v>
      </c>
      <c r="Y178">
        <v>0</v>
      </c>
      <c r="Z178">
        <v>0</v>
      </c>
      <c r="AA178">
        <v>0</v>
      </c>
      <c r="AB178">
        <v>32</v>
      </c>
      <c r="AC178">
        <v>0.05</v>
      </c>
      <c r="AD178">
        <v>0</v>
      </c>
      <c r="AE178">
        <v>0</v>
      </c>
      <c r="AF178">
        <v>0.47949999999999998</v>
      </c>
      <c r="AG178">
        <v>2653</v>
      </c>
      <c r="AH178">
        <v>0</v>
      </c>
      <c r="AJ178" s="4">
        <v>5880</v>
      </c>
      <c r="BC178">
        <v>0.75</v>
      </c>
      <c r="BD178">
        <v>-4.0000000000000001E-3</v>
      </c>
      <c r="BE178">
        <v>0.8</v>
      </c>
      <c r="BF178">
        <v>-4.3E-3</v>
      </c>
      <c r="BG178">
        <v>1.55</v>
      </c>
      <c r="BH178">
        <v>-8.3000000000000001E-3</v>
      </c>
    </row>
    <row r="179" spans="1:60" x14ac:dyDescent="0.35">
      <c r="A179" t="s">
        <v>34</v>
      </c>
      <c r="B179" s="1">
        <v>46146.65625</v>
      </c>
      <c r="C179" t="s">
        <v>34</v>
      </c>
      <c r="D179" s="1">
        <v>46146.625</v>
      </c>
      <c r="E179">
        <v>7070</v>
      </c>
      <c r="F179" t="s">
        <v>36</v>
      </c>
      <c r="G179">
        <v>0.4</v>
      </c>
      <c r="H179">
        <v>1.95</v>
      </c>
      <c r="I179">
        <v>0.03</v>
      </c>
      <c r="J179">
        <v>0.03</v>
      </c>
      <c r="K179">
        <v>7255</v>
      </c>
      <c r="L179">
        <v>0</v>
      </c>
      <c r="M179">
        <v>0</v>
      </c>
      <c r="N179">
        <v>447</v>
      </c>
      <c r="O179">
        <v>0.05</v>
      </c>
      <c r="P179">
        <v>0</v>
      </c>
      <c r="Q179">
        <v>0</v>
      </c>
      <c r="R179">
        <v>0</v>
      </c>
      <c r="S179">
        <v>0</v>
      </c>
      <c r="T179">
        <v>1.1918</v>
      </c>
      <c r="U179">
        <v>-2E-3</v>
      </c>
      <c r="V179">
        <v>1E-4</v>
      </c>
      <c r="W179">
        <v>-2.5000000000000001E-2</v>
      </c>
      <c r="X179">
        <v>2.3999999999999998E-3</v>
      </c>
      <c r="Y179">
        <v>0</v>
      </c>
      <c r="Z179">
        <v>0</v>
      </c>
      <c r="AA179">
        <v>0</v>
      </c>
      <c r="AB179">
        <v>49</v>
      </c>
      <c r="AC179">
        <v>0.05</v>
      </c>
      <c r="AD179">
        <v>0</v>
      </c>
      <c r="AE179">
        <v>0</v>
      </c>
      <c r="AF179">
        <v>0.46429999999999999</v>
      </c>
      <c r="AG179">
        <v>1772</v>
      </c>
      <c r="AH179">
        <v>0</v>
      </c>
      <c r="AJ179" s="4">
        <v>5885</v>
      </c>
      <c r="BC179">
        <v>0.75</v>
      </c>
      <c r="BD179">
        <v>-4.1000000000000003E-3</v>
      </c>
      <c r="BE179">
        <v>0.8</v>
      </c>
      <c r="BF179">
        <v>-4.3E-3</v>
      </c>
      <c r="BG179">
        <v>1.55</v>
      </c>
      <c r="BH179">
        <v>-8.4000000000000012E-3</v>
      </c>
    </row>
    <row r="180" spans="1:60" x14ac:dyDescent="0.35">
      <c r="A180" t="s">
        <v>34</v>
      </c>
      <c r="B180" s="1">
        <v>46146.65625</v>
      </c>
      <c r="C180" t="s">
        <v>34</v>
      </c>
      <c r="D180" s="1">
        <v>46146.625</v>
      </c>
      <c r="E180">
        <v>7075</v>
      </c>
      <c r="F180" t="s">
        <v>36</v>
      </c>
      <c r="G180">
        <v>0.43</v>
      </c>
      <c r="H180">
        <v>2.35</v>
      </c>
      <c r="I180">
        <v>0.03</v>
      </c>
      <c r="J180">
        <v>0.03</v>
      </c>
      <c r="K180">
        <v>7977</v>
      </c>
      <c r="L180">
        <v>0</v>
      </c>
      <c r="M180">
        <v>0</v>
      </c>
      <c r="N180">
        <v>408</v>
      </c>
      <c r="O180">
        <v>0.05</v>
      </c>
      <c r="P180">
        <v>0</v>
      </c>
      <c r="Q180">
        <v>0</v>
      </c>
      <c r="R180">
        <v>0</v>
      </c>
      <c r="S180">
        <v>0</v>
      </c>
      <c r="T180">
        <v>1.1499999999999999</v>
      </c>
      <c r="U180">
        <v>-2E-3</v>
      </c>
      <c r="V180">
        <v>2.0000000000000001E-4</v>
      </c>
      <c r="W180">
        <v>-2.5000000000000001E-2</v>
      </c>
      <c r="X180">
        <v>2.5000000000000001E-3</v>
      </c>
      <c r="Y180">
        <v>0</v>
      </c>
      <c r="Z180">
        <v>0</v>
      </c>
      <c r="AA180">
        <v>0</v>
      </c>
      <c r="AB180">
        <v>40</v>
      </c>
      <c r="AC180">
        <v>0.05</v>
      </c>
      <c r="AD180">
        <v>0</v>
      </c>
      <c r="AE180">
        <v>0</v>
      </c>
      <c r="AF180">
        <v>0.56110000000000004</v>
      </c>
      <c r="AG180">
        <v>1136</v>
      </c>
      <c r="AH180">
        <v>0</v>
      </c>
      <c r="AJ180" s="4">
        <v>5890</v>
      </c>
      <c r="BC180">
        <v>0.8</v>
      </c>
      <c r="BD180">
        <v>-4.1999999999999997E-3</v>
      </c>
      <c r="BE180">
        <v>0.8</v>
      </c>
      <c r="BF180">
        <v>-4.4000000000000003E-3</v>
      </c>
      <c r="BG180">
        <v>1.6</v>
      </c>
      <c r="BH180">
        <v>-8.6E-3</v>
      </c>
    </row>
    <row r="181" spans="1:60" x14ac:dyDescent="0.35">
      <c r="A181" t="s">
        <v>34</v>
      </c>
      <c r="B181" s="1">
        <v>46146.65625</v>
      </c>
      <c r="C181" t="s">
        <v>34</v>
      </c>
      <c r="D181" s="1">
        <v>46146.625</v>
      </c>
      <c r="E181">
        <v>7080</v>
      </c>
      <c r="F181" t="s">
        <v>36</v>
      </c>
      <c r="G181">
        <v>0.45</v>
      </c>
      <c r="H181">
        <v>2.35</v>
      </c>
      <c r="I181">
        <v>0.03</v>
      </c>
      <c r="J181">
        <v>0.03</v>
      </c>
      <c r="K181">
        <v>9163</v>
      </c>
      <c r="L181">
        <v>0</v>
      </c>
      <c r="M181">
        <v>0</v>
      </c>
      <c r="N181">
        <v>387</v>
      </c>
      <c r="O181">
        <v>0.05</v>
      </c>
      <c r="P181">
        <v>0</v>
      </c>
      <c r="Q181">
        <v>0</v>
      </c>
      <c r="R181">
        <v>0</v>
      </c>
      <c r="S181">
        <v>0</v>
      </c>
      <c r="T181">
        <v>1.1080000000000001</v>
      </c>
      <c r="U181">
        <v>-2.0999999999999999E-3</v>
      </c>
      <c r="V181">
        <v>2.0000000000000001E-4</v>
      </c>
      <c r="W181">
        <v>-2.5000000000000001E-2</v>
      </c>
      <c r="X181">
        <v>2.5999999999999999E-3</v>
      </c>
      <c r="Y181">
        <v>0</v>
      </c>
      <c r="Z181">
        <v>0</v>
      </c>
      <c r="AA181">
        <v>0</v>
      </c>
      <c r="AB181">
        <v>23</v>
      </c>
      <c r="AC181">
        <v>0.05</v>
      </c>
      <c r="AD181">
        <v>0</v>
      </c>
      <c r="AE181">
        <v>0</v>
      </c>
      <c r="AF181">
        <v>0.55259999999999998</v>
      </c>
      <c r="AG181">
        <v>765</v>
      </c>
      <c r="AH181">
        <v>0</v>
      </c>
      <c r="AJ181" s="4">
        <v>5895</v>
      </c>
      <c r="BC181">
        <v>0.8</v>
      </c>
      <c r="BD181">
        <v>-4.1999999999999997E-3</v>
      </c>
      <c r="BE181">
        <v>0.8</v>
      </c>
      <c r="BF181">
        <v>-4.4000000000000003E-3</v>
      </c>
      <c r="BG181">
        <v>1.6</v>
      </c>
      <c r="BH181">
        <v>-8.6E-3</v>
      </c>
    </row>
    <row r="182" spans="1:60" x14ac:dyDescent="0.35">
      <c r="A182" t="s">
        <v>34</v>
      </c>
      <c r="B182" s="1">
        <v>46146.65625</v>
      </c>
      <c r="C182" t="s">
        <v>34</v>
      </c>
      <c r="D182" s="1">
        <v>46146.625</v>
      </c>
      <c r="E182">
        <v>7085</v>
      </c>
      <c r="F182" t="s">
        <v>36</v>
      </c>
      <c r="G182">
        <v>0.5</v>
      </c>
      <c r="H182">
        <v>2.5499999999999998</v>
      </c>
      <c r="I182">
        <v>0.03</v>
      </c>
      <c r="J182">
        <v>0.03</v>
      </c>
      <c r="K182">
        <v>8375</v>
      </c>
      <c r="L182">
        <v>0</v>
      </c>
      <c r="M182">
        <v>0</v>
      </c>
      <c r="N182">
        <v>500</v>
      </c>
      <c r="O182">
        <v>0.05</v>
      </c>
      <c r="P182">
        <v>0</v>
      </c>
      <c r="Q182">
        <v>0</v>
      </c>
      <c r="R182">
        <v>0</v>
      </c>
      <c r="S182">
        <v>0</v>
      </c>
      <c r="T182">
        <v>1.0659000000000001</v>
      </c>
      <c r="U182">
        <v>-2.2000000000000001E-3</v>
      </c>
      <c r="V182">
        <v>2.0000000000000001E-4</v>
      </c>
      <c r="W182">
        <v>-2.5000000000000001E-2</v>
      </c>
      <c r="X182">
        <v>2.7000000000000001E-3</v>
      </c>
      <c r="Y182">
        <v>0</v>
      </c>
      <c r="Z182">
        <v>0</v>
      </c>
      <c r="AA182">
        <v>0</v>
      </c>
      <c r="AB182">
        <v>45</v>
      </c>
      <c r="AC182">
        <v>0.05</v>
      </c>
      <c r="AD182">
        <v>0</v>
      </c>
      <c r="AE182">
        <v>0</v>
      </c>
      <c r="AF182">
        <v>0.61890000000000001</v>
      </c>
      <c r="AG182">
        <v>626</v>
      </c>
      <c r="AH182">
        <v>0</v>
      </c>
      <c r="AJ182" s="4">
        <v>5900</v>
      </c>
      <c r="AK182">
        <v>0.05</v>
      </c>
      <c r="AL182">
        <v>0</v>
      </c>
      <c r="AM182">
        <v>0.05</v>
      </c>
      <c r="AN182">
        <v>-2.9999999999999997E-4</v>
      </c>
      <c r="AO182">
        <v>0.05</v>
      </c>
      <c r="AP182">
        <v>-2.9999999999999997E-4</v>
      </c>
      <c r="AQ182">
        <v>0.1</v>
      </c>
      <c r="AR182">
        <v>-5.0000000000000001E-4</v>
      </c>
      <c r="AS182">
        <v>0.1</v>
      </c>
      <c r="AT182">
        <v>-6.9999999999999999E-4</v>
      </c>
      <c r="AU182">
        <v>0.15</v>
      </c>
      <c r="AV182">
        <v>-1E-3</v>
      </c>
      <c r="AW182">
        <v>0.3</v>
      </c>
      <c r="AX182">
        <v>-1.8E-3</v>
      </c>
      <c r="AY182">
        <v>0.45</v>
      </c>
      <c r="AZ182">
        <v>-2.5000000000000001E-3</v>
      </c>
      <c r="BA182">
        <v>0.65</v>
      </c>
      <c r="BB182">
        <v>-3.5999999999999999E-3</v>
      </c>
      <c r="BC182">
        <v>0.7</v>
      </c>
      <c r="BD182">
        <v>-4.0000000000000001E-3</v>
      </c>
      <c r="BE182">
        <v>0.8</v>
      </c>
      <c r="BF182">
        <v>-4.4999999999999997E-3</v>
      </c>
      <c r="BG182">
        <v>3.3999999999999995</v>
      </c>
      <c r="BH182">
        <v>-1.9200000000000002E-2</v>
      </c>
    </row>
    <row r="183" spans="1:60" x14ac:dyDescent="0.35">
      <c r="A183" t="s">
        <v>34</v>
      </c>
      <c r="B183" s="1">
        <v>46146.65625</v>
      </c>
      <c r="C183" t="s">
        <v>34</v>
      </c>
      <c r="D183" s="1">
        <v>46146.625</v>
      </c>
      <c r="E183">
        <v>7090</v>
      </c>
      <c r="F183" t="s">
        <v>36</v>
      </c>
      <c r="G183">
        <v>0.6</v>
      </c>
      <c r="H183">
        <v>2.9</v>
      </c>
      <c r="I183">
        <v>0.03</v>
      </c>
      <c r="J183">
        <v>0.03</v>
      </c>
      <c r="K183">
        <v>11328</v>
      </c>
      <c r="L183">
        <v>0</v>
      </c>
      <c r="M183">
        <v>0</v>
      </c>
      <c r="N183">
        <v>433</v>
      </c>
      <c r="O183">
        <v>0.05</v>
      </c>
      <c r="P183">
        <v>0</v>
      </c>
      <c r="Q183">
        <v>0</v>
      </c>
      <c r="R183">
        <v>0</v>
      </c>
      <c r="S183">
        <v>0</v>
      </c>
      <c r="T183">
        <v>1.0237000000000001</v>
      </c>
      <c r="U183">
        <v>-2.3E-3</v>
      </c>
      <c r="V183">
        <v>2.0000000000000001E-4</v>
      </c>
      <c r="W183">
        <v>-2.5000000000000001E-2</v>
      </c>
      <c r="X183">
        <v>2.8E-3</v>
      </c>
      <c r="Y183">
        <v>0</v>
      </c>
      <c r="Z183">
        <v>0</v>
      </c>
      <c r="AA183">
        <v>0</v>
      </c>
      <c r="AB183">
        <v>44</v>
      </c>
      <c r="AC183">
        <v>0.05</v>
      </c>
      <c r="AD183">
        <v>0</v>
      </c>
      <c r="AE183">
        <v>0</v>
      </c>
      <c r="AF183">
        <v>0.64339999999999997</v>
      </c>
      <c r="AG183">
        <v>1703</v>
      </c>
      <c r="AH183">
        <v>0</v>
      </c>
      <c r="AJ183" s="4">
        <v>5905</v>
      </c>
      <c r="BC183">
        <v>0.8</v>
      </c>
      <c r="BD183">
        <v>-4.1999999999999997E-3</v>
      </c>
      <c r="BE183">
        <v>0.85</v>
      </c>
      <c r="BF183">
        <v>-4.5999999999999999E-3</v>
      </c>
      <c r="BG183">
        <v>1.65</v>
      </c>
      <c r="BH183">
        <v>-8.7999999999999988E-3</v>
      </c>
    </row>
    <row r="184" spans="1:60" x14ac:dyDescent="0.35">
      <c r="A184" t="s">
        <v>34</v>
      </c>
      <c r="B184" s="1">
        <v>46146.65625</v>
      </c>
      <c r="C184" t="s">
        <v>34</v>
      </c>
      <c r="D184" s="1">
        <v>46146.625</v>
      </c>
      <c r="E184">
        <v>7095</v>
      </c>
      <c r="F184" t="s">
        <v>36</v>
      </c>
      <c r="G184">
        <v>0.65</v>
      </c>
      <c r="H184">
        <v>3.8</v>
      </c>
      <c r="I184">
        <v>0.02</v>
      </c>
      <c r="J184">
        <v>0.05</v>
      </c>
      <c r="K184">
        <v>11449</v>
      </c>
      <c r="L184">
        <v>0</v>
      </c>
      <c r="M184">
        <v>0</v>
      </c>
      <c r="N184">
        <v>385</v>
      </c>
      <c r="O184">
        <v>0.05</v>
      </c>
      <c r="P184">
        <v>0</v>
      </c>
      <c r="Q184">
        <v>0</v>
      </c>
      <c r="R184">
        <v>0</v>
      </c>
      <c r="S184">
        <v>0</v>
      </c>
      <c r="T184">
        <v>0.98140000000000005</v>
      </c>
      <c r="U184">
        <v>-2.3999999999999998E-3</v>
      </c>
      <c r="V184">
        <v>2.0000000000000001E-4</v>
      </c>
      <c r="W184">
        <v>-2.5000000000000001E-2</v>
      </c>
      <c r="X184">
        <v>2.8999999999999998E-3</v>
      </c>
      <c r="Y184">
        <v>0</v>
      </c>
      <c r="Z184">
        <v>0</v>
      </c>
      <c r="AA184">
        <v>0</v>
      </c>
      <c r="AB184">
        <v>30</v>
      </c>
      <c r="AC184">
        <v>0.05</v>
      </c>
      <c r="AD184">
        <v>0</v>
      </c>
      <c r="AE184">
        <v>0</v>
      </c>
      <c r="AF184">
        <v>0.71519999999999995</v>
      </c>
      <c r="AG184">
        <v>741</v>
      </c>
      <c r="AH184">
        <v>0</v>
      </c>
      <c r="AJ184" s="4">
        <v>5910</v>
      </c>
      <c r="BC184">
        <v>0.8</v>
      </c>
      <c r="BD184">
        <v>-4.4000000000000003E-3</v>
      </c>
      <c r="BE184">
        <v>0.85</v>
      </c>
      <c r="BF184">
        <v>-4.5999999999999999E-3</v>
      </c>
      <c r="BG184">
        <v>1.65</v>
      </c>
      <c r="BH184">
        <v>-9.0000000000000011E-3</v>
      </c>
    </row>
    <row r="185" spans="1:60" x14ac:dyDescent="0.35">
      <c r="A185" t="s">
        <v>34</v>
      </c>
      <c r="B185" s="1">
        <v>46146.65625</v>
      </c>
      <c r="C185" t="s">
        <v>34</v>
      </c>
      <c r="D185" s="1">
        <v>46146.625</v>
      </c>
      <c r="E185">
        <v>7100</v>
      </c>
      <c r="F185" t="s">
        <v>36</v>
      </c>
      <c r="G185">
        <v>0.7</v>
      </c>
      <c r="H185">
        <v>3.6</v>
      </c>
      <c r="I185">
        <v>0.03</v>
      </c>
      <c r="J185">
        <v>0.03</v>
      </c>
      <c r="K185">
        <v>23247</v>
      </c>
      <c r="L185">
        <v>0</v>
      </c>
      <c r="M185">
        <v>0</v>
      </c>
      <c r="N185">
        <v>392</v>
      </c>
      <c r="O185">
        <v>0.05</v>
      </c>
      <c r="P185">
        <v>0</v>
      </c>
      <c r="Q185">
        <v>0</v>
      </c>
      <c r="R185">
        <v>0</v>
      </c>
      <c r="S185">
        <v>0</v>
      </c>
      <c r="T185">
        <v>0.93899999999999995</v>
      </c>
      <c r="U185">
        <v>-2.3999999999999998E-3</v>
      </c>
      <c r="V185">
        <v>2.0000000000000001E-4</v>
      </c>
      <c r="W185">
        <v>-2.5000000000000001E-2</v>
      </c>
      <c r="X185">
        <v>3.0000000000000001E-3</v>
      </c>
      <c r="Y185">
        <v>0</v>
      </c>
      <c r="Z185">
        <v>0</v>
      </c>
      <c r="AA185">
        <v>0</v>
      </c>
      <c r="AB185">
        <v>90</v>
      </c>
      <c r="AC185">
        <v>0.05</v>
      </c>
      <c r="AD185">
        <v>0</v>
      </c>
      <c r="AE185">
        <v>0</v>
      </c>
      <c r="AF185">
        <v>0.87460000000000004</v>
      </c>
      <c r="AG185">
        <v>4465</v>
      </c>
      <c r="AH185">
        <v>0</v>
      </c>
      <c r="AJ185" s="4">
        <v>5915</v>
      </c>
      <c r="BC185">
        <v>0.8</v>
      </c>
      <c r="BD185">
        <v>-4.4000000000000003E-3</v>
      </c>
      <c r="BE185">
        <v>0.85</v>
      </c>
      <c r="BF185">
        <v>-4.5999999999999999E-3</v>
      </c>
      <c r="BG185">
        <v>1.65</v>
      </c>
      <c r="BH185">
        <v>-9.0000000000000011E-3</v>
      </c>
    </row>
    <row r="186" spans="1:60" x14ac:dyDescent="0.35">
      <c r="A186" t="s">
        <v>34</v>
      </c>
      <c r="B186" s="1">
        <v>46146.65625</v>
      </c>
      <c r="C186" t="s">
        <v>34</v>
      </c>
      <c r="D186" s="1">
        <v>46146.625</v>
      </c>
      <c r="E186">
        <v>7105</v>
      </c>
      <c r="F186" t="s">
        <v>36</v>
      </c>
      <c r="G186">
        <v>0.7</v>
      </c>
      <c r="H186">
        <v>4.17</v>
      </c>
      <c r="I186">
        <v>0.03</v>
      </c>
      <c r="J186">
        <v>0.03</v>
      </c>
      <c r="K186">
        <v>16011</v>
      </c>
      <c r="L186">
        <v>0</v>
      </c>
      <c r="M186">
        <v>0</v>
      </c>
      <c r="N186">
        <v>507</v>
      </c>
      <c r="O186">
        <v>0.05</v>
      </c>
      <c r="P186">
        <v>0</v>
      </c>
      <c r="Q186">
        <v>0</v>
      </c>
      <c r="R186">
        <v>0</v>
      </c>
      <c r="S186">
        <v>0</v>
      </c>
      <c r="T186">
        <v>0.89639999999999997</v>
      </c>
      <c r="U186">
        <v>-2.5999999999999999E-3</v>
      </c>
      <c r="V186">
        <v>2.0000000000000001E-4</v>
      </c>
      <c r="W186">
        <v>-2.5000000000000001E-2</v>
      </c>
      <c r="X186">
        <v>3.0999999999999999E-3</v>
      </c>
      <c r="Y186">
        <v>0</v>
      </c>
      <c r="Z186">
        <v>0</v>
      </c>
      <c r="AA186">
        <v>0</v>
      </c>
      <c r="AB186">
        <v>109</v>
      </c>
      <c r="AC186">
        <v>0.05</v>
      </c>
      <c r="AD186">
        <v>0</v>
      </c>
      <c r="AE186">
        <v>0</v>
      </c>
      <c r="AF186">
        <v>0.94769999999999999</v>
      </c>
      <c r="AG186">
        <v>853</v>
      </c>
      <c r="AH186">
        <v>0</v>
      </c>
      <c r="AJ186" s="4">
        <v>5920</v>
      </c>
      <c r="BC186">
        <v>0.8</v>
      </c>
      <c r="BD186">
        <v>-4.4000000000000003E-3</v>
      </c>
      <c r="BE186">
        <v>0.85</v>
      </c>
      <c r="BF186">
        <v>-4.5999999999999999E-3</v>
      </c>
      <c r="BG186">
        <v>1.65</v>
      </c>
      <c r="BH186">
        <v>-9.0000000000000011E-3</v>
      </c>
    </row>
    <row r="187" spans="1:60" x14ac:dyDescent="0.35">
      <c r="A187" t="s">
        <v>34</v>
      </c>
      <c r="B187" s="1">
        <v>46146.65625</v>
      </c>
      <c r="C187" t="s">
        <v>34</v>
      </c>
      <c r="D187" s="1">
        <v>46146.625</v>
      </c>
      <c r="E187">
        <v>7110</v>
      </c>
      <c r="F187" t="s">
        <v>36</v>
      </c>
      <c r="G187">
        <v>0.85</v>
      </c>
      <c r="H187">
        <v>5</v>
      </c>
      <c r="I187">
        <v>0.03</v>
      </c>
      <c r="J187">
        <v>0.03</v>
      </c>
      <c r="K187">
        <v>19338</v>
      </c>
      <c r="L187">
        <v>0</v>
      </c>
      <c r="M187">
        <v>0</v>
      </c>
      <c r="N187">
        <v>439</v>
      </c>
      <c r="O187">
        <v>0.05</v>
      </c>
      <c r="P187">
        <v>0</v>
      </c>
      <c r="Q187">
        <v>0</v>
      </c>
      <c r="R187">
        <v>0</v>
      </c>
      <c r="S187">
        <v>0</v>
      </c>
      <c r="T187">
        <v>0.85370000000000001</v>
      </c>
      <c r="U187">
        <v>-2.7000000000000001E-3</v>
      </c>
      <c r="V187">
        <v>2.9999999999999997E-4</v>
      </c>
      <c r="W187">
        <v>-2.5000000000000001E-2</v>
      </c>
      <c r="X187">
        <v>3.2000000000000002E-3</v>
      </c>
      <c r="Y187">
        <v>0</v>
      </c>
      <c r="Z187">
        <v>0</v>
      </c>
      <c r="AA187">
        <v>0</v>
      </c>
      <c r="AB187">
        <v>67</v>
      </c>
      <c r="AC187">
        <v>0.05</v>
      </c>
      <c r="AD187">
        <v>0</v>
      </c>
      <c r="AE187">
        <v>0</v>
      </c>
      <c r="AF187">
        <v>1.0761000000000001</v>
      </c>
      <c r="AG187">
        <v>1515</v>
      </c>
      <c r="AH187">
        <v>0</v>
      </c>
      <c r="AJ187" s="4">
        <v>5925</v>
      </c>
      <c r="AK187">
        <v>0.05</v>
      </c>
      <c r="AL187">
        <v>0</v>
      </c>
      <c r="AM187">
        <v>0.05</v>
      </c>
      <c r="AN187">
        <v>-2.9999999999999997E-4</v>
      </c>
      <c r="AO187">
        <v>0.05</v>
      </c>
      <c r="AP187">
        <v>-2.9999999999999997E-4</v>
      </c>
      <c r="AQ187">
        <v>0.1</v>
      </c>
      <c r="AR187">
        <v>-5.0000000000000001E-4</v>
      </c>
      <c r="AS187">
        <v>0.1</v>
      </c>
      <c r="AT187">
        <v>-6.9999999999999999E-4</v>
      </c>
      <c r="AU187">
        <v>0.2</v>
      </c>
      <c r="AV187">
        <v>-1.1999999999999999E-3</v>
      </c>
      <c r="AW187">
        <v>0.35</v>
      </c>
      <c r="AX187">
        <v>-2E-3</v>
      </c>
      <c r="AY187">
        <v>0.5</v>
      </c>
      <c r="AZ187">
        <v>-2.8999999999999998E-3</v>
      </c>
      <c r="BA187">
        <v>0.7</v>
      </c>
      <c r="BB187">
        <v>-3.8E-3</v>
      </c>
      <c r="BC187">
        <v>0.85</v>
      </c>
      <c r="BD187">
        <v>-4.4999999999999997E-3</v>
      </c>
      <c r="BE187">
        <v>0.85</v>
      </c>
      <c r="BF187">
        <v>-4.7999999999999996E-3</v>
      </c>
      <c r="BG187">
        <v>3.8</v>
      </c>
      <c r="BH187">
        <v>-2.0999999999999998E-2</v>
      </c>
    </row>
    <row r="188" spans="1:60" x14ac:dyDescent="0.35">
      <c r="A188" t="s">
        <v>34</v>
      </c>
      <c r="B188" s="1">
        <v>46146.65625</v>
      </c>
      <c r="C188" t="s">
        <v>34</v>
      </c>
      <c r="D188" s="1">
        <v>46146.625</v>
      </c>
      <c r="E188">
        <v>7115</v>
      </c>
      <c r="F188" t="s">
        <v>36</v>
      </c>
      <c r="G188">
        <v>0.88</v>
      </c>
      <c r="H188">
        <v>5.4</v>
      </c>
      <c r="I188">
        <v>0.03</v>
      </c>
      <c r="J188">
        <v>0.03</v>
      </c>
      <c r="K188">
        <v>21428</v>
      </c>
      <c r="L188">
        <v>0</v>
      </c>
      <c r="M188">
        <v>0</v>
      </c>
      <c r="N188">
        <v>344</v>
      </c>
      <c r="O188">
        <v>0.05</v>
      </c>
      <c r="P188">
        <v>0</v>
      </c>
      <c r="Q188">
        <v>0</v>
      </c>
      <c r="R188">
        <v>0</v>
      </c>
      <c r="S188">
        <v>0</v>
      </c>
      <c r="T188">
        <v>0.81089999999999995</v>
      </c>
      <c r="U188">
        <v>-2.8E-3</v>
      </c>
      <c r="V188">
        <v>2.9999999999999997E-4</v>
      </c>
      <c r="W188">
        <v>-2.5000000000000001E-2</v>
      </c>
      <c r="X188">
        <v>3.3999999999999998E-3</v>
      </c>
      <c r="Y188">
        <v>0</v>
      </c>
      <c r="Z188">
        <v>0</v>
      </c>
      <c r="AA188">
        <v>0</v>
      </c>
      <c r="AB188">
        <v>18</v>
      </c>
      <c r="AC188">
        <v>0.05</v>
      </c>
      <c r="AD188">
        <v>0</v>
      </c>
      <c r="AE188">
        <v>0</v>
      </c>
      <c r="AF188">
        <v>1.1682999999999999</v>
      </c>
      <c r="AG188">
        <v>1514</v>
      </c>
      <c r="AH188">
        <v>0</v>
      </c>
      <c r="AJ188" s="4">
        <v>5930</v>
      </c>
      <c r="BC188">
        <v>0.85</v>
      </c>
      <c r="BD188">
        <v>-4.5999999999999999E-3</v>
      </c>
      <c r="BE188">
        <v>0.85</v>
      </c>
      <c r="BF188">
        <v>-4.7999999999999996E-3</v>
      </c>
      <c r="BG188">
        <v>1.7</v>
      </c>
      <c r="BH188">
        <v>-9.3999999999999986E-3</v>
      </c>
    </row>
    <row r="189" spans="1:60" x14ac:dyDescent="0.35">
      <c r="A189" t="s">
        <v>34</v>
      </c>
      <c r="B189" s="1">
        <v>46146.65625</v>
      </c>
      <c r="C189" t="s">
        <v>34</v>
      </c>
      <c r="D189" s="1">
        <v>46146.625</v>
      </c>
      <c r="E189">
        <v>7120</v>
      </c>
      <c r="F189" t="s">
        <v>36</v>
      </c>
      <c r="G189">
        <v>0.97</v>
      </c>
      <c r="H189">
        <v>5.8</v>
      </c>
      <c r="I189">
        <v>0.03</v>
      </c>
      <c r="J189">
        <v>0.03</v>
      </c>
      <c r="K189">
        <v>27375</v>
      </c>
      <c r="L189">
        <v>0</v>
      </c>
      <c r="M189">
        <v>0</v>
      </c>
      <c r="N189">
        <v>465</v>
      </c>
      <c r="O189">
        <v>0.05</v>
      </c>
      <c r="P189">
        <v>0</v>
      </c>
      <c r="Q189">
        <v>0</v>
      </c>
      <c r="R189">
        <v>0</v>
      </c>
      <c r="S189">
        <v>0</v>
      </c>
      <c r="T189">
        <v>0.76790000000000003</v>
      </c>
      <c r="U189">
        <v>-2.8999999999999998E-3</v>
      </c>
      <c r="V189">
        <v>2.9999999999999997E-4</v>
      </c>
      <c r="W189">
        <v>-2.5000000000000001E-2</v>
      </c>
      <c r="X189">
        <v>3.5000000000000001E-3</v>
      </c>
      <c r="Y189">
        <v>0</v>
      </c>
      <c r="Z189">
        <v>0</v>
      </c>
      <c r="AA189">
        <v>0</v>
      </c>
      <c r="AB189">
        <v>163</v>
      </c>
      <c r="AC189">
        <v>0.05</v>
      </c>
      <c r="AD189">
        <v>0</v>
      </c>
      <c r="AE189">
        <v>0</v>
      </c>
      <c r="AF189">
        <v>1.2784</v>
      </c>
      <c r="AG189">
        <v>2318</v>
      </c>
      <c r="AH189">
        <v>0</v>
      </c>
      <c r="AJ189" s="4">
        <v>5935</v>
      </c>
      <c r="BC189">
        <v>0.85</v>
      </c>
      <c r="BD189">
        <v>-4.5999999999999999E-3</v>
      </c>
      <c r="BE189">
        <v>0.85</v>
      </c>
      <c r="BF189">
        <v>-4.7999999999999996E-3</v>
      </c>
      <c r="BG189">
        <v>1.7</v>
      </c>
      <c r="BH189">
        <v>-9.3999999999999986E-3</v>
      </c>
    </row>
    <row r="190" spans="1:60" x14ac:dyDescent="0.35">
      <c r="A190" t="s">
        <v>34</v>
      </c>
      <c r="B190" s="1">
        <v>46146.65625</v>
      </c>
      <c r="C190" t="s">
        <v>34</v>
      </c>
      <c r="D190" s="1">
        <v>46146.625</v>
      </c>
      <c r="E190">
        <v>7125</v>
      </c>
      <c r="F190" t="s">
        <v>36</v>
      </c>
      <c r="G190">
        <v>1.02</v>
      </c>
      <c r="H190">
        <v>7</v>
      </c>
      <c r="I190">
        <v>0.03</v>
      </c>
      <c r="J190">
        <v>0.03</v>
      </c>
      <c r="K190">
        <v>25706</v>
      </c>
      <c r="L190">
        <v>0</v>
      </c>
      <c r="M190">
        <v>0</v>
      </c>
      <c r="N190">
        <v>428</v>
      </c>
      <c r="O190">
        <v>0.05</v>
      </c>
      <c r="P190">
        <v>0</v>
      </c>
      <c r="Q190">
        <v>0</v>
      </c>
      <c r="R190">
        <v>0</v>
      </c>
      <c r="S190">
        <v>0</v>
      </c>
      <c r="T190">
        <v>0.72470000000000001</v>
      </c>
      <c r="U190">
        <v>-3.0999999999999999E-3</v>
      </c>
      <c r="V190">
        <v>2.9999999999999997E-4</v>
      </c>
      <c r="W190">
        <v>-2.5000000000000001E-2</v>
      </c>
      <c r="X190">
        <v>3.7000000000000002E-3</v>
      </c>
      <c r="Y190">
        <v>0</v>
      </c>
      <c r="Z190">
        <v>0</v>
      </c>
      <c r="AA190">
        <v>0</v>
      </c>
      <c r="AB190">
        <v>95</v>
      </c>
      <c r="AC190">
        <v>0.05</v>
      </c>
      <c r="AD190">
        <v>0</v>
      </c>
      <c r="AE190">
        <v>0</v>
      </c>
      <c r="AF190">
        <v>1.4236</v>
      </c>
      <c r="AG190">
        <v>4137</v>
      </c>
      <c r="AH190">
        <v>0</v>
      </c>
      <c r="AJ190" s="4">
        <v>5940</v>
      </c>
      <c r="BC190">
        <v>0.85</v>
      </c>
      <c r="BD190">
        <v>-4.5999999999999999E-3</v>
      </c>
      <c r="BE190">
        <v>0.9</v>
      </c>
      <c r="BF190">
        <v>-5.0000000000000001E-3</v>
      </c>
      <c r="BG190">
        <v>1.75</v>
      </c>
      <c r="BH190">
        <v>-9.6000000000000009E-3</v>
      </c>
    </row>
    <row r="191" spans="1:60" x14ac:dyDescent="0.35">
      <c r="A191" t="s">
        <v>34</v>
      </c>
      <c r="B191" s="1">
        <v>46146.65625</v>
      </c>
      <c r="C191" t="s">
        <v>34</v>
      </c>
      <c r="D191" s="1">
        <v>46146.625</v>
      </c>
      <c r="E191">
        <v>7130</v>
      </c>
      <c r="F191" t="s">
        <v>36</v>
      </c>
      <c r="G191">
        <v>1.23</v>
      </c>
      <c r="H191">
        <v>6.81</v>
      </c>
      <c r="I191">
        <v>0.03</v>
      </c>
      <c r="J191">
        <v>0.03</v>
      </c>
      <c r="K191">
        <v>32829</v>
      </c>
      <c r="L191">
        <v>0</v>
      </c>
      <c r="M191">
        <v>0</v>
      </c>
      <c r="N191">
        <v>390</v>
      </c>
      <c r="O191">
        <v>0.05</v>
      </c>
      <c r="P191">
        <v>0</v>
      </c>
      <c r="Q191">
        <v>0</v>
      </c>
      <c r="R191">
        <v>0</v>
      </c>
      <c r="S191">
        <v>0</v>
      </c>
      <c r="T191">
        <v>0.68130000000000002</v>
      </c>
      <c r="U191">
        <v>-3.3E-3</v>
      </c>
      <c r="V191">
        <v>4.0000000000000002E-4</v>
      </c>
      <c r="W191">
        <v>-2.5000000000000001E-2</v>
      </c>
      <c r="X191">
        <v>3.8999999999999998E-3</v>
      </c>
      <c r="Y191">
        <v>0</v>
      </c>
      <c r="Z191">
        <v>0</v>
      </c>
      <c r="AA191">
        <v>0</v>
      </c>
      <c r="AB191">
        <v>63</v>
      </c>
      <c r="AC191">
        <v>0.05</v>
      </c>
      <c r="AD191">
        <v>0</v>
      </c>
      <c r="AE191">
        <v>0</v>
      </c>
      <c r="AF191">
        <v>1.5276000000000001</v>
      </c>
      <c r="AG191">
        <v>2254</v>
      </c>
      <c r="AH191">
        <v>0</v>
      </c>
      <c r="AJ191" s="4">
        <v>5945</v>
      </c>
      <c r="BC191">
        <v>0.85</v>
      </c>
      <c r="BD191">
        <v>-4.7000000000000002E-3</v>
      </c>
      <c r="BE191">
        <v>0.9</v>
      </c>
      <c r="BF191">
        <v>-5.0000000000000001E-3</v>
      </c>
      <c r="BG191">
        <v>1.75</v>
      </c>
      <c r="BH191">
        <v>-9.7000000000000003E-3</v>
      </c>
    </row>
    <row r="192" spans="1:60" x14ac:dyDescent="0.35">
      <c r="A192" t="s">
        <v>34</v>
      </c>
      <c r="B192" s="1">
        <v>46146.65625</v>
      </c>
      <c r="C192" t="s">
        <v>34</v>
      </c>
      <c r="D192" s="1">
        <v>46146.625</v>
      </c>
      <c r="E192">
        <v>7135</v>
      </c>
      <c r="F192" t="s">
        <v>36</v>
      </c>
      <c r="G192">
        <v>1.4</v>
      </c>
      <c r="H192">
        <v>8</v>
      </c>
      <c r="I192">
        <v>0.03</v>
      </c>
      <c r="J192">
        <v>0.03</v>
      </c>
      <c r="K192">
        <v>29522</v>
      </c>
      <c r="L192">
        <v>0</v>
      </c>
      <c r="M192">
        <v>0</v>
      </c>
      <c r="N192">
        <v>307</v>
      </c>
      <c r="O192">
        <v>0.05</v>
      </c>
      <c r="P192">
        <v>0</v>
      </c>
      <c r="Q192">
        <v>0</v>
      </c>
      <c r="R192">
        <v>0</v>
      </c>
      <c r="S192">
        <v>0</v>
      </c>
      <c r="T192">
        <v>0.63759999999999994</v>
      </c>
      <c r="U192">
        <v>-3.5000000000000001E-3</v>
      </c>
      <c r="V192">
        <v>4.0000000000000002E-4</v>
      </c>
      <c r="W192">
        <v>-2.5000000000000001E-2</v>
      </c>
      <c r="X192">
        <v>4.1999999999999997E-3</v>
      </c>
      <c r="Y192">
        <v>0</v>
      </c>
      <c r="Z192">
        <v>0</v>
      </c>
      <c r="AA192">
        <v>0</v>
      </c>
      <c r="AB192">
        <v>52</v>
      </c>
      <c r="AC192">
        <v>0.05</v>
      </c>
      <c r="AD192">
        <v>0</v>
      </c>
      <c r="AE192">
        <v>0</v>
      </c>
      <c r="AF192">
        <v>1.7767999999999999</v>
      </c>
      <c r="AG192">
        <v>1199</v>
      </c>
      <c r="AH192">
        <v>0</v>
      </c>
      <c r="AJ192" s="4">
        <v>5950</v>
      </c>
      <c r="AK192">
        <v>0.05</v>
      </c>
      <c r="AL192">
        <v>0</v>
      </c>
      <c r="AM192">
        <v>0.05</v>
      </c>
      <c r="AN192">
        <v>-2.9999999999999997E-4</v>
      </c>
      <c r="AO192">
        <v>0.05</v>
      </c>
      <c r="AP192">
        <v>-2.9999999999999997E-4</v>
      </c>
      <c r="AQ192">
        <v>0.1</v>
      </c>
      <c r="AR192">
        <v>-5.0000000000000001E-4</v>
      </c>
      <c r="AS192">
        <v>0.15</v>
      </c>
      <c r="AT192">
        <v>-8.9999999999999998E-4</v>
      </c>
      <c r="AU192">
        <v>0.15</v>
      </c>
      <c r="AV192">
        <v>-1.1000000000000001E-3</v>
      </c>
      <c r="AW192">
        <v>0.35</v>
      </c>
      <c r="AX192">
        <v>-2E-3</v>
      </c>
      <c r="AY192">
        <v>0.5</v>
      </c>
      <c r="AZ192">
        <v>-2.8999999999999998E-3</v>
      </c>
      <c r="BA192">
        <v>0.7</v>
      </c>
      <c r="BB192">
        <v>-4.0000000000000001E-3</v>
      </c>
      <c r="BC192">
        <v>0.8</v>
      </c>
      <c r="BD192">
        <v>-4.5999999999999999E-3</v>
      </c>
      <c r="BE192">
        <v>0.9</v>
      </c>
      <c r="BF192">
        <v>-5.0000000000000001E-3</v>
      </c>
      <c r="BG192">
        <v>3.7999999999999994</v>
      </c>
      <c r="BH192">
        <v>-2.1600000000000001E-2</v>
      </c>
    </row>
    <row r="193" spans="1:60" x14ac:dyDescent="0.35">
      <c r="A193" t="s">
        <v>34</v>
      </c>
      <c r="B193" s="1">
        <v>46146.65625</v>
      </c>
      <c r="C193" t="s">
        <v>34</v>
      </c>
      <c r="D193" s="1">
        <v>46146.625</v>
      </c>
      <c r="E193">
        <v>7140</v>
      </c>
      <c r="F193" t="s">
        <v>36</v>
      </c>
      <c r="G193">
        <v>1.5</v>
      </c>
      <c r="H193">
        <v>8.9</v>
      </c>
      <c r="I193">
        <v>0.03</v>
      </c>
      <c r="J193">
        <v>0.03</v>
      </c>
      <c r="K193">
        <v>36164</v>
      </c>
      <c r="L193">
        <v>0</v>
      </c>
      <c r="M193">
        <v>0</v>
      </c>
      <c r="N193">
        <v>205</v>
      </c>
      <c r="O193">
        <v>0.05</v>
      </c>
      <c r="P193">
        <v>0</v>
      </c>
      <c r="Q193">
        <v>0</v>
      </c>
      <c r="R193">
        <v>0</v>
      </c>
      <c r="S193">
        <v>0</v>
      </c>
      <c r="T193">
        <v>0.59379999999999999</v>
      </c>
      <c r="U193">
        <v>-3.7000000000000002E-3</v>
      </c>
      <c r="V193">
        <v>5.0000000000000001E-4</v>
      </c>
      <c r="W193">
        <v>-2.5000000000000001E-2</v>
      </c>
      <c r="X193">
        <v>4.4000000000000003E-3</v>
      </c>
      <c r="Y193">
        <v>0</v>
      </c>
      <c r="Z193">
        <v>0</v>
      </c>
      <c r="AA193">
        <v>0</v>
      </c>
      <c r="AB193">
        <v>93</v>
      </c>
      <c r="AC193">
        <v>0.05</v>
      </c>
      <c r="AD193">
        <v>0</v>
      </c>
      <c r="AE193">
        <v>0</v>
      </c>
      <c r="AF193">
        <v>2.0371999999999999</v>
      </c>
      <c r="AG193">
        <v>1314</v>
      </c>
      <c r="AH193">
        <v>0</v>
      </c>
      <c r="AJ193" s="4">
        <v>5955</v>
      </c>
      <c r="BC193">
        <v>0.85</v>
      </c>
      <c r="BD193">
        <v>-4.7999999999999996E-3</v>
      </c>
      <c r="BE193">
        <v>0.9</v>
      </c>
      <c r="BF193">
        <v>-5.0000000000000001E-3</v>
      </c>
      <c r="BG193">
        <v>1.75</v>
      </c>
      <c r="BH193">
        <v>-9.7999999999999997E-3</v>
      </c>
    </row>
    <row r="194" spans="1:60" x14ac:dyDescent="0.35">
      <c r="A194" t="s">
        <v>34</v>
      </c>
      <c r="B194" s="1">
        <v>46146.65625</v>
      </c>
      <c r="C194" t="s">
        <v>34</v>
      </c>
      <c r="D194" s="1">
        <v>46146.625</v>
      </c>
      <c r="E194">
        <v>7145</v>
      </c>
      <c r="F194" t="s">
        <v>36</v>
      </c>
      <c r="G194">
        <v>1.75</v>
      </c>
      <c r="H194">
        <v>10</v>
      </c>
      <c r="I194">
        <v>0.02</v>
      </c>
      <c r="J194">
        <v>0.03</v>
      </c>
      <c r="K194">
        <v>36353</v>
      </c>
      <c r="L194">
        <v>0</v>
      </c>
      <c r="M194">
        <v>0</v>
      </c>
      <c r="N194">
        <v>296</v>
      </c>
      <c r="O194">
        <v>0.05</v>
      </c>
      <c r="P194">
        <v>0</v>
      </c>
      <c r="Q194">
        <v>0</v>
      </c>
      <c r="R194">
        <v>0</v>
      </c>
      <c r="S194">
        <v>0</v>
      </c>
      <c r="T194">
        <v>0.54959999999999998</v>
      </c>
      <c r="U194">
        <v>-4.0000000000000001E-3</v>
      </c>
      <c r="V194">
        <v>5.9999999999999995E-4</v>
      </c>
      <c r="W194">
        <v>-2.5000000000000001E-2</v>
      </c>
      <c r="X194">
        <v>4.7000000000000002E-3</v>
      </c>
      <c r="Y194">
        <v>0</v>
      </c>
      <c r="Z194">
        <v>0</v>
      </c>
      <c r="AA194">
        <v>0</v>
      </c>
      <c r="AB194">
        <v>205</v>
      </c>
      <c r="AC194">
        <v>0.05</v>
      </c>
      <c r="AD194">
        <v>0</v>
      </c>
      <c r="AE194">
        <v>0</v>
      </c>
      <c r="AF194">
        <v>2.044</v>
      </c>
      <c r="AG194">
        <v>1238</v>
      </c>
      <c r="AH194">
        <v>0</v>
      </c>
      <c r="AJ194" s="4">
        <v>5960</v>
      </c>
      <c r="BC194">
        <v>0.9</v>
      </c>
      <c r="BD194">
        <v>-4.8999999999999998E-3</v>
      </c>
      <c r="BE194">
        <v>0.9</v>
      </c>
      <c r="BF194">
        <v>-5.1999999999999998E-3</v>
      </c>
      <c r="BG194">
        <v>1.8</v>
      </c>
      <c r="BH194">
        <v>-1.01E-2</v>
      </c>
    </row>
    <row r="195" spans="1:60" x14ac:dyDescent="0.35">
      <c r="A195" t="s">
        <v>34</v>
      </c>
      <c r="B195" s="1">
        <v>46146.65625</v>
      </c>
      <c r="C195" t="s">
        <v>34</v>
      </c>
      <c r="D195" s="1">
        <v>46146.625</v>
      </c>
      <c r="E195">
        <v>7150</v>
      </c>
      <c r="F195" t="s">
        <v>36</v>
      </c>
      <c r="G195">
        <v>2</v>
      </c>
      <c r="H195">
        <v>11</v>
      </c>
      <c r="I195">
        <v>0.03</v>
      </c>
      <c r="J195">
        <v>0.03</v>
      </c>
      <c r="K195">
        <v>62327</v>
      </c>
      <c r="L195">
        <v>0</v>
      </c>
      <c r="M195">
        <v>0</v>
      </c>
      <c r="N195">
        <v>114</v>
      </c>
      <c r="O195">
        <v>0.05</v>
      </c>
      <c r="P195">
        <v>0</v>
      </c>
      <c r="Q195">
        <v>0</v>
      </c>
      <c r="R195">
        <v>0</v>
      </c>
      <c r="S195">
        <v>0</v>
      </c>
      <c r="T195">
        <v>0.50509999999999999</v>
      </c>
      <c r="U195">
        <v>-4.3E-3</v>
      </c>
      <c r="V195">
        <v>6.9999999999999999E-4</v>
      </c>
      <c r="W195">
        <v>-2.5000000000000001E-2</v>
      </c>
      <c r="X195">
        <v>5.1000000000000004E-3</v>
      </c>
      <c r="Y195">
        <v>0</v>
      </c>
      <c r="Z195">
        <v>0</v>
      </c>
      <c r="AA195">
        <v>0</v>
      </c>
      <c r="AB195">
        <v>1097</v>
      </c>
      <c r="AC195">
        <v>0.05</v>
      </c>
      <c r="AD195">
        <v>0</v>
      </c>
      <c r="AE195">
        <v>0</v>
      </c>
      <c r="AF195">
        <v>2.4415</v>
      </c>
      <c r="AG195">
        <v>6764</v>
      </c>
      <c r="AH195">
        <v>0</v>
      </c>
      <c r="AJ195" s="4">
        <v>5965</v>
      </c>
      <c r="BC195">
        <v>0.9</v>
      </c>
      <c r="BD195">
        <v>-4.8999999999999998E-3</v>
      </c>
      <c r="BE195">
        <v>0.9</v>
      </c>
      <c r="BF195">
        <v>-5.1999999999999998E-3</v>
      </c>
      <c r="BG195">
        <v>1.8</v>
      </c>
      <c r="BH195">
        <v>-1.01E-2</v>
      </c>
    </row>
    <row r="196" spans="1:60" x14ac:dyDescent="0.35">
      <c r="A196" t="s">
        <v>34</v>
      </c>
      <c r="B196" s="1">
        <v>46146.65625</v>
      </c>
      <c r="C196" t="s">
        <v>34</v>
      </c>
      <c r="D196" s="1">
        <v>46146.625</v>
      </c>
      <c r="E196">
        <v>7155</v>
      </c>
      <c r="F196" t="s">
        <v>36</v>
      </c>
      <c r="G196">
        <v>2.25</v>
      </c>
      <c r="H196">
        <v>12.1</v>
      </c>
      <c r="I196">
        <v>0.01</v>
      </c>
      <c r="J196">
        <v>0.05</v>
      </c>
      <c r="K196">
        <v>36672</v>
      </c>
      <c r="L196">
        <v>0</v>
      </c>
      <c r="M196">
        <v>0</v>
      </c>
      <c r="N196">
        <v>135</v>
      </c>
      <c r="O196">
        <v>0.05</v>
      </c>
      <c r="P196">
        <v>0</v>
      </c>
      <c r="Q196">
        <v>0</v>
      </c>
      <c r="R196">
        <v>0</v>
      </c>
      <c r="S196">
        <v>0</v>
      </c>
      <c r="T196">
        <v>0.46039999999999998</v>
      </c>
      <c r="U196">
        <v>-4.7000000000000002E-3</v>
      </c>
      <c r="V196">
        <v>8.0000000000000004E-4</v>
      </c>
      <c r="W196">
        <v>-2.5000000000000001E-2</v>
      </c>
      <c r="X196">
        <v>5.4999999999999997E-3</v>
      </c>
      <c r="Y196">
        <v>0</v>
      </c>
      <c r="Z196">
        <v>0</v>
      </c>
      <c r="AA196">
        <v>0</v>
      </c>
      <c r="AB196">
        <v>257</v>
      </c>
      <c r="AC196">
        <v>0.05</v>
      </c>
      <c r="AD196">
        <v>0</v>
      </c>
      <c r="AE196">
        <v>0</v>
      </c>
      <c r="AF196">
        <v>2.5731000000000002</v>
      </c>
      <c r="AG196">
        <v>567</v>
      </c>
      <c r="AH196">
        <v>0</v>
      </c>
      <c r="AJ196" s="4">
        <v>5970</v>
      </c>
      <c r="AS196">
        <v>0.15</v>
      </c>
      <c r="AT196">
        <v>-8.9999999999999998E-4</v>
      </c>
      <c r="BC196">
        <v>0.9</v>
      </c>
      <c r="BD196">
        <v>-4.8999999999999998E-3</v>
      </c>
      <c r="BE196">
        <v>0.9</v>
      </c>
      <c r="BF196">
        <v>-5.1999999999999998E-3</v>
      </c>
      <c r="BG196">
        <v>1.9500000000000002</v>
      </c>
      <c r="BH196">
        <v>-1.0999999999999999E-2</v>
      </c>
    </row>
    <row r="197" spans="1:60" x14ac:dyDescent="0.35">
      <c r="A197" t="s">
        <v>34</v>
      </c>
      <c r="B197" s="1">
        <v>46146.65625</v>
      </c>
      <c r="C197" t="s">
        <v>34</v>
      </c>
      <c r="D197" s="1">
        <v>46146.625</v>
      </c>
      <c r="E197">
        <v>7160</v>
      </c>
      <c r="F197" t="s">
        <v>36</v>
      </c>
      <c r="G197">
        <v>2.5499999999999998</v>
      </c>
      <c r="H197">
        <v>13.7</v>
      </c>
      <c r="I197">
        <v>0.03</v>
      </c>
      <c r="J197">
        <v>0.03</v>
      </c>
      <c r="K197">
        <v>61565</v>
      </c>
      <c r="L197">
        <v>77</v>
      </c>
      <c r="M197">
        <v>0.05</v>
      </c>
      <c r="N197">
        <v>424</v>
      </c>
      <c r="O197">
        <v>0.1</v>
      </c>
      <c r="P197">
        <v>0</v>
      </c>
      <c r="Q197">
        <v>0</v>
      </c>
      <c r="R197">
        <v>0</v>
      </c>
      <c r="S197">
        <v>0</v>
      </c>
      <c r="T197">
        <v>0.47349999999999998</v>
      </c>
      <c r="U197">
        <v>-1.21E-2</v>
      </c>
      <c r="V197">
        <v>1.6999999999999999E-3</v>
      </c>
      <c r="W197">
        <v>-7.4999999999999997E-2</v>
      </c>
      <c r="X197">
        <v>1.2699999999999999E-2</v>
      </c>
      <c r="Y197">
        <v>0</v>
      </c>
      <c r="Z197">
        <v>0</v>
      </c>
      <c r="AA197">
        <v>0</v>
      </c>
      <c r="AB197">
        <v>297</v>
      </c>
      <c r="AC197">
        <v>0.05</v>
      </c>
      <c r="AD197">
        <v>0</v>
      </c>
      <c r="AE197">
        <v>0</v>
      </c>
      <c r="AF197">
        <v>2.8429000000000002</v>
      </c>
      <c r="AG197">
        <v>2081</v>
      </c>
      <c r="AH197">
        <v>0</v>
      </c>
      <c r="AJ197" s="4">
        <v>5975</v>
      </c>
      <c r="AK197">
        <v>0.05</v>
      </c>
      <c r="AL197">
        <v>0</v>
      </c>
      <c r="AM197">
        <v>0.05</v>
      </c>
      <c r="AN197">
        <v>-2.9999999999999997E-4</v>
      </c>
      <c r="AO197">
        <v>0.05</v>
      </c>
      <c r="AP197">
        <v>-2.9999999999999997E-4</v>
      </c>
      <c r="AQ197">
        <v>0.1</v>
      </c>
      <c r="AR197">
        <v>-5.0000000000000001E-4</v>
      </c>
      <c r="AS197">
        <v>0.15</v>
      </c>
      <c r="AT197">
        <v>-8.9999999999999998E-4</v>
      </c>
      <c r="AU197">
        <v>0.25</v>
      </c>
      <c r="AV197">
        <v>-1.4E-3</v>
      </c>
      <c r="AW197">
        <v>0.35</v>
      </c>
      <c r="AX197">
        <v>-2.2000000000000001E-3</v>
      </c>
      <c r="AY197">
        <v>0.55000000000000004</v>
      </c>
      <c r="AZ197">
        <v>-3.3E-3</v>
      </c>
      <c r="BA197">
        <v>0.75</v>
      </c>
      <c r="BB197">
        <v>-4.3E-3</v>
      </c>
      <c r="BC197">
        <v>0.9</v>
      </c>
      <c r="BD197">
        <v>-5.0000000000000001E-3</v>
      </c>
      <c r="BE197">
        <v>0.95</v>
      </c>
      <c r="BF197">
        <v>-5.3E-3</v>
      </c>
      <c r="BG197">
        <v>4.1499999999999995</v>
      </c>
      <c r="BH197">
        <v>-2.35E-2</v>
      </c>
    </row>
    <row r="198" spans="1:60" x14ac:dyDescent="0.35">
      <c r="A198" t="s">
        <v>34</v>
      </c>
      <c r="B198" s="1">
        <v>46146.65625</v>
      </c>
      <c r="C198" t="s">
        <v>34</v>
      </c>
      <c r="D198" s="1">
        <v>46146.625</v>
      </c>
      <c r="E198">
        <v>7165</v>
      </c>
      <c r="F198" t="s">
        <v>36</v>
      </c>
      <c r="G198">
        <v>3</v>
      </c>
      <c r="H198">
        <v>15.9</v>
      </c>
      <c r="I198">
        <v>0.03</v>
      </c>
      <c r="J198">
        <v>0.03</v>
      </c>
      <c r="K198">
        <v>52233</v>
      </c>
      <c r="L198">
        <v>594</v>
      </c>
      <c r="M198">
        <v>0.05</v>
      </c>
      <c r="N198">
        <v>360</v>
      </c>
      <c r="O198">
        <v>0.1</v>
      </c>
      <c r="P198">
        <v>0</v>
      </c>
      <c r="Q198">
        <v>0</v>
      </c>
      <c r="R198">
        <v>0</v>
      </c>
      <c r="S198">
        <v>0</v>
      </c>
      <c r="T198">
        <v>0.42270000000000002</v>
      </c>
      <c r="U198">
        <v>-1.34E-2</v>
      </c>
      <c r="V198">
        <v>2.0999999999999999E-3</v>
      </c>
      <c r="W198">
        <v>-7.4999999999999997E-2</v>
      </c>
      <c r="X198">
        <v>1.3899999999999999E-2</v>
      </c>
      <c r="Y198">
        <v>0</v>
      </c>
      <c r="Z198">
        <v>0</v>
      </c>
      <c r="AA198">
        <v>0</v>
      </c>
      <c r="AB198">
        <v>387</v>
      </c>
      <c r="AC198">
        <v>0.05</v>
      </c>
      <c r="AD198">
        <v>0</v>
      </c>
      <c r="AE198">
        <v>0</v>
      </c>
      <c r="AF198">
        <v>3.0537999999999998</v>
      </c>
      <c r="AG198">
        <v>1045</v>
      </c>
      <c r="AH198">
        <v>0</v>
      </c>
      <c r="AJ198" s="4">
        <v>5980</v>
      </c>
      <c r="AS198">
        <v>0.15</v>
      </c>
      <c r="AT198">
        <v>-8.9999999999999998E-4</v>
      </c>
      <c r="BC198">
        <v>0.9</v>
      </c>
      <c r="BD198">
        <v>-5.0000000000000001E-3</v>
      </c>
      <c r="BE198">
        <v>0.95</v>
      </c>
      <c r="BF198">
        <v>-5.4000000000000003E-3</v>
      </c>
      <c r="BG198">
        <v>2</v>
      </c>
      <c r="BH198">
        <v>-1.1300000000000001E-2</v>
      </c>
    </row>
    <row r="199" spans="1:60" x14ac:dyDescent="0.35">
      <c r="A199" t="s">
        <v>34</v>
      </c>
      <c r="B199" s="1">
        <v>46146.65625</v>
      </c>
      <c r="C199" t="s">
        <v>34</v>
      </c>
      <c r="D199" s="1">
        <v>46146.625</v>
      </c>
      <c r="E199">
        <v>7170</v>
      </c>
      <c r="F199" t="s">
        <v>36</v>
      </c>
      <c r="G199">
        <v>3.4</v>
      </c>
      <c r="H199">
        <v>16.93</v>
      </c>
      <c r="I199">
        <v>0.03</v>
      </c>
      <c r="J199">
        <v>0.03</v>
      </c>
      <c r="K199">
        <v>66851</v>
      </c>
      <c r="L199">
        <v>532</v>
      </c>
      <c r="M199">
        <v>0.05</v>
      </c>
      <c r="N199">
        <v>28</v>
      </c>
      <c r="O199">
        <v>0.1</v>
      </c>
      <c r="P199">
        <v>0</v>
      </c>
      <c r="Q199">
        <v>0</v>
      </c>
      <c r="R199">
        <v>0</v>
      </c>
      <c r="S199">
        <v>0</v>
      </c>
      <c r="T199">
        <v>0.37159999999999999</v>
      </c>
      <c r="U199">
        <v>-1.4999999999999999E-2</v>
      </c>
      <c r="V199">
        <v>2.7000000000000001E-3</v>
      </c>
      <c r="W199">
        <v>-7.4999999999999997E-2</v>
      </c>
      <c r="X199">
        <v>1.55E-2</v>
      </c>
      <c r="Y199">
        <v>0</v>
      </c>
      <c r="Z199">
        <v>0</v>
      </c>
      <c r="AA199">
        <v>0</v>
      </c>
      <c r="AB199">
        <v>253</v>
      </c>
      <c r="AC199">
        <v>0.05</v>
      </c>
      <c r="AD199">
        <v>0</v>
      </c>
      <c r="AE199">
        <v>0</v>
      </c>
      <c r="AF199">
        <v>3.6427999999999998</v>
      </c>
      <c r="AG199">
        <v>1595</v>
      </c>
      <c r="AH199">
        <v>0</v>
      </c>
      <c r="AJ199" s="4">
        <v>5985</v>
      </c>
      <c r="BC199">
        <v>0.9</v>
      </c>
      <c r="BD199">
        <v>-5.0000000000000001E-3</v>
      </c>
      <c r="BE199">
        <v>0.95</v>
      </c>
      <c r="BF199">
        <v>-5.4000000000000003E-3</v>
      </c>
      <c r="BG199">
        <v>1.85</v>
      </c>
      <c r="BH199">
        <v>-1.04E-2</v>
      </c>
    </row>
    <row r="200" spans="1:60" x14ac:dyDescent="0.35">
      <c r="A200" t="s">
        <v>34</v>
      </c>
      <c r="B200" s="1">
        <v>46146.65625</v>
      </c>
      <c r="C200" t="s">
        <v>34</v>
      </c>
      <c r="D200" s="1">
        <v>46146.625</v>
      </c>
      <c r="E200">
        <v>7175</v>
      </c>
      <c r="F200" t="s">
        <v>36</v>
      </c>
      <c r="G200">
        <v>3.7</v>
      </c>
      <c r="H200">
        <v>19</v>
      </c>
      <c r="I200">
        <v>0.03</v>
      </c>
      <c r="J200">
        <v>0.03</v>
      </c>
      <c r="K200">
        <v>71571</v>
      </c>
      <c r="L200">
        <v>334</v>
      </c>
      <c r="M200">
        <v>0.1</v>
      </c>
      <c r="N200">
        <v>295</v>
      </c>
      <c r="O200">
        <v>0.15</v>
      </c>
      <c r="P200">
        <v>0</v>
      </c>
      <c r="Q200">
        <v>0</v>
      </c>
      <c r="R200">
        <v>0</v>
      </c>
      <c r="S200">
        <v>0</v>
      </c>
      <c r="T200">
        <v>0.34520000000000001</v>
      </c>
      <c r="U200">
        <v>-2.5100000000000001E-2</v>
      </c>
      <c r="V200">
        <v>4.4000000000000003E-3</v>
      </c>
      <c r="W200">
        <v>-0.125</v>
      </c>
      <c r="X200">
        <v>2.3800000000000002E-2</v>
      </c>
      <c r="Y200">
        <v>-1E-4</v>
      </c>
      <c r="Z200">
        <v>0</v>
      </c>
      <c r="AA200">
        <v>0</v>
      </c>
      <c r="AB200">
        <v>243</v>
      </c>
      <c r="AC200">
        <v>0.05</v>
      </c>
      <c r="AD200">
        <v>0</v>
      </c>
      <c r="AE200">
        <v>0</v>
      </c>
      <c r="AF200">
        <v>3.4586000000000001</v>
      </c>
      <c r="AG200">
        <v>4782</v>
      </c>
      <c r="AH200">
        <v>0</v>
      </c>
      <c r="AJ200" s="4">
        <v>5990</v>
      </c>
      <c r="AS200">
        <v>0.15</v>
      </c>
      <c r="AT200">
        <v>-8.9999999999999998E-4</v>
      </c>
      <c r="BC200">
        <v>0.95</v>
      </c>
      <c r="BD200">
        <v>-5.3E-3</v>
      </c>
      <c r="BE200">
        <v>0.95</v>
      </c>
      <c r="BF200">
        <v>-5.4000000000000003E-3</v>
      </c>
      <c r="BG200">
        <v>2.0499999999999998</v>
      </c>
      <c r="BH200">
        <v>-1.1599999999999999E-2</v>
      </c>
    </row>
    <row r="201" spans="1:60" x14ac:dyDescent="0.35">
      <c r="A201" t="s">
        <v>34</v>
      </c>
      <c r="B201" s="1">
        <v>46146.65625</v>
      </c>
      <c r="C201" t="s">
        <v>34</v>
      </c>
      <c r="D201" s="1">
        <v>46146.625</v>
      </c>
      <c r="E201">
        <v>7180</v>
      </c>
      <c r="F201" t="s">
        <v>36</v>
      </c>
      <c r="G201">
        <v>4.22</v>
      </c>
      <c r="H201">
        <v>21.3</v>
      </c>
      <c r="I201">
        <v>0.03</v>
      </c>
      <c r="J201">
        <v>0.03</v>
      </c>
      <c r="K201">
        <v>87395</v>
      </c>
      <c r="L201">
        <v>545</v>
      </c>
      <c r="M201">
        <v>0.1</v>
      </c>
      <c r="N201">
        <v>6</v>
      </c>
      <c r="O201">
        <v>0.15</v>
      </c>
      <c r="P201">
        <v>0</v>
      </c>
      <c r="Q201">
        <v>0</v>
      </c>
      <c r="R201">
        <v>0</v>
      </c>
      <c r="S201">
        <v>0</v>
      </c>
      <c r="T201">
        <v>0.28870000000000001</v>
      </c>
      <c r="U201">
        <v>-2.9399999999999999E-2</v>
      </c>
      <c r="V201">
        <v>6.0000000000000001E-3</v>
      </c>
      <c r="W201">
        <v>-0.125</v>
      </c>
      <c r="X201">
        <v>2.7300000000000001E-2</v>
      </c>
      <c r="Y201">
        <v>-1E-4</v>
      </c>
      <c r="Z201">
        <v>0</v>
      </c>
      <c r="AA201">
        <v>0</v>
      </c>
      <c r="AB201">
        <v>244</v>
      </c>
      <c r="AC201">
        <v>0.05</v>
      </c>
      <c r="AD201">
        <v>0</v>
      </c>
      <c r="AE201">
        <v>0</v>
      </c>
      <c r="AF201">
        <v>4.4000000000000004</v>
      </c>
      <c r="AG201">
        <v>1897</v>
      </c>
      <c r="AH201">
        <v>0</v>
      </c>
      <c r="AJ201" s="4">
        <v>5995</v>
      </c>
      <c r="BC201">
        <v>0.95</v>
      </c>
      <c r="BD201">
        <v>-5.3E-3</v>
      </c>
      <c r="BE201">
        <v>0.95</v>
      </c>
      <c r="BF201">
        <v>-5.4000000000000003E-3</v>
      </c>
      <c r="BG201">
        <v>1.9</v>
      </c>
      <c r="BH201">
        <v>-1.0700000000000001E-2</v>
      </c>
    </row>
    <row r="202" spans="1:60" x14ac:dyDescent="0.35">
      <c r="A202" t="s">
        <v>34</v>
      </c>
      <c r="B202" s="1">
        <v>46146.65625</v>
      </c>
      <c r="C202" t="s">
        <v>34</v>
      </c>
      <c r="D202" s="1">
        <v>46146.625</v>
      </c>
      <c r="E202">
        <v>7185</v>
      </c>
      <c r="F202" t="s">
        <v>36</v>
      </c>
      <c r="G202">
        <v>5</v>
      </c>
      <c r="H202">
        <v>23.9</v>
      </c>
      <c r="I202">
        <v>0.03</v>
      </c>
      <c r="J202">
        <v>0.05</v>
      </c>
      <c r="K202">
        <v>82616</v>
      </c>
      <c r="L202">
        <v>150</v>
      </c>
      <c r="M202">
        <v>0.2</v>
      </c>
      <c r="N202">
        <v>199</v>
      </c>
      <c r="O202">
        <v>0.25</v>
      </c>
      <c r="P202">
        <v>0</v>
      </c>
      <c r="Q202">
        <v>0</v>
      </c>
      <c r="R202">
        <v>0</v>
      </c>
      <c r="S202">
        <v>0</v>
      </c>
      <c r="T202">
        <v>0.2515</v>
      </c>
      <c r="U202">
        <v>-4.9700000000000001E-2</v>
      </c>
      <c r="V202">
        <v>1.06E-2</v>
      </c>
      <c r="W202">
        <v>-0.2</v>
      </c>
      <c r="X202">
        <v>4.1700000000000001E-2</v>
      </c>
      <c r="Y202">
        <v>-1E-4</v>
      </c>
      <c r="Z202">
        <v>0</v>
      </c>
      <c r="AA202">
        <v>0</v>
      </c>
      <c r="AB202">
        <v>235</v>
      </c>
      <c r="AC202">
        <v>0.05</v>
      </c>
      <c r="AD202">
        <v>0</v>
      </c>
      <c r="AE202">
        <v>0</v>
      </c>
      <c r="AF202">
        <v>4.4531000000000001</v>
      </c>
      <c r="AG202">
        <v>1184</v>
      </c>
      <c r="AH202">
        <v>0</v>
      </c>
      <c r="AJ202" s="4">
        <v>6000</v>
      </c>
      <c r="AK202">
        <v>0.05</v>
      </c>
      <c r="AL202">
        <v>0</v>
      </c>
      <c r="AM202">
        <v>0.05</v>
      </c>
      <c r="AN202">
        <v>-2.9999999999999997E-4</v>
      </c>
      <c r="AO202">
        <v>0.05</v>
      </c>
      <c r="AP202">
        <v>-2.9999999999999997E-4</v>
      </c>
      <c r="AQ202">
        <v>0.1</v>
      </c>
      <c r="AR202">
        <v>-6.9999999999999999E-4</v>
      </c>
      <c r="AS202">
        <v>0.15</v>
      </c>
      <c r="AT202">
        <v>-8.9999999999999998E-4</v>
      </c>
      <c r="AU202">
        <v>0.2</v>
      </c>
      <c r="AV202">
        <v>-1.5E-3</v>
      </c>
      <c r="AW202">
        <v>0.35</v>
      </c>
      <c r="AX202">
        <v>-2.3E-3</v>
      </c>
      <c r="AY202">
        <v>0.55000000000000004</v>
      </c>
      <c r="AZ202">
        <v>-3.3E-3</v>
      </c>
      <c r="BA202">
        <v>0.75</v>
      </c>
      <c r="BB202">
        <v>-4.4000000000000003E-3</v>
      </c>
      <c r="BC202">
        <v>0.95</v>
      </c>
      <c r="BD202">
        <v>-5.3E-3</v>
      </c>
      <c r="BE202">
        <v>0.95</v>
      </c>
      <c r="BF202">
        <v>-5.5999999999999999E-3</v>
      </c>
      <c r="BG202">
        <v>4.1500000000000004</v>
      </c>
      <c r="BH202">
        <v>-2.46E-2</v>
      </c>
    </row>
    <row r="203" spans="1:60" x14ac:dyDescent="0.35">
      <c r="A203" t="s">
        <v>34</v>
      </c>
      <c r="B203" s="1">
        <v>46146.65625</v>
      </c>
      <c r="C203" t="s">
        <v>34</v>
      </c>
      <c r="D203" s="1">
        <v>46146.625</v>
      </c>
      <c r="E203">
        <v>7190</v>
      </c>
      <c r="F203" t="s">
        <v>36</v>
      </c>
      <c r="G203">
        <v>5.7</v>
      </c>
      <c r="H203">
        <v>26.7</v>
      </c>
      <c r="I203">
        <v>0.03</v>
      </c>
      <c r="J203">
        <v>0.03</v>
      </c>
      <c r="K203">
        <v>115449</v>
      </c>
      <c r="L203">
        <v>205</v>
      </c>
      <c r="M203">
        <v>0.35</v>
      </c>
      <c r="N203">
        <v>223</v>
      </c>
      <c r="O203">
        <v>0.45</v>
      </c>
      <c r="P203">
        <v>0</v>
      </c>
      <c r="Q203">
        <v>0</v>
      </c>
      <c r="R203">
        <v>0</v>
      </c>
      <c r="S203">
        <v>0</v>
      </c>
      <c r="T203">
        <v>0.21740000000000001</v>
      </c>
      <c r="U203">
        <v>-9.5600000000000004E-2</v>
      </c>
      <c r="V203">
        <v>2.0299999999999999E-2</v>
      </c>
      <c r="W203">
        <v>-0.375</v>
      </c>
      <c r="X203">
        <v>6.8000000000000005E-2</v>
      </c>
      <c r="Y203">
        <v>-2.0000000000000001E-4</v>
      </c>
      <c r="Z203">
        <v>0</v>
      </c>
      <c r="AA203">
        <v>0</v>
      </c>
      <c r="AB203">
        <v>284</v>
      </c>
      <c r="AC203">
        <v>0.05</v>
      </c>
      <c r="AD203">
        <v>0</v>
      </c>
      <c r="AE203">
        <v>0</v>
      </c>
      <c r="AF203">
        <v>4.9329000000000001</v>
      </c>
      <c r="AG203">
        <v>2388</v>
      </c>
      <c r="AH203">
        <v>0</v>
      </c>
      <c r="AJ203" s="4">
        <v>6005</v>
      </c>
      <c r="BC203">
        <v>0.95</v>
      </c>
      <c r="BD203">
        <v>-5.3E-3</v>
      </c>
      <c r="BE203">
        <v>1</v>
      </c>
      <c r="BF203">
        <v>-5.7000000000000002E-3</v>
      </c>
      <c r="BG203">
        <v>1.95</v>
      </c>
      <c r="BH203">
        <v>-1.0999999999999999E-2</v>
      </c>
    </row>
    <row r="204" spans="1:60" x14ac:dyDescent="0.35">
      <c r="A204" t="s">
        <v>34</v>
      </c>
      <c r="B204" s="1">
        <v>46146.65625</v>
      </c>
      <c r="C204" t="s">
        <v>34</v>
      </c>
      <c r="D204" s="1">
        <v>46146.625</v>
      </c>
      <c r="E204">
        <v>7195</v>
      </c>
      <c r="F204" t="s">
        <v>36</v>
      </c>
      <c r="G204">
        <v>6.43</v>
      </c>
      <c r="H204">
        <v>29.6</v>
      </c>
      <c r="I204">
        <v>0.02</v>
      </c>
      <c r="J204">
        <v>0.1</v>
      </c>
      <c r="K204">
        <v>115053</v>
      </c>
      <c r="L204">
        <v>92</v>
      </c>
      <c r="M204">
        <v>0.95</v>
      </c>
      <c r="N204">
        <v>30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0.1933</v>
      </c>
      <c r="U204">
        <v>-0.2127</v>
      </c>
      <c r="V204">
        <v>3.9E-2</v>
      </c>
      <c r="W204">
        <v>-0.9</v>
      </c>
      <c r="X204">
        <v>0.1137</v>
      </c>
      <c r="Y204">
        <v>-4.0000000000000002E-4</v>
      </c>
      <c r="Z204">
        <v>0</v>
      </c>
      <c r="AA204">
        <v>0</v>
      </c>
      <c r="AB204">
        <v>11</v>
      </c>
      <c r="AC204">
        <v>0.05</v>
      </c>
      <c r="AD204">
        <v>0</v>
      </c>
      <c r="AE204">
        <v>0</v>
      </c>
      <c r="AF204">
        <v>4.8551000000000002</v>
      </c>
      <c r="AG204">
        <v>1103</v>
      </c>
      <c r="AH204">
        <v>0</v>
      </c>
      <c r="AJ204" s="4">
        <v>6010</v>
      </c>
      <c r="AS204">
        <v>0.15</v>
      </c>
      <c r="AT204">
        <v>-8.9999999999999998E-4</v>
      </c>
      <c r="BC204">
        <v>0.95</v>
      </c>
      <c r="BD204">
        <v>-5.3E-3</v>
      </c>
      <c r="BE204">
        <v>1</v>
      </c>
      <c r="BF204">
        <v>-5.7000000000000002E-3</v>
      </c>
      <c r="BG204">
        <v>2.0999999999999996</v>
      </c>
      <c r="BH204">
        <v>-1.1900000000000001E-2</v>
      </c>
    </row>
    <row r="205" spans="1:60" x14ac:dyDescent="0.35">
      <c r="A205" t="s">
        <v>34</v>
      </c>
      <c r="B205" s="1">
        <v>46146.65625</v>
      </c>
      <c r="C205" t="s">
        <v>34</v>
      </c>
      <c r="D205" s="1">
        <v>46146.625</v>
      </c>
      <c r="E205">
        <v>7200</v>
      </c>
      <c r="F205" t="s">
        <v>36</v>
      </c>
      <c r="G205">
        <v>7.5</v>
      </c>
      <c r="H205">
        <v>34</v>
      </c>
      <c r="I205">
        <v>0.05</v>
      </c>
      <c r="J205">
        <v>0.05</v>
      </c>
      <c r="K205">
        <v>161951</v>
      </c>
      <c r="L205">
        <v>37</v>
      </c>
      <c r="M205">
        <v>2.5</v>
      </c>
      <c r="N205">
        <v>6</v>
      </c>
      <c r="O205">
        <v>2.6</v>
      </c>
      <c r="P205">
        <v>0</v>
      </c>
      <c r="Q205">
        <v>0</v>
      </c>
      <c r="R205">
        <v>0</v>
      </c>
      <c r="S205">
        <v>0</v>
      </c>
      <c r="T205">
        <v>0.1847</v>
      </c>
      <c r="U205">
        <v>-0.44819999999999999</v>
      </c>
      <c r="V205">
        <v>5.57E-2</v>
      </c>
      <c r="W205">
        <v>-2.4</v>
      </c>
      <c r="X205">
        <v>0.1525</v>
      </c>
      <c r="Y205">
        <v>-8.9999999999999998E-4</v>
      </c>
      <c r="Z205">
        <v>1</v>
      </c>
      <c r="AA205">
        <v>0.1</v>
      </c>
      <c r="AB205">
        <v>2</v>
      </c>
      <c r="AC205">
        <v>0.15</v>
      </c>
      <c r="AD205">
        <v>0</v>
      </c>
      <c r="AE205">
        <v>0</v>
      </c>
      <c r="AF205">
        <v>6.1753999999999998</v>
      </c>
      <c r="AG205">
        <v>5199</v>
      </c>
      <c r="AH205">
        <v>0</v>
      </c>
      <c r="AJ205" s="4">
        <v>6015</v>
      </c>
      <c r="BC205">
        <v>0.95</v>
      </c>
      <c r="BD205">
        <v>-5.4000000000000003E-3</v>
      </c>
      <c r="BE205">
        <v>1</v>
      </c>
      <c r="BF205">
        <v>-5.7000000000000002E-3</v>
      </c>
      <c r="BG205">
        <v>1.95</v>
      </c>
      <c r="BH205">
        <v>-1.11E-2</v>
      </c>
    </row>
    <row r="206" spans="1:60" x14ac:dyDescent="0.35">
      <c r="A206" t="s">
        <v>34</v>
      </c>
      <c r="B206" s="1">
        <v>46146.65625</v>
      </c>
      <c r="C206" t="s">
        <v>34</v>
      </c>
      <c r="D206" s="1">
        <v>46146.625</v>
      </c>
      <c r="E206">
        <v>7205</v>
      </c>
      <c r="F206" t="s">
        <v>36</v>
      </c>
      <c r="G206">
        <v>8.5500000000000007</v>
      </c>
      <c r="H206">
        <v>37.049999999999997</v>
      </c>
      <c r="I206">
        <v>1.5</v>
      </c>
      <c r="J206">
        <v>3.5</v>
      </c>
      <c r="K206">
        <v>63939</v>
      </c>
      <c r="L206">
        <v>19</v>
      </c>
      <c r="M206">
        <v>5.6</v>
      </c>
      <c r="N206">
        <v>4</v>
      </c>
      <c r="O206">
        <v>5.8</v>
      </c>
      <c r="P206">
        <v>0</v>
      </c>
      <c r="Q206">
        <v>0</v>
      </c>
      <c r="R206">
        <v>0</v>
      </c>
      <c r="S206">
        <v>0</v>
      </c>
      <c r="T206">
        <v>0.1938</v>
      </c>
      <c r="U206">
        <v>-0.70740000000000003</v>
      </c>
      <c r="V206">
        <v>4.6100000000000002E-2</v>
      </c>
      <c r="W206">
        <v>-1.3728</v>
      </c>
      <c r="X206">
        <v>0.13339999999999999</v>
      </c>
      <c r="Y206">
        <v>-1.5E-3</v>
      </c>
      <c r="Z206">
        <v>1</v>
      </c>
      <c r="AA206">
        <v>3.5</v>
      </c>
      <c r="AB206">
        <v>5</v>
      </c>
      <c r="AC206">
        <v>4.9000000000000004</v>
      </c>
      <c r="AD206">
        <v>0</v>
      </c>
      <c r="AE206">
        <v>0</v>
      </c>
      <c r="AF206">
        <v>7.6535000000000002</v>
      </c>
      <c r="AG206">
        <v>750</v>
      </c>
      <c r="AH206">
        <v>0</v>
      </c>
      <c r="AJ206" s="4">
        <v>6020</v>
      </c>
      <c r="AS206">
        <v>0.15</v>
      </c>
      <c r="AT206">
        <v>-8.9999999999999998E-4</v>
      </c>
      <c r="BC206">
        <v>0.95</v>
      </c>
      <c r="BD206">
        <v>-5.4999999999999997E-3</v>
      </c>
      <c r="BE206">
        <v>1</v>
      </c>
      <c r="BF206">
        <v>-5.7999999999999996E-3</v>
      </c>
      <c r="BG206">
        <v>2.0999999999999996</v>
      </c>
      <c r="BH206">
        <v>-1.2199999999999999E-2</v>
      </c>
    </row>
    <row r="207" spans="1:60" x14ac:dyDescent="0.35">
      <c r="A207" t="s">
        <v>34</v>
      </c>
      <c r="B207" s="1">
        <v>46146.65625</v>
      </c>
      <c r="C207" t="s">
        <v>34</v>
      </c>
      <c r="D207" s="1">
        <v>46146.625</v>
      </c>
      <c r="E207">
        <v>7210</v>
      </c>
      <c r="F207" t="s">
        <v>36</v>
      </c>
      <c r="G207">
        <v>10</v>
      </c>
      <c r="H207">
        <v>39.9</v>
      </c>
      <c r="I207">
        <v>1.95</v>
      </c>
      <c r="J207">
        <v>8.6199999999999992</v>
      </c>
      <c r="K207">
        <v>59869</v>
      </c>
      <c r="L207">
        <v>15</v>
      </c>
      <c r="M207">
        <v>9.8000000000000007</v>
      </c>
      <c r="N207">
        <v>6</v>
      </c>
      <c r="O207">
        <v>10.199999999999999</v>
      </c>
      <c r="P207">
        <v>0</v>
      </c>
      <c r="Q207">
        <v>0</v>
      </c>
      <c r="R207">
        <v>0</v>
      </c>
      <c r="S207">
        <v>0</v>
      </c>
      <c r="T207">
        <v>0.23200000000000001</v>
      </c>
      <c r="U207">
        <v>-0.84489999999999998</v>
      </c>
      <c r="V207">
        <v>2.6700000000000002E-2</v>
      </c>
      <c r="W207">
        <v>-0.7228</v>
      </c>
      <c r="X207">
        <v>9.3899999999999997E-2</v>
      </c>
      <c r="Y207">
        <v>-1.6999999999999999E-3</v>
      </c>
      <c r="Z207">
        <v>15</v>
      </c>
      <c r="AA207">
        <v>8.4</v>
      </c>
      <c r="AB207">
        <v>15</v>
      </c>
      <c r="AC207">
        <v>9.6</v>
      </c>
      <c r="AD207">
        <v>0</v>
      </c>
      <c r="AE207">
        <v>0</v>
      </c>
      <c r="AF207">
        <v>9.2528000000000006</v>
      </c>
      <c r="AG207">
        <v>832</v>
      </c>
      <c r="AH207">
        <v>0</v>
      </c>
      <c r="AJ207" s="4">
        <v>6025</v>
      </c>
      <c r="AK207">
        <v>0.05</v>
      </c>
      <c r="AL207">
        <v>0</v>
      </c>
      <c r="AM207">
        <v>0.05</v>
      </c>
      <c r="AN207">
        <v>-2.9999999999999997E-4</v>
      </c>
      <c r="AO207">
        <v>0.05</v>
      </c>
      <c r="AP207">
        <v>-2.9999999999999997E-4</v>
      </c>
      <c r="AQ207">
        <v>0.1</v>
      </c>
      <c r="AR207">
        <v>-5.0000000000000001E-4</v>
      </c>
      <c r="AS207">
        <v>0.15</v>
      </c>
      <c r="AT207">
        <v>-8.9999999999999998E-4</v>
      </c>
      <c r="AU207">
        <v>0.2</v>
      </c>
      <c r="AV207">
        <v>-1.5E-3</v>
      </c>
      <c r="AW207">
        <v>0.4</v>
      </c>
      <c r="AX207">
        <v>-2.5000000000000001E-3</v>
      </c>
      <c r="AY207">
        <v>0.6</v>
      </c>
      <c r="AZ207">
        <v>-3.7000000000000002E-3</v>
      </c>
      <c r="BA207">
        <v>0.8</v>
      </c>
      <c r="BB207">
        <v>-4.7999999999999996E-3</v>
      </c>
      <c r="BC207">
        <v>0.95</v>
      </c>
      <c r="BD207">
        <v>-5.4999999999999997E-3</v>
      </c>
      <c r="BE207">
        <v>1</v>
      </c>
      <c r="BF207">
        <v>-5.8999999999999999E-3</v>
      </c>
      <c r="BG207">
        <v>4.3500000000000005</v>
      </c>
      <c r="BH207">
        <v>-2.5899999999999996E-2</v>
      </c>
    </row>
    <row r="208" spans="1:60" x14ac:dyDescent="0.35">
      <c r="A208" t="s">
        <v>34</v>
      </c>
      <c r="B208" s="1">
        <v>46146.65625</v>
      </c>
      <c r="C208" t="s">
        <v>34</v>
      </c>
      <c r="D208" s="1">
        <v>46146.625</v>
      </c>
      <c r="E208">
        <v>7215</v>
      </c>
      <c r="F208" t="s">
        <v>36</v>
      </c>
      <c r="G208">
        <v>11.7</v>
      </c>
      <c r="H208">
        <v>45</v>
      </c>
      <c r="I208">
        <v>2.35</v>
      </c>
      <c r="J208">
        <v>14.1</v>
      </c>
      <c r="K208">
        <v>36092</v>
      </c>
      <c r="L208">
        <v>15</v>
      </c>
      <c r="M208">
        <v>14.6</v>
      </c>
      <c r="N208">
        <v>1</v>
      </c>
      <c r="O208">
        <v>15</v>
      </c>
      <c r="P208">
        <v>0</v>
      </c>
      <c r="Q208">
        <v>0</v>
      </c>
      <c r="R208">
        <v>0</v>
      </c>
      <c r="S208">
        <v>0</v>
      </c>
      <c r="T208">
        <v>0.27810000000000001</v>
      </c>
      <c r="U208">
        <v>-0.90539999999999998</v>
      </c>
      <c r="V208">
        <v>1.5699999999999999E-2</v>
      </c>
      <c r="W208">
        <v>-0.4728</v>
      </c>
      <c r="X208">
        <v>6.6900000000000001E-2</v>
      </c>
      <c r="Y208">
        <v>-1.9E-3</v>
      </c>
      <c r="Z208">
        <v>15</v>
      </c>
      <c r="AA208">
        <v>13.3</v>
      </c>
      <c r="AB208">
        <v>5</v>
      </c>
      <c r="AC208">
        <v>14.7</v>
      </c>
      <c r="AD208">
        <v>0</v>
      </c>
      <c r="AE208">
        <v>0</v>
      </c>
      <c r="AF208">
        <v>9.2225000000000001</v>
      </c>
      <c r="AG208">
        <v>575</v>
      </c>
      <c r="AH208">
        <v>0</v>
      </c>
      <c r="AJ208" s="4">
        <v>6030</v>
      </c>
      <c r="AS208">
        <v>0.15</v>
      </c>
      <c r="AT208">
        <v>-8.9999999999999998E-4</v>
      </c>
      <c r="BC208">
        <v>1</v>
      </c>
      <c r="BD208">
        <v>-5.7000000000000002E-3</v>
      </c>
      <c r="BE208">
        <v>1</v>
      </c>
      <c r="BF208">
        <v>-5.8999999999999999E-3</v>
      </c>
      <c r="BG208">
        <v>2.15</v>
      </c>
      <c r="BH208">
        <v>-1.2500000000000001E-2</v>
      </c>
    </row>
    <row r="209" spans="1:60" x14ac:dyDescent="0.35">
      <c r="A209" t="s">
        <v>34</v>
      </c>
      <c r="B209" s="1">
        <v>46146.65625</v>
      </c>
      <c r="C209" t="s">
        <v>34</v>
      </c>
      <c r="D209" s="1">
        <v>46146.625</v>
      </c>
      <c r="E209">
        <v>7220</v>
      </c>
      <c r="F209" t="s">
        <v>36</v>
      </c>
      <c r="G209">
        <v>13.2</v>
      </c>
      <c r="H209">
        <v>49.8</v>
      </c>
      <c r="I209">
        <v>2.85</v>
      </c>
      <c r="J209">
        <v>18.8</v>
      </c>
      <c r="K209">
        <v>40922</v>
      </c>
      <c r="L209">
        <v>15</v>
      </c>
      <c r="M209">
        <v>19.600000000000001</v>
      </c>
      <c r="N209">
        <v>15</v>
      </c>
      <c r="O209">
        <v>20.100000000000001</v>
      </c>
      <c r="P209">
        <v>0</v>
      </c>
      <c r="Q209">
        <v>0</v>
      </c>
      <c r="R209">
        <v>0</v>
      </c>
      <c r="S209">
        <v>0</v>
      </c>
      <c r="T209">
        <v>0.33989999999999998</v>
      </c>
      <c r="U209">
        <v>-0.92720000000000002</v>
      </c>
      <c r="V209">
        <v>1.06E-2</v>
      </c>
      <c r="W209">
        <v>-0.42280000000000001</v>
      </c>
      <c r="X209">
        <v>5.5E-2</v>
      </c>
      <c r="Y209">
        <v>-1.9E-3</v>
      </c>
      <c r="Z209">
        <v>15</v>
      </c>
      <c r="AA209">
        <v>18.3</v>
      </c>
      <c r="AB209">
        <v>5</v>
      </c>
      <c r="AC209">
        <v>19.600000000000001</v>
      </c>
      <c r="AD209">
        <v>0</v>
      </c>
      <c r="AE209">
        <v>0</v>
      </c>
      <c r="AF209">
        <v>10.690099999999999</v>
      </c>
      <c r="AG209">
        <v>827</v>
      </c>
      <c r="AH209">
        <v>0</v>
      </c>
      <c r="AJ209" s="4">
        <v>6035</v>
      </c>
      <c r="BC209">
        <v>1</v>
      </c>
      <c r="BD209">
        <v>-5.7000000000000002E-3</v>
      </c>
      <c r="BE209">
        <v>1.05</v>
      </c>
      <c r="BF209">
        <v>-6.1000000000000004E-3</v>
      </c>
      <c r="BG209">
        <v>2.0499999999999998</v>
      </c>
      <c r="BH209">
        <v>-1.1800000000000001E-2</v>
      </c>
    </row>
    <row r="210" spans="1:60" x14ac:dyDescent="0.35">
      <c r="A210" t="s">
        <v>34</v>
      </c>
      <c r="B210" s="1">
        <v>46146.65625</v>
      </c>
      <c r="C210" t="s">
        <v>34</v>
      </c>
      <c r="D210" s="1">
        <v>46146.625</v>
      </c>
      <c r="E210">
        <v>7225</v>
      </c>
      <c r="F210" t="s">
        <v>36</v>
      </c>
      <c r="G210">
        <v>15.29</v>
      </c>
      <c r="H210">
        <v>50</v>
      </c>
      <c r="I210">
        <v>3.5</v>
      </c>
      <c r="J210">
        <v>24.2</v>
      </c>
      <c r="K210">
        <v>41901</v>
      </c>
      <c r="L210">
        <v>15</v>
      </c>
      <c r="M210">
        <v>24.5</v>
      </c>
      <c r="N210">
        <v>15</v>
      </c>
      <c r="O210">
        <v>25</v>
      </c>
      <c r="P210">
        <v>0</v>
      </c>
      <c r="Q210">
        <v>0</v>
      </c>
      <c r="R210">
        <v>0</v>
      </c>
      <c r="S210">
        <v>0</v>
      </c>
      <c r="T210">
        <v>0.39600000000000002</v>
      </c>
      <c r="U210">
        <v>-0.9425</v>
      </c>
      <c r="V210">
        <v>7.6E-3</v>
      </c>
      <c r="W210">
        <v>-0.37280000000000002</v>
      </c>
      <c r="X210">
        <v>4.58E-2</v>
      </c>
      <c r="Y210">
        <v>-1.9E-3</v>
      </c>
      <c r="Z210">
        <v>20</v>
      </c>
      <c r="AA210">
        <v>23.3</v>
      </c>
      <c r="AB210">
        <v>5</v>
      </c>
      <c r="AC210">
        <v>24.7</v>
      </c>
      <c r="AD210">
        <v>0</v>
      </c>
      <c r="AE210">
        <v>0</v>
      </c>
      <c r="AF210">
        <v>12.215999999999999</v>
      </c>
      <c r="AG210">
        <v>1437</v>
      </c>
      <c r="AH210">
        <v>0</v>
      </c>
      <c r="AJ210" s="4">
        <v>6040</v>
      </c>
      <c r="AS210">
        <v>0.15</v>
      </c>
      <c r="AT210">
        <v>-8.9999999999999998E-4</v>
      </c>
      <c r="BC210">
        <v>1</v>
      </c>
      <c r="BD210">
        <v>-5.7000000000000002E-3</v>
      </c>
      <c r="BE210">
        <v>1.05</v>
      </c>
      <c r="BF210">
        <v>-6.1000000000000004E-3</v>
      </c>
      <c r="BG210">
        <v>2.2000000000000002</v>
      </c>
      <c r="BH210">
        <v>-1.2699999999999999E-2</v>
      </c>
    </row>
    <row r="211" spans="1:60" x14ac:dyDescent="0.35">
      <c r="A211" t="s">
        <v>34</v>
      </c>
      <c r="B211" s="1">
        <v>46146.65625</v>
      </c>
      <c r="C211" t="s">
        <v>34</v>
      </c>
      <c r="D211" s="1">
        <v>46146.625</v>
      </c>
      <c r="E211">
        <v>7230</v>
      </c>
      <c r="F211" t="s">
        <v>36</v>
      </c>
      <c r="G211">
        <v>17.760000000000002</v>
      </c>
      <c r="H211">
        <v>58.12</v>
      </c>
      <c r="I211">
        <v>4.4000000000000004</v>
      </c>
      <c r="J211">
        <v>28.66</v>
      </c>
      <c r="K211">
        <v>37127</v>
      </c>
      <c r="L211">
        <v>15</v>
      </c>
      <c r="M211">
        <v>29.5</v>
      </c>
      <c r="N211">
        <v>1</v>
      </c>
      <c r="O211">
        <v>29.9</v>
      </c>
      <c r="P211">
        <v>0</v>
      </c>
      <c r="Q211">
        <v>0</v>
      </c>
      <c r="R211">
        <v>0</v>
      </c>
      <c r="S211">
        <v>0</v>
      </c>
      <c r="T211">
        <v>0.4597</v>
      </c>
      <c r="U211">
        <v>-0.94940000000000002</v>
      </c>
      <c r="V211">
        <v>5.8999999999999999E-3</v>
      </c>
      <c r="W211">
        <v>-0.37280000000000002</v>
      </c>
      <c r="X211">
        <v>4.1300000000000003E-2</v>
      </c>
      <c r="Y211">
        <v>-2E-3</v>
      </c>
      <c r="Z211">
        <v>5</v>
      </c>
      <c r="AA211">
        <v>28.4</v>
      </c>
      <c r="AB211">
        <v>10</v>
      </c>
      <c r="AC211">
        <v>29.8</v>
      </c>
      <c r="AD211">
        <v>0</v>
      </c>
      <c r="AE211">
        <v>0</v>
      </c>
      <c r="AF211">
        <v>13.322800000000001</v>
      </c>
      <c r="AG211">
        <v>1293</v>
      </c>
      <c r="AH211">
        <v>0</v>
      </c>
      <c r="AJ211" s="4">
        <v>6045</v>
      </c>
      <c r="BC211">
        <v>1</v>
      </c>
      <c r="BD211">
        <v>-5.7000000000000002E-3</v>
      </c>
      <c r="BE211">
        <v>1.05</v>
      </c>
      <c r="BF211">
        <v>-6.1000000000000004E-3</v>
      </c>
      <c r="BG211">
        <v>2.0499999999999998</v>
      </c>
      <c r="BH211">
        <v>-1.1800000000000001E-2</v>
      </c>
    </row>
    <row r="212" spans="1:60" x14ac:dyDescent="0.35">
      <c r="A212" t="s">
        <v>34</v>
      </c>
      <c r="B212" s="1">
        <v>46146.65625</v>
      </c>
      <c r="C212" t="s">
        <v>34</v>
      </c>
      <c r="D212" s="1">
        <v>46146.625</v>
      </c>
      <c r="E212">
        <v>7235</v>
      </c>
      <c r="F212" t="s">
        <v>36</v>
      </c>
      <c r="G212">
        <v>20.8</v>
      </c>
      <c r="H212">
        <v>59.95</v>
      </c>
      <c r="I212">
        <v>5.6</v>
      </c>
      <c r="J212">
        <v>33.799999999999997</v>
      </c>
      <c r="K212">
        <v>24434</v>
      </c>
      <c r="L212">
        <v>15</v>
      </c>
      <c r="M212">
        <v>34.5</v>
      </c>
      <c r="N212">
        <v>15</v>
      </c>
      <c r="O212">
        <v>35</v>
      </c>
      <c r="P212">
        <v>0</v>
      </c>
      <c r="Q212">
        <v>0</v>
      </c>
      <c r="R212">
        <v>0</v>
      </c>
      <c r="S212">
        <v>0</v>
      </c>
      <c r="T212">
        <v>0.52190000000000003</v>
      </c>
      <c r="U212">
        <v>-0.9546</v>
      </c>
      <c r="V212">
        <v>4.7999999999999996E-3</v>
      </c>
      <c r="W212">
        <v>-0.37280000000000002</v>
      </c>
      <c r="X212">
        <v>3.7699999999999997E-2</v>
      </c>
      <c r="Y212">
        <v>-2E-3</v>
      </c>
      <c r="Z212">
        <v>15</v>
      </c>
      <c r="AA212">
        <v>33.299999999999997</v>
      </c>
      <c r="AB212">
        <v>6</v>
      </c>
      <c r="AC212">
        <v>35.200000000000003</v>
      </c>
      <c r="AD212">
        <v>0</v>
      </c>
      <c r="AE212">
        <v>0</v>
      </c>
      <c r="AF212">
        <v>13.9817</v>
      </c>
      <c r="AG212">
        <v>910</v>
      </c>
      <c r="AH212">
        <v>0</v>
      </c>
      <c r="AJ212" s="4">
        <v>6050</v>
      </c>
      <c r="AK212">
        <v>0.05</v>
      </c>
      <c r="AL212">
        <v>0</v>
      </c>
      <c r="AM212">
        <v>0.05</v>
      </c>
      <c r="AN212">
        <v>-2.9999999999999997E-4</v>
      </c>
      <c r="AO212">
        <v>0.1</v>
      </c>
      <c r="AP212">
        <v>-5.0000000000000001E-4</v>
      </c>
      <c r="AQ212">
        <v>0.1</v>
      </c>
      <c r="AR212">
        <v>-6.9999999999999999E-4</v>
      </c>
      <c r="AS212">
        <v>0.15</v>
      </c>
      <c r="AT212">
        <v>-1E-3</v>
      </c>
      <c r="AU212">
        <v>0.2</v>
      </c>
      <c r="AV212">
        <v>-1.5E-3</v>
      </c>
      <c r="AW212">
        <v>0.4</v>
      </c>
      <c r="AX212">
        <v>-2.5000000000000001E-3</v>
      </c>
      <c r="AY212">
        <v>0.6</v>
      </c>
      <c r="AZ212">
        <v>-3.7000000000000002E-3</v>
      </c>
      <c r="BA212">
        <v>0.85</v>
      </c>
      <c r="BB212">
        <v>-5.1000000000000004E-3</v>
      </c>
      <c r="BC212">
        <v>1</v>
      </c>
      <c r="BD212">
        <v>-5.8999999999999999E-3</v>
      </c>
      <c r="BE212">
        <v>1.05</v>
      </c>
      <c r="BF212">
        <v>-6.3E-3</v>
      </c>
      <c r="BG212">
        <v>4.5500000000000007</v>
      </c>
      <c r="BH212">
        <v>-2.75E-2</v>
      </c>
    </row>
    <row r="213" spans="1:60" x14ac:dyDescent="0.35">
      <c r="A213" t="s">
        <v>34</v>
      </c>
      <c r="B213" s="1">
        <v>46146.65625</v>
      </c>
      <c r="C213" t="s">
        <v>34</v>
      </c>
      <c r="D213" s="1">
        <v>46146.625</v>
      </c>
      <c r="E213">
        <v>7240</v>
      </c>
      <c r="F213" t="s">
        <v>36</v>
      </c>
      <c r="G213">
        <v>24.1</v>
      </c>
      <c r="H213">
        <v>61.49</v>
      </c>
      <c r="I213">
        <v>7.1</v>
      </c>
      <c r="J213">
        <v>39.01</v>
      </c>
      <c r="K213">
        <v>20064</v>
      </c>
      <c r="L213">
        <v>15</v>
      </c>
      <c r="M213">
        <v>39.5</v>
      </c>
      <c r="N213">
        <v>15</v>
      </c>
      <c r="O213">
        <v>40</v>
      </c>
      <c r="P213">
        <v>0</v>
      </c>
      <c r="Q213">
        <v>0</v>
      </c>
      <c r="R213">
        <v>0</v>
      </c>
      <c r="S213">
        <v>0</v>
      </c>
      <c r="T213">
        <v>0.58279999999999998</v>
      </c>
      <c r="U213">
        <v>-0.9587</v>
      </c>
      <c r="V213">
        <v>3.8999999999999998E-3</v>
      </c>
      <c r="W213">
        <v>-0.37280000000000002</v>
      </c>
      <c r="X213">
        <v>3.49E-2</v>
      </c>
      <c r="Y213">
        <v>-2E-3</v>
      </c>
      <c r="Z213">
        <v>15</v>
      </c>
      <c r="AA213">
        <v>38.299999999999997</v>
      </c>
      <c r="AB213">
        <v>20</v>
      </c>
      <c r="AC213">
        <v>40.299999999999997</v>
      </c>
      <c r="AD213">
        <v>0</v>
      </c>
      <c r="AE213">
        <v>0</v>
      </c>
      <c r="AF213">
        <v>15.090400000000001</v>
      </c>
      <c r="AG213">
        <v>852</v>
      </c>
      <c r="AH213">
        <v>0</v>
      </c>
      <c r="AJ213" s="4">
        <v>6055</v>
      </c>
      <c r="BC213">
        <v>1.05</v>
      </c>
      <c r="BD213">
        <v>-6.1000000000000004E-3</v>
      </c>
      <c r="BE213">
        <v>1.05</v>
      </c>
      <c r="BF213">
        <v>-6.1999999999999998E-3</v>
      </c>
      <c r="BG213">
        <v>2.1</v>
      </c>
      <c r="BH213">
        <v>-1.23E-2</v>
      </c>
    </row>
    <row r="214" spans="1:60" x14ac:dyDescent="0.35">
      <c r="A214" t="s">
        <v>34</v>
      </c>
      <c r="B214" s="1">
        <v>46146.65625</v>
      </c>
      <c r="C214" t="s">
        <v>34</v>
      </c>
      <c r="D214" s="1">
        <v>46146.625</v>
      </c>
      <c r="E214">
        <v>7245</v>
      </c>
      <c r="F214" t="s">
        <v>36</v>
      </c>
      <c r="G214">
        <v>26.6</v>
      </c>
      <c r="H214">
        <v>69.56</v>
      </c>
      <c r="I214">
        <v>9.3000000000000007</v>
      </c>
      <c r="J214">
        <v>43.69</v>
      </c>
      <c r="K214">
        <v>8420</v>
      </c>
      <c r="L214">
        <v>5</v>
      </c>
      <c r="M214">
        <v>43.9</v>
      </c>
      <c r="N214">
        <v>1</v>
      </c>
      <c r="O214">
        <v>45.4</v>
      </c>
      <c r="P214">
        <v>0</v>
      </c>
      <c r="Q214">
        <v>0</v>
      </c>
      <c r="R214">
        <v>0</v>
      </c>
      <c r="S214">
        <v>0</v>
      </c>
      <c r="T214">
        <v>0.62619999999999998</v>
      </c>
      <c r="U214">
        <v>-0.9657</v>
      </c>
      <c r="V214">
        <v>3.2000000000000002E-3</v>
      </c>
      <c r="W214">
        <v>-0.32279999999999998</v>
      </c>
      <c r="X214">
        <v>0.03</v>
      </c>
      <c r="Y214">
        <v>-2E-3</v>
      </c>
      <c r="Z214">
        <v>15</v>
      </c>
      <c r="AA214">
        <v>43.3</v>
      </c>
      <c r="AB214">
        <v>20</v>
      </c>
      <c r="AC214">
        <v>45.3</v>
      </c>
      <c r="AD214">
        <v>0</v>
      </c>
      <c r="AE214">
        <v>0</v>
      </c>
      <c r="AF214">
        <v>18.1175</v>
      </c>
      <c r="AG214">
        <v>888</v>
      </c>
      <c r="AH214">
        <v>0</v>
      </c>
      <c r="AJ214" s="4">
        <v>6060</v>
      </c>
      <c r="AS214">
        <v>0.15</v>
      </c>
      <c r="AT214">
        <v>-1E-3</v>
      </c>
      <c r="BC214">
        <v>1.05</v>
      </c>
      <c r="BD214">
        <v>-6.1000000000000004E-3</v>
      </c>
      <c r="BE214">
        <v>1.05</v>
      </c>
      <c r="BF214">
        <v>-6.3E-3</v>
      </c>
      <c r="BG214">
        <v>2.25</v>
      </c>
      <c r="BH214">
        <v>-1.34E-2</v>
      </c>
    </row>
    <row r="215" spans="1:60" x14ac:dyDescent="0.35">
      <c r="A215" t="s">
        <v>34</v>
      </c>
      <c r="B215" s="1">
        <v>46146.65625</v>
      </c>
      <c r="C215" t="s">
        <v>34</v>
      </c>
      <c r="D215" s="1">
        <v>46146.625</v>
      </c>
      <c r="E215">
        <v>7250</v>
      </c>
      <c r="F215" t="s">
        <v>36</v>
      </c>
      <c r="G215">
        <v>31.75</v>
      </c>
      <c r="H215">
        <v>70.83</v>
      </c>
      <c r="I215">
        <v>11.97</v>
      </c>
      <c r="J215">
        <v>50.02</v>
      </c>
      <c r="K215">
        <v>9248</v>
      </c>
      <c r="L215">
        <v>15</v>
      </c>
      <c r="M215">
        <v>48.8</v>
      </c>
      <c r="N215">
        <v>5</v>
      </c>
      <c r="O215">
        <v>50.3</v>
      </c>
      <c r="P215">
        <v>0</v>
      </c>
      <c r="Q215">
        <v>0</v>
      </c>
      <c r="R215">
        <v>0</v>
      </c>
      <c r="S215">
        <v>0</v>
      </c>
      <c r="T215">
        <v>0.68400000000000005</v>
      </c>
      <c r="U215">
        <v>-0.96830000000000005</v>
      </c>
      <c r="V215">
        <v>2.7000000000000001E-3</v>
      </c>
      <c r="W215">
        <v>-0.32279999999999998</v>
      </c>
      <c r="X215">
        <v>2.81E-2</v>
      </c>
      <c r="Y215">
        <v>-2E-3</v>
      </c>
      <c r="Z215">
        <v>15</v>
      </c>
      <c r="AA215">
        <v>48.3</v>
      </c>
      <c r="AB215">
        <v>15</v>
      </c>
      <c r="AC215">
        <v>50.3</v>
      </c>
      <c r="AD215">
        <v>0</v>
      </c>
      <c r="AE215">
        <v>0</v>
      </c>
      <c r="AF215">
        <v>32.802100000000003</v>
      </c>
      <c r="AG215">
        <v>1204</v>
      </c>
      <c r="AH215">
        <v>0</v>
      </c>
      <c r="AJ215" s="4">
        <v>6065</v>
      </c>
      <c r="BC215">
        <v>1.05</v>
      </c>
      <c r="BD215">
        <v>-6.1000000000000004E-3</v>
      </c>
      <c r="BE215">
        <v>1.1000000000000001</v>
      </c>
      <c r="BF215">
        <v>-6.4999999999999997E-3</v>
      </c>
      <c r="BG215">
        <v>2.1500000000000004</v>
      </c>
      <c r="BH215">
        <v>-1.26E-2</v>
      </c>
    </row>
    <row r="216" spans="1:60" x14ac:dyDescent="0.35">
      <c r="A216" t="s">
        <v>34</v>
      </c>
      <c r="B216" s="1">
        <v>46146.65625</v>
      </c>
      <c r="C216" t="s">
        <v>34</v>
      </c>
      <c r="D216" s="1">
        <v>46146.625</v>
      </c>
      <c r="E216">
        <v>7255</v>
      </c>
      <c r="F216" t="s">
        <v>36</v>
      </c>
      <c r="G216">
        <v>34.700000000000003</v>
      </c>
      <c r="H216">
        <v>79.37</v>
      </c>
      <c r="I216">
        <v>15.2</v>
      </c>
      <c r="J216">
        <v>54.5</v>
      </c>
      <c r="K216">
        <v>1720</v>
      </c>
      <c r="L216">
        <v>10</v>
      </c>
      <c r="M216">
        <v>53.8</v>
      </c>
      <c r="N216">
        <v>5</v>
      </c>
      <c r="O216">
        <v>55.4</v>
      </c>
      <c r="P216">
        <v>0</v>
      </c>
      <c r="Q216">
        <v>0</v>
      </c>
      <c r="R216">
        <v>0</v>
      </c>
      <c r="S216">
        <v>0</v>
      </c>
      <c r="T216">
        <v>0.72070000000000001</v>
      </c>
      <c r="U216">
        <v>-0.9738</v>
      </c>
      <c r="V216">
        <v>2.2000000000000001E-3</v>
      </c>
      <c r="W216">
        <v>-0.27279999999999999</v>
      </c>
      <c r="X216">
        <v>2.3900000000000001E-2</v>
      </c>
      <c r="Y216">
        <v>-2E-3</v>
      </c>
      <c r="Z216">
        <v>15</v>
      </c>
      <c r="AA216">
        <v>53.3</v>
      </c>
      <c r="AB216">
        <v>15</v>
      </c>
      <c r="AC216">
        <v>55.3</v>
      </c>
      <c r="AD216">
        <v>0</v>
      </c>
      <c r="AE216">
        <v>0</v>
      </c>
      <c r="AF216">
        <v>31.6065</v>
      </c>
      <c r="AG216">
        <v>451</v>
      </c>
      <c r="AH216">
        <v>0</v>
      </c>
      <c r="AJ216" s="4">
        <v>6070</v>
      </c>
      <c r="AS216">
        <v>0.15</v>
      </c>
      <c r="AT216">
        <v>-1E-3</v>
      </c>
      <c r="BC216">
        <v>1.05</v>
      </c>
      <c r="BD216">
        <v>-6.1000000000000004E-3</v>
      </c>
      <c r="BE216">
        <v>1.1000000000000001</v>
      </c>
      <c r="BF216">
        <v>-6.4999999999999997E-3</v>
      </c>
      <c r="BG216">
        <v>2.2999999999999998</v>
      </c>
      <c r="BH216">
        <v>-1.3600000000000001E-2</v>
      </c>
    </row>
    <row r="217" spans="1:60" x14ac:dyDescent="0.35">
      <c r="A217" t="s">
        <v>34</v>
      </c>
      <c r="B217" s="1">
        <v>46146.65625</v>
      </c>
      <c r="C217" t="s">
        <v>34</v>
      </c>
      <c r="D217" s="1">
        <v>46146.625</v>
      </c>
      <c r="E217">
        <v>7260</v>
      </c>
      <c r="F217" t="s">
        <v>36</v>
      </c>
      <c r="G217">
        <v>41.7</v>
      </c>
      <c r="H217">
        <v>84</v>
      </c>
      <c r="I217">
        <v>18.95</v>
      </c>
      <c r="J217">
        <v>61.95</v>
      </c>
      <c r="K217">
        <v>1449</v>
      </c>
      <c r="L217">
        <v>5</v>
      </c>
      <c r="M217">
        <v>58.9</v>
      </c>
      <c r="N217">
        <v>5</v>
      </c>
      <c r="O217">
        <v>60.2</v>
      </c>
      <c r="P217">
        <v>0</v>
      </c>
      <c r="Q217">
        <v>0</v>
      </c>
      <c r="R217">
        <v>0</v>
      </c>
      <c r="S217">
        <v>0</v>
      </c>
      <c r="T217">
        <v>0.79749999999999999</v>
      </c>
      <c r="U217">
        <v>-0.97219999999999995</v>
      </c>
      <c r="V217">
        <v>2.0999999999999999E-3</v>
      </c>
      <c r="W217">
        <v>-0.32279999999999998</v>
      </c>
      <c r="X217">
        <v>2.5100000000000001E-2</v>
      </c>
      <c r="Y217">
        <v>-2E-3</v>
      </c>
      <c r="Z217">
        <v>15</v>
      </c>
      <c r="AA217">
        <v>58.3</v>
      </c>
      <c r="AB217">
        <v>15</v>
      </c>
      <c r="AC217">
        <v>60.3</v>
      </c>
      <c r="AD217">
        <v>0</v>
      </c>
      <c r="AE217">
        <v>0</v>
      </c>
      <c r="AF217">
        <v>36.072200000000002</v>
      </c>
      <c r="AG217">
        <v>395</v>
      </c>
      <c r="AH217">
        <v>0</v>
      </c>
      <c r="AJ217" s="4">
        <v>6075</v>
      </c>
      <c r="AK217">
        <v>0.05</v>
      </c>
      <c r="AL217">
        <v>0</v>
      </c>
      <c r="AM217">
        <v>0.05</v>
      </c>
      <c r="AN217">
        <v>-2.9999999999999997E-4</v>
      </c>
      <c r="AO217">
        <v>0.1</v>
      </c>
      <c r="AP217">
        <v>-5.0000000000000001E-4</v>
      </c>
      <c r="AQ217">
        <v>0.1</v>
      </c>
      <c r="AR217">
        <v>-8.0000000000000004E-4</v>
      </c>
      <c r="AS217">
        <v>0.15</v>
      </c>
      <c r="AT217">
        <v>-1E-3</v>
      </c>
      <c r="AU217">
        <v>0.25</v>
      </c>
      <c r="AV217">
        <v>-1.6999999999999999E-3</v>
      </c>
      <c r="AW217">
        <v>0.4</v>
      </c>
      <c r="AX217">
        <v>-2.7000000000000001E-3</v>
      </c>
      <c r="AY217">
        <v>0.6</v>
      </c>
      <c r="AZ217">
        <v>-4.0000000000000001E-3</v>
      </c>
      <c r="BA217">
        <v>0.85</v>
      </c>
      <c r="BB217">
        <v>-5.4000000000000003E-3</v>
      </c>
      <c r="BC217">
        <v>1.05</v>
      </c>
      <c r="BD217">
        <v>-6.1999999999999998E-3</v>
      </c>
      <c r="BE217">
        <v>1.1000000000000001</v>
      </c>
      <c r="BF217">
        <v>-6.4999999999999997E-3</v>
      </c>
      <c r="BG217">
        <v>4.7000000000000011</v>
      </c>
      <c r="BH217">
        <v>-2.9099999999999997E-2</v>
      </c>
    </row>
    <row r="218" spans="1:60" x14ac:dyDescent="0.35">
      <c r="A218" t="s">
        <v>34</v>
      </c>
      <c r="B218" s="1">
        <v>46146.65625</v>
      </c>
      <c r="C218" t="s">
        <v>34</v>
      </c>
      <c r="D218" s="1">
        <v>46146.625</v>
      </c>
      <c r="E218">
        <v>7265</v>
      </c>
      <c r="F218" t="s">
        <v>36</v>
      </c>
      <c r="G218">
        <v>46.94</v>
      </c>
      <c r="H218">
        <v>85.7</v>
      </c>
      <c r="I218">
        <v>23.34</v>
      </c>
      <c r="J218">
        <v>66.5</v>
      </c>
      <c r="K218">
        <v>1220</v>
      </c>
      <c r="L218">
        <v>5</v>
      </c>
      <c r="M218">
        <v>63.9</v>
      </c>
      <c r="N218">
        <v>5</v>
      </c>
      <c r="O218">
        <v>65.2</v>
      </c>
      <c r="P218">
        <v>0</v>
      </c>
      <c r="Q218">
        <v>0</v>
      </c>
      <c r="R218">
        <v>0</v>
      </c>
      <c r="S218">
        <v>0</v>
      </c>
      <c r="T218">
        <v>0.87370000000000003</v>
      </c>
      <c r="U218">
        <v>-0.97089999999999999</v>
      </c>
      <c r="V218">
        <v>2E-3</v>
      </c>
      <c r="W218">
        <v>-0.37280000000000002</v>
      </c>
      <c r="X218">
        <v>2.5999999999999999E-2</v>
      </c>
      <c r="Y218">
        <v>-2E-3</v>
      </c>
      <c r="Z218">
        <v>15</v>
      </c>
      <c r="AA218">
        <v>63.3</v>
      </c>
      <c r="AB218">
        <v>15</v>
      </c>
      <c r="AC218">
        <v>65.3</v>
      </c>
      <c r="AD218">
        <v>0</v>
      </c>
      <c r="AE218">
        <v>0</v>
      </c>
      <c r="AF218">
        <v>50.449599999999997</v>
      </c>
      <c r="AG218">
        <v>262</v>
      </c>
      <c r="AH218">
        <v>0</v>
      </c>
      <c r="AJ218" s="4">
        <v>6080</v>
      </c>
      <c r="AS218">
        <v>0.15</v>
      </c>
      <c r="AT218">
        <v>-1E-3</v>
      </c>
      <c r="BC218">
        <v>1.05</v>
      </c>
      <c r="BD218">
        <v>-6.3E-3</v>
      </c>
      <c r="BE218">
        <v>1.1000000000000001</v>
      </c>
      <c r="BF218">
        <v>-6.7000000000000002E-3</v>
      </c>
      <c r="BG218">
        <v>2.2999999999999998</v>
      </c>
      <c r="BH218">
        <v>-1.4E-2</v>
      </c>
    </row>
    <row r="219" spans="1:60" x14ac:dyDescent="0.35">
      <c r="A219" t="s">
        <v>34</v>
      </c>
      <c r="B219" s="1">
        <v>46146.65625</v>
      </c>
      <c r="C219" t="s">
        <v>34</v>
      </c>
      <c r="D219" s="1">
        <v>46146.625</v>
      </c>
      <c r="E219">
        <v>7270</v>
      </c>
      <c r="F219" t="s">
        <v>36</v>
      </c>
      <c r="G219">
        <v>47.8</v>
      </c>
      <c r="H219">
        <v>90.65</v>
      </c>
      <c r="I219">
        <v>27.5</v>
      </c>
      <c r="J219">
        <v>71.849999999999994</v>
      </c>
      <c r="K219">
        <v>1347</v>
      </c>
      <c r="L219">
        <v>16</v>
      </c>
      <c r="M219">
        <v>68.8</v>
      </c>
      <c r="N219">
        <v>5</v>
      </c>
      <c r="O219">
        <v>70.3</v>
      </c>
      <c r="P219">
        <v>0</v>
      </c>
      <c r="Q219">
        <v>0</v>
      </c>
      <c r="R219">
        <v>0</v>
      </c>
      <c r="S219">
        <v>0</v>
      </c>
      <c r="T219">
        <v>0.94969999999999999</v>
      </c>
      <c r="U219">
        <v>-0.9698</v>
      </c>
      <c r="V219">
        <v>1.9E-3</v>
      </c>
      <c r="W219">
        <v>-0.42280000000000001</v>
      </c>
      <c r="X219">
        <v>2.6700000000000002E-2</v>
      </c>
      <c r="Y219">
        <v>-2E-3</v>
      </c>
      <c r="Z219">
        <v>15</v>
      </c>
      <c r="AA219">
        <v>68.3</v>
      </c>
      <c r="AB219">
        <v>15</v>
      </c>
      <c r="AC219">
        <v>70.3</v>
      </c>
      <c r="AD219">
        <v>0</v>
      </c>
      <c r="AE219">
        <v>0</v>
      </c>
      <c r="AF219">
        <v>52.893300000000004</v>
      </c>
      <c r="AG219">
        <v>367</v>
      </c>
      <c r="AH219">
        <v>0</v>
      </c>
      <c r="AJ219" s="4">
        <v>6085</v>
      </c>
      <c r="BC219">
        <v>1.1000000000000001</v>
      </c>
      <c r="BD219">
        <v>-6.4999999999999997E-3</v>
      </c>
      <c r="BE219">
        <v>1.1000000000000001</v>
      </c>
      <c r="BF219">
        <v>-6.7000000000000002E-3</v>
      </c>
      <c r="BG219">
        <v>2.2000000000000002</v>
      </c>
      <c r="BH219">
        <v>-1.32E-2</v>
      </c>
    </row>
    <row r="220" spans="1:60" x14ac:dyDescent="0.35">
      <c r="A220" t="s">
        <v>34</v>
      </c>
      <c r="B220" s="1">
        <v>46146.65625</v>
      </c>
      <c r="C220" t="s">
        <v>34</v>
      </c>
      <c r="D220" s="1">
        <v>46146.625</v>
      </c>
      <c r="E220">
        <v>7275</v>
      </c>
      <c r="F220" t="s">
        <v>36</v>
      </c>
      <c r="G220">
        <v>54.14</v>
      </c>
      <c r="H220">
        <v>95</v>
      </c>
      <c r="I220">
        <v>32.85</v>
      </c>
      <c r="J220">
        <v>75.23</v>
      </c>
      <c r="K220">
        <v>436</v>
      </c>
      <c r="L220">
        <v>15</v>
      </c>
      <c r="M220">
        <v>73.8</v>
      </c>
      <c r="N220">
        <v>5</v>
      </c>
      <c r="O220">
        <v>75.3</v>
      </c>
      <c r="P220">
        <v>0</v>
      </c>
      <c r="Q220">
        <v>0</v>
      </c>
      <c r="R220">
        <v>0</v>
      </c>
      <c r="S220">
        <v>0</v>
      </c>
      <c r="T220">
        <v>0.98550000000000004</v>
      </c>
      <c r="U220">
        <v>-0.9738</v>
      </c>
      <c r="V220">
        <v>1.6000000000000001E-3</v>
      </c>
      <c r="W220">
        <v>-0.37280000000000002</v>
      </c>
      <c r="X220">
        <v>2.3800000000000002E-2</v>
      </c>
      <c r="Y220">
        <v>-2E-3</v>
      </c>
      <c r="Z220">
        <v>15</v>
      </c>
      <c r="AA220">
        <v>73.3</v>
      </c>
      <c r="AB220">
        <v>15</v>
      </c>
      <c r="AC220">
        <v>75.3</v>
      </c>
      <c r="AD220">
        <v>0</v>
      </c>
      <c r="AE220">
        <v>0</v>
      </c>
      <c r="AF220">
        <v>47.590600000000002</v>
      </c>
      <c r="AG220">
        <v>220</v>
      </c>
      <c r="AH220">
        <v>0</v>
      </c>
      <c r="AJ220" s="4">
        <v>6090</v>
      </c>
      <c r="AS220">
        <v>0.15</v>
      </c>
      <c r="AT220">
        <v>-1E-3</v>
      </c>
      <c r="BC220">
        <v>1.1000000000000001</v>
      </c>
      <c r="BD220">
        <v>-6.4999999999999997E-3</v>
      </c>
      <c r="BE220">
        <v>1.1499999999999999</v>
      </c>
      <c r="BF220">
        <v>-6.8999999999999999E-3</v>
      </c>
      <c r="BG220">
        <v>2.4</v>
      </c>
      <c r="BH220">
        <v>-1.44E-2</v>
      </c>
    </row>
    <row r="221" spans="1:60" x14ac:dyDescent="0.35">
      <c r="A221" t="s">
        <v>34</v>
      </c>
      <c r="B221" s="1">
        <v>46146.65625</v>
      </c>
      <c r="C221" t="s">
        <v>34</v>
      </c>
      <c r="D221" s="1">
        <v>46146.625</v>
      </c>
      <c r="E221">
        <v>7280</v>
      </c>
      <c r="F221" t="s">
        <v>36</v>
      </c>
      <c r="G221">
        <v>58.84</v>
      </c>
      <c r="H221">
        <v>96.8</v>
      </c>
      <c r="I221">
        <v>37.85</v>
      </c>
      <c r="J221">
        <v>82.13</v>
      </c>
      <c r="K221">
        <v>238</v>
      </c>
      <c r="L221">
        <v>15</v>
      </c>
      <c r="M221">
        <v>78.8</v>
      </c>
      <c r="N221">
        <v>5</v>
      </c>
      <c r="O221">
        <v>80.3</v>
      </c>
      <c r="P221">
        <v>0</v>
      </c>
      <c r="Q221">
        <v>0</v>
      </c>
      <c r="R221">
        <v>0</v>
      </c>
      <c r="S221">
        <v>0</v>
      </c>
      <c r="T221">
        <v>1.0621</v>
      </c>
      <c r="U221">
        <v>-0.97260000000000002</v>
      </c>
      <c r="V221">
        <v>1.5E-3</v>
      </c>
      <c r="W221">
        <v>-0.42280000000000001</v>
      </c>
      <c r="X221">
        <v>2.46E-2</v>
      </c>
      <c r="Y221">
        <v>-2E-3</v>
      </c>
      <c r="Z221">
        <v>15</v>
      </c>
      <c r="AA221">
        <v>78.3</v>
      </c>
      <c r="AB221">
        <v>15</v>
      </c>
      <c r="AC221">
        <v>80.3</v>
      </c>
      <c r="AD221">
        <v>0</v>
      </c>
      <c r="AE221">
        <v>0</v>
      </c>
      <c r="AF221">
        <v>51.981499999999997</v>
      </c>
      <c r="AG221">
        <v>75</v>
      </c>
      <c r="AH221">
        <v>0</v>
      </c>
      <c r="AJ221" s="4">
        <v>6095</v>
      </c>
      <c r="BC221">
        <v>1.1000000000000001</v>
      </c>
      <c r="BD221">
        <v>-6.4999999999999997E-3</v>
      </c>
      <c r="BE221">
        <v>1.1499999999999999</v>
      </c>
      <c r="BF221">
        <v>-6.8999999999999999E-3</v>
      </c>
      <c r="BG221">
        <v>2.25</v>
      </c>
      <c r="BH221">
        <v>-1.3399999999999999E-2</v>
      </c>
    </row>
    <row r="222" spans="1:60" x14ac:dyDescent="0.35">
      <c r="A222" t="s">
        <v>34</v>
      </c>
      <c r="B222" s="1">
        <v>46146.65625</v>
      </c>
      <c r="C222" t="s">
        <v>34</v>
      </c>
      <c r="D222" s="1">
        <v>46146.625</v>
      </c>
      <c r="E222">
        <v>7285</v>
      </c>
      <c r="F222" t="s">
        <v>36</v>
      </c>
      <c r="G222">
        <v>62.03</v>
      </c>
      <c r="H222">
        <v>98.8</v>
      </c>
      <c r="I222">
        <v>42.7</v>
      </c>
      <c r="J222">
        <v>87</v>
      </c>
      <c r="K222">
        <v>163</v>
      </c>
      <c r="L222">
        <v>5</v>
      </c>
      <c r="M222">
        <v>83.9</v>
      </c>
      <c r="N222">
        <v>5</v>
      </c>
      <c r="O222">
        <v>85.3</v>
      </c>
      <c r="P222">
        <v>0</v>
      </c>
      <c r="Q222">
        <v>0</v>
      </c>
      <c r="R222">
        <v>0</v>
      </c>
      <c r="S222">
        <v>0</v>
      </c>
      <c r="T222">
        <v>1.0710999999999999</v>
      </c>
      <c r="U222">
        <v>-0.97850000000000004</v>
      </c>
      <c r="V222">
        <v>1.2999999999999999E-3</v>
      </c>
      <c r="W222">
        <v>-0.32279999999999998</v>
      </c>
      <c r="X222">
        <v>2.01E-2</v>
      </c>
      <c r="Y222">
        <v>-2E-3</v>
      </c>
      <c r="Z222">
        <v>15</v>
      </c>
      <c r="AA222">
        <v>83.3</v>
      </c>
      <c r="AB222">
        <v>15</v>
      </c>
      <c r="AC222">
        <v>85.3</v>
      </c>
      <c r="AD222">
        <v>0</v>
      </c>
      <c r="AE222">
        <v>0</v>
      </c>
      <c r="AF222">
        <v>56.479900000000001</v>
      </c>
      <c r="AG222">
        <v>45</v>
      </c>
      <c r="AH222">
        <v>0</v>
      </c>
      <c r="AJ222" s="4">
        <v>6100</v>
      </c>
      <c r="AK222">
        <v>0.05</v>
      </c>
      <c r="AL222">
        <v>0</v>
      </c>
      <c r="AM222">
        <v>0.05</v>
      </c>
      <c r="AN222">
        <v>-2.9999999999999997E-4</v>
      </c>
      <c r="AO222">
        <v>0.1</v>
      </c>
      <c r="AP222">
        <v>-5.9999999999999995E-4</v>
      </c>
      <c r="AQ222">
        <v>0.1</v>
      </c>
      <c r="AR222">
        <v>-8.0000000000000004E-4</v>
      </c>
      <c r="AS222">
        <v>0.15</v>
      </c>
      <c r="AT222">
        <v>-1E-3</v>
      </c>
      <c r="AU222">
        <v>0.25</v>
      </c>
      <c r="AV222">
        <v>-2E-3</v>
      </c>
      <c r="AW222">
        <v>0.45</v>
      </c>
      <c r="AX222">
        <v>-3.0000000000000001E-3</v>
      </c>
      <c r="AY222">
        <v>0.65</v>
      </c>
      <c r="AZ222">
        <v>-4.1999999999999997E-3</v>
      </c>
      <c r="BA222">
        <v>0.9</v>
      </c>
      <c r="BB222">
        <v>-5.5999999999999999E-3</v>
      </c>
      <c r="BC222">
        <v>1.1000000000000001</v>
      </c>
      <c r="BD222">
        <v>-6.4999999999999997E-3</v>
      </c>
      <c r="BE222">
        <v>1.1499999999999999</v>
      </c>
      <c r="BF222">
        <v>-6.8999999999999999E-3</v>
      </c>
      <c r="BG222">
        <v>4.95</v>
      </c>
      <c r="BH222">
        <v>-3.09E-2</v>
      </c>
    </row>
    <row r="223" spans="1:60" x14ac:dyDescent="0.35">
      <c r="A223" t="s">
        <v>34</v>
      </c>
      <c r="B223" s="1">
        <v>46146.65625</v>
      </c>
      <c r="C223" t="s">
        <v>34</v>
      </c>
      <c r="D223" s="1">
        <v>46146.625</v>
      </c>
      <c r="E223">
        <v>7290</v>
      </c>
      <c r="F223" t="s">
        <v>36</v>
      </c>
      <c r="G223">
        <v>69.73</v>
      </c>
      <c r="H223">
        <v>99.52</v>
      </c>
      <c r="I223">
        <v>47.48</v>
      </c>
      <c r="J223">
        <v>93.15</v>
      </c>
      <c r="K223">
        <v>99</v>
      </c>
      <c r="L223">
        <v>5</v>
      </c>
      <c r="M223">
        <v>88.9</v>
      </c>
      <c r="N223">
        <v>5</v>
      </c>
      <c r="O223">
        <v>90.3</v>
      </c>
      <c r="P223">
        <v>0</v>
      </c>
      <c r="Q223">
        <v>0</v>
      </c>
      <c r="R223">
        <v>0</v>
      </c>
      <c r="S223">
        <v>0</v>
      </c>
      <c r="T223">
        <v>1.0967</v>
      </c>
      <c r="U223">
        <v>-0.9819</v>
      </c>
      <c r="V223">
        <v>1.1000000000000001E-3</v>
      </c>
      <c r="W223">
        <v>-0.27279999999999999</v>
      </c>
      <c r="X223">
        <v>1.7399999999999999E-2</v>
      </c>
      <c r="Y223">
        <v>-2E-3</v>
      </c>
      <c r="Z223">
        <v>15</v>
      </c>
      <c r="AA223">
        <v>88.3</v>
      </c>
      <c r="AB223">
        <v>15</v>
      </c>
      <c r="AC223">
        <v>90.3</v>
      </c>
      <c r="AD223">
        <v>0</v>
      </c>
      <c r="AE223">
        <v>0</v>
      </c>
      <c r="AF223">
        <v>65.793000000000006</v>
      </c>
      <c r="AG223">
        <v>54</v>
      </c>
      <c r="AH223">
        <v>0</v>
      </c>
      <c r="AJ223" s="4">
        <v>6105</v>
      </c>
      <c r="BC223">
        <v>1.1000000000000001</v>
      </c>
      <c r="BD223">
        <v>-6.6E-3</v>
      </c>
      <c r="BE223">
        <v>1.1499999999999999</v>
      </c>
      <c r="BF223">
        <v>-6.8999999999999999E-3</v>
      </c>
      <c r="BG223">
        <v>2.25</v>
      </c>
      <c r="BH223">
        <v>-1.35E-2</v>
      </c>
    </row>
    <row r="224" spans="1:60" x14ac:dyDescent="0.35">
      <c r="A224" t="s">
        <v>34</v>
      </c>
      <c r="B224" s="1">
        <v>46146.65625</v>
      </c>
      <c r="C224" t="s">
        <v>34</v>
      </c>
      <c r="D224" s="1">
        <v>46146.625</v>
      </c>
      <c r="E224">
        <v>7295</v>
      </c>
      <c r="F224" t="s">
        <v>36</v>
      </c>
      <c r="G224">
        <v>72.73</v>
      </c>
      <c r="H224">
        <v>113.08</v>
      </c>
      <c r="I224">
        <v>52</v>
      </c>
      <c r="J224">
        <v>91.8</v>
      </c>
      <c r="K224">
        <v>121</v>
      </c>
      <c r="L224">
        <v>5</v>
      </c>
      <c r="M224">
        <v>93.9</v>
      </c>
      <c r="N224">
        <v>5</v>
      </c>
      <c r="O224">
        <v>95.3</v>
      </c>
      <c r="P224">
        <v>0</v>
      </c>
      <c r="Q224">
        <v>0</v>
      </c>
      <c r="R224">
        <v>0</v>
      </c>
      <c r="S224">
        <v>0</v>
      </c>
      <c r="T224">
        <v>1.1775</v>
      </c>
      <c r="U224">
        <v>-0.98029999999999995</v>
      </c>
      <c r="V224">
        <v>1.1000000000000001E-3</v>
      </c>
      <c r="W224">
        <v>-0.32279999999999998</v>
      </c>
      <c r="X224">
        <v>1.8700000000000001E-2</v>
      </c>
      <c r="Y224">
        <v>-2E-3</v>
      </c>
      <c r="Z224">
        <v>15</v>
      </c>
      <c r="AA224">
        <v>93.3</v>
      </c>
      <c r="AB224">
        <v>15</v>
      </c>
      <c r="AC224">
        <v>95.3</v>
      </c>
      <c r="AD224">
        <v>0</v>
      </c>
      <c r="AE224">
        <v>0</v>
      </c>
      <c r="AF224">
        <v>68.776799999999994</v>
      </c>
      <c r="AG224">
        <v>236</v>
      </c>
      <c r="AH224">
        <v>0</v>
      </c>
      <c r="AJ224" s="4">
        <v>6110</v>
      </c>
      <c r="AS224">
        <v>0.15</v>
      </c>
      <c r="AT224">
        <v>-1.1999999999999999E-3</v>
      </c>
      <c r="BC224">
        <v>1.1000000000000001</v>
      </c>
      <c r="BD224">
        <v>-6.7000000000000002E-3</v>
      </c>
      <c r="BE224">
        <v>1.1499999999999999</v>
      </c>
      <c r="BF224">
        <v>-7.1000000000000004E-3</v>
      </c>
      <c r="BG224">
        <v>2.4</v>
      </c>
      <c r="BH224">
        <v>-1.5000000000000001E-2</v>
      </c>
    </row>
    <row r="225" spans="1:60" x14ac:dyDescent="0.35">
      <c r="A225" t="s">
        <v>34</v>
      </c>
      <c r="B225" s="1">
        <v>46146.65625</v>
      </c>
      <c r="C225" t="s">
        <v>34</v>
      </c>
      <c r="D225" s="1">
        <v>46146.625</v>
      </c>
      <c r="E225">
        <v>7300</v>
      </c>
      <c r="F225" t="s">
        <v>36</v>
      </c>
      <c r="G225">
        <v>79.430000000000007</v>
      </c>
      <c r="H225">
        <v>121.4</v>
      </c>
      <c r="I225">
        <v>56.5</v>
      </c>
      <c r="J225">
        <v>102.32</v>
      </c>
      <c r="K225">
        <v>278</v>
      </c>
      <c r="L225">
        <v>6</v>
      </c>
      <c r="M225">
        <v>98.9</v>
      </c>
      <c r="N225">
        <v>5</v>
      </c>
      <c r="O225">
        <v>100.3</v>
      </c>
      <c r="P225">
        <v>0</v>
      </c>
      <c r="Q225">
        <v>0</v>
      </c>
      <c r="R225">
        <v>0</v>
      </c>
      <c r="S225">
        <v>0</v>
      </c>
      <c r="T225">
        <v>1.2301</v>
      </c>
      <c r="U225">
        <v>-0.98099999999999998</v>
      </c>
      <c r="V225">
        <v>1E-3</v>
      </c>
      <c r="W225">
        <v>-0.32279999999999998</v>
      </c>
      <c r="X225">
        <v>1.8100000000000002E-2</v>
      </c>
      <c r="Y225">
        <v>-2E-3</v>
      </c>
      <c r="Z225">
        <v>15</v>
      </c>
      <c r="AA225">
        <v>98.3</v>
      </c>
      <c r="AB225">
        <v>15</v>
      </c>
      <c r="AC225">
        <v>100.3</v>
      </c>
      <c r="AD225">
        <v>0</v>
      </c>
      <c r="AE225">
        <v>0</v>
      </c>
      <c r="AF225">
        <v>79.710400000000007</v>
      </c>
      <c r="AG225">
        <v>2636</v>
      </c>
      <c r="AH225">
        <v>0</v>
      </c>
      <c r="AJ225" s="4">
        <v>6115</v>
      </c>
      <c r="BC225">
        <v>1.1499999999999999</v>
      </c>
      <c r="BD225">
        <v>-6.8999999999999999E-3</v>
      </c>
      <c r="BE225">
        <v>1.2</v>
      </c>
      <c r="BF225">
        <v>-7.3000000000000001E-3</v>
      </c>
      <c r="BG225">
        <v>2.3499999999999996</v>
      </c>
      <c r="BH225">
        <v>-1.4200000000000001E-2</v>
      </c>
    </row>
    <row r="226" spans="1:60" x14ac:dyDescent="0.35">
      <c r="A226" t="s">
        <v>34</v>
      </c>
      <c r="B226" s="1">
        <v>46146.65625</v>
      </c>
      <c r="C226" t="s">
        <v>34</v>
      </c>
      <c r="D226" s="1">
        <v>46146.625</v>
      </c>
      <c r="E226">
        <v>7305</v>
      </c>
      <c r="F226" t="s">
        <v>36</v>
      </c>
      <c r="G226">
        <v>87.74</v>
      </c>
      <c r="H226">
        <v>117</v>
      </c>
      <c r="I226">
        <v>62.1</v>
      </c>
      <c r="J226">
        <v>95.2</v>
      </c>
      <c r="K226">
        <v>34</v>
      </c>
      <c r="L226">
        <v>11</v>
      </c>
      <c r="M226">
        <v>103.8</v>
      </c>
      <c r="N226">
        <v>6</v>
      </c>
      <c r="O226">
        <v>105.5</v>
      </c>
      <c r="P226">
        <v>0</v>
      </c>
      <c r="Q226">
        <v>0</v>
      </c>
      <c r="R226">
        <v>0</v>
      </c>
      <c r="S226">
        <v>0</v>
      </c>
      <c r="T226">
        <v>1.3357000000000001</v>
      </c>
      <c r="U226">
        <v>-0.97760000000000002</v>
      </c>
      <c r="V226">
        <v>1E-3</v>
      </c>
      <c r="W226">
        <v>-0.42280000000000001</v>
      </c>
      <c r="X226">
        <v>2.07E-2</v>
      </c>
      <c r="Y226">
        <v>-2E-3</v>
      </c>
      <c r="Z226">
        <v>15</v>
      </c>
      <c r="AA226">
        <v>103.3</v>
      </c>
      <c r="AB226">
        <v>15</v>
      </c>
      <c r="AC226">
        <v>105.3</v>
      </c>
      <c r="AD226">
        <v>0</v>
      </c>
      <c r="AE226">
        <v>0</v>
      </c>
      <c r="AF226">
        <v>76.575599999999994</v>
      </c>
      <c r="AG226">
        <v>53</v>
      </c>
      <c r="AH226">
        <v>0</v>
      </c>
      <c r="AJ226" s="4">
        <v>6120</v>
      </c>
      <c r="AS226">
        <v>0.15</v>
      </c>
      <c r="AT226">
        <v>-1.1999999999999999E-3</v>
      </c>
      <c r="BC226">
        <v>1.1499999999999999</v>
      </c>
      <c r="BD226">
        <v>-6.8999999999999999E-3</v>
      </c>
      <c r="BE226">
        <v>1.2</v>
      </c>
      <c r="BF226">
        <v>-7.3000000000000001E-3</v>
      </c>
      <c r="BG226">
        <v>2.5</v>
      </c>
      <c r="BH226">
        <v>-1.54E-2</v>
      </c>
    </row>
    <row r="227" spans="1:60" x14ac:dyDescent="0.35">
      <c r="A227" t="s">
        <v>34</v>
      </c>
      <c r="B227" s="1">
        <v>46146.65625</v>
      </c>
      <c r="C227" t="s">
        <v>34</v>
      </c>
      <c r="D227" s="1">
        <v>46146.625</v>
      </c>
      <c r="E227">
        <v>7310</v>
      </c>
      <c r="F227" t="s">
        <v>36</v>
      </c>
      <c r="G227">
        <v>87</v>
      </c>
      <c r="H227">
        <v>113.9</v>
      </c>
      <c r="I227">
        <v>67.3</v>
      </c>
      <c r="J227">
        <v>101.28</v>
      </c>
      <c r="K227">
        <v>33</v>
      </c>
      <c r="L227">
        <v>11</v>
      </c>
      <c r="M227">
        <v>108.8</v>
      </c>
      <c r="N227">
        <v>6</v>
      </c>
      <c r="O227">
        <v>110.5</v>
      </c>
      <c r="P227">
        <v>0</v>
      </c>
      <c r="Q227">
        <v>0</v>
      </c>
      <c r="R227">
        <v>0</v>
      </c>
      <c r="S227">
        <v>0</v>
      </c>
      <c r="T227">
        <v>1.3893</v>
      </c>
      <c r="U227">
        <v>-0.97829999999999995</v>
      </c>
      <c r="V227">
        <v>1E-3</v>
      </c>
      <c r="W227">
        <v>-0.42280000000000001</v>
      </c>
      <c r="X227">
        <v>2.01E-2</v>
      </c>
      <c r="Y227">
        <v>-2E-3</v>
      </c>
      <c r="Z227">
        <v>15</v>
      </c>
      <c r="AA227">
        <v>108.3</v>
      </c>
      <c r="AB227">
        <v>15</v>
      </c>
      <c r="AC227">
        <v>110.3</v>
      </c>
      <c r="AD227">
        <v>0</v>
      </c>
      <c r="AE227">
        <v>0</v>
      </c>
      <c r="AF227">
        <v>91.053299999999993</v>
      </c>
      <c r="AG227">
        <v>41</v>
      </c>
      <c r="AH227">
        <v>0</v>
      </c>
      <c r="AJ227" s="4">
        <v>6125</v>
      </c>
      <c r="AK227">
        <v>0.05</v>
      </c>
      <c r="AL227">
        <v>0</v>
      </c>
      <c r="AM227">
        <v>0.05</v>
      </c>
      <c r="AN227">
        <v>-2.9999999999999997E-4</v>
      </c>
      <c r="AO227">
        <v>0.1</v>
      </c>
      <c r="AP227">
        <v>-5.9999999999999995E-4</v>
      </c>
      <c r="AQ227">
        <v>0.1</v>
      </c>
      <c r="AR227">
        <v>-8.0000000000000004E-4</v>
      </c>
      <c r="AS227">
        <v>0.15</v>
      </c>
      <c r="AT227">
        <v>-1.1999999999999999E-3</v>
      </c>
      <c r="AU227">
        <v>0.25</v>
      </c>
      <c r="AV227">
        <v>-2E-3</v>
      </c>
      <c r="AW227">
        <v>0.45</v>
      </c>
      <c r="AX227">
        <v>-3.2000000000000002E-3</v>
      </c>
      <c r="AY227">
        <v>0.7</v>
      </c>
      <c r="AZ227">
        <v>-4.5999999999999999E-3</v>
      </c>
      <c r="BA227">
        <v>0.95</v>
      </c>
      <c r="BB227">
        <v>-6.0000000000000001E-3</v>
      </c>
      <c r="BC227">
        <v>1.1499999999999999</v>
      </c>
      <c r="BD227">
        <v>-6.8999999999999999E-3</v>
      </c>
      <c r="BE227">
        <v>1.2</v>
      </c>
      <c r="BF227">
        <v>-7.3000000000000001E-3</v>
      </c>
      <c r="BG227">
        <v>5.1499999999999995</v>
      </c>
      <c r="BH227">
        <v>-3.2899999999999999E-2</v>
      </c>
    </row>
    <row r="228" spans="1:60" x14ac:dyDescent="0.35">
      <c r="A228" t="s">
        <v>34</v>
      </c>
      <c r="B228" s="1">
        <v>46146.65625</v>
      </c>
      <c r="C228" t="s">
        <v>34</v>
      </c>
      <c r="D228" s="1">
        <v>46146.625</v>
      </c>
      <c r="E228">
        <v>7315</v>
      </c>
      <c r="F228" t="s">
        <v>36</v>
      </c>
      <c r="G228">
        <v>74.83</v>
      </c>
      <c r="H228">
        <v>118</v>
      </c>
      <c r="I228">
        <v>74.83</v>
      </c>
      <c r="J228">
        <v>113.45</v>
      </c>
      <c r="K228">
        <v>3</v>
      </c>
      <c r="L228">
        <v>11</v>
      </c>
      <c r="M228">
        <v>113.8</v>
      </c>
      <c r="N228">
        <v>6</v>
      </c>
      <c r="O228">
        <v>115.5</v>
      </c>
      <c r="P228">
        <v>0</v>
      </c>
      <c r="Q228">
        <v>0</v>
      </c>
      <c r="R228">
        <v>0</v>
      </c>
      <c r="S228">
        <v>0</v>
      </c>
      <c r="T228">
        <v>1.4424999999999999</v>
      </c>
      <c r="U228">
        <v>-0.97899999999999998</v>
      </c>
      <c r="V228">
        <v>8.9999999999999998E-4</v>
      </c>
      <c r="W228">
        <v>-0.42280000000000001</v>
      </c>
      <c r="X228">
        <v>1.9599999999999999E-2</v>
      </c>
      <c r="Y228">
        <v>-2E-3</v>
      </c>
      <c r="Z228">
        <v>15</v>
      </c>
      <c r="AA228">
        <v>113.3</v>
      </c>
      <c r="AB228">
        <v>15</v>
      </c>
      <c r="AC228">
        <v>115.3</v>
      </c>
      <c r="AD228">
        <v>0</v>
      </c>
      <c r="AE228">
        <v>0</v>
      </c>
      <c r="AF228">
        <v>102.0933</v>
      </c>
      <c r="AG228">
        <v>23</v>
      </c>
      <c r="AH228">
        <v>0</v>
      </c>
      <c r="AJ228" s="4">
        <v>6130</v>
      </c>
      <c r="AS228">
        <v>0.15</v>
      </c>
      <c r="AT228">
        <v>-1.1999999999999999E-3</v>
      </c>
      <c r="BC228">
        <v>1.1499999999999999</v>
      </c>
      <c r="BD228">
        <v>-7.0000000000000001E-3</v>
      </c>
      <c r="BE228">
        <v>1.2</v>
      </c>
      <c r="BF228">
        <v>-7.4999999999999997E-3</v>
      </c>
      <c r="BG228">
        <v>2.5</v>
      </c>
      <c r="BH228">
        <v>-1.5699999999999999E-2</v>
      </c>
    </row>
    <row r="229" spans="1:60" x14ac:dyDescent="0.35">
      <c r="A229" t="s">
        <v>34</v>
      </c>
      <c r="B229" s="1">
        <v>46146.65625</v>
      </c>
      <c r="C229" t="s">
        <v>34</v>
      </c>
      <c r="D229" s="1">
        <v>46146.625</v>
      </c>
      <c r="E229">
        <v>7320</v>
      </c>
      <c r="F229" t="s">
        <v>36</v>
      </c>
      <c r="G229">
        <v>93.11</v>
      </c>
      <c r="H229">
        <v>131.05000000000001</v>
      </c>
      <c r="I229">
        <v>93.11</v>
      </c>
      <c r="J229">
        <v>111.1</v>
      </c>
      <c r="K229">
        <v>18</v>
      </c>
      <c r="L229">
        <v>11</v>
      </c>
      <c r="M229">
        <v>118.8</v>
      </c>
      <c r="N229">
        <v>6</v>
      </c>
      <c r="O229">
        <v>120.5</v>
      </c>
      <c r="P229">
        <v>0</v>
      </c>
      <c r="Q229">
        <v>0</v>
      </c>
      <c r="R229">
        <v>0</v>
      </c>
      <c r="S229">
        <v>0</v>
      </c>
      <c r="T229">
        <v>1.4955000000000001</v>
      </c>
      <c r="U229">
        <v>-0.97970000000000002</v>
      </c>
      <c r="V229">
        <v>8.9999999999999998E-4</v>
      </c>
      <c r="W229">
        <v>-0.42280000000000001</v>
      </c>
      <c r="X229">
        <v>1.9E-2</v>
      </c>
      <c r="Y229">
        <v>-2E-3</v>
      </c>
      <c r="Z229">
        <v>15</v>
      </c>
      <c r="AA229">
        <v>118.3</v>
      </c>
      <c r="AB229">
        <v>15</v>
      </c>
      <c r="AC229">
        <v>120.3</v>
      </c>
      <c r="AD229">
        <v>0</v>
      </c>
      <c r="AE229">
        <v>0</v>
      </c>
      <c r="AF229">
        <v>111.92440000000001</v>
      </c>
      <c r="AG229">
        <v>54</v>
      </c>
      <c r="AH229">
        <v>0</v>
      </c>
      <c r="AJ229" s="4">
        <v>6135</v>
      </c>
      <c r="BC229">
        <v>1.1499999999999999</v>
      </c>
      <c r="BD229">
        <v>-7.1000000000000004E-3</v>
      </c>
      <c r="BE229">
        <v>1.25</v>
      </c>
      <c r="BF229">
        <v>-7.6E-3</v>
      </c>
      <c r="BG229">
        <v>2.4</v>
      </c>
      <c r="BH229">
        <v>-1.4700000000000001E-2</v>
      </c>
    </row>
    <row r="230" spans="1:60" x14ac:dyDescent="0.35">
      <c r="A230" t="s">
        <v>34</v>
      </c>
      <c r="B230" s="1">
        <v>46146.65625</v>
      </c>
      <c r="C230" t="s">
        <v>34</v>
      </c>
      <c r="D230" s="1">
        <v>46146.625</v>
      </c>
      <c r="E230">
        <v>7325</v>
      </c>
      <c r="F230" t="s">
        <v>36</v>
      </c>
      <c r="G230">
        <v>121.84</v>
      </c>
      <c r="H230">
        <v>124.08</v>
      </c>
      <c r="I230">
        <v>121.39</v>
      </c>
      <c r="J230">
        <v>121.39</v>
      </c>
      <c r="K230">
        <v>4</v>
      </c>
      <c r="L230">
        <v>11</v>
      </c>
      <c r="M230">
        <v>123.8</v>
      </c>
      <c r="N230">
        <v>6</v>
      </c>
      <c r="O230">
        <v>125.5</v>
      </c>
      <c r="P230">
        <v>0</v>
      </c>
      <c r="Q230">
        <v>0</v>
      </c>
      <c r="R230">
        <v>0</v>
      </c>
      <c r="S230">
        <v>0</v>
      </c>
      <c r="T230">
        <v>1.5482</v>
      </c>
      <c r="U230">
        <v>-0.98029999999999995</v>
      </c>
      <c r="V230">
        <v>8.0000000000000004E-4</v>
      </c>
      <c r="W230">
        <v>-0.42280000000000001</v>
      </c>
      <c r="X230">
        <v>1.8499999999999999E-2</v>
      </c>
      <c r="Y230">
        <v>-2E-3</v>
      </c>
      <c r="Z230">
        <v>15</v>
      </c>
      <c r="AA230">
        <v>123.3</v>
      </c>
      <c r="AB230">
        <v>15</v>
      </c>
      <c r="AC230">
        <v>125.3</v>
      </c>
      <c r="AD230">
        <v>0</v>
      </c>
      <c r="AE230">
        <v>0</v>
      </c>
      <c r="AF230">
        <v>122.175</v>
      </c>
      <c r="AG230">
        <v>13</v>
      </c>
      <c r="AH230">
        <v>0</v>
      </c>
      <c r="AJ230" s="4">
        <v>6140</v>
      </c>
      <c r="AS230">
        <v>0.15</v>
      </c>
      <c r="AT230">
        <v>-1.1999999999999999E-3</v>
      </c>
      <c r="BC230">
        <v>1.2</v>
      </c>
      <c r="BD230">
        <v>-7.3000000000000001E-3</v>
      </c>
      <c r="BE230">
        <v>1.25</v>
      </c>
      <c r="BF230">
        <v>-7.7000000000000002E-3</v>
      </c>
      <c r="BG230">
        <v>2.5999999999999996</v>
      </c>
      <c r="BH230">
        <v>-1.6199999999999999E-2</v>
      </c>
    </row>
    <row r="231" spans="1:60" x14ac:dyDescent="0.35">
      <c r="A231" t="s">
        <v>34</v>
      </c>
      <c r="B231" s="1">
        <v>46146.65625</v>
      </c>
      <c r="C231" t="s">
        <v>34</v>
      </c>
      <c r="D231" s="1">
        <v>46146.625</v>
      </c>
      <c r="E231">
        <v>7330</v>
      </c>
      <c r="F231" t="s">
        <v>36</v>
      </c>
      <c r="G231">
        <v>112.4</v>
      </c>
      <c r="H231">
        <v>129.31</v>
      </c>
      <c r="I231">
        <v>89.2</v>
      </c>
      <c r="J231">
        <v>127.51</v>
      </c>
      <c r="K231">
        <v>17</v>
      </c>
      <c r="L231">
        <v>11</v>
      </c>
      <c r="M231">
        <v>128.80000000000001</v>
      </c>
      <c r="N231">
        <v>6</v>
      </c>
      <c r="O231">
        <v>130.5</v>
      </c>
      <c r="P231">
        <v>0</v>
      </c>
      <c r="Q231">
        <v>0</v>
      </c>
      <c r="R231">
        <v>0</v>
      </c>
      <c r="S231">
        <v>0</v>
      </c>
      <c r="T231">
        <v>1.6006</v>
      </c>
      <c r="U231">
        <v>-0.98089999999999999</v>
      </c>
      <c r="V231">
        <v>8.0000000000000004E-4</v>
      </c>
      <c r="W231">
        <v>-0.42280000000000001</v>
      </c>
      <c r="X231">
        <v>1.8100000000000002E-2</v>
      </c>
      <c r="Y231">
        <v>-2E-3</v>
      </c>
      <c r="Z231">
        <v>15</v>
      </c>
      <c r="AA231">
        <v>128.30000000000001</v>
      </c>
      <c r="AB231">
        <v>15</v>
      </c>
      <c r="AC231">
        <v>130.30000000000001</v>
      </c>
      <c r="AD231">
        <v>0</v>
      </c>
      <c r="AE231">
        <v>0</v>
      </c>
      <c r="AF231">
        <v>108.4224</v>
      </c>
      <c r="AG231">
        <v>49</v>
      </c>
      <c r="AH231">
        <v>0</v>
      </c>
      <c r="AJ231" s="4">
        <v>6145</v>
      </c>
      <c r="BC231">
        <v>1.2</v>
      </c>
      <c r="BD231">
        <v>-7.3000000000000001E-3</v>
      </c>
      <c r="BE231">
        <v>1.25</v>
      </c>
      <c r="BF231">
        <v>-7.7000000000000002E-3</v>
      </c>
      <c r="BG231">
        <v>2.4500000000000002</v>
      </c>
      <c r="BH231">
        <v>-1.4999999999999999E-2</v>
      </c>
    </row>
    <row r="232" spans="1:60" x14ac:dyDescent="0.35">
      <c r="A232" t="s">
        <v>34</v>
      </c>
      <c r="B232" s="1">
        <v>46146.65625</v>
      </c>
      <c r="C232" t="s">
        <v>34</v>
      </c>
      <c r="D232" s="1">
        <v>46146.625</v>
      </c>
      <c r="E232">
        <v>7335</v>
      </c>
      <c r="F232" t="s">
        <v>36</v>
      </c>
      <c r="G232">
        <v>110.71</v>
      </c>
      <c r="H232">
        <v>110.71</v>
      </c>
      <c r="I232">
        <v>96.6</v>
      </c>
      <c r="J232">
        <v>98.8</v>
      </c>
      <c r="K232">
        <v>14</v>
      </c>
      <c r="L232">
        <v>11</v>
      </c>
      <c r="M232">
        <v>133.69999999999999</v>
      </c>
      <c r="N232">
        <v>6</v>
      </c>
      <c r="O232">
        <v>135.5</v>
      </c>
      <c r="P232">
        <v>0</v>
      </c>
      <c r="Q232">
        <v>0</v>
      </c>
      <c r="R232">
        <v>0</v>
      </c>
      <c r="S232">
        <v>0</v>
      </c>
      <c r="T232">
        <v>1.6229</v>
      </c>
      <c r="U232">
        <v>-0.98309999999999997</v>
      </c>
      <c r="V232">
        <v>6.9999999999999999E-4</v>
      </c>
      <c r="W232">
        <v>-0.37280000000000002</v>
      </c>
      <c r="X232">
        <v>1.6299999999999999E-2</v>
      </c>
      <c r="Y232">
        <v>-2E-3</v>
      </c>
      <c r="Z232">
        <v>15</v>
      </c>
      <c r="AA232">
        <v>133.30000000000001</v>
      </c>
      <c r="AB232">
        <v>15</v>
      </c>
      <c r="AC232">
        <v>135.30000000000001</v>
      </c>
      <c r="AD232">
        <v>0</v>
      </c>
      <c r="AE232">
        <v>0</v>
      </c>
      <c r="AF232">
        <v>99.558599999999998</v>
      </c>
      <c r="AG232">
        <v>19</v>
      </c>
      <c r="AH232">
        <v>0</v>
      </c>
      <c r="AJ232" s="4">
        <v>6150</v>
      </c>
      <c r="AK232">
        <v>0.05</v>
      </c>
      <c r="AL232">
        <v>0</v>
      </c>
      <c r="AM232">
        <v>0.05</v>
      </c>
      <c r="AN232">
        <v>-2.9999999999999997E-4</v>
      </c>
      <c r="AO232">
        <v>0.1</v>
      </c>
      <c r="AP232">
        <v>-5.9999999999999995E-4</v>
      </c>
      <c r="AQ232">
        <v>0.15</v>
      </c>
      <c r="AR232">
        <v>-1E-3</v>
      </c>
      <c r="AS232">
        <v>0.15</v>
      </c>
      <c r="AT232">
        <v>-1.2999999999999999E-3</v>
      </c>
      <c r="AU232">
        <v>0.25</v>
      </c>
      <c r="AV232">
        <v>-2E-3</v>
      </c>
      <c r="AW232">
        <v>0.5</v>
      </c>
      <c r="AX232">
        <v>-3.3999999999999998E-3</v>
      </c>
      <c r="AY232">
        <v>0.7</v>
      </c>
      <c r="AZ232">
        <v>-4.7999999999999996E-3</v>
      </c>
      <c r="BA232">
        <v>1</v>
      </c>
      <c r="BB232">
        <v>-6.4000000000000003E-3</v>
      </c>
      <c r="BC232">
        <v>1.2</v>
      </c>
      <c r="BD232">
        <v>-7.3000000000000001E-3</v>
      </c>
      <c r="BE232">
        <v>1.25</v>
      </c>
      <c r="BF232">
        <v>-7.9000000000000008E-3</v>
      </c>
      <c r="BG232">
        <v>5.4</v>
      </c>
      <c r="BH232">
        <v>-3.5000000000000003E-2</v>
      </c>
    </row>
    <row r="233" spans="1:60" x14ac:dyDescent="0.35">
      <c r="A233" t="s">
        <v>34</v>
      </c>
      <c r="B233" s="1">
        <v>46146.65625</v>
      </c>
      <c r="C233" t="s">
        <v>34</v>
      </c>
      <c r="D233" s="1">
        <v>46146.625</v>
      </c>
      <c r="E233">
        <v>7340</v>
      </c>
      <c r="F233" t="s">
        <v>36</v>
      </c>
      <c r="G233">
        <v>101.6</v>
      </c>
      <c r="H233">
        <v>137.76</v>
      </c>
      <c r="I233">
        <v>101.6</v>
      </c>
      <c r="J233">
        <v>137.76</v>
      </c>
      <c r="K233">
        <v>4</v>
      </c>
      <c r="L233">
        <v>11</v>
      </c>
      <c r="M233">
        <v>138.69999999999999</v>
      </c>
      <c r="N233">
        <v>6</v>
      </c>
      <c r="O233">
        <v>140.5</v>
      </c>
      <c r="P233">
        <v>0</v>
      </c>
      <c r="Q233">
        <v>0</v>
      </c>
      <c r="R233">
        <v>0</v>
      </c>
      <c r="S233">
        <v>0</v>
      </c>
      <c r="T233">
        <v>1.6740999999999999</v>
      </c>
      <c r="U233">
        <v>-0.98350000000000004</v>
      </c>
      <c r="V233">
        <v>5.9999999999999995E-4</v>
      </c>
      <c r="W233">
        <v>-0.37280000000000002</v>
      </c>
      <c r="X233">
        <v>1.5900000000000001E-2</v>
      </c>
      <c r="Y233">
        <v>-2E-3</v>
      </c>
      <c r="Z233">
        <v>15</v>
      </c>
      <c r="AA233">
        <v>138.30000000000001</v>
      </c>
      <c r="AB233">
        <v>15</v>
      </c>
      <c r="AC233">
        <v>140.30000000000001</v>
      </c>
      <c r="AD233">
        <v>0</v>
      </c>
      <c r="AE233">
        <v>0</v>
      </c>
      <c r="AF233">
        <v>114.49</v>
      </c>
      <c r="AG233">
        <v>16</v>
      </c>
      <c r="AH233">
        <v>0</v>
      </c>
      <c r="AJ233" s="4">
        <v>6155</v>
      </c>
      <c r="BC233">
        <v>1.2</v>
      </c>
      <c r="BD233">
        <v>-7.4000000000000003E-3</v>
      </c>
      <c r="BE233">
        <v>1.25</v>
      </c>
      <c r="BF233">
        <v>-7.9000000000000008E-3</v>
      </c>
      <c r="BG233">
        <v>2.4500000000000002</v>
      </c>
      <c r="BH233">
        <v>-1.5300000000000001E-2</v>
      </c>
    </row>
    <row r="234" spans="1:60" x14ac:dyDescent="0.35">
      <c r="A234" t="s">
        <v>34</v>
      </c>
      <c r="B234" s="1">
        <v>46146.65625</v>
      </c>
      <c r="C234" t="s">
        <v>34</v>
      </c>
      <c r="D234" s="1">
        <v>46146.625</v>
      </c>
      <c r="E234">
        <v>7345</v>
      </c>
      <c r="F234" t="s">
        <v>36</v>
      </c>
      <c r="G234">
        <v>152.18</v>
      </c>
      <c r="H234">
        <v>152.18</v>
      </c>
      <c r="I234">
        <v>137.09</v>
      </c>
      <c r="J234">
        <v>137.09</v>
      </c>
      <c r="K234">
        <v>2</v>
      </c>
      <c r="L234">
        <v>11</v>
      </c>
      <c r="M234">
        <v>143.69999999999999</v>
      </c>
      <c r="N234">
        <v>6</v>
      </c>
      <c r="O234">
        <v>145.5</v>
      </c>
      <c r="P234">
        <v>0</v>
      </c>
      <c r="Q234">
        <v>0</v>
      </c>
      <c r="R234">
        <v>0</v>
      </c>
      <c r="S234">
        <v>0</v>
      </c>
      <c r="T234">
        <v>1.7250000000000001</v>
      </c>
      <c r="U234">
        <v>-0.98399999999999999</v>
      </c>
      <c r="V234">
        <v>5.9999999999999995E-4</v>
      </c>
      <c r="W234">
        <v>-0.37280000000000002</v>
      </c>
      <c r="X234">
        <v>1.55E-2</v>
      </c>
      <c r="Y234">
        <v>-2E-3</v>
      </c>
      <c r="Z234">
        <v>15</v>
      </c>
      <c r="AA234">
        <v>143.30000000000001</v>
      </c>
      <c r="AB234">
        <v>15</v>
      </c>
      <c r="AC234">
        <v>145.30000000000001</v>
      </c>
      <c r="AD234">
        <v>0</v>
      </c>
      <c r="AE234">
        <v>0</v>
      </c>
      <c r="AF234">
        <v>144.63499999999999</v>
      </c>
      <c r="AG234">
        <v>53</v>
      </c>
      <c r="AH234">
        <v>0</v>
      </c>
      <c r="AJ234" s="4">
        <v>6160</v>
      </c>
      <c r="AS234">
        <v>0.2</v>
      </c>
      <c r="AT234">
        <v>-1.5E-3</v>
      </c>
      <c r="BC234">
        <v>1.2</v>
      </c>
      <c r="BD234">
        <v>-7.4999999999999997E-3</v>
      </c>
      <c r="BE234">
        <v>1.3</v>
      </c>
      <c r="BF234">
        <v>-8.0000000000000002E-3</v>
      </c>
      <c r="BG234">
        <v>2.7</v>
      </c>
      <c r="BH234">
        <v>-1.7000000000000001E-2</v>
      </c>
    </row>
    <row r="235" spans="1:60" x14ac:dyDescent="0.35">
      <c r="A235" t="s">
        <v>34</v>
      </c>
      <c r="B235" s="1">
        <v>46146.65625</v>
      </c>
      <c r="C235" t="s">
        <v>34</v>
      </c>
      <c r="D235" s="1">
        <v>46146.625</v>
      </c>
      <c r="E235">
        <v>7350</v>
      </c>
      <c r="F235" t="s">
        <v>36</v>
      </c>
      <c r="G235">
        <v>123.03</v>
      </c>
      <c r="H235">
        <v>155.09</v>
      </c>
      <c r="I235">
        <v>107.82</v>
      </c>
      <c r="J235">
        <v>151.34</v>
      </c>
      <c r="K235">
        <v>25</v>
      </c>
      <c r="L235">
        <v>11</v>
      </c>
      <c r="M235">
        <v>148.69999999999999</v>
      </c>
      <c r="N235">
        <v>6</v>
      </c>
      <c r="O235">
        <v>150.5</v>
      </c>
      <c r="P235">
        <v>0</v>
      </c>
      <c r="Q235">
        <v>0</v>
      </c>
      <c r="R235">
        <v>0</v>
      </c>
      <c r="S235">
        <v>0</v>
      </c>
      <c r="T235">
        <v>1.7757000000000001</v>
      </c>
      <c r="U235">
        <v>-0.98440000000000005</v>
      </c>
      <c r="V235">
        <v>5.9999999999999995E-4</v>
      </c>
      <c r="W235">
        <v>-0.37280000000000002</v>
      </c>
      <c r="X235">
        <v>1.52E-2</v>
      </c>
      <c r="Y235">
        <v>-2E-3</v>
      </c>
      <c r="Z235">
        <v>15</v>
      </c>
      <c r="AA235">
        <v>148.30000000000001</v>
      </c>
      <c r="AB235">
        <v>15</v>
      </c>
      <c r="AC235">
        <v>150.30000000000001</v>
      </c>
      <c r="AD235">
        <v>0</v>
      </c>
      <c r="AE235">
        <v>0</v>
      </c>
      <c r="AF235">
        <v>138.9684</v>
      </c>
      <c r="AG235">
        <v>26</v>
      </c>
      <c r="AH235">
        <v>0</v>
      </c>
      <c r="AJ235" s="4">
        <v>6165</v>
      </c>
      <c r="BC235">
        <v>1.25</v>
      </c>
      <c r="BD235">
        <v>-7.7000000000000002E-3</v>
      </c>
      <c r="BE235">
        <v>1.3</v>
      </c>
      <c r="BF235">
        <v>-8.0999999999999996E-3</v>
      </c>
      <c r="BG235">
        <v>2.5499999999999998</v>
      </c>
      <c r="BH235">
        <v>-1.5800000000000002E-2</v>
      </c>
    </row>
    <row r="236" spans="1:60" x14ac:dyDescent="0.35">
      <c r="A236" t="s">
        <v>34</v>
      </c>
      <c r="B236" s="1">
        <v>46146.65625</v>
      </c>
      <c r="C236" t="s">
        <v>34</v>
      </c>
      <c r="D236" s="1">
        <v>46146.625</v>
      </c>
      <c r="E236">
        <v>7355</v>
      </c>
      <c r="F236" t="s">
        <v>36</v>
      </c>
      <c r="G236">
        <v>149.88</v>
      </c>
      <c r="H236">
        <v>149.88</v>
      </c>
      <c r="I236">
        <v>149.88</v>
      </c>
      <c r="J236">
        <v>149.88</v>
      </c>
      <c r="K236">
        <v>2</v>
      </c>
      <c r="L236">
        <v>11</v>
      </c>
      <c r="M236">
        <v>153.69999999999999</v>
      </c>
      <c r="N236">
        <v>6</v>
      </c>
      <c r="O236">
        <v>155.5</v>
      </c>
      <c r="P236">
        <v>0</v>
      </c>
      <c r="Q236">
        <v>0</v>
      </c>
      <c r="R236">
        <v>0</v>
      </c>
      <c r="S236">
        <v>0</v>
      </c>
      <c r="T236">
        <v>1.8262</v>
      </c>
      <c r="U236">
        <v>-0.98480000000000001</v>
      </c>
      <c r="V236">
        <v>5.9999999999999995E-4</v>
      </c>
      <c r="W236">
        <v>-0.37280000000000002</v>
      </c>
      <c r="X236">
        <v>1.49E-2</v>
      </c>
      <c r="Y236">
        <v>-2E-3</v>
      </c>
      <c r="Z236">
        <v>15</v>
      </c>
      <c r="AA236">
        <v>153.30000000000001</v>
      </c>
      <c r="AB236">
        <v>15</v>
      </c>
      <c r="AC236">
        <v>155.30000000000001</v>
      </c>
      <c r="AD236">
        <v>0</v>
      </c>
      <c r="AE236">
        <v>0</v>
      </c>
      <c r="AF236">
        <v>149.88</v>
      </c>
      <c r="AG236">
        <v>0</v>
      </c>
      <c r="AH236">
        <v>0</v>
      </c>
      <c r="AJ236" s="4">
        <v>6170</v>
      </c>
      <c r="AS236">
        <v>0.2</v>
      </c>
      <c r="AT236">
        <v>-1.5E-3</v>
      </c>
      <c r="BC236">
        <v>1.25</v>
      </c>
      <c r="BD236">
        <v>-7.7000000000000002E-3</v>
      </c>
      <c r="BE236">
        <v>1.3</v>
      </c>
      <c r="BF236">
        <v>-8.3000000000000001E-3</v>
      </c>
      <c r="BG236">
        <v>2.75</v>
      </c>
      <c r="BH236">
        <v>-1.7500000000000002E-2</v>
      </c>
    </row>
    <row r="237" spans="1:60" x14ac:dyDescent="0.35">
      <c r="A237" t="s">
        <v>34</v>
      </c>
      <c r="B237" s="1">
        <v>46146.65625</v>
      </c>
      <c r="C237" t="s">
        <v>34</v>
      </c>
      <c r="D237" s="1">
        <v>46146.625</v>
      </c>
      <c r="E237">
        <v>7360</v>
      </c>
      <c r="F237" t="s">
        <v>36</v>
      </c>
      <c r="G237">
        <v>140.78</v>
      </c>
      <c r="H237">
        <v>171.72</v>
      </c>
      <c r="I237">
        <v>125.4</v>
      </c>
      <c r="J237">
        <v>150.01</v>
      </c>
      <c r="K237">
        <v>4</v>
      </c>
      <c r="L237">
        <v>11</v>
      </c>
      <c r="M237">
        <v>158.69999999999999</v>
      </c>
      <c r="N237">
        <v>6</v>
      </c>
      <c r="O237">
        <v>160.5</v>
      </c>
      <c r="P237">
        <v>0</v>
      </c>
      <c r="Q237">
        <v>0</v>
      </c>
      <c r="R237">
        <v>0</v>
      </c>
      <c r="S237">
        <v>0</v>
      </c>
      <c r="T237">
        <v>1.8765000000000001</v>
      </c>
      <c r="U237">
        <v>-0.98509999999999998</v>
      </c>
      <c r="V237">
        <v>5.0000000000000001E-4</v>
      </c>
      <c r="W237">
        <v>-0.37280000000000002</v>
      </c>
      <c r="X237">
        <v>1.4500000000000001E-2</v>
      </c>
      <c r="Y237">
        <v>-2E-3</v>
      </c>
      <c r="Z237">
        <v>15</v>
      </c>
      <c r="AA237">
        <v>158.30000000000001</v>
      </c>
      <c r="AB237">
        <v>15</v>
      </c>
      <c r="AC237">
        <v>160.30000000000001</v>
      </c>
      <c r="AD237">
        <v>0</v>
      </c>
      <c r="AE237">
        <v>0</v>
      </c>
      <c r="AF237">
        <v>146.97749999999999</v>
      </c>
      <c r="AG237">
        <v>4</v>
      </c>
      <c r="AH237">
        <v>0</v>
      </c>
      <c r="AJ237" s="4">
        <v>6175</v>
      </c>
      <c r="AK237">
        <v>0.05</v>
      </c>
      <c r="AL237">
        <v>-2.9999999999999997E-4</v>
      </c>
      <c r="AM237">
        <v>0.05</v>
      </c>
      <c r="AN237">
        <v>-2.9999999999999997E-4</v>
      </c>
      <c r="AO237">
        <v>0.1</v>
      </c>
      <c r="AP237">
        <v>-5.9999999999999995E-4</v>
      </c>
      <c r="AQ237">
        <v>0.15</v>
      </c>
      <c r="AR237">
        <v>-1.1000000000000001E-3</v>
      </c>
      <c r="AS237">
        <v>0.2</v>
      </c>
      <c r="AT237">
        <v>-1.5E-3</v>
      </c>
      <c r="AU237">
        <v>0.3</v>
      </c>
      <c r="AV237">
        <v>-2.5000000000000001E-3</v>
      </c>
      <c r="AW237">
        <v>0.5</v>
      </c>
      <c r="AX237">
        <v>-3.5000000000000001E-3</v>
      </c>
      <c r="AY237">
        <v>0.75</v>
      </c>
      <c r="AZ237">
        <v>-5.1000000000000004E-3</v>
      </c>
      <c r="BA237">
        <v>1.05</v>
      </c>
      <c r="BB237">
        <v>-6.7999999999999996E-3</v>
      </c>
      <c r="BC237">
        <v>1.25</v>
      </c>
      <c r="BD237">
        <v>-7.7999999999999996E-3</v>
      </c>
      <c r="BE237">
        <v>1.3</v>
      </c>
      <c r="BF237">
        <v>-8.3000000000000001E-3</v>
      </c>
      <c r="BG237">
        <v>5.7</v>
      </c>
      <c r="BH237">
        <v>-3.78E-2</v>
      </c>
    </row>
    <row r="238" spans="1:60" x14ac:dyDescent="0.35">
      <c r="A238" t="s">
        <v>34</v>
      </c>
      <c r="B238" s="1">
        <v>46146.65625</v>
      </c>
      <c r="C238" t="s">
        <v>34</v>
      </c>
      <c r="D238" s="1">
        <v>46146.625</v>
      </c>
      <c r="E238">
        <v>7365</v>
      </c>
      <c r="F238" t="s">
        <v>36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5</v>
      </c>
      <c r="M238">
        <v>161</v>
      </c>
      <c r="N238">
        <v>5</v>
      </c>
      <c r="O238">
        <v>168.1</v>
      </c>
      <c r="P238">
        <v>0</v>
      </c>
      <c r="Q238">
        <v>0</v>
      </c>
      <c r="R238">
        <v>0</v>
      </c>
      <c r="S238">
        <v>0</v>
      </c>
      <c r="T238">
        <v>2.0051999999999999</v>
      </c>
      <c r="U238">
        <v>-0.98180000000000001</v>
      </c>
      <c r="V238">
        <v>5.9999999999999995E-4</v>
      </c>
      <c r="W238">
        <v>-0.50290000000000001</v>
      </c>
      <c r="X238">
        <v>1.7399999999999999E-2</v>
      </c>
      <c r="Y238">
        <v>-2E-3</v>
      </c>
      <c r="Z238">
        <v>15</v>
      </c>
      <c r="AA238">
        <v>163.30000000000001</v>
      </c>
      <c r="AB238">
        <v>15</v>
      </c>
      <c r="AC238">
        <v>165.3</v>
      </c>
      <c r="AD238">
        <v>0</v>
      </c>
      <c r="AE238">
        <v>0</v>
      </c>
      <c r="AF238">
        <v>0</v>
      </c>
      <c r="AG238">
        <v>1</v>
      </c>
      <c r="AH238">
        <v>0</v>
      </c>
      <c r="AJ238" s="4">
        <v>6180</v>
      </c>
      <c r="AS238">
        <v>0.2</v>
      </c>
      <c r="AT238">
        <v>-1.5E-3</v>
      </c>
      <c r="BC238">
        <v>1.25</v>
      </c>
      <c r="BD238">
        <v>-7.7999999999999996E-3</v>
      </c>
      <c r="BE238">
        <v>1.35</v>
      </c>
      <c r="BF238">
        <v>-8.3999999999999995E-3</v>
      </c>
      <c r="BG238">
        <v>2.8</v>
      </c>
      <c r="BH238">
        <v>-1.77E-2</v>
      </c>
    </row>
    <row r="239" spans="1:60" x14ac:dyDescent="0.35">
      <c r="A239" t="s">
        <v>34</v>
      </c>
      <c r="B239" s="1">
        <v>46146.65625</v>
      </c>
      <c r="C239" t="s">
        <v>34</v>
      </c>
      <c r="D239" s="1">
        <v>46146.625</v>
      </c>
      <c r="E239">
        <v>7370</v>
      </c>
      <c r="F239" t="s">
        <v>36</v>
      </c>
      <c r="G239">
        <v>130.07</v>
      </c>
      <c r="H239">
        <v>130.07</v>
      </c>
      <c r="I239">
        <v>130.07</v>
      </c>
      <c r="J239">
        <v>130.07</v>
      </c>
      <c r="K239">
        <v>1</v>
      </c>
      <c r="L239">
        <v>4</v>
      </c>
      <c r="M239">
        <v>166.2</v>
      </c>
      <c r="N239">
        <v>4</v>
      </c>
      <c r="O239">
        <v>172.9</v>
      </c>
      <c r="P239">
        <v>0</v>
      </c>
      <c r="Q239">
        <v>0</v>
      </c>
      <c r="R239">
        <v>0</v>
      </c>
      <c r="S239">
        <v>0</v>
      </c>
      <c r="T239">
        <v>2.0566</v>
      </c>
      <c r="U239">
        <v>-0.98219999999999996</v>
      </c>
      <c r="V239">
        <v>5.9999999999999995E-4</v>
      </c>
      <c r="W239">
        <v>-0.50290000000000001</v>
      </c>
      <c r="X239">
        <v>1.7000000000000001E-2</v>
      </c>
      <c r="Y239">
        <v>-2E-3</v>
      </c>
      <c r="Z239">
        <v>15</v>
      </c>
      <c r="AA239">
        <v>168.3</v>
      </c>
      <c r="AB239">
        <v>15</v>
      </c>
      <c r="AC239">
        <v>170.3</v>
      </c>
      <c r="AD239">
        <v>0</v>
      </c>
      <c r="AE239">
        <v>0</v>
      </c>
      <c r="AF239">
        <v>130.07</v>
      </c>
      <c r="AG239">
        <v>9</v>
      </c>
      <c r="AH239">
        <v>0</v>
      </c>
      <c r="AJ239" s="4">
        <v>6185</v>
      </c>
      <c r="BC239">
        <v>1.3</v>
      </c>
      <c r="BD239">
        <v>-8.0999999999999996E-3</v>
      </c>
      <c r="BE239">
        <v>1.35</v>
      </c>
      <c r="BF239">
        <v>-8.5000000000000006E-3</v>
      </c>
      <c r="BG239">
        <v>2.6500000000000004</v>
      </c>
      <c r="BH239">
        <v>-1.66E-2</v>
      </c>
    </row>
    <row r="240" spans="1:60" x14ac:dyDescent="0.35">
      <c r="A240" t="s">
        <v>34</v>
      </c>
      <c r="B240" s="1">
        <v>46146.65625</v>
      </c>
      <c r="C240" t="s">
        <v>34</v>
      </c>
      <c r="D240" s="1">
        <v>46146.625</v>
      </c>
      <c r="E240">
        <v>7375</v>
      </c>
      <c r="F240" t="s">
        <v>36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4</v>
      </c>
      <c r="M240">
        <v>171.2</v>
      </c>
      <c r="N240">
        <v>4</v>
      </c>
      <c r="O240">
        <v>177.9</v>
      </c>
      <c r="P240">
        <v>0</v>
      </c>
      <c r="Q240">
        <v>0</v>
      </c>
      <c r="R240">
        <v>0</v>
      </c>
      <c r="S240">
        <v>0</v>
      </c>
      <c r="T240">
        <v>2.1078000000000001</v>
      </c>
      <c r="U240">
        <v>-0.98250000000000004</v>
      </c>
      <c r="V240">
        <v>5.0000000000000001E-4</v>
      </c>
      <c r="W240">
        <v>-0.50290000000000001</v>
      </c>
      <c r="X240">
        <v>1.67E-2</v>
      </c>
      <c r="Y240">
        <v>-2E-3</v>
      </c>
      <c r="Z240">
        <v>15</v>
      </c>
      <c r="AA240">
        <v>173.3</v>
      </c>
      <c r="AB240">
        <v>15</v>
      </c>
      <c r="AC240">
        <v>175.3</v>
      </c>
      <c r="AD240">
        <v>0</v>
      </c>
      <c r="AE240">
        <v>0</v>
      </c>
      <c r="AF240">
        <v>0</v>
      </c>
      <c r="AG240">
        <v>10</v>
      </c>
      <c r="AH240">
        <v>0</v>
      </c>
      <c r="AJ240" s="4">
        <v>6190</v>
      </c>
      <c r="AS240">
        <v>0.2</v>
      </c>
      <c r="AT240">
        <v>-1.5E-3</v>
      </c>
      <c r="BC240">
        <v>1.3</v>
      </c>
      <c r="BD240">
        <v>-8.0999999999999996E-3</v>
      </c>
      <c r="BE240">
        <v>1.35</v>
      </c>
      <c r="BF240">
        <v>-8.6E-3</v>
      </c>
      <c r="BG240">
        <v>2.85</v>
      </c>
      <c r="BH240">
        <v>-1.8200000000000001E-2</v>
      </c>
    </row>
    <row r="241" spans="1:60" x14ac:dyDescent="0.35">
      <c r="A241" t="s">
        <v>34</v>
      </c>
      <c r="B241" s="1">
        <v>46146.65625</v>
      </c>
      <c r="C241" t="s">
        <v>34</v>
      </c>
      <c r="D241" s="1">
        <v>46146.625</v>
      </c>
      <c r="E241">
        <v>7380</v>
      </c>
      <c r="F241" t="s">
        <v>36</v>
      </c>
      <c r="G241">
        <v>180</v>
      </c>
      <c r="H241">
        <v>180</v>
      </c>
      <c r="I241">
        <v>177</v>
      </c>
      <c r="J241">
        <v>177</v>
      </c>
      <c r="K241">
        <v>4</v>
      </c>
      <c r="L241">
        <v>4</v>
      </c>
      <c r="M241">
        <v>176</v>
      </c>
      <c r="N241">
        <v>4</v>
      </c>
      <c r="O241">
        <v>183.1</v>
      </c>
      <c r="P241">
        <v>0</v>
      </c>
      <c r="Q241">
        <v>0</v>
      </c>
      <c r="R241">
        <v>0</v>
      </c>
      <c r="S241">
        <v>0</v>
      </c>
      <c r="T241">
        <v>2.1589</v>
      </c>
      <c r="U241">
        <v>-0.9829</v>
      </c>
      <c r="V241">
        <v>5.0000000000000001E-4</v>
      </c>
      <c r="W241">
        <v>-0.50290000000000001</v>
      </c>
      <c r="X241">
        <v>1.6400000000000001E-2</v>
      </c>
      <c r="Y241">
        <v>-2E-3</v>
      </c>
      <c r="Z241">
        <v>15</v>
      </c>
      <c r="AA241">
        <v>178.3</v>
      </c>
      <c r="AB241">
        <v>15</v>
      </c>
      <c r="AC241">
        <v>180.3</v>
      </c>
      <c r="AD241">
        <v>0</v>
      </c>
      <c r="AE241">
        <v>0</v>
      </c>
      <c r="AF241">
        <v>179.25</v>
      </c>
      <c r="AG241">
        <v>72</v>
      </c>
      <c r="AH241">
        <v>0</v>
      </c>
      <c r="AJ241" s="4">
        <v>6195</v>
      </c>
      <c r="BC241">
        <v>1.3</v>
      </c>
      <c r="BD241">
        <v>-8.0999999999999996E-3</v>
      </c>
      <c r="BE241">
        <v>1.4</v>
      </c>
      <c r="BF241">
        <v>-8.6999999999999994E-3</v>
      </c>
      <c r="BG241">
        <v>2.7</v>
      </c>
      <c r="BH241">
        <v>-1.6799999999999999E-2</v>
      </c>
    </row>
    <row r="242" spans="1:60" x14ac:dyDescent="0.35">
      <c r="A242" t="s">
        <v>34</v>
      </c>
      <c r="B242" s="1">
        <v>46146.65625</v>
      </c>
      <c r="C242" t="s">
        <v>34</v>
      </c>
      <c r="D242" s="1">
        <v>46146.625</v>
      </c>
      <c r="E242">
        <v>7385</v>
      </c>
      <c r="F242" t="s">
        <v>36</v>
      </c>
      <c r="G242">
        <v>151.37</v>
      </c>
      <c r="H242">
        <v>152.36000000000001</v>
      </c>
      <c r="I242">
        <v>150.08000000000001</v>
      </c>
      <c r="J242">
        <v>150.08000000000001</v>
      </c>
      <c r="K242">
        <v>16</v>
      </c>
      <c r="L242">
        <v>4</v>
      </c>
      <c r="M242">
        <v>181.2</v>
      </c>
      <c r="N242">
        <v>4</v>
      </c>
      <c r="O242">
        <v>187.9</v>
      </c>
      <c r="P242">
        <v>0</v>
      </c>
      <c r="Q242">
        <v>0</v>
      </c>
      <c r="R242">
        <v>0</v>
      </c>
      <c r="S242">
        <v>0</v>
      </c>
      <c r="T242">
        <v>2.2097000000000002</v>
      </c>
      <c r="U242">
        <v>-0.98319999999999996</v>
      </c>
      <c r="V242">
        <v>5.0000000000000001E-4</v>
      </c>
      <c r="W242">
        <v>-0.50290000000000001</v>
      </c>
      <c r="X242">
        <v>1.61E-2</v>
      </c>
      <c r="Y242">
        <v>-2E-3</v>
      </c>
      <c r="Z242">
        <v>15</v>
      </c>
      <c r="AA242">
        <v>183.3</v>
      </c>
      <c r="AB242">
        <v>15</v>
      </c>
      <c r="AC242">
        <v>185.3</v>
      </c>
      <c r="AD242">
        <v>0</v>
      </c>
      <c r="AE242">
        <v>0</v>
      </c>
      <c r="AF242">
        <v>151.5213</v>
      </c>
      <c r="AG242">
        <v>68</v>
      </c>
      <c r="AH242">
        <v>0</v>
      </c>
      <c r="AJ242" s="4">
        <v>6200</v>
      </c>
      <c r="AK242">
        <v>0.05</v>
      </c>
      <c r="AL242">
        <v>-2.9999999999999997E-4</v>
      </c>
      <c r="AM242">
        <v>0.05</v>
      </c>
      <c r="AN242">
        <v>-2.9999999999999997E-4</v>
      </c>
      <c r="AO242">
        <v>0.1</v>
      </c>
      <c r="AP242">
        <v>-5.9999999999999995E-4</v>
      </c>
      <c r="AQ242">
        <v>0.15</v>
      </c>
      <c r="AR242">
        <v>-1.1000000000000001E-3</v>
      </c>
      <c r="AS242">
        <v>0.2</v>
      </c>
      <c r="AT242">
        <v>-1.5E-3</v>
      </c>
      <c r="AU242">
        <v>0.3</v>
      </c>
      <c r="AV242">
        <v>-2.5000000000000001E-3</v>
      </c>
      <c r="AW242">
        <v>0.55000000000000004</v>
      </c>
      <c r="AX242">
        <v>-3.8999999999999998E-3</v>
      </c>
      <c r="AY242">
        <v>0.75</v>
      </c>
      <c r="AZ242">
        <v>-5.4000000000000003E-3</v>
      </c>
      <c r="BA242">
        <v>1.1000000000000001</v>
      </c>
      <c r="BB242">
        <v>-7.1999999999999998E-3</v>
      </c>
      <c r="BC242">
        <v>1.3</v>
      </c>
      <c r="BD242">
        <v>-8.2000000000000007E-3</v>
      </c>
      <c r="BE242">
        <v>1.4</v>
      </c>
      <c r="BF242">
        <v>-8.8999999999999999E-3</v>
      </c>
      <c r="BG242">
        <v>5.9500000000000011</v>
      </c>
      <c r="BH242">
        <v>-3.9899999999999998E-2</v>
      </c>
    </row>
    <row r="243" spans="1:60" x14ac:dyDescent="0.35">
      <c r="A243" t="s">
        <v>34</v>
      </c>
      <c r="B243" s="1">
        <v>46146.65625</v>
      </c>
      <c r="C243" t="s">
        <v>34</v>
      </c>
      <c r="D243" s="1">
        <v>46146.625</v>
      </c>
      <c r="E243">
        <v>7390</v>
      </c>
      <c r="F243" t="s">
        <v>36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4</v>
      </c>
      <c r="M243">
        <v>186.2</v>
      </c>
      <c r="N243">
        <v>4</v>
      </c>
      <c r="O243">
        <v>192.9</v>
      </c>
      <c r="P243">
        <v>0</v>
      </c>
      <c r="Q243">
        <v>0</v>
      </c>
      <c r="R243">
        <v>0</v>
      </c>
      <c r="S243">
        <v>0</v>
      </c>
      <c r="T243">
        <v>2.2603</v>
      </c>
      <c r="U243">
        <v>-0.98360000000000003</v>
      </c>
      <c r="V243">
        <v>5.0000000000000001E-4</v>
      </c>
      <c r="W243">
        <v>-0.50290000000000001</v>
      </c>
      <c r="X243">
        <v>1.5900000000000001E-2</v>
      </c>
      <c r="Y243">
        <v>-2E-3</v>
      </c>
      <c r="Z243">
        <v>15</v>
      </c>
      <c r="AA243">
        <v>188.3</v>
      </c>
      <c r="AB243">
        <v>15</v>
      </c>
      <c r="AC243">
        <v>190.3</v>
      </c>
      <c r="AD243">
        <v>0</v>
      </c>
      <c r="AE243">
        <v>0</v>
      </c>
      <c r="AF243">
        <v>0</v>
      </c>
      <c r="AG243">
        <v>0</v>
      </c>
      <c r="AH243">
        <v>0</v>
      </c>
      <c r="AJ243" s="4">
        <v>6205</v>
      </c>
      <c r="BC243">
        <v>1.35</v>
      </c>
      <c r="BD243">
        <v>-8.5000000000000006E-3</v>
      </c>
      <c r="BE243">
        <v>1.4</v>
      </c>
      <c r="BF243">
        <v>-8.8999999999999999E-3</v>
      </c>
      <c r="BG243">
        <v>2.75</v>
      </c>
      <c r="BH243">
        <v>-1.7399999999999999E-2</v>
      </c>
    </row>
    <row r="244" spans="1:60" x14ac:dyDescent="0.35">
      <c r="A244" t="s">
        <v>34</v>
      </c>
      <c r="B244" s="1">
        <v>46146.65625</v>
      </c>
      <c r="C244" t="s">
        <v>34</v>
      </c>
      <c r="D244" s="1">
        <v>46146.625</v>
      </c>
      <c r="E244">
        <v>7395</v>
      </c>
      <c r="F244" t="s">
        <v>36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4</v>
      </c>
      <c r="M244">
        <v>191</v>
      </c>
      <c r="N244">
        <v>4</v>
      </c>
      <c r="O244">
        <v>198.1</v>
      </c>
      <c r="P244">
        <v>0</v>
      </c>
      <c r="Q244">
        <v>0</v>
      </c>
      <c r="R244">
        <v>0</v>
      </c>
      <c r="S244">
        <v>0</v>
      </c>
      <c r="T244">
        <v>2.3107000000000002</v>
      </c>
      <c r="U244">
        <v>-0.9839</v>
      </c>
      <c r="V244">
        <v>5.0000000000000001E-4</v>
      </c>
      <c r="W244">
        <v>-0.50290000000000001</v>
      </c>
      <c r="X244">
        <v>1.5599999999999999E-2</v>
      </c>
      <c r="Y244">
        <v>-2E-3</v>
      </c>
      <c r="Z244">
        <v>15</v>
      </c>
      <c r="AA244">
        <v>193.3</v>
      </c>
      <c r="AB244">
        <v>15</v>
      </c>
      <c r="AC244">
        <v>195.3</v>
      </c>
      <c r="AD244">
        <v>0</v>
      </c>
      <c r="AE244">
        <v>0</v>
      </c>
      <c r="AF244">
        <v>0</v>
      </c>
      <c r="AG244">
        <v>1</v>
      </c>
      <c r="AH244">
        <v>0</v>
      </c>
      <c r="AJ244" s="4">
        <v>6210</v>
      </c>
      <c r="AS244">
        <v>0.2</v>
      </c>
      <c r="AT244">
        <v>-1.5E-3</v>
      </c>
      <c r="BC244">
        <v>1.35</v>
      </c>
      <c r="BD244">
        <v>-8.5000000000000006E-3</v>
      </c>
      <c r="BE244">
        <v>1.4</v>
      </c>
      <c r="BF244">
        <v>-9.1000000000000004E-3</v>
      </c>
      <c r="BG244">
        <v>2.95</v>
      </c>
      <c r="BH244">
        <v>-1.9099999999999999E-2</v>
      </c>
    </row>
    <row r="245" spans="1:60" x14ac:dyDescent="0.35">
      <c r="A245" t="s">
        <v>34</v>
      </c>
      <c r="B245" s="1">
        <v>46146.65625</v>
      </c>
      <c r="C245" t="s">
        <v>34</v>
      </c>
      <c r="D245" s="1">
        <v>46146.625</v>
      </c>
      <c r="E245">
        <v>7400</v>
      </c>
      <c r="F245" t="s">
        <v>36</v>
      </c>
      <c r="G245">
        <v>157.97</v>
      </c>
      <c r="H245">
        <v>209.44</v>
      </c>
      <c r="I245">
        <v>157.97</v>
      </c>
      <c r="J245">
        <v>209.44</v>
      </c>
      <c r="K245">
        <v>20</v>
      </c>
      <c r="L245">
        <v>15</v>
      </c>
      <c r="M245">
        <v>195.5</v>
      </c>
      <c r="N245">
        <v>4</v>
      </c>
      <c r="O245">
        <v>203.2</v>
      </c>
      <c r="P245">
        <v>0</v>
      </c>
      <c r="Q245">
        <v>0</v>
      </c>
      <c r="R245">
        <v>0</v>
      </c>
      <c r="S245">
        <v>0</v>
      </c>
      <c r="T245">
        <v>2.2063000000000001</v>
      </c>
      <c r="U245">
        <v>-0.98929999999999996</v>
      </c>
      <c r="V245">
        <v>2.9999999999999997E-4</v>
      </c>
      <c r="W245">
        <v>-0.3029</v>
      </c>
      <c r="X245">
        <v>1.09E-2</v>
      </c>
      <c r="Y245">
        <v>-2.0999999999999999E-3</v>
      </c>
      <c r="Z245">
        <v>6</v>
      </c>
      <c r="AA245">
        <v>192.3</v>
      </c>
      <c r="AB245">
        <v>6</v>
      </c>
      <c r="AC245">
        <v>202.8</v>
      </c>
      <c r="AD245">
        <v>0</v>
      </c>
      <c r="AE245">
        <v>0</v>
      </c>
      <c r="AF245">
        <v>189.92400000000001</v>
      </c>
      <c r="AG245">
        <v>20</v>
      </c>
      <c r="AH245">
        <v>0</v>
      </c>
      <c r="AJ245" s="4">
        <v>6215</v>
      </c>
      <c r="BC245">
        <v>1.35</v>
      </c>
      <c r="BD245">
        <v>-8.6E-3</v>
      </c>
      <c r="BE245">
        <v>1.45</v>
      </c>
      <c r="BF245">
        <v>-9.1999999999999998E-3</v>
      </c>
      <c r="BG245">
        <v>2.8</v>
      </c>
      <c r="BH245">
        <v>-1.78E-2</v>
      </c>
    </row>
    <row r="246" spans="1:60" x14ac:dyDescent="0.35">
      <c r="A246" t="s">
        <v>34</v>
      </c>
      <c r="B246" s="1">
        <v>46146.65625</v>
      </c>
      <c r="C246" t="s">
        <v>34</v>
      </c>
      <c r="D246" s="1">
        <v>46146.625</v>
      </c>
      <c r="E246">
        <v>7405</v>
      </c>
      <c r="F246" t="s">
        <v>36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4</v>
      </c>
      <c r="M246">
        <v>197.3</v>
      </c>
      <c r="N246">
        <v>4</v>
      </c>
      <c r="O246">
        <v>211.4</v>
      </c>
      <c r="P246">
        <v>0</v>
      </c>
      <c r="Q246">
        <v>0</v>
      </c>
      <c r="R246">
        <v>0</v>
      </c>
      <c r="S246">
        <v>0</v>
      </c>
      <c r="T246">
        <v>2.2538999999999998</v>
      </c>
      <c r="U246">
        <v>-0.98950000000000005</v>
      </c>
      <c r="V246">
        <v>2.9999999999999997E-4</v>
      </c>
      <c r="W246">
        <v>-0.3029</v>
      </c>
      <c r="X246">
        <v>1.0800000000000001E-2</v>
      </c>
      <c r="Y246">
        <v>-2.0999999999999999E-3</v>
      </c>
      <c r="Z246">
        <v>6</v>
      </c>
      <c r="AA246">
        <v>197.3</v>
      </c>
      <c r="AB246">
        <v>6</v>
      </c>
      <c r="AC246">
        <v>210.8</v>
      </c>
      <c r="AD246">
        <v>0</v>
      </c>
      <c r="AE246">
        <v>0</v>
      </c>
      <c r="AF246">
        <v>0</v>
      </c>
      <c r="AG246">
        <v>0</v>
      </c>
      <c r="AH246">
        <v>0</v>
      </c>
      <c r="AJ246" s="4">
        <v>6220</v>
      </c>
      <c r="AS246">
        <v>0.2</v>
      </c>
      <c r="AT246">
        <v>-1.6000000000000001E-3</v>
      </c>
      <c r="BC246">
        <v>1.35</v>
      </c>
      <c r="BD246">
        <v>-8.6E-3</v>
      </c>
      <c r="BE246">
        <v>1.45</v>
      </c>
      <c r="BF246">
        <v>-9.2999999999999992E-3</v>
      </c>
      <c r="BG246">
        <v>3</v>
      </c>
      <c r="BH246">
        <v>-1.95E-2</v>
      </c>
    </row>
    <row r="247" spans="1:60" x14ac:dyDescent="0.35">
      <c r="A247" t="s">
        <v>34</v>
      </c>
      <c r="B247" s="1">
        <v>46146.65625</v>
      </c>
      <c r="C247" t="s">
        <v>34</v>
      </c>
      <c r="D247" s="1">
        <v>46146.625</v>
      </c>
      <c r="E247">
        <v>7410</v>
      </c>
      <c r="F247" t="s">
        <v>36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4</v>
      </c>
      <c r="M247">
        <v>203.1</v>
      </c>
      <c r="N247">
        <v>4</v>
      </c>
      <c r="O247">
        <v>215.9</v>
      </c>
      <c r="P247">
        <v>0</v>
      </c>
      <c r="Q247">
        <v>0</v>
      </c>
      <c r="R247">
        <v>0</v>
      </c>
      <c r="S247">
        <v>0</v>
      </c>
      <c r="T247">
        <v>2.4258000000000002</v>
      </c>
      <c r="U247">
        <v>-0.9859</v>
      </c>
      <c r="V247">
        <v>4.0000000000000002E-4</v>
      </c>
      <c r="W247">
        <v>-0.45290000000000002</v>
      </c>
      <c r="X247">
        <v>1.38E-2</v>
      </c>
      <c r="Y247">
        <v>-2E-3</v>
      </c>
      <c r="Z247">
        <v>6</v>
      </c>
      <c r="AA247">
        <v>202.3</v>
      </c>
      <c r="AB247">
        <v>6</v>
      </c>
      <c r="AC247">
        <v>215.8</v>
      </c>
      <c r="AD247">
        <v>0</v>
      </c>
      <c r="AE247">
        <v>0</v>
      </c>
      <c r="AF247">
        <v>0</v>
      </c>
      <c r="AG247">
        <v>0</v>
      </c>
      <c r="AH247">
        <v>0</v>
      </c>
      <c r="AJ247" s="4">
        <v>6225</v>
      </c>
      <c r="AK247">
        <v>0.05</v>
      </c>
      <c r="AL247">
        <v>-2.9999999999999997E-4</v>
      </c>
      <c r="AM247">
        <v>0.05</v>
      </c>
      <c r="AN247">
        <v>-2.9999999999999997E-4</v>
      </c>
      <c r="AO247">
        <v>0.1</v>
      </c>
      <c r="AP247">
        <v>-5.9999999999999995E-4</v>
      </c>
      <c r="AQ247">
        <v>0.15</v>
      </c>
      <c r="AR247">
        <v>-1.1000000000000001E-3</v>
      </c>
      <c r="AS247">
        <v>0.2</v>
      </c>
      <c r="AT247">
        <v>-1.6000000000000001E-3</v>
      </c>
      <c r="AU247">
        <v>0.35</v>
      </c>
      <c r="AV247">
        <v>-2.8E-3</v>
      </c>
      <c r="AW247">
        <v>0.6</v>
      </c>
      <c r="AX247">
        <v>-4.3E-3</v>
      </c>
      <c r="AY247">
        <v>0.8</v>
      </c>
      <c r="AZ247">
        <v>-5.7999999999999996E-3</v>
      </c>
      <c r="BA247">
        <v>1.1499999999999999</v>
      </c>
      <c r="BB247">
        <v>-7.7000000000000002E-3</v>
      </c>
      <c r="BC247">
        <v>1.35</v>
      </c>
      <c r="BD247">
        <v>-8.8000000000000005E-3</v>
      </c>
      <c r="BE247">
        <v>1.45</v>
      </c>
      <c r="BF247">
        <v>-9.4000000000000004E-3</v>
      </c>
      <c r="BG247">
        <v>6.25</v>
      </c>
      <c r="BH247">
        <v>-4.2700000000000002E-2</v>
      </c>
    </row>
    <row r="248" spans="1:60" x14ac:dyDescent="0.35">
      <c r="A248" t="s">
        <v>34</v>
      </c>
      <c r="B248" s="1">
        <v>46146.65625</v>
      </c>
      <c r="C248" t="s">
        <v>34</v>
      </c>
      <c r="D248" s="1">
        <v>46146.625</v>
      </c>
      <c r="E248">
        <v>7415</v>
      </c>
      <c r="F248" t="s">
        <v>36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4</v>
      </c>
      <c r="M248">
        <v>207.3</v>
      </c>
      <c r="N248">
        <v>4</v>
      </c>
      <c r="O248">
        <v>220.8</v>
      </c>
      <c r="P248">
        <v>0</v>
      </c>
      <c r="Q248">
        <v>0</v>
      </c>
      <c r="R248">
        <v>0</v>
      </c>
      <c r="S248">
        <v>0</v>
      </c>
      <c r="T248">
        <v>1.5521</v>
      </c>
      <c r="U248">
        <v>-0.99980000000000002</v>
      </c>
      <c r="V248">
        <v>0</v>
      </c>
      <c r="W248">
        <v>-2.8999999999999998E-3</v>
      </c>
      <c r="X248">
        <v>2.9999999999999997E-4</v>
      </c>
      <c r="Y248">
        <v>-2.0999999999999999E-3</v>
      </c>
      <c r="Z248">
        <v>6</v>
      </c>
      <c r="AA248">
        <v>207.3</v>
      </c>
      <c r="AB248">
        <v>6</v>
      </c>
      <c r="AC248">
        <v>220.8</v>
      </c>
      <c r="AD248">
        <v>0</v>
      </c>
      <c r="AE248">
        <v>0</v>
      </c>
      <c r="AF248">
        <v>0</v>
      </c>
      <c r="AG248">
        <v>0</v>
      </c>
      <c r="AH248">
        <v>0</v>
      </c>
      <c r="AJ248" s="4">
        <v>6230</v>
      </c>
      <c r="AK248">
        <v>0.05</v>
      </c>
      <c r="AL248">
        <v>-2.9999999999999997E-4</v>
      </c>
      <c r="AS248">
        <v>0.2</v>
      </c>
      <c r="AT248">
        <v>-1.6000000000000001E-3</v>
      </c>
      <c r="BC248">
        <v>1.4</v>
      </c>
      <c r="BD248">
        <v>-8.9999999999999993E-3</v>
      </c>
      <c r="BE248">
        <v>1.45</v>
      </c>
      <c r="BF248">
        <v>-9.4999999999999998E-3</v>
      </c>
      <c r="BG248">
        <v>3.0999999999999996</v>
      </c>
      <c r="BH248">
        <v>-2.0400000000000001E-2</v>
      </c>
    </row>
    <row r="249" spans="1:60" x14ac:dyDescent="0.35">
      <c r="A249" t="s">
        <v>34</v>
      </c>
      <c r="B249" s="1">
        <v>46146.65625</v>
      </c>
      <c r="C249" t="s">
        <v>34</v>
      </c>
      <c r="D249" s="1">
        <v>46146.625</v>
      </c>
      <c r="E249">
        <v>7420</v>
      </c>
      <c r="F249" t="s">
        <v>36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4</v>
      </c>
      <c r="M249">
        <v>209.1</v>
      </c>
      <c r="N249">
        <v>4</v>
      </c>
      <c r="O249">
        <v>228.8</v>
      </c>
      <c r="P249">
        <v>0</v>
      </c>
      <c r="Q249">
        <v>0</v>
      </c>
      <c r="R249">
        <v>0</v>
      </c>
      <c r="S249">
        <v>0</v>
      </c>
      <c r="T249">
        <v>4.5975999999999999</v>
      </c>
      <c r="U249">
        <v>-0.88570000000000004</v>
      </c>
      <c r="V249">
        <v>1.1000000000000001E-3</v>
      </c>
      <c r="W249">
        <v>0</v>
      </c>
      <c r="X249">
        <v>7.4800000000000005E-2</v>
      </c>
      <c r="Y249">
        <v>-1.8E-3</v>
      </c>
      <c r="Z249">
        <v>6</v>
      </c>
      <c r="AA249">
        <v>208.9</v>
      </c>
      <c r="AB249">
        <v>6</v>
      </c>
      <c r="AC249">
        <v>229.2</v>
      </c>
      <c r="AD249">
        <v>0</v>
      </c>
      <c r="AE249">
        <v>0</v>
      </c>
      <c r="AF249">
        <v>0</v>
      </c>
      <c r="AG249">
        <v>0</v>
      </c>
      <c r="AH249">
        <v>0</v>
      </c>
      <c r="AJ249" s="4">
        <v>6235</v>
      </c>
      <c r="BC249">
        <v>1.4</v>
      </c>
      <c r="BD249">
        <v>-8.9999999999999993E-3</v>
      </c>
      <c r="BE249">
        <v>1.5</v>
      </c>
      <c r="BF249">
        <v>-9.7000000000000003E-3</v>
      </c>
      <c r="BG249">
        <v>2.9</v>
      </c>
      <c r="BH249">
        <v>-1.8700000000000001E-2</v>
      </c>
    </row>
    <row r="250" spans="1:60" x14ac:dyDescent="0.35">
      <c r="A250" t="s">
        <v>34</v>
      </c>
      <c r="B250" s="1">
        <v>46146.65625</v>
      </c>
      <c r="C250" t="s">
        <v>34</v>
      </c>
      <c r="D250" s="1">
        <v>46146.625</v>
      </c>
      <c r="E250">
        <v>7425</v>
      </c>
      <c r="F250" t="s">
        <v>36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4</v>
      </c>
      <c r="M250">
        <v>213.8</v>
      </c>
      <c r="N250">
        <v>4</v>
      </c>
      <c r="O250">
        <v>233.9</v>
      </c>
      <c r="P250">
        <v>0</v>
      </c>
      <c r="Q250">
        <v>0</v>
      </c>
      <c r="R250">
        <v>0</v>
      </c>
      <c r="S250">
        <v>0</v>
      </c>
      <c r="T250">
        <v>4.6844999999999999</v>
      </c>
      <c r="U250">
        <v>-0.88649999999999995</v>
      </c>
      <c r="V250">
        <v>1.1000000000000001E-3</v>
      </c>
      <c r="W250">
        <v>0</v>
      </c>
      <c r="X250">
        <v>7.4399999999999994E-2</v>
      </c>
      <c r="Y250">
        <v>-1.8E-3</v>
      </c>
      <c r="Z250">
        <v>6</v>
      </c>
      <c r="AA250">
        <v>213.9</v>
      </c>
      <c r="AB250">
        <v>6</v>
      </c>
      <c r="AC250">
        <v>234.2</v>
      </c>
      <c r="AD250">
        <v>0</v>
      </c>
      <c r="AE250">
        <v>0</v>
      </c>
      <c r="AF250">
        <v>0</v>
      </c>
      <c r="AG250">
        <v>0</v>
      </c>
      <c r="AH250">
        <v>0</v>
      </c>
      <c r="AJ250" s="4">
        <v>6240</v>
      </c>
      <c r="AK250">
        <v>0.05</v>
      </c>
      <c r="AL250">
        <v>-4.0000000000000002E-4</v>
      </c>
      <c r="AS250">
        <v>0.2</v>
      </c>
      <c r="AT250">
        <v>-1.8E-3</v>
      </c>
      <c r="BC250">
        <v>1.4</v>
      </c>
      <c r="BD250">
        <v>-8.9999999999999993E-3</v>
      </c>
      <c r="BE250">
        <v>1.5</v>
      </c>
      <c r="BF250">
        <v>-9.7999999999999997E-3</v>
      </c>
      <c r="BG250">
        <v>3.15</v>
      </c>
      <c r="BH250">
        <v>-2.0999999999999998E-2</v>
      </c>
    </row>
    <row r="251" spans="1:60" x14ac:dyDescent="0.35">
      <c r="A251" t="s">
        <v>34</v>
      </c>
      <c r="B251" s="1">
        <v>46146.65625</v>
      </c>
      <c r="C251" t="s">
        <v>34</v>
      </c>
      <c r="D251" s="1">
        <v>46146.625</v>
      </c>
      <c r="E251">
        <v>7430</v>
      </c>
      <c r="F251" t="s">
        <v>36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4</v>
      </c>
      <c r="M251">
        <v>219.5</v>
      </c>
      <c r="N251">
        <v>4</v>
      </c>
      <c r="O251">
        <v>239.9</v>
      </c>
      <c r="P251">
        <v>0</v>
      </c>
      <c r="Q251">
        <v>0</v>
      </c>
      <c r="R251">
        <v>0</v>
      </c>
      <c r="S251">
        <v>0</v>
      </c>
      <c r="T251">
        <v>2.7582</v>
      </c>
      <c r="U251">
        <v>-0.98260000000000003</v>
      </c>
      <c r="V251">
        <v>4.0000000000000002E-4</v>
      </c>
      <c r="W251">
        <v>-0.65290000000000004</v>
      </c>
      <c r="X251">
        <v>1.66E-2</v>
      </c>
      <c r="Y251">
        <v>-2E-3</v>
      </c>
      <c r="Z251">
        <v>6</v>
      </c>
      <c r="AA251">
        <v>218.9</v>
      </c>
      <c r="AB251">
        <v>6</v>
      </c>
      <c r="AC251">
        <v>239.2</v>
      </c>
      <c r="AD251">
        <v>0</v>
      </c>
      <c r="AE251">
        <v>0</v>
      </c>
      <c r="AF251">
        <v>0</v>
      </c>
      <c r="AG251">
        <v>0</v>
      </c>
      <c r="AH251">
        <v>0</v>
      </c>
      <c r="AJ251" s="4">
        <v>6245</v>
      </c>
      <c r="BC251">
        <v>1.45</v>
      </c>
      <c r="BD251">
        <v>-9.4000000000000004E-3</v>
      </c>
      <c r="BE251">
        <v>1.5</v>
      </c>
      <c r="BF251">
        <v>-9.7000000000000003E-3</v>
      </c>
      <c r="BG251">
        <v>2.95</v>
      </c>
      <c r="BH251">
        <v>-1.9099999999999999E-2</v>
      </c>
    </row>
    <row r="252" spans="1:60" x14ac:dyDescent="0.35">
      <c r="A252" t="s">
        <v>34</v>
      </c>
      <c r="B252" s="1">
        <v>46146.65625</v>
      </c>
      <c r="C252" t="s">
        <v>34</v>
      </c>
      <c r="D252" s="1">
        <v>46146.625</v>
      </c>
      <c r="E252">
        <v>7435</v>
      </c>
      <c r="F252" t="s">
        <v>36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4</v>
      </c>
      <c r="M252">
        <v>223.8</v>
      </c>
      <c r="N252">
        <v>4</v>
      </c>
      <c r="O252">
        <v>243.9</v>
      </c>
      <c r="P252">
        <v>0</v>
      </c>
      <c r="Q252">
        <v>0</v>
      </c>
      <c r="R252">
        <v>0</v>
      </c>
      <c r="S252">
        <v>0</v>
      </c>
      <c r="T252">
        <v>4.8305999999999996</v>
      </c>
      <c r="U252">
        <v>-0.88929999999999998</v>
      </c>
      <c r="V252">
        <v>1E-3</v>
      </c>
      <c r="W252">
        <v>0</v>
      </c>
      <c r="X252">
        <v>7.3099999999999998E-2</v>
      </c>
      <c r="Y252">
        <v>-1.8E-3</v>
      </c>
      <c r="Z252">
        <v>6</v>
      </c>
      <c r="AA252">
        <v>223.9</v>
      </c>
      <c r="AB252">
        <v>6</v>
      </c>
      <c r="AC252">
        <v>244.2</v>
      </c>
      <c r="AD252">
        <v>0</v>
      </c>
      <c r="AE252">
        <v>0</v>
      </c>
      <c r="AF252">
        <v>0</v>
      </c>
      <c r="AG252">
        <v>0</v>
      </c>
      <c r="AH252">
        <v>0</v>
      </c>
      <c r="AJ252" s="4">
        <v>6250</v>
      </c>
      <c r="AK252">
        <v>0.05</v>
      </c>
      <c r="AL252">
        <v>-4.0000000000000002E-4</v>
      </c>
      <c r="AM252">
        <v>0.05</v>
      </c>
      <c r="AN252">
        <v>-4.0000000000000002E-4</v>
      </c>
      <c r="AO252">
        <v>0.1</v>
      </c>
      <c r="AP252">
        <v>-5.9999999999999995E-4</v>
      </c>
      <c r="AQ252">
        <v>0.15</v>
      </c>
      <c r="AR252">
        <v>-1.1000000000000001E-3</v>
      </c>
      <c r="AS252">
        <v>0.2</v>
      </c>
      <c r="AT252">
        <v>-1.8E-3</v>
      </c>
      <c r="AU252">
        <v>0.4</v>
      </c>
      <c r="AV252">
        <v>-3.0000000000000001E-3</v>
      </c>
      <c r="AW252">
        <v>0.6</v>
      </c>
      <c r="AX252">
        <v>-4.4000000000000003E-3</v>
      </c>
      <c r="AY252">
        <v>0.85</v>
      </c>
      <c r="AZ252">
        <v>-6.1999999999999998E-3</v>
      </c>
      <c r="BA252">
        <v>1.2</v>
      </c>
      <c r="BB252">
        <v>-8.0999999999999996E-3</v>
      </c>
      <c r="BC252">
        <v>1.45</v>
      </c>
      <c r="BD252">
        <v>-9.4000000000000004E-3</v>
      </c>
      <c r="BE252">
        <v>1.5</v>
      </c>
      <c r="BF252">
        <v>-9.9000000000000008E-3</v>
      </c>
      <c r="BG252">
        <v>6.55</v>
      </c>
      <c r="BH252">
        <v>-4.53E-2</v>
      </c>
    </row>
    <row r="253" spans="1:60" x14ac:dyDescent="0.35">
      <c r="A253" t="s">
        <v>34</v>
      </c>
      <c r="B253" s="1">
        <v>46146.65625</v>
      </c>
      <c r="C253" t="s">
        <v>34</v>
      </c>
      <c r="D253" s="1">
        <v>46146.625</v>
      </c>
      <c r="E253">
        <v>7440</v>
      </c>
      <c r="F253" t="s">
        <v>36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4</v>
      </c>
      <c r="M253">
        <v>229.7</v>
      </c>
      <c r="N253">
        <v>4</v>
      </c>
      <c r="O253">
        <v>250</v>
      </c>
      <c r="P253">
        <v>0</v>
      </c>
      <c r="Q253">
        <v>0</v>
      </c>
      <c r="R253">
        <v>0</v>
      </c>
      <c r="S253">
        <v>0</v>
      </c>
      <c r="T253">
        <v>2.9466000000000001</v>
      </c>
      <c r="U253">
        <v>-0.98029999999999995</v>
      </c>
      <c r="V253">
        <v>4.0000000000000002E-4</v>
      </c>
      <c r="W253">
        <v>-0.80289999999999995</v>
      </c>
      <c r="X253">
        <v>1.84E-2</v>
      </c>
      <c r="Y253">
        <v>-2E-3</v>
      </c>
      <c r="Z253">
        <v>6</v>
      </c>
      <c r="AA253">
        <v>228.9</v>
      </c>
      <c r="AB253">
        <v>6</v>
      </c>
      <c r="AC253">
        <v>249.2</v>
      </c>
      <c r="AD253">
        <v>0</v>
      </c>
      <c r="AE253">
        <v>0</v>
      </c>
      <c r="AF253">
        <v>0</v>
      </c>
      <c r="AG253">
        <v>0</v>
      </c>
      <c r="AH253">
        <v>0</v>
      </c>
      <c r="AJ253" s="4">
        <v>6255</v>
      </c>
      <c r="BC253">
        <v>1.45</v>
      </c>
      <c r="BD253">
        <v>-9.4000000000000004E-3</v>
      </c>
      <c r="BE253">
        <v>1.55</v>
      </c>
      <c r="BF253">
        <v>-1.01E-2</v>
      </c>
      <c r="BG253">
        <v>3</v>
      </c>
      <c r="BH253">
        <v>-1.95E-2</v>
      </c>
    </row>
    <row r="254" spans="1:60" x14ac:dyDescent="0.35">
      <c r="A254" t="s">
        <v>34</v>
      </c>
      <c r="B254" s="1">
        <v>46146.65625</v>
      </c>
      <c r="C254" t="s">
        <v>34</v>
      </c>
      <c r="D254" s="1">
        <v>46146.625</v>
      </c>
      <c r="E254">
        <v>7445</v>
      </c>
      <c r="F254" t="s">
        <v>36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4</v>
      </c>
      <c r="M254">
        <v>234.5</v>
      </c>
      <c r="N254">
        <v>4</v>
      </c>
      <c r="O254">
        <v>255.2</v>
      </c>
      <c r="P254">
        <v>0</v>
      </c>
      <c r="Q254">
        <v>0</v>
      </c>
      <c r="R254">
        <v>0</v>
      </c>
      <c r="S254">
        <v>0</v>
      </c>
      <c r="T254">
        <v>2.9980000000000002</v>
      </c>
      <c r="U254">
        <v>-0.98060000000000003</v>
      </c>
      <c r="V254">
        <v>4.0000000000000002E-4</v>
      </c>
      <c r="W254">
        <v>-0.80289999999999995</v>
      </c>
      <c r="X254">
        <v>1.8200000000000001E-2</v>
      </c>
      <c r="Y254">
        <v>-2E-3</v>
      </c>
      <c r="Z254">
        <v>6</v>
      </c>
      <c r="AA254">
        <v>233.9</v>
      </c>
      <c r="AB254">
        <v>6</v>
      </c>
      <c r="AC254">
        <v>254.2</v>
      </c>
      <c r="AD254">
        <v>0</v>
      </c>
      <c r="AE254">
        <v>0</v>
      </c>
      <c r="AF254">
        <v>0</v>
      </c>
      <c r="AG254">
        <v>0</v>
      </c>
      <c r="AH254">
        <v>0</v>
      </c>
      <c r="AJ254" s="4">
        <v>6260</v>
      </c>
      <c r="AK254">
        <v>0.05</v>
      </c>
      <c r="AL254">
        <v>-4.0000000000000002E-4</v>
      </c>
      <c r="AS254">
        <v>0.25</v>
      </c>
      <c r="AT254">
        <v>-1.8E-3</v>
      </c>
      <c r="BC254">
        <v>1.45</v>
      </c>
      <c r="BD254">
        <v>-9.4999999999999998E-3</v>
      </c>
      <c r="BE254">
        <v>1.55</v>
      </c>
      <c r="BF254">
        <v>-1.03E-2</v>
      </c>
      <c r="BG254">
        <v>3.3</v>
      </c>
      <c r="BH254">
        <v>-2.1999999999999999E-2</v>
      </c>
    </row>
    <row r="255" spans="1:60" x14ac:dyDescent="0.35">
      <c r="A255" t="s">
        <v>34</v>
      </c>
      <c r="B255" s="1">
        <v>46146.65625</v>
      </c>
      <c r="C255" t="s">
        <v>34</v>
      </c>
      <c r="D255" s="1">
        <v>46146.625</v>
      </c>
      <c r="E255">
        <v>7450</v>
      </c>
      <c r="F255" t="s">
        <v>36</v>
      </c>
      <c r="G255">
        <v>227.49</v>
      </c>
      <c r="H255">
        <v>227.49</v>
      </c>
      <c r="I255">
        <v>227.49</v>
      </c>
      <c r="J255">
        <v>227.49</v>
      </c>
      <c r="K255">
        <v>1</v>
      </c>
      <c r="L255">
        <v>4</v>
      </c>
      <c r="M255">
        <v>238.8</v>
      </c>
      <c r="N255">
        <v>4</v>
      </c>
      <c r="O255">
        <v>258.89999999999998</v>
      </c>
      <c r="P255">
        <v>0</v>
      </c>
      <c r="Q255">
        <v>0</v>
      </c>
      <c r="R255">
        <v>0</v>
      </c>
      <c r="S255">
        <v>0</v>
      </c>
      <c r="T255">
        <v>5.0473999999999997</v>
      </c>
      <c r="U255">
        <v>-0.89319999999999999</v>
      </c>
      <c r="V255">
        <v>1E-3</v>
      </c>
      <c r="W255">
        <v>0</v>
      </c>
      <c r="X255">
        <v>7.1199999999999999E-2</v>
      </c>
      <c r="Y255">
        <v>-1.9E-3</v>
      </c>
      <c r="Z255">
        <v>5</v>
      </c>
      <c r="AA255">
        <v>238.9</v>
      </c>
      <c r="AB255">
        <v>5</v>
      </c>
      <c r="AC255">
        <v>259.2</v>
      </c>
      <c r="AD255">
        <v>0</v>
      </c>
      <c r="AE255">
        <v>0</v>
      </c>
      <c r="AF255">
        <v>227.49</v>
      </c>
      <c r="AG255">
        <v>2</v>
      </c>
      <c r="AH255">
        <v>0</v>
      </c>
      <c r="AJ255" s="4">
        <v>6265</v>
      </c>
      <c r="BC255">
        <v>1.5</v>
      </c>
      <c r="BD255">
        <v>-9.7999999999999997E-3</v>
      </c>
      <c r="BE255">
        <v>1.6</v>
      </c>
      <c r="BF255">
        <v>-1.0500000000000001E-2</v>
      </c>
      <c r="BG255">
        <v>3.1</v>
      </c>
      <c r="BH255">
        <v>-2.0299999999999999E-2</v>
      </c>
    </row>
    <row r="256" spans="1:60" x14ac:dyDescent="0.35">
      <c r="A256" t="s">
        <v>34</v>
      </c>
      <c r="B256" s="1">
        <v>46146.65625</v>
      </c>
      <c r="C256" t="s">
        <v>34</v>
      </c>
      <c r="D256" s="1">
        <v>46146.625</v>
      </c>
      <c r="E256">
        <v>7460</v>
      </c>
      <c r="F256" t="s">
        <v>36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4</v>
      </c>
      <c r="M256">
        <v>249.4</v>
      </c>
      <c r="N256">
        <v>4</v>
      </c>
      <c r="O256">
        <v>269.3</v>
      </c>
      <c r="P256">
        <v>0</v>
      </c>
      <c r="Q256">
        <v>0</v>
      </c>
      <c r="R256">
        <v>0</v>
      </c>
      <c r="S256">
        <v>0</v>
      </c>
      <c r="T256">
        <v>2.7677</v>
      </c>
      <c r="U256">
        <v>-0.99129999999999996</v>
      </c>
      <c r="V256">
        <v>2.0000000000000001E-4</v>
      </c>
      <c r="W256">
        <v>-0.3029</v>
      </c>
      <c r="X256">
        <v>9.1000000000000004E-3</v>
      </c>
      <c r="Y256">
        <v>-2.0999999999999999E-3</v>
      </c>
      <c r="Z256">
        <v>5</v>
      </c>
      <c r="AA256">
        <v>248.9</v>
      </c>
      <c r="AB256">
        <v>5</v>
      </c>
      <c r="AC256">
        <v>269.2</v>
      </c>
      <c r="AD256">
        <v>0</v>
      </c>
      <c r="AE256">
        <v>0</v>
      </c>
      <c r="AF256">
        <v>0</v>
      </c>
      <c r="AG256">
        <v>0</v>
      </c>
      <c r="AH256">
        <v>0</v>
      </c>
      <c r="AJ256" s="4">
        <v>6270</v>
      </c>
      <c r="AK256">
        <v>0.05</v>
      </c>
      <c r="AL256">
        <v>-4.0000000000000002E-4</v>
      </c>
      <c r="AS256">
        <v>0.25</v>
      </c>
      <c r="AT256">
        <v>-2.0999999999999999E-3</v>
      </c>
      <c r="BC256">
        <v>1.5</v>
      </c>
      <c r="BD256">
        <v>-9.7999999999999997E-3</v>
      </c>
      <c r="BE256">
        <v>1.6</v>
      </c>
      <c r="BF256">
        <v>-1.0500000000000001E-2</v>
      </c>
      <c r="BG256">
        <v>3.4000000000000004</v>
      </c>
      <c r="BH256">
        <v>-2.2800000000000001E-2</v>
      </c>
    </row>
    <row r="257" spans="1:60" x14ac:dyDescent="0.35">
      <c r="A257" t="s">
        <v>34</v>
      </c>
      <c r="B257" s="1">
        <v>46146.65625</v>
      </c>
      <c r="C257" t="s">
        <v>34</v>
      </c>
      <c r="D257" s="1">
        <v>46146.625</v>
      </c>
      <c r="E257">
        <v>7470</v>
      </c>
      <c r="F257" t="s">
        <v>36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4</v>
      </c>
      <c r="M257">
        <v>259.7</v>
      </c>
      <c r="N257">
        <v>4</v>
      </c>
      <c r="O257">
        <v>278.8</v>
      </c>
      <c r="P257">
        <v>0</v>
      </c>
      <c r="Q257">
        <v>0</v>
      </c>
      <c r="R257">
        <v>0</v>
      </c>
      <c r="S257">
        <v>0</v>
      </c>
      <c r="T257">
        <v>2.7294</v>
      </c>
      <c r="U257">
        <v>-0.99380000000000002</v>
      </c>
      <c r="V257">
        <v>2.0000000000000001E-4</v>
      </c>
      <c r="W257">
        <v>-0.2029</v>
      </c>
      <c r="X257">
        <v>6.7000000000000002E-3</v>
      </c>
      <c r="Y257">
        <v>-2.0999999999999999E-3</v>
      </c>
      <c r="Z257">
        <v>5</v>
      </c>
      <c r="AA257">
        <v>258.89999999999998</v>
      </c>
      <c r="AB257">
        <v>5</v>
      </c>
      <c r="AC257">
        <v>279.2</v>
      </c>
      <c r="AD257">
        <v>0</v>
      </c>
      <c r="AE257">
        <v>0</v>
      </c>
      <c r="AF257">
        <v>0</v>
      </c>
      <c r="AG257">
        <v>0</v>
      </c>
      <c r="AH257">
        <v>0</v>
      </c>
      <c r="AJ257" s="4">
        <v>6275</v>
      </c>
      <c r="AK257">
        <v>0.05</v>
      </c>
      <c r="AL257">
        <v>-4.0000000000000002E-4</v>
      </c>
      <c r="AM257">
        <v>0.05</v>
      </c>
      <c r="AN257">
        <v>-4.0000000000000002E-4</v>
      </c>
      <c r="AO257">
        <v>0.1</v>
      </c>
      <c r="AP257">
        <v>-6.9999999999999999E-4</v>
      </c>
      <c r="AQ257">
        <v>0.15</v>
      </c>
      <c r="AR257">
        <v>-1.1999999999999999E-3</v>
      </c>
      <c r="AS257">
        <v>0.25</v>
      </c>
      <c r="AT257">
        <v>-2.0999999999999999E-3</v>
      </c>
      <c r="AU257">
        <v>0.4</v>
      </c>
      <c r="AV257">
        <v>-3.3E-3</v>
      </c>
      <c r="AW257">
        <v>0.65</v>
      </c>
      <c r="AX257">
        <v>-4.8999999999999998E-3</v>
      </c>
      <c r="AY257">
        <v>0.9</v>
      </c>
      <c r="AZ257">
        <v>-6.7000000000000002E-3</v>
      </c>
      <c r="BA257">
        <v>1.25</v>
      </c>
      <c r="BB257">
        <v>-8.6E-3</v>
      </c>
      <c r="BC257">
        <v>1.5</v>
      </c>
      <c r="BD257">
        <v>-9.9000000000000008E-3</v>
      </c>
      <c r="BE257">
        <v>1.6</v>
      </c>
      <c r="BF257">
        <v>-1.0699999999999999E-2</v>
      </c>
      <c r="BG257">
        <v>6.9</v>
      </c>
      <c r="BH257">
        <v>-4.8899999999999999E-2</v>
      </c>
    </row>
    <row r="258" spans="1:60" x14ac:dyDescent="0.35">
      <c r="A258" t="s">
        <v>34</v>
      </c>
      <c r="B258" s="1">
        <v>46146.65625</v>
      </c>
      <c r="C258" t="s">
        <v>34</v>
      </c>
      <c r="D258" s="1">
        <v>46146.625</v>
      </c>
      <c r="E258">
        <v>7475</v>
      </c>
      <c r="F258" t="s">
        <v>36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4</v>
      </c>
      <c r="M258">
        <v>264.7</v>
      </c>
      <c r="N258">
        <v>4</v>
      </c>
      <c r="O258">
        <v>283.89999999999998</v>
      </c>
      <c r="P258">
        <v>0</v>
      </c>
      <c r="Q258">
        <v>0</v>
      </c>
      <c r="R258">
        <v>0</v>
      </c>
      <c r="S258">
        <v>0</v>
      </c>
      <c r="T258">
        <v>2.8439000000000001</v>
      </c>
      <c r="U258">
        <v>-0.99270000000000003</v>
      </c>
      <c r="V258">
        <v>2.0000000000000001E-4</v>
      </c>
      <c r="W258">
        <v>-0.25290000000000001</v>
      </c>
      <c r="X258">
        <v>7.7000000000000002E-3</v>
      </c>
      <c r="Y258">
        <v>-2.0999999999999999E-3</v>
      </c>
      <c r="Z258">
        <v>5</v>
      </c>
      <c r="AA258">
        <v>263.89999999999998</v>
      </c>
      <c r="AB258">
        <v>5</v>
      </c>
      <c r="AC258">
        <v>284.2</v>
      </c>
      <c r="AD258">
        <v>0</v>
      </c>
      <c r="AE258">
        <v>0</v>
      </c>
      <c r="AF258">
        <v>0</v>
      </c>
      <c r="AG258">
        <v>0</v>
      </c>
      <c r="AH258">
        <v>0</v>
      </c>
      <c r="AJ258" s="4">
        <v>6280</v>
      </c>
      <c r="AK258">
        <v>0.05</v>
      </c>
      <c r="AL258">
        <v>-4.0000000000000002E-4</v>
      </c>
      <c r="AS258">
        <v>0.25</v>
      </c>
      <c r="AT258">
        <v>-2.0999999999999999E-3</v>
      </c>
      <c r="BC258">
        <v>1.55</v>
      </c>
      <c r="BD258">
        <v>-1.0200000000000001E-2</v>
      </c>
      <c r="BE258">
        <v>1.6</v>
      </c>
      <c r="BF258">
        <v>-1.0699999999999999E-2</v>
      </c>
      <c r="BG258">
        <v>3.45</v>
      </c>
      <c r="BH258">
        <v>-2.3400000000000001E-2</v>
      </c>
    </row>
    <row r="259" spans="1:60" x14ac:dyDescent="0.35">
      <c r="A259" t="s">
        <v>34</v>
      </c>
      <c r="B259" s="1">
        <v>46146.65625</v>
      </c>
      <c r="C259" t="s">
        <v>34</v>
      </c>
      <c r="D259" s="1">
        <v>46146.625</v>
      </c>
      <c r="E259">
        <v>7480</v>
      </c>
      <c r="F259" t="s">
        <v>36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4</v>
      </c>
      <c r="M259">
        <v>269.60000000000002</v>
      </c>
      <c r="N259">
        <v>4</v>
      </c>
      <c r="O259">
        <v>288.8</v>
      </c>
      <c r="P259">
        <v>0</v>
      </c>
      <c r="Q259">
        <v>0</v>
      </c>
      <c r="R259">
        <v>0</v>
      </c>
      <c r="S259">
        <v>0</v>
      </c>
      <c r="T259">
        <v>2.7319</v>
      </c>
      <c r="U259">
        <v>-0.99519999999999997</v>
      </c>
      <c r="V259">
        <v>1E-4</v>
      </c>
      <c r="W259">
        <v>-0.15290000000000001</v>
      </c>
      <c r="X259">
        <v>5.3E-3</v>
      </c>
      <c r="Y259">
        <v>-2.0999999999999999E-3</v>
      </c>
      <c r="Z259">
        <v>5</v>
      </c>
      <c r="AA259">
        <v>268.89999999999998</v>
      </c>
      <c r="AB259">
        <v>5</v>
      </c>
      <c r="AC259">
        <v>289.2</v>
      </c>
      <c r="AD259">
        <v>0</v>
      </c>
      <c r="AE259">
        <v>0</v>
      </c>
      <c r="AF259">
        <v>0</v>
      </c>
      <c r="AG259">
        <v>0</v>
      </c>
      <c r="AH259">
        <v>0</v>
      </c>
      <c r="AJ259" s="4">
        <v>6285</v>
      </c>
      <c r="BC259">
        <v>1.55</v>
      </c>
      <c r="BD259">
        <v>-1.03E-2</v>
      </c>
      <c r="BE259">
        <v>1.65</v>
      </c>
      <c r="BF259">
        <v>-1.09E-2</v>
      </c>
      <c r="BG259">
        <v>3.2</v>
      </c>
      <c r="BH259">
        <v>-2.12E-2</v>
      </c>
    </row>
    <row r="260" spans="1:60" x14ac:dyDescent="0.35">
      <c r="A260" t="s">
        <v>34</v>
      </c>
      <c r="B260" s="1">
        <v>46146.65625</v>
      </c>
      <c r="C260" t="s">
        <v>34</v>
      </c>
      <c r="D260" s="1">
        <v>46146.625</v>
      </c>
      <c r="E260">
        <v>7490</v>
      </c>
      <c r="F260" t="s">
        <v>36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4</v>
      </c>
      <c r="M260">
        <v>279</v>
      </c>
      <c r="N260">
        <v>4</v>
      </c>
      <c r="O260">
        <v>300.5</v>
      </c>
      <c r="P260">
        <v>0</v>
      </c>
      <c r="Q260">
        <v>0</v>
      </c>
      <c r="R260">
        <v>0</v>
      </c>
      <c r="S260">
        <v>0</v>
      </c>
      <c r="T260">
        <v>3.3896000000000002</v>
      </c>
      <c r="U260">
        <v>-0.98450000000000004</v>
      </c>
      <c r="V260">
        <v>2.9999999999999997E-4</v>
      </c>
      <c r="W260">
        <v>-0.70289999999999997</v>
      </c>
      <c r="X260">
        <v>1.4999999999999999E-2</v>
      </c>
      <c r="Y260">
        <v>-2E-3</v>
      </c>
      <c r="Z260">
        <v>5</v>
      </c>
      <c r="AA260">
        <v>278.89999999999998</v>
      </c>
      <c r="AB260">
        <v>5</v>
      </c>
      <c r="AC260">
        <v>299.2</v>
      </c>
      <c r="AD260">
        <v>0</v>
      </c>
      <c r="AE260">
        <v>0</v>
      </c>
      <c r="AF260">
        <v>0</v>
      </c>
      <c r="AG260">
        <v>0</v>
      </c>
      <c r="AH260">
        <v>0</v>
      </c>
      <c r="AJ260" s="4">
        <v>6290</v>
      </c>
      <c r="AK260">
        <v>0.05</v>
      </c>
      <c r="AL260">
        <v>-4.0000000000000002E-4</v>
      </c>
      <c r="AS260">
        <v>0.25</v>
      </c>
      <c r="AT260">
        <v>-2.0999999999999999E-3</v>
      </c>
      <c r="BC260">
        <v>1.55</v>
      </c>
      <c r="BD260">
        <v>-1.04E-2</v>
      </c>
      <c r="BE260">
        <v>1.65</v>
      </c>
      <c r="BF260">
        <v>-1.11E-2</v>
      </c>
      <c r="BG260">
        <v>3.5</v>
      </c>
      <c r="BH260">
        <v>-2.4E-2</v>
      </c>
    </row>
    <row r="261" spans="1:60" x14ac:dyDescent="0.35">
      <c r="A261" t="s">
        <v>34</v>
      </c>
      <c r="B261" s="1">
        <v>46146.65625</v>
      </c>
      <c r="C261" t="s">
        <v>34</v>
      </c>
      <c r="D261" s="1">
        <v>46146.625</v>
      </c>
      <c r="E261">
        <v>7500</v>
      </c>
      <c r="F261" t="s">
        <v>36</v>
      </c>
      <c r="G261">
        <v>295.39999999999998</v>
      </c>
      <c r="H261">
        <v>295.39999999999998</v>
      </c>
      <c r="I261">
        <v>295.39999999999998</v>
      </c>
      <c r="J261">
        <v>295.39999999999998</v>
      </c>
      <c r="K261">
        <v>1</v>
      </c>
      <c r="L261">
        <v>4</v>
      </c>
      <c r="M261">
        <v>289.7</v>
      </c>
      <c r="N261">
        <v>4</v>
      </c>
      <c r="O261">
        <v>308.60000000000002</v>
      </c>
      <c r="P261">
        <v>0</v>
      </c>
      <c r="Q261">
        <v>0</v>
      </c>
      <c r="R261">
        <v>0</v>
      </c>
      <c r="S261">
        <v>0</v>
      </c>
      <c r="T261">
        <v>2.7877999999999998</v>
      </c>
      <c r="U261">
        <v>-0.99670000000000003</v>
      </c>
      <c r="V261">
        <v>1E-4</v>
      </c>
      <c r="W261">
        <v>-0.10290000000000001</v>
      </c>
      <c r="X261">
        <v>3.8E-3</v>
      </c>
      <c r="Y261">
        <v>-2.0999999999999999E-3</v>
      </c>
      <c r="Z261">
        <v>5</v>
      </c>
      <c r="AA261">
        <v>288.89999999999998</v>
      </c>
      <c r="AB261">
        <v>5</v>
      </c>
      <c r="AC261">
        <v>309.2</v>
      </c>
      <c r="AD261">
        <v>0</v>
      </c>
      <c r="AE261">
        <v>0</v>
      </c>
      <c r="AF261">
        <v>295.39999999999998</v>
      </c>
      <c r="AG261">
        <v>2</v>
      </c>
      <c r="AH261">
        <v>0</v>
      </c>
      <c r="AJ261" s="4">
        <v>6295</v>
      </c>
      <c r="BC261">
        <v>1.6</v>
      </c>
      <c r="BD261">
        <v>-1.06E-2</v>
      </c>
      <c r="BE261">
        <v>1.7</v>
      </c>
      <c r="BF261">
        <v>-1.1299999999999999E-2</v>
      </c>
      <c r="BG261">
        <v>3.3</v>
      </c>
      <c r="BH261">
        <v>-2.1899999999999999E-2</v>
      </c>
    </row>
    <row r="262" spans="1:60" x14ac:dyDescent="0.35">
      <c r="A262" t="s">
        <v>34</v>
      </c>
      <c r="B262" s="1">
        <v>46146.65625</v>
      </c>
      <c r="C262" t="s">
        <v>34</v>
      </c>
      <c r="D262" s="1">
        <v>46146.625</v>
      </c>
      <c r="E262">
        <v>7510</v>
      </c>
      <c r="F262" t="s">
        <v>36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4</v>
      </c>
      <c r="M262">
        <v>299.39999999999998</v>
      </c>
      <c r="N262">
        <v>4</v>
      </c>
      <c r="O262">
        <v>320.5</v>
      </c>
      <c r="P262">
        <v>0</v>
      </c>
      <c r="Q262">
        <v>0</v>
      </c>
      <c r="R262">
        <v>0</v>
      </c>
      <c r="S262">
        <v>0</v>
      </c>
      <c r="T262">
        <v>3.7147999999999999</v>
      </c>
      <c r="U262">
        <v>-0.98219999999999996</v>
      </c>
      <c r="V262">
        <v>2.9999999999999997E-4</v>
      </c>
      <c r="W262">
        <v>-0.90290000000000004</v>
      </c>
      <c r="X262">
        <v>1.6899999999999998E-2</v>
      </c>
      <c r="Y262">
        <v>-2E-3</v>
      </c>
      <c r="Z262">
        <v>5</v>
      </c>
      <c r="AA262">
        <v>298.89999999999998</v>
      </c>
      <c r="AB262">
        <v>5</v>
      </c>
      <c r="AC262">
        <v>319.2</v>
      </c>
      <c r="AD262">
        <v>0</v>
      </c>
      <c r="AE262">
        <v>0</v>
      </c>
      <c r="AF262">
        <v>0</v>
      </c>
      <c r="AG262">
        <v>0</v>
      </c>
      <c r="AH262">
        <v>0</v>
      </c>
      <c r="AJ262" s="4">
        <v>6300</v>
      </c>
      <c r="AK262">
        <v>0.05</v>
      </c>
      <c r="AL262">
        <v>-4.0000000000000002E-4</v>
      </c>
      <c r="AM262">
        <v>0.05</v>
      </c>
      <c r="AN262">
        <v>-4.0000000000000002E-4</v>
      </c>
      <c r="AO262">
        <v>0.1</v>
      </c>
      <c r="AP262">
        <v>-8.9999999999999998E-4</v>
      </c>
      <c r="AQ262">
        <v>0.15</v>
      </c>
      <c r="AR262">
        <v>-1.4E-3</v>
      </c>
      <c r="AS262">
        <v>0.25</v>
      </c>
      <c r="AT262">
        <v>-2.0999999999999999E-3</v>
      </c>
      <c r="AU262">
        <v>0.45</v>
      </c>
      <c r="AV262">
        <v>-3.5999999999999999E-3</v>
      </c>
      <c r="AW262">
        <v>0.7</v>
      </c>
      <c r="AX262">
        <v>-5.4000000000000003E-3</v>
      </c>
      <c r="AY262">
        <v>0.95</v>
      </c>
      <c r="AZ262">
        <v>-7.1999999999999998E-3</v>
      </c>
      <c r="BA262">
        <v>1.3</v>
      </c>
      <c r="BB262">
        <v>-9.1000000000000004E-3</v>
      </c>
      <c r="BC262">
        <v>1.6</v>
      </c>
      <c r="BD262">
        <v>-1.0699999999999999E-2</v>
      </c>
      <c r="BE262">
        <v>1.7</v>
      </c>
      <c r="BF262">
        <v>-1.14E-2</v>
      </c>
      <c r="BG262">
        <v>7.3</v>
      </c>
      <c r="BH262">
        <v>-5.2600000000000001E-2</v>
      </c>
    </row>
    <row r="263" spans="1:60" x14ac:dyDescent="0.35">
      <c r="A263" t="s">
        <v>34</v>
      </c>
      <c r="B263" s="1">
        <v>46146.65625</v>
      </c>
      <c r="C263" t="s">
        <v>34</v>
      </c>
      <c r="D263" s="1">
        <v>46146.625</v>
      </c>
      <c r="E263">
        <v>7520</v>
      </c>
      <c r="F263" t="s">
        <v>36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4</v>
      </c>
      <c r="M263">
        <v>309.39999999999998</v>
      </c>
      <c r="N263">
        <v>4</v>
      </c>
      <c r="O263">
        <v>330</v>
      </c>
      <c r="P263">
        <v>0</v>
      </c>
      <c r="Q263">
        <v>0</v>
      </c>
      <c r="R263">
        <v>0</v>
      </c>
      <c r="S263">
        <v>0</v>
      </c>
      <c r="T263">
        <v>3.6467000000000001</v>
      </c>
      <c r="U263">
        <v>-0.98640000000000005</v>
      </c>
      <c r="V263">
        <v>2.9999999999999997E-4</v>
      </c>
      <c r="W263">
        <v>-0.65290000000000004</v>
      </c>
      <c r="X263">
        <v>1.34E-2</v>
      </c>
      <c r="Y263">
        <v>-2E-3</v>
      </c>
      <c r="Z263">
        <v>5</v>
      </c>
      <c r="AA263">
        <v>308.89999999999998</v>
      </c>
      <c r="AB263">
        <v>5</v>
      </c>
      <c r="AC263">
        <v>329.2</v>
      </c>
      <c r="AD263">
        <v>0</v>
      </c>
      <c r="AE263">
        <v>0</v>
      </c>
      <c r="AF263">
        <v>0</v>
      </c>
      <c r="AG263">
        <v>0</v>
      </c>
      <c r="AH263">
        <v>0</v>
      </c>
      <c r="AJ263" s="4">
        <v>6305</v>
      </c>
      <c r="BC263">
        <v>1.6</v>
      </c>
      <c r="BD263">
        <v>-1.09E-2</v>
      </c>
      <c r="BE263">
        <v>1.7</v>
      </c>
      <c r="BF263">
        <v>-1.15E-2</v>
      </c>
      <c r="BG263">
        <v>3.3</v>
      </c>
      <c r="BH263">
        <v>-2.24E-2</v>
      </c>
    </row>
    <row r="264" spans="1:60" x14ac:dyDescent="0.35">
      <c r="A264" t="s">
        <v>34</v>
      </c>
      <c r="B264" s="1">
        <v>46146.65625</v>
      </c>
      <c r="C264" t="s">
        <v>34</v>
      </c>
      <c r="D264" s="1">
        <v>46146.625</v>
      </c>
      <c r="E264">
        <v>7525</v>
      </c>
      <c r="F264" t="s">
        <v>36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4</v>
      </c>
      <c r="M264">
        <v>314.7</v>
      </c>
      <c r="N264">
        <v>4</v>
      </c>
      <c r="O264">
        <v>333.1</v>
      </c>
      <c r="P264">
        <v>0</v>
      </c>
      <c r="Q264">
        <v>0</v>
      </c>
      <c r="R264">
        <v>0</v>
      </c>
      <c r="S264">
        <v>0</v>
      </c>
      <c r="T264">
        <v>5.9664999999999999</v>
      </c>
      <c r="U264">
        <v>-0.91320000000000001</v>
      </c>
      <c r="V264">
        <v>6.9999999999999999E-4</v>
      </c>
      <c r="W264">
        <v>0</v>
      </c>
      <c r="X264">
        <v>6.1100000000000002E-2</v>
      </c>
      <c r="Y264">
        <v>-1.9E-3</v>
      </c>
      <c r="Z264">
        <v>5</v>
      </c>
      <c r="AA264">
        <v>313.89999999999998</v>
      </c>
      <c r="AB264">
        <v>5</v>
      </c>
      <c r="AC264">
        <v>334.2</v>
      </c>
      <c r="AD264">
        <v>0</v>
      </c>
      <c r="AE264">
        <v>0</v>
      </c>
      <c r="AF264">
        <v>0</v>
      </c>
      <c r="AG264">
        <v>0</v>
      </c>
      <c r="AH264">
        <v>0</v>
      </c>
      <c r="AJ264" s="4">
        <v>6310</v>
      </c>
      <c r="AK264">
        <v>0.05</v>
      </c>
      <c r="AL264">
        <v>-4.0000000000000002E-4</v>
      </c>
      <c r="AS264">
        <v>0.25</v>
      </c>
      <c r="AT264">
        <v>-2.2000000000000001E-3</v>
      </c>
      <c r="BC264">
        <v>1.6</v>
      </c>
      <c r="BD264">
        <v>-1.09E-2</v>
      </c>
      <c r="BE264">
        <v>1.75</v>
      </c>
      <c r="BF264">
        <v>-1.17E-2</v>
      </c>
      <c r="BG264">
        <v>3.6500000000000004</v>
      </c>
      <c r="BH264">
        <v>-2.52E-2</v>
      </c>
    </row>
    <row r="265" spans="1:60" x14ac:dyDescent="0.35">
      <c r="A265" t="s">
        <v>34</v>
      </c>
      <c r="B265" s="1">
        <v>46146.65625</v>
      </c>
      <c r="C265" t="s">
        <v>34</v>
      </c>
      <c r="D265" s="1">
        <v>46146.625</v>
      </c>
      <c r="E265">
        <v>7550</v>
      </c>
      <c r="F265" t="s">
        <v>36</v>
      </c>
      <c r="G265">
        <v>327.17</v>
      </c>
      <c r="H265">
        <v>327.17</v>
      </c>
      <c r="I265">
        <v>327.17</v>
      </c>
      <c r="J265">
        <v>327.17</v>
      </c>
      <c r="K265">
        <v>1</v>
      </c>
      <c r="L265">
        <v>4</v>
      </c>
      <c r="M265">
        <v>338.8</v>
      </c>
      <c r="N265">
        <v>4</v>
      </c>
      <c r="O265">
        <v>357.9</v>
      </c>
      <c r="P265">
        <v>0</v>
      </c>
      <c r="Q265">
        <v>0</v>
      </c>
      <c r="R265">
        <v>0</v>
      </c>
      <c r="S265">
        <v>0</v>
      </c>
      <c r="T265">
        <v>6.2657999999999996</v>
      </c>
      <c r="U265">
        <v>-0.91820000000000002</v>
      </c>
      <c r="V265">
        <v>5.9999999999999995E-4</v>
      </c>
      <c r="W265">
        <v>0</v>
      </c>
      <c r="X265">
        <v>5.8500000000000003E-2</v>
      </c>
      <c r="Y265">
        <v>-1.9E-3</v>
      </c>
      <c r="Z265">
        <v>5</v>
      </c>
      <c r="AA265">
        <v>338.9</v>
      </c>
      <c r="AB265">
        <v>5</v>
      </c>
      <c r="AC265">
        <v>359.2</v>
      </c>
      <c r="AD265">
        <v>0</v>
      </c>
      <c r="AE265">
        <v>0</v>
      </c>
      <c r="AF265">
        <v>327.17</v>
      </c>
      <c r="AG265">
        <v>1</v>
      </c>
      <c r="AH265">
        <v>0</v>
      </c>
      <c r="AJ265" s="4">
        <v>6315</v>
      </c>
      <c r="BC265">
        <v>1.65</v>
      </c>
      <c r="BD265">
        <v>-1.11E-2</v>
      </c>
      <c r="BE265">
        <v>1.75</v>
      </c>
      <c r="BF265">
        <v>-1.1900000000000001E-2</v>
      </c>
      <c r="BG265">
        <v>3.4</v>
      </c>
      <c r="BH265">
        <v>-2.3E-2</v>
      </c>
    </row>
    <row r="266" spans="1:60" x14ac:dyDescent="0.35">
      <c r="A266" t="s">
        <v>34</v>
      </c>
      <c r="B266" s="1">
        <v>46146.65625</v>
      </c>
      <c r="C266" t="s">
        <v>34</v>
      </c>
      <c r="D266" s="1">
        <v>46146.625</v>
      </c>
      <c r="E266">
        <v>7575</v>
      </c>
      <c r="F266" t="s">
        <v>36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4</v>
      </c>
      <c r="M266">
        <v>364.6</v>
      </c>
      <c r="N266">
        <v>4</v>
      </c>
      <c r="O266">
        <v>383.9</v>
      </c>
      <c r="P266">
        <v>0</v>
      </c>
      <c r="Q266">
        <v>0</v>
      </c>
      <c r="R266">
        <v>0</v>
      </c>
      <c r="S266">
        <v>0</v>
      </c>
      <c r="T266">
        <v>3.6349</v>
      </c>
      <c r="U266">
        <v>-0.99519999999999997</v>
      </c>
      <c r="V266">
        <v>1E-4</v>
      </c>
      <c r="W266">
        <v>-0.2029</v>
      </c>
      <c r="X266">
        <v>5.3E-3</v>
      </c>
      <c r="Y266">
        <v>-2.0999999999999999E-3</v>
      </c>
      <c r="Z266">
        <v>5</v>
      </c>
      <c r="AA266">
        <v>363.9</v>
      </c>
      <c r="AB266">
        <v>5</v>
      </c>
      <c r="AC266">
        <v>384.2</v>
      </c>
      <c r="AD266">
        <v>0</v>
      </c>
      <c r="AE266">
        <v>0</v>
      </c>
      <c r="AF266">
        <v>0</v>
      </c>
      <c r="AG266">
        <v>0</v>
      </c>
      <c r="AH266">
        <v>0</v>
      </c>
      <c r="AJ266" s="4">
        <v>6320</v>
      </c>
      <c r="AK266">
        <v>0.05</v>
      </c>
      <c r="AL266">
        <v>-4.0000000000000002E-4</v>
      </c>
      <c r="AS266">
        <v>0.25</v>
      </c>
      <c r="AT266">
        <v>-2.3999999999999998E-3</v>
      </c>
      <c r="BC266">
        <v>1.65</v>
      </c>
      <c r="BD266">
        <v>-1.1299999999999999E-2</v>
      </c>
      <c r="BE266">
        <v>1.75</v>
      </c>
      <c r="BF266">
        <v>-1.2E-2</v>
      </c>
      <c r="BG266">
        <v>3.7</v>
      </c>
      <c r="BH266">
        <v>-2.6099999999999998E-2</v>
      </c>
    </row>
    <row r="267" spans="1:60" x14ac:dyDescent="0.35">
      <c r="A267" t="s">
        <v>34</v>
      </c>
      <c r="B267" s="1">
        <v>46146.65625</v>
      </c>
      <c r="C267" t="s">
        <v>34</v>
      </c>
      <c r="D267" s="1">
        <v>46146.625</v>
      </c>
      <c r="E267">
        <v>7600</v>
      </c>
      <c r="F267" t="s">
        <v>36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4</v>
      </c>
      <c r="M267">
        <v>388.8</v>
      </c>
      <c r="N267">
        <v>4</v>
      </c>
      <c r="O267">
        <v>407.4</v>
      </c>
      <c r="P267">
        <v>0</v>
      </c>
      <c r="Q267">
        <v>0</v>
      </c>
      <c r="R267">
        <v>0</v>
      </c>
      <c r="S267">
        <v>0</v>
      </c>
      <c r="T267">
        <v>6.8235000000000001</v>
      </c>
      <c r="U267">
        <v>-0.92749999999999999</v>
      </c>
      <c r="V267">
        <v>5.0000000000000001E-4</v>
      </c>
      <c r="W267">
        <v>0</v>
      </c>
      <c r="X267">
        <v>5.33E-2</v>
      </c>
      <c r="Y267">
        <v>-1.9E-3</v>
      </c>
      <c r="Z267">
        <v>5</v>
      </c>
      <c r="AA267">
        <v>388.9</v>
      </c>
      <c r="AB267">
        <v>5</v>
      </c>
      <c r="AC267">
        <v>409.2</v>
      </c>
      <c r="AD267">
        <v>0</v>
      </c>
      <c r="AE267">
        <v>0</v>
      </c>
      <c r="AF267">
        <v>0</v>
      </c>
      <c r="AG267">
        <v>1</v>
      </c>
      <c r="AH267">
        <v>0</v>
      </c>
      <c r="AJ267" s="4">
        <v>6325</v>
      </c>
      <c r="AK267">
        <v>0.05</v>
      </c>
      <c r="AL267">
        <v>-4.0000000000000002E-4</v>
      </c>
      <c r="AM267">
        <v>0.05</v>
      </c>
      <c r="AN267">
        <v>-4.0000000000000002E-4</v>
      </c>
      <c r="AO267">
        <v>0.1</v>
      </c>
      <c r="AP267">
        <v>-1E-3</v>
      </c>
      <c r="AQ267">
        <v>0.15</v>
      </c>
      <c r="AR267">
        <v>-1.5E-3</v>
      </c>
      <c r="AS267">
        <v>0.25</v>
      </c>
      <c r="AT267">
        <v>-2.2000000000000001E-3</v>
      </c>
      <c r="AU267">
        <v>0.45</v>
      </c>
      <c r="AV267">
        <v>-3.8E-3</v>
      </c>
      <c r="AW267">
        <v>0.7</v>
      </c>
      <c r="AX267">
        <v>-5.4999999999999997E-3</v>
      </c>
      <c r="AY267">
        <v>1</v>
      </c>
      <c r="AZ267">
        <v>-7.7000000000000002E-3</v>
      </c>
      <c r="BA267">
        <v>1.4</v>
      </c>
      <c r="BB267">
        <v>-9.9000000000000008E-3</v>
      </c>
      <c r="BC267">
        <v>1.65</v>
      </c>
      <c r="BD267">
        <v>-1.1299999999999999E-2</v>
      </c>
      <c r="BE267">
        <v>1.8</v>
      </c>
      <c r="BF267">
        <v>-1.2200000000000001E-2</v>
      </c>
      <c r="BG267">
        <v>7.6000000000000005</v>
      </c>
      <c r="BH267">
        <v>-5.5899999999999998E-2</v>
      </c>
    </row>
    <row r="268" spans="1:60" x14ac:dyDescent="0.35">
      <c r="A268" t="s">
        <v>34</v>
      </c>
      <c r="B268" s="1">
        <v>46146.65625</v>
      </c>
      <c r="C268" t="s">
        <v>34</v>
      </c>
      <c r="D268" s="1">
        <v>46146.625</v>
      </c>
      <c r="E268">
        <v>7625</v>
      </c>
      <c r="F268" t="s">
        <v>36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4</v>
      </c>
      <c r="M268">
        <v>414.7</v>
      </c>
      <c r="N268">
        <v>4</v>
      </c>
      <c r="O268">
        <v>432.8</v>
      </c>
      <c r="P268">
        <v>0</v>
      </c>
      <c r="Q268">
        <v>0</v>
      </c>
      <c r="R268">
        <v>0</v>
      </c>
      <c r="S268">
        <v>0</v>
      </c>
      <c r="T268">
        <v>7.2157999999999998</v>
      </c>
      <c r="U268">
        <v>-0.92800000000000005</v>
      </c>
      <c r="V268">
        <v>5.0000000000000001E-4</v>
      </c>
      <c r="W268">
        <v>0</v>
      </c>
      <c r="X268">
        <v>5.2999999999999999E-2</v>
      </c>
      <c r="Y268">
        <v>-1.9E-3</v>
      </c>
      <c r="Z268">
        <v>5</v>
      </c>
      <c r="AA268">
        <v>413.9</v>
      </c>
      <c r="AB268">
        <v>5</v>
      </c>
      <c r="AC268">
        <v>434.2</v>
      </c>
      <c r="AD268">
        <v>0</v>
      </c>
      <c r="AE268">
        <v>0</v>
      </c>
      <c r="AF268">
        <v>0</v>
      </c>
      <c r="AG268">
        <v>0</v>
      </c>
      <c r="AH268">
        <v>0</v>
      </c>
      <c r="AJ268" s="4">
        <v>6330</v>
      </c>
      <c r="AK268">
        <v>0.05</v>
      </c>
      <c r="AL268">
        <v>-4.0000000000000002E-4</v>
      </c>
      <c r="AS268">
        <v>0.25</v>
      </c>
      <c r="AT268">
        <v>-2.3999999999999998E-3</v>
      </c>
      <c r="BC268">
        <v>1.7</v>
      </c>
      <c r="BD268">
        <v>-1.15E-2</v>
      </c>
      <c r="BE268">
        <v>1.8</v>
      </c>
      <c r="BF268">
        <v>-1.24E-2</v>
      </c>
      <c r="BG268">
        <v>3.8</v>
      </c>
      <c r="BH268">
        <v>-2.6700000000000002E-2</v>
      </c>
    </row>
    <row r="269" spans="1:60" x14ac:dyDescent="0.35">
      <c r="A269" t="s">
        <v>34</v>
      </c>
      <c r="B269" s="1">
        <v>46146.65625</v>
      </c>
      <c r="C269" t="s">
        <v>34</v>
      </c>
      <c r="D269" s="1">
        <v>46146.625</v>
      </c>
      <c r="E269">
        <v>7650</v>
      </c>
      <c r="F269" t="s">
        <v>36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4</v>
      </c>
      <c r="M269">
        <v>439.7</v>
      </c>
      <c r="N269">
        <v>4</v>
      </c>
      <c r="O269">
        <v>457.8</v>
      </c>
      <c r="P269">
        <v>0</v>
      </c>
      <c r="Q269">
        <v>0</v>
      </c>
      <c r="R269">
        <v>0</v>
      </c>
      <c r="S269">
        <v>0</v>
      </c>
      <c r="T269">
        <v>7.5298999999999996</v>
      </c>
      <c r="U269">
        <v>-0.93049999999999999</v>
      </c>
      <c r="V269">
        <v>5.0000000000000001E-4</v>
      </c>
      <c r="W269">
        <v>0</v>
      </c>
      <c r="X269">
        <v>5.16E-2</v>
      </c>
      <c r="Y269">
        <v>-1.9E-3</v>
      </c>
      <c r="Z269">
        <v>5</v>
      </c>
      <c r="AA269">
        <v>438.9</v>
      </c>
      <c r="AB269">
        <v>5</v>
      </c>
      <c r="AC269">
        <v>459.2</v>
      </c>
      <c r="AD269">
        <v>0</v>
      </c>
      <c r="AE269">
        <v>0</v>
      </c>
      <c r="AF269">
        <v>0</v>
      </c>
      <c r="AG269">
        <v>0</v>
      </c>
      <c r="AH269">
        <v>0</v>
      </c>
      <c r="AJ269" s="4">
        <v>6335</v>
      </c>
      <c r="BC269">
        <v>1.7</v>
      </c>
      <c r="BD269">
        <v>-1.17E-2</v>
      </c>
      <c r="BE269">
        <v>1.85</v>
      </c>
      <c r="BF269">
        <v>-1.26E-2</v>
      </c>
      <c r="BG269">
        <v>3.55</v>
      </c>
      <c r="BH269">
        <v>-2.4300000000000002E-2</v>
      </c>
    </row>
    <row r="270" spans="1:60" x14ac:dyDescent="0.35">
      <c r="A270" t="s">
        <v>34</v>
      </c>
      <c r="B270" s="1">
        <v>46146.65625</v>
      </c>
      <c r="C270" t="s">
        <v>34</v>
      </c>
      <c r="D270" s="1">
        <v>46146.625</v>
      </c>
      <c r="E270">
        <v>7675</v>
      </c>
      <c r="F270" t="s">
        <v>36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4</v>
      </c>
      <c r="M270">
        <v>464.7</v>
      </c>
      <c r="N270">
        <v>4</v>
      </c>
      <c r="O270">
        <v>485.5</v>
      </c>
      <c r="P270">
        <v>0</v>
      </c>
      <c r="Q270">
        <v>0</v>
      </c>
      <c r="R270">
        <v>0</v>
      </c>
      <c r="S270">
        <v>0</v>
      </c>
      <c r="T270">
        <v>5.4229000000000003</v>
      </c>
      <c r="U270">
        <v>-0.98540000000000005</v>
      </c>
      <c r="V270">
        <v>2.0000000000000001E-4</v>
      </c>
      <c r="W270">
        <v>-1.0528999999999999</v>
      </c>
      <c r="X270">
        <v>1.4200000000000001E-2</v>
      </c>
      <c r="Y270">
        <v>-2E-3</v>
      </c>
      <c r="Z270">
        <v>5</v>
      </c>
      <c r="AA270">
        <v>463.9</v>
      </c>
      <c r="AB270">
        <v>5</v>
      </c>
      <c r="AC270">
        <v>484.2</v>
      </c>
      <c r="AD270">
        <v>0</v>
      </c>
      <c r="AE270">
        <v>0</v>
      </c>
      <c r="AF270">
        <v>0</v>
      </c>
      <c r="AG270">
        <v>0</v>
      </c>
      <c r="AH270">
        <v>0</v>
      </c>
      <c r="AJ270" s="4">
        <v>6340</v>
      </c>
      <c r="AK270">
        <v>0.05</v>
      </c>
      <c r="AL270">
        <v>-4.0000000000000002E-4</v>
      </c>
      <c r="AS270">
        <v>0.3</v>
      </c>
      <c r="AT270">
        <v>-2.3999999999999998E-3</v>
      </c>
      <c r="BC270">
        <v>1.7</v>
      </c>
      <c r="BD270">
        <v>-1.18E-2</v>
      </c>
      <c r="BE270">
        <v>1.85</v>
      </c>
      <c r="BF270">
        <v>-1.26E-2</v>
      </c>
      <c r="BG270">
        <v>3.9</v>
      </c>
      <c r="BH270">
        <v>-2.7200000000000002E-2</v>
      </c>
    </row>
    <row r="271" spans="1:60" x14ac:dyDescent="0.35">
      <c r="A271" t="s">
        <v>34</v>
      </c>
      <c r="B271" s="1">
        <v>46146.65625</v>
      </c>
      <c r="C271" t="s">
        <v>34</v>
      </c>
      <c r="D271" s="1">
        <v>46146.625</v>
      </c>
      <c r="E271">
        <v>7700</v>
      </c>
      <c r="F271" t="s">
        <v>36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4</v>
      </c>
      <c r="M271">
        <v>489.7</v>
      </c>
      <c r="N271">
        <v>4</v>
      </c>
      <c r="O271">
        <v>508.9</v>
      </c>
      <c r="P271">
        <v>0</v>
      </c>
      <c r="Q271">
        <v>0</v>
      </c>
      <c r="R271">
        <v>0</v>
      </c>
      <c r="S271">
        <v>0</v>
      </c>
      <c r="T271">
        <v>4.7752999999999997</v>
      </c>
      <c r="U271">
        <v>-0.99539999999999995</v>
      </c>
      <c r="V271">
        <v>1E-4</v>
      </c>
      <c r="W271">
        <v>-0.25290000000000001</v>
      </c>
      <c r="X271">
        <v>5.1000000000000004E-3</v>
      </c>
      <c r="Y271">
        <v>-2.0999999999999999E-3</v>
      </c>
      <c r="Z271">
        <v>5</v>
      </c>
      <c r="AA271">
        <v>488.9</v>
      </c>
      <c r="AB271">
        <v>5</v>
      </c>
      <c r="AC271">
        <v>509.2</v>
      </c>
      <c r="AD271">
        <v>0</v>
      </c>
      <c r="AE271">
        <v>0</v>
      </c>
      <c r="AF271">
        <v>0</v>
      </c>
      <c r="AG271">
        <v>0</v>
      </c>
      <c r="AH271">
        <v>0</v>
      </c>
      <c r="AJ271" s="4">
        <v>6345</v>
      </c>
      <c r="BC271">
        <v>1.75</v>
      </c>
      <c r="BD271">
        <v>-1.21E-2</v>
      </c>
      <c r="BE271">
        <v>1.9</v>
      </c>
      <c r="BF271">
        <v>-1.2800000000000001E-2</v>
      </c>
      <c r="BG271">
        <v>3.65</v>
      </c>
      <c r="BH271">
        <v>-2.4899999999999999E-2</v>
      </c>
    </row>
    <row r="272" spans="1:60" x14ac:dyDescent="0.35">
      <c r="A272" t="s">
        <v>34</v>
      </c>
      <c r="B272" s="1">
        <v>46146.65625</v>
      </c>
      <c r="C272" t="s">
        <v>34</v>
      </c>
      <c r="D272" s="1">
        <v>46146.625</v>
      </c>
      <c r="E272">
        <v>7725</v>
      </c>
      <c r="F272" t="s">
        <v>36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4</v>
      </c>
      <c r="M272">
        <v>514.4</v>
      </c>
      <c r="N272">
        <v>4</v>
      </c>
      <c r="O272">
        <v>535.5</v>
      </c>
      <c r="P272">
        <v>0</v>
      </c>
      <c r="Q272">
        <v>0</v>
      </c>
      <c r="R272">
        <v>0</v>
      </c>
      <c r="S272">
        <v>0</v>
      </c>
      <c r="T272">
        <v>5.7759999999999998</v>
      </c>
      <c r="U272">
        <v>-0.9879</v>
      </c>
      <c r="V272">
        <v>1E-4</v>
      </c>
      <c r="W272">
        <v>-0.90290000000000004</v>
      </c>
      <c r="X272">
        <v>1.21E-2</v>
      </c>
      <c r="Y272">
        <v>-2E-3</v>
      </c>
      <c r="Z272">
        <v>5</v>
      </c>
      <c r="AA272">
        <v>513.9</v>
      </c>
      <c r="AB272">
        <v>5</v>
      </c>
      <c r="AC272">
        <v>534.20000000000005</v>
      </c>
      <c r="AD272">
        <v>0</v>
      </c>
      <c r="AE272">
        <v>0</v>
      </c>
      <c r="AF272">
        <v>0</v>
      </c>
      <c r="AG272">
        <v>0</v>
      </c>
      <c r="AH272">
        <v>0</v>
      </c>
      <c r="AJ272" s="4">
        <v>6350</v>
      </c>
      <c r="AK272">
        <v>0.05</v>
      </c>
      <c r="AL272">
        <v>-4.0000000000000002E-4</v>
      </c>
      <c r="AM272">
        <v>0.05</v>
      </c>
      <c r="AN272">
        <v>-4.0000000000000002E-4</v>
      </c>
      <c r="AO272">
        <v>0.1</v>
      </c>
      <c r="AP272">
        <v>-1E-3</v>
      </c>
      <c r="AQ272">
        <v>0.2</v>
      </c>
      <c r="AR272">
        <v>-1.8E-3</v>
      </c>
      <c r="AS272">
        <v>0.3</v>
      </c>
      <c r="AT272">
        <v>-2.7000000000000001E-3</v>
      </c>
      <c r="AU272">
        <v>0.45</v>
      </c>
      <c r="AV272">
        <v>-3.8999999999999998E-3</v>
      </c>
      <c r="AW272">
        <v>0.75</v>
      </c>
      <c r="AX272">
        <v>-6.0000000000000001E-3</v>
      </c>
      <c r="AY272">
        <v>1.05</v>
      </c>
      <c r="AZ272">
        <v>-8.2000000000000007E-3</v>
      </c>
      <c r="BA272">
        <v>1.45</v>
      </c>
      <c r="BB272">
        <v>-1.0500000000000001E-2</v>
      </c>
      <c r="BC272">
        <v>1.75</v>
      </c>
      <c r="BD272">
        <v>-1.2200000000000001E-2</v>
      </c>
      <c r="BE272">
        <v>1.9</v>
      </c>
      <c r="BF272">
        <v>-1.2999999999999999E-2</v>
      </c>
      <c r="BG272">
        <v>8.0500000000000007</v>
      </c>
      <c r="BH272">
        <v>-6.0100000000000001E-2</v>
      </c>
    </row>
    <row r="273" spans="1:60" x14ac:dyDescent="0.35">
      <c r="A273" t="s">
        <v>34</v>
      </c>
      <c r="B273" s="1">
        <v>46146.65625</v>
      </c>
      <c r="C273" t="s">
        <v>34</v>
      </c>
      <c r="D273" s="1">
        <v>46146.625</v>
      </c>
      <c r="E273">
        <v>7800</v>
      </c>
      <c r="F273" t="s">
        <v>36</v>
      </c>
      <c r="G273">
        <v>574.4</v>
      </c>
      <c r="H273">
        <v>574.4</v>
      </c>
      <c r="I273">
        <v>574.4</v>
      </c>
      <c r="J273">
        <v>574.4</v>
      </c>
      <c r="K273">
        <v>30</v>
      </c>
      <c r="L273">
        <v>4</v>
      </c>
      <c r="M273">
        <v>589.6</v>
      </c>
      <c r="N273">
        <v>4</v>
      </c>
      <c r="O273">
        <v>608.9</v>
      </c>
      <c r="P273">
        <v>0</v>
      </c>
      <c r="Q273">
        <v>0</v>
      </c>
      <c r="R273">
        <v>0</v>
      </c>
      <c r="S273">
        <v>0</v>
      </c>
      <c r="T273">
        <v>5.4665999999999997</v>
      </c>
      <c r="U273">
        <v>-0.99670000000000003</v>
      </c>
      <c r="V273">
        <v>1E-4</v>
      </c>
      <c r="W273">
        <v>-0.2029</v>
      </c>
      <c r="X273">
        <v>3.8E-3</v>
      </c>
      <c r="Y273">
        <v>-2.0999999999999999E-3</v>
      </c>
      <c r="Z273">
        <v>5</v>
      </c>
      <c r="AA273">
        <v>588.9</v>
      </c>
      <c r="AB273">
        <v>5</v>
      </c>
      <c r="AC273">
        <v>609.20000000000005</v>
      </c>
      <c r="AD273">
        <v>0</v>
      </c>
      <c r="AE273">
        <v>0</v>
      </c>
      <c r="AF273">
        <v>574.4</v>
      </c>
      <c r="AG273">
        <v>0</v>
      </c>
      <c r="AH273">
        <v>0</v>
      </c>
      <c r="AJ273" s="4">
        <v>6355</v>
      </c>
      <c r="BC273">
        <v>1.8</v>
      </c>
      <c r="BD273">
        <v>-1.24E-2</v>
      </c>
      <c r="BE273">
        <v>1.9</v>
      </c>
      <c r="BF273">
        <v>-1.32E-2</v>
      </c>
      <c r="BG273">
        <v>3.7</v>
      </c>
      <c r="BH273">
        <v>-2.5599999999999998E-2</v>
      </c>
    </row>
    <row r="274" spans="1:60" x14ac:dyDescent="0.35">
      <c r="A274" t="s">
        <v>34</v>
      </c>
      <c r="B274" s="1">
        <v>46146.65625</v>
      </c>
      <c r="C274" t="s">
        <v>34</v>
      </c>
      <c r="D274" s="1">
        <v>46146.625</v>
      </c>
      <c r="E274">
        <v>7900</v>
      </c>
      <c r="F274" t="s">
        <v>36</v>
      </c>
      <c r="G274">
        <v>672.16</v>
      </c>
      <c r="H274">
        <v>674.64</v>
      </c>
      <c r="I274">
        <v>672.15</v>
      </c>
      <c r="J274">
        <v>672.15</v>
      </c>
      <c r="K274">
        <v>4</v>
      </c>
      <c r="L274">
        <v>4</v>
      </c>
      <c r="M274">
        <v>689.5</v>
      </c>
      <c r="N274">
        <v>4</v>
      </c>
      <c r="O274">
        <v>710.2</v>
      </c>
      <c r="P274">
        <v>0</v>
      </c>
      <c r="Q274">
        <v>0</v>
      </c>
      <c r="R274">
        <v>0</v>
      </c>
      <c r="S274">
        <v>0</v>
      </c>
      <c r="T274">
        <v>7.2232000000000003</v>
      </c>
      <c r="U274">
        <v>-0.99139999999999995</v>
      </c>
      <c r="V274">
        <v>1E-4</v>
      </c>
      <c r="W274">
        <v>-0.77280000000000004</v>
      </c>
      <c r="X274">
        <v>8.8999999999999999E-3</v>
      </c>
      <c r="Y274">
        <v>-2E-3</v>
      </c>
      <c r="Z274">
        <v>5</v>
      </c>
      <c r="AA274">
        <v>688.9</v>
      </c>
      <c r="AB274">
        <v>5</v>
      </c>
      <c r="AC274">
        <v>709.2</v>
      </c>
      <c r="AD274">
        <v>0</v>
      </c>
      <c r="AE274">
        <v>0</v>
      </c>
      <c r="AF274">
        <v>672.77750000000003</v>
      </c>
      <c r="AG274">
        <v>0</v>
      </c>
      <c r="AH274">
        <v>0</v>
      </c>
      <c r="AJ274" s="4">
        <v>6360</v>
      </c>
      <c r="AK274">
        <v>0.05</v>
      </c>
      <c r="AL274">
        <v>-4.0000000000000002E-4</v>
      </c>
      <c r="AM274">
        <v>0.05</v>
      </c>
      <c r="AN274">
        <v>-4.0000000000000002E-4</v>
      </c>
      <c r="AS274">
        <v>0.3</v>
      </c>
      <c r="AT274">
        <v>-2.7000000000000001E-3</v>
      </c>
      <c r="BC274">
        <v>1.8</v>
      </c>
      <c r="BD274">
        <v>-1.26E-2</v>
      </c>
      <c r="BE274">
        <v>1.95</v>
      </c>
      <c r="BF274">
        <v>-1.34E-2</v>
      </c>
      <c r="BG274">
        <v>4.1500000000000004</v>
      </c>
      <c r="BH274">
        <v>-2.9499999999999998E-2</v>
      </c>
    </row>
    <row r="275" spans="1:60" x14ac:dyDescent="0.35">
      <c r="A275" t="s">
        <v>34</v>
      </c>
      <c r="B275" s="1">
        <v>46146.65625</v>
      </c>
      <c r="C275" t="s">
        <v>34</v>
      </c>
      <c r="D275" s="1">
        <v>46146.625</v>
      </c>
      <c r="E275">
        <v>8000</v>
      </c>
      <c r="F275" t="s">
        <v>36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4</v>
      </c>
      <c r="M275">
        <v>789.7</v>
      </c>
      <c r="N275">
        <v>4</v>
      </c>
      <c r="O275">
        <v>809</v>
      </c>
      <c r="P275">
        <v>0</v>
      </c>
      <c r="Q275">
        <v>0</v>
      </c>
      <c r="R275">
        <v>0</v>
      </c>
      <c r="S275">
        <v>0</v>
      </c>
      <c r="T275">
        <v>7.2797000000000001</v>
      </c>
      <c r="U275">
        <v>-0.99629999999999996</v>
      </c>
      <c r="V275">
        <v>0</v>
      </c>
      <c r="W275">
        <v>-0.3029</v>
      </c>
      <c r="X275">
        <v>4.1999999999999997E-3</v>
      </c>
      <c r="Y275">
        <v>-2.0999999999999999E-3</v>
      </c>
      <c r="Z275">
        <v>5</v>
      </c>
      <c r="AA275">
        <v>788.9</v>
      </c>
      <c r="AB275">
        <v>5</v>
      </c>
      <c r="AC275">
        <v>809.2</v>
      </c>
      <c r="AD275">
        <v>0</v>
      </c>
      <c r="AE275">
        <v>0</v>
      </c>
      <c r="AF275">
        <v>0</v>
      </c>
      <c r="AG275">
        <v>1</v>
      </c>
      <c r="AH275">
        <v>0</v>
      </c>
      <c r="AJ275" s="4">
        <v>6365</v>
      </c>
      <c r="BC275">
        <v>1.85</v>
      </c>
      <c r="BD275">
        <v>-1.2800000000000001E-2</v>
      </c>
      <c r="BE275">
        <v>1.95</v>
      </c>
      <c r="BF275">
        <v>-1.3599999999999999E-2</v>
      </c>
      <c r="BG275">
        <v>3.8</v>
      </c>
      <c r="BH275">
        <v>-2.64E-2</v>
      </c>
    </row>
    <row r="276" spans="1:60" x14ac:dyDescent="0.35">
      <c r="A276" t="s">
        <v>34</v>
      </c>
      <c r="B276" s="1">
        <v>46146.65625</v>
      </c>
      <c r="C276" t="s">
        <v>34</v>
      </c>
      <c r="D276" s="1">
        <v>46146.625</v>
      </c>
      <c r="E276">
        <v>8200</v>
      </c>
      <c r="F276" t="s">
        <v>36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4</v>
      </c>
      <c r="M276">
        <v>989.7</v>
      </c>
      <c r="N276">
        <v>4</v>
      </c>
      <c r="O276">
        <v>1009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5</v>
      </c>
      <c r="AA276">
        <v>988.9</v>
      </c>
      <c r="AB276">
        <v>5</v>
      </c>
      <c r="AC276">
        <v>1009.2</v>
      </c>
      <c r="AD276">
        <v>0</v>
      </c>
      <c r="AE276">
        <v>0</v>
      </c>
      <c r="AF276">
        <v>0</v>
      </c>
      <c r="AG276">
        <v>0</v>
      </c>
      <c r="AH276">
        <v>0</v>
      </c>
      <c r="AJ276" s="4">
        <v>6370</v>
      </c>
      <c r="AK276">
        <v>0.05</v>
      </c>
      <c r="AL276">
        <v>-4.0000000000000002E-4</v>
      </c>
      <c r="AM276">
        <v>0.05</v>
      </c>
      <c r="AN276">
        <v>-4.0000000000000002E-4</v>
      </c>
      <c r="AS276">
        <v>0.3</v>
      </c>
      <c r="AT276">
        <v>-2.8E-3</v>
      </c>
      <c r="BC276">
        <v>1.85</v>
      </c>
      <c r="BD276">
        <v>-1.2999999999999999E-2</v>
      </c>
      <c r="BE276">
        <v>2</v>
      </c>
      <c r="BF276">
        <v>-1.38E-2</v>
      </c>
      <c r="BG276">
        <v>4.25</v>
      </c>
      <c r="BH276">
        <v>-3.04E-2</v>
      </c>
    </row>
    <row r="277" spans="1:60" x14ac:dyDescent="0.35">
      <c r="A277" t="s">
        <v>34</v>
      </c>
      <c r="B277" s="1">
        <v>46146.65625</v>
      </c>
      <c r="C277" t="s">
        <v>34</v>
      </c>
      <c r="D277" s="1">
        <v>46146.625</v>
      </c>
      <c r="E277">
        <v>8400</v>
      </c>
      <c r="F277" t="s">
        <v>36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4</v>
      </c>
      <c r="M277">
        <v>1189.7</v>
      </c>
      <c r="N277">
        <v>4</v>
      </c>
      <c r="O277">
        <v>1209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5</v>
      </c>
      <c r="AA277">
        <v>1188.9000000000001</v>
      </c>
      <c r="AB277">
        <v>5</v>
      </c>
      <c r="AC277">
        <v>1209.2</v>
      </c>
      <c r="AD277">
        <v>0</v>
      </c>
      <c r="AE277">
        <v>0</v>
      </c>
      <c r="AF277">
        <v>0</v>
      </c>
      <c r="AG277">
        <v>0</v>
      </c>
      <c r="AH277">
        <v>0</v>
      </c>
      <c r="AJ277" s="4">
        <v>6375</v>
      </c>
      <c r="AK277">
        <v>0.05</v>
      </c>
      <c r="AL277">
        <v>-4.0000000000000002E-4</v>
      </c>
      <c r="AM277">
        <v>0.05</v>
      </c>
      <c r="AN277">
        <v>-4.0000000000000002E-4</v>
      </c>
      <c r="AO277">
        <v>0.1</v>
      </c>
      <c r="AP277">
        <v>-1E-3</v>
      </c>
      <c r="AQ277">
        <v>0.2</v>
      </c>
      <c r="AR277">
        <v>-1.8E-3</v>
      </c>
      <c r="AS277">
        <v>0.3</v>
      </c>
      <c r="AT277">
        <v>-2.8E-3</v>
      </c>
      <c r="AU277">
        <v>0.5</v>
      </c>
      <c r="AV277">
        <v>-4.4000000000000003E-3</v>
      </c>
      <c r="AW277">
        <v>0.8</v>
      </c>
      <c r="AX277">
        <v>-6.4999999999999997E-3</v>
      </c>
      <c r="AY277">
        <v>1.1000000000000001</v>
      </c>
      <c r="AZ277">
        <v>-8.6999999999999994E-3</v>
      </c>
      <c r="BA277">
        <v>1.55</v>
      </c>
      <c r="BB277">
        <v>-1.1299999999999999E-2</v>
      </c>
      <c r="BC277">
        <v>1.85</v>
      </c>
      <c r="BD277">
        <v>-1.3100000000000001E-2</v>
      </c>
      <c r="BE277">
        <v>2</v>
      </c>
      <c r="BF277">
        <v>-1.4E-2</v>
      </c>
      <c r="BG277">
        <v>8.5</v>
      </c>
      <c r="BH277">
        <v>-6.4399999999999999E-2</v>
      </c>
    </row>
    <row r="278" spans="1:60" x14ac:dyDescent="0.35">
      <c r="A278" t="s">
        <v>34</v>
      </c>
      <c r="B278" s="1">
        <v>46146.65625</v>
      </c>
      <c r="C278" t="s">
        <v>34</v>
      </c>
      <c r="D278" s="1">
        <v>46146.625</v>
      </c>
      <c r="E278">
        <v>8600</v>
      </c>
      <c r="F278" t="s">
        <v>36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4</v>
      </c>
      <c r="M278">
        <v>1389.6</v>
      </c>
      <c r="N278">
        <v>4</v>
      </c>
      <c r="O278">
        <v>1408.6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5</v>
      </c>
      <c r="AA278">
        <v>1388.9</v>
      </c>
      <c r="AB278">
        <v>5</v>
      </c>
      <c r="AC278">
        <v>1409.2</v>
      </c>
      <c r="AD278">
        <v>0</v>
      </c>
      <c r="AE278">
        <v>0</v>
      </c>
      <c r="AF278">
        <v>0</v>
      </c>
      <c r="AG278">
        <v>0</v>
      </c>
      <c r="AH278">
        <v>0</v>
      </c>
      <c r="AJ278" s="4">
        <v>6380</v>
      </c>
      <c r="AK278">
        <v>0.05</v>
      </c>
      <c r="AL278">
        <v>-4.0000000000000002E-4</v>
      </c>
      <c r="AM278">
        <v>0.05</v>
      </c>
      <c r="AN278">
        <v>-6.9999999999999999E-4</v>
      </c>
      <c r="AS278">
        <v>0.3</v>
      </c>
      <c r="AT278">
        <v>-2.8E-3</v>
      </c>
      <c r="BC278">
        <v>1.9</v>
      </c>
      <c r="BD278">
        <v>-1.34E-2</v>
      </c>
      <c r="BE278">
        <v>2</v>
      </c>
      <c r="BF278">
        <v>-1.41E-2</v>
      </c>
      <c r="BG278">
        <v>4.3</v>
      </c>
      <c r="BH278">
        <v>-3.1399999999999997E-2</v>
      </c>
    </row>
    <row r="279" spans="1:60" x14ac:dyDescent="0.35">
      <c r="A279" t="s">
        <v>34</v>
      </c>
      <c r="B279" s="1">
        <v>46146.65625</v>
      </c>
      <c r="C279" t="s">
        <v>34</v>
      </c>
      <c r="D279" s="1">
        <v>46146.625</v>
      </c>
      <c r="E279">
        <v>8800</v>
      </c>
      <c r="F279" t="s">
        <v>36</v>
      </c>
      <c r="G279">
        <v>1578.18</v>
      </c>
      <c r="H279">
        <v>1578.18</v>
      </c>
      <c r="I279">
        <v>1569.14</v>
      </c>
      <c r="J279">
        <v>1572.1</v>
      </c>
      <c r="K279">
        <v>35</v>
      </c>
      <c r="L279">
        <v>4</v>
      </c>
      <c r="M279">
        <v>1589.7</v>
      </c>
      <c r="N279">
        <v>4</v>
      </c>
      <c r="O279">
        <v>1609.7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5</v>
      </c>
      <c r="AA279">
        <v>1588.9</v>
      </c>
      <c r="AB279">
        <v>5</v>
      </c>
      <c r="AC279">
        <v>1609.2</v>
      </c>
      <c r="AD279">
        <v>0</v>
      </c>
      <c r="AE279">
        <v>0</v>
      </c>
      <c r="AF279">
        <v>1574.1183000000001</v>
      </c>
      <c r="AG279">
        <v>1</v>
      </c>
      <c r="AH279">
        <v>0</v>
      </c>
      <c r="AJ279" s="4">
        <v>6385</v>
      </c>
      <c r="BC279">
        <v>1.9</v>
      </c>
      <c r="BD279">
        <v>-1.35E-2</v>
      </c>
      <c r="BE279">
        <v>2.0499999999999998</v>
      </c>
      <c r="BF279">
        <v>-1.43E-2</v>
      </c>
      <c r="BG279">
        <v>3.9499999999999997</v>
      </c>
      <c r="BH279">
        <v>-2.7799999999999998E-2</v>
      </c>
    </row>
    <row r="280" spans="1:60" x14ac:dyDescent="0.35">
      <c r="A280" t="s">
        <v>34</v>
      </c>
      <c r="B280" s="1">
        <v>46146.65625</v>
      </c>
      <c r="C280" t="s">
        <v>34</v>
      </c>
      <c r="D280" s="1">
        <v>46146.625</v>
      </c>
      <c r="E280">
        <v>9000</v>
      </c>
      <c r="F280" t="s">
        <v>36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4</v>
      </c>
      <c r="M280">
        <v>1789.7</v>
      </c>
      <c r="N280">
        <v>4</v>
      </c>
      <c r="O280">
        <v>1808.9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6</v>
      </c>
      <c r="AA280">
        <v>1788.9</v>
      </c>
      <c r="AB280">
        <v>6</v>
      </c>
      <c r="AC280">
        <v>1809.2</v>
      </c>
      <c r="AD280">
        <v>0</v>
      </c>
      <c r="AE280">
        <v>0</v>
      </c>
      <c r="AF280">
        <v>0</v>
      </c>
      <c r="AG280">
        <v>0</v>
      </c>
      <c r="AH280">
        <v>0</v>
      </c>
      <c r="AJ280" s="4">
        <v>6390</v>
      </c>
      <c r="AK280">
        <v>0.05</v>
      </c>
      <c r="AL280">
        <v>-4.0000000000000002E-4</v>
      </c>
      <c r="AM280">
        <v>0.05</v>
      </c>
      <c r="AN280">
        <v>-6.9999999999999999E-4</v>
      </c>
      <c r="AS280">
        <v>0.3</v>
      </c>
      <c r="AT280">
        <v>-2.8E-3</v>
      </c>
      <c r="BC280">
        <v>1.95</v>
      </c>
      <c r="BD280">
        <v>-1.37E-2</v>
      </c>
      <c r="BE280">
        <v>2.0499999999999998</v>
      </c>
      <c r="BF280">
        <v>-1.4500000000000001E-2</v>
      </c>
      <c r="BG280">
        <v>4.4000000000000004</v>
      </c>
      <c r="BH280">
        <v>-3.2100000000000004E-2</v>
      </c>
    </row>
    <row r="281" spans="1:60" x14ac:dyDescent="0.35">
      <c r="A281" t="s">
        <v>34</v>
      </c>
      <c r="B281" s="1">
        <v>46146.65625</v>
      </c>
      <c r="C281" t="s">
        <v>34</v>
      </c>
      <c r="D281" s="1">
        <v>46146.625</v>
      </c>
      <c r="E281">
        <v>9200</v>
      </c>
      <c r="F281" t="s">
        <v>36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5</v>
      </c>
      <c r="M281">
        <v>1989.7</v>
      </c>
      <c r="N281">
        <v>5</v>
      </c>
      <c r="O281">
        <v>2007.8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6</v>
      </c>
      <c r="AA281">
        <v>1988.9</v>
      </c>
      <c r="AB281">
        <v>6</v>
      </c>
      <c r="AC281">
        <v>2009.2</v>
      </c>
      <c r="AD281">
        <v>0</v>
      </c>
      <c r="AE281">
        <v>0</v>
      </c>
      <c r="AF281">
        <v>0</v>
      </c>
      <c r="AG281">
        <v>0</v>
      </c>
      <c r="AH281">
        <v>0</v>
      </c>
      <c r="AJ281" s="4">
        <v>6395</v>
      </c>
      <c r="BC281">
        <v>2</v>
      </c>
      <c r="BD281">
        <v>-1.4E-2</v>
      </c>
      <c r="BE281">
        <v>2.1</v>
      </c>
      <c r="BF281">
        <v>-1.4800000000000001E-2</v>
      </c>
      <c r="BG281">
        <v>4.0999999999999996</v>
      </c>
      <c r="BH281">
        <v>-2.8799999999999999E-2</v>
      </c>
    </row>
    <row r="282" spans="1:60" x14ac:dyDescent="0.35">
      <c r="A282" t="s">
        <v>34</v>
      </c>
      <c r="B282" s="1">
        <v>46146.65625</v>
      </c>
      <c r="C282" t="s">
        <v>34</v>
      </c>
      <c r="D282" s="1">
        <v>46146.625</v>
      </c>
      <c r="E282">
        <v>9400</v>
      </c>
      <c r="F282" t="s">
        <v>36</v>
      </c>
      <c r="G282">
        <v>2166.8000000000002</v>
      </c>
      <c r="H282">
        <v>2166.8000000000002</v>
      </c>
      <c r="I282">
        <v>2166.8000000000002</v>
      </c>
      <c r="J282">
        <v>2166.8000000000002</v>
      </c>
      <c r="K282">
        <v>1</v>
      </c>
      <c r="L282">
        <v>5</v>
      </c>
      <c r="M282">
        <v>2190</v>
      </c>
      <c r="N282">
        <v>5</v>
      </c>
      <c r="O282">
        <v>2209.8000000000002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6</v>
      </c>
      <c r="AA282">
        <v>2188.9</v>
      </c>
      <c r="AB282">
        <v>6</v>
      </c>
      <c r="AC282">
        <v>2209.1999999999998</v>
      </c>
      <c r="AD282">
        <v>0</v>
      </c>
      <c r="AE282">
        <v>0</v>
      </c>
      <c r="AF282">
        <v>2166.8000000000002</v>
      </c>
      <c r="AG282">
        <v>0</v>
      </c>
      <c r="AH282">
        <v>0</v>
      </c>
      <c r="AJ282" s="4">
        <v>6400</v>
      </c>
      <c r="AK282">
        <v>0.05</v>
      </c>
      <c r="AL282">
        <v>-4.0000000000000002E-4</v>
      </c>
      <c r="AM282">
        <v>0.1</v>
      </c>
      <c r="AN282">
        <v>-6.9999999999999999E-4</v>
      </c>
      <c r="AO282">
        <v>0.1</v>
      </c>
      <c r="AP282">
        <v>-1E-3</v>
      </c>
      <c r="AQ282">
        <v>0.2</v>
      </c>
      <c r="AR282">
        <v>-2.0999999999999999E-3</v>
      </c>
      <c r="AS282">
        <v>0.3</v>
      </c>
      <c r="AT282">
        <v>-2.8E-3</v>
      </c>
      <c r="AU282">
        <v>0.55000000000000004</v>
      </c>
      <c r="AV282">
        <v>-5.0000000000000001E-3</v>
      </c>
      <c r="AW282">
        <v>0.85</v>
      </c>
      <c r="AX282">
        <v>-7.0000000000000001E-3</v>
      </c>
      <c r="AY282">
        <v>1.2</v>
      </c>
      <c r="AZ282">
        <v>-9.4000000000000004E-3</v>
      </c>
      <c r="BA282">
        <v>1.65</v>
      </c>
      <c r="BB282">
        <v>-1.2200000000000001E-2</v>
      </c>
      <c r="BC282">
        <v>2</v>
      </c>
      <c r="BD282">
        <v>-1.41E-2</v>
      </c>
      <c r="BE282">
        <v>2.1</v>
      </c>
      <c r="BF282">
        <v>-1.4999999999999999E-2</v>
      </c>
      <c r="BG282">
        <v>9.1</v>
      </c>
      <c r="BH282">
        <v>-6.9700000000000012E-2</v>
      </c>
    </row>
    <row r="283" spans="1:60" x14ac:dyDescent="0.35">
      <c r="A283" t="s">
        <v>34</v>
      </c>
      <c r="B283" s="1">
        <v>46146.65625</v>
      </c>
      <c r="C283" t="s">
        <v>34</v>
      </c>
      <c r="D283" s="1">
        <v>46147.625</v>
      </c>
      <c r="E283">
        <v>2600</v>
      </c>
      <c r="F283" t="s">
        <v>35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1414</v>
      </c>
      <c r="O283">
        <v>0.05</v>
      </c>
      <c r="P283">
        <v>0</v>
      </c>
      <c r="Q283">
        <v>0</v>
      </c>
      <c r="R283">
        <v>0</v>
      </c>
      <c r="S283">
        <v>0</v>
      </c>
      <c r="T283">
        <v>5.2165999999999997</v>
      </c>
      <c r="U283">
        <v>-1E-4</v>
      </c>
      <c r="V283">
        <v>0</v>
      </c>
      <c r="W283">
        <v>-2.4899999999999999E-2</v>
      </c>
      <c r="X283">
        <v>8.0000000000000004E-4</v>
      </c>
      <c r="Y283">
        <v>0</v>
      </c>
      <c r="Z283">
        <v>0</v>
      </c>
      <c r="AA283">
        <v>0</v>
      </c>
      <c r="AB283">
        <v>1367</v>
      </c>
      <c r="AC283">
        <v>0.05</v>
      </c>
      <c r="AD283">
        <v>0</v>
      </c>
      <c r="AE283">
        <v>0</v>
      </c>
      <c r="AF283">
        <v>0</v>
      </c>
      <c r="AG283">
        <v>1</v>
      </c>
      <c r="AH283">
        <v>0</v>
      </c>
      <c r="AJ283" s="4">
        <v>6405</v>
      </c>
      <c r="BC283">
        <v>2</v>
      </c>
      <c r="BD283">
        <v>-1.43E-2</v>
      </c>
      <c r="BE283">
        <v>2.15</v>
      </c>
      <c r="BF283">
        <v>-1.52E-2</v>
      </c>
      <c r="BG283">
        <v>4.1500000000000004</v>
      </c>
      <c r="BH283">
        <v>-2.9499999999999998E-2</v>
      </c>
    </row>
    <row r="284" spans="1:60" x14ac:dyDescent="0.35">
      <c r="A284" t="s">
        <v>34</v>
      </c>
      <c r="B284" s="1">
        <v>46146.65625</v>
      </c>
      <c r="C284" t="s">
        <v>34</v>
      </c>
      <c r="D284" s="1">
        <v>46147.625</v>
      </c>
      <c r="E284">
        <v>2800</v>
      </c>
      <c r="F284" t="s">
        <v>35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1392</v>
      </c>
      <c r="O284">
        <v>0.05</v>
      </c>
      <c r="P284">
        <v>0</v>
      </c>
      <c r="Q284">
        <v>0</v>
      </c>
      <c r="R284">
        <v>0</v>
      </c>
      <c r="S284">
        <v>0</v>
      </c>
      <c r="T284">
        <v>4.8472999999999997</v>
      </c>
      <c r="U284">
        <v>-1E-4</v>
      </c>
      <c r="V284">
        <v>0</v>
      </c>
      <c r="W284">
        <v>-2.4899999999999999E-2</v>
      </c>
      <c r="X284">
        <v>8.9999999999999998E-4</v>
      </c>
      <c r="Y284">
        <v>0</v>
      </c>
      <c r="Z284">
        <v>0</v>
      </c>
      <c r="AA284">
        <v>0</v>
      </c>
      <c r="AB284">
        <v>1351</v>
      </c>
      <c r="AC284">
        <v>0.05</v>
      </c>
      <c r="AD284">
        <v>0</v>
      </c>
      <c r="AE284">
        <v>0</v>
      </c>
      <c r="AF284">
        <v>0</v>
      </c>
      <c r="AG284">
        <v>2</v>
      </c>
      <c r="AH284">
        <v>0</v>
      </c>
      <c r="AJ284" s="4">
        <v>6410</v>
      </c>
      <c r="AK284">
        <v>0.05</v>
      </c>
      <c r="AL284">
        <v>-4.0000000000000002E-4</v>
      </c>
      <c r="AM284">
        <v>0.1</v>
      </c>
      <c r="AN284">
        <v>-8.0000000000000004E-4</v>
      </c>
      <c r="AS284">
        <v>0.35</v>
      </c>
      <c r="AT284">
        <v>-3.3E-3</v>
      </c>
      <c r="BC284">
        <v>2.0499999999999998</v>
      </c>
      <c r="BD284">
        <v>-1.4500000000000001E-2</v>
      </c>
      <c r="BE284">
        <v>2.2000000000000002</v>
      </c>
      <c r="BF284">
        <v>-1.55E-2</v>
      </c>
      <c r="BG284">
        <v>4.75</v>
      </c>
      <c r="BH284">
        <v>-3.4500000000000003E-2</v>
      </c>
    </row>
    <row r="285" spans="1:60" x14ac:dyDescent="0.35">
      <c r="A285" t="s">
        <v>34</v>
      </c>
      <c r="B285" s="1">
        <v>46146.65625</v>
      </c>
      <c r="C285" t="s">
        <v>34</v>
      </c>
      <c r="D285" s="1">
        <v>46147.625</v>
      </c>
      <c r="E285">
        <v>3000</v>
      </c>
      <c r="F285" t="s">
        <v>35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1423</v>
      </c>
      <c r="O285">
        <v>0.05</v>
      </c>
      <c r="P285">
        <v>0</v>
      </c>
      <c r="Q285">
        <v>0</v>
      </c>
      <c r="R285">
        <v>0</v>
      </c>
      <c r="S285">
        <v>0</v>
      </c>
      <c r="T285">
        <v>4.5038999999999998</v>
      </c>
      <c r="U285">
        <v>-1E-4</v>
      </c>
      <c r="V285">
        <v>0</v>
      </c>
      <c r="W285">
        <v>-2.4899999999999999E-2</v>
      </c>
      <c r="X285">
        <v>1E-3</v>
      </c>
      <c r="Y285">
        <v>0</v>
      </c>
      <c r="Z285">
        <v>0</v>
      </c>
      <c r="AA285">
        <v>0</v>
      </c>
      <c r="AB285">
        <v>1380</v>
      </c>
      <c r="AC285">
        <v>0.05</v>
      </c>
      <c r="AD285">
        <v>0</v>
      </c>
      <c r="AE285">
        <v>0</v>
      </c>
      <c r="AF285">
        <v>0</v>
      </c>
      <c r="AG285">
        <v>1</v>
      </c>
      <c r="AH285">
        <v>0</v>
      </c>
      <c r="AJ285" s="4">
        <v>6415</v>
      </c>
      <c r="BC285">
        <v>2.0499999999999998</v>
      </c>
      <c r="BD285">
        <v>-1.4800000000000001E-2</v>
      </c>
      <c r="BE285">
        <v>2.2000000000000002</v>
      </c>
      <c r="BF285">
        <v>-1.5699999999999999E-2</v>
      </c>
      <c r="BG285">
        <v>4.25</v>
      </c>
      <c r="BH285">
        <v>-3.0499999999999999E-2</v>
      </c>
    </row>
    <row r="286" spans="1:60" x14ac:dyDescent="0.35">
      <c r="A286" t="s">
        <v>34</v>
      </c>
      <c r="B286" s="1">
        <v>46146.65625</v>
      </c>
      <c r="C286" t="s">
        <v>34</v>
      </c>
      <c r="D286" s="1">
        <v>46147.625</v>
      </c>
      <c r="E286">
        <v>3200</v>
      </c>
      <c r="F286" t="s">
        <v>35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1416</v>
      </c>
      <c r="O286">
        <v>0.05</v>
      </c>
      <c r="P286">
        <v>0</v>
      </c>
      <c r="Q286">
        <v>0</v>
      </c>
      <c r="R286">
        <v>0</v>
      </c>
      <c r="S286">
        <v>0</v>
      </c>
      <c r="T286">
        <v>4.1826999999999996</v>
      </c>
      <c r="U286">
        <v>-1E-4</v>
      </c>
      <c r="V286">
        <v>0</v>
      </c>
      <c r="W286">
        <v>-2.4899999999999999E-2</v>
      </c>
      <c r="X286">
        <v>1E-3</v>
      </c>
      <c r="Y286">
        <v>0</v>
      </c>
      <c r="Z286">
        <v>0</v>
      </c>
      <c r="AA286">
        <v>0</v>
      </c>
      <c r="AB286">
        <v>1377</v>
      </c>
      <c r="AC286">
        <v>0.05</v>
      </c>
      <c r="AD286">
        <v>0</v>
      </c>
      <c r="AE286">
        <v>0</v>
      </c>
      <c r="AF286">
        <v>0</v>
      </c>
      <c r="AG286">
        <v>36</v>
      </c>
      <c r="AH286">
        <v>0</v>
      </c>
      <c r="AJ286" s="4">
        <v>6420</v>
      </c>
      <c r="AK286">
        <v>0.05</v>
      </c>
      <c r="AL286">
        <v>-4.0000000000000002E-4</v>
      </c>
      <c r="AM286">
        <v>0.1</v>
      </c>
      <c r="AN286">
        <v>-8.0000000000000004E-4</v>
      </c>
      <c r="AS286">
        <v>0.35</v>
      </c>
      <c r="AT286">
        <v>-3.3999999999999998E-3</v>
      </c>
      <c r="BC286">
        <v>2.1</v>
      </c>
      <c r="BD286">
        <v>-1.4999999999999999E-2</v>
      </c>
      <c r="BE286">
        <v>2.25</v>
      </c>
      <c r="BF286">
        <v>-1.6E-2</v>
      </c>
      <c r="BG286">
        <v>4.8499999999999996</v>
      </c>
      <c r="BH286">
        <v>-3.56E-2</v>
      </c>
    </row>
    <row r="287" spans="1:60" x14ac:dyDescent="0.35">
      <c r="A287" t="s">
        <v>34</v>
      </c>
      <c r="B287" s="1">
        <v>46146.65625</v>
      </c>
      <c r="C287" t="s">
        <v>34</v>
      </c>
      <c r="D287" s="1">
        <v>46147.625</v>
      </c>
      <c r="E287">
        <v>3400</v>
      </c>
      <c r="F287" t="s">
        <v>35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1416</v>
      </c>
      <c r="O287">
        <v>0.05</v>
      </c>
      <c r="P287">
        <v>0</v>
      </c>
      <c r="Q287">
        <v>0</v>
      </c>
      <c r="R287">
        <v>0</v>
      </c>
      <c r="S287">
        <v>0</v>
      </c>
      <c r="T287">
        <v>3.8809</v>
      </c>
      <c r="U287">
        <v>-1E-4</v>
      </c>
      <c r="V287">
        <v>0</v>
      </c>
      <c r="W287">
        <v>-2.4899999999999999E-2</v>
      </c>
      <c r="X287">
        <v>1.1000000000000001E-3</v>
      </c>
      <c r="Y287">
        <v>0</v>
      </c>
      <c r="Z287">
        <v>0</v>
      </c>
      <c r="AA287">
        <v>0</v>
      </c>
      <c r="AB287">
        <v>1371</v>
      </c>
      <c r="AC287">
        <v>0.05</v>
      </c>
      <c r="AD287">
        <v>0</v>
      </c>
      <c r="AE287">
        <v>0</v>
      </c>
      <c r="AF287">
        <v>0</v>
      </c>
      <c r="AG287">
        <v>6</v>
      </c>
      <c r="AH287">
        <v>0</v>
      </c>
      <c r="AJ287" s="4">
        <v>6425</v>
      </c>
      <c r="AK287">
        <v>0.05</v>
      </c>
      <c r="AL287">
        <v>-4.0000000000000002E-4</v>
      </c>
      <c r="AM287">
        <v>0.1</v>
      </c>
      <c r="AN287">
        <v>-8.0000000000000004E-4</v>
      </c>
      <c r="AO287">
        <v>0.15</v>
      </c>
      <c r="AP287">
        <v>-1.4E-3</v>
      </c>
      <c r="AQ287">
        <v>0.2</v>
      </c>
      <c r="AR287">
        <v>-1.9E-3</v>
      </c>
      <c r="AS287">
        <v>0.35</v>
      </c>
      <c r="AT287">
        <v>-3.3999999999999998E-3</v>
      </c>
      <c r="AU287">
        <v>0.6</v>
      </c>
      <c r="AV287">
        <v>-5.3E-3</v>
      </c>
      <c r="AW287">
        <v>0.9</v>
      </c>
      <c r="AX287">
        <v>-7.6E-3</v>
      </c>
      <c r="AY287">
        <v>1.25</v>
      </c>
      <c r="AZ287">
        <v>-1.0200000000000001E-2</v>
      </c>
      <c r="BA287">
        <v>1.75</v>
      </c>
      <c r="BB287">
        <v>-1.32E-2</v>
      </c>
      <c r="BC287">
        <v>2.1</v>
      </c>
      <c r="BD287">
        <v>-1.52E-2</v>
      </c>
      <c r="BE287">
        <v>2.25</v>
      </c>
      <c r="BF287">
        <v>-1.6199999999999999E-2</v>
      </c>
      <c r="BG287">
        <v>9.6999999999999993</v>
      </c>
      <c r="BH287">
        <v>-7.5600000000000001E-2</v>
      </c>
    </row>
    <row r="288" spans="1:60" x14ac:dyDescent="0.35">
      <c r="A288" t="s">
        <v>34</v>
      </c>
      <c r="B288" s="1">
        <v>46146.65625</v>
      </c>
      <c r="C288" t="s">
        <v>34</v>
      </c>
      <c r="D288" s="1">
        <v>46147.625</v>
      </c>
      <c r="E288">
        <v>3600</v>
      </c>
      <c r="F288" t="s">
        <v>36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1406</v>
      </c>
      <c r="O288">
        <v>0.05</v>
      </c>
      <c r="P288">
        <v>0</v>
      </c>
      <c r="Q288">
        <v>0</v>
      </c>
      <c r="R288">
        <v>0</v>
      </c>
      <c r="S288">
        <v>0</v>
      </c>
      <c r="T288">
        <v>3.5960000000000001</v>
      </c>
      <c r="U288">
        <v>-1E-4</v>
      </c>
      <c r="V288">
        <v>0</v>
      </c>
      <c r="W288">
        <v>-2.4899999999999999E-2</v>
      </c>
      <c r="X288">
        <v>1.1999999999999999E-3</v>
      </c>
      <c r="Y288">
        <v>0</v>
      </c>
      <c r="Z288">
        <v>0</v>
      </c>
      <c r="AA288">
        <v>0</v>
      </c>
      <c r="AB288">
        <v>1365</v>
      </c>
      <c r="AC288">
        <v>0.05</v>
      </c>
      <c r="AD288">
        <v>0</v>
      </c>
      <c r="AE288">
        <v>0</v>
      </c>
      <c r="AF288">
        <v>0</v>
      </c>
      <c r="AG288">
        <v>172</v>
      </c>
      <c r="AH288">
        <v>0</v>
      </c>
      <c r="AJ288" s="4">
        <v>6430</v>
      </c>
      <c r="AK288">
        <v>0.05</v>
      </c>
      <c r="AL288">
        <v>-4.0000000000000002E-4</v>
      </c>
      <c r="AM288">
        <v>0.1</v>
      </c>
      <c r="AN288">
        <v>-8.0000000000000004E-4</v>
      </c>
      <c r="AS288">
        <v>0.35</v>
      </c>
      <c r="AT288">
        <v>-3.3999999999999998E-3</v>
      </c>
      <c r="BC288">
        <v>2.15</v>
      </c>
      <c r="BD288">
        <v>-1.54E-2</v>
      </c>
      <c r="BE288">
        <v>2.2999999999999998</v>
      </c>
      <c r="BF288">
        <v>-1.6400000000000001E-2</v>
      </c>
      <c r="BG288">
        <v>4.9499999999999993</v>
      </c>
      <c r="BH288">
        <v>-3.6400000000000002E-2</v>
      </c>
    </row>
    <row r="289" spans="1:60" x14ac:dyDescent="0.35">
      <c r="A289" t="s">
        <v>34</v>
      </c>
      <c r="B289" s="1">
        <v>46146.65625</v>
      </c>
      <c r="C289" t="s">
        <v>34</v>
      </c>
      <c r="D289" s="1">
        <v>46147.625</v>
      </c>
      <c r="E289">
        <v>3800</v>
      </c>
      <c r="F289" t="s">
        <v>36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1400</v>
      </c>
      <c r="O289">
        <v>0.05</v>
      </c>
      <c r="P289">
        <v>0</v>
      </c>
      <c r="Q289">
        <v>0</v>
      </c>
      <c r="R289">
        <v>0</v>
      </c>
      <c r="S289">
        <v>0</v>
      </c>
      <c r="T289">
        <v>3.3262999999999998</v>
      </c>
      <c r="U289">
        <v>-1E-4</v>
      </c>
      <c r="V289">
        <v>0</v>
      </c>
      <c r="W289">
        <v>-2.4899999999999999E-2</v>
      </c>
      <c r="X289">
        <v>1.2999999999999999E-3</v>
      </c>
      <c r="Y289">
        <v>0</v>
      </c>
      <c r="Z289">
        <v>0</v>
      </c>
      <c r="AA289">
        <v>0</v>
      </c>
      <c r="AB289">
        <v>1358</v>
      </c>
      <c r="AC289">
        <v>0.05</v>
      </c>
      <c r="AD289">
        <v>0</v>
      </c>
      <c r="AE289">
        <v>0</v>
      </c>
      <c r="AF289">
        <v>0</v>
      </c>
      <c r="AG289">
        <v>39</v>
      </c>
      <c r="AH289">
        <v>0</v>
      </c>
      <c r="AJ289" s="4">
        <v>6435</v>
      </c>
      <c r="BC289">
        <v>2.15</v>
      </c>
      <c r="BD289">
        <v>-1.5699999999999999E-2</v>
      </c>
      <c r="BE289">
        <v>2.35</v>
      </c>
      <c r="BF289">
        <v>-1.6799999999999999E-2</v>
      </c>
      <c r="BG289">
        <v>4.5</v>
      </c>
      <c r="BH289">
        <v>-3.2500000000000001E-2</v>
      </c>
    </row>
    <row r="290" spans="1:60" x14ac:dyDescent="0.35">
      <c r="A290" t="s">
        <v>34</v>
      </c>
      <c r="B290" s="1">
        <v>46146.65625</v>
      </c>
      <c r="C290" t="s">
        <v>34</v>
      </c>
      <c r="D290" s="1">
        <v>46147.625</v>
      </c>
      <c r="E290">
        <v>4000</v>
      </c>
      <c r="F290" t="s">
        <v>36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1393</v>
      </c>
      <c r="O290">
        <v>0.05</v>
      </c>
      <c r="P290">
        <v>0</v>
      </c>
      <c r="Q290">
        <v>0</v>
      </c>
      <c r="R290">
        <v>0</v>
      </c>
      <c r="S290">
        <v>0</v>
      </c>
      <c r="T290">
        <v>3.0701000000000001</v>
      </c>
      <c r="U290">
        <v>-1E-4</v>
      </c>
      <c r="V290">
        <v>0</v>
      </c>
      <c r="W290">
        <v>-2.4899999999999999E-2</v>
      </c>
      <c r="X290">
        <v>1.4E-3</v>
      </c>
      <c r="Y290">
        <v>0</v>
      </c>
      <c r="Z290">
        <v>0</v>
      </c>
      <c r="AA290">
        <v>0</v>
      </c>
      <c r="AB290">
        <v>1349</v>
      </c>
      <c r="AC290">
        <v>0.05</v>
      </c>
      <c r="AD290">
        <v>0</v>
      </c>
      <c r="AE290">
        <v>0</v>
      </c>
      <c r="AF290">
        <v>0</v>
      </c>
      <c r="AG290">
        <v>53</v>
      </c>
      <c r="AH290">
        <v>0</v>
      </c>
      <c r="AJ290" s="4">
        <v>6440</v>
      </c>
      <c r="AK290">
        <v>0.05</v>
      </c>
      <c r="AL290">
        <v>-4.0000000000000002E-4</v>
      </c>
      <c r="AM290">
        <v>0.1</v>
      </c>
      <c r="AN290">
        <v>-8.0000000000000004E-4</v>
      </c>
      <c r="AS290">
        <v>0.35</v>
      </c>
      <c r="AT290">
        <v>-3.5000000000000001E-3</v>
      </c>
      <c r="BC290">
        <v>2.2000000000000002</v>
      </c>
      <c r="BD290">
        <v>-1.5900000000000001E-2</v>
      </c>
      <c r="BE290">
        <v>2.35</v>
      </c>
      <c r="BF290">
        <v>-1.6899999999999998E-2</v>
      </c>
      <c r="BG290">
        <v>5.0500000000000007</v>
      </c>
      <c r="BH290">
        <v>-3.7499999999999999E-2</v>
      </c>
    </row>
    <row r="291" spans="1:60" x14ac:dyDescent="0.35">
      <c r="A291" t="s">
        <v>34</v>
      </c>
      <c r="B291" s="1">
        <v>46146.65625</v>
      </c>
      <c r="C291" t="s">
        <v>34</v>
      </c>
      <c r="D291" s="1">
        <v>46147.625</v>
      </c>
      <c r="E291">
        <v>4200</v>
      </c>
      <c r="F291" t="s">
        <v>36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1383</v>
      </c>
      <c r="O291">
        <v>0.05</v>
      </c>
      <c r="P291">
        <v>0</v>
      </c>
      <c r="Q291">
        <v>0</v>
      </c>
      <c r="R291">
        <v>0</v>
      </c>
      <c r="S291">
        <v>0</v>
      </c>
      <c r="T291">
        <v>2.8260000000000001</v>
      </c>
      <c r="U291">
        <v>-1E-4</v>
      </c>
      <c r="V291">
        <v>0</v>
      </c>
      <c r="W291">
        <v>-2.4899999999999999E-2</v>
      </c>
      <c r="X291">
        <v>1.5E-3</v>
      </c>
      <c r="Y291">
        <v>0</v>
      </c>
      <c r="Z291">
        <v>0</v>
      </c>
      <c r="AA291">
        <v>0</v>
      </c>
      <c r="AB291">
        <v>1338</v>
      </c>
      <c r="AC291">
        <v>0.05</v>
      </c>
      <c r="AD291">
        <v>0</v>
      </c>
      <c r="AE291">
        <v>0</v>
      </c>
      <c r="AF291">
        <v>0</v>
      </c>
      <c r="AG291">
        <v>115</v>
      </c>
      <c r="AH291">
        <v>0</v>
      </c>
      <c r="AJ291" s="4">
        <v>6445</v>
      </c>
      <c r="BC291">
        <v>2.25</v>
      </c>
      <c r="BD291">
        <v>-1.6299999999999999E-2</v>
      </c>
      <c r="BE291">
        <v>2.4</v>
      </c>
      <c r="BF291">
        <v>-1.72E-2</v>
      </c>
      <c r="BG291">
        <v>4.6500000000000004</v>
      </c>
      <c r="BH291">
        <v>-3.3500000000000002E-2</v>
      </c>
    </row>
    <row r="292" spans="1:60" x14ac:dyDescent="0.35">
      <c r="A292" t="s">
        <v>34</v>
      </c>
      <c r="B292" s="1">
        <v>46146.65625</v>
      </c>
      <c r="C292" t="s">
        <v>34</v>
      </c>
      <c r="D292" s="1">
        <v>46147.625</v>
      </c>
      <c r="E292">
        <v>4400</v>
      </c>
      <c r="F292" t="s">
        <v>36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1370</v>
      </c>
      <c r="O292">
        <v>0.05</v>
      </c>
      <c r="P292">
        <v>0</v>
      </c>
      <c r="Q292">
        <v>0</v>
      </c>
      <c r="R292">
        <v>0</v>
      </c>
      <c r="S292">
        <v>0</v>
      </c>
      <c r="T292">
        <v>2.5926999999999998</v>
      </c>
      <c r="U292">
        <v>-1E-4</v>
      </c>
      <c r="V292">
        <v>0</v>
      </c>
      <c r="W292">
        <v>-2.4899999999999999E-2</v>
      </c>
      <c r="X292">
        <v>1.6000000000000001E-3</v>
      </c>
      <c r="Y292">
        <v>0</v>
      </c>
      <c r="Z292">
        <v>0</v>
      </c>
      <c r="AA292">
        <v>0</v>
      </c>
      <c r="AB292">
        <v>1329</v>
      </c>
      <c r="AC292">
        <v>0.05</v>
      </c>
      <c r="AD292">
        <v>0</v>
      </c>
      <c r="AE292">
        <v>0</v>
      </c>
      <c r="AF292">
        <v>0</v>
      </c>
      <c r="AG292">
        <v>752</v>
      </c>
      <c r="AH292">
        <v>0</v>
      </c>
      <c r="AJ292" s="4">
        <v>6450</v>
      </c>
      <c r="AK292">
        <v>0.05</v>
      </c>
      <c r="AL292">
        <v>-4.0000000000000002E-4</v>
      </c>
      <c r="AM292">
        <v>0.1</v>
      </c>
      <c r="AN292">
        <v>-8.0000000000000004E-4</v>
      </c>
      <c r="AO292">
        <v>0.15</v>
      </c>
      <c r="AP292">
        <v>-1.4E-3</v>
      </c>
      <c r="AQ292">
        <v>0.2</v>
      </c>
      <c r="AR292">
        <v>-2.2000000000000001E-3</v>
      </c>
      <c r="AS292">
        <v>0.35</v>
      </c>
      <c r="AT292">
        <v>-3.5000000000000001E-3</v>
      </c>
      <c r="AU292">
        <v>0.65</v>
      </c>
      <c r="AV292">
        <v>-5.8999999999999999E-3</v>
      </c>
      <c r="AW292">
        <v>0.95</v>
      </c>
      <c r="AX292">
        <v>-8.2000000000000007E-3</v>
      </c>
      <c r="AY292">
        <v>1.35</v>
      </c>
      <c r="AZ292">
        <v>-1.0999999999999999E-2</v>
      </c>
      <c r="BA292">
        <v>1.9</v>
      </c>
      <c r="BB292">
        <v>-1.43E-2</v>
      </c>
      <c r="BC292">
        <v>2.25</v>
      </c>
      <c r="BD292">
        <v>-1.6500000000000001E-2</v>
      </c>
      <c r="BE292">
        <v>2.4</v>
      </c>
      <c r="BF292">
        <v>-1.7299999999999999E-2</v>
      </c>
      <c r="BG292">
        <v>10.35</v>
      </c>
      <c r="BH292">
        <v>-8.1500000000000003E-2</v>
      </c>
    </row>
    <row r="293" spans="1:60" x14ac:dyDescent="0.35">
      <c r="A293" t="s">
        <v>34</v>
      </c>
      <c r="B293" s="1">
        <v>46146.65625</v>
      </c>
      <c r="C293" t="s">
        <v>34</v>
      </c>
      <c r="D293" s="1">
        <v>46147.625</v>
      </c>
      <c r="E293">
        <v>4600</v>
      </c>
      <c r="F293" t="s">
        <v>36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678</v>
      </c>
      <c r="O293">
        <v>0.05</v>
      </c>
      <c r="P293">
        <v>0</v>
      </c>
      <c r="Q293">
        <v>0</v>
      </c>
      <c r="R293">
        <v>0</v>
      </c>
      <c r="S293">
        <v>0</v>
      </c>
      <c r="T293">
        <v>2.3693</v>
      </c>
      <c r="U293">
        <v>-1E-4</v>
      </c>
      <c r="V293">
        <v>0</v>
      </c>
      <c r="W293">
        <v>-2.4899999999999999E-2</v>
      </c>
      <c r="X293">
        <v>1.8E-3</v>
      </c>
      <c r="Y293">
        <v>0</v>
      </c>
      <c r="Z293">
        <v>0</v>
      </c>
      <c r="AA293">
        <v>0</v>
      </c>
      <c r="AB293">
        <v>476</v>
      </c>
      <c r="AC293">
        <v>0.05</v>
      </c>
      <c r="AD293">
        <v>0</v>
      </c>
      <c r="AE293">
        <v>0</v>
      </c>
      <c r="AF293">
        <v>0</v>
      </c>
      <c r="AG293">
        <v>262</v>
      </c>
      <c r="AH293">
        <v>0</v>
      </c>
      <c r="AJ293" s="4">
        <v>6455</v>
      </c>
      <c r="BC293">
        <v>2.2999999999999998</v>
      </c>
      <c r="BD293">
        <v>-1.67E-2</v>
      </c>
      <c r="BE293">
        <v>2.4500000000000002</v>
      </c>
      <c r="BF293">
        <v>-1.77E-2</v>
      </c>
      <c r="BG293">
        <v>4.75</v>
      </c>
      <c r="BH293">
        <v>-3.44E-2</v>
      </c>
    </row>
    <row r="294" spans="1:60" x14ac:dyDescent="0.35">
      <c r="A294" t="s">
        <v>34</v>
      </c>
      <c r="B294" s="1">
        <v>46146.65625</v>
      </c>
      <c r="C294" t="s">
        <v>34</v>
      </c>
      <c r="D294" s="1">
        <v>46147.625</v>
      </c>
      <c r="E294">
        <v>4800</v>
      </c>
      <c r="F294" t="s">
        <v>36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644</v>
      </c>
      <c r="O294">
        <v>0.05</v>
      </c>
      <c r="P294">
        <v>0</v>
      </c>
      <c r="Q294">
        <v>0</v>
      </c>
      <c r="R294">
        <v>0</v>
      </c>
      <c r="S294">
        <v>0</v>
      </c>
      <c r="T294">
        <v>2.1547999999999998</v>
      </c>
      <c r="U294">
        <v>-1E-4</v>
      </c>
      <c r="V294">
        <v>0</v>
      </c>
      <c r="W294">
        <v>-2.4899999999999999E-2</v>
      </c>
      <c r="X294">
        <v>1.9E-3</v>
      </c>
      <c r="Y294">
        <v>0</v>
      </c>
      <c r="Z294">
        <v>0</v>
      </c>
      <c r="AA294">
        <v>0</v>
      </c>
      <c r="AB294">
        <v>486</v>
      </c>
      <c r="AC294">
        <v>0.05</v>
      </c>
      <c r="AD294">
        <v>0</v>
      </c>
      <c r="AE294">
        <v>0</v>
      </c>
      <c r="AF294">
        <v>0</v>
      </c>
      <c r="AG294">
        <v>130</v>
      </c>
      <c r="AH294">
        <v>0</v>
      </c>
      <c r="AJ294" s="4">
        <v>6460</v>
      </c>
      <c r="AK294">
        <v>0.05</v>
      </c>
      <c r="AL294">
        <v>-4.0000000000000002E-4</v>
      </c>
      <c r="AM294">
        <v>0.1</v>
      </c>
      <c r="AN294">
        <v>-8.0000000000000004E-4</v>
      </c>
      <c r="AO294">
        <v>0.15</v>
      </c>
      <c r="AP294">
        <v>-1.4E-3</v>
      </c>
      <c r="AQ294">
        <v>0.2</v>
      </c>
      <c r="AR294">
        <v>-2.3E-3</v>
      </c>
      <c r="AS294">
        <v>0.35</v>
      </c>
      <c r="AT294">
        <v>-3.5000000000000001E-3</v>
      </c>
      <c r="BC294">
        <v>2.2999999999999998</v>
      </c>
      <c r="BD294">
        <v>-1.6899999999999998E-2</v>
      </c>
      <c r="BE294">
        <v>2.5</v>
      </c>
      <c r="BF294">
        <v>-1.8100000000000002E-2</v>
      </c>
      <c r="BG294">
        <v>5.65</v>
      </c>
      <c r="BH294">
        <v>-4.3399999999999994E-2</v>
      </c>
    </row>
    <row r="295" spans="1:60" x14ac:dyDescent="0.35">
      <c r="A295" t="s">
        <v>34</v>
      </c>
      <c r="B295" s="1">
        <v>46146.65625</v>
      </c>
      <c r="C295" t="s">
        <v>34</v>
      </c>
      <c r="D295" s="1">
        <v>46147.625</v>
      </c>
      <c r="E295">
        <v>5000</v>
      </c>
      <c r="F295" t="s">
        <v>36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650</v>
      </c>
      <c r="O295">
        <v>0.05</v>
      </c>
      <c r="P295">
        <v>0</v>
      </c>
      <c r="Q295">
        <v>0</v>
      </c>
      <c r="R295">
        <v>0</v>
      </c>
      <c r="S295">
        <v>0</v>
      </c>
      <c r="T295">
        <v>1.9482999999999999</v>
      </c>
      <c r="U295">
        <v>-2.0000000000000001E-4</v>
      </c>
      <c r="V295">
        <v>0</v>
      </c>
      <c r="W295">
        <v>-2.4899999999999999E-2</v>
      </c>
      <c r="X295">
        <v>2.0999999999999999E-3</v>
      </c>
      <c r="Y295">
        <v>0</v>
      </c>
      <c r="Z295">
        <v>0</v>
      </c>
      <c r="AA295">
        <v>0</v>
      </c>
      <c r="AB295">
        <v>493</v>
      </c>
      <c r="AC295">
        <v>0.05</v>
      </c>
      <c r="AD295">
        <v>0</v>
      </c>
      <c r="AE295">
        <v>0</v>
      </c>
      <c r="AF295">
        <v>0</v>
      </c>
      <c r="AG295">
        <v>349</v>
      </c>
      <c r="AH295">
        <v>0</v>
      </c>
      <c r="AI295">
        <f t="shared" ref="AI295:AI358" si="0">AJ295/AJ$454-1</f>
        <v>-0.10950413223140498</v>
      </c>
      <c r="AJ295" s="4">
        <v>6465</v>
      </c>
      <c r="BC295">
        <v>2.35</v>
      </c>
      <c r="BD295">
        <v>-1.72E-2</v>
      </c>
      <c r="BE295">
        <v>2.5</v>
      </c>
      <c r="BF295">
        <v>-1.8200000000000001E-2</v>
      </c>
      <c r="BG295">
        <v>4.8499999999999996</v>
      </c>
      <c r="BH295">
        <v>-3.5400000000000001E-2</v>
      </c>
    </row>
    <row r="296" spans="1:60" x14ac:dyDescent="0.35">
      <c r="A296" t="s">
        <v>34</v>
      </c>
      <c r="B296" s="1">
        <v>46146.65625</v>
      </c>
      <c r="C296" t="s">
        <v>34</v>
      </c>
      <c r="D296" s="1">
        <v>46147.625</v>
      </c>
      <c r="E296">
        <v>5200</v>
      </c>
      <c r="F296" t="s">
        <v>36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600</v>
      </c>
      <c r="O296">
        <v>0.05</v>
      </c>
      <c r="P296">
        <v>0</v>
      </c>
      <c r="Q296">
        <v>0</v>
      </c>
      <c r="R296">
        <v>0</v>
      </c>
      <c r="S296">
        <v>0</v>
      </c>
      <c r="T296">
        <v>1.7493000000000001</v>
      </c>
      <c r="U296">
        <v>-2.0000000000000001E-4</v>
      </c>
      <c r="V296">
        <v>0</v>
      </c>
      <c r="W296">
        <v>-2.4899999999999999E-2</v>
      </c>
      <c r="X296">
        <v>2.3E-3</v>
      </c>
      <c r="Y296">
        <v>0</v>
      </c>
      <c r="Z296">
        <v>0</v>
      </c>
      <c r="AA296">
        <v>0</v>
      </c>
      <c r="AB296">
        <v>514</v>
      </c>
      <c r="AC296">
        <v>0.05</v>
      </c>
      <c r="AD296">
        <v>0</v>
      </c>
      <c r="AE296">
        <v>0</v>
      </c>
      <c r="AF296">
        <v>0</v>
      </c>
      <c r="AG296">
        <v>1082</v>
      </c>
      <c r="AH296">
        <v>0</v>
      </c>
      <c r="AI296">
        <f t="shared" si="0"/>
        <v>-0.10881542699724522</v>
      </c>
      <c r="AJ296" s="4">
        <v>6470</v>
      </c>
      <c r="AK296">
        <v>0.05</v>
      </c>
      <c r="AL296">
        <v>-5.0000000000000001E-4</v>
      </c>
      <c r="AM296">
        <v>0.1</v>
      </c>
      <c r="AN296">
        <v>-8.0000000000000004E-4</v>
      </c>
      <c r="AO296">
        <v>0.15</v>
      </c>
      <c r="AP296">
        <v>-1.4E-3</v>
      </c>
      <c r="AQ296">
        <v>0.2</v>
      </c>
      <c r="AR296">
        <v>-2.3E-3</v>
      </c>
      <c r="AS296">
        <v>0.4</v>
      </c>
      <c r="AT296">
        <v>-4.1000000000000003E-3</v>
      </c>
      <c r="BC296">
        <v>2.4</v>
      </c>
      <c r="BD296">
        <v>-1.7600000000000001E-2</v>
      </c>
      <c r="BE296">
        <v>2.5499999999999998</v>
      </c>
      <c r="BF296">
        <v>-1.8599999999999998E-2</v>
      </c>
      <c r="BG296">
        <v>5.85</v>
      </c>
      <c r="BH296">
        <v>-4.53E-2</v>
      </c>
    </row>
    <row r="297" spans="1:60" x14ac:dyDescent="0.35">
      <c r="A297" t="s">
        <v>34</v>
      </c>
      <c r="B297" s="1">
        <v>46146.65625</v>
      </c>
      <c r="C297" t="s">
        <v>34</v>
      </c>
      <c r="D297" s="1">
        <v>46147.625</v>
      </c>
      <c r="E297">
        <v>5300</v>
      </c>
      <c r="F297" t="s">
        <v>36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580</v>
      </c>
      <c r="O297">
        <v>0.05</v>
      </c>
      <c r="P297">
        <v>0</v>
      </c>
      <c r="Q297">
        <v>0</v>
      </c>
      <c r="R297">
        <v>0</v>
      </c>
      <c r="S297">
        <v>0</v>
      </c>
      <c r="T297">
        <v>1.6523000000000001</v>
      </c>
      <c r="U297">
        <v>-2.0000000000000001E-4</v>
      </c>
      <c r="V297">
        <v>0</v>
      </c>
      <c r="W297">
        <v>-2.4899999999999999E-2</v>
      </c>
      <c r="X297">
        <v>2.5000000000000001E-3</v>
      </c>
      <c r="Y297">
        <v>0</v>
      </c>
      <c r="Z297">
        <v>0</v>
      </c>
      <c r="AA297">
        <v>0</v>
      </c>
      <c r="AB297">
        <v>501</v>
      </c>
      <c r="AC297">
        <v>0.05</v>
      </c>
      <c r="AD297">
        <v>0</v>
      </c>
      <c r="AE297">
        <v>0</v>
      </c>
      <c r="AF297">
        <v>0</v>
      </c>
      <c r="AG297">
        <v>434</v>
      </c>
      <c r="AH297">
        <v>0</v>
      </c>
      <c r="AI297">
        <f t="shared" si="0"/>
        <v>-0.10812672176308535</v>
      </c>
      <c r="AJ297" s="4">
        <v>6475</v>
      </c>
      <c r="AK297">
        <v>0.05</v>
      </c>
      <c r="AL297">
        <v>-5.0000000000000001E-4</v>
      </c>
      <c r="AM297">
        <v>0.1</v>
      </c>
      <c r="AN297">
        <v>-8.0000000000000004E-4</v>
      </c>
      <c r="AO297">
        <v>0.15</v>
      </c>
      <c r="AP297">
        <v>-1.5E-3</v>
      </c>
      <c r="AQ297">
        <v>0.25</v>
      </c>
      <c r="AR297">
        <v>-2.5999999999999999E-3</v>
      </c>
      <c r="AS297">
        <v>0.4</v>
      </c>
      <c r="AT297">
        <v>-4.1000000000000003E-3</v>
      </c>
      <c r="AU297">
        <v>0.7</v>
      </c>
      <c r="AV297">
        <v>-6.4999999999999997E-3</v>
      </c>
      <c r="AW297">
        <v>1</v>
      </c>
      <c r="AX297">
        <v>-8.8000000000000005E-3</v>
      </c>
      <c r="AY297">
        <v>1.45</v>
      </c>
      <c r="AZ297">
        <v>-1.2E-2</v>
      </c>
      <c r="BA297">
        <v>2</v>
      </c>
      <c r="BB297">
        <v>-1.54E-2</v>
      </c>
      <c r="BC297">
        <v>2.4</v>
      </c>
      <c r="BD297">
        <v>-1.78E-2</v>
      </c>
      <c r="BE297">
        <v>2.6</v>
      </c>
      <c r="BF297">
        <v>-1.9E-2</v>
      </c>
      <c r="BG297">
        <v>11.1</v>
      </c>
      <c r="BH297">
        <v>-8.8999999999999996E-2</v>
      </c>
    </row>
    <row r="298" spans="1:60" x14ac:dyDescent="0.35">
      <c r="A298" t="s">
        <v>34</v>
      </c>
      <c r="B298" s="1">
        <v>46146.65625</v>
      </c>
      <c r="C298" t="s">
        <v>34</v>
      </c>
      <c r="D298" s="1">
        <v>46147.625</v>
      </c>
      <c r="E298">
        <v>5400</v>
      </c>
      <c r="F298" t="s">
        <v>36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553</v>
      </c>
      <c r="O298">
        <v>0.05</v>
      </c>
      <c r="P298">
        <v>0</v>
      </c>
      <c r="Q298">
        <v>0</v>
      </c>
      <c r="R298">
        <v>0</v>
      </c>
      <c r="S298">
        <v>0</v>
      </c>
      <c r="T298">
        <v>1.5569</v>
      </c>
      <c r="U298">
        <v>-2.0000000000000001E-4</v>
      </c>
      <c r="V298">
        <v>0</v>
      </c>
      <c r="W298">
        <v>-2.4899999999999999E-2</v>
      </c>
      <c r="X298">
        <v>2.5999999999999999E-3</v>
      </c>
      <c r="Y298">
        <v>0</v>
      </c>
      <c r="Z298">
        <v>0</v>
      </c>
      <c r="AA298">
        <v>0</v>
      </c>
      <c r="AB298">
        <v>518</v>
      </c>
      <c r="AC298">
        <v>0.05</v>
      </c>
      <c r="AD298">
        <v>0</v>
      </c>
      <c r="AE298">
        <v>0</v>
      </c>
      <c r="AF298">
        <v>0</v>
      </c>
      <c r="AG298">
        <v>4255</v>
      </c>
      <c r="AH298">
        <v>0</v>
      </c>
      <c r="AI298">
        <f t="shared" si="0"/>
        <v>-0.1074380165289256</v>
      </c>
      <c r="AJ298" s="4">
        <v>6480</v>
      </c>
      <c r="AK298">
        <v>0.05</v>
      </c>
      <c r="AL298">
        <v>-5.0000000000000001E-4</v>
      </c>
      <c r="AM298">
        <v>0.1</v>
      </c>
      <c r="AN298">
        <v>-8.0000000000000004E-4</v>
      </c>
      <c r="AO298">
        <v>0.15</v>
      </c>
      <c r="AP298">
        <v>-1.5E-3</v>
      </c>
      <c r="AQ298">
        <v>0.25</v>
      </c>
      <c r="AR298">
        <v>-2.5999999999999999E-3</v>
      </c>
      <c r="AS298">
        <v>0.4</v>
      </c>
      <c r="AT298">
        <v>-4.1000000000000003E-3</v>
      </c>
      <c r="AU298">
        <v>0.7</v>
      </c>
      <c r="AV298">
        <v>-6.4999999999999997E-3</v>
      </c>
      <c r="AW298">
        <v>1.05</v>
      </c>
      <c r="AX298">
        <v>-9.1999999999999998E-3</v>
      </c>
      <c r="BC298">
        <v>2.4500000000000002</v>
      </c>
      <c r="BD298">
        <v>-1.8100000000000002E-2</v>
      </c>
      <c r="BE298">
        <v>2.6</v>
      </c>
      <c r="BF298">
        <v>-1.9199999999999998E-2</v>
      </c>
      <c r="BG298">
        <v>7.75</v>
      </c>
      <c r="BH298">
        <v>-6.25E-2</v>
      </c>
    </row>
    <row r="299" spans="1:60" x14ac:dyDescent="0.35">
      <c r="A299" t="s">
        <v>34</v>
      </c>
      <c r="B299" s="1">
        <v>46146.65625</v>
      </c>
      <c r="C299" t="s">
        <v>34</v>
      </c>
      <c r="D299" s="1">
        <v>46147.625</v>
      </c>
      <c r="E299">
        <v>5500</v>
      </c>
      <c r="F299" t="s">
        <v>36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611</v>
      </c>
      <c r="O299">
        <v>0.05</v>
      </c>
      <c r="P299">
        <v>0</v>
      </c>
      <c r="Q299">
        <v>0</v>
      </c>
      <c r="R299">
        <v>0</v>
      </c>
      <c r="S299">
        <v>0</v>
      </c>
      <c r="T299">
        <v>1.4630000000000001</v>
      </c>
      <c r="U299">
        <v>-2.0000000000000001E-4</v>
      </c>
      <c r="V299">
        <v>0</v>
      </c>
      <c r="W299">
        <v>-2.4899999999999999E-2</v>
      </c>
      <c r="X299">
        <v>2.7000000000000001E-3</v>
      </c>
      <c r="Y299">
        <v>0</v>
      </c>
      <c r="Z299">
        <v>0</v>
      </c>
      <c r="AA299">
        <v>0</v>
      </c>
      <c r="AB299">
        <v>527</v>
      </c>
      <c r="AC299">
        <v>0.05</v>
      </c>
      <c r="AD299">
        <v>0</v>
      </c>
      <c r="AE299">
        <v>0</v>
      </c>
      <c r="AF299">
        <v>0</v>
      </c>
      <c r="AG299">
        <v>620</v>
      </c>
      <c r="AH299">
        <v>0</v>
      </c>
      <c r="AI299">
        <f t="shared" si="0"/>
        <v>-0.10674931129476584</v>
      </c>
      <c r="AJ299" s="4">
        <v>6485</v>
      </c>
      <c r="BC299">
        <v>2.5</v>
      </c>
      <c r="BD299">
        <v>-1.84E-2</v>
      </c>
      <c r="BE299">
        <v>2.65</v>
      </c>
      <c r="BF299">
        <v>-1.9400000000000001E-2</v>
      </c>
      <c r="BG299">
        <v>5.15</v>
      </c>
      <c r="BH299">
        <v>-3.78E-2</v>
      </c>
    </row>
    <row r="300" spans="1:60" x14ac:dyDescent="0.35">
      <c r="A300" t="s">
        <v>34</v>
      </c>
      <c r="B300" s="1">
        <v>46146.65625</v>
      </c>
      <c r="C300" t="s">
        <v>34</v>
      </c>
      <c r="D300" s="1">
        <v>46147.625</v>
      </c>
      <c r="E300">
        <v>5600</v>
      </c>
      <c r="F300" t="s">
        <v>36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585</v>
      </c>
      <c r="O300">
        <v>0.05</v>
      </c>
      <c r="P300">
        <v>0</v>
      </c>
      <c r="Q300">
        <v>0</v>
      </c>
      <c r="R300">
        <v>0</v>
      </c>
      <c r="S300">
        <v>0</v>
      </c>
      <c r="T300">
        <v>1.3706</v>
      </c>
      <c r="U300">
        <v>-2.0000000000000001E-4</v>
      </c>
      <c r="V300">
        <v>0</v>
      </c>
      <c r="W300">
        <v>-2.4899999999999999E-2</v>
      </c>
      <c r="X300">
        <v>2.8999999999999998E-3</v>
      </c>
      <c r="Y300">
        <v>0</v>
      </c>
      <c r="Z300">
        <v>0</v>
      </c>
      <c r="AA300">
        <v>0</v>
      </c>
      <c r="AB300">
        <v>506</v>
      </c>
      <c r="AC300">
        <v>0.05</v>
      </c>
      <c r="AD300">
        <v>0</v>
      </c>
      <c r="AE300">
        <v>0</v>
      </c>
      <c r="AF300">
        <v>0</v>
      </c>
      <c r="AG300">
        <v>4140</v>
      </c>
      <c r="AH300">
        <v>0</v>
      </c>
      <c r="AI300">
        <f t="shared" si="0"/>
        <v>-0.10606060606060608</v>
      </c>
      <c r="AJ300" s="4">
        <v>6490</v>
      </c>
      <c r="AK300">
        <v>0.05</v>
      </c>
      <c r="AL300">
        <v>-5.0000000000000001E-4</v>
      </c>
      <c r="AM300">
        <v>0.1</v>
      </c>
      <c r="AN300">
        <v>-8.0000000000000004E-4</v>
      </c>
      <c r="AO300">
        <v>0.15</v>
      </c>
      <c r="AP300">
        <v>-1.5E-3</v>
      </c>
      <c r="AQ300">
        <v>0.25</v>
      </c>
      <c r="AR300">
        <v>-2.5999999999999999E-3</v>
      </c>
      <c r="AS300">
        <v>0.4</v>
      </c>
      <c r="AT300">
        <v>-4.1000000000000003E-3</v>
      </c>
      <c r="AU300">
        <v>0.7</v>
      </c>
      <c r="AV300">
        <v>-6.6E-3</v>
      </c>
      <c r="AW300">
        <v>1.05</v>
      </c>
      <c r="AX300">
        <v>-9.2999999999999992E-3</v>
      </c>
      <c r="BC300">
        <v>2.5</v>
      </c>
      <c r="BD300">
        <v>-1.8599999999999998E-2</v>
      </c>
      <c r="BE300">
        <v>2.7</v>
      </c>
      <c r="BF300">
        <v>-1.9800000000000002E-2</v>
      </c>
      <c r="BG300">
        <v>7.9</v>
      </c>
      <c r="BH300">
        <v>-6.3799999999999996E-2</v>
      </c>
    </row>
    <row r="301" spans="1:60" x14ac:dyDescent="0.35">
      <c r="A301" t="s">
        <v>34</v>
      </c>
      <c r="B301" s="1">
        <v>46146.65625</v>
      </c>
      <c r="C301" t="s">
        <v>34</v>
      </c>
      <c r="D301" s="1">
        <v>46147.625</v>
      </c>
      <c r="E301">
        <v>5625</v>
      </c>
      <c r="F301" t="s">
        <v>36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628</v>
      </c>
      <c r="O301">
        <v>0.05</v>
      </c>
      <c r="P301">
        <v>0</v>
      </c>
      <c r="Q301">
        <v>0</v>
      </c>
      <c r="R301">
        <v>0</v>
      </c>
      <c r="S301">
        <v>0</v>
      </c>
      <c r="T301">
        <v>1.3476999999999999</v>
      </c>
      <c r="U301">
        <v>-2.0000000000000001E-4</v>
      </c>
      <c r="V301">
        <v>0</v>
      </c>
      <c r="W301">
        <v>-2.4899999999999999E-2</v>
      </c>
      <c r="X301">
        <v>3.0000000000000001E-3</v>
      </c>
      <c r="Y301">
        <v>0</v>
      </c>
      <c r="Z301">
        <v>0</v>
      </c>
      <c r="AA301">
        <v>0</v>
      </c>
      <c r="AB301">
        <v>513</v>
      </c>
      <c r="AC301">
        <v>0.05</v>
      </c>
      <c r="AD301">
        <v>0</v>
      </c>
      <c r="AE301">
        <v>0</v>
      </c>
      <c r="AF301">
        <v>0</v>
      </c>
      <c r="AG301">
        <v>17</v>
      </c>
      <c r="AH301">
        <v>0</v>
      </c>
      <c r="AI301">
        <f t="shared" si="0"/>
        <v>-0.10537190082644632</v>
      </c>
      <c r="AJ301" s="4">
        <v>6495</v>
      </c>
      <c r="BC301">
        <v>2.5499999999999998</v>
      </c>
      <c r="BD301">
        <v>-1.89E-2</v>
      </c>
      <c r="BE301">
        <v>2.75</v>
      </c>
      <c r="BF301">
        <v>-2.0199999999999999E-2</v>
      </c>
      <c r="BG301">
        <v>5.3</v>
      </c>
      <c r="BH301">
        <v>-3.9099999999999996E-2</v>
      </c>
    </row>
    <row r="302" spans="1:60" x14ac:dyDescent="0.35">
      <c r="A302" t="s">
        <v>34</v>
      </c>
      <c r="B302" s="1">
        <v>46146.65625</v>
      </c>
      <c r="C302" t="s">
        <v>34</v>
      </c>
      <c r="D302" s="1">
        <v>46147.625</v>
      </c>
      <c r="E302">
        <v>5650</v>
      </c>
      <c r="F302" t="s">
        <v>36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621</v>
      </c>
      <c r="O302">
        <v>0.05</v>
      </c>
      <c r="P302">
        <v>0</v>
      </c>
      <c r="Q302">
        <v>0</v>
      </c>
      <c r="R302">
        <v>0</v>
      </c>
      <c r="S302">
        <v>0</v>
      </c>
      <c r="T302">
        <v>1.3248</v>
      </c>
      <c r="U302">
        <v>-2.0000000000000001E-4</v>
      </c>
      <c r="V302">
        <v>0</v>
      </c>
      <c r="W302">
        <v>-2.4899999999999999E-2</v>
      </c>
      <c r="X302">
        <v>3.0000000000000001E-3</v>
      </c>
      <c r="Y302">
        <v>0</v>
      </c>
      <c r="Z302">
        <v>0</v>
      </c>
      <c r="AA302">
        <v>0</v>
      </c>
      <c r="AB302">
        <v>519</v>
      </c>
      <c r="AC302">
        <v>0.05</v>
      </c>
      <c r="AD302">
        <v>0</v>
      </c>
      <c r="AE302">
        <v>0</v>
      </c>
      <c r="AF302">
        <v>0</v>
      </c>
      <c r="AG302">
        <v>79</v>
      </c>
      <c r="AH302">
        <v>0</v>
      </c>
      <c r="AI302">
        <f t="shared" si="0"/>
        <v>-0.10468319559228645</v>
      </c>
      <c r="AJ302" s="4">
        <v>6500</v>
      </c>
      <c r="AK302">
        <v>0.05</v>
      </c>
      <c r="AL302">
        <v>-5.0000000000000001E-4</v>
      </c>
      <c r="AM302">
        <v>0.1</v>
      </c>
      <c r="AN302">
        <v>-8.0000000000000004E-4</v>
      </c>
      <c r="AO302">
        <v>0.15</v>
      </c>
      <c r="AP302">
        <v>-1.5E-3</v>
      </c>
      <c r="AQ302">
        <v>0.25</v>
      </c>
      <c r="AR302">
        <v>-2.7000000000000001E-3</v>
      </c>
      <c r="AS302">
        <v>0.4</v>
      </c>
      <c r="AT302">
        <v>-4.1999999999999997E-3</v>
      </c>
      <c r="AU302">
        <v>0.75</v>
      </c>
      <c r="AV302">
        <v>-7.1000000000000004E-3</v>
      </c>
      <c r="AW302">
        <v>1.1000000000000001</v>
      </c>
      <c r="AX302">
        <v>-9.7999999999999997E-3</v>
      </c>
      <c r="AY302">
        <v>1.55</v>
      </c>
      <c r="AZ302">
        <v>-1.2999999999999999E-2</v>
      </c>
      <c r="BA302">
        <v>2.15</v>
      </c>
      <c r="BB302">
        <v>-1.6799999999999999E-2</v>
      </c>
      <c r="BC302">
        <v>2.6</v>
      </c>
      <c r="BD302">
        <v>-1.9300000000000001E-2</v>
      </c>
      <c r="BE302">
        <v>2.75</v>
      </c>
      <c r="BF302">
        <v>-2.0500000000000001E-2</v>
      </c>
      <c r="BG302">
        <v>11.85</v>
      </c>
      <c r="BH302">
        <v>-9.6200000000000008E-2</v>
      </c>
    </row>
    <row r="303" spans="1:60" x14ac:dyDescent="0.35">
      <c r="A303" t="s">
        <v>34</v>
      </c>
      <c r="B303" s="1">
        <v>46146.65625</v>
      </c>
      <c r="C303" t="s">
        <v>34</v>
      </c>
      <c r="D303" s="1">
        <v>46147.625</v>
      </c>
      <c r="E303">
        <v>5675</v>
      </c>
      <c r="F303" t="s">
        <v>36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615</v>
      </c>
      <c r="O303">
        <v>0.05</v>
      </c>
      <c r="P303">
        <v>0</v>
      </c>
      <c r="Q303">
        <v>0</v>
      </c>
      <c r="R303">
        <v>0</v>
      </c>
      <c r="S303">
        <v>0</v>
      </c>
      <c r="T303">
        <v>1.3021</v>
      </c>
      <c r="U303">
        <v>-2.0000000000000001E-4</v>
      </c>
      <c r="V303">
        <v>0</v>
      </c>
      <c r="W303">
        <v>-2.4899999999999999E-2</v>
      </c>
      <c r="X303">
        <v>3.0999999999999999E-3</v>
      </c>
      <c r="Y303">
        <v>0</v>
      </c>
      <c r="Z303">
        <v>0</v>
      </c>
      <c r="AA303">
        <v>0</v>
      </c>
      <c r="AB303">
        <v>526</v>
      </c>
      <c r="AC303">
        <v>0.05</v>
      </c>
      <c r="AD303">
        <v>0</v>
      </c>
      <c r="AE303">
        <v>0</v>
      </c>
      <c r="AF303">
        <v>0</v>
      </c>
      <c r="AG303">
        <v>18</v>
      </c>
      <c r="AH303">
        <v>0</v>
      </c>
      <c r="AI303">
        <f t="shared" si="0"/>
        <v>-0.10399449035812669</v>
      </c>
      <c r="AJ303" s="4">
        <v>6505</v>
      </c>
      <c r="BC303">
        <v>2.6</v>
      </c>
      <c r="BD303">
        <v>-1.9599999999999999E-2</v>
      </c>
      <c r="BE303">
        <v>2.8</v>
      </c>
      <c r="BF303">
        <v>-2.07E-2</v>
      </c>
      <c r="BG303">
        <v>5.4</v>
      </c>
      <c r="BH303">
        <v>-4.0300000000000002E-2</v>
      </c>
    </row>
    <row r="304" spans="1:60" x14ac:dyDescent="0.35">
      <c r="A304" t="s">
        <v>34</v>
      </c>
      <c r="B304" s="1">
        <v>46146.65625</v>
      </c>
      <c r="C304" t="s">
        <v>34</v>
      </c>
      <c r="D304" s="1">
        <v>46147.625</v>
      </c>
      <c r="E304">
        <v>5700</v>
      </c>
      <c r="F304" t="s">
        <v>36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741</v>
      </c>
      <c r="O304">
        <v>0.05</v>
      </c>
      <c r="P304">
        <v>0</v>
      </c>
      <c r="Q304">
        <v>0</v>
      </c>
      <c r="R304">
        <v>0</v>
      </c>
      <c r="S304">
        <v>0</v>
      </c>
      <c r="T304">
        <v>1.2795000000000001</v>
      </c>
      <c r="U304">
        <v>-2.0000000000000001E-4</v>
      </c>
      <c r="V304">
        <v>0</v>
      </c>
      <c r="W304">
        <v>-2.4899999999999999E-2</v>
      </c>
      <c r="X304">
        <v>3.0999999999999999E-3</v>
      </c>
      <c r="Y304">
        <v>0</v>
      </c>
      <c r="Z304">
        <v>0</v>
      </c>
      <c r="AA304">
        <v>0</v>
      </c>
      <c r="AB304">
        <v>640</v>
      </c>
      <c r="AC304">
        <v>0.05</v>
      </c>
      <c r="AD304">
        <v>0</v>
      </c>
      <c r="AE304">
        <v>0</v>
      </c>
      <c r="AF304">
        <v>0</v>
      </c>
      <c r="AG304">
        <v>225</v>
      </c>
      <c r="AH304">
        <v>0</v>
      </c>
      <c r="AI304">
        <f t="shared" si="0"/>
        <v>-0.10330578512396693</v>
      </c>
      <c r="AJ304" s="4">
        <v>6510</v>
      </c>
      <c r="AK304">
        <v>0.05</v>
      </c>
      <c r="AL304">
        <v>-5.0000000000000001E-4</v>
      </c>
      <c r="AM304">
        <v>0.1</v>
      </c>
      <c r="AN304">
        <v>-8.9999999999999998E-4</v>
      </c>
      <c r="AO304">
        <v>0.15</v>
      </c>
      <c r="AP304">
        <v>-1.5E-3</v>
      </c>
      <c r="AQ304">
        <v>0.25</v>
      </c>
      <c r="AR304">
        <v>-2.7000000000000001E-3</v>
      </c>
      <c r="AS304">
        <v>0.4</v>
      </c>
      <c r="AT304">
        <v>-4.3E-3</v>
      </c>
      <c r="AU304">
        <v>0.75</v>
      </c>
      <c r="AV304">
        <v>-7.1999999999999998E-3</v>
      </c>
      <c r="AW304">
        <v>1.1499999999999999</v>
      </c>
      <c r="AX304">
        <v>-1.01E-2</v>
      </c>
      <c r="BC304">
        <v>2.65</v>
      </c>
      <c r="BD304">
        <v>-1.9900000000000001E-2</v>
      </c>
      <c r="BE304">
        <v>2.85</v>
      </c>
      <c r="BF304">
        <v>-2.1100000000000001E-2</v>
      </c>
      <c r="BG304">
        <v>8.35</v>
      </c>
      <c r="BH304">
        <v>-6.8199999999999997E-2</v>
      </c>
    </row>
    <row r="305" spans="1:60" x14ac:dyDescent="0.35">
      <c r="A305" t="s">
        <v>34</v>
      </c>
      <c r="B305" s="1">
        <v>46146.65625</v>
      </c>
      <c r="C305" t="s">
        <v>34</v>
      </c>
      <c r="D305" s="1">
        <v>46147.625</v>
      </c>
      <c r="E305">
        <v>5725</v>
      </c>
      <c r="F305" t="s">
        <v>36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590</v>
      </c>
      <c r="O305">
        <v>0.05</v>
      </c>
      <c r="P305">
        <v>0</v>
      </c>
      <c r="Q305">
        <v>0</v>
      </c>
      <c r="R305">
        <v>0</v>
      </c>
      <c r="S305">
        <v>0</v>
      </c>
      <c r="T305">
        <v>1.2568999999999999</v>
      </c>
      <c r="U305">
        <v>-2.0000000000000001E-4</v>
      </c>
      <c r="V305">
        <v>0</v>
      </c>
      <c r="W305">
        <v>-2.4899999999999999E-2</v>
      </c>
      <c r="X305">
        <v>3.2000000000000002E-3</v>
      </c>
      <c r="Y305">
        <v>0</v>
      </c>
      <c r="Z305">
        <v>0</v>
      </c>
      <c r="AA305">
        <v>0</v>
      </c>
      <c r="AB305">
        <v>519</v>
      </c>
      <c r="AC305">
        <v>0.05</v>
      </c>
      <c r="AD305">
        <v>0</v>
      </c>
      <c r="AE305">
        <v>0</v>
      </c>
      <c r="AF305">
        <v>0</v>
      </c>
      <c r="AG305">
        <v>72</v>
      </c>
      <c r="AH305">
        <v>0</v>
      </c>
      <c r="AI305">
        <f t="shared" si="0"/>
        <v>-0.10261707988980717</v>
      </c>
      <c r="AJ305" s="4">
        <v>6515</v>
      </c>
      <c r="BC305">
        <v>2.7</v>
      </c>
      <c r="BD305">
        <v>-2.0299999999999999E-2</v>
      </c>
      <c r="BE305">
        <v>2.9</v>
      </c>
      <c r="BF305">
        <v>-2.1499999999999998E-2</v>
      </c>
      <c r="BG305">
        <v>5.6</v>
      </c>
      <c r="BH305">
        <v>-4.1799999999999997E-2</v>
      </c>
    </row>
    <row r="306" spans="1:60" x14ac:dyDescent="0.35">
      <c r="A306" t="s">
        <v>34</v>
      </c>
      <c r="B306" s="1">
        <v>46146.65625</v>
      </c>
      <c r="C306" t="s">
        <v>34</v>
      </c>
      <c r="D306" s="1">
        <v>46147.625</v>
      </c>
      <c r="E306">
        <v>5750</v>
      </c>
      <c r="F306" t="s">
        <v>36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617</v>
      </c>
      <c r="O306">
        <v>0.05</v>
      </c>
      <c r="P306">
        <v>0</v>
      </c>
      <c r="Q306">
        <v>0</v>
      </c>
      <c r="R306">
        <v>0</v>
      </c>
      <c r="S306">
        <v>0</v>
      </c>
      <c r="T306">
        <v>1.2343999999999999</v>
      </c>
      <c r="U306">
        <v>-2.0000000000000001E-4</v>
      </c>
      <c r="V306">
        <v>0</v>
      </c>
      <c r="W306">
        <v>-2.4899999999999999E-2</v>
      </c>
      <c r="X306">
        <v>3.2000000000000002E-3</v>
      </c>
      <c r="Y306">
        <v>0</v>
      </c>
      <c r="Z306">
        <v>0</v>
      </c>
      <c r="AA306">
        <v>0</v>
      </c>
      <c r="AB306">
        <v>492</v>
      </c>
      <c r="AC306">
        <v>0.05</v>
      </c>
      <c r="AD306">
        <v>0</v>
      </c>
      <c r="AE306">
        <v>0</v>
      </c>
      <c r="AF306">
        <v>0</v>
      </c>
      <c r="AG306">
        <v>75</v>
      </c>
      <c r="AH306">
        <v>0</v>
      </c>
      <c r="AI306">
        <f t="shared" si="0"/>
        <v>-0.10192837465564741</v>
      </c>
      <c r="AJ306" s="4">
        <v>6520</v>
      </c>
      <c r="AK306">
        <v>0.05</v>
      </c>
      <c r="AL306">
        <v>-5.0000000000000001E-4</v>
      </c>
      <c r="AM306">
        <v>0.1</v>
      </c>
      <c r="AN306">
        <v>-8.9999999999999998E-4</v>
      </c>
      <c r="AO306">
        <v>0.15</v>
      </c>
      <c r="AP306">
        <v>-1.9E-3</v>
      </c>
      <c r="AQ306">
        <v>0.25</v>
      </c>
      <c r="AR306">
        <v>-2.7000000000000001E-3</v>
      </c>
      <c r="AS306">
        <v>0.45</v>
      </c>
      <c r="AT306">
        <v>-4.7999999999999996E-3</v>
      </c>
      <c r="AU306">
        <v>0.75</v>
      </c>
      <c r="AV306">
        <v>-7.4999999999999997E-3</v>
      </c>
      <c r="AW306">
        <v>1.1499999999999999</v>
      </c>
      <c r="AX306">
        <v>-1.04E-2</v>
      </c>
      <c r="BC306">
        <v>2.75</v>
      </c>
      <c r="BD306">
        <v>-2.07E-2</v>
      </c>
      <c r="BE306">
        <v>2.95</v>
      </c>
      <c r="BF306">
        <v>-2.1899999999999999E-2</v>
      </c>
      <c r="BG306">
        <v>8.6000000000000014</v>
      </c>
      <c r="BH306">
        <v>-7.1300000000000002E-2</v>
      </c>
    </row>
    <row r="307" spans="1:60" x14ac:dyDescent="0.35">
      <c r="A307" t="s">
        <v>34</v>
      </c>
      <c r="B307" s="1">
        <v>46146.65625</v>
      </c>
      <c r="C307" t="s">
        <v>34</v>
      </c>
      <c r="D307" s="1">
        <v>46147.625</v>
      </c>
      <c r="E307">
        <v>5775</v>
      </c>
      <c r="F307" t="s">
        <v>36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587</v>
      </c>
      <c r="O307">
        <v>0.05</v>
      </c>
      <c r="P307">
        <v>0</v>
      </c>
      <c r="Q307">
        <v>0</v>
      </c>
      <c r="R307">
        <v>0</v>
      </c>
      <c r="S307">
        <v>0</v>
      </c>
      <c r="T307">
        <v>1.212</v>
      </c>
      <c r="U307">
        <v>-2.0000000000000001E-4</v>
      </c>
      <c r="V307">
        <v>0</v>
      </c>
      <c r="W307">
        <v>-2.4899999999999999E-2</v>
      </c>
      <c r="X307">
        <v>3.3E-3</v>
      </c>
      <c r="Y307">
        <v>0</v>
      </c>
      <c r="Z307">
        <v>0</v>
      </c>
      <c r="AA307">
        <v>0</v>
      </c>
      <c r="AB307">
        <v>451</v>
      </c>
      <c r="AC307">
        <v>0.05</v>
      </c>
      <c r="AD307">
        <v>0</v>
      </c>
      <c r="AE307">
        <v>0</v>
      </c>
      <c r="AF307">
        <v>0</v>
      </c>
      <c r="AG307">
        <v>23</v>
      </c>
      <c r="AH307">
        <v>0</v>
      </c>
      <c r="AI307">
        <f t="shared" si="0"/>
        <v>-0.10123966942148765</v>
      </c>
      <c r="AJ307" s="4">
        <v>6525</v>
      </c>
      <c r="AK307">
        <v>0.05</v>
      </c>
      <c r="AL307">
        <v>-5.0000000000000001E-4</v>
      </c>
      <c r="AM307">
        <v>0.1</v>
      </c>
      <c r="AN307">
        <v>-8.9999999999999998E-4</v>
      </c>
      <c r="AO307">
        <v>0.15</v>
      </c>
      <c r="AP307">
        <v>-1.6000000000000001E-3</v>
      </c>
      <c r="AQ307">
        <v>0.25</v>
      </c>
      <c r="AR307">
        <v>-2.7000000000000001E-3</v>
      </c>
      <c r="AS307">
        <v>0.45</v>
      </c>
      <c r="AT307">
        <v>-4.7999999999999996E-3</v>
      </c>
      <c r="AU307">
        <v>0.8</v>
      </c>
      <c r="AV307">
        <v>-7.7000000000000002E-3</v>
      </c>
      <c r="AW307">
        <v>1.2</v>
      </c>
      <c r="AX307">
        <v>-1.0699999999999999E-2</v>
      </c>
      <c r="AY307">
        <v>1.7</v>
      </c>
      <c r="AZ307">
        <v>-1.4200000000000001E-2</v>
      </c>
      <c r="BA307">
        <v>2.2999999999999998</v>
      </c>
      <c r="BB307">
        <v>-1.8200000000000001E-2</v>
      </c>
      <c r="BC307">
        <v>2.75</v>
      </c>
      <c r="BD307">
        <v>-2.0899999999999998E-2</v>
      </c>
      <c r="BE307">
        <v>3</v>
      </c>
      <c r="BF307">
        <v>-2.23E-2</v>
      </c>
      <c r="BG307">
        <v>12.75</v>
      </c>
      <c r="BH307">
        <v>-0.1045</v>
      </c>
    </row>
    <row r="308" spans="1:60" x14ac:dyDescent="0.35">
      <c r="A308" t="s">
        <v>34</v>
      </c>
      <c r="B308" s="1">
        <v>46146.65625</v>
      </c>
      <c r="C308" t="s">
        <v>34</v>
      </c>
      <c r="D308" s="1">
        <v>46147.625</v>
      </c>
      <c r="E308">
        <v>5800</v>
      </c>
      <c r="F308" t="s">
        <v>36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762</v>
      </c>
      <c r="O308">
        <v>0.05</v>
      </c>
      <c r="P308">
        <v>0</v>
      </c>
      <c r="Q308">
        <v>0</v>
      </c>
      <c r="R308">
        <v>0</v>
      </c>
      <c r="S308">
        <v>0</v>
      </c>
      <c r="T308">
        <v>1.1897</v>
      </c>
      <c r="U308">
        <v>-2.0000000000000001E-4</v>
      </c>
      <c r="V308">
        <v>0</v>
      </c>
      <c r="W308">
        <v>-2.4899999999999999E-2</v>
      </c>
      <c r="X308">
        <v>3.3E-3</v>
      </c>
      <c r="Y308">
        <v>0</v>
      </c>
      <c r="Z308">
        <v>0</v>
      </c>
      <c r="AA308">
        <v>0</v>
      </c>
      <c r="AB308">
        <v>614</v>
      </c>
      <c r="AC308">
        <v>0.05</v>
      </c>
      <c r="AD308">
        <v>0</v>
      </c>
      <c r="AE308">
        <v>0</v>
      </c>
      <c r="AF308">
        <v>0</v>
      </c>
      <c r="AG308">
        <v>277</v>
      </c>
      <c r="AH308">
        <v>0</v>
      </c>
      <c r="AI308">
        <f t="shared" si="0"/>
        <v>-0.10055096418732778</v>
      </c>
      <c r="AJ308" s="4">
        <v>6530</v>
      </c>
      <c r="AK308">
        <v>0.05</v>
      </c>
      <c r="AL308">
        <v>-5.0000000000000001E-4</v>
      </c>
      <c r="AM308">
        <v>0.1</v>
      </c>
      <c r="AN308">
        <v>-8.9999999999999998E-4</v>
      </c>
      <c r="AO308">
        <v>0.15</v>
      </c>
      <c r="AP308">
        <v>-1.6000000000000001E-3</v>
      </c>
      <c r="AQ308">
        <v>0.25</v>
      </c>
      <c r="AR308">
        <v>-2.8E-3</v>
      </c>
      <c r="AS308">
        <v>0.45</v>
      </c>
      <c r="AT308">
        <v>-4.8999999999999998E-3</v>
      </c>
      <c r="AU308">
        <v>0.8</v>
      </c>
      <c r="AV308">
        <v>-7.7999999999999996E-3</v>
      </c>
      <c r="AW308">
        <v>1.2</v>
      </c>
      <c r="AX308">
        <v>-1.09E-2</v>
      </c>
      <c r="BC308">
        <v>2.8</v>
      </c>
      <c r="BD308">
        <v>-2.12E-2</v>
      </c>
      <c r="BE308">
        <v>3.1</v>
      </c>
      <c r="BF308">
        <v>-2.2599999999999999E-2</v>
      </c>
      <c r="BG308">
        <v>8.9</v>
      </c>
      <c r="BH308">
        <v>-7.3200000000000001E-2</v>
      </c>
    </row>
    <row r="309" spans="1:60" x14ac:dyDescent="0.35">
      <c r="A309" t="s">
        <v>34</v>
      </c>
      <c r="B309" s="1">
        <v>46146.65625</v>
      </c>
      <c r="C309" t="s">
        <v>34</v>
      </c>
      <c r="D309" s="1">
        <v>46147.625</v>
      </c>
      <c r="E309">
        <v>5825</v>
      </c>
      <c r="F309" t="s">
        <v>36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1053</v>
      </c>
      <c r="O309">
        <v>0.05</v>
      </c>
      <c r="P309">
        <v>0</v>
      </c>
      <c r="Q309">
        <v>0</v>
      </c>
      <c r="R309">
        <v>0</v>
      </c>
      <c r="S309">
        <v>0</v>
      </c>
      <c r="T309">
        <v>1.1674</v>
      </c>
      <c r="U309">
        <v>-2.0000000000000001E-4</v>
      </c>
      <c r="V309">
        <v>0</v>
      </c>
      <c r="W309">
        <v>-2.4899999999999999E-2</v>
      </c>
      <c r="X309">
        <v>3.3999999999999998E-3</v>
      </c>
      <c r="Y309">
        <v>-1E-4</v>
      </c>
      <c r="Z309">
        <v>0</v>
      </c>
      <c r="AA309">
        <v>0</v>
      </c>
      <c r="AB309">
        <v>458</v>
      </c>
      <c r="AC309">
        <v>0.05</v>
      </c>
      <c r="AD309">
        <v>0</v>
      </c>
      <c r="AE309">
        <v>0</v>
      </c>
      <c r="AF309">
        <v>0</v>
      </c>
      <c r="AG309">
        <v>93</v>
      </c>
      <c r="AH309">
        <v>0</v>
      </c>
      <c r="AI309">
        <f t="shared" si="0"/>
        <v>-9.9862258953168026E-2</v>
      </c>
      <c r="AJ309" s="4">
        <v>6535</v>
      </c>
      <c r="BC309">
        <v>2.85</v>
      </c>
      <c r="BD309">
        <v>-2.1600000000000001E-2</v>
      </c>
      <c r="BE309">
        <v>3.1</v>
      </c>
      <c r="BF309">
        <v>-2.3E-2</v>
      </c>
      <c r="BG309">
        <v>5.95</v>
      </c>
      <c r="BH309">
        <v>-4.4600000000000001E-2</v>
      </c>
    </row>
    <row r="310" spans="1:60" x14ac:dyDescent="0.35">
      <c r="A310" t="s">
        <v>34</v>
      </c>
      <c r="B310" s="1">
        <v>46146.65625</v>
      </c>
      <c r="C310" t="s">
        <v>34</v>
      </c>
      <c r="D310" s="1">
        <v>46147.625</v>
      </c>
      <c r="E310">
        <v>5850</v>
      </c>
      <c r="F310" t="s">
        <v>36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1057</v>
      </c>
      <c r="O310">
        <v>0.05</v>
      </c>
      <c r="P310">
        <v>0</v>
      </c>
      <c r="Q310">
        <v>0</v>
      </c>
      <c r="R310">
        <v>0</v>
      </c>
      <c r="S310">
        <v>0</v>
      </c>
      <c r="T310">
        <v>1.1453</v>
      </c>
      <c r="U310">
        <v>-2.9999999999999997E-4</v>
      </c>
      <c r="V310">
        <v>0</v>
      </c>
      <c r="W310">
        <v>-2.4899999999999999E-2</v>
      </c>
      <c r="X310">
        <v>3.5000000000000001E-3</v>
      </c>
      <c r="Y310">
        <v>-1E-4</v>
      </c>
      <c r="Z310">
        <v>0</v>
      </c>
      <c r="AA310">
        <v>0</v>
      </c>
      <c r="AB310">
        <v>475</v>
      </c>
      <c r="AC310">
        <v>0.05</v>
      </c>
      <c r="AD310">
        <v>0</v>
      </c>
      <c r="AE310">
        <v>0</v>
      </c>
      <c r="AF310">
        <v>0</v>
      </c>
      <c r="AG310">
        <v>230</v>
      </c>
      <c r="AH310">
        <v>0</v>
      </c>
      <c r="AI310">
        <f t="shared" si="0"/>
        <v>-9.9173553719008267E-2</v>
      </c>
      <c r="AJ310" s="4">
        <v>6540</v>
      </c>
      <c r="AK310">
        <v>0.05</v>
      </c>
      <c r="AL310">
        <v>-5.0000000000000001E-4</v>
      </c>
      <c r="AM310">
        <v>0.1</v>
      </c>
      <c r="AN310">
        <v>-8.9999999999999998E-4</v>
      </c>
      <c r="AO310">
        <v>0.15</v>
      </c>
      <c r="AP310">
        <v>-1.9E-3</v>
      </c>
      <c r="AQ310">
        <v>0.25</v>
      </c>
      <c r="AR310">
        <v>-2.8E-3</v>
      </c>
      <c r="AS310">
        <v>0.45</v>
      </c>
      <c r="AT310">
        <v>-4.8999999999999998E-3</v>
      </c>
      <c r="AU310">
        <v>0.75</v>
      </c>
      <c r="AV310">
        <v>-7.7000000000000002E-3</v>
      </c>
      <c r="AW310">
        <v>1.25</v>
      </c>
      <c r="AX310">
        <v>-1.15E-2</v>
      </c>
      <c r="BC310">
        <v>2.9</v>
      </c>
      <c r="BD310">
        <v>-2.1999999999999999E-2</v>
      </c>
      <c r="BE310">
        <v>3.1</v>
      </c>
      <c r="BF310">
        <v>-2.3300000000000001E-2</v>
      </c>
      <c r="BG310">
        <v>9</v>
      </c>
      <c r="BH310">
        <v>-7.5499999999999998E-2</v>
      </c>
    </row>
    <row r="311" spans="1:60" x14ac:dyDescent="0.35">
      <c r="A311" t="s">
        <v>34</v>
      </c>
      <c r="B311" s="1">
        <v>46146.65625</v>
      </c>
      <c r="C311" t="s">
        <v>34</v>
      </c>
      <c r="D311" s="1">
        <v>46147.625</v>
      </c>
      <c r="E311">
        <v>5875</v>
      </c>
      <c r="F311" t="s">
        <v>36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1032</v>
      </c>
      <c r="O311">
        <v>0.05</v>
      </c>
      <c r="P311">
        <v>0</v>
      </c>
      <c r="Q311">
        <v>0</v>
      </c>
      <c r="R311">
        <v>0</v>
      </c>
      <c r="S311">
        <v>0</v>
      </c>
      <c r="T311">
        <v>1.1231</v>
      </c>
      <c r="U311">
        <v>-2.9999999999999997E-4</v>
      </c>
      <c r="V311">
        <v>0</v>
      </c>
      <c r="W311">
        <v>-2.4899999999999999E-2</v>
      </c>
      <c r="X311">
        <v>3.5000000000000001E-3</v>
      </c>
      <c r="Y311">
        <v>-1E-4</v>
      </c>
      <c r="Z311">
        <v>0</v>
      </c>
      <c r="AA311">
        <v>0</v>
      </c>
      <c r="AB311">
        <v>440</v>
      </c>
      <c r="AC311">
        <v>0.05</v>
      </c>
      <c r="AD311">
        <v>0</v>
      </c>
      <c r="AE311">
        <v>0</v>
      </c>
      <c r="AF311">
        <v>0</v>
      </c>
      <c r="AG311">
        <v>117</v>
      </c>
      <c r="AH311">
        <v>0</v>
      </c>
      <c r="AI311">
        <f t="shared" si="0"/>
        <v>-9.8484848484848508E-2</v>
      </c>
      <c r="AJ311" s="4">
        <v>6545</v>
      </c>
      <c r="BC311">
        <v>2.95</v>
      </c>
      <c r="BD311">
        <v>-2.2499999999999999E-2</v>
      </c>
      <c r="BE311">
        <v>3.2</v>
      </c>
      <c r="BF311">
        <v>-2.3900000000000001E-2</v>
      </c>
      <c r="BG311">
        <v>6.15</v>
      </c>
      <c r="BH311">
        <v>-4.6399999999999997E-2</v>
      </c>
    </row>
    <row r="312" spans="1:60" x14ac:dyDescent="0.35">
      <c r="A312" t="s">
        <v>34</v>
      </c>
      <c r="B312" s="1">
        <v>46146.65625</v>
      </c>
      <c r="C312" t="s">
        <v>34</v>
      </c>
      <c r="D312" s="1">
        <v>46147.625</v>
      </c>
      <c r="E312">
        <v>5900</v>
      </c>
      <c r="F312" t="s">
        <v>36</v>
      </c>
      <c r="G312">
        <v>0.05</v>
      </c>
      <c r="H312">
        <v>0.05</v>
      </c>
      <c r="I312">
        <v>0.05</v>
      </c>
      <c r="J312">
        <v>0.05</v>
      </c>
      <c r="K312">
        <v>51</v>
      </c>
      <c r="L312">
        <v>0</v>
      </c>
      <c r="M312">
        <v>0</v>
      </c>
      <c r="N312">
        <v>1645</v>
      </c>
      <c r="O312">
        <v>0.05</v>
      </c>
      <c r="P312">
        <v>0</v>
      </c>
      <c r="Q312">
        <v>0</v>
      </c>
      <c r="R312">
        <v>0</v>
      </c>
      <c r="S312">
        <v>0</v>
      </c>
      <c r="T312">
        <v>1.1011</v>
      </c>
      <c r="U312">
        <v>-2.9999999999999997E-4</v>
      </c>
      <c r="V312">
        <v>0</v>
      </c>
      <c r="W312">
        <v>-2.4899999999999999E-2</v>
      </c>
      <c r="X312">
        <v>3.5999999999999999E-3</v>
      </c>
      <c r="Y312">
        <v>-1E-4</v>
      </c>
      <c r="Z312">
        <v>0</v>
      </c>
      <c r="AA312">
        <v>0</v>
      </c>
      <c r="AB312">
        <v>1016</v>
      </c>
      <c r="AC312">
        <v>0.05</v>
      </c>
      <c r="AD312">
        <v>0</v>
      </c>
      <c r="AE312">
        <v>0</v>
      </c>
      <c r="AF312">
        <v>0.05</v>
      </c>
      <c r="AG312">
        <v>3129</v>
      </c>
      <c r="AH312">
        <v>0</v>
      </c>
      <c r="AI312">
        <f t="shared" si="0"/>
        <v>-9.779614325068875E-2</v>
      </c>
      <c r="AJ312" s="4">
        <v>6550</v>
      </c>
      <c r="AK312">
        <v>0.05</v>
      </c>
      <c r="AL312">
        <v>-5.0000000000000001E-4</v>
      </c>
      <c r="AM312">
        <v>0.1</v>
      </c>
      <c r="AN312">
        <v>-8.9999999999999998E-4</v>
      </c>
      <c r="AO312">
        <v>0.15</v>
      </c>
      <c r="AP312">
        <v>-1.9E-3</v>
      </c>
      <c r="AQ312">
        <v>0.25</v>
      </c>
      <c r="AR312">
        <v>-2.8E-3</v>
      </c>
      <c r="AS312">
        <v>0.5</v>
      </c>
      <c r="AT312">
        <v>-5.0000000000000001E-3</v>
      </c>
      <c r="AU312">
        <v>0.85</v>
      </c>
      <c r="AV312">
        <v>-8.3999999999999995E-3</v>
      </c>
      <c r="AW312">
        <v>1.3</v>
      </c>
      <c r="AX312">
        <v>-1.18E-2</v>
      </c>
      <c r="AY312">
        <v>1.85</v>
      </c>
      <c r="AZ312">
        <v>-1.5599999999999999E-2</v>
      </c>
      <c r="BA312">
        <v>2.5</v>
      </c>
      <c r="BB312">
        <v>-1.9900000000000001E-2</v>
      </c>
      <c r="BC312">
        <v>2.95</v>
      </c>
      <c r="BD312">
        <v>-2.2700000000000001E-2</v>
      </c>
      <c r="BE312">
        <v>3.2</v>
      </c>
      <c r="BF312">
        <v>-2.4E-2</v>
      </c>
      <c r="BG312">
        <v>13.7</v>
      </c>
      <c r="BH312">
        <v>-0.11349999999999999</v>
      </c>
    </row>
    <row r="313" spans="1:60" x14ac:dyDescent="0.35">
      <c r="A313" t="s">
        <v>34</v>
      </c>
      <c r="B313" s="1">
        <v>46146.65625</v>
      </c>
      <c r="C313" t="s">
        <v>34</v>
      </c>
      <c r="D313" s="1">
        <v>46147.625</v>
      </c>
      <c r="E313">
        <v>5925</v>
      </c>
      <c r="F313" t="s">
        <v>36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446</v>
      </c>
      <c r="O313">
        <v>0.05</v>
      </c>
      <c r="P313">
        <v>0</v>
      </c>
      <c r="Q313">
        <v>0</v>
      </c>
      <c r="R313">
        <v>0</v>
      </c>
      <c r="S313">
        <v>0</v>
      </c>
      <c r="T313">
        <v>1.0790999999999999</v>
      </c>
      <c r="U313">
        <v>-2.9999999999999997E-4</v>
      </c>
      <c r="V313">
        <v>0</v>
      </c>
      <c r="W313">
        <v>-2.4899999999999999E-2</v>
      </c>
      <c r="X313">
        <v>3.7000000000000002E-3</v>
      </c>
      <c r="Y313">
        <v>-1E-4</v>
      </c>
      <c r="Z313">
        <v>0</v>
      </c>
      <c r="AA313">
        <v>0</v>
      </c>
      <c r="AB313">
        <v>410</v>
      </c>
      <c r="AC313">
        <v>0.05</v>
      </c>
      <c r="AD313">
        <v>0</v>
      </c>
      <c r="AE313">
        <v>0</v>
      </c>
      <c r="AF313">
        <v>0</v>
      </c>
      <c r="AG313">
        <v>2016</v>
      </c>
      <c r="AH313">
        <v>0</v>
      </c>
      <c r="AI313">
        <f t="shared" si="0"/>
        <v>-9.710743801652888E-2</v>
      </c>
      <c r="AJ313" s="4">
        <v>6555</v>
      </c>
      <c r="BC313">
        <v>3</v>
      </c>
      <c r="BD313">
        <v>-2.3E-2</v>
      </c>
      <c r="BE313">
        <v>3.3</v>
      </c>
      <c r="BF313">
        <v>-2.47E-2</v>
      </c>
      <c r="BG313">
        <v>6.3</v>
      </c>
      <c r="BH313">
        <v>-4.7699999999999999E-2</v>
      </c>
    </row>
    <row r="314" spans="1:60" x14ac:dyDescent="0.35">
      <c r="A314" t="s">
        <v>34</v>
      </c>
      <c r="B314" s="1">
        <v>46146.65625</v>
      </c>
      <c r="C314" t="s">
        <v>34</v>
      </c>
      <c r="D314" s="1">
        <v>46147.625</v>
      </c>
      <c r="E314">
        <v>5950</v>
      </c>
      <c r="F314" t="s">
        <v>36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462</v>
      </c>
      <c r="O314">
        <v>0.05</v>
      </c>
      <c r="P314">
        <v>0</v>
      </c>
      <c r="Q314">
        <v>0</v>
      </c>
      <c r="R314">
        <v>0</v>
      </c>
      <c r="S314">
        <v>0</v>
      </c>
      <c r="T314">
        <v>1.0572999999999999</v>
      </c>
      <c r="U314">
        <v>-2.9999999999999997E-4</v>
      </c>
      <c r="V314">
        <v>0</v>
      </c>
      <c r="W314">
        <v>-2.4899999999999999E-2</v>
      </c>
      <c r="X314">
        <v>3.7000000000000002E-3</v>
      </c>
      <c r="Y314">
        <v>-1E-4</v>
      </c>
      <c r="Z314">
        <v>0</v>
      </c>
      <c r="AA314">
        <v>0</v>
      </c>
      <c r="AB314">
        <v>303</v>
      </c>
      <c r="AC314">
        <v>0.05</v>
      </c>
      <c r="AD314">
        <v>0</v>
      </c>
      <c r="AE314">
        <v>0</v>
      </c>
      <c r="AF314">
        <v>0</v>
      </c>
      <c r="AG314">
        <v>112</v>
      </c>
      <c r="AH314">
        <v>0</v>
      </c>
      <c r="AI314">
        <f t="shared" si="0"/>
        <v>-9.6418732782369121E-2</v>
      </c>
      <c r="AJ314" s="4">
        <v>6560</v>
      </c>
      <c r="AK314">
        <v>0.05</v>
      </c>
      <c r="AL314">
        <v>-5.0000000000000001E-4</v>
      </c>
      <c r="AM314">
        <v>0.1</v>
      </c>
      <c r="AN314">
        <v>-8.9999999999999998E-4</v>
      </c>
      <c r="AO314">
        <v>0.15</v>
      </c>
      <c r="AP314">
        <v>-2E-3</v>
      </c>
      <c r="AQ314">
        <v>0.25</v>
      </c>
      <c r="AR314">
        <v>-3.2000000000000002E-3</v>
      </c>
      <c r="AS314">
        <v>0.5</v>
      </c>
      <c r="AT314">
        <v>-5.5999999999999999E-3</v>
      </c>
      <c r="AU314">
        <v>0.85</v>
      </c>
      <c r="AV314">
        <v>-8.5000000000000006E-3</v>
      </c>
      <c r="AW314">
        <v>1.3</v>
      </c>
      <c r="AX314">
        <v>-1.21E-2</v>
      </c>
      <c r="BC314">
        <v>3.1</v>
      </c>
      <c r="BD314">
        <v>-2.3599999999999999E-2</v>
      </c>
      <c r="BE314">
        <v>3.3</v>
      </c>
      <c r="BF314">
        <v>-2.4899999999999999E-2</v>
      </c>
      <c r="BG314">
        <v>9.6000000000000014</v>
      </c>
      <c r="BH314">
        <v>-8.1299999999999983E-2</v>
      </c>
    </row>
    <row r="315" spans="1:60" x14ac:dyDescent="0.35">
      <c r="A315" t="s">
        <v>34</v>
      </c>
      <c r="B315" s="1">
        <v>46146.65625</v>
      </c>
      <c r="C315" t="s">
        <v>34</v>
      </c>
      <c r="D315" s="1">
        <v>46147.625</v>
      </c>
      <c r="E315">
        <v>5975</v>
      </c>
      <c r="F315" t="s">
        <v>36</v>
      </c>
      <c r="G315">
        <v>0.05</v>
      </c>
      <c r="H315">
        <v>0.05</v>
      </c>
      <c r="I315">
        <v>0.05</v>
      </c>
      <c r="J315">
        <v>0.05</v>
      </c>
      <c r="K315">
        <v>18</v>
      </c>
      <c r="L315">
        <v>0</v>
      </c>
      <c r="M315">
        <v>0</v>
      </c>
      <c r="N315">
        <v>427</v>
      </c>
      <c r="O315">
        <v>0.05</v>
      </c>
      <c r="P315">
        <v>0</v>
      </c>
      <c r="Q315">
        <v>0</v>
      </c>
      <c r="R315">
        <v>0</v>
      </c>
      <c r="S315">
        <v>0</v>
      </c>
      <c r="T315">
        <v>1.0354000000000001</v>
      </c>
      <c r="U315">
        <v>-2.9999999999999997E-4</v>
      </c>
      <c r="V315">
        <v>0</v>
      </c>
      <c r="W315">
        <v>-2.4899999999999999E-2</v>
      </c>
      <c r="X315">
        <v>3.8E-3</v>
      </c>
      <c r="Y315">
        <v>-1E-4</v>
      </c>
      <c r="Z315">
        <v>0</v>
      </c>
      <c r="AA315">
        <v>0</v>
      </c>
      <c r="AB315">
        <v>236</v>
      </c>
      <c r="AC315">
        <v>0.05</v>
      </c>
      <c r="AD315">
        <v>0</v>
      </c>
      <c r="AE315">
        <v>0</v>
      </c>
      <c r="AF315">
        <v>0.05</v>
      </c>
      <c r="AG315">
        <v>164</v>
      </c>
      <c r="AH315">
        <v>0</v>
      </c>
      <c r="AI315">
        <f t="shared" si="0"/>
        <v>-9.5730027548209362E-2</v>
      </c>
      <c r="AJ315" s="4">
        <v>6565</v>
      </c>
      <c r="BC315">
        <v>3.1</v>
      </c>
      <c r="BD315">
        <v>-2.3900000000000001E-2</v>
      </c>
      <c r="BE315">
        <v>3.4</v>
      </c>
      <c r="BF315">
        <v>-2.5600000000000001E-2</v>
      </c>
      <c r="BG315">
        <v>6.5</v>
      </c>
      <c r="BH315">
        <v>-4.9500000000000002E-2</v>
      </c>
    </row>
    <row r="316" spans="1:60" x14ac:dyDescent="0.35">
      <c r="A316" t="s">
        <v>34</v>
      </c>
      <c r="B316" s="1">
        <v>46146.65625</v>
      </c>
      <c r="C316" t="s">
        <v>34</v>
      </c>
      <c r="D316" s="1">
        <v>46147.625</v>
      </c>
      <c r="E316">
        <v>6000</v>
      </c>
      <c r="F316" t="s">
        <v>36</v>
      </c>
      <c r="G316">
        <v>0.03</v>
      </c>
      <c r="H316">
        <v>0.03</v>
      </c>
      <c r="I316">
        <v>0.03</v>
      </c>
      <c r="J316">
        <v>0.03</v>
      </c>
      <c r="K316">
        <v>7</v>
      </c>
      <c r="L316">
        <v>0</v>
      </c>
      <c r="M316">
        <v>0</v>
      </c>
      <c r="N316">
        <v>1370</v>
      </c>
      <c r="O316">
        <v>0.05</v>
      </c>
      <c r="P316">
        <v>0</v>
      </c>
      <c r="Q316">
        <v>0</v>
      </c>
      <c r="R316">
        <v>0</v>
      </c>
      <c r="S316">
        <v>0</v>
      </c>
      <c r="T316">
        <v>1.0137</v>
      </c>
      <c r="U316">
        <v>-2.9999999999999997E-4</v>
      </c>
      <c r="V316">
        <v>0</v>
      </c>
      <c r="W316">
        <v>-2.4899999999999999E-2</v>
      </c>
      <c r="X316">
        <v>3.8999999999999998E-3</v>
      </c>
      <c r="Y316">
        <v>-1E-4</v>
      </c>
      <c r="Z316">
        <v>0</v>
      </c>
      <c r="AA316">
        <v>0</v>
      </c>
      <c r="AB316">
        <v>1124</v>
      </c>
      <c r="AC316">
        <v>0.05</v>
      </c>
      <c r="AD316">
        <v>0</v>
      </c>
      <c r="AE316">
        <v>0</v>
      </c>
      <c r="AF316">
        <v>0.03</v>
      </c>
      <c r="AG316">
        <v>1260</v>
      </c>
      <c r="AH316">
        <v>0</v>
      </c>
      <c r="AI316">
        <f t="shared" si="0"/>
        <v>-9.5041322314049603E-2</v>
      </c>
      <c r="AJ316" s="4">
        <v>6570</v>
      </c>
      <c r="AK316">
        <v>0.05</v>
      </c>
      <c r="AL316">
        <v>-5.0000000000000001E-4</v>
      </c>
      <c r="AM316">
        <v>0.1</v>
      </c>
      <c r="AN316">
        <v>-8.9999999999999998E-4</v>
      </c>
      <c r="AO316">
        <v>0.15</v>
      </c>
      <c r="AP316">
        <v>-2E-3</v>
      </c>
      <c r="AQ316">
        <v>0.25</v>
      </c>
      <c r="AR316">
        <v>-3.2000000000000002E-3</v>
      </c>
      <c r="AS316">
        <v>0.5</v>
      </c>
      <c r="AT316">
        <v>-5.5999999999999999E-3</v>
      </c>
      <c r="AU316">
        <v>0.85</v>
      </c>
      <c r="AV316">
        <v>-9.1000000000000004E-3</v>
      </c>
      <c r="AW316">
        <v>1.35</v>
      </c>
      <c r="AX316">
        <v>-1.2699999999999999E-2</v>
      </c>
      <c r="BC316">
        <v>3.2</v>
      </c>
      <c r="BD316">
        <v>-2.4500000000000001E-2</v>
      </c>
      <c r="BE316">
        <v>3.4</v>
      </c>
      <c r="BF316">
        <v>-2.58E-2</v>
      </c>
      <c r="BG316">
        <v>9.85</v>
      </c>
      <c r="BH316">
        <v>-8.43E-2</v>
      </c>
    </row>
    <row r="317" spans="1:60" x14ac:dyDescent="0.35">
      <c r="A317" t="s">
        <v>34</v>
      </c>
      <c r="B317" s="1">
        <v>46146.65625</v>
      </c>
      <c r="C317" t="s">
        <v>34</v>
      </c>
      <c r="D317" s="1">
        <v>46147.625</v>
      </c>
      <c r="E317">
        <v>6025</v>
      </c>
      <c r="F317" t="s">
        <v>36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417</v>
      </c>
      <c r="O317">
        <v>0.05</v>
      </c>
      <c r="P317">
        <v>0</v>
      </c>
      <c r="Q317">
        <v>0</v>
      </c>
      <c r="R317">
        <v>0</v>
      </c>
      <c r="S317">
        <v>0</v>
      </c>
      <c r="T317">
        <v>0.99199999999999999</v>
      </c>
      <c r="U317">
        <v>-2.9999999999999997E-4</v>
      </c>
      <c r="V317">
        <v>0</v>
      </c>
      <c r="W317">
        <v>-2.4899999999999999E-2</v>
      </c>
      <c r="X317">
        <v>4.0000000000000001E-3</v>
      </c>
      <c r="Y317">
        <v>-1E-4</v>
      </c>
      <c r="Z317">
        <v>0</v>
      </c>
      <c r="AA317">
        <v>0</v>
      </c>
      <c r="AB317">
        <v>233</v>
      </c>
      <c r="AC317">
        <v>0.05</v>
      </c>
      <c r="AD317">
        <v>0</v>
      </c>
      <c r="AE317">
        <v>0</v>
      </c>
      <c r="AF317">
        <v>0</v>
      </c>
      <c r="AG317">
        <v>415</v>
      </c>
      <c r="AH317">
        <v>0</v>
      </c>
      <c r="AI317">
        <f t="shared" si="0"/>
        <v>-9.4352617079889844E-2</v>
      </c>
      <c r="AJ317" s="4">
        <v>6575</v>
      </c>
      <c r="AK317">
        <v>0.05</v>
      </c>
      <c r="AL317">
        <v>-5.0000000000000001E-4</v>
      </c>
      <c r="AM317">
        <v>0.1</v>
      </c>
      <c r="AN317">
        <v>-8.9999999999999998E-4</v>
      </c>
      <c r="AO317">
        <v>0.15</v>
      </c>
      <c r="AP317">
        <v>-2E-3</v>
      </c>
      <c r="AQ317">
        <v>0.25</v>
      </c>
      <c r="AR317">
        <v>-3.2000000000000002E-3</v>
      </c>
      <c r="AS317">
        <v>0.5</v>
      </c>
      <c r="AT317">
        <v>-5.7000000000000002E-3</v>
      </c>
      <c r="AU317">
        <v>0.9</v>
      </c>
      <c r="AV317">
        <v>-9.1000000000000004E-3</v>
      </c>
      <c r="AW317">
        <v>1.4</v>
      </c>
      <c r="AX317">
        <v>-1.29E-2</v>
      </c>
      <c r="AY317">
        <v>2</v>
      </c>
      <c r="AZ317">
        <v>-1.72E-2</v>
      </c>
      <c r="BA317">
        <v>2.7</v>
      </c>
      <c r="BB317">
        <v>-2.1899999999999999E-2</v>
      </c>
      <c r="BC317">
        <v>3.2</v>
      </c>
      <c r="BD317">
        <v>-2.4799999999999999E-2</v>
      </c>
      <c r="BE317">
        <v>3.5</v>
      </c>
      <c r="BF317">
        <v>-2.6499999999999999E-2</v>
      </c>
      <c r="BG317">
        <v>14.75</v>
      </c>
      <c r="BH317">
        <v>-0.12470000000000001</v>
      </c>
    </row>
    <row r="318" spans="1:60" x14ac:dyDescent="0.35">
      <c r="A318" t="s">
        <v>34</v>
      </c>
      <c r="B318" s="1">
        <v>46146.65625</v>
      </c>
      <c r="C318" t="s">
        <v>34</v>
      </c>
      <c r="D318" s="1">
        <v>46147.625</v>
      </c>
      <c r="E318">
        <v>6050</v>
      </c>
      <c r="F318" t="s">
        <v>36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559</v>
      </c>
      <c r="O318">
        <v>0.05</v>
      </c>
      <c r="P318">
        <v>0</v>
      </c>
      <c r="Q318">
        <v>0</v>
      </c>
      <c r="R318">
        <v>0</v>
      </c>
      <c r="S318">
        <v>0</v>
      </c>
      <c r="T318">
        <v>0.97040000000000004</v>
      </c>
      <c r="U318">
        <v>-2.9999999999999997E-4</v>
      </c>
      <c r="V318">
        <v>0</v>
      </c>
      <c r="W318">
        <v>-2.4899999999999999E-2</v>
      </c>
      <c r="X318">
        <v>4.0000000000000001E-3</v>
      </c>
      <c r="Y318">
        <v>-1E-4</v>
      </c>
      <c r="Z318">
        <v>0</v>
      </c>
      <c r="AA318">
        <v>0</v>
      </c>
      <c r="AB318">
        <v>347</v>
      </c>
      <c r="AC318">
        <v>0.05</v>
      </c>
      <c r="AD318">
        <v>0</v>
      </c>
      <c r="AE318">
        <v>0</v>
      </c>
      <c r="AF318">
        <v>0</v>
      </c>
      <c r="AG318">
        <v>580</v>
      </c>
      <c r="AH318">
        <v>0</v>
      </c>
      <c r="AI318">
        <f t="shared" si="0"/>
        <v>-9.3663911845729975E-2</v>
      </c>
      <c r="AJ318" s="4">
        <v>6580</v>
      </c>
      <c r="AK318">
        <v>0.05</v>
      </c>
      <c r="AL318">
        <v>-5.0000000000000001E-4</v>
      </c>
      <c r="AM318">
        <v>0.1</v>
      </c>
      <c r="AN318">
        <v>-8.9999999999999998E-4</v>
      </c>
      <c r="AO318">
        <v>0.15</v>
      </c>
      <c r="AP318">
        <v>-2E-3</v>
      </c>
      <c r="AQ318">
        <v>0.25</v>
      </c>
      <c r="AR318">
        <v>-3.3E-3</v>
      </c>
      <c r="AS318">
        <v>0.5</v>
      </c>
      <c r="AT318">
        <v>-5.7000000000000002E-3</v>
      </c>
      <c r="AU318">
        <v>0.9</v>
      </c>
      <c r="AV318">
        <v>-9.1999999999999998E-3</v>
      </c>
      <c r="AW318">
        <v>1.4</v>
      </c>
      <c r="AX318">
        <v>-1.32E-2</v>
      </c>
      <c r="BC318">
        <v>3.3</v>
      </c>
      <c r="BD318">
        <v>-2.52E-2</v>
      </c>
      <c r="BE318">
        <v>3.6</v>
      </c>
      <c r="BF318">
        <v>-2.7199999999999998E-2</v>
      </c>
      <c r="BG318">
        <v>10.25</v>
      </c>
      <c r="BH318">
        <v>-8.72E-2</v>
      </c>
    </row>
    <row r="319" spans="1:60" x14ac:dyDescent="0.35">
      <c r="A319" t="s">
        <v>34</v>
      </c>
      <c r="B319" s="1">
        <v>46146.65625</v>
      </c>
      <c r="C319" t="s">
        <v>34</v>
      </c>
      <c r="D319" s="1">
        <v>46147.625</v>
      </c>
      <c r="E319">
        <v>6075</v>
      </c>
      <c r="F319" t="s">
        <v>36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463</v>
      </c>
      <c r="O319">
        <v>0.05</v>
      </c>
      <c r="P319">
        <v>0</v>
      </c>
      <c r="Q319">
        <v>0</v>
      </c>
      <c r="R319">
        <v>0</v>
      </c>
      <c r="S319">
        <v>0</v>
      </c>
      <c r="T319">
        <v>0.94879999999999998</v>
      </c>
      <c r="U319">
        <v>-2.9999999999999997E-4</v>
      </c>
      <c r="V319">
        <v>0</v>
      </c>
      <c r="W319">
        <v>-2.4899999999999999E-2</v>
      </c>
      <c r="X319">
        <v>4.1000000000000003E-3</v>
      </c>
      <c r="Y319">
        <v>-1E-4</v>
      </c>
      <c r="Z319">
        <v>0</v>
      </c>
      <c r="AA319">
        <v>0</v>
      </c>
      <c r="AB319">
        <v>190</v>
      </c>
      <c r="AC319">
        <v>0.05</v>
      </c>
      <c r="AD319">
        <v>0</v>
      </c>
      <c r="AE319">
        <v>0</v>
      </c>
      <c r="AF319">
        <v>0</v>
      </c>
      <c r="AG319">
        <v>386</v>
      </c>
      <c r="AH319">
        <v>0</v>
      </c>
      <c r="AI319">
        <f t="shared" si="0"/>
        <v>-9.2975206611570216E-2</v>
      </c>
      <c r="AJ319" s="4">
        <v>6585</v>
      </c>
      <c r="BC319">
        <v>3.3</v>
      </c>
      <c r="BD319">
        <v>-2.5700000000000001E-2</v>
      </c>
      <c r="BE319">
        <v>3.6</v>
      </c>
      <c r="BF319">
        <v>-2.7400000000000001E-2</v>
      </c>
      <c r="BG319">
        <v>6.9</v>
      </c>
      <c r="BH319">
        <v>-5.3100000000000001E-2</v>
      </c>
    </row>
    <row r="320" spans="1:60" x14ac:dyDescent="0.35">
      <c r="A320" t="s">
        <v>34</v>
      </c>
      <c r="B320" s="1">
        <v>46146.65625</v>
      </c>
      <c r="C320" t="s">
        <v>34</v>
      </c>
      <c r="D320" s="1">
        <v>46147.625</v>
      </c>
      <c r="E320">
        <v>6100</v>
      </c>
      <c r="F320" t="s">
        <v>36</v>
      </c>
      <c r="G320">
        <v>0.05</v>
      </c>
      <c r="H320">
        <v>0.05</v>
      </c>
      <c r="I320">
        <v>0.03</v>
      </c>
      <c r="J320">
        <v>0.03</v>
      </c>
      <c r="K320">
        <v>289</v>
      </c>
      <c r="L320">
        <v>0</v>
      </c>
      <c r="M320">
        <v>0</v>
      </c>
      <c r="N320">
        <v>1167</v>
      </c>
      <c r="O320">
        <v>0.05</v>
      </c>
      <c r="P320">
        <v>0</v>
      </c>
      <c r="Q320">
        <v>0</v>
      </c>
      <c r="R320">
        <v>0</v>
      </c>
      <c r="S320">
        <v>0</v>
      </c>
      <c r="T320">
        <v>0.92730000000000001</v>
      </c>
      <c r="U320">
        <v>-2.9999999999999997E-4</v>
      </c>
      <c r="V320">
        <v>0</v>
      </c>
      <c r="W320">
        <v>-2.4899999999999999E-2</v>
      </c>
      <c r="X320">
        <v>4.1999999999999997E-3</v>
      </c>
      <c r="Y320">
        <v>-1E-4</v>
      </c>
      <c r="Z320">
        <v>0</v>
      </c>
      <c r="AA320">
        <v>0</v>
      </c>
      <c r="AB320">
        <v>705</v>
      </c>
      <c r="AC320">
        <v>0.05</v>
      </c>
      <c r="AD320">
        <v>0</v>
      </c>
      <c r="AE320">
        <v>0</v>
      </c>
      <c r="AF320">
        <v>4.99E-2</v>
      </c>
      <c r="AG320">
        <v>320</v>
      </c>
      <c r="AH320">
        <v>0</v>
      </c>
      <c r="AI320">
        <f t="shared" si="0"/>
        <v>-9.2286501377410457E-2</v>
      </c>
      <c r="AJ320" s="4">
        <v>6590</v>
      </c>
      <c r="AK320">
        <v>0.05</v>
      </c>
      <c r="AL320">
        <v>-5.0000000000000001E-4</v>
      </c>
      <c r="AM320">
        <v>0.1</v>
      </c>
      <c r="AN320">
        <v>-1E-3</v>
      </c>
      <c r="AO320">
        <v>0.2</v>
      </c>
      <c r="AP320">
        <v>-2.3999999999999998E-3</v>
      </c>
      <c r="AQ320">
        <v>0.3</v>
      </c>
      <c r="AR320">
        <v>-3.3E-3</v>
      </c>
      <c r="AS320">
        <v>0.55000000000000004</v>
      </c>
      <c r="AT320">
        <v>-6.3E-3</v>
      </c>
      <c r="AU320">
        <v>0.95</v>
      </c>
      <c r="AV320">
        <v>-9.7000000000000003E-3</v>
      </c>
      <c r="AW320">
        <v>1.45</v>
      </c>
      <c r="AX320">
        <v>-1.38E-2</v>
      </c>
      <c r="BC320">
        <v>3.4</v>
      </c>
      <c r="BD320">
        <v>-2.6100000000000002E-2</v>
      </c>
      <c r="BE320">
        <v>3.7</v>
      </c>
      <c r="BF320">
        <v>-2.81E-2</v>
      </c>
      <c r="BG320">
        <v>10.7</v>
      </c>
      <c r="BH320">
        <v>-9.1200000000000003E-2</v>
      </c>
    </row>
    <row r="321" spans="1:60" x14ac:dyDescent="0.35">
      <c r="A321" t="s">
        <v>34</v>
      </c>
      <c r="B321" s="1">
        <v>46146.65625</v>
      </c>
      <c r="C321" t="s">
        <v>34</v>
      </c>
      <c r="D321" s="1">
        <v>46147.625</v>
      </c>
      <c r="E321">
        <v>6125</v>
      </c>
      <c r="F321" t="s">
        <v>36</v>
      </c>
      <c r="G321">
        <v>0.05</v>
      </c>
      <c r="H321">
        <v>0.05</v>
      </c>
      <c r="I321">
        <v>0.05</v>
      </c>
      <c r="J321">
        <v>0.05</v>
      </c>
      <c r="K321">
        <v>2</v>
      </c>
      <c r="L321">
        <v>0</v>
      </c>
      <c r="M321">
        <v>0</v>
      </c>
      <c r="N321">
        <v>533</v>
      </c>
      <c r="O321">
        <v>0.05</v>
      </c>
      <c r="P321">
        <v>0</v>
      </c>
      <c r="Q321">
        <v>0</v>
      </c>
      <c r="R321">
        <v>0</v>
      </c>
      <c r="S321">
        <v>0</v>
      </c>
      <c r="T321">
        <v>0.90590000000000004</v>
      </c>
      <c r="U321">
        <v>-2.9999999999999997E-4</v>
      </c>
      <c r="V321">
        <v>0</v>
      </c>
      <c r="W321">
        <v>-2.4899999999999999E-2</v>
      </c>
      <c r="X321">
        <v>4.3E-3</v>
      </c>
      <c r="Y321">
        <v>-1E-4</v>
      </c>
      <c r="Z321">
        <v>0</v>
      </c>
      <c r="AA321">
        <v>0</v>
      </c>
      <c r="AB321">
        <v>77</v>
      </c>
      <c r="AC321">
        <v>0.05</v>
      </c>
      <c r="AD321">
        <v>0</v>
      </c>
      <c r="AE321">
        <v>0</v>
      </c>
      <c r="AF321">
        <v>0.05</v>
      </c>
      <c r="AG321">
        <v>268</v>
      </c>
      <c r="AH321">
        <v>0</v>
      </c>
      <c r="AI321">
        <f t="shared" si="0"/>
        <v>-9.1597796143250698E-2</v>
      </c>
      <c r="AJ321" s="4">
        <v>6595</v>
      </c>
      <c r="BC321">
        <v>3.4</v>
      </c>
      <c r="BD321">
        <v>-2.6599999999999999E-2</v>
      </c>
      <c r="BE321">
        <v>3.7</v>
      </c>
      <c r="BF321">
        <v>-2.8299999999999999E-2</v>
      </c>
      <c r="BG321">
        <v>7.1</v>
      </c>
      <c r="BH321">
        <v>-5.4899999999999997E-2</v>
      </c>
    </row>
    <row r="322" spans="1:60" x14ac:dyDescent="0.35">
      <c r="A322" t="s">
        <v>34</v>
      </c>
      <c r="B322" s="1">
        <v>46146.65625</v>
      </c>
      <c r="C322" t="s">
        <v>34</v>
      </c>
      <c r="D322" s="1">
        <v>46147.625</v>
      </c>
      <c r="E322">
        <v>6150</v>
      </c>
      <c r="F322" t="s">
        <v>36</v>
      </c>
      <c r="G322">
        <v>0.05</v>
      </c>
      <c r="H322">
        <v>0.05</v>
      </c>
      <c r="I322">
        <v>0.05</v>
      </c>
      <c r="J322">
        <v>0.05</v>
      </c>
      <c r="K322">
        <v>41</v>
      </c>
      <c r="L322">
        <v>0</v>
      </c>
      <c r="M322">
        <v>0</v>
      </c>
      <c r="N322">
        <v>231</v>
      </c>
      <c r="O322">
        <v>0.05</v>
      </c>
      <c r="P322">
        <v>0</v>
      </c>
      <c r="Q322">
        <v>0</v>
      </c>
      <c r="R322">
        <v>0</v>
      </c>
      <c r="S322">
        <v>0</v>
      </c>
      <c r="T322">
        <v>0.88449999999999995</v>
      </c>
      <c r="U322">
        <v>-2.9999999999999997E-4</v>
      </c>
      <c r="V322">
        <v>0</v>
      </c>
      <c r="W322">
        <v>-2.4899999999999999E-2</v>
      </c>
      <c r="X322">
        <v>4.4000000000000003E-3</v>
      </c>
      <c r="Y322">
        <v>-1E-4</v>
      </c>
      <c r="Z322">
        <v>0</v>
      </c>
      <c r="AA322">
        <v>0</v>
      </c>
      <c r="AB322">
        <v>73</v>
      </c>
      <c r="AC322">
        <v>0.05</v>
      </c>
      <c r="AD322">
        <v>0</v>
      </c>
      <c r="AE322">
        <v>0</v>
      </c>
      <c r="AF322">
        <v>0.05</v>
      </c>
      <c r="AG322">
        <v>286</v>
      </c>
      <c r="AH322">
        <v>0</v>
      </c>
      <c r="AI322">
        <f t="shared" si="0"/>
        <v>-9.0909090909090939E-2</v>
      </c>
      <c r="AJ322" s="4">
        <v>6600</v>
      </c>
      <c r="AK322">
        <v>0.05</v>
      </c>
      <c r="AL322">
        <v>-5.0000000000000001E-4</v>
      </c>
      <c r="AM322">
        <v>0.1</v>
      </c>
      <c r="AN322">
        <v>-1.4E-3</v>
      </c>
      <c r="AO322">
        <v>0.2</v>
      </c>
      <c r="AP322">
        <v>-2.3999999999999998E-3</v>
      </c>
      <c r="AQ322">
        <v>0.25</v>
      </c>
      <c r="AR322">
        <v>-3.3E-3</v>
      </c>
      <c r="AS322">
        <v>0.55000000000000004</v>
      </c>
      <c r="AT322">
        <v>-6.4000000000000003E-3</v>
      </c>
      <c r="AU322">
        <v>0.95</v>
      </c>
      <c r="AV322">
        <v>-1.01E-2</v>
      </c>
      <c r="AW322">
        <v>1.5</v>
      </c>
      <c r="AX322">
        <v>-1.44E-2</v>
      </c>
      <c r="AY322">
        <v>2.15</v>
      </c>
      <c r="AZ322">
        <v>-1.9E-2</v>
      </c>
      <c r="BA322">
        <v>2.95</v>
      </c>
      <c r="BB322">
        <v>-2.4E-2</v>
      </c>
      <c r="BC322">
        <v>3.4</v>
      </c>
      <c r="BD322">
        <v>-2.6800000000000001E-2</v>
      </c>
      <c r="BE322">
        <v>3.8</v>
      </c>
      <c r="BF322">
        <v>-2.9100000000000001E-2</v>
      </c>
      <c r="BG322">
        <v>15.899999999999999</v>
      </c>
      <c r="BH322">
        <v>-0.13739999999999999</v>
      </c>
    </row>
    <row r="323" spans="1:60" x14ac:dyDescent="0.35">
      <c r="A323" t="s">
        <v>34</v>
      </c>
      <c r="B323" s="1">
        <v>46146.65625</v>
      </c>
      <c r="C323" t="s">
        <v>34</v>
      </c>
      <c r="D323" s="1">
        <v>46147.625</v>
      </c>
      <c r="E323">
        <v>6175</v>
      </c>
      <c r="F323" t="s">
        <v>36</v>
      </c>
      <c r="G323">
        <v>0.05</v>
      </c>
      <c r="H323">
        <v>0.05</v>
      </c>
      <c r="I323">
        <v>0.05</v>
      </c>
      <c r="J323">
        <v>0.05</v>
      </c>
      <c r="K323">
        <v>4</v>
      </c>
      <c r="L323">
        <v>0</v>
      </c>
      <c r="M323">
        <v>0</v>
      </c>
      <c r="N323">
        <v>226</v>
      </c>
      <c r="O323">
        <v>0.05</v>
      </c>
      <c r="P323">
        <v>0</v>
      </c>
      <c r="Q323">
        <v>0</v>
      </c>
      <c r="R323">
        <v>0</v>
      </c>
      <c r="S323">
        <v>0</v>
      </c>
      <c r="T323">
        <v>0.86319999999999997</v>
      </c>
      <c r="U323">
        <v>-2.9999999999999997E-4</v>
      </c>
      <c r="V323">
        <v>0</v>
      </c>
      <c r="W323">
        <v>-2.4899999999999999E-2</v>
      </c>
      <c r="X323">
        <v>4.4999999999999997E-3</v>
      </c>
      <c r="Y323">
        <v>-1E-4</v>
      </c>
      <c r="Z323">
        <v>0</v>
      </c>
      <c r="AA323">
        <v>0</v>
      </c>
      <c r="AB323">
        <v>78</v>
      </c>
      <c r="AC323">
        <v>0.05</v>
      </c>
      <c r="AD323">
        <v>0</v>
      </c>
      <c r="AE323">
        <v>0</v>
      </c>
      <c r="AF323">
        <v>0.05</v>
      </c>
      <c r="AG323">
        <v>581</v>
      </c>
      <c r="AH323">
        <v>0</v>
      </c>
      <c r="AI323">
        <f t="shared" si="0"/>
        <v>-9.0220385674931181E-2</v>
      </c>
      <c r="AJ323" s="4">
        <v>6605</v>
      </c>
      <c r="BC323">
        <v>3.6</v>
      </c>
      <c r="BD323">
        <v>-2.7799999999999998E-2</v>
      </c>
      <c r="BE323">
        <v>3.9</v>
      </c>
      <c r="BF323">
        <v>-2.98E-2</v>
      </c>
      <c r="BG323">
        <v>7.5</v>
      </c>
      <c r="BH323">
        <v>-5.7599999999999998E-2</v>
      </c>
    </row>
    <row r="324" spans="1:60" x14ac:dyDescent="0.35">
      <c r="A324" t="s">
        <v>34</v>
      </c>
      <c r="B324" s="1">
        <v>46146.65625</v>
      </c>
      <c r="C324" t="s">
        <v>34</v>
      </c>
      <c r="D324" s="1">
        <v>46147.625</v>
      </c>
      <c r="E324">
        <v>6200</v>
      </c>
      <c r="F324" t="s">
        <v>36</v>
      </c>
      <c r="G324">
        <v>0.05</v>
      </c>
      <c r="H324">
        <v>0.05</v>
      </c>
      <c r="I324">
        <v>0.03</v>
      </c>
      <c r="J324">
        <v>0.03</v>
      </c>
      <c r="K324">
        <v>151</v>
      </c>
      <c r="L324">
        <v>0</v>
      </c>
      <c r="M324">
        <v>0</v>
      </c>
      <c r="N324">
        <v>208</v>
      </c>
      <c r="O324">
        <v>0.05</v>
      </c>
      <c r="P324">
        <v>0</v>
      </c>
      <c r="Q324">
        <v>0</v>
      </c>
      <c r="R324">
        <v>0</v>
      </c>
      <c r="S324">
        <v>0</v>
      </c>
      <c r="T324">
        <v>0.84189999999999998</v>
      </c>
      <c r="U324">
        <v>-2.9999999999999997E-4</v>
      </c>
      <c r="V324">
        <v>0</v>
      </c>
      <c r="W324">
        <v>-2.4899999999999999E-2</v>
      </c>
      <c r="X324">
        <v>4.5999999999999999E-3</v>
      </c>
      <c r="Y324">
        <v>-1E-4</v>
      </c>
      <c r="Z324">
        <v>0</v>
      </c>
      <c r="AA324">
        <v>0</v>
      </c>
      <c r="AB324">
        <v>81</v>
      </c>
      <c r="AC324">
        <v>0.05</v>
      </c>
      <c r="AD324">
        <v>0</v>
      </c>
      <c r="AE324">
        <v>0</v>
      </c>
      <c r="AF324">
        <v>4.8800000000000003E-2</v>
      </c>
      <c r="AG324">
        <v>346</v>
      </c>
      <c r="AH324">
        <v>0</v>
      </c>
      <c r="AI324">
        <f t="shared" si="0"/>
        <v>-8.9531680440771311E-2</v>
      </c>
      <c r="AJ324" s="4">
        <v>6610</v>
      </c>
      <c r="AK324">
        <v>0.05</v>
      </c>
      <c r="AL324">
        <v>-5.0000000000000001E-4</v>
      </c>
      <c r="AM324">
        <v>0.1</v>
      </c>
      <c r="AN324">
        <v>-1.4E-3</v>
      </c>
      <c r="AO324">
        <v>0.2</v>
      </c>
      <c r="AP324">
        <v>-2.3999999999999998E-3</v>
      </c>
      <c r="AQ324">
        <v>0.3</v>
      </c>
      <c r="AR324">
        <v>-3.7000000000000002E-3</v>
      </c>
      <c r="AS324">
        <v>0.55000000000000004</v>
      </c>
      <c r="AT324">
        <v>-6.4999999999999997E-3</v>
      </c>
      <c r="AU324">
        <v>1.05</v>
      </c>
      <c r="AV324">
        <v>-1.09E-2</v>
      </c>
      <c r="AW324">
        <v>1.55</v>
      </c>
      <c r="AX324">
        <v>-1.4999999999999999E-2</v>
      </c>
      <c r="BC324">
        <v>3.6</v>
      </c>
      <c r="BD324">
        <v>-2.8299999999999999E-2</v>
      </c>
      <c r="BE324">
        <v>3.9</v>
      </c>
      <c r="BF324">
        <v>-0.03</v>
      </c>
      <c r="BG324">
        <v>11.3</v>
      </c>
      <c r="BH324">
        <v>-9.8699999999999996E-2</v>
      </c>
    </row>
    <row r="325" spans="1:60" x14ac:dyDescent="0.35">
      <c r="A325" t="s">
        <v>34</v>
      </c>
      <c r="B325" s="1">
        <v>46146.65625</v>
      </c>
      <c r="C325" t="s">
        <v>34</v>
      </c>
      <c r="D325" s="1">
        <v>46147.625</v>
      </c>
      <c r="E325">
        <v>6225</v>
      </c>
      <c r="F325" t="s">
        <v>36</v>
      </c>
      <c r="G325">
        <v>0.05</v>
      </c>
      <c r="H325">
        <v>0.05</v>
      </c>
      <c r="I325">
        <v>0.03</v>
      </c>
      <c r="J325">
        <v>0.03</v>
      </c>
      <c r="K325">
        <v>16</v>
      </c>
      <c r="L325">
        <v>0</v>
      </c>
      <c r="M325">
        <v>0</v>
      </c>
      <c r="N325">
        <v>232</v>
      </c>
      <c r="O325">
        <v>0.05</v>
      </c>
      <c r="P325">
        <v>0</v>
      </c>
      <c r="Q325">
        <v>0</v>
      </c>
      <c r="R325">
        <v>0</v>
      </c>
      <c r="S325">
        <v>0</v>
      </c>
      <c r="T325">
        <v>0.82069999999999999</v>
      </c>
      <c r="U325">
        <v>-2.9999999999999997E-4</v>
      </c>
      <c r="V325">
        <v>0</v>
      </c>
      <c r="W325">
        <v>-2.4899999999999999E-2</v>
      </c>
      <c r="X325">
        <v>4.7000000000000002E-3</v>
      </c>
      <c r="Y325">
        <v>-1E-4</v>
      </c>
      <c r="Z325">
        <v>0</v>
      </c>
      <c r="AA325">
        <v>0</v>
      </c>
      <c r="AB325">
        <v>68</v>
      </c>
      <c r="AC325">
        <v>0.05</v>
      </c>
      <c r="AD325">
        <v>0</v>
      </c>
      <c r="AE325">
        <v>0</v>
      </c>
      <c r="AF325">
        <v>3.3799999999999997E-2</v>
      </c>
      <c r="AG325">
        <v>25</v>
      </c>
      <c r="AH325">
        <v>0</v>
      </c>
      <c r="AI325">
        <f t="shared" si="0"/>
        <v>-8.8842975206611552E-2</v>
      </c>
      <c r="AJ325" s="4">
        <v>6615</v>
      </c>
      <c r="BC325">
        <v>3.7</v>
      </c>
      <c r="BD325">
        <v>-2.8799999999999999E-2</v>
      </c>
      <c r="BE325">
        <v>4</v>
      </c>
      <c r="BF325">
        <v>-3.0800000000000001E-2</v>
      </c>
      <c r="BG325">
        <v>7.7</v>
      </c>
      <c r="BH325">
        <v>-5.96E-2</v>
      </c>
    </row>
    <row r="326" spans="1:60" x14ac:dyDescent="0.35">
      <c r="A326" t="s">
        <v>34</v>
      </c>
      <c r="B326" s="1">
        <v>46146.65625</v>
      </c>
      <c r="C326" t="s">
        <v>34</v>
      </c>
      <c r="D326" s="1">
        <v>46147.625</v>
      </c>
      <c r="E326">
        <v>6250</v>
      </c>
      <c r="F326" t="s">
        <v>36</v>
      </c>
      <c r="G326">
        <v>0.05</v>
      </c>
      <c r="H326">
        <v>0.05</v>
      </c>
      <c r="I326">
        <v>0.05</v>
      </c>
      <c r="J326">
        <v>0.05</v>
      </c>
      <c r="K326">
        <v>209</v>
      </c>
      <c r="L326">
        <v>0</v>
      </c>
      <c r="M326">
        <v>0</v>
      </c>
      <c r="N326">
        <v>191</v>
      </c>
      <c r="O326">
        <v>0.05</v>
      </c>
      <c r="P326">
        <v>0</v>
      </c>
      <c r="Q326">
        <v>0</v>
      </c>
      <c r="R326">
        <v>0</v>
      </c>
      <c r="S326">
        <v>0</v>
      </c>
      <c r="T326">
        <v>0.79959999999999998</v>
      </c>
      <c r="U326">
        <v>-4.0000000000000002E-4</v>
      </c>
      <c r="V326">
        <v>0</v>
      </c>
      <c r="W326">
        <v>-2.4899999999999999E-2</v>
      </c>
      <c r="X326">
        <v>4.7999999999999996E-3</v>
      </c>
      <c r="Y326">
        <v>-1E-4</v>
      </c>
      <c r="Z326">
        <v>0</v>
      </c>
      <c r="AA326">
        <v>0</v>
      </c>
      <c r="AB326">
        <v>94</v>
      </c>
      <c r="AC326">
        <v>0.05</v>
      </c>
      <c r="AD326">
        <v>0</v>
      </c>
      <c r="AE326">
        <v>0</v>
      </c>
      <c r="AF326">
        <v>0.05</v>
      </c>
      <c r="AG326">
        <v>313</v>
      </c>
      <c r="AH326">
        <v>0</v>
      </c>
      <c r="AI326">
        <f t="shared" si="0"/>
        <v>-8.8154269972451793E-2</v>
      </c>
      <c r="AJ326" s="4">
        <v>6620</v>
      </c>
      <c r="AK326">
        <v>0.05</v>
      </c>
      <c r="AL326">
        <v>-5.9999999999999995E-4</v>
      </c>
      <c r="AM326">
        <v>0.1</v>
      </c>
      <c r="AN326">
        <v>-1.4E-3</v>
      </c>
      <c r="AO326">
        <v>0.2</v>
      </c>
      <c r="AP326">
        <v>-2.5000000000000001E-3</v>
      </c>
      <c r="AQ326">
        <v>0.3</v>
      </c>
      <c r="AR326">
        <v>-3.8E-3</v>
      </c>
      <c r="AS326">
        <v>0.6</v>
      </c>
      <c r="AT326">
        <v>-7.1000000000000004E-3</v>
      </c>
      <c r="AU326">
        <v>1.05</v>
      </c>
      <c r="AV326">
        <v>-1.0999999999999999E-2</v>
      </c>
      <c r="AW326">
        <v>1.65</v>
      </c>
      <c r="AX326">
        <v>-1.5699999999999999E-2</v>
      </c>
      <c r="BC326">
        <v>3.7</v>
      </c>
      <c r="BD326">
        <v>-2.92E-2</v>
      </c>
      <c r="BE326">
        <v>4.0999999999999996</v>
      </c>
      <c r="BF326">
        <v>-3.1199999999999999E-2</v>
      </c>
      <c r="BG326">
        <v>11.75</v>
      </c>
      <c r="BH326">
        <v>-0.10250000000000001</v>
      </c>
    </row>
    <row r="327" spans="1:60" x14ac:dyDescent="0.35">
      <c r="A327" t="s">
        <v>34</v>
      </c>
      <c r="B327" s="1">
        <v>46146.65625</v>
      </c>
      <c r="C327" t="s">
        <v>34</v>
      </c>
      <c r="D327" s="1">
        <v>46147.625</v>
      </c>
      <c r="E327">
        <v>6275</v>
      </c>
      <c r="F327" t="s">
        <v>36</v>
      </c>
      <c r="G327">
        <v>0.05</v>
      </c>
      <c r="H327">
        <v>0.05</v>
      </c>
      <c r="I327">
        <v>0.05</v>
      </c>
      <c r="J327">
        <v>0.05</v>
      </c>
      <c r="K327">
        <v>83</v>
      </c>
      <c r="L327">
        <v>0</v>
      </c>
      <c r="M327">
        <v>0</v>
      </c>
      <c r="N327">
        <v>145</v>
      </c>
      <c r="O327">
        <v>0.05</v>
      </c>
      <c r="P327">
        <v>0</v>
      </c>
      <c r="Q327">
        <v>0</v>
      </c>
      <c r="R327">
        <v>0</v>
      </c>
      <c r="S327">
        <v>0</v>
      </c>
      <c r="T327">
        <v>0.77849999999999997</v>
      </c>
      <c r="U327">
        <v>-4.0000000000000002E-4</v>
      </c>
      <c r="V327">
        <v>0</v>
      </c>
      <c r="W327">
        <v>-2.4899999999999999E-2</v>
      </c>
      <c r="X327">
        <v>5.0000000000000001E-3</v>
      </c>
      <c r="Y327">
        <v>-1E-4</v>
      </c>
      <c r="Z327">
        <v>0</v>
      </c>
      <c r="AA327">
        <v>0</v>
      </c>
      <c r="AB327">
        <v>273</v>
      </c>
      <c r="AC327">
        <v>0.1</v>
      </c>
      <c r="AD327">
        <v>0</v>
      </c>
      <c r="AE327">
        <v>0</v>
      </c>
      <c r="AF327">
        <v>0.05</v>
      </c>
      <c r="AG327">
        <v>92</v>
      </c>
      <c r="AH327">
        <v>0</v>
      </c>
      <c r="AI327">
        <f t="shared" si="0"/>
        <v>-8.7465564738292034E-2</v>
      </c>
      <c r="AJ327" s="4">
        <v>6625</v>
      </c>
      <c r="AK327">
        <v>0.05</v>
      </c>
      <c r="AL327">
        <v>-5.9999999999999995E-4</v>
      </c>
      <c r="AM327">
        <v>0.1</v>
      </c>
      <c r="AN327">
        <v>-1.4E-3</v>
      </c>
      <c r="AO327">
        <v>0.2</v>
      </c>
      <c r="AP327">
        <v>-2.5000000000000001E-3</v>
      </c>
      <c r="AQ327">
        <v>0.3</v>
      </c>
      <c r="AR327">
        <v>-4.1000000000000003E-3</v>
      </c>
      <c r="AS327">
        <v>0.6</v>
      </c>
      <c r="AT327">
        <v>-7.1000000000000004E-3</v>
      </c>
      <c r="AU327">
        <v>1.1000000000000001</v>
      </c>
      <c r="AV327">
        <v>-1.15E-2</v>
      </c>
      <c r="AW327">
        <v>1.65</v>
      </c>
      <c r="AX327">
        <v>-1.6E-2</v>
      </c>
      <c r="AY327">
        <v>2.35</v>
      </c>
      <c r="AZ327">
        <v>-2.1100000000000001E-2</v>
      </c>
      <c r="BA327">
        <v>3.2</v>
      </c>
      <c r="BB327">
        <v>-2.64E-2</v>
      </c>
      <c r="BC327">
        <v>3.8</v>
      </c>
      <c r="BD327">
        <v>-2.9700000000000001E-2</v>
      </c>
      <c r="BE327">
        <v>4.0999999999999996</v>
      </c>
      <c r="BF327">
        <v>-3.1699999999999999E-2</v>
      </c>
      <c r="BG327">
        <v>17.450000000000003</v>
      </c>
      <c r="BH327">
        <v>-0.15210000000000001</v>
      </c>
    </row>
    <row r="328" spans="1:60" x14ac:dyDescent="0.35">
      <c r="A328" t="s">
        <v>34</v>
      </c>
      <c r="B328" s="1">
        <v>46146.65625</v>
      </c>
      <c r="C328" t="s">
        <v>34</v>
      </c>
      <c r="D328" s="1">
        <v>46147.625</v>
      </c>
      <c r="E328">
        <v>6300</v>
      </c>
      <c r="F328" t="s">
        <v>36</v>
      </c>
      <c r="G328">
        <v>0.05</v>
      </c>
      <c r="H328">
        <v>0.05</v>
      </c>
      <c r="I328">
        <v>0.05</v>
      </c>
      <c r="J328">
        <v>0.05</v>
      </c>
      <c r="K328">
        <v>80</v>
      </c>
      <c r="L328">
        <v>0</v>
      </c>
      <c r="M328">
        <v>0</v>
      </c>
      <c r="N328">
        <v>137</v>
      </c>
      <c r="O328">
        <v>0.05</v>
      </c>
      <c r="P328">
        <v>0</v>
      </c>
      <c r="Q328">
        <v>0</v>
      </c>
      <c r="R328">
        <v>0</v>
      </c>
      <c r="S328">
        <v>0</v>
      </c>
      <c r="T328">
        <v>0.75739999999999996</v>
      </c>
      <c r="U328">
        <v>-4.0000000000000002E-4</v>
      </c>
      <c r="V328">
        <v>0</v>
      </c>
      <c r="W328">
        <v>-2.4899999999999999E-2</v>
      </c>
      <c r="X328">
        <v>5.1000000000000004E-3</v>
      </c>
      <c r="Y328">
        <v>-1E-4</v>
      </c>
      <c r="Z328">
        <v>0</v>
      </c>
      <c r="AA328">
        <v>0</v>
      </c>
      <c r="AB328">
        <v>6</v>
      </c>
      <c r="AC328">
        <v>0.05</v>
      </c>
      <c r="AD328">
        <v>0</v>
      </c>
      <c r="AE328">
        <v>0</v>
      </c>
      <c r="AF328">
        <v>0.05</v>
      </c>
      <c r="AG328">
        <v>767</v>
      </c>
      <c r="AH328">
        <v>0</v>
      </c>
      <c r="AI328">
        <f t="shared" si="0"/>
        <v>-8.6776859504132275E-2</v>
      </c>
      <c r="AJ328" s="4">
        <v>6630</v>
      </c>
      <c r="AK328">
        <v>0.05</v>
      </c>
      <c r="AL328">
        <v>-5.9999999999999995E-4</v>
      </c>
      <c r="AM328">
        <v>0.1</v>
      </c>
      <c r="AN328">
        <v>-1.4E-3</v>
      </c>
      <c r="AO328">
        <v>0.2</v>
      </c>
      <c r="AP328">
        <v>-2.5000000000000001E-3</v>
      </c>
      <c r="AQ328">
        <v>0.3</v>
      </c>
      <c r="AR328">
        <v>-4.1000000000000003E-3</v>
      </c>
      <c r="AS328">
        <v>0.6</v>
      </c>
      <c r="AT328">
        <v>-7.1999999999999998E-3</v>
      </c>
      <c r="AU328">
        <v>1.1000000000000001</v>
      </c>
      <c r="AV328">
        <v>-1.1599999999999999E-2</v>
      </c>
      <c r="AW328">
        <v>1.7</v>
      </c>
      <c r="AX328">
        <v>-1.6500000000000001E-2</v>
      </c>
      <c r="BC328">
        <v>3.9</v>
      </c>
      <c r="BD328">
        <v>-3.0499999999999999E-2</v>
      </c>
      <c r="BE328">
        <v>4.2</v>
      </c>
      <c r="BF328">
        <v>-3.2500000000000001E-2</v>
      </c>
      <c r="BG328">
        <v>12.149999999999999</v>
      </c>
      <c r="BH328">
        <v>-0.1069</v>
      </c>
    </row>
    <row r="329" spans="1:60" x14ac:dyDescent="0.35">
      <c r="A329" t="s">
        <v>34</v>
      </c>
      <c r="B329" s="1">
        <v>46146.65625</v>
      </c>
      <c r="C329" t="s">
        <v>34</v>
      </c>
      <c r="D329" s="1">
        <v>46147.625</v>
      </c>
      <c r="E329">
        <v>6325</v>
      </c>
      <c r="F329" t="s">
        <v>36</v>
      </c>
      <c r="G329">
        <v>0.05</v>
      </c>
      <c r="H329">
        <v>0.05</v>
      </c>
      <c r="I329">
        <v>0.05</v>
      </c>
      <c r="J329">
        <v>0.05</v>
      </c>
      <c r="K329">
        <v>48</v>
      </c>
      <c r="L329">
        <v>0</v>
      </c>
      <c r="M329">
        <v>0</v>
      </c>
      <c r="N329">
        <v>128</v>
      </c>
      <c r="O329">
        <v>0.05</v>
      </c>
      <c r="P329">
        <v>0</v>
      </c>
      <c r="Q329">
        <v>0</v>
      </c>
      <c r="R329">
        <v>0</v>
      </c>
      <c r="S329">
        <v>0</v>
      </c>
      <c r="T329">
        <v>0.73650000000000004</v>
      </c>
      <c r="U329">
        <v>-4.0000000000000002E-4</v>
      </c>
      <c r="V329">
        <v>0</v>
      </c>
      <c r="W329">
        <v>-2.4899999999999999E-2</v>
      </c>
      <c r="X329">
        <v>5.1999999999999998E-3</v>
      </c>
      <c r="Y329">
        <v>-1E-4</v>
      </c>
      <c r="Z329">
        <v>0</v>
      </c>
      <c r="AA329">
        <v>0</v>
      </c>
      <c r="AB329">
        <v>1</v>
      </c>
      <c r="AC329">
        <v>0.05</v>
      </c>
      <c r="AD329">
        <v>0</v>
      </c>
      <c r="AE329">
        <v>0</v>
      </c>
      <c r="AF329">
        <v>0.05</v>
      </c>
      <c r="AG329">
        <v>122</v>
      </c>
      <c r="AH329">
        <v>0</v>
      </c>
      <c r="AI329">
        <f t="shared" si="0"/>
        <v>-8.6088154269972406E-2</v>
      </c>
      <c r="AJ329" s="4">
        <v>6635</v>
      </c>
      <c r="BC329">
        <v>3.9</v>
      </c>
      <c r="BD329">
        <v>-3.1E-2</v>
      </c>
      <c r="BE329">
        <v>4.3</v>
      </c>
      <c r="BF329">
        <v>-3.3300000000000003E-2</v>
      </c>
      <c r="BG329">
        <v>8.1999999999999993</v>
      </c>
      <c r="BH329">
        <v>-6.4299999999999996E-2</v>
      </c>
    </row>
    <row r="330" spans="1:60" x14ac:dyDescent="0.35">
      <c r="A330" t="s">
        <v>34</v>
      </c>
      <c r="B330" s="1">
        <v>46146.65625</v>
      </c>
      <c r="C330" t="s">
        <v>34</v>
      </c>
      <c r="D330" s="1">
        <v>46147.625</v>
      </c>
      <c r="E330">
        <v>6350</v>
      </c>
      <c r="F330" t="s">
        <v>36</v>
      </c>
      <c r="G330">
        <v>0.05</v>
      </c>
      <c r="H330">
        <v>0.05</v>
      </c>
      <c r="I330">
        <v>0.05</v>
      </c>
      <c r="J330">
        <v>0.05</v>
      </c>
      <c r="K330">
        <v>8</v>
      </c>
      <c r="L330">
        <v>0</v>
      </c>
      <c r="M330">
        <v>0</v>
      </c>
      <c r="N330">
        <v>125</v>
      </c>
      <c r="O330">
        <v>0.05</v>
      </c>
      <c r="P330">
        <v>0</v>
      </c>
      <c r="Q330">
        <v>0</v>
      </c>
      <c r="R330">
        <v>0</v>
      </c>
      <c r="S330">
        <v>0</v>
      </c>
      <c r="T330">
        <v>0.71550000000000002</v>
      </c>
      <c r="U330">
        <v>-4.0000000000000002E-4</v>
      </c>
      <c r="V330">
        <v>0</v>
      </c>
      <c r="W330">
        <v>-2.4899999999999999E-2</v>
      </c>
      <c r="X330">
        <v>5.4000000000000003E-3</v>
      </c>
      <c r="Y330">
        <v>-1E-4</v>
      </c>
      <c r="Z330">
        <v>0</v>
      </c>
      <c r="AA330">
        <v>0</v>
      </c>
      <c r="AB330">
        <v>284</v>
      </c>
      <c r="AC330">
        <v>0.1</v>
      </c>
      <c r="AD330">
        <v>0</v>
      </c>
      <c r="AE330">
        <v>0</v>
      </c>
      <c r="AF330">
        <v>0.05</v>
      </c>
      <c r="AG330">
        <v>391</v>
      </c>
      <c r="AH330">
        <v>0</v>
      </c>
      <c r="AI330">
        <f t="shared" si="0"/>
        <v>-8.5399449035812647E-2</v>
      </c>
      <c r="AJ330" s="4">
        <v>6640</v>
      </c>
      <c r="AK330">
        <v>0.05</v>
      </c>
      <c r="AL330">
        <v>-5.9999999999999995E-4</v>
      </c>
      <c r="AM330">
        <v>0.1</v>
      </c>
      <c r="AN330">
        <v>-1.4E-3</v>
      </c>
      <c r="AO330">
        <v>0.2</v>
      </c>
      <c r="AP330">
        <v>-2.5999999999999999E-3</v>
      </c>
      <c r="AQ330">
        <v>0.3</v>
      </c>
      <c r="AR330">
        <v>-4.1999999999999997E-3</v>
      </c>
      <c r="AS330">
        <v>0.65</v>
      </c>
      <c r="AT330">
        <v>-7.4999999999999997E-3</v>
      </c>
      <c r="AU330">
        <v>1.1000000000000001</v>
      </c>
      <c r="AV330">
        <v>-1.2E-2</v>
      </c>
      <c r="AW330">
        <v>1.75</v>
      </c>
      <c r="AX330">
        <v>-1.7100000000000001E-2</v>
      </c>
      <c r="AY330">
        <v>2.5</v>
      </c>
      <c r="AZ330">
        <v>-2.24E-2</v>
      </c>
      <c r="BC330">
        <v>4</v>
      </c>
      <c r="BD330">
        <v>-3.1800000000000002E-2</v>
      </c>
      <c r="BE330">
        <v>4.4000000000000004</v>
      </c>
      <c r="BF330">
        <v>-3.3799999999999997E-2</v>
      </c>
      <c r="BG330">
        <v>15.05</v>
      </c>
      <c r="BH330">
        <v>-0.13339999999999999</v>
      </c>
    </row>
    <row r="331" spans="1:60" x14ac:dyDescent="0.35">
      <c r="A331" t="s">
        <v>34</v>
      </c>
      <c r="B331" s="1">
        <v>46146.65625</v>
      </c>
      <c r="C331" t="s">
        <v>34</v>
      </c>
      <c r="D331" s="1">
        <v>46147.625</v>
      </c>
      <c r="E331">
        <v>6360</v>
      </c>
      <c r="F331" t="s">
        <v>36</v>
      </c>
      <c r="G331">
        <v>0.03</v>
      </c>
      <c r="H331">
        <v>0.1</v>
      </c>
      <c r="I331">
        <v>0.03</v>
      </c>
      <c r="J331">
        <v>0.05</v>
      </c>
      <c r="K331">
        <v>126</v>
      </c>
      <c r="L331">
        <v>0</v>
      </c>
      <c r="M331">
        <v>0</v>
      </c>
      <c r="N331">
        <v>62</v>
      </c>
      <c r="O331">
        <v>0.05</v>
      </c>
      <c r="P331">
        <v>0</v>
      </c>
      <c r="Q331">
        <v>0</v>
      </c>
      <c r="R331">
        <v>0</v>
      </c>
      <c r="S331">
        <v>0</v>
      </c>
      <c r="T331">
        <v>0.70720000000000005</v>
      </c>
      <c r="U331">
        <v>-4.0000000000000002E-4</v>
      </c>
      <c r="V331">
        <v>0</v>
      </c>
      <c r="W331">
        <v>-2.4899999999999999E-2</v>
      </c>
      <c r="X331">
        <v>5.4000000000000003E-3</v>
      </c>
      <c r="Y331">
        <v>-1E-4</v>
      </c>
      <c r="Z331">
        <v>0</v>
      </c>
      <c r="AA331">
        <v>0</v>
      </c>
      <c r="AB331">
        <v>290</v>
      </c>
      <c r="AC331">
        <v>0.1</v>
      </c>
      <c r="AD331">
        <v>0</v>
      </c>
      <c r="AE331">
        <v>0</v>
      </c>
      <c r="AF331">
        <v>6.6299999999999998E-2</v>
      </c>
      <c r="AG331">
        <v>45</v>
      </c>
      <c r="AH331">
        <v>0</v>
      </c>
      <c r="AI331">
        <f t="shared" si="0"/>
        <v>-8.4710743801652888E-2</v>
      </c>
      <c r="AJ331" s="4">
        <v>6645</v>
      </c>
      <c r="BC331">
        <v>4.0999999999999996</v>
      </c>
      <c r="BD331">
        <v>-3.2300000000000002E-2</v>
      </c>
      <c r="BE331">
        <v>4.4000000000000004</v>
      </c>
      <c r="BF331">
        <v>-3.4299999999999997E-2</v>
      </c>
      <c r="BG331">
        <v>8.5</v>
      </c>
      <c r="BH331">
        <v>-6.6599999999999993E-2</v>
      </c>
    </row>
    <row r="332" spans="1:60" x14ac:dyDescent="0.35">
      <c r="A332" t="s">
        <v>34</v>
      </c>
      <c r="B332" s="1">
        <v>46146.65625</v>
      </c>
      <c r="C332" t="s">
        <v>34</v>
      </c>
      <c r="D332" s="1">
        <v>46147.625</v>
      </c>
      <c r="E332">
        <v>6370</v>
      </c>
      <c r="F332" t="s">
        <v>36</v>
      </c>
      <c r="G332">
        <v>0.05</v>
      </c>
      <c r="H332">
        <v>0.05</v>
      </c>
      <c r="I332">
        <v>0.03</v>
      </c>
      <c r="J332">
        <v>0.03</v>
      </c>
      <c r="K332">
        <v>12</v>
      </c>
      <c r="L332">
        <v>0</v>
      </c>
      <c r="M332">
        <v>0</v>
      </c>
      <c r="N332">
        <v>62</v>
      </c>
      <c r="O332">
        <v>0.05</v>
      </c>
      <c r="P332">
        <v>0</v>
      </c>
      <c r="Q332">
        <v>0</v>
      </c>
      <c r="R332">
        <v>0</v>
      </c>
      <c r="S332">
        <v>0</v>
      </c>
      <c r="T332">
        <v>0.69879999999999998</v>
      </c>
      <c r="U332">
        <v>-4.0000000000000002E-4</v>
      </c>
      <c r="V332">
        <v>0</v>
      </c>
      <c r="W332">
        <v>-2.4899999999999999E-2</v>
      </c>
      <c r="X332">
        <v>5.4999999999999997E-3</v>
      </c>
      <c r="Y332">
        <v>-1E-4</v>
      </c>
      <c r="Z332">
        <v>0</v>
      </c>
      <c r="AA332">
        <v>0</v>
      </c>
      <c r="AB332">
        <v>287</v>
      </c>
      <c r="AC332">
        <v>0.1</v>
      </c>
      <c r="AD332">
        <v>0</v>
      </c>
      <c r="AE332">
        <v>0</v>
      </c>
      <c r="AF332">
        <v>4.6699999999999998E-2</v>
      </c>
      <c r="AG332">
        <v>46</v>
      </c>
      <c r="AH332">
        <v>0</v>
      </c>
      <c r="AI332">
        <f t="shared" si="0"/>
        <v>-8.4022038567493129E-2</v>
      </c>
      <c r="AJ332" s="4">
        <v>6650</v>
      </c>
      <c r="AK332">
        <v>0.05</v>
      </c>
      <c r="AL332">
        <v>-5.9999999999999995E-4</v>
      </c>
      <c r="AM332">
        <v>0.1</v>
      </c>
      <c r="AN332">
        <v>-1.5E-3</v>
      </c>
      <c r="AO332">
        <v>0.2</v>
      </c>
      <c r="AP332">
        <v>-2.5999999999999999E-3</v>
      </c>
      <c r="AQ332">
        <v>0.3</v>
      </c>
      <c r="AR332">
        <v>-4.3E-3</v>
      </c>
      <c r="AS332">
        <v>0.65</v>
      </c>
      <c r="AT332">
        <v>-7.7000000000000002E-3</v>
      </c>
      <c r="AU332">
        <v>1.2</v>
      </c>
      <c r="AV332">
        <v>-1.29E-2</v>
      </c>
      <c r="AW332">
        <v>1.8</v>
      </c>
      <c r="AX332">
        <v>-1.78E-2</v>
      </c>
      <c r="AY332">
        <v>2.6</v>
      </c>
      <c r="AZ332">
        <v>-2.3400000000000001E-2</v>
      </c>
      <c r="BA332">
        <v>3.6</v>
      </c>
      <c r="BB332">
        <v>-2.92E-2</v>
      </c>
      <c r="BC332">
        <v>4.2</v>
      </c>
      <c r="BD332">
        <v>-3.3099999999999997E-2</v>
      </c>
      <c r="BE332">
        <v>4.5</v>
      </c>
      <c r="BF332">
        <v>-3.5099999999999999E-2</v>
      </c>
      <c r="BG332">
        <v>19.2</v>
      </c>
      <c r="BH332">
        <v>-0.16819999999999999</v>
      </c>
    </row>
    <row r="333" spans="1:60" x14ac:dyDescent="0.35">
      <c r="A333" t="s">
        <v>34</v>
      </c>
      <c r="B333" s="1">
        <v>46146.65625</v>
      </c>
      <c r="C333" t="s">
        <v>34</v>
      </c>
      <c r="D333" s="1">
        <v>46147.625</v>
      </c>
      <c r="E333">
        <v>6375</v>
      </c>
      <c r="F333" t="s">
        <v>36</v>
      </c>
      <c r="G333">
        <v>0.05</v>
      </c>
      <c r="H333">
        <v>0.05</v>
      </c>
      <c r="I333">
        <v>0.04</v>
      </c>
      <c r="J333">
        <v>0.05</v>
      </c>
      <c r="K333">
        <v>324</v>
      </c>
      <c r="L333">
        <v>0</v>
      </c>
      <c r="M333">
        <v>0</v>
      </c>
      <c r="N333">
        <v>62</v>
      </c>
      <c r="O333">
        <v>0.05</v>
      </c>
      <c r="P333">
        <v>0</v>
      </c>
      <c r="Q333">
        <v>0</v>
      </c>
      <c r="R333">
        <v>0</v>
      </c>
      <c r="S333">
        <v>0</v>
      </c>
      <c r="T333">
        <v>0.6946</v>
      </c>
      <c r="U333">
        <v>-4.0000000000000002E-4</v>
      </c>
      <c r="V333">
        <v>0</v>
      </c>
      <c r="W333">
        <v>-2.4899999999999999E-2</v>
      </c>
      <c r="X333">
        <v>5.4999999999999997E-3</v>
      </c>
      <c r="Y333">
        <v>-1E-4</v>
      </c>
      <c r="Z333">
        <v>0</v>
      </c>
      <c r="AA333">
        <v>0</v>
      </c>
      <c r="AB333">
        <v>285</v>
      </c>
      <c r="AC333">
        <v>0.1</v>
      </c>
      <c r="AD333">
        <v>0</v>
      </c>
      <c r="AE333">
        <v>0</v>
      </c>
      <c r="AF333">
        <v>4.9799999999999997E-2</v>
      </c>
      <c r="AG333">
        <v>525</v>
      </c>
      <c r="AH333">
        <v>0</v>
      </c>
      <c r="AI333">
        <f t="shared" si="0"/>
        <v>-8.333333333333337E-2</v>
      </c>
      <c r="AJ333" s="4">
        <v>6655</v>
      </c>
      <c r="BC333">
        <v>4.2</v>
      </c>
      <c r="BD333">
        <v>-3.3599999999999998E-2</v>
      </c>
      <c r="BE333">
        <v>4.5999999999999996</v>
      </c>
      <c r="BF333">
        <v>-3.5900000000000001E-2</v>
      </c>
      <c r="BG333">
        <v>8.8000000000000007</v>
      </c>
      <c r="BH333">
        <v>-6.9500000000000006E-2</v>
      </c>
    </row>
    <row r="334" spans="1:60" x14ac:dyDescent="0.35">
      <c r="A334" t="s">
        <v>34</v>
      </c>
      <c r="B334" s="1">
        <v>46146.65625</v>
      </c>
      <c r="C334" t="s">
        <v>34</v>
      </c>
      <c r="D334" s="1">
        <v>46147.625</v>
      </c>
      <c r="E334">
        <v>6380</v>
      </c>
      <c r="F334" t="s">
        <v>36</v>
      </c>
      <c r="G334">
        <v>0.05</v>
      </c>
      <c r="H334">
        <v>0.05</v>
      </c>
      <c r="I334">
        <v>0.03</v>
      </c>
      <c r="J334">
        <v>0.05</v>
      </c>
      <c r="K334">
        <v>37</v>
      </c>
      <c r="L334">
        <v>0</v>
      </c>
      <c r="M334">
        <v>0</v>
      </c>
      <c r="N334">
        <v>67</v>
      </c>
      <c r="O334">
        <v>0.05</v>
      </c>
      <c r="P334">
        <v>0</v>
      </c>
      <c r="Q334">
        <v>0</v>
      </c>
      <c r="R334">
        <v>0</v>
      </c>
      <c r="S334">
        <v>0</v>
      </c>
      <c r="T334">
        <v>0.7268</v>
      </c>
      <c r="U334">
        <v>-6.9999999999999999E-4</v>
      </c>
      <c r="V334">
        <v>0</v>
      </c>
      <c r="W334">
        <v>-4.99E-2</v>
      </c>
      <c r="X334">
        <v>9.5999999999999992E-3</v>
      </c>
      <c r="Y334">
        <v>-1E-4</v>
      </c>
      <c r="Z334">
        <v>0</v>
      </c>
      <c r="AA334">
        <v>0</v>
      </c>
      <c r="AB334">
        <v>282</v>
      </c>
      <c r="AC334">
        <v>0.1</v>
      </c>
      <c r="AD334">
        <v>0</v>
      </c>
      <c r="AE334">
        <v>0</v>
      </c>
      <c r="AF334">
        <v>4.9500000000000002E-2</v>
      </c>
      <c r="AG334">
        <v>12</v>
      </c>
      <c r="AH334">
        <v>0</v>
      </c>
      <c r="AI334">
        <f t="shared" si="0"/>
        <v>-8.2644628099173501E-2</v>
      </c>
      <c r="AJ334" s="4">
        <v>6660</v>
      </c>
      <c r="AK334">
        <v>0.05</v>
      </c>
      <c r="AL334">
        <v>-5.9999999999999995E-4</v>
      </c>
      <c r="AM334">
        <v>0.1</v>
      </c>
      <c r="AN334">
        <v>-1.5E-3</v>
      </c>
      <c r="AO334">
        <v>0.2</v>
      </c>
      <c r="AP334">
        <v>-2.5999999999999999E-3</v>
      </c>
      <c r="AQ334">
        <v>0.35</v>
      </c>
      <c r="AR334">
        <v>-4.3E-3</v>
      </c>
      <c r="AS334">
        <v>0.7</v>
      </c>
      <c r="AT334">
        <v>-8.0000000000000002E-3</v>
      </c>
      <c r="AU334">
        <v>1.25</v>
      </c>
      <c r="AV334">
        <v>-1.35E-2</v>
      </c>
      <c r="AW334">
        <v>1.9</v>
      </c>
      <c r="AX334">
        <v>-1.8800000000000001E-2</v>
      </c>
      <c r="AY334">
        <v>2.7</v>
      </c>
      <c r="AZ334">
        <v>-2.4400000000000002E-2</v>
      </c>
      <c r="BC334">
        <v>4.3</v>
      </c>
      <c r="BD334">
        <v>-3.4200000000000001E-2</v>
      </c>
      <c r="BE334">
        <v>4.7</v>
      </c>
      <c r="BF334">
        <v>-3.6700000000000003E-2</v>
      </c>
      <c r="BG334">
        <v>16.25</v>
      </c>
      <c r="BH334">
        <v>-0.14460000000000001</v>
      </c>
    </row>
    <row r="335" spans="1:60" x14ac:dyDescent="0.35">
      <c r="A335" t="s">
        <v>34</v>
      </c>
      <c r="B335" s="1">
        <v>46146.65625</v>
      </c>
      <c r="C335" t="s">
        <v>34</v>
      </c>
      <c r="D335" s="1">
        <v>46147.625</v>
      </c>
      <c r="E335">
        <v>6390</v>
      </c>
      <c r="F335" t="s">
        <v>36</v>
      </c>
      <c r="G335">
        <v>0.05</v>
      </c>
      <c r="H335">
        <v>0.05</v>
      </c>
      <c r="I335">
        <v>0.05</v>
      </c>
      <c r="J335">
        <v>0.05</v>
      </c>
      <c r="K335">
        <v>204</v>
      </c>
      <c r="L335">
        <v>0</v>
      </c>
      <c r="M335">
        <v>0</v>
      </c>
      <c r="N335">
        <v>67</v>
      </c>
      <c r="O335">
        <v>0.05</v>
      </c>
      <c r="P335">
        <v>0</v>
      </c>
      <c r="Q335">
        <v>0</v>
      </c>
      <c r="R335">
        <v>0</v>
      </c>
      <c r="S335">
        <v>0</v>
      </c>
      <c r="T335">
        <v>0.71809999999999996</v>
      </c>
      <c r="U335">
        <v>-6.9999999999999999E-4</v>
      </c>
      <c r="V335">
        <v>0</v>
      </c>
      <c r="W335">
        <v>-4.99E-2</v>
      </c>
      <c r="X335">
        <v>9.7000000000000003E-3</v>
      </c>
      <c r="Y335">
        <v>-1E-4</v>
      </c>
      <c r="Z335">
        <v>0</v>
      </c>
      <c r="AA335">
        <v>0</v>
      </c>
      <c r="AB335">
        <v>279</v>
      </c>
      <c r="AC335">
        <v>0.1</v>
      </c>
      <c r="AD335">
        <v>0</v>
      </c>
      <c r="AE335">
        <v>0</v>
      </c>
      <c r="AF335">
        <v>0.05</v>
      </c>
      <c r="AG335">
        <v>501</v>
      </c>
      <c r="AH335">
        <v>0</v>
      </c>
      <c r="AI335">
        <f t="shared" si="0"/>
        <v>-8.1955922865013742E-2</v>
      </c>
      <c r="AJ335" s="4">
        <v>6665</v>
      </c>
      <c r="BC335">
        <v>4.4000000000000004</v>
      </c>
      <c r="BD335">
        <v>-3.5000000000000003E-2</v>
      </c>
      <c r="BE335">
        <v>4.8</v>
      </c>
      <c r="BF335">
        <v>-3.7499999999999999E-2</v>
      </c>
      <c r="BG335">
        <v>9.1999999999999993</v>
      </c>
      <c r="BH335">
        <v>-7.2500000000000009E-2</v>
      </c>
    </row>
    <row r="336" spans="1:60" x14ac:dyDescent="0.35">
      <c r="A336" t="s">
        <v>34</v>
      </c>
      <c r="B336" s="1">
        <v>46146.65625</v>
      </c>
      <c r="C336" t="s">
        <v>34</v>
      </c>
      <c r="D336" s="1">
        <v>46147.625</v>
      </c>
      <c r="E336">
        <v>6400</v>
      </c>
      <c r="F336" t="s">
        <v>36</v>
      </c>
      <c r="G336">
        <v>0.05</v>
      </c>
      <c r="H336">
        <v>0.1</v>
      </c>
      <c r="I336">
        <v>0.05</v>
      </c>
      <c r="J336">
        <v>0.05</v>
      </c>
      <c r="K336">
        <v>52</v>
      </c>
      <c r="L336">
        <v>0</v>
      </c>
      <c r="M336">
        <v>0</v>
      </c>
      <c r="N336">
        <v>513</v>
      </c>
      <c r="O336">
        <v>0.1</v>
      </c>
      <c r="P336">
        <v>0</v>
      </c>
      <c r="Q336">
        <v>0</v>
      </c>
      <c r="R336">
        <v>0</v>
      </c>
      <c r="S336">
        <v>0</v>
      </c>
      <c r="T336">
        <v>0.70930000000000004</v>
      </c>
      <c r="U336">
        <v>-6.9999999999999999E-4</v>
      </c>
      <c r="V336">
        <v>0</v>
      </c>
      <c r="W336">
        <v>-4.99E-2</v>
      </c>
      <c r="X336">
        <v>9.7999999999999997E-3</v>
      </c>
      <c r="Y336">
        <v>-1E-4</v>
      </c>
      <c r="Z336">
        <v>0</v>
      </c>
      <c r="AA336">
        <v>0</v>
      </c>
      <c r="AB336">
        <v>201</v>
      </c>
      <c r="AC336">
        <v>0.05</v>
      </c>
      <c r="AD336">
        <v>0</v>
      </c>
      <c r="AE336">
        <v>0</v>
      </c>
      <c r="AF336">
        <v>5.4800000000000001E-2</v>
      </c>
      <c r="AG336">
        <v>708</v>
      </c>
      <c r="AH336">
        <v>0</v>
      </c>
      <c r="AI336">
        <f t="shared" si="0"/>
        <v>-8.1267217630853983E-2</v>
      </c>
      <c r="AJ336" s="4">
        <v>6670</v>
      </c>
      <c r="AK336">
        <v>0.05</v>
      </c>
      <c r="AL336">
        <v>-5.9999999999999995E-4</v>
      </c>
      <c r="AM336">
        <v>0.1</v>
      </c>
      <c r="AN336">
        <v>-1.5E-3</v>
      </c>
      <c r="AO336">
        <v>0.2</v>
      </c>
      <c r="AP336">
        <v>-3.0000000000000001E-3</v>
      </c>
      <c r="AQ336">
        <v>0.35</v>
      </c>
      <c r="AR336">
        <v>-4.7000000000000002E-3</v>
      </c>
      <c r="AS336">
        <v>0.7</v>
      </c>
      <c r="AT336">
        <v>-8.6999999999999994E-3</v>
      </c>
      <c r="AU336">
        <v>1.3</v>
      </c>
      <c r="AV336">
        <v>-1.41E-2</v>
      </c>
      <c r="AW336">
        <v>2</v>
      </c>
      <c r="AX336">
        <v>-1.9699999999999999E-2</v>
      </c>
      <c r="AY336">
        <v>2.8</v>
      </c>
      <c r="AZ336">
        <v>-2.5499999999999998E-2</v>
      </c>
      <c r="BC336">
        <v>4.5</v>
      </c>
      <c r="BD336">
        <v>-3.5799999999999998E-2</v>
      </c>
      <c r="BE336">
        <v>4.9000000000000004</v>
      </c>
      <c r="BF336">
        <v>-3.8100000000000002E-2</v>
      </c>
      <c r="BG336">
        <v>16.899999999999999</v>
      </c>
      <c r="BH336">
        <v>-0.1517</v>
      </c>
    </row>
    <row r="337" spans="1:64" x14ac:dyDescent="0.35">
      <c r="A337" t="s">
        <v>34</v>
      </c>
      <c r="B337" s="1">
        <v>46146.65625</v>
      </c>
      <c r="C337" t="s">
        <v>34</v>
      </c>
      <c r="D337" s="1">
        <v>46147.625</v>
      </c>
      <c r="E337">
        <v>6410</v>
      </c>
      <c r="F337" t="s">
        <v>36</v>
      </c>
      <c r="G337">
        <v>0.05</v>
      </c>
      <c r="H337">
        <v>0.05</v>
      </c>
      <c r="I337">
        <v>0.05</v>
      </c>
      <c r="J337">
        <v>0.05</v>
      </c>
      <c r="K337">
        <v>116</v>
      </c>
      <c r="L337">
        <v>0</v>
      </c>
      <c r="M337">
        <v>0</v>
      </c>
      <c r="N337">
        <v>488</v>
      </c>
      <c r="O337">
        <v>0.1</v>
      </c>
      <c r="P337">
        <v>0</v>
      </c>
      <c r="Q337">
        <v>0</v>
      </c>
      <c r="R337">
        <v>0</v>
      </c>
      <c r="S337">
        <v>0</v>
      </c>
      <c r="T337">
        <v>0.7006</v>
      </c>
      <c r="U337">
        <v>-8.0000000000000004E-4</v>
      </c>
      <c r="V337">
        <v>0</v>
      </c>
      <c r="W337">
        <v>-4.99E-2</v>
      </c>
      <c r="X337">
        <v>9.9000000000000008E-3</v>
      </c>
      <c r="Y337">
        <v>-1E-4</v>
      </c>
      <c r="Z337">
        <v>0</v>
      </c>
      <c r="AA337">
        <v>0</v>
      </c>
      <c r="AB337">
        <v>286</v>
      </c>
      <c r="AC337">
        <v>0.1</v>
      </c>
      <c r="AD337">
        <v>0</v>
      </c>
      <c r="AE337">
        <v>0</v>
      </c>
      <c r="AF337">
        <v>0.05</v>
      </c>
      <c r="AG337">
        <v>9</v>
      </c>
      <c r="AH337">
        <v>0</v>
      </c>
      <c r="AI337">
        <f t="shared" si="0"/>
        <v>-8.0578512396694224E-2</v>
      </c>
      <c r="AJ337" s="4">
        <v>6675</v>
      </c>
      <c r="AK337">
        <v>0.05</v>
      </c>
      <c r="AL337">
        <v>-5.9999999999999995E-4</v>
      </c>
      <c r="AM337">
        <v>0.1</v>
      </c>
      <c r="AN337">
        <v>-1.5E-3</v>
      </c>
      <c r="AO337">
        <v>0.2</v>
      </c>
      <c r="AP337">
        <v>-3.0999999999999999E-3</v>
      </c>
      <c r="AQ337">
        <v>0.35</v>
      </c>
      <c r="AR337">
        <v>-5.1000000000000004E-3</v>
      </c>
      <c r="AS337">
        <v>0.7</v>
      </c>
      <c r="AT337">
        <v>-8.8000000000000005E-3</v>
      </c>
      <c r="AU337">
        <v>1.35</v>
      </c>
      <c r="AV337">
        <v>-1.47E-2</v>
      </c>
      <c r="AW337">
        <v>2</v>
      </c>
      <c r="AX337">
        <v>-0.02</v>
      </c>
      <c r="AY337">
        <v>2.85</v>
      </c>
      <c r="AZ337">
        <v>-2.5999999999999999E-2</v>
      </c>
      <c r="BA337">
        <v>3.9</v>
      </c>
      <c r="BB337">
        <v>-3.2399999999999998E-2</v>
      </c>
      <c r="BC337">
        <v>4.5</v>
      </c>
      <c r="BD337">
        <v>-3.6400000000000002E-2</v>
      </c>
      <c r="BE337">
        <v>5</v>
      </c>
      <c r="BF337">
        <v>-3.8899999999999997E-2</v>
      </c>
      <c r="BG337">
        <v>21</v>
      </c>
      <c r="BH337">
        <v>-0.1875</v>
      </c>
    </row>
    <row r="338" spans="1:64" x14ac:dyDescent="0.35">
      <c r="A338" t="s">
        <v>34</v>
      </c>
      <c r="B338" s="1">
        <v>46146.65625</v>
      </c>
      <c r="C338" t="s">
        <v>34</v>
      </c>
      <c r="D338" s="1">
        <v>46147.625</v>
      </c>
      <c r="E338">
        <v>6420</v>
      </c>
      <c r="F338" t="s">
        <v>36</v>
      </c>
      <c r="G338">
        <v>0.05</v>
      </c>
      <c r="H338">
        <v>0.05</v>
      </c>
      <c r="I338">
        <v>0.05</v>
      </c>
      <c r="J338">
        <v>0.05</v>
      </c>
      <c r="K338">
        <v>23</v>
      </c>
      <c r="L338">
        <v>0</v>
      </c>
      <c r="M338">
        <v>0</v>
      </c>
      <c r="N338">
        <v>484</v>
      </c>
      <c r="O338">
        <v>0.1</v>
      </c>
      <c r="P338">
        <v>0</v>
      </c>
      <c r="Q338">
        <v>0</v>
      </c>
      <c r="R338">
        <v>0</v>
      </c>
      <c r="S338">
        <v>0</v>
      </c>
      <c r="T338">
        <v>0.69189999999999996</v>
      </c>
      <c r="U338">
        <v>-8.0000000000000004E-4</v>
      </c>
      <c r="V338">
        <v>0</v>
      </c>
      <c r="W338">
        <v>-4.99E-2</v>
      </c>
      <c r="X338">
        <v>0.01</v>
      </c>
      <c r="Y338">
        <v>-1E-4</v>
      </c>
      <c r="Z338">
        <v>0</v>
      </c>
      <c r="AA338">
        <v>0</v>
      </c>
      <c r="AB338">
        <v>282</v>
      </c>
      <c r="AC338">
        <v>0.1</v>
      </c>
      <c r="AD338">
        <v>0</v>
      </c>
      <c r="AE338">
        <v>0</v>
      </c>
      <c r="AF338">
        <v>0.05</v>
      </c>
      <c r="AG338">
        <v>54</v>
      </c>
      <c r="AH338">
        <v>0</v>
      </c>
      <c r="AI338">
        <f t="shared" si="0"/>
        <v>-7.9889807162534465E-2</v>
      </c>
      <c r="AJ338" s="4">
        <v>6680</v>
      </c>
      <c r="AK338">
        <v>0.05</v>
      </c>
      <c r="AL338">
        <v>-5.9999999999999995E-4</v>
      </c>
      <c r="AM338">
        <v>0.1</v>
      </c>
      <c r="AN338">
        <v>-1.5E-3</v>
      </c>
      <c r="AO338">
        <v>0.2</v>
      </c>
      <c r="AP338">
        <v>-3.0999999999999999E-3</v>
      </c>
      <c r="AQ338">
        <v>0.35</v>
      </c>
      <c r="AR338">
        <v>-5.1000000000000004E-3</v>
      </c>
      <c r="AS338">
        <v>0.75</v>
      </c>
      <c r="AT338">
        <v>-9.4000000000000004E-3</v>
      </c>
      <c r="AU338">
        <v>1.35</v>
      </c>
      <c r="AV338">
        <v>-1.4800000000000001E-2</v>
      </c>
      <c r="AW338">
        <v>2.0499999999999998</v>
      </c>
      <c r="AX338">
        <v>-2.0500000000000001E-2</v>
      </c>
      <c r="AY338">
        <v>2.95</v>
      </c>
      <c r="AZ338">
        <v>-2.6800000000000001E-2</v>
      </c>
      <c r="BA338">
        <v>4</v>
      </c>
      <c r="BB338">
        <v>-3.3300000000000003E-2</v>
      </c>
      <c r="BC338">
        <v>4.5999999999999996</v>
      </c>
      <c r="BD338">
        <v>-3.7199999999999997E-2</v>
      </c>
      <c r="BE338">
        <v>5.0999999999999996</v>
      </c>
      <c r="BF338">
        <v>-3.9699999999999999E-2</v>
      </c>
      <c r="BG338">
        <v>21.5</v>
      </c>
      <c r="BH338">
        <v>-0.192</v>
      </c>
    </row>
    <row r="339" spans="1:64" x14ac:dyDescent="0.35">
      <c r="A339" t="s">
        <v>34</v>
      </c>
      <c r="B339" s="1">
        <v>46146.65625</v>
      </c>
      <c r="C339" t="s">
        <v>34</v>
      </c>
      <c r="D339" s="1">
        <v>46147.625</v>
      </c>
      <c r="E339">
        <v>6425</v>
      </c>
      <c r="F339" t="s">
        <v>36</v>
      </c>
      <c r="G339">
        <v>0.05</v>
      </c>
      <c r="H339">
        <v>0.1</v>
      </c>
      <c r="I339">
        <v>0.05</v>
      </c>
      <c r="J339">
        <v>0.1</v>
      </c>
      <c r="K339">
        <v>67</v>
      </c>
      <c r="L339">
        <v>0</v>
      </c>
      <c r="M339">
        <v>0</v>
      </c>
      <c r="N339">
        <v>489</v>
      </c>
      <c r="O339">
        <v>0.1</v>
      </c>
      <c r="P339">
        <v>0</v>
      </c>
      <c r="Q339">
        <v>0</v>
      </c>
      <c r="R339">
        <v>0</v>
      </c>
      <c r="S339">
        <v>0</v>
      </c>
      <c r="T339">
        <v>0.6875</v>
      </c>
      <c r="U339">
        <v>-8.0000000000000004E-4</v>
      </c>
      <c r="V339">
        <v>0</v>
      </c>
      <c r="W339">
        <v>-4.99E-2</v>
      </c>
      <c r="X339">
        <v>1.01E-2</v>
      </c>
      <c r="Y339">
        <v>-1E-4</v>
      </c>
      <c r="Z339">
        <v>0</v>
      </c>
      <c r="AA339">
        <v>0</v>
      </c>
      <c r="AB339">
        <v>280</v>
      </c>
      <c r="AC339">
        <v>0.1</v>
      </c>
      <c r="AD339">
        <v>0</v>
      </c>
      <c r="AE339">
        <v>0</v>
      </c>
      <c r="AF339">
        <v>5.0700000000000002E-2</v>
      </c>
      <c r="AG339">
        <v>289</v>
      </c>
      <c r="AH339">
        <v>0</v>
      </c>
      <c r="AI339">
        <f t="shared" si="0"/>
        <v>-7.9201101928374706E-2</v>
      </c>
      <c r="AJ339" s="4">
        <v>6685</v>
      </c>
      <c r="AS339">
        <v>0.75</v>
      </c>
      <c r="AT339">
        <v>-9.4000000000000004E-3</v>
      </c>
      <c r="BC339">
        <v>4.7</v>
      </c>
      <c r="BD339">
        <v>-3.7999999999999999E-2</v>
      </c>
      <c r="BE339">
        <v>5.2</v>
      </c>
      <c r="BF339">
        <v>-4.0599999999999997E-2</v>
      </c>
      <c r="BG339">
        <v>10.65</v>
      </c>
      <c r="BH339">
        <v>-8.7999999999999995E-2</v>
      </c>
    </row>
    <row r="340" spans="1:64" x14ac:dyDescent="0.35">
      <c r="A340" t="s">
        <v>34</v>
      </c>
      <c r="B340" s="1">
        <v>46146.65625</v>
      </c>
      <c r="C340" t="s">
        <v>34</v>
      </c>
      <c r="D340" s="1">
        <v>46147.625</v>
      </c>
      <c r="E340">
        <v>6430</v>
      </c>
      <c r="F340" t="s">
        <v>36</v>
      </c>
      <c r="G340">
        <v>0.05</v>
      </c>
      <c r="H340">
        <v>0.05</v>
      </c>
      <c r="I340">
        <v>0.05</v>
      </c>
      <c r="J340">
        <v>0.05</v>
      </c>
      <c r="K340">
        <v>13</v>
      </c>
      <c r="L340">
        <v>0</v>
      </c>
      <c r="M340">
        <v>0</v>
      </c>
      <c r="N340">
        <v>479</v>
      </c>
      <c r="O340">
        <v>0.1</v>
      </c>
      <c r="P340">
        <v>0</v>
      </c>
      <c r="Q340">
        <v>0</v>
      </c>
      <c r="R340">
        <v>0</v>
      </c>
      <c r="S340">
        <v>0</v>
      </c>
      <c r="T340">
        <v>0.68320000000000003</v>
      </c>
      <c r="U340">
        <v>-8.0000000000000004E-4</v>
      </c>
      <c r="V340">
        <v>0</v>
      </c>
      <c r="W340">
        <v>-4.99E-2</v>
      </c>
      <c r="X340">
        <v>1.01E-2</v>
      </c>
      <c r="Y340">
        <v>-1E-4</v>
      </c>
      <c r="Z340">
        <v>0</v>
      </c>
      <c r="AA340">
        <v>0</v>
      </c>
      <c r="AB340">
        <v>278</v>
      </c>
      <c r="AC340">
        <v>0.1</v>
      </c>
      <c r="AD340">
        <v>0</v>
      </c>
      <c r="AE340">
        <v>0</v>
      </c>
      <c r="AF340">
        <v>0.05</v>
      </c>
      <c r="AG340">
        <v>15</v>
      </c>
      <c r="AH340">
        <v>0</v>
      </c>
      <c r="AI340">
        <f t="shared" si="0"/>
        <v>-7.8512396694214837E-2</v>
      </c>
      <c r="AJ340" s="4">
        <v>6690</v>
      </c>
      <c r="AK340">
        <v>0.05</v>
      </c>
      <c r="AL340">
        <v>-5.9999999999999995E-4</v>
      </c>
      <c r="AM340">
        <v>0.1</v>
      </c>
      <c r="AN340">
        <v>-1.6000000000000001E-3</v>
      </c>
      <c r="AO340">
        <v>0.2</v>
      </c>
      <c r="AP340">
        <v>-3.0999999999999999E-3</v>
      </c>
      <c r="AQ340">
        <v>0.4</v>
      </c>
      <c r="AR340">
        <v>-5.1999999999999998E-3</v>
      </c>
      <c r="AS340">
        <v>0.75</v>
      </c>
      <c r="AT340">
        <v>-9.4999999999999998E-3</v>
      </c>
      <c r="AU340">
        <v>1.4</v>
      </c>
      <c r="AV340">
        <v>-1.5699999999999999E-2</v>
      </c>
      <c r="AW340">
        <v>2.15</v>
      </c>
      <c r="AX340">
        <v>-2.1600000000000001E-2</v>
      </c>
      <c r="AY340">
        <v>3.1</v>
      </c>
      <c r="AZ340">
        <v>-2.81E-2</v>
      </c>
      <c r="BA340">
        <v>4.0999999999999996</v>
      </c>
      <c r="BB340">
        <v>-3.4700000000000002E-2</v>
      </c>
      <c r="BC340">
        <v>4.8</v>
      </c>
      <c r="BD340">
        <v>-3.8899999999999997E-2</v>
      </c>
      <c r="BE340">
        <v>5.3</v>
      </c>
      <c r="BF340">
        <v>-4.1399999999999999E-2</v>
      </c>
      <c r="BG340">
        <v>22.35</v>
      </c>
      <c r="BH340">
        <v>-0.20039999999999999</v>
      </c>
    </row>
    <row r="341" spans="1:64" x14ac:dyDescent="0.35">
      <c r="A341" t="s">
        <v>34</v>
      </c>
      <c r="B341" s="1">
        <v>46146.65625</v>
      </c>
      <c r="C341" t="s">
        <v>34</v>
      </c>
      <c r="D341" s="1">
        <v>46147.625</v>
      </c>
      <c r="E341">
        <v>6440</v>
      </c>
      <c r="F341" t="s">
        <v>36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475</v>
      </c>
      <c r="O341">
        <v>0.1</v>
      </c>
      <c r="P341">
        <v>0</v>
      </c>
      <c r="Q341">
        <v>0</v>
      </c>
      <c r="R341">
        <v>0</v>
      </c>
      <c r="S341">
        <v>0</v>
      </c>
      <c r="T341">
        <v>0.67449999999999999</v>
      </c>
      <c r="U341">
        <v>-8.0000000000000004E-4</v>
      </c>
      <c r="V341">
        <v>0</v>
      </c>
      <c r="W341">
        <v>-4.99E-2</v>
      </c>
      <c r="X341">
        <v>1.03E-2</v>
      </c>
      <c r="Y341">
        <v>-2.0000000000000001E-4</v>
      </c>
      <c r="Z341">
        <v>0</v>
      </c>
      <c r="AA341">
        <v>0</v>
      </c>
      <c r="AB341">
        <v>274</v>
      </c>
      <c r="AC341">
        <v>0.1</v>
      </c>
      <c r="AD341">
        <v>0</v>
      </c>
      <c r="AE341">
        <v>0</v>
      </c>
      <c r="AF341">
        <v>0</v>
      </c>
      <c r="AG341">
        <v>118</v>
      </c>
      <c r="AH341">
        <v>0</v>
      </c>
      <c r="AI341">
        <f t="shared" si="0"/>
        <v>-7.7823691460055078E-2</v>
      </c>
      <c r="AJ341" s="4">
        <v>6695</v>
      </c>
      <c r="AS341">
        <v>0.8</v>
      </c>
      <c r="AT341">
        <v>-9.5999999999999992E-3</v>
      </c>
      <c r="BC341">
        <v>4.9000000000000004</v>
      </c>
      <c r="BD341">
        <v>-3.9800000000000002E-2</v>
      </c>
      <c r="BE341">
        <v>5.4</v>
      </c>
      <c r="BF341">
        <v>-4.2299999999999997E-2</v>
      </c>
      <c r="BG341">
        <v>11.100000000000001</v>
      </c>
      <c r="BH341">
        <v>-9.1700000000000004E-2</v>
      </c>
    </row>
    <row r="342" spans="1:64" x14ac:dyDescent="0.35">
      <c r="A342" t="s">
        <v>34</v>
      </c>
      <c r="B342" s="1">
        <v>46146.65625</v>
      </c>
      <c r="C342" t="s">
        <v>34</v>
      </c>
      <c r="D342" s="1">
        <v>46147.625</v>
      </c>
      <c r="E342">
        <v>6450</v>
      </c>
      <c r="F342" t="s">
        <v>36</v>
      </c>
      <c r="G342">
        <v>0.05</v>
      </c>
      <c r="H342">
        <v>0.1</v>
      </c>
      <c r="I342">
        <v>0.05</v>
      </c>
      <c r="J342">
        <v>0.1</v>
      </c>
      <c r="K342">
        <v>55</v>
      </c>
      <c r="L342">
        <v>0</v>
      </c>
      <c r="M342">
        <v>0</v>
      </c>
      <c r="N342">
        <v>477</v>
      </c>
      <c r="O342">
        <v>0.1</v>
      </c>
      <c r="P342">
        <v>0</v>
      </c>
      <c r="Q342">
        <v>0</v>
      </c>
      <c r="R342">
        <v>0</v>
      </c>
      <c r="S342">
        <v>0</v>
      </c>
      <c r="T342">
        <v>0.66600000000000004</v>
      </c>
      <c r="U342">
        <v>-8.0000000000000004E-4</v>
      </c>
      <c r="V342">
        <v>0</v>
      </c>
      <c r="W342">
        <v>-4.99E-2</v>
      </c>
      <c r="X342">
        <v>1.04E-2</v>
      </c>
      <c r="Y342">
        <v>-2.0000000000000001E-4</v>
      </c>
      <c r="Z342">
        <v>0</v>
      </c>
      <c r="AA342">
        <v>0</v>
      </c>
      <c r="AB342">
        <v>279</v>
      </c>
      <c r="AC342">
        <v>0.1</v>
      </c>
      <c r="AD342">
        <v>0</v>
      </c>
      <c r="AE342">
        <v>0</v>
      </c>
      <c r="AF342">
        <v>5.5500000000000001E-2</v>
      </c>
      <c r="AG342">
        <v>995</v>
      </c>
      <c r="AH342">
        <v>0</v>
      </c>
      <c r="AI342">
        <f t="shared" si="0"/>
        <v>-7.7134986225895319E-2</v>
      </c>
      <c r="AJ342" s="4">
        <v>6700</v>
      </c>
      <c r="AK342">
        <v>0.05</v>
      </c>
      <c r="AL342">
        <v>-5.9999999999999995E-4</v>
      </c>
      <c r="AM342">
        <v>0.1</v>
      </c>
      <c r="AN342">
        <v>-1.6000000000000001E-3</v>
      </c>
      <c r="AO342">
        <v>0.2</v>
      </c>
      <c r="AP342">
        <v>-3.2000000000000002E-3</v>
      </c>
      <c r="AQ342">
        <v>0.4</v>
      </c>
      <c r="AR342">
        <v>-5.3E-3</v>
      </c>
      <c r="AS342">
        <v>0.8</v>
      </c>
      <c r="AT342">
        <v>-1.0200000000000001E-2</v>
      </c>
      <c r="AU342">
        <v>1.45</v>
      </c>
      <c r="AV342">
        <v>-1.6400000000000001E-2</v>
      </c>
      <c r="AW342">
        <v>2.25</v>
      </c>
      <c r="AX342">
        <v>-2.2700000000000001E-2</v>
      </c>
      <c r="AY342">
        <v>3.2</v>
      </c>
      <c r="AZ342">
        <v>-2.9399999999999999E-2</v>
      </c>
      <c r="BA342">
        <v>4.3</v>
      </c>
      <c r="BB342">
        <v>-3.6400000000000002E-2</v>
      </c>
      <c r="BC342">
        <v>5</v>
      </c>
      <c r="BD342">
        <v>-4.0599999999999997E-2</v>
      </c>
      <c r="BE342">
        <v>5.5</v>
      </c>
      <c r="BF342">
        <v>-4.3200000000000002E-2</v>
      </c>
      <c r="BG342">
        <v>23.25</v>
      </c>
      <c r="BH342">
        <v>-0.20960000000000001</v>
      </c>
    </row>
    <row r="343" spans="1:64" x14ac:dyDescent="0.35">
      <c r="A343" t="s">
        <v>34</v>
      </c>
      <c r="B343" s="1">
        <v>46146.65625</v>
      </c>
      <c r="C343" t="s">
        <v>34</v>
      </c>
      <c r="D343" s="1">
        <v>46147.625</v>
      </c>
      <c r="E343">
        <v>6460</v>
      </c>
      <c r="F343" t="s">
        <v>36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460</v>
      </c>
      <c r="O343">
        <v>0.1</v>
      </c>
      <c r="P343">
        <v>0</v>
      </c>
      <c r="Q343">
        <v>0</v>
      </c>
      <c r="R343">
        <v>0</v>
      </c>
      <c r="S343">
        <v>0</v>
      </c>
      <c r="T343">
        <v>0.65710000000000002</v>
      </c>
      <c r="U343">
        <v>-8.0000000000000004E-4</v>
      </c>
      <c r="V343">
        <v>0</v>
      </c>
      <c r="W343">
        <v>-4.99E-2</v>
      </c>
      <c r="X343">
        <v>1.0500000000000001E-2</v>
      </c>
      <c r="Y343">
        <v>-2.0000000000000001E-4</v>
      </c>
      <c r="Z343">
        <v>0</v>
      </c>
      <c r="AA343">
        <v>0</v>
      </c>
      <c r="AB343">
        <v>275</v>
      </c>
      <c r="AC343">
        <v>0.1</v>
      </c>
      <c r="AD343">
        <v>0</v>
      </c>
      <c r="AE343">
        <v>0</v>
      </c>
      <c r="AF343">
        <v>0</v>
      </c>
      <c r="AG343">
        <v>19</v>
      </c>
      <c r="AH343">
        <v>0</v>
      </c>
      <c r="AI343">
        <f t="shared" si="0"/>
        <v>-7.644628099173556E-2</v>
      </c>
      <c r="AJ343" s="4">
        <v>6705</v>
      </c>
      <c r="AS343">
        <v>0.8</v>
      </c>
      <c r="AT343">
        <v>-1.03E-2</v>
      </c>
      <c r="BC343">
        <v>5.0999999999999996</v>
      </c>
      <c r="BD343">
        <v>-4.1500000000000002E-2</v>
      </c>
      <c r="BE343">
        <v>5.6</v>
      </c>
      <c r="BF343">
        <v>-4.4299999999999999E-2</v>
      </c>
      <c r="BG343">
        <v>11.5</v>
      </c>
      <c r="BH343">
        <v>-9.6099999999999991E-2</v>
      </c>
      <c r="BK343" s="6">
        <v>46146</v>
      </c>
      <c r="BL343" s="6">
        <f>BK344</f>
        <v>46147</v>
      </c>
    </row>
    <row r="344" spans="1:64" x14ac:dyDescent="0.35">
      <c r="A344" t="s">
        <v>34</v>
      </c>
      <c r="B344" s="1">
        <v>46146.65625</v>
      </c>
      <c r="C344" t="s">
        <v>34</v>
      </c>
      <c r="D344" s="1">
        <v>46147.625</v>
      </c>
      <c r="E344">
        <v>6470</v>
      </c>
      <c r="F344" t="s">
        <v>36</v>
      </c>
      <c r="G344">
        <v>0.11</v>
      </c>
      <c r="H344">
        <v>0.11</v>
      </c>
      <c r="I344">
        <v>0.11</v>
      </c>
      <c r="J344">
        <v>0.11</v>
      </c>
      <c r="K344">
        <v>30</v>
      </c>
      <c r="L344">
        <v>0</v>
      </c>
      <c r="M344">
        <v>0</v>
      </c>
      <c r="N344">
        <v>445</v>
      </c>
      <c r="O344">
        <v>0.1</v>
      </c>
      <c r="P344">
        <v>0</v>
      </c>
      <c r="Q344">
        <v>0</v>
      </c>
      <c r="R344">
        <v>0</v>
      </c>
      <c r="S344">
        <v>0</v>
      </c>
      <c r="T344">
        <v>0.64849999999999997</v>
      </c>
      <c r="U344">
        <v>-8.0000000000000004E-4</v>
      </c>
      <c r="V344">
        <v>0</v>
      </c>
      <c r="W344">
        <v>-4.99E-2</v>
      </c>
      <c r="X344">
        <v>1.06E-2</v>
      </c>
      <c r="Y344">
        <v>-2.0000000000000001E-4</v>
      </c>
      <c r="Z344">
        <v>0</v>
      </c>
      <c r="AA344">
        <v>0</v>
      </c>
      <c r="AB344">
        <v>292</v>
      </c>
      <c r="AC344">
        <v>0.1</v>
      </c>
      <c r="AD344">
        <v>0</v>
      </c>
      <c r="AE344">
        <v>0</v>
      </c>
      <c r="AF344">
        <v>0.11</v>
      </c>
      <c r="AG344">
        <v>45</v>
      </c>
      <c r="AH344">
        <v>0</v>
      </c>
      <c r="AI344">
        <f t="shared" si="0"/>
        <v>-7.5757575757575801E-2</v>
      </c>
      <c r="AJ344" s="4">
        <v>6710</v>
      </c>
      <c r="AK344">
        <v>0.05</v>
      </c>
      <c r="AL344">
        <v>-5.9999999999999995E-4</v>
      </c>
      <c r="AM344">
        <v>0.1</v>
      </c>
      <c r="AN344">
        <v>-1.6000000000000001E-3</v>
      </c>
      <c r="AO344">
        <v>0.2</v>
      </c>
      <c r="AP344">
        <v>-3.2000000000000002E-3</v>
      </c>
      <c r="AQ344">
        <v>0.4</v>
      </c>
      <c r="AR344">
        <v>-6.0000000000000001E-3</v>
      </c>
      <c r="AS344">
        <v>0.85</v>
      </c>
      <c r="AT344">
        <v>-1.09E-2</v>
      </c>
      <c r="AU344">
        <v>1.55</v>
      </c>
      <c r="AV344">
        <v>-1.7299999999999999E-2</v>
      </c>
      <c r="AW344">
        <v>2.35</v>
      </c>
      <c r="AX344">
        <v>-2.3900000000000001E-2</v>
      </c>
      <c r="AY344">
        <v>3.4</v>
      </c>
      <c r="AZ344">
        <v>-3.09E-2</v>
      </c>
      <c r="BA344">
        <v>4.5</v>
      </c>
      <c r="BB344">
        <v>-3.7900000000000003E-2</v>
      </c>
      <c r="BC344">
        <v>5.2</v>
      </c>
      <c r="BD344">
        <v>-4.24E-2</v>
      </c>
      <c r="BE344">
        <v>5.7</v>
      </c>
      <c r="BF344">
        <v>-4.5199999999999997E-2</v>
      </c>
      <c r="BG344">
        <v>24.3</v>
      </c>
      <c r="BH344">
        <v>-0.21989999999999998</v>
      </c>
      <c r="BJ344" t="s">
        <v>45</v>
      </c>
      <c r="BK344" s="6">
        <f>WORKDAY(BK343, 1)</f>
        <v>46147</v>
      </c>
      <c r="BL344" s="6">
        <f t="shared" ref="BL344:BL350" si="1">BK345</f>
        <v>46148</v>
      </c>
    </row>
    <row r="345" spans="1:64" x14ac:dyDescent="0.35">
      <c r="A345" t="s">
        <v>34</v>
      </c>
      <c r="B345" s="1">
        <v>46146.65625</v>
      </c>
      <c r="C345" t="s">
        <v>34</v>
      </c>
      <c r="D345" s="1">
        <v>46147.625</v>
      </c>
      <c r="E345">
        <v>6475</v>
      </c>
      <c r="F345" t="s">
        <v>36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444</v>
      </c>
      <c r="O345">
        <v>0.1</v>
      </c>
      <c r="P345">
        <v>0</v>
      </c>
      <c r="Q345">
        <v>0</v>
      </c>
      <c r="R345">
        <v>0</v>
      </c>
      <c r="S345">
        <v>0</v>
      </c>
      <c r="T345">
        <v>0.64410000000000001</v>
      </c>
      <c r="U345">
        <v>-8.0000000000000004E-4</v>
      </c>
      <c r="V345">
        <v>0</v>
      </c>
      <c r="W345">
        <v>-4.99E-2</v>
      </c>
      <c r="X345">
        <v>1.0699999999999999E-2</v>
      </c>
      <c r="Y345">
        <v>-2.0000000000000001E-4</v>
      </c>
      <c r="Z345">
        <v>0</v>
      </c>
      <c r="AA345">
        <v>0</v>
      </c>
      <c r="AB345">
        <v>289</v>
      </c>
      <c r="AC345">
        <v>0.1</v>
      </c>
      <c r="AD345">
        <v>0</v>
      </c>
      <c r="AE345">
        <v>0</v>
      </c>
      <c r="AF345">
        <v>0</v>
      </c>
      <c r="AG345">
        <v>411</v>
      </c>
      <c r="AH345">
        <v>0</v>
      </c>
      <c r="AI345">
        <f t="shared" si="0"/>
        <v>-7.5068870523415931E-2</v>
      </c>
      <c r="AJ345" s="4">
        <v>6715</v>
      </c>
      <c r="AK345">
        <v>0.05</v>
      </c>
      <c r="AL345">
        <v>-5.9999999999999995E-4</v>
      </c>
      <c r="AM345">
        <v>0.1</v>
      </c>
      <c r="AN345">
        <v>-1.6000000000000001E-3</v>
      </c>
      <c r="AO345">
        <v>0.2</v>
      </c>
      <c r="AP345">
        <v>-3.3E-3</v>
      </c>
      <c r="AS345">
        <v>0.85</v>
      </c>
      <c r="AT345">
        <v>-1.0999999999999999E-2</v>
      </c>
      <c r="BC345">
        <v>5.4</v>
      </c>
      <c r="BD345">
        <v>-4.36E-2</v>
      </c>
      <c r="BE345">
        <v>5.8</v>
      </c>
      <c r="BF345">
        <v>-4.6100000000000002E-2</v>
      </c>
      <c r="BG345">
        <v>12.4</v>
      </c>
      <c r="BH345">
        <v>-0.1062</v>
      </c>
      <c r="BK345" s="6">
        <f t="shared" ref="BK345:BK350" si="2">WORKDAY(BK344, 1)</f>
        <v>46148</v>
      </c>
      <c r="BL345" s="7">
        <f t="shared" si="1"/>
        <v>46149</v>
      </c>
    </row>
    <row r="346" spans="1:64" x14ac:dyDescent="0.35">
      <c r="A346" t="s">
        <v>34</v>
      </c>
      <c r="B346" s="1">
        <v>46146.65625</v>
      </c>
      <c r="C346" t="s">
        <v>34</v>
      </c>
      <c r="D346" s="1">
        <v>46147.625</v>
      </c>
      <c r="E346">
        <v>6480</v>
      </c>
      <c r="F346" t="s">
        <v>36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426</v>
      </c>
      <c r="O346">
        <v>0.1</v>
      </c>
      <c r="P346">
        <v>0</v>
      </c>
      <c r="Q346">
        <v>0</v>
      </c>
      <c r="R346">
        <v>0</v>
      </c>
      <c r="S346">
        <v>0</v>
      </c>
      <c r="T346">
        <v>0.63980000000000004</v>
      </c>
      <c r="U346">
        <v>-8.0000000000000004E-4</v>
      </c>
      <c r="V346">
        <v>0</v>
      </c>
      <c r="W346">
        <v>-4.99E-2</v>
      </c>
      <c r="X346">
        <v>1.0800000000000001E-2</v>
      </c>
      <c r="Y346">
        <v>-2.0000000000000001E-4</v>
      </c>
      <c r="Z346">
        <v>0</v>
      </c>
      <c r="AA346">
        <v>0</v>
      </c>
      <c r="AB346">
        <v>287</v>
      </c>
      <c r="AC346">
        <v>0.1</v>
      </c>
      <c r="AD346">
        <v>0</v>
      </c>
      <c r="AE346">
        <v>0</v>
      </c>
      <c r="AF346">
        <v>0</v>
      </c>
      <c r="AG346">
        <v>32</v>
      </c>
      <c r="AH346">
        <v>0</v>
      </c>
      <c r="AI346">
        <f t="shared" si="0"/>
        <v>-7.4380165289256173E-2</v>
      </c>
      <c r="AJ346" s="4">
        <v>6720</v>
      </c>
      <c r="AK346">
        <v>0.05</v>
      </c>
      <c r="AL346">
        <v>-6.9999999999999999E-4</v>
      </c>
      <c r="AM346">
        <v>0.1</v>
      </c>
      <c r="AN346">
        <v>-1.6000000000000001E-3</v>
      </c>
      <c r="AO346">
        <v>0.2</v>
      </c>
      <c r="AP346">
        <v>-3.3E-3</v>
      </c>
      <c r="AQ346">
        <v>0.45</v>
      </c>
      <c r="AR346">
        <v>-6.1000000000000004E-3</v>
      </c>
      <c r="AS346">
        <v>0.9</v>
      </c>
      <c r="AT346">
        <v>-1.11E-2</v>
      </c>
      <c r="AU346">
        <v>1.65</v>
      </c>
      <c r="AV346">
        <v>-1.8499999999999999E-2</v>
      </c>
      <c r="AW346">
        <v>2.5</v>
      </c>
      <c r="AX346">
        <v>-2.5000000000000001E-2</v>
      </c>
      <c r="AY346">
        <v>3.5</v>
      </c>
      <c r="AZ346">
        <v>-3.2399999999999998E-2</v>
      </c>
      <c r="BA346">
        <v>4.7</v>
      </c>
      <c r="BB346">
        <v>-3.9699999999999999E-2</v>
      </c>
      <c r="BC346">
        <v>5.5</v>
      </c>
      <c r="BD346">
        <v>-4.4400000000000002E-2</v>
      </c>
      <c r="BE346">
        <v>6</v>
      </c>
      <c r="BF346">
        <v>-4.6899999999999997E-2</v>
      </c>
      <c r="BG346">
        <v>25.55</v>
      </c>
      <c r="BH346">
        <v>-0.22969999999999999</v>
      </c>
      <c r="BK346" s="6">
        <f t="shared" si="2"/>
        <v>46149</v>
      </c>
      <c r="BL346" s="7">
        <f t="shared" si="1"/>
        <v>46150</v>
      </c>
    </row>
    <row r="347" spans="1:64" x14ac:dyDescent="0.35">
      <c r="A347" t="s">
        <v>34</v>
      </c>
      <c r="B347" s="1">
        <v>46146.65625</v>
      </c>
      <c r="C347" t="s">
        <v>34</v>
      </c>
      <c r="D347" s="1">
        <v>46147.625</v>
      </c>
      <c r="E347">
        <v>6490</v>
      </c>
      <c r="F347" t="s">
        <v>36</v>
      </c>
      <c r="G347">
        <v>0.05</v>
      </c>
      <c r="H347">
        <v>0.05</v>
      </c>
      <c r="I347">
        <v>0.05</v>
      </c>
      <c r="J347">
        <v>0.05</v>
      </c>
      <c r="K347">
        <v>13</v>
      </c>
      <c r="L347">
        <v>0</v>
      </c>
      <c r="M347">
        <v>0</v>
      </c>
      <c r="N347">
        <v>408</v>
      </c>
      <c r="O347">
        <v>0.1</v>
      </c>
      <c r="P347">
        <v>0</v>
      </c>
      <c r="Q347">
        <v>0</v>
      </c>
      <c r="R347">
        <v>0</v>
      </c>
      <c r="S347">
        <v>0</v>
      </c>
      <c r="T347">
        <v>0.63119999999999998</v>
      </c>
      <c r="U347">
        <v>-8.0000000000000004E-4</v>
      </c>
      <c r="V347">
        <v>0</v>
      </c>
      <c r="W347">
        <v>-4.99E-2</v>
      </c>
      <c r="X347">
        <v>1.09E-2</v>
      </c>
      <c r="Y347">
        <v>-2.0000000000000001E-4</v>
      </c>
      <c r="Z347">
        <v>0</v>
      </c>
      <c r="AA347">
        <v>0</v>
      </c>
      <c r="AB347">
        <v>298</v>
      </c>
      <c r="AC347">
        <v>0.1</v>
      </c>
      <c r="AD347">
        <v>0</v>
      </c>
      <c r="AE347">
        <v>0</v>
      </c>
      <c r="AF347">
        <v>0.05</v>
      </c>
      <c r="AG347">
        <v>9</v>
      </c>
      <c r="AH347">
        <v>0</v>
      </c>
      <c r="AI347">
        <f t="shared" si="0"/>
        <v>-7.3691460055096414E-2</v>
      </c>
      <c r="AJ347" s="4">
        <v>6725</v>
      </c>
      <c r="AK347">
        <v>0.05</v>
      </c>
      <c r="AL347">
        <v>-6.9999999999999999E-4</v>
      </c>
      <c r="AM347">
        <v>0.1</v>
      </c>
      <c r="AN347">
        <v>-1.6999999999999999E-3</v>
      </c>
      <c r="AO347">
        <v>0.2</v>
      </c>
      <c r="AP347">
        <v>-3.3E-3</v>
      </c>
      <c r="AQ347">
        <v>0.45</v>
      </c>
      <c r="AR347">
        <v>-6.1999999999999998E-3</v>
      </c>
      <c r="AS347">
        <v>0.9</v>
      </c>
      <c r="AT347">
        <v>-1.17E-2</v>
      </c>
      <c r="AU347">
        <v>1.65</v>
      </c>
      <c r="AV347">
        <v>-1.8599999999999998E-2</v>
      </c>
      <c r="AW347">
        <v>2.5499999999999998</v>
      </c>
      <c r="AX347">
        <v>-2.58E-2</v>
      </c>
      <c r="AY347">
        <v>3.6</v>
      </c>
      <c r="AZ347">
        <v>-3.3000000000000002E-2</v>
      </c>
      <c r="BA347">
        <v>4.8</v>
      </c>
      <c r="BB347">
        <v>-4.0599999999999997E-2</v>
      </c>
      <c r="BC347">
        <v>5.6</v>
      </c>
      <c r="BD347">
        <v>-4.5400000000000003E-2</v>
      </c>
      <c r="BE347">
        <v>6.1</v>
      </c>
      <c r="BF347">
        <v>-4.8099999999999997E-2</v>
      </c>
      <c r="BG347">
        <v>26</v>
      </c>
      <c r="BH347">
        <v>-0.2351</v>
      </c>
      <c r="BJ347" t="s">
        <v>45</v>
      </c>
      <c r="BK347" s="7">
        <f t="shared" si="2"/>
        <v>46150</v>
      </c>
      <c r="BL347" s="6">
        <f t="shared" si="1"/>
        <v>46153</v>
      </c>
    </row>
    <row r="348" spans="1:64" x14ac:dyDescent="0.35">
      <c r="A348" t="s">
        <v>34</v>
      </c>
      <c r="B348" s="1">
        <v>46146.65625</v>
      </c>
      <c r="C348" t="s">
        <v>34</v>
      </c>
      <c r="D348" s="1">
        <v>46147.625</v>
      </c>
      <c r="E348">
        <v>6500</v>
      </c>
      <c r="F348" t="s">
        <v>36</v>
      </c>
      <c r="G348">
        <v>0.05</v>
      </c>
      <c r="H348">
        <v>0.12</v>
      </c>
      <c r="I348">
        <v>0.05</v>
      </c>
      <c r="J348">
        <v>0.1</v>
      </c>
      <c r="K348">
        <v>77</v>
      </c>
      <c r="L348">
        <v>0</v>
      </c>
      <c r="M348">
        <v>0</v>
      </c>
      <c r="N348">
        <v>410</v>
      </c>
      <c r="O348">
        <v>0.1</v>
      </c>
      <c r="P348">
        <v>0</v>
      </c>
      <c r="Q348">
        <v>0</v>
      </c>
      <c r="R348">
        <v>0</v>
      </c>
      <c r="S348">
        <v>0</v>
      </c>
      <c r="T348">
        <v>0.62250000000000005</v>
      </c>
      <c r="U348">
        <v>-8.0000000000000004E-4</v>
      </c>
      <c r="V348">
        <v>0</v>
      </c>
      <c r="W348">
        <v>-4.99E-2</v>
      </c>
      <c r="X348">
        <v>1.0999999999999999E-2</v>
      </c>
      <c r="Y348">
        <v>-2.0000000000000001E-4</v>
      </c>
      <c r="Z348">
        <v>0</v>
      </c>
      <c r="AA348">
        <v>0</v>
      </c>
      <c r="AB348">
        <v>50</v>
      </c>
      <c r="AC348">
        <v>0.05</v>
      </c>
      <c r="AD348">
        <v>0</v>
      </c>
      <c r="AE348">
        <v>0</v>
      </c>
      <c r="AF348">
        <v>9.9000000000000005E-2</v>
      </c>
      <c r="AG348">
        <v>424</v>
      </c>
      <c r="AH348">
        <v>0</v>
      </c>
      <c r="AI348">
        <f t="shared" si="0"/>
        <v>-7.3002754820936655E-2</v>
      </c>
      <c r="AJ348" s="4">
        <v>6730</v>
      </c>
      <c r="AK348">
        <v>0.05</v>
      </c>
      <c r="AL348">
        <v>-6.9999999999999999E-4</v>
      </c>
      <c r="AM348">
        <v>0.1</v>
      </c>
      <c r="AN348">
        <v>-1.6999999999999999E-3</v>
      </c>
      <c r="AO348">
        <v>0.25</v>
      </c>
      <c r="AP348">
        <v>-3.3999999999999998E-3</v>
      </c>
      <c r="AQ348">
        <v>0.45</v>
      </c>
      <c r="AR348">
        <v>-6.4999999999999997E-3</v>
      </c>
      <c r="AS348">
        <v>0.9</v>
      </c>
      <c r="AT348">
        <v>-1.18E-2</v>
      </c>
      <c r="AU348">
        <v>1.7</v>
      </c>
      <c r="AV348">
        <v>-1.9199999999999998E-2</v>
      </c>
      <c r="AW348">
        <v>2.6</v>
      </c>
      <c r="AX348">
        <v>-2.64E-2</v>
      </c>
      <c r="AY348">
        <v>3.7</v>
      </c>
      <c r="AZ348">
        <v>-3.39E-2</v>
      </c>
      <c r="BA348">
        <v>4.9000000000000004</v>
      </c>
      <c r="BB348">
        <v>-4.1500000000000002E-2</v>
      </c>
      <c r="BC348">
        <v>5.7</v>
      </c>
      <c r="BD348">
        <v>-4.6300000000000001E-2</v>
      </c>
      <c r="BE348">
        <v>6.2</v>
      </c>
      <c r="BF348">
        <v>-4.9299999999999997E-2</v>
      </c>
      <c r="BG348">
        <v>26.55</v>
      </c>
      <c r="BH348">
        <v>-0.24069999999999997</v>
      </c>
      <c r="BK348" s="6">
        <f t="shared" si="2"/>
        <v>46153</v>
      </c>
      <c r="BL348" s="6">
        <f t="shared" si="1"/>
        <v>46154</v>
      </c>
    </row>
    <row r="349" spans="1:64" x14ac:dyDescent="0.35">
      <c r="A349" t="s">
        <v>34</v>
      </c>
      <c r="B349" s="1">
        <v>46146.65625</v>
      </c>
      <c r="C349" t="s">
        <v>34</v>
      </c>
      <c r="D349" s="1">
        <v>46147.625</v>
      </c>
      <c r="E349">
        <v>6510</v>
      </c>
      <c r="F349" t="s">
        <v>36</v>
      </c>
      <c r="G349">
        <v>0.1</v>
      </c>
      <c r="H349">
        <v>0.1</v>
      </c>
      <c r="I349">
        <v>0.1</v>
      </c>
      <c r="J349">
        <v>0.1</v>
      </c>
      <c r="K349">
        <v>3</v>
      </c>
      <c r="L349">
        <v>0</v>
      </c>
      <c r="M349">
        <v>0</v>
      </c>
      <c r="N349">
        <v>412</v>
      </c>
      <c r="O349">
        <v>0.1</v>
      </c>
      <c r="P349">
        <v>0</v>
      </c>
      <c r="Q349">
        <v>0</v>
      </c>
      <c r="R349">
        <v>0</v>
      </c>
      <c r="S349">
        <v>0</v>
      </c>
      <c r="T349">
        <v>0.6139</v>
      </c>
      <c r="U349">
        <v>-8.9999999999999998E-4</v>
      </c>
      <c r="V349">
        <v>0</v>
      </c>
      <c r="W349">
        <v>-4.99E-2</v>
      </c>
      <c r="X349">
        <v>1.12E-2</v>
      </c>
      <c r="Y349">
        <v>-2.0000000000000001E-4</v>
      </c>
      <c r="Z349">
        <v>0</v>
      </c>
      <c r="AA349">
        <v>0</v>
      </c>
      <c r="AB349">
        <v>297</v>
      </c>
      <c r="AC349">
        <v>0.1</v>
      </c>
      <c r="AD349">
        <v>0</v>
      </c>
      <c r="AE349">
        <v>0</v>
      </c>
      <c r="AF349">
        <v>0.1</v>
      </c>
      <c r="AG349">
        <v>39</v>
      </c>
      <c r="AH349">
        <v>0</v>
      </c>
      <c r="AI349">
        <f t="shared" si="0"/>
        <v>-7.2314049586776896E-2</v>
      </c>
      <c r="AJ349" s="4">
        <v>6735</v>
      </c>
      <c r="AK349">
        <v>0.05</v>
      </c>
      <c r="AL349">
        <v>-6.9999999999999999E-4</v>
      </c>
      <c r="AM349">
        <v>0.1</v>
      </c>
      <c r="AN349">
        <v>-1.6999999999999999E-3</v>
      </c>
      <c r="AO349">
        <v>0.25</v>
      </c>
      <c r="AP349">
        <v>-3.8E-3</v>
      </c>
      <c r="AS349">
        <v>0.95</v>
      </c>
      <c r="AT349">
        <v>-1.24E-2</v>
      </c>
      <c r="BC349">
        <v>5.8</v>
      </c>
      <c r="BD349">
        <v>-4.7500000000000001E-2</v>
      </c>
      <c r="BE349">
        <v>6.3</v>
      </c>
      <c r="BF349">
        <v>-5.0299999999999997E-2</v>
      </c>
      <c r="BG349">
        <v>13.45</v>
      </c>
      <c r="BH349">
        <v>-0.11639999999999999</v>
      </c>
      <c r="BK349" s="6">
        <f t="shared" si="2"/>
        <v>46154</v>
      </c>
      <c r="BL349" s="6">
        <f t="shared" si="1"/>
        <v>46155</v>
      </c>
    </row>
    <row r="350" spans="1:64" x14ac:dyDescent="0.35">
      <c r="A350" t="s">
        <v>34</v>
      </c>
      <c r="B350" s="1">
        <v>46146.65625</v>
      </c>
      <c r="C350" t="s">
        <v>34</v>
      </c>
      <c r="D350" s="1">
        <v>46147.625</v>
      </c>
      <c r="E350">
        <v>6520</v>
      </c>
      <c r="F350" t="s">
        <v>36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421</v>
      </c>
      <c r="O350">
        <v>0.1</v>
      </c>
      <c r="P350">
        <v>0</v>
      </c>
      <c r="Q350">
        <v>0</v>
      </c>
      <c r="R350">
        <v>0</v>
      </c>
      <c r="S350">
        <v>0</v>
      </c>
      <c r="T350">
        <v>0.60519999999999996</v>
      </c>
      <c r="U350">
        <v>-8.9999999999999998E-4</v>
      </c>
      <c r="V350">
        <v>0</v>
      </c>
      <c r="W350">
        <v>-4.99E-2</v>
      </c>
      <c r="X350">
        <v>1.1299999999999999E-2</v>
      </c>
      <c r="Y350">
        <v>-2.0000000000000001E-4</v>
      </c>
      <c r="Z350">
        <v>0</v>
      </c>
      <c r="AA350">
        <v>0</v>
      </c>
      <c r="AB350">
        <v>293</v>
      </c>
      <c r="AC350">
        <v>0.1</v>
      </c>
      <c r="AD350">
        <v>0</v>
      </c>
      <c r="AE350">
        <v>0</v>
      </c>
      <c r="AF350">
        <v>0</v>
      </c>
      <c r="AG350">
        <v>57</v>
      </c>
      <c r="AH350">
        <v>0</v>
      </c>
      <c r="AI350">
        <f t="shared" si="0"/>
        <v>-7.1625344352617026E-2</v>
      </c>
      <c r="AJ350" s="4">
        <v>6740</v>
      </c>
      <c r="AK350">
        <v>0.05</v>
      </c>
      <c r="AL350">
        <v>-6.9999999999999999E-4</v>
      </c>
      <c r="AM350">
        <v>0.1</v>
      </c>
      <c r="AN350">
        <v>-1.6999999999999999E-3</v>
      </c>
      <c r="AO350">
        <v>0.25</v>
      </c>
      <c r="AP350">
        <v>-3.8E-3</v>
      </c>
      <c r="AQ350">
        <v>0.45</v>
      </c>
      <c r="AR350">
        <v>-7.0000000000000001E-3</v>
      </c>
      <c r="AS350">
        <v>0.95</v>
      </c>
      <c r="AT350">
        <v>-1.26E-2</v>
      </c>
      <c r="AU350">
        <v>1.8</v>
      </c>
      <c r="AV350">
        <v>-2.0400000000000001E-2</v>
      </c>
      <c r="AW350">
        <v>2.75</v>
      </c>
      <c r="AX350">
        <v>-2.8000000000000001E-2</v>
      </c>
      <c r="AY350">
        <v>3.9</v>
      </c>
      <c r="AZ350">
        <v>-3.5799999999999998E-2</v>
      </c>
      <c r="BA350">
        <v>5.0999999999999996</v>
      </c>
      <c r="BB350">
        <v>-4.3700000000000003E-2</v>
      </c>
      <c r="BC350">
        <v>5.9</v>
      </c>
      <c r="BD350">
        <v>-4.8399999999999999E-2</v>
      </c>
      <c r="BE350">
        <v>6.5</v>
      </c>
      <c r="BF350">
        <v>-5.1400000000000001E-2</v>
      </c>
      <c r="BG350">
        <v>27.75</v>
      </c>
      <c r="BH350">
        <v>-0.2535</v>
      </c>
      <c r="BK350" s="6">
        <f t="shared" si="2"/>
        <v>46155</v>
      </c>
      <c r="BL350" s="6">
        <f t="shared" si="1"/>
        <v>0</v>
      </c>
    </row>
    <row r="351" spans="1:64" x14ac:dyDescent="0.35">
      <c r="A351" t="s">
        <v>34</v>
      </c>
      <c r="B351" s="1">
        <v>46146.65625</v>
      </c>
      <c r="C351" t="s">
        <v>34</v>
      </c>
      <c r="D351" s="1">
        <v>46147.625</v>
      </c>
      <c r="E351">
        <v>6525</v>
      </c>
      <c r="F351" t="s">
        <v>36</v>
      </c>
      <c r="G351">
        <v>0.1</v>
      </c>
      <c r="H351">
        <v>0.1</v>
      </c>
      <c r="I351">
        <v>0.05</v>
      </c>
      <c r="J351">
        <v>0.05</v>
      </c>
      <c r="K351">
        <v>2</v>
      </c>
      <c r="L351">
        <v>0</v>
      </c>
      <c r="M351">
        <v>0</v>
      </c>
      <c r="N351">
        <v>436</v>
      </c>
      <c r="O351">
        <v>0.1</v>
      </c>
      <c r="P351">
        <v>0</v>
      </c>
      <c r="Q351">
        <v>0</v>
      </c>
      <c r="R351">
        <v>0</v>
      </c>
      <c r="S351">
        <v>0</v>
      </c>
      <c r="T351">
        <v>0.60089999999999999</v>
      </c>
      <c r="U351">
        <v>-8.9999999999999998E-4</v>
      </c>
      <c r="V351">
        <v>0</v>
      </c>
      <c r="W351">
        <v>-4.99E-2</v>
      </c>
      <c r="X351">
        <v>1.14E-2</v>
      </c>
      <c r="Y351">
        <v>-2.0000000000000001E-4</v>
      </c>
      <c r="Z351">
        <v>0</v>
      </c>
      <c r="AA351">
        <v>0</v>
      </c>
      <c r="AB351">
        <v>289</v>
      </c>
      <c r="AC351">
        <v>0.1</v>
      </c>
      <c r="AD351">
        <v>0</v>
      </c>
      <c r="AE351">
        <v>0</v>
      </c>
      <c r="AF351">
        <v>7.4999999999999997E-2</v>
      </c>
      <c r="AG351">
        <v>46</v>
      </c>
      <c r="AH351">
        <v>0</v>
      </c>
      <c r="AI351">
        <f t="shared" si="0"/>
        <v>-7.0936639118457268E-2</v>
      </c>
      <c r="AJ351" s="4">
        <v>6745</v>
      </c>
      <c r="AK351">
        <v>0.05</v>
      </c>
      <c r="AL351">
        <v>-6.9999999999999999E-4</v>
      </c>
      <c r="AM351">
        <v>0.1</v>
      </c>
      <c r="AN351">
        <v>-1.6999999999999999E-3</v>
      </c>
      <c r="AO351">
        <v>0.25</v>
      </c>
      <c r="AP351">
        <v>-3.8999999999999998E-3</v>
      </c>
      <c r="AS351">
        <v>1</v>
      </c>
      <c r="AT351">
        <v>-1.29E-2</v>
      </c>
      <c r="BC351">
        <v>6.1</v>
      </c>
      <c r="BD351">
        <v>-4.9599999999999998E-2</v>
      </c>
      <c r="BE351">
        <v>6.6</v>
      </c>
      <c r="BF351">
        <v>-5.2699999999999997E-2</v>
      </c>
      <c r="BG351">
        <v>14.1</v>
      </c>
      <c r="BH351">
        <v>-0.1215</v>
      </c>
    </row>
    <row r="352" spans="1:64" x14ac:dyDescent="0.35">
      <c r="A352" t="s">
        <v>34</v>
      </c>
      <c r="B352" s="1">
        <v>46146.65625</v>
      </c>
      <c r="C352" t="s">
        <v>34</v>
      </c>
      <c r="D352" s="1">
        <v>46147.625</v>
      </c>
      <c r="E352">
        <v>6530</v>
      </c>
      <c r="F352" t="s">
        <v>36</v>
      </c>
      <c r="G352">
        <v>0.05</v>
      </c>
      <c r="H352">
        <v>0.1</v>
      </c>
      <c r="I352">
        <v>0.05</v>
      </c>
      <c r="J352">
        <v>0.05</v>
      </c>
      <c r="K352">
        <v>22</v>
      </c>
      <c r="L352">
        <v>0</v>
      </c>
      <c r="M352">
        <v>0</v>
      </c>
      <c r="N352">
        <v>430</v>
      </c>
      <c r="O352">
        <v>0.1</v>
      </c>
      <c r="P352">
        <v>0</v>
      </c>
      <c r="Q352">
        <v>0</v>
      </c>
      <c r="R352">
        <v>0</v>
      </c>
      <c r="S352">
        <v>0</v>
      </c>
      <c r="T352">
        <v>0.59660000000000002</v>
      </c>
      <c r="U352">
        <v>-8.9999999999999998E-4</v>
      </c>
      <c r="V352">
        <v>0</v>
      </c>
      <c r="W352">
        <v>-4.99E-2</v>
      </c>
      <c r="X352">
        <v>1.15E-2</v>
      </c>
      <c r="Y352">
        <v>-2.0000000000000001E-4</v>
      </c>
      <c r="Z352">
        <v>0</v>
      </c>
      <c r="AA352">
        <v>0</v>
      </c>
      <c r="AB352">
        <v>184</v>
      </c>
      <c r="AC352">
        <v>0.1</v>
      </c>
      <c r="AD352">
        <v>0</v>
      </c>
      <c r="AE352">
        <v>0</v>
      </c>
      <c r="AF352">
        <v>5.2299999999999999E-2</v>
      </c>
      <c r="AG352">
        <v>54</v>
      </c>
      <c r="AH352">
        <v>0</v>
      </c>
      <c r="AI352">
        <f t="shared" si="0"/>
        <v>-7.0247933884297509E-2</v>
      </c>
      <c r="AJ352" s="8">
        <v>6750</v>
      </c>
      <c r="AK352">
        <v>0.05</v>
      </c>
      <c r="AL352">
        <v>-6.9999999999999999E-4</v>
      </c>
      <c r="AM352" s="14">
        <v>0.1</v>
      </c>
      <c r="AN352">
        <v>-1.6999999999999999E-3</v>
      </c>
      <c r="AO352" s="14">
        <v>0.25</v>
      </c>
      <c r="AP352">
        <v>-3.8999999999999998E-3</v>
      </c>
      <c r="AQ352" s="14">
        <v>0.5</v>
      </c>
      <c r="AR352">
        <v>-7.4000000000000003E-3</v>
      </c>
      <c r="AS352" s="14">
        <v>1</v>
      </c>
      <c r="AT352">
        <v>-1.3299999999999999E-2</v>
      </c>
      <c r="AU352">
        <v>1.85</v>
      </c>
      <c r="AV352">
        <v>-2.1499999999999998E-2</v>
      </c>
      <c r="AW352">
        <v>2.85</v>
      </c>
      <c r="AX352">
        <v>-2.9399999999999999E-2</v>
      </c>
      <c r="AY352">
        <v>4.0999999999999996</v>
      </c>
      <c r="AZ352">
        <v>-3.7400000000000003E-2</v>
      </c>
      <c r="BA352">
        <v>5.4</v>
      </c>
      <c r="BB352">
        <v>-4.5900000000000003E-2</v>
      </c>
      <c r="BC352">
        <v>6.2</v>
      </c>
      <c r="BD352">
        <v>-5.0599999999999999E-2</v>
      </c>
      <c r="BE352">
        <v>6.8</v>
      </c>
      <c r="BF352">
        <v>-5.3900000000000003E-2</v>
      </c>
      <c r="BG352">
        <v>29.1</v>
      </c>
      <c r="BH352">
        <v>-0.26570000000000005</v>
      </c>
    </row>
    <row r="353" spans="1:60" x14ac:dyDescent="0.35">
      <c r="A353" t="s">
        <v>34</v>
      </c>
      <c r="B353" s="1">
        <v>46146.65625</v>
      </c>
      <c r="C353" t="s">
        <v>34</v>
      </c>
      <c r="D353" s="1">
        <v>46147.625</v>
      </c>
      <c r="E353">
        <v>6540</v>
      </c>
      <c r="F353" t="s">
        <v>36</v>
      </c>
      <c r="G353">
        <v>0.05</v>
      </c>
      <c r="H353">
        <v>0.05</v>
      </c>
      <c r="I353">
        <v>0.05</v>
      </c>
      <c r="J353">
        <v>0.05</v>
      </c>
      <c r="K353">
        <v>4</v>
      </c>
      <c r="L353">
        <v>0</v>
      </c>
      <c r="M353">
        <v>0</v>
      </c>
      <c r="N353">
        <v>432</v>
      </c>
      <c r="O353">
        <v>0.1</v>
      </c>
      <c r="P353">
        <v>0</v>
      </c>
      <c r="Q353">
        <v>0</v>
      </c>
      <c r="R353">
        <v>0</v>
      </c>
      <c r="S353">
        <v>0</v>
      </c>
      <c r="T353">
        <v>0.58799999999999997</v>
      </c>
      <c r="U353">
        <v>-8.9999999999999998E-4</v>
      </c>
      <c r="V353">
        <v>0</v>
      </c>
      <c r="W353">
        <v>-4.99E-2</v>
      </c>
      <c r="X353">
        <v>1.17E-2</v>
      </c>
      <c r="Y353">
        <v>-2.0000000000000001E-4</v>
      </c>
      <c r="Z353">
        <v>0</v>
      </c>
      <c r="AA353">
        <v>0</v>
      </c>
      <c r="AB353">
        <v>193</v>
      </c>
      <c r="AC353">
        <v>0.1</v>
      </c>
      <c r="AD353">
        <v>0</v>
      </c>
      <c r="AE353">
        <v>0</v>
      </c>
      <c r="AF353">
        <v>0.05</v>
      </c>
      <c r="AG353">
        <v>37</v>
      </c>
      <c r="AH353">
        <v>0</v>
      </c>
      <c r="AI353">
        <f t="shared" si="0"/>
        <v>-6.955922865013775E-2</v>
      </c>
      <c r="AJ353" s="4">
        <v>6755</v>
      </c>
      <c r="AK353">
        <v>0.05</v>
      </c>
      <c r="AL353">
        <v>-6.9999999999999999E-4</v>
      </c>
      <c r="AM353">
        <v>0.15</v>
      </c>
      <c r="AN353">
        <v>-2.2000000000000001E-3</v>
      </c>
      <c r="AO353">
        <v>0.25</v>
      </c>
      <c r="AP353">
        <v>-4.3E-3</v>
      </c>
      <c r="AS353">
        <v>1.05</v>
      </c>
      <c r="AT353">
        <v>-1.37E-2</v>
      </c>
      <c r="BC353">
        <v>6.4</v>
      </c>
      <c r="BD353">
        <v>-5.1900000000000002E-2</v>
      </c>
      <c r="BE353">
        <v>6.9</v>
      </c>
      <c r="BF353">
        <v>-5.5100000000000003E-2</v>
      </c>
      <c r="BG353">
        <v>14.8</v>
      </c>
      <c r="BH353">
        <v>-0.12790000000000001</v>
      </c>
    </row>
    <row r="354" spans="1:60" x14ac:dyDescent="0.35">
      <c r="A354" t="s">
        <v>34</v>
      </c>
      <c r="B354" s="1">
        <v>46146.65625</v>
      </c>
      <c r="C354" t="s">
        <v>34</v>
      </c>
      <c r="D354" s="1">
        <v>46147.625</v>
      </c>
      <c r="E354">
        <v>6550</v>
      </c>
      <c r="F354" t="s">
        <v>36</v>
      </c>
      <c r="G354">
        <v>0.1</v>
      </c>
      <c r="H354">
        <v>0.15</v>
      </c>
      <c r="I354">
        <v>0.05</v>
      </c>
      <c r="J354">
        <v>0.05</v>
      </c>
      <c r="K354">
        <v>12</v>
      </c>
      <c r="L354">
        <v>0</v>
      </c>
      <c r="M354">
        <v>0</v>
      </c>
      <c r="N354">
        <v>434</v>
      </c>
      <c r="O354">
        <v>0.1</v>
      </c>
      <c r="P354">
        <v>0</v>
      </c>
      <c r="Q354">
        <v>0</v>
      </c>
      <c r="R354">
        <v>0</v>
      </c>
      <c r="S354">
        <v>0</v>
      </c>
      <c r="T354">
        <v>0.57930000000000004</v>
      </c>
      <c r="U354">
        <v>-8.9999999999999998E-4</v>
      </c>
      <c r="V354">
        <v>0</v>
      </c>
      <c r="W354">
        <v>-4.99E-2</v>
      </c>
      <c r="X354">
        <v>1.18E-2</v>
      </c>
      <c r="Y354">
        <v>-2.0000000000000001E-4</v>
      </c>
      <c r="Z354">
        <v>0</v>
      </c>
      <c r="AA354">
        <v>0</v>
      </c>
      <c r="AB354">
        <v>192</v>
      </c>
      <c r="AC354">
        <v>0.1</v>
      </c>
      <c r="AD354">
        <v>0</v>
      </c>
      <c r="AE354">
        <v>0</v>
      </c>
      <c r="AF354">
        <v>8.3299999999999999E-2</v>
      </c>
      <c r="AG354">
        <v>269</v>
      </c>
      <c r="AH354">
        <v>0</v>
      </c>
      <c r="AI354">
        <f t="shared" si="0"/>
        <v>-6.8870523415977991E-2</v>
      </c>
      <c r="AJ354" s="4">
        <v>6760</v>
      </c>
      <c r="AK354">
        <v>0.05</v>
      </c>
      <c r="AL354">
        <v>-6.9999999999999999E-4</v>
      </c>
      <c r="AM354">
        <v>0.15</v>
      </c>
      <c r="AN354">
        <v>-2.3E-3</v>
      </c>
      <c r="AO354">
        <v>0.25</v>
      </c>
      <c r="AP354">
        <v>-4.4000000000000003E-3</v>
      </c>
      <c r="AQ354">
        <v>0.5</v>
      </c>
      <c r="AR354">
        <v>-7.9000000000000008E-3</v>
      </c>
      <c r="AS354">
        <v>1.05</v>
      </c>
      <c r="AT354">
        <v>-1.41E-2</v>
      </c>
      <c r="AU354">
        <v>1.95</v>
      </c>
      <c r="AV354">
        <v>-2.2700000000000001E-2</v>
      </c>
      <c r="AW354">
        <v>3.1</v>
      </c>
      <c r="AX354">
        <v>-3.1099999999999999E-2</v>
      </c>
      <c r="AY354">
        <v>4.3</v>
      </c>
      <c r="AZ354">
        <v>-3.9399999999999998E-2</v>
      </c>
      <c r="BA354">
        <v>5.6</v>
      </c>
      <c r="BB354">
        <v>-4.82E-2</v>
      </c>
      <c r="BC354">
        <v>6.5</v>
      </c>
      <c r="BD354">
        <v>-5.3100000000000001E-2</v>
      </c>
      <c r="BE354">
        <v>7.1</v>
      </c>
      <c r="BF354">
        <v>-5.6399999999999999E-2</v>
      </c>
      <c r="BG354">
        <v>30.550000000000004</v>
      </c>
      <c r="BH354">
        <v>-0.28029999999999999</v>
      </c>
    </row>
    <row r="355" spans="1:60" x14ac:dyDescent="0.35">
      <c r="A355" t="s">
        <v>34</v>
      </c>
      <c r="B355" s="1">
        <v>46146.65625</v>
      </c>
      <c r="C355" t="s">
        <v>34</v>
      </c>
      <c r="D355" s="1">
        <v>46147.625</v>
      </c>
      <c r="E355">
        <v>6560</v>
      </c>
      <c r="F355" t="s">
        <v>36</v>
      </c>
      <c r="G355">
        <v>0.1</v>
      </c>
      <c r="H355">
        <v>0.15</v>
      </c>
      <c r="I355">
        <v>0.05</v>
      </c>
      <c r="J355">
        <v>0.05</v>
      </c>
      <c r="K355">
        <v>34</v>
      </c>
      <c r="L355">
        <v>0</v>
      </c>
      <c r="M355">
        <v>0</v>
      </c>
      <c r="N355">
        <v>420</v>
      </c>
      <c r="O355">
        <v>0.1</v>
      </c>
      <c r="P355">
        <v>0</v>
      </c>
      <c r="Q355">
        <v>0</v>
      </c>
      <c r="R355">
        <v>0</v>
      </c>
      <c r="S355">
        <v>0</v>
      </c>
      <c r="T355">
        <v>0.57069999999999999</v>
      </c>
      <c r="U355">
        <v>-8.9999999999999998E-4</v>
      </c>
      <c r="V355">
        <v>0</v>
      </c>
      <c r="W355">
        <v>-4.99E-2</v>
      </c>
      <c r="X355">
        <v>1.2E-2</v>
      </c>
      <c r="Y355">
        <v>-2.0000000000000001E-4</v>
      </c>
      <c r="Z355">
        <v>0</v>
      </c>
      <c r="AA355">
        <v>0</v>
      </c>
      <c r="AB355">
        <v>188</v>
      </c>
      <c r="AC355">
        <v>0.1</v>
      </c>
      <c r="AD355">
        <v>0</v>
      </c>
      <c r="AE355">
        <v>0</v>
      </c>
      <c r="AF355">
        <v>9.2600000000000002E-2</v>
      </c>
      <c r="AG355">
        <v>150</v>
      </c>
      <c r="AH355">
        <v>0</v>
      </c>
      <c r="AI355">
        <f t="shared" si="0"/>
        <v>-6.8181818181818232E-2</v>
      </c>
      <c r="AJ355" s="4">
        <v>6765</v>
      </c>
      <c r="AK355">
        <v>0.05</v>
      </c>
      <c r="AL355">
        <v>-6.9999999999999999E-4</v>
      </c>
      <c r="AM355">
        <v>0.15</v>
      </c>
      <c r="AN355">
        <v>-2.3E-3</v>
      </c>
      <c r="AO355">
        <v>0.25</v>
      </c>
      <c r="AP355">
        <v>-4.4000000000000003E-3</v>
      </c>
      <c r="AS355">
        <v>1.1000000000000001</v>
      </c>
      <c r="AT355">
        <v>-1.4800000000000001E-2</v>
      </c>
      <c r="BC355">
        <v>6.6</v>
      </c>
      <c r="BD355">
        <v>-5.4399999999999997E-2</v>
      </c>
      <c r="BE355">
        <v>7.2</v>
      </c>
      <c r="BF355">
        <v>-5.7599999999999998E-2</v>
      </c>
      <c r="BG355">
        <v>15.350000000000001</v>
      </c>
      <c r="BH355">
        <v>-0.13419999999999999</v>
      </c>
    </row>
    <row r="356" spans="1:60" x14ac:dyDescent="0.35">
      <c r="A356" t="s">
        <v>34</v>
      </c>
      <c r="B356" s="1">
        <v>46146.65625</v>
      </c>
      <c r="C356" t="s">
        <v>34</v>
      </c>
      <c r="D356" s="1">
        <v>46147.625</v>
      </c>
      <c r="E356">
        <v>6570</v>
      </c>
      <c r="F356" t="s">
        <v>36</v>
      </c>
      <c r="G356">
        <v>7.0000000000000007E-2</v>
      </c>
      <c r="H356">
        <v>7.0000000000000007E-2</v>
      </c>
      <c r="I356">
        <v>7.0000000000000007E-2</v>
      </c>
      <c r="J356">
        <v>7.0000000000000007E-2</v>
      </c>
      <c r="K356">
        <v>2</v>
      </c>
      <c r="L356">
        <v>0</v>
      </c>
      <c r="M356">
        <v>0</v>
      </c>
      <c r="N356">
        <v>450</v>
      </c>
      <c r="O356">
        <v>0.1</v>
      </c>
      <c r="P356">
        <v>0</v>
      </c>
      <c r="Q356">
        <v>0</v>
      </c>
      <c r="R356">
        <v>0</v>
      </c>
      <c r="S356">
        <v>0</v>
      </c>
      <c r="T356">
        <v>0.56210000000000004</v>
      </c>
      <c r="U356">
        <v>-8.9999999999999998E-4</v>
      </c>
      <c r="V356">
        <v>0</v>
      </c>
      <c r="W356">
        <v>-4.99E-2</v>
      </c>
      <c r="X356">
        <v>1.2200000000000001E-2</v>
      </c>
      <c r="Y356">
        <v>-2.0000000000000001E-4</v>
      </c>
      <c r="Z356">
        <v>0</v>
      </c>
      <c r="AA356">
        <v>0</v>
      </c>
      <c r="AB356">
        <v>187</v>
      </c>
      <c r="AC356">
        <v>0.1</v>
      </c>
      <c r="AD356">
        <v>0</v>
      </c>
      <c r="AE356">
        <v>0</v>
      </c>
      <c r="AF356">
        <v>7.0000000000000007E-2</v>
      </c>
      <c r="AG356">
        <v>40</v>
      </c>
      <c r="AH356">
        <v>0</v>
      </c>
      <c r="AI356">
        <f t="shared" si="0"/>
        <v>-6.7493112947658362E-2</v>
      </c>
      <c r="AJ356" s="4">
        <v>6770</v>
      </c>
      <c r="AK356">
        <v>0.05</v>
      </c>
      <c r="AL356">
        <v>-6.9999999999999999E-4</v>
      </c>
      <c r="AM356">
        <v>0.15</v>
      </c>
      <c r="AN356">
        <v>-2.3E-3</v>
      </c>
      <c r="AO356">
        <v>0.25</v>
      </c>
      <c r="AP356">
        <v>-4.4999999999999997E-3</v>
      </c>
      <c r="AQ356">
        <v>0.55000000000000004</v>
      </c>
      <c r="AR356">
        <v>-8.3999999999999995E-3</v>
      </c>
      <c r="AS356">
        <v>1.1000000000000001</v>
      </c>
      <c r="AT356">
        <v>-1.49E-2</v>
      </c>
      <c r="AU356">
        <v>2.1</v>
      </c>
      <c r="AV356">
        <v>-2.4299999999999999E-2</v>
      </c>
      <c r="AW356">
        <v>3.2</v>
      </c>
      <c r="AX356">
        <v>-3.2899999999999999E-2</v>
      </c>
      <c r="AY356">
        <v>4.5</v>
      </c>
      <c r="AZ356">
        <v>-4.1700000000000001E-2</v>
      </c>
      <c r="BA356">
        <v>5.9</v>
      </c>
      <c r="BB356">
        <v>-5.04E-2</v>
      </c>
      <c r="BC356">
        <v>6.8</v>
      </c>
      <c r="BD356">
        <v>-5.57E-2</v>
      </c>
      <c r="BE356">
        <v>7.4</v>
      </c>
      <c r="BF356">
        <v>-5.8900000000000001E-2</v>
      </c>
      <c r="BG356">
        <v>32</v>
      </c>
      <c r="BH356">
        <v>-0.29469999999999996</v>
      </c>
    </row>
    <row r="357" spans="1:60" x14ac:dyDescent="0.35">
      <c r="A357" t="s">
        <v>34</v>
      </c>
      <c r="B357" s="1">
        <v>46146.65625</v>
      </c>
      <c r="C357" t="s">
        <v>34</v>
      </c>
      <c r="D357" s="1">
        <v>46147.625</v>
      </c>
      <c r="E357">
        <v>6575</v>
      </c>
      <c r="F357" t="s">
        <v>36</v>
      </c>
      <c r="G357">
        <v>0.1</v>
      </c>
      <c r="H357">
        <v>0.1</v>
      </c>
      <c r="I357">
        <v>0.05</v>
      </c>
      <c r="J357">
        <v>0.05</v>
      </c>
      <c r="K357">
        <v>5</v>
      </c>
      <c r="L357">
        <v>0</v>
      </c>
      <c r="M357">
        <v>0</v>
      </c>
      <c r="N357">
        <v>468</v>
      </c>
      <c r="O357">
        <v>0.1</v>
      </c>
      <c r="P357">
        <v>0</v>
      </c>
      <c r="Q357">
        <v>0</v>
      </c>
      <c r="R357">
        <v>0</v>
      </c>
      <c r="S357">
        <v>0</v>
      </c>
      <c r="T357">
        <v>0.55779999999999996</v>
      </c>
      <c r="U357">
        <v>-8.9999999999999998E-4</v>
      </c>
      <c r="V357">
        <v>0</v>
      </c>
      <c r="W357">
        <v>-4.99E-2</v>
      </c>
      <c r="X357">
        <v>1.2200000000000001E-2</v>
      </c>
      <c r="Y357">
        <v>-2.0000000000000001E-4</v>
      </c>
      <c r="Z357">
        <v>0</v>
      </c>
      <c r="AA357">
        <v>0</v>
      </c>
      <c r="AB357">
        <v>186</v>
      </c>
      <c r="AC357">
        <v>0.1</v>
      </c>
      <c r="AD357">
        <v>0</v>
      </c>
      <c r="AE357">
        <v>0</v>
      </c>
      <c r="AF357">
        <v>6.8000000000000005E-2</v>
      </c>
      <c r="AG357">
        <v>222</v>
      </c>
      <c r="AH357">
        <v>0</v>
      </c>
      <c r="AI357">
        <f t="shared" si="0"/>
        <v>-6.6804407713498604E-2</v>
      </c>
      <c r="AJ357" s="4">
        <v>6775</v>
      </c>
      <c r="AK357">
        <v>0.05</v>
      </c>
      <c r="AL357">
        <v>-6.9999999999999999E-4</v>
      </c>
      <c r="AM357">
        <v>0.1</v>
      </c>
      <c r="AN357">
        <v>-1.8E-3</v>
      </c>
      <c r="AO357">
        <v>0.25</v>
      </c>
      <c r="AP357">
        <v>-4.4999999999999997E-3</v>
      </c>
      <c r="AQ357">
        <v>0.55000000000000004</v>
      </c>
      <c r="AR357">
        <v>-8.5000000000000006E-3</v>
      </c>
      <c r="AS357">
        <v>1.1499999999999999</v>
      </c>
      <c r="AT357">
        <v>-1.5599999999999999E-2</v>
      </c>
      <c r="AU357">
        <v>2.15</v>
      </c>
      <c r="AV357">
        <v>-2.4899999999999999E-2</v>
      </c>
      <c r="AW357">
        <v>3.3</v>
      </c>
      <c r="AX357">
        <v>-3.4000000000000002E-2</v>
      </c>
      <c r="AY357">
        <v>4.5999999999999996</v>
      </c>
      <c r="AZ357">
        <v>-4.2700000000000002E-2</v>
      </c>
      <c r="BA357">
        <v>6</v>
      </c>
      <c r="BB357">
        <v>-5.1700000000000003E-2</v>
      </c>
      <c r="BC357">
        <v>6.9</v>
      </c>
      <c r="BD357">
        <v>-5.7000000000000002E-2</v>
      </c>
      <c r="BE357">
        <v>7.6</v>
      </c>
      <c r="BF357">
        <v>-6.0199999999999997E-2</v>
      </c>
      <c r="BG357">
        <v>32.65</v>
      </c>
      <c r="BH357">
        <v>-0.30159999999999998</v>
      </c>
    </row>
    <row r="358" spans="1:60" x14ac:dyDescent="0.35">
      <c r="A358" t="s">
        <v>34</v>
      </c>
      <c r="B358" s="1">
        <v>46146.65625</v>
      </c>
      <c r="C358" t="s">
        <v>34</v>
      </c>
      <c r="D358" s="1">
        <v>46147.625</v>
      </c>
      <c r="E358">
        <v>6580</v>
      </c>
      <c r="F358" t="s">
        <v>36</v>
      </c>
      <c r="G358">
        <v>0.05</v>
      </c>
      <c r="H358">
        <v>0.05</v>
      </c>
      <c r="I358">
        <v>0.05</v>
      </c>
      <c r="J358">
        <v>0.05</v>
      </c>
      <c r="K358">
        <v>53</v>
      </c>
      <c r="L358">
        <v>0</v>
      </c>
      <c r="M358">
        <v>0</v>
      </c>
      <c r="N358">
        <v>449</v>
      </c>
      <c r="O358">
        <v>0.1</v>
      </c>
      <c r="P358">
        <v>0</v>
      </c>
      <c r="Q358">
        <v>0</v>
      </c>
      <c r="R358">
        <v>0</v>
      </c>
      <c r="S358">
        <v>0</v>
      </c>
      <c r="T358">
        <v>0.55349999999999999</v>
      </c>
      <c r="U358">
        <v>-8.9999999999999998E-4</v>
      </c>
      <c r="V358">
        <v>0</v>
      </c>
      <c r="W358">
        <v>-4.99E-2</v>
      </c>
      <c r="X358">
        <v>1.23E-2</v>
      </c>
      <c r="Y358">
        <v>-2.0000000000000001E-4</v>
      </c>
      <c r="Z358">
        <v>0</v>
      </c>
      <c r="AA358">
        <v>0</v>
      </c>
      <c r="AB358">
        <v>184</v>
      </c>
      <c r="AC358">
        <v>0.1</v>
      </c>
      <c r="AD358">
        <v>0</v>
      </c>
      <c r="AE358">
        <v>0</v>
      </c>
      <c r="AF358">
        <v>0.05</v>
      </c>
      <c r="AG358">
        <v>177</v>
      </c>
      <c r="AH358">
        <v>0</v>
      </c>
      <c r="AI358">
        <f t="shared" si="0"/>
        <v>-6.6115702479338845E-2</v>
      </c>
      <c r="AJ358" s="4">
        <v>6780</v>
      </c>
      <c r="AK358">
        <v>0.05</v>
      </c>
      <c r="AL358">
        <v>-6.9999999999999999E-4</v>
      </c>
      <c r="AM358">
        <v>0.15</v>
      </c>
      <c r="AN358">
        <v>-2.3E-3</v>
      </c>
      <c r="AO358">
        <v>0.25</v>
      </c>
      <c r="AP358">
        <v>-4.4999999999999997E-3</v>
      </c>
      <c r="AQ358">
        <v>0.55000000000000004</v>
      </c>
      <c r="AR358">
        <v>-8.8999999999999999E-3</v>
      </c>
      <c r="AS358">
        <v>1.2</v>
      </c>
      <c r="AT358">
        <v>-1.5699999999999999E-2</v>
      </c>
      <c r="AU358">
        <v>2.2000000000000002</v>
      </c>
      <c r="AV358">
        <v>-2.5600000000000001E-2</v>
      </c>
      <c r="AW358">
        <v>3.4</v>
      </c>
      <c r="AX358">
        <v>-3.5000000000000003E-2</v>
      </c>
      <c r="AY358">
        <v>4.7</v>
      </c>
      <c r="AZ358">
        <v>-4.3799999999999999E-2</v>
      </c>
      <c r="BA358">
        <v>6.2</v>
      </c>
      <c r="BB358">
        <v>-5.2999999999999999E-2</v>
      </c>
      <c r="BC358">
        <v>7.1</v>
      </c>
      <c r="BD358">
        <v>-5.8299999999999998E-2</v>
      </c>
      <c r="BE358">
        <v>7.7</v>
      </c>
      <c r="BF358">
        <v>-6.1800000000000001E-2</v>
      </c>
      <c r="BG358">
        <v>33.5</v>
      </c>
      <c r="BH358">
        <v>-0.30959999999999999</v>
      </c>
    </row>
    <row r="359" spans="1:60" x14ac:dyDescent="0.35">
      <c r="A359" t="s">
        <v>34</v>
      </c>
      <c r="B359" s="1">
        <v>46146.65625</v>
      </c>
      <c r="C359" t="s">
        <v>34</v>
      </c>
      <c r="D359" s="1">
        <v>46147.625</v>
      </c>
      <c r="E359">
        <v>6590</v>
      </c>
      <c r="F359" t="s">
        <v>36</v>
      </c>
      <c r="G359">
        <v>0.1</v>
      </c>
      <c r="H359">
        <v>0.1</v>
      </c>
      <c r="I359">
        <v>0.05</v>
      </c>
      <c r="J359">
        <v>0.05</v>
      </c>
      <c r="K359">
        <v>5</v>
      </c>
      <c r="L359">
        <v>65</v>
      </c>
      <c r="M359">
        <v>0.05</v>
      </c>
      <c r="N359">
        <v>440</v>
      </c>
      <c r="O359">
        <v>0.1</v>
      </c>
      <c r="P359">
        <v>0</v>
      </c>
      <c r="Q359">
        <v>0</v>
      </c>
      <c r="R359">
        <v>0</v>
      </c>
      <c r="S359">
        <v>0</v>
      </c>
      <c r="T359">
        <v>0.54490000000000005</v>
      </c>
      <c r="U359">
        <v>-1E-3</v>
      </c>
      <c r="V359">
        <v>0</v>
      </c>
      <c r="W359">
        <v>-4.99E-2</v>
      </c>
      <c r="X359">
        <v>1.2500000000000001E-2</v>
      </c>
      <c r="Y359">
        <v>-2.0000000000000001E-4</v>
      </c>
      <c r="Z359">
        <v>0</v>
      </c>
      <c r="AA359">
        <v>0</v>
      </c>
      <c r="AB359">
        <v>181</v>
      </c>
      <c r="AC359">
        <v>0.1</v>
      </c>
      <c r="AD359">
        <v>0</v>
      </c>
      <c r="AE359">
        <v>0</v>
      </c>
      <c r="AF359">
        <v>0.08</v>
      </c>
      <c r="AG359">
        <v>110</v>
      </c>
      <c r="AH359">
        <v>0</v>
      </c>
      <c r="AI359">
        <f t="shared" ref="AI359:AI422" si="3">AJ359/AJ$454-1</f>
        <v>-6.5426997245179086E-2</v>
      </c>
      <c r="AJ359" s="4">
        <v>6785</v>
      </c>
      <c r="AK359">
        <v>0.05</v>
      </c>
      <c r="AL359">
        <v>-6.9999999999999999E-4</v>
      </c>
      <c r="AM359">
        <v>0.15</v>
      </c>
      <c r="AN359">
        <v>-2.3999999999999998E-3</v>
      </c>
      <c r="AO359">
        <v>0.3</v>
      </c>
      <c r="AP359">
        <v>-5.0000000000000001E-3</v>
      </c>
      <c r="AQ359">
        <v>0.6</v>
      </c>
      <c r="AR359">
        <v>-9.2999999999999992E-3</v>
      </c>
      <c r="AS359">
        <v>1.25</v>
      </c>
      <c r="AT359">
        <v>-1.6400000000000001E-2</v>
      </c>
      <c r="BC359">
        <v>7.3</v>
      </c>
      <c r="BD359">
        <v>-5.9799999999999999E-2</v>
      </c>
      <c r="BE359">
        <v>7.9</v>
      </c>
      <c r="BF359">
        <v>-6.3299999999999995E-2</v>
      </c>
      <c r="BG359">
        <v>17.55</v>
      </c>
      <c r="BH359">
        <v>-0.15689999999999998</v>
      </c>
    </row>
    <row r="360" spans="1:60" x14ac:dyDescent="0.35">
      <c r="A360" t="s">
        <v>34</v>
      </c>
      <c r="B360" s="1">
        <v>46146.65625</v>
      </c>
      <c r="C360" t="s">
        <v>34</v>
      </c>
      <c r="D360" s="1">
        <v>46147.625</v>
      </c>
      <c r="E360">
        <v>6600</v>
      </c>
      <c r="F360" t="s">
        <v>36</v>
      </c>
      <c r="G360">
        <v>7.0000000000000007E-2</v>
      </c>
      <c r="H360">
        <v>0.19</v>
      </c>
      <c r="I360">
        <v>0.05</v>
      </c>
      <c r="J360">
        <v>0.05</v>
      </c>
      <c r="K360">
        <v>217</v>
      </c>
      <c r="L360">
        <v>69</v>
      </c>
      <c r="M360">
        <v>0.05</v>
      </c>
      <c r="N360">
        <v>534</v>
      </c>
      <c r="O360">
        <v>0.1</v>
      </c>
      <c r="P360">
        <v>0</v>
      </c>
      <c r="Q360">
        <v>0</v>
      </c>
      <c r="R360">
        <v>0</v>
      </c>
      <c r="S360">
        <v>0</v>
      </c>
      <c r="T360">
        <v>0.55459999999999998</v>
      </c>
      <c r="U360">
        <v>-1.4E-3</v>
      </c>
      <c r="V360">
        <v>0</v>
      </c>
      <c r="W360">
        <v>-7.4800000000000005E-2</v>
      </c>
      <c r="X360">
        <v>1.7299999999999999E-2</v>
      </c>
      <c r="Y360">
        <v>-2.9999999999999997E-4</v>
      </c>
      <c r="Z360">
        <v>1</v>
      </c>
      <c r="AA360">
        <v>0.05</v>
      </c>
      <c r="AB360">
        <v>180</v>
      </c>
      <c r="AC360">
        <v>0.1</v>
      </c>
      <c r="AD360">
        <v>0</v>
      </c>
      <c r="AE360">
        <v>0</v>
      </c>
      <c r="AF360">
        <v>9.2499999999999999E-2</v>
      </c>
      <c r="AG360">
        <v>564</v>
      </c>
      <c r="AH360">
        <v>0</v>
      </c>
      <c r="AI360">
        <f t="shared" si="3"/>
        <v>-6.4738292011019327E-2</v>
      </c>
      <c r="AJ360" s="4">
        <v>6790</v>
      </c>
      <c r="AK360">
        <v>0.05</v>
      </c>
      <c r="AL360">
        <v>-6.9999999999999999E-4</v>
      </c>
      <c r="AM360">
        <v>0.15</v>
      </c>
      <c r="AN360">
        <v>-2.3999999999999998E-3</v>
      </c>
      <c r="AO360">
        <v>0.3</v>
      </c>
      <c r="AP360">
        <v>-5.0000000000000001E-3</v>
      </c>
      <c r="AQ360">
        <v>0.6</v>
      </c>
      <c r="AR360">
        <v>-9.4000000000000004E-3</v>
      </c>
      <c r="AS360">
        <v>1.25</v>
      </c>
      <c r="AT360">
        <v>-1.7100000000000001E-2</v>
      </c>
      <c r="AU360">
        <v>2.35</v>
      </c>
      <c r="AV360">
        <v>-2.7400000000000001E-2</v>
      </c>
      <c r="AW360">
        <v>3.6</v>
      </c>
      <c r="AX360">
        <v>-3.6799999999999999E-2</v>
      </c>
      <c r="AY360">
        <v>4.9000000000000004</v>
      </c>
      <c r="AZ360">
        <v>-4.6199999999999998E-2</v>
      </c>
      <c r="BA360">
        <v>6.5</v>
      </c>
      <c r="BB360">
        <v>-5.57E-2</v>
      </c>
      <c r="BC360">
        <v>7.4</v>
      </c>
      <c r="BD360">
        <v>-6.1199999999999997E-2</v>
      </c>
      <c r="BE360">
        <v>8.1</v>
      </c>
      <c r="BF360">
        <v>-6.4699999999999994E-2</v>
      </c>
      <c r="BG360">
        <v>35.200000000000003</v>
      </c>
      <c r="BH360">
        <v>-0.32659999999999995</v>
      </c>
    </row>
    <row r="361" spans="1:60" x14ac:dyDescent="0.35">
      <c r="A361" t="s">
        <v>34</v>
      </c>
      <c r="B361" s="1">
        <v>46146.65625</v>
      </c>
      <c r="C361" t="s">
        <v>34</v>
      </c>
      <c r="D361" s="1">
        <v>46147.625</v>
      </c>
      <c r="E361">
        <v>6610</v>
      </c>
      <c r="F361" t="s">
        <v>36</v>
      </c>
      <c r="G361">
        <v>0.05</v>
      </c>
      <c r="H361">
        <v>0.15</v>
      </c>
      <c r="I361">
        <v>0.05</v>
      </c>
      <c r="J361">
        <v>0.05</v>
      </c>
      <c r="K361">
        <v>90</v>
      </c>
      <c r="L361">
        <v>73</v>
      </c>
      <c r="M361">
        <v>0.05</v>
      </c>
      <c r="N361">
        <v>505</v>
      </c>
      <c r="O361">
        <v>0.1</v>
      </c>
      <c r="P361">
        <v>0</v>
      </c>
      <c r="Q361">
        <v>0</v>
      </c>
      <c r="R361">
        <v>0</v>
      </c>
      <c r="S361">
        <v>0</v>
      </c>
      <c r="T361">
        <v>0.54569999999999996</v>
      </c>
      <c r="U361">
        <v>-1.4E-3</v>
      </c>
      <c r="V361">
        <v>0</v>
      </c>
      <c r="W361">
        <v>-7.4800000000000005E-2</v>
      </c>
      <c r="X361">
        <v>1.7500000000000002E-2</v>
      </c>
      <c r="Y361">
        <v>-2.9999999999999997E-4</v>
      </c>
      <c r="Z361">
        <v>1</v>
      </c>
      <c r="AA361">
        <v>0.05</v>
      </c>
      <c r="AB361">
        <v>187</v>
      </c>
      <c r="AC361">
        <v>0.1</v>
      </c>
      <c r="AD361">
        <v>0</v>
      </c>
      <c r="AE361">
        <v>0</v>
      </c>
      <c r="AF361">
        <v>5.2200000000000003E-2</v>
      </c>
      <c r="AG361">
        <v>287</v>
      </c>
      <c r="AH361">
        <v>0</v>
      </c>
      <c r="AI361">
        <f t="shared" si="3"/>
        <v>-6.4049586776859457E-2</v>
      </c>
      <c r="AJ361" s="4">
        <v>6795</v>
      </c>
      <c r="AK361">
        <v>0.05</v>
      </c>
      <c r="AL361">
        <v>-8.0000000000000004E-4</v>
      </c>
      <c r="AM361">
        <v>0.15</v>
      </c>
      <c r="AN361">
        <v>-2.3999999999999998E-3</v>
      </c>
      <c r="AO361">
        <v>0.3</v>
      </c>
      <c r="AP361">
        <v>-5.1000000000000004E-3</v>
      </c>
      <c r="AQ361">
        <v>0.65</v>
      </c>
      <c r="AR361">
        <v>-1.0200000000000001E-2</v>
      </c>
      <c r="AS361">
        <v>1.3</v>
      </c>
      <c r="AT361">
        <v>-1.7500000000000002E-2</v>
      </c>
      <c r="BC361">
        <v>7.6</v>
      </c>
      <c r="BD361">
        <v>-6.25E-2</v>
      </c>
      <c r="BE361">
        <v>8.3000000000000007</v>
      </c>
      <c r="BF361">
        <v>-6.6299999999999998E-2</v>
      </c>
      <c r="BG361">
        <v>18.350000000000001</v>
      </c>
      <c r="BH361">
        <v>-0.1648</v>
      </c>
    </row>
    <row r="362" spans="1:60" x14ac:dyDescent="0.35">
      <c r="A362" t="s">
        <v>34</v>
      </c>
      <c r="B362" s="1">
        <v>46146.65625</v>
      </c>
      <c r="C362" t="s">
        <v>34</v>
      </c>
      <c r="D362" s="1">
        <v>46147.625</v>
      </c>
      <c r="E362">
        <v>6620</v>
      </c>
      <c r="F362" t="s">
        <v>36</v>
      </c>
      <c r="G362">
        <v>0.2</v>
      </c>
      <c r="H362">
        <v>0.2</v>
      </c>
      <c r="I362">
        <v>0.05</v>
      </c>
      <c r="J362">
        <v>0.05</v>
      </c>
      <c r="K362">
        <v>173</v>
      </c>
      <c r="L362">
        <v>78</v>
      </c>
      <c r="M362">
        <v>0.05</v>
      </c>
      <c r="N362">
        <v>499</v>
      </c>
      <c r="O362">
        <v>0.1</v>
      </c>
      <c r="P362">
        <v>0</v>
      </c>
      <c r="Q362">
        <v>0</v>
      </c>
      <c r="R362">
        <v>0</v>
      </c>
      <c r="S362">
        <v>0</v>
      </c>
      <c r="T362">
        <v>0.53690000000000004</v>
      </c>
      <c r="U362">
        <v>-1.4E-3</v>
      </c>
      <c r="V362">
        <v>0</v>
      </c>
      <c r="W362">
        <v>-7.4800000000000005E-2</v>
      </c>
      <c r="X362">
        <v>1.78E-2</v>
      </c>
      <c r="Y362">
        <v>-2.9999999999999997E-4</v>
      </c>
      <c r="Z362">
        <v>1</v>
      </c>
      <c r="AA362">
        <v>0.05</v>
      </c>
      <c r="AB362">
        <v>197</v>
      </c>
      <c r="AC362">
        <v>0.1</v>
      </c>
      <c r="AD362">
        <v>0</v>
      </c>
      <c r="AE362">
        <v>0</v>
      </c>
      <c r="AF362">
        <v>6.8500000000000005E-2</v>
      </c>
      <c r="AG362">
        <v>16</v>
      </c>
      <c r="AH362">
        <v>0</v>
      </c>
      <c r="AI362">
        <f t="shared" si="3"/>
        <v>-6.3360881542699699E-2</v>
      </c>
      <c r="AJ362" s="4">
        <v>6800</v>
      </c>
      <c r="AK362">
        <v>0.05</v>
      </c>
      <c r="AL362">
        <v>-8.0000000000000004E-4</v>
      </c>
      <c r="AM362">
        <v>0.15</v>
      </c>
      <c r="AN362">
        <v>-2.3999999999999998E-3</v>
      </c>
      <c r="AO362">
        <v>0.3</v>
      </c>
      <c r="AP362">
        <v>-5.5999999999999999E-3</v>
      </c>
      <c r="AQ362">
        <v>0.65</v>
      </c>
      <c r="AR362">
        <v>-1.03E-2</v>
      </c>
      <c r="AS362">
        <v>1.3</v>
      </c>
      <c r="AT362">
        <v>-1.7999999999999999E-2</v>
      </c>
      <c r="AU362">
        <v>2.5</v>
      </c>
      <c r="AV362">
        <v>-2.92E-2</v>
      </c>
      <c r="AW362">
        <v>3.8</v>
      </c>
      <c r="AX362">
        <v>-3.9E-2</v>
      </c>
      <c r="AY362">
        <v>5.2</v>
      </c>
      <c r="AZ362">
        <v>-4.87E-2</v>
      </c>
      <c r="BA362">
        <v>6.8</v>
      </c>
      <c r="BB362">
        <v>-5.8700000000000002E-2</v>
      </c>
      <c r="BC362">
        <v>7.8</v>
      </c>
      <c r="BD362">
        <v>-6.4100000000000004E-2</v>
      </c>
      <c r="BE362">
        <v>8.5</v>
      </c>
      <c r="BF362">
        <v>-6.7900000000000002E-2</v>
      </c>
      <c r="BG362">
        <v>37.049999999999997</v>
      </c>
      <c r="BH362">
        <v>-0.34470000000000001</v>
      </c>
    </row>
    <row r="363" spans="1:60" x14ac:dyDescent="0.35">
      <c r="A363" t="s">
        <v>34</v>
      </c>
      <c r="B363" s="1">
        <v>46146.65625</v>
      </c>
      <c r="C363" t="s">
        <v>34</v>
      </c>
      <c r="D363" s="1">
        <v>46147.625</v>
      </c>
      <c r="E363">
        <v>6625</v>
      </c>
      <c r="F363" t="s">
        <v>36</v>
      </c>
      <c r="G363">
        <v>0.1</v>
      </c>
      <c r="H363">
        <v>0.15</v>
      </c>
      <c r="I363">
        <v>0.05</v>
      </c>
      <c r="J363">
        <v>0.05</v>
      </c>
      <c r="K363">
        <v>96</v>
      </c>
      <c r="L363">
        <v>48</v>
      </c>
      <c r="M363">
        <v>0.05</v>
      </c>
      <c r="N363">
        <v>513</v>
      </c>
      <c r="O363">
        <v>0.1</v>
      </c>
      <c r="P363">
        <v>0</v>
      </c>
      <c r="Q363">
        <v>0</v>
      </c>
      <c r="R363">
        <v>0</v>
      </c>
      <c r="S363">
        <v>0</v>
      </c>
      <c r="T363">
        <v>0.53220000000000001</v>
      </c>
      <c r="U363">
        <v>-1.4E-3</v>
      </c>
      <c r="V363">
        <v>0</v>
      </c>
      <c r="W363">
        <v>-7.4800000000000005E-2</v>
      </c>
      <c r="X363">
        <v>1.7899999999999999E-2</v>
      </c>
      <c r="Y363">
        <v>-2.9999999999999997E-4</v>
      </c>
      <c r="Z363">
        <v>1</v>
      </c>
      <c r="AA363">
        <v>0.05</v>
      </c>
      <c r="AB363">
        <v>196</v>
      </c>
      <c r="AC363">
        <v>0.1</v>
      </c>
      <c r="AD363">
        <v>0</v>
      </c>
      <c r="AE363">
        <v>0</v>
      </c>
      <c r="AF363">
        <v>7.0900000000000005E-2</v>
      </c>
      <c r="AG363">
        <v>152</v>
      </c>
      <c r="AH363">
        <v>0</v>
      </c>
      <c r="AI363">
        <f t="shared" si="3"/>
        <v>-6.267217630853994E-2</v>
      </c>
      <c r="AJ363" s="4">
        <v>6805</v>
      </c>
      <c r="AK363">
        <v>0.05</v>
      </c>
      <c r="AL363">
        <v>-8.0000000000000004E-4</v>
      </c>
      <c r="AM363">
        <v>0.15</v>
      </c>
      <c r="AN363">
        <v>-3.0000000000000001E-3</v>
      </c>
      <c r="AO363">
        <v>0.3</v>
      </c>
      <c r="AP363">
        <v>-5.5999999999999999E-3</v>
      </c>
      <c r="AQ363">
        <v>0.65</v>
      </c>
      <c r="AR363">
        <v>-1.0699999999999999E-2</v>
      </c>
      <c r="AS363">
        <v>1.35</v>
      </c>
      <c r="AT363">
        <v>-1.8700000000000001E-2</v>
      </c>
      <c r="BC363">
        <v>8</v>
      </c>
      <c r="BD363">
        <v>-6.5799999999999997E-2</v>
      </c>
      <c r="BE363">
        <v>8.6999999999999993</v>
      </c>
      <c r="BF363">
        <v>-6.9500000000000006E-2</v>
      </c>
      <c r="BG363">
        <v>19.2</v>
      </c>
      <c r="BH363">
        <v>-0.1741</v>
      </c>
    </row>
    <row r="364" spans="1:60" x14ac:dyDescent="0.35">
      <c r="A364" t="s">
        <v>34</v>
      </c>
      <c r="B364" s="1">
        <v>46146.65625</v>
      </c>
      <c r="C364" t="s">
        <v>34</v>
      </c>
      <c r="D364" s="1">
        <v>46147.625</v>
      </c>
      <c r="E364">
        <v>6630</v>
      </c>
      <c r="F364" t="s">
        <v>36</v>
      </c>
      <c r="G364">
        <v>0.1</v>
      </c>
      <c r="H364">
        <v>0.15</v>
      </c>
      <c r="I364">
        <v>0.05</v>
      </c>
      <c r="J364">
        <v>7.0000000000000007E-2</v>
      </c>
      <c r="K364">
        <v>25</v>
      </c>
      <c r="L364">
        <v>50</v>
      </c>
      <c r="M364">
        <v>0.05</v>
      </c>
      <c r="N364">
        <v>491</v>
      </c>
      <c r="O364">
        <v>0.1</v>
      </c>
      <c r="P364">
        <v>0</v>
      </c>
      <c r="Q364">
        <v>0</v>
      </c>
      <c r="R364">
        <v>0</v>
      </c>
      <c r="S364">
        <v>0</v>
      </c>
      <c r="T364">
        <v>0.5282</v>
      </c>
      <c r="U364">
        <v>-1.4E-3</v>
      </c>
      <c r="V364">
        <v>0</v>
      </c>
      <c r="W364">
        <v>-7.4800000000000005E-2</v>
      </c>
      <c r="X364">
        <v>1.8100000000000002E-2</v>
      </c>
      <c r="Y364">
        <v>-2.9999999999999997E-4</v>
      </c>
      <c r="Z364">
        <v>0</v>
      </c>
      <c r="AA364">
        <v>0</v>
      </c>
      <c r="AB364">
        <v>194</v>
      </c>
      <c r="AC364">
        <v>0.1</v>
      </c>
      <c r="AD364">
        <v>0</v>
      </c>
      <c r="AE364">
        <v>0</v>
      </c>
      <c r="AF364">
        <v>6.88E-2</v>
      </c>
      <c r="AG364">
        <v>2860</v>
      </c>
      <c r="AH364">
        <v>0</v>
      </c>
      <c r="AI364">
        <f t="shared" si="3"/>
        <v>-6.1983471074380181E-2</v>
      </c>
      <c r="AJ364" s="4">
        <v>6810</v>
      </c>
      <c r="AK364">
        <v>0.05</v>
      </c>
      <c r="AL364">
        <v>-8.0000000000000004E-4</v>
      </c>
      <c r="AM364">
        <v>0.15</v>
      </c>
      <c r="AN364">
        <v>-3.0000000000000001E-3</v>
      </c>
      <c r="AO364">
        <v>0.3</v>
      </c>
      <c r="AP364">
        <v>-5.7000000000000002E-3</v>
      </c>
      <c r="AQ364">
        <v>0.7</v>
      </c>
      <c r="AR364">
        <v>-1.11E-2</v>
      </c>
      <c r="AS364">
        <v>1.4</v>
      </c>
      <c r="AT364">
        <v>-1.9400000000000001E-2</v>
      </c>
      <c r="AU364">
        <v>2.65</v>
      </c>
      <c r="AV364">
        <v>-3.1E-2</v>
      </c>
      <c r="AW364">
        <v>4</v>
      </c>
      <c r="AX364">
        <v>-4.1500000000000002E-2</v>
      </c>
      <c r="AY364">
        <v>5.5</v>
      </c>
      <c r="AZ364">
        <v>-5.1499999999999997E-2</v>
      </c>
      <c r="BA364">
        <v>7.2</v>
      </c>
      <c r="BB364">
        <v>-6.1800000000000001E-2</v>
      </c>
      <c r="BC364">
        <v>8.1999999999999993</v>
      </c>
      <c r="BD364">
        <v>-6.7400000000000002E-2</v>
      </c>
      <c r="BE364">
        <v>8.9</v>
      </c>
      <c r="BF364">
        <v>-7.1400000000000005E-2</v>
      </c>
      <c r="BG364">
        <v>39.049999999999997</v>
      </c>
      <c r="BH364">
        <v>-0.36460000000000004</v>
      </c>
    </row>
    <row r="365" spans="1:60" x14ac:dyDescent="0.35">
      <c r="A365" t="s">
        <v>34</v>
      </c>
      <c r="B365" s="1">
        <v>46146.65625</v>
      </c>
      <c r="C365" t="s">
        <v>34</v>
      </c>
      <c r="D365" s="1">
        <v>46147.625</v>
      </c>
      <c r="E365">
        <v>6640</v>
      </c>
      <c r="F365" t="s">
        <v>36</v>
      </c>
      <c r="G365">
        <v>0.05</v>
      </c>
      <c r="H365">
        <v>0.05</v>
      </c>
      <c r="I365">
        <v>0.05</v>
      </c>
      <c r="J365">
        <v>0.05</v>
      </c>
      <c r="K365">
        <v>62</v>
      </c>
      <c r="L365">
        <v>51</v>
      </c>
      <c r="M365">
        <v>0.05</v>
      </c>
      <c r="N365">
        <v>486</v>
      </c>
      <c r="O365">
        <v>0.1</v>
      </c>
      <c r="P365">
        <v>0</v>
      </c>
      <c r="Q365">
        <v>0</v>
      </c>
      <c r="R365">
        <v>0</v>
      </c>
      <c r="S365">
        <v>0</v>
      </c>
      <c r="T365">
        <v>0.51890000000000003</v>
      </c>
      <c r="U365">
        <v>-1.4E-3</v>
      </c>
      <c r="V365">
        <v>0</v>
      </c>
      <c r="W365">
        <v>-7.4800000000000005E-2</v>
      </c>
      <c r="X365">
        <v>1.84E-2</v>
      </c>
      <c r="Y365">
        <v>-2.9999999999999997E-4</v>
      </c>
      <c r="Z365">
        <v>0</v>
      </c>
      <c r="AA365">
        <v>0</v>
      </c>
      <c r="AB365">
        <v>191</v>
      </c>
      <c r="AC365">
        <v>0.1</v>
      </c>
      <c r="AD365">
        <v>0</v>
      </c>
      <c r="AE365">
        <v>0</v>
      </c>
      <c r="AF365">
        <v>0.05</v>
      </c>
      <c r="AG365">
        <v>54</v>
      </c>
      <c r="AH365">
        <v>0</v>
      </c>
      <c r="AI365">
        <f t="shared" si="3"/>
        <v>-6.1294765840220422E-2</v>
      </c>
      <c r="AJ365" s="4">
        <v>6815</v>
      </c>
      <c r="AK365">
        <v>0.05</v>
      </c>
      <c r="AL365">
        <v>-8.0000000000000004E-4</v>
      </c>
      <c r="AM365">
        <v>0.15</v>
      </c>
      <c r="AN365">
        <v>-3.0000000000000001E-3</v>
      </c>
      <c r="AO365">
        <v>0.3</v>
      </c>
      <c r="AP365">
        <v>-5.7000000000000002E-3</v>
      </c>
      <c r="AQ365">
        <v>0.7</v>
      </c>
      <c r="AR365">
        <v>-1.1299999999999999E-2</v>
      </c>
      <c r="AS365">
        <v>1.45</v>
      </c>
      <c r="AT365">
        <v>-2.0199999999999999E-2</v>
      </c>
      <c r="BC365">
        <v>8.4</v>
      </c>
      <c r="BD365">
        <v>-6.9099999999999995E-2</v>
      </c>
      <c r="BE365">
        <v>9.1</v>
      </c>
      <c r="BF365">
        <v>-7.2999999999999995E-2</v>
      </c>
      <c r="BG365">
        <v>20.149999999999999</v>
      </c>
      <c r="BH365">
        <v>-0.18309999999999998</v>
      </c>
    </row>
    <row r="366" spans="1:60" x14ac:dyDescent="0.35">
      <c r="A366" t="s">
        <v>34</v>
      </c>
      <c r="B366" s="1">
        <v>46146.65625</v>
      </c>
      <c r="C366" t="s">
        <v>34</v>
      </c>
      <c r="D366" s="1">
        <v>46147.625</v>
      </c>
      <c r="E366">
        <v>6650</v>
      </c>
      <c r="F366" t="s">
        <v>36</v>
      </c>
      <c r="G366">
        <v>0.1</v>
      </c>
      <c r="H366">
        <v>0.2</v>
      </c>
      <c r="I366">
        <v>0.05</v>
      </c>
      <c r="J366">
        <v>0.05</v>
      </c>
      <c r="K366">
        <v>158</v>
      </c>
      <c r="L366">
        <v>47</v>
      </c>
      <c r="M366">
        <v>0.05</v>
      </c>
      <c r="N366">
        <v>427</v>
      </c>
      <c r="O366">
        <v>0.1</v>
      </c>
      <c r="P366">
        <v>0</v>
      </c>
      <c r="Q366">
        <v>0</v>
      </c>
      <c r="R366">
        <v>0</v>
      </c>
      <c r="S366">
        <v>0</v>
      </c>
      <c r="T366">
        <v>0.51</v>
      </c>
      <c r="U366">
        <v>-1.5E-3</v>
      </c>
      <c r="V366">
        <v>0</v>
      </c>
      <c r="W366">
        <v>-7.4800000000000005E-2</v>
      </c>
      <c r="X366">
        <v>1.8700000000000001E-2</v>
      </c>
      <c r="Y366">
        <v>-2.9999999999999997E-4</v>
      </c>
      <c r="Z366">
        <v>0</v>
      </c>
      <c r="AA366">
        <v>0</v>
      </c>
      <c r="AB366">
        <v>187</v>
      </c>
      <c r="AC366">
        <v>0.1</v>
      </c>
      <c r="AD366">
        <v>0</v>
      </c>
      <c r="AE366">
        <v>0</v>
      </c>
      <c r="AF366">
        <v>0.11749999999999999</v>
      </c>
      <c r="AG366">
        <v>419</v>
      </c>
      <c r="AH366">
        <v>0</v>
      </c>
      <c r="AI366">
        <f t="shared" si="3"/>
        <v>-6.0606060606060552E-2</v>
      </c>
      <c r="AJ366" s="4">
        <v>6820</v>
      </c>
      <c r="AK366">
        <v>0.05</v>
      </c>
      <c r="AL366">
        <v>-8.0000000000000004E-4</v>
      </c>
      <c r="AM366">
        <v>0.15</v>
      </c>
      <c r="AN366">
        <v>-3.0999999999999999E-3</v>
      </c>
      <c r="AO366">
        <v>0.3</v>
      </c>
      <c r="AP366">
        <v>-5.7999999999999996E-3</v>
      </c>
      <c r="AQ366">
        <v>0.75</v>
      </c>
      <c r="AR366">
        <v>-1.2E-2</v>
      </c>
      <c r="AS366">
        <v>1.5</v>
      </c>
      <c r="AT366">
        <v>-2.0899999999999998E-2</v>
      </c>
      <c r="AU366">
        <v>2.8</v>
      </c>
      <c r="AV366">
        <v>-3.3000000000000002E-2</v>
      </c>
      <c r="AW366">
        <v>4.3</v>
      </c>
      <c r="AX366">
        <v>-4.4200000000000003E-2</v>
      </c>
      <c r="AY366">
        <v>5.8</v>
      </c>
      <c r="AZ366">
        <v>-5.4399999999999997E-2</v>
      </c>
      <c r="BA366">
        <v>7.6</v>
      </c>
      <c r="BB366">
        <v>-6.4899999999999999E-2</v>
      </c>
      <c r="BC366">
        <v>8.6</v>
      </c>
      <c r="BD366">
        <v>-7.1099999999999997E-2</v>
      </c>
      <c r="BE366">
        <v>9.3000000000000007</v>
      </c>
      <c r="BF366">
        <v>-7.4700000000000003E-2</v>
      </c>
      <c r="BG366">
        <v>41.150000000000006</v>
      </c>
      <c r="BH366">
        <v>-0.38489999999999996</v>
      </c>
    </row>
    <row r="367" spans="1:60" x14ac:dyDescent="0.35">
      <c r="A367" t="s">
        <v>34</v>
      </c>
      <c r="B367" s="1">
        <v>46146.65625</v>
      </c>
      <c r="C367" t="s">
        <v>34</v>
      </c>
      <c r="D367" s="1">
        <v>46147.625</v>
      </c>
      <c r="E367">
        <v>6660</v>
      </c>
      <c r="F367" t="s">
        <v>36</v>
      </c>
      <c r="G367">
        <v>0.1</v>
      </c>
      <c r="H367">
        <v>0.1</v>
      </c>
      <c r="I367">
        <v>0.05</v>
      </c>
      <c r="J367">
        <v>0.05</v>
      </c>
      <c r="K367">
        <v>12</v>
      </c>
      <c r="L367">
        <v>48</v>
      </c>
      <c r="M367">
        <v>0.05</v>
      </c>
      <c r="N367">
        <v>404</v>
      </c>
      <c r="O367">
        <v>0.1</v>
      </c>
      <c r="P367">
        <v>0</v>
      </c>
      <c r="Q367">
        <v>0</v>
      </c>
      <c r="R367">
        <v>0</v>
      </c>
      <c r="S367">
        <v>0</v>
      </c>
      <c r="T367">
        <v>0.50170000000000003</v>
      </c>
      <c r="U367">
        <v>-1.5E-3</v>
      </c>
      <c r="V367">
        <v>0</v>
      </c>
      <c r="W367">
        <v>-7.4800000000000005E-2</v>
      </c>
      <c r="X367">
        <v>1.89E-2</v>
      </c>
      <c r="Y367">
        <v>-2.9999999999999997E-4</v>
      </c>
      <c r="Z367">
        <v>0</v>
      </c>
      <c r="AA367">
        <v>0</v>
      </c>
      <c r="AB367">
        <v>184</v>
      </c>
      <c r="AC367">
        <v>0.1</v>
      </c>
      <c r="AD367">
        <v>0</v>
      </c>
      <c r="AE367">
        <v>0</v>
      </c>
      <c r="AF367">
        <v>7.4999999999999997E-2</v>
      </c>
      <c r="AG367">
        <v>744</v>
      </c>
      <c r="AH367">
        <v>0</v>
      </c>
      <c r="AI367">
        <f t="shared" si="3"/>
        <v>-5.9917355371900793E-2</v>
      </c>
      <c r="AJ367" s="4">
        <v>6825</v>
      </c>
      <c r="AK367">
        <v>0.05</v>
      </c>
      <c r="AL367">
        <v>-8.0000000000000004E-4</v>
      </c>
      <c r="AM367">
        <v>0.15</v>
      </c>
      <c r="AN367">
        <v>-3.0999999999999999E-3</v>
      </c>
      <c r="AO367">
        <v>0.3</v>
      </c>
      <c r="AP367">
        <v>-5.8999999999999999E-3</v>
      </c>
      <c r="AQ367">
        <v>0.75</v>
      </c>
      <c r="AR367">
        <v>-1.2200000000000001E-2</v>
      </c>
      <c r="AS367">
        <v>1.55</v>
      </c>
      <c r="AT367">
        <v>-2.1399999999999999E-2</v>
      </c>
      <c r="AU367">
        <v>2.9</v>
      </c>
      <c r="AV367">
        <v>-3.4200000000000001E-2</v>
      </c>
      <c r="AW367">
        <v>4.4000000000000004</v>
      </c>
      <c r="AX367">
        <v>-4.53E-2</v>
      </c>
      <c r="AY367">
        <v>6</v>
      </c>
      <c r="AZ367">
        <v>-5.62E-2</v>
      </c>
      <c r="BA367">
        <v>7.8</v>
      </c>
      <c r="BB367">
        <v>-6.6600000000000006E-2</v>
      </c>
      <c r="BC367">
        <v>8.8000000000000007</v>
      </c>
      <c r="BD367">
        <v>-7.2499999999999995E-2</v>
      </c>
      <c r="BE367">
        <v>9.6</v>
      </c>
      <c r="BF367">
        <v>-7.6899999999999996E-2</v>
      </c>
      <c r="BG367">
        <v>42.300000000000004</v>
      </c>
      <c r="BH367">
        <v>-0.39510000000000001</v>
      </c>
    </row>
    <row r="368" spans="1:60" x14ac:dyDescent="0.35">
      <c r="A368" t="s">
        <v>34</v>
      </c>
      <c r="B368" s="1">
        <v>46146.65625</v>
      </c>
      <c r="C368" t="s">
        <v>34</v>
      </c>
      <c r="D368" s="1">
        <v>46147.625</v>
      </c>
      <c r="E368">
        <v>6670</v>
      </c>
      <c r="F368" t="s">
        <v>36</v>
      </c>
      <c r="G368">
        <v>0.1</v>
      </c>
      <c r="H368">
        <v>0.15</v>
      </c>
      <c r="I368">
        <v>0.05</v>
      </c>
      <c r="J368">
        <v>0.05</v>
      </c>
      <c r="K368">
        <v>43</v>
      </c>
      <c r="L368">
        <v>140</v>
      </c>
      <c r="M368">
        <v>0.05</v>
      </c>
      <c r="N368">
        <v>390</v>
      </c>
      <c r="O368">
        <v>0.1</v>
      </c>
      <c r="P368">
        <v>0</v>
      </c>
      <c r="Q368">
        <v>0</v>
      </c>
      <c r="R368">
        <v>0</v>
      </c>
      <c r="S368">
        <v>0</v>
      </c>
      <c r="T368">
        <v>0.4929</v>
      </c>
      <c r="U368">
        <v>-1.5E-3</v>
      </c>
      <c r="V368">
        <v>0</v>
      </c>
      <c r="W368">
        <v>-7.4800000000000005E-2</v>
      </c>
      <c r="X368">
        <v>1.9300000000000001E-2</v>
      </c>
      <c r="Y368">
        <v>-2.9999999999999997E-4</v>
      </c>
      <c r="Z368">
        <v>19</v>
      </c>
      <c r="AA368">
        <v>0.05</v>
      </c>
      <c r="AB368">
        <v>139</v>
      </c>
      <c r="AC368">
        <v>0.1</v>
      </c>
      <c r="AD368">
        <v>0</v>
      </c>
      <c r="AE368">
        <v>0</v>
      </c>
      <c r="AF368">
        <v>0.12089999999999999</v>
      </c>
      <c r="AG368">
        <v>41</v>
      </c>
      <c r="AH368">
        <v>0</v>
      </c>
      <c r="AI368">
        <f t="shared" si="3"/>
        <v>-5.9228650137741035E-2</v>
      </c>
      <c r="AJ368" s="4">
        <v>6830</v>
      </c>
      <c r="AK368">
        <v>0.05</v>
      </c>
      <c r="AL368">
        <v>-8.0000000000000004E-4</v>
      </c>
      <c r="AM368">
        <v>0.15</v>
      </c>
      <c r="AN368">
        <v>-3.0999999999999999E-3</v>
      </c>
      <c r="AO368">
        <v>0.35</v>
      </c>
      <c r="AP368">
        <v>-6.7999999999999996E-3</v>
      </c>
      <c r="AQ368">
        <v>0.8</v>
      </c>
      <c r="AR368">
        <v>-1.26E-2</v>
      </c>
      <c r="AS368">
        <v>1.6</v>
      </c>
      <c r="AT368">
        <v>-2.24E-2</v>
      </c>
      <c r="AU368">
        <v>3</v>
      </c>
      <c r="AV368">
        <v>-3.5400000000000001E-2</v>
      </c>
      <c r="AW368">
        <v>4.5999999999999996</v>
      </c>
      <c r="AX368">
        <v>-4.6899999999999997E-2</v>
      </c>
      <c r="AY368">
        <v>6.1</v>
      </c>
      <c r="AZ368">
        <v>-5.7700000000000001E-2</v>
      </c>
      <c r="BA368">
        <v>8</v>
      </c>
      <c r="BB368">
        <v>-6.8699999999999997E-2</v>
      </c>
      <c r="BC368">
        <v>9</v>
      </c>
      <c r="BD368">
        <v>-7.4300000000000005E-2</v>
      </c>
      <c r="BE368">
        <v>9.8000000000000007</v>
      </c>
      <c r="BF368">
        <v>-7.8600000000000003E-2</v>
      </c>
      <c r="BG368">
        <v>43.45</v>
      </c>
      <c r="BH368">
        <v>-0.4073</v>
      </c>
    </row>
    <row r="369" spans="1:60" x14ac:dyDescent="0.35">
      <c r="A369" t="s">
        <v>34</v>
      </c>
      <c r="B369" s="1">
        <v>46146.65625</v>
      </c>
      <c r="C369" t="s">
        <v>34</v>
      </c>
      <c r="D369" s="1">
        <v>46147.625</v>
      </c>
      <c r="E369">
        <v>6675</v>
      </c>
      <c r="F369" t="s">
        <v>36</v>
      </c>
      <c r="G369">
        <v>0.1</v>
      </c>
      <c r="H369">
        <v>0.15</v>
      </c>
      <c r="I369">
        <v>0.05</v>
      </c>
      <c r="J369">
        <v>0.15</v>
      </c>
      <c r="K369">
        <v>63</v>
      </c>
      <c r="L369">
        <v>135</v>
      </c>
      <c r="M369">
        <v>0.05</v>
      </c>
      <c r="N369">
        <v>369</v>
      </c>
      <c r="O369">
        <v>0.1</v>
      </c>
      <c r="P369">
        <v>0</v>
      </c>
      <c r="Q369">
        <v>0</v>
      </c>
      <c r="R369">
        <v>0</v>
      </c>
      <c r="S369">
        <v>0</v>
      </c>
      <c r="T369">
        <v>0.48799999999999999</v>
      </c>
      <c r="U369">
        <v>-1.5E-3</v>
      </c>
      <c r="V369">
        <v>0</v>
      </c>
      <c r="W369">
        <v>-7.4800000000000005E-2</v>
      </c>
      <c r="X369">
        <v>1.9400000000000001E-2</v>
      </c>
      <c r="Y369">
        <v>-2.9999999999999997E-4</v>
      </c>
      <c r="Z369">
        <v>1</v>
      </c>
      <c r="AA369">
        <v>0.05</v>
      </c>
      <c r="AB369">
        <v>138</v>
      </c>
      <c r="AC369">
        <v>0.1</v>
      </c>
      <c r="AD369">
        <v>0</v>
      </c>
      <c r="AE369">
        <v>0</v>
      </c>
      <c r="AF369">
        <v>0.13020000000000001</v>
      </c>
      <c r="AG369">
        <v>617</v>
      </c>
      <c r="AH369">
        <v>0</v>
      </c>
      <c r="AI369">
        <f t="shared" si="3"/>
        <v>-5.8539944903581276E-2</v>
      </c>
      <c r="AJ369" s="4">
        <v>6835</v>
      </c>
      <c r="AK369">
        <v>0.05</v>
      </c>
      <c r="AL369">
        <v>-8.0000000000000004E-4</v>
      </c>
      <c r="AM369">
        <v>0.15</v>
      </c>
      <c r="AN369">
        <v>-3.2000000000000002E-3</v>
      </c>
      <c r="AO369">
        <v>0.35</v>
      </c>
      <c r="AP369">
        <v>-6.7999999999999996E-3</v>
      </c>
      <c r="AQ369">
        <v>0.8</v>
      </c>
      <c r="AR369">
        <v>-1.34E-2</v>
      </c>
      <c r="AS369">
        <v>1.65</v>
      </c>
      <c r="AT369">
        <v>-2.3199999999999998E-2</v>
      </c>
      <c r="BC369">
        <v>9.1999999999999993</v>
      </c>
      <c r="BD369">
        <v>-7.6200000000000004E-2</v>
      </c>
      <c r="BE369">
        <v>10.1</v>
      </c>
      <c r="BF369">
        <v>-8.0299999999999996E-2</v>
      </c>
      <c r="BG369">
        <v>22.299999999999997</v>
      </c>
      <c r="BH369">
        <v>-0.2039</v>
      </c>
    </row>
    <row r="370" spans="1:60" x14ac:dyDescent="0.35">
      <c r="A370" t="s">
        <v>34</v>
      </c>
      <c r="B370" s="1">
        <v>46146.65625</v>
      </c>
      <c r="C370" t="s">
        <v>34</v>
      </c>
      <c r="D370" s="1">
        <v>46147.625</v>
      </c>
      <c r="E370">
        <v>6680</v>
      </c>
      <c r="F370" t="s">
        <v>36</v>
      </c>
      <c r="G370">
        <v>0.1</v>
      </c>
      <c r="H370">
        <v>0.2</v>
      </c>
      <c r="I370">
        <v>0.05</v>
      </c>
      <c r="J370">
        <v>0.05</v>
      </c>
      <c r="K370">
        <v>38</v>
      </c>
      <c r="L370">
        <v>156</v>
      </c>
      <c r="M370">
        <v>0.05</v>
      </c>
      <c r="N370">
        <v>348</v>
      </c>
      <c r="O370">
        <v>0.1</v>
      </c>
      <c r="P370">
        <v>0</v>
      </c>
      <c r="Q370">
        <v>0</v>
      </c>
      <c r="R370">
        <v>0</v>
      </c>
      <c r="S370">
        <v>0</v>
      </c>
      <c r="T370">
        <v>0.48399999999999999</v>
      </c>
      <c r="U370">
        <v>-1.5E-3</v>
      </c>
      <c r="V370">
        <v>0</v>
      </c>
      <c r="W370">
        <v>-7.4800000000000005E-2</v>
      </c>
      <c r="X370">
        <v>1.9599999999999999E-2</v>
      </c>
      <c r="Y370">
        <v>-2.9999999999999997E-4</v>
      </c>
      <c r="Z370">
        <v>46</v>
      </c>
      <c r="AA370">
        <v>0.05</v>
      </c>
      <c r="AB370">
        <v>139</v>
      </c>
      <c r="AC370">
        <v>0.1</v>
      </c>
      <c r="AD370">
        <v>0</v>
      </c>
      <c r="AE370">
        <v>0</v>
      </c>
      <c r="AF370">
        <v>0.1197</v>
      </c>
      <c r="AG370">
        <v>230</v>
      </c>
      <c r="AH370">
        <v>0</v>
      </c>
      <c r="AI370">
        <f t="shared" si="3"/>
        <v>-5.7851239669421517E-2</v>
      </c>
      <c r="AJ370" s="4">
        <v>6840</v>
      </c>
      <c r="AK370">
        <v>0.05</v>
      </c>
      <c r="AL370">
        <v>-8.0000000000000004E-4</v>
      </c>
      <c r="AM370">
        <v>0.15</v>
      </c>
      <c r="AN370">
        <v>-3.2000000000000002E-3</v>
      </c>
      <c r="AO370">
        <v>0.4</v>
      </c>
      <c r="AP370">
        <v>-6.8999999999999999E-3</v>
      </c>
      <c r="AQ370">
        <v>0.85</v>
      </c>
      <c r="AR370">
        <v>-1.3899999999999999E-2</v>
      </c>
      <c r="AS370">
        <v>1.7</v>
      </c>
      <c r="AT370">
        <v>-2.4E-2</v>
      </c>
      <c r="AU370">
        <v>3.3</v>
      </c>
      <c r="AV370">
        <v>-3.7999999999999999E-2</v>
      </c>
      <c r="AW370">
        <v>4.8</v>
      </c>
      <c r="AX370">
        <v>-0.05</v>
      </c>
      <c r="AY370">
        <v>6.5</v>
      </c>
      <c r="AZ370">
        <v>-6.0999999999999999E-2</v>
      </c>
      <c r="BA370">
        <v>8.4</v>
      </c>
      <c r="BB370">
        <v>-7.22E-2</v>
      </c>
      <c r="BC370">
        <v>9.5</v>
      </c>
      <c r="BD370">
        <v>-7.8200000000000006E-2</v>
      </c>
      <c r="BE370">
        <v>10.3</v>
      </c>
      <c r="BF370">
        <v>-8.2600000000000007E-2</v>
      </c>
      <c r="BG370">
        <v>45.95</v>
      </c>
      <c r="BH370">
        <v>-0.43079999999999996</v>
      </c>
    </row>
    <row r="371" spans="1:60" x14ac:dyDescent="0.35">
      <c r="A371" t="s">
        <v>34</v>
      </c>
      <c r="B371" s="1">
        <v>46146.65625</v>
      </c>
      <c r="C371" t="s">
        <v>34</v>
      </c>
      <c r="D371" s="1">
        <v>46147.625</v>
      </c>
      <c r="E371">
        <v>6690</v>
      </c>
      <c r="F371" t="s">
        <v>36</v>
      </c>
      <c r="G371">
        <v>0.2</v>
      </c>
      <c r="H371">
        <v>0.2</v>
      </c>
      <c r="I371">
        <v>7.0000000000000007E-2</v>
      </c>
      <c r="J371">
        <v>7.0000000000000007E-2</v>
      </c>
      <c r="K371">
        <v>67</v>
      </c>
      <c r="L371">
        <v>184</v>
      </c>
      <c r="M371">
        <v>0.05</v>
      </c>
      <c r="N371">
        <v>266</v>
      </c>
      <c r="O371">
        <v>0.1</v>
      </c>
      <c r="P371">
        <v>0</v>
      </c>
      <c r="Q371">
        <v>0</v>
      </c>
      <c r="R371">
        <v>0</v>
      </c>
      <c r="S371">
        <v>0</v>
      </c>
      <c r="T371">
        <v>0.47520000000000001</v>
      </c>
      <c r="U371">
        <v>-1.6000000000000001E-3</v>
      </c>
      <c r="V371">
        <v>0</v>
      </c>
      <c r="W371">
        <v>-7.4800000000000005E-2</v>
      </c>
      <c r="X371">
        <v>1.9900000000000001E-2</v>
      </c>
      <c r="Y371">
        <v>-2.9999999999999997E-4</v>
      </c>
      <c r="Z371">
        <v>48</v>
      </c>
      <c r="AA371">
        <v>0.05</v>
      </c>
      <c r="AB371">
        <v>24</v>
      </c>
      <c r="AC371">
        <v>0.1</v>
      </c>
      <c r="AD371">
        <v>0</v>
      </c>
      <c r="AE371">
        <v>0</v>
      </c>
      <c r="AF371">
        <v>0.18010000000000001</v>
      </c>
      <c r="AG371">
        <v>226</v>
      </c>
      <c r="AH371">
        <v>0</v>
      </c>
      <c r="AI371">
        <f t="shared" si="3"/>
        <v>-5.7162534435261758E-2</v>
      </c>
      <c r="AJ371" s="4">
        <v>6845</v>
      </c>
      <c r="AK371">
        <v>0.05</v>
      </c>
      <c r="AL371">
        <v>-8.0000000000000004E-4</v>
      </c>
      <c r="AM371">
        <v>0.15</v>
      </c>
      <c r="AN371">
        <v>-3.2000000000000002E-3</v>
      </c>
      <c r="AO371">
        <v>0.4</v>
      </c>
      <c r="AP371">
        <v>-7.0000000000000001E-3</v>
      </c>
      <c r="AQ371">
        <v>0.9</v>
      </c>
      <c r="AR371">
        <v>-1.47E-2</v>
      </c>
      <c r="AS371">
        <v>1.75</v>
      </c>
      <c r="AT371">
        <v>-2.47E-2</v>
      </c>
      <c r="BC371">
        <v>9.6999999999999993</v>
      </c>
      <c r="BD371">
        <v>-0.08</v>
      </c>
      <c r="BE371">
        <v>10.6</v>
      </c>
      <c r="BF371">
        <v>-8.4599999999999995E-2</v>
      </c>
      <c r="BG371">
        <v>23.549999999999997</v>
      </c>
      <c r="BH371">
        <v>-0.21500000000000002</v>
      </c>
    </row>
    <row r="372" spans="1:60" x14ac:dyDescent="0.35">
      <c r="A372" t="s">
        <v>34</v>
      </c>
      <c r="B372" s="1">
        <v>46146.65625</v>
      </c>
      <c r="C372" t="s">
        <v>34</v>
      </c>
      <c r="D372" s="1">
        <v>46147.625</v>
      </c>
      <c r="E372">
        <v>6700</v>
      </c>
      <c r="F372" t="s">
        <v>36</v>
      </c>
      <c r="G372">
        <v>0.1</v>
      </c>
      <c r="H372">
        <v>0.3</v>
      </c>
      <c r="I372">
        <v>7.0000000000000007E-2</v>
      </c>
      <c r="J372">
        <v>0.1</v>
      </c>
      <c r="K372">
        <v>208</v>
      </c>
      <c r="L372">
        <v>460</v>
      </c>
      <c r="M372">
        <v>0.05</v>
      </c>
      <c r="N372">
        <v>278</v>
      </c>
      <c r="O372">
        <v>0.1</v>
      </c>
      <c r="P372">
        <v>0</v>
      </c>
      <c r="Q372">
        <v>0</v>
      </c>
      <c r="R372">
        <v>0</v>
      </c>
      <c r="S372">
        <v>0</v>
      </c>
      <c r="T372">
        <v>0.46639999999999998</v>
      </c>
      <c r="U372">
        <v>-1.6000000000000001E-3</v>
      </c>
      <c r="V372">
        <v>0</v>
      </c>
      <c r="W372">
        <v>-7.4800000000000005E-2</v>
      </c>
      <c r="X372">
        <v>2.0299999999999999E-2</v>
      </c>
      <c r="Y372">
        <v>-2.9999999999999997E-4</v>
      </c>
      <c r="Z372">
        <v>77</v>
      </c>
      <c r="AA372">
        <v>0.05</v>
      </c>
      <c r="AB372">
        <v>5</v>
      </c>
      <c r="AC372">
        <v>0.1</v>
      </c>
      <c r="AD372">
        <v>0</v>
      </c>
      <c r="AE372">
        <v>0</v>
      </c>
      <c r="AF372">
        <v>0.1178</v>
      </c>
      <c r="AG372">
        <v>839</v>
      </c>
      <c r="AH372">
        <v>0</v>
      </c>
      <c r="AI372">
        <f t="shared" si="3"/>
        <v>-5.6473829201101888E-2</v>
      </c>
      <c r="AJ372" s="4">
        <v>6850</v>
      </c>
      <c r="AK372">
        <v>0.05</v>
      </c>
      <c r="AL372">
        <v>-8.9999999999999998E-4</v>
      </c>
      <c r="AM372">
        <v>0.15</v>
      </c>
      <c r="AN372">
        <v>-3.3E-3</v>
      </c>
      <c r="AO372">
        <v>0.4</v>
      </c>
      <c r="AP372">
        <v>-7.4999999999999997E-3</v>
      </c>
      <c r="AQ372">
        <v>0.9</v>
      </c>
      <c r="AR372">
        <v>-1.49E-2</v>
      </c>
      <c r="AS372">
        <v>1.85</v>
      </c>
      <c r="AT372">
        <v>-2.5600000000000001E-2</v>
      </c>
      <c r="AU372">
        <v>3.5</v>
      </c>
      <c r="AV372">
        <v>-4.0899999999999999E-2</v>
      </c>
      <c r="AW372">
        <v>5.2</v>
      </c>
      <c r="AX372">
        <v>-5.3499999999999999E-2</v>
      </c>
      <c r="AY372">
        <v>6.9</v>
      </c>
      <c r="AZ372">
        <v>-6.4699999999999994E-2</v>
      </c>
      <c r="BA372">
        <v>8.9</v>
      </c>
      <c r="BB372">
        <v>-7.6100000000000001E-2</v>
      </c>
      <c r="BC372">
        <v>10</v>
      </c>
      <c r="BD372">
        <v>-8.2299999999999998E-2</v>
      </c>
      <c r="BE372">
        <v>10.8</v>
      </c>
      <c r="BF372">
        <v>-8.6599999999999996E-2</v>
      </c>
      <c r="BG372">
        <v>48.650000000000006</v>
      </c>
      <c r="BH372">
        <v>-0.45629999999999998</v>
      </c>
    </row>
    <row r="373" spans="1:60" x14ac:dyDescent="0.35">
      <c r="A373" t="s">
        <v>34</v>
      </c>
      <c r="B373" s="1">
        <v>46146.65625</v>
      </c>
      <c r="C373" t="s">
        <v>34</v>
      </c>
      <c r="D373" s="1">
        <v>46147.625</v>
      </c>
      <c r="E373">
        <v>6710</v>
      </c>
      <c r="F373" t="s">
        <v>36</v>
      </c>
      <c r="G373">
        <v>0.15</v>
      </c>
      <c r="H373">
        <v>0.15</v>
      </c>
      <c r="I373">
        <v>0.1</v>
      </c>
      <c r="J373">
        <v>0.1</v>
      </c>
      <c r="K373">
        <v>206</v>
      </c>
      <c r="L373">
        <v>450</v>
      </c>
      <c r="M373">
        <v>0.05</v>
      </c>
      <c r="N373">
        <v>138</v>
      </c>
      <c r="O373">
        <v>0.1</v>
      </c>
      <c r="P373">
        <v>0</v>
      </c>
      <c r="Q373">
        <v>0</v>
      </c>
      <c r="R373">
        <v>0</v>
      </c>
      <c r="S373">
        <v>0</v>
      </c>
      <c r="T373">
        <v>0.45700000000000002</v>
      </c>
      <c r="U373">
        <v>-1.6000000000000001E-3</v>
      </c>
      <c r="V373">
        <v>0</v>
      </c>
      <c r="W373">
        <v>-7.4800000000000005E-2</v>
      </c>
      <c r="X373">
        <v>2.07E-2</v>
      </c>
      <c r="Y373">
        <v>-2.9999999999999997E-4</v>
      </c>
      <c r="Z373">
        <v>51</v>
      </c>
      <c r="AA373">
        <v>0.05</v>
      </c>
      <c r="AB373">
        <v>258</v>
      </c>
      <c r="AC373">
        <v>0.15</v>
      </c>
      <c r="AD373">
        <v>0</v>
      </c>
      <c r="AE373">
        <v>0</v>
      </c>
      <c r="AF373">
        <v>0.10050000000000001</v>
      </c>
      <c r="AG373">
        <v>269</v>
      </c>
      <c r="AH373">
        <v>0</v>
      </c>
      <c r="AI373">
        <f t="shared" si="3"/>
        <v>-5.5785123966942129E-2</v>
      </c>
      <c r="AJ373" s="4">
        <v>6855</v>
      </c>
      <c r="AK373">
        <v>0.05</v>
      </c>
      <c r="AL373">
        <v>-8.9999999999999998E-4</v>
      </c>
      <c r="AM373">
        <v>0.15</v>
      </c>
      <c r="AN373">
        <v>-3.3E-3</v>
      </c>
      <c r="AO373">
        <v>0.4</v>
      </c>
      <c r="AP373">
        <v>-8.0000000000000002E-3</v>
      </c>
      <c r="AQ373">
        <v>0.95</v>
      </c>
      <c r="AR373">
        <v>-1.5800000000000002E-2</v>
      </c>
      <c r="AS373">
        <v>1.9</v>
      </c>
      <c r="AT373">
        <v>-2.6599999999999999E-2</v>
      </c>
      <c r="AU373">
        <v>3.6</v>
      </c>
      <c r="AV373">
        <v>-4.2099999999999999E-2</v>
      </c>
      <c r="AW373">
        <v>5.4</v>
      </c>
      <c r="AX373">
        <v>-5.4800000000000001E-2</v>
      </c>
      <c r="AY373">
        <v>7.1</v>
      </c>
      <c r="AZ373">
        <v>-6.6600000000000006E-2</v>
      </c>
      <c r="BC373">
        <v>10.199999999999999</v>
      </c>
      <c r="BD373">
        <v>-8.4099999999999994E-2</v>
      </c>
      <c r="BE373">
        <v>11.1</v>
      </c>
      <c r="BF373">
        <v>-8.8900000000000007E-2</v>
      </c>
      <c r="BG373">
        <v>40.85</v>
      </c>
      <c r="BH373">
        <v>-0.3911</v>
      </c>
    </row>
    <row r="374" spans="1:60" x14ac:dyDescent="0.35">
      <c r="A374" t="s">
        <v>34</v>
      </c>
      <c r="B374" s="1">
        <v>46146.65625</v>
      </c>
      <c r="C374" t="s">
        <v>34</v>
      </c>
      <c r="D374" s="1">
        <v>46147.625</v>
      </c>
      <c r="E374">
        <v>6715</v>
      </c>
      <c r="F374" t="s">
        <v>36</v>
      </c>
      <c r="G374">
        <v>0.1</v>
      </c>
      <c r="H374">
        <v>0.25</v>
      </c>
      <c r="I374">
        <v>0.1</v>
      </c>
      <c r="J374">
        <v>0.1</v>
      </c>
      <c r="K374">
        <v>194</v>
      </c>
      <c r="L374">
        <v>389</v>
      </c>
      <c r="M374">
        <v>0.05</v>
      </c>
      <c r="N374">
        <v>109</v>
      </c>
      <c r="O374">
        <v>0.1</v>
      </c>
      <c r="P374">
        <v>0</v>
      </c>
      <c r="Q374">
        <v>0</v>
      </c>
      <c r="R374">
        <v>0</v>
      </c>
      <c r="S374">
        <v>0</v>
      </c>
      <c r="T374">
        <v>0.4526</v>
      </c>
      <c r="U374">
        <v>-1.6000000000000001E-3</v>
      </c>
      <c r="V374">
        <v>0</v>
      </c>
      <c r="W374">
        <v>-7.4800000000000005E-2</v>
      </c>
      <c r="X374">
        <v>2.0799999999999999E-2</v>
      </c>
      <c r="Y374">
        <v>-2.9999999999999997E-4</v>
      </c>
      <c r="Z374">
        <v>51</v>
      </c>
      <c r="AA374">
        <v>0.05</v>
      </c>
      <c r="AB374">
        <v>256</v>
      </c>
      <c r="AC374">
        <v>0.15</v>
      </c>
      <c r="AD374">
        <v>0</v>
      </c>
      <c r="AE374">
        <v>0</v>
      </c>
      <c r="AF374">
        <v>0.17760000000000001</v>
      </c>
      <c r="AG374">
        <v>181</v>
      </c>
      <c r="AH374">
        <v>0</v>
      </c>
      <c r="AI374">
        <f t="shared" si="3"/>
        <v>-5.5096418732782371E-2</v>
      </c>
      <c r="AJ374" s="4">
        <v>6860</v>
      </c>
      <c r="AK374">
        <v>0.05</v>
      </c>
      <c r="AL374">
        <v>-8.9999999999999998E-4</v>
      </c>
      <c r="AM374">
        <v>0.2</v>
      </c>
      <c r="AN374">
        <v>-3.8999999999999998E-3</v>
      </c>
      <c r="AO374">
        <v>0.45</v>
      </c>
      <c r="AP374">
        <v>-8.0999999999999996E-3</v>
      </c>
      <c r="AQ374">
        <v>1</v>
      </c>
      <c r="AR374">
        <v>-1.6299999999999999E-2</v>
      </c>
      <c r="AS374">
        <v>2</v>
      </c>
      <c r="AT374">
        <v>-2.7699999999999999E-2</v>
      </c>
      <c r="AU374">
        <v>3.7</v>
      </c>
      <c r="AV374">
        <v>-4.3400000000000001E-2</v>
      </c>
      <c r="AW374">
        <v>5.5</v>
      </c>
      <c r="AX374">
        <v>-5.67E-2</v>
      </c>
      <c r="AY374">
        <v>7.3</v>
      </c>
      <c r="AZ374">
        <v>-6.8500000000000005E-2</v>
      </c>
      <c r="BA374">
        <v>9.4</v>
      </c>
      <c r="BB374">
        <v>-8.0299999999999996E-2</v>
      </c>
      <c r="BC374">
        <v>10.5</v>
      </c>
      <c r="BD374">
        <v>-8.6499999999999994E-2</v>
      </c>
      <c r="BE374">
        <v>11.4</v>
      </c>
      <c r="BF374">
        <v>-9.1200000000000003E-2</v>
      </c>
      <c r="BG374">
        <v>51.5</v>
      </c>
      <c r="BH374">
        <v>-0.48349999999999999</v>
      </c>
    </row>
    <row r="375" spans="1:60" x14ac:dyDescent="0.35">
      <c r="A375" t="s">
        <v>34</v>
      </c>
      <c r="B375" s="1">
        <v>46146.65625</v>
      </c>
      <c r="C375" t="s">
        <v>34</v>
      </c>
      <c r="D375" s="1">
        <v>46147.625</v>
      </c>
      <c r="E375">
        <v>6720</v>
      </c>
      <c r="F375" t="s">
        <v>36</v>
      </c>
      <c r="G375">
        <v>0.1</v>
      </c>
      <c r="H375">
        <v>0.25</v>
      </c>
      <c r="I375">
        <v>0.05</v>
      </c>
      <c r="J375">
        <v>0.05</v>
      </c>
      <c r="K375">
        <v>102</v>
      </c>
      <c r="L375">
        <v>421</v>
      </c>
      <c r="M375">
        <v>0.05</v>
      </c>
      <c r="N375">
        <v>107</v>
      </c>
      <c r="O375">
        <v>0.1</v>
      </c>
      <c r="P375">
        <v>0</v>
      </c>
      <c r="Q375">
        <v>0</v>
      </c>
      <c r="R375">
        <v>0</v>
      </c>
      <c r="S375">
        <v>0</v>
      </c>
      <c r="T375">
        <v>0.44869999999999999</v>
      </c>
      <c r="U375">
        <v>-1.6000000000000001E-3</v>
      </c>
      <c r="V375">
        <v>0</v>
      </c>
      <c r="W375">
        <v>-7.4800000000000005E-2</v>
      </c>
      <c r="X375">
        <v>2.1000000000000001E-2</v>
      </c>
      <c r="Y375">
        <v>-2.9999999999999997E-4</v>
      </c>
      <c r="Z375">
        <v>92</v>
      </c>
      <c r="AA375">
        <v>0.05</v>
      </c>
      <c r="AB375">
        <v>253</v>
      </c>
      <c r="AC375">
        <v>0.15</v>
      </c>
      <c r="AD375">
        <v>0</v>
      </c>
      <c r="AE375">
        <v>0</v>
      </c>
      <c r="AF375">
        <v>0.1532</v>
      </c>
      <c r="AG375">
        <v>72</v>
      </c>
      <c r="AH375">
        <v>0</v>
      </c>
      <c r="AI375">
        <f t="shared" si="3"/>
        <v>-5.4407713498622612E-2</v>
      </c>
      <c r="AJ375" s="4">
        <v>6865</v>
      </c>
      <c r="AK375">
        <v>0.05</v>
      </c>
      <c r="AL375">
        <v>-8.9999999999999998E-4</v>
      </c>
      <c r="AM375">
        <v>0.2</v>
      </c>
      <c r="AN375">
        <v>-4.0000000000000001E-3</v>
      </c>
      <c r="AO375">
        <v>0.45</v>
      </c>
      <c r="AP375">
        <v>-8.2000000000000007E-3</v>
      </c>
      <c r="AQ375">
        <v>1.05</v>
      </c>
      <c r="AR375">
        <v>-1.7100000000000001E-2</v>
      </c>
      <c r="AS375">
        <v>2.0499999999999998</v>
      </c>
      <c r="AT375">
        <v>-2.8799999999999999E-2</v>
      </c>
      <c r="AU375">
        <v>3.9</v>
      </c>
      <c r="AV375">
        <v>-4.5100000000000001E-2</v>
      </c>
      <c r="AW375">
        <v>5.7</v>
      </c>
      <c r="AX375">
        <v>-5.8700000000000002E-2</v>
      </c>
      <c r="AY375">
        <v>7.5</v>
      </c>
      <c r="AZ375">
        <v>-7.0699999999999999E-2</v>
      </c>
      <c r="BC375">
        <v>10.8</v>
      </c>
      <c r="BD375">
        <v>-8.8900000000000007E-2</v>
      </c>
      <c r="BE375">
        <v>11.7</v>
      </c>
      <c r="BF375">
        <v>-9.35E-2</v>
      </c>
      <c r="BG375">
        <v>43.4</v>
      </c>
      <c r="BH375">
        <v>-0.41590000000000005</v>
      </c>
    </row>
    <row r="376" spans="1:60" x14ac:dyDescent="0.35">
      <c r="A376" t="s">
        <v>34</v>
      </c>
      <c r="B376" s="1">
        <v>46146.65625</v>
      </c>
      <c r="C376" t="s">
        <v>34</v>
      </c>
      <c r="D376" s="1">
        <v>46147.625</v>
      </c>
      <c r="E376">
        <v>6725</v>
      </c>
      <c r="F376" t="s">
        <v>36</v>
      </c>
      <c r="G376">
        <v>0.1</v>
      </c>
      <c r="H376">
        <v>0.15</v>
      </c>
      <c r="I376">
        <v>7.0000000000000007E-2</v>
      </c>
      <c r="J376">
        <v>0.1</v>
      </c>
      <c r="K376">
        <v>56</v>
      </c>
      <c r="L376">
        <v>423</v>
      </c>
      <c r="M376">
        <v>0.05</v>
      </c>
      <c r="N376">
        <v>100</v>
      </c>
      <c r="O376">
        <v>0.1</v>
      </c>
      <c r="P376">
        <v>0</v>
      </c>
      <c r="Q376">
        <v>0</v>
      </c>
      <c r="R376">
        <v>0</v>
      </c>
      <c r="S376">
        <v>0</v>
      </c>
      <c r="T376">
        <v>0.44429999999999997</v>
      </c>
      <c r="U376">
        <v>-1.6999999999999999E-3</v>
      </c>
      <c r="V376">
        <v>0</v>
      </c>
      <c r="W376">
        <v>-7.4800000000000005E-2</v>
      </c>
      <c r="X376">
        <v>2.12E-2</v>
      </c>
      <c r="Y376">
        <v>-2.9999999999999997E-4</v>
      </c>
      <c r="Z376">
        <v>93</v>
      </c>
      <c r="AA376">
        <v>0.05</v>
      </c>
      <c r="AB376">
        <v>250</v>
      </c>
      <c r="AC376">
        <v>0.15</v>
      </c>
      <c r="AD376">
        <v>0</v>
      </c>
      <c r="AE376">
        <v>0</v>
      </c>
      <c r="AF376">
        <v>8.2100000000000006E-2</v>
      </c>
      <c r="AG376">
        <v>124</v>
      </c>
      <c r="AH376">
        <v>0</v>
      </c>
      <c r="AI376">
        <f t="shared" si="3"/>
        <v>-5.3719008264462853E-2</v>
      </c>
      <c r="AJ376" s="4">
        <v>6870</v>
      </c>
      <c r="AK376">
        <v>0.05</v>
      </c>
      <c r="AL376">
        <v>-8.9999999999999998E-4</v>
      </c>
      <c r="AM376">
        <v>0.2</v>
      </c>
      <c r="AN376">
        <v>-4.0000000000000001E-3</v>
      </c>
      <c r="AO376">
        <v>0.45</v>
      </c>
      <c r="AP376">
        <v>-9.1999999999999998E-3</v>
      </c>
      <c r="AQ376">
        <v>1.05</v>
      </c>
      <c r="AR376">
        <v>-1.7999999999999999E-2</v>
      </c>
      <c r="AS376">
        <v>2.15</v>
      </c>
      <c r="AT376">
        <v>-2.9899999999999999E-2</v>
      </c>
      <c r="AU376">
        <v>4</v>
      </c>
      <c r="AV376">
        <v>-4.6800000000000001E-2</v>
      </c>
      <c r="AW376">
        <v>5.9</v>
      </c>
      <c r="AX376">
        <v>-6.0699999999999997E-2</v>
      </c>
      <c r="AY376">
        <v>7.8</v>
      </c>
      <c r="AZ376">
        <v>-7.2700000000000001E-2</v>
      </c>
      <c r="BA376">
        <v>9.9</v>
      </c>
      <c r="BB376">
        <v>-8.48E-2</v>
      </c>
      <c r="BC376">
        <v>11.1</v>
      </c>
      <c r="BD376">
        <v>-9.0700000000000003E-2</v>
      </c>
      <c r="BE376">
        <v>12</v>
      </c>
      <c r="BF376">
        <v>-9.5899999999999999E-2</v>
      </c>
      <c r="BG376">
        <v>54.6</v>
      </c>
      <c r="BH376">
        <v>-0.51360000000000006</v>
      </c>
    </row>
    <row r="377" spans="1:60" x14ac:dyDescent="0.35">
      <c r="A377" t="s">
        <v>34</v>
      </c>
      <c r="B377" s="1">
        <v>46146.65625</v>
      </c>
      <c r="C377" t="s">
        <v>34</v>
      </c>
      <c r="D377" s="1">
        <v>46147.625</v>
      </c>
      <c r="E377">
        <v>6730</v>
      </c>
      <c r="F377" t="s">
        <v>36</v>
      </c>
      <c r="G377">
        <v>0.25</v>
      </c>
      <c r="H377">
        <v>0.25</v>
      </c>
      <c r="I377">
        <v>7.0000000000000007E-2</v>
      </c>
      <c r="J377">
        <v>0.1</v>
      </c>
      <c r="K377">
        <v>48</v>
      </c>
      <c r="L377">
        <v>446</v>
      </c>
      <c r="M377">
        <v>0.05</v>
      </c>
      <c r="N377">
        <v>80</v>
      </c>
      <c r="O377">
        <v>0.1</v>
      </c>
      <c r="P377">
        <v>0</v>
      </c>
      <c r="Q377">
        <v>0</v>
      </c>
      <c r="R377">
        <v>0</v>
      </c>
      <c r="S377">
        <v>0</v>
      </c>
      <c r="T377">
        <v>0.43990000000000001</v>
      </c>
      <c r="U377">
        <v>-1.6999999999999999E-3</v>
      </c>
      <c r="V377">
        <v>0</v>
      </c>
      <c r="W377">
        <v>-7.4800000000000005E-2</v>
      </c>
      <c r="X377">
        <v>2.1399999999999999E-2</v>
      </c>
      <c r="Y377">
        <v>-2.9999999999999997E-4</v>
      </c>
      <c r="Z377">
        <v>90</v>
      </c>
      <c r="AA377">
        <v>0.05</v>
      </c>
      <c r="AB377">
        <v>247</v>
      </c>
      <c r="AC377">
        <v>0.15</v>
      </c>
      <c r="AD377">
        <v>0</v>
      </c>
      <c r="AE377">
        <v>0</v>
      </c>
      <c r="AF377">
        <v>0.1285</v>
      </c>
      <c r="AG377">
        <v>64</v>
      </c>
      <c r="AH377">
        <v>0</v>
      </c>
      <c r="AI377">
        <f t="shared" si="3"/>
        <v>-5.3030303030302983E-2</v>
      </c>
      <c r="AJ377" s="4">
        <v>6875</v>
      </c>
      <c r="AK377">
        <v>0.05</v>
      </c>
      <c r="AL377">
        <v>-8.9999999999999998E-4</v>
      </c>
      <c r="AM377">
        <v>0.2</v>
      </c>
      <c r="AN377">
        <v>-4.1000000000000003E-3</v>
      </c>
      <c r="AO377">
        <v>0.5</v>
      </c>
      <c r="AP377">
        <v>-9.2999999999999992E-3</v>
      </c>
      <c r="AQ377">
        <v>1.1000000000000001</v>
      </c>
      <c r="AR377">
        <v>-1.8499999999999999E-2</v>
      </c>
      <c r="AS377">
        <v>2.2000000000000002</v>
      </c>
      <c r="AT377">
        <v>-3.1300000000000001E-2</v>
      </c>
      <c r="AU377">
        <v>4.2</v>
      </c>
      <c r="AV377">
        <v>-4.8599999999999997E-2</v>
      </c>
      <c r="AW377">
        <v>6.1</v>
      </c>
      <c r="AX377">
        <v>-6.2700000000000006E-2</v>
      </c>
      <c r="AY377">
        <v>8</v>
      </c>
      <c r="AZ377">
        <v>-7.4899999999999994E-2</v>
      </c>
      <c r="BA377">
        <v>10.199999999999999</v>
      </c>
      <c r="BB377">
        <v>-8.7300000000000003E-2</v>
      </c>
      <c r="BC377">
        <v>11.3</v>
      </c>
      <c r="BD377">
        <v>-9.3100000000000002E-2</v>
      </c>
      <c r="BE377">
        <v>12.3</v>
      </c>
      <c r="BF377">
        <v>-9.8199999999999996E-2</v>
      </c>
      <c r="BG377">
        <v>56.149999999999991</v>
      </c>
      <c r="BH377">
        <v>-0.52889999999999993</v>
      </c>
    </row>
    <row r="378" spans="1:60" x14ac:dyDescent="0.35">
      <c r="A378" t="s">
        <v>34</v>
      </c>
      <c r="B378" s="1">
        <v>46146.65625</v>
      </c>
      <c r="C378" t="s">
        <v>34</v>
      </c>
      <c r="D378" s="1">
        <v>46147.625</v>
      </c>
      <c r="E378">
        <v>6735</v>
      </c>
      <c r="F378" t="s">
        <v>36</v>
      </c>
      <c r="G378">
        <v>0.1</v>
      </c>
      <c r="H378">
        <v>0.22</v>
      </c>
      <c r="I378">
        <v>7.0000000000000007E-2</v>
      </c>
      <c r="J378">
        <v>7.0000000000000007E-2</v>
      </c>
      <c r="K378">
        <v>51</v>
      </c>
      <c r="L378">
        <v>471</v>
      </c>
      <c r="M378">
        <v>0.05</v>
      </c>
      <c r="N378">
        <v>56</v>
      </c>
      <c r="O378">
        <v>0.1</v>
      </c>
      <c r="P378">
        <v>0</v>
      </c>
      <c r="Q378">
        <v>0</v>
      </c>
      <c r="R378">
        <v>0</v>
      </c>
      <c r="S378">
        <v>0</v>
      </c>
      <c r="T378">
        <v>0.4355</v>
      </c>
      <c r="U378">
        <v>-1.6999999999999999E-3</v>
      </c>
      <c r="V378">
        <v>0</v>
      </c>
      <c r="W378">
        <v>-7.4800000000000005E-2</v>
      </c>
      <c r="X378">
        <v>2.1600000000000001E-2</v>
      </c>
      <c r="Y378">
        <v>-2.9999999999999997E-4</v>
      </c>
      <c r="Z378">
        <v>89</v>
      </c>
      <c r="AA378">
        <v>0.05</v>
      </c>
      <c r="AB378">
        <v>245</v>
      </c>
      <c r="AC378">
        <v>0.15</v>
      </c>
      <c r="AD378">
        <v>0</v>
      </c>
      <c r="AE378">
        <v>0</v>
      </c>
      <c r="AF378">
        <v>0.13120000000000001</v>
      </c>
      <c r="AG378">
        <v>9</v>
      </c>
      <c r="AH378">
        <v>0</v>
      </c>
      <c r="AI378">
        <f t="shared" si="3"/>
        <v>-5.2341597796143224E-2</v>
      </c>
      <c r="AJ378" s="4">
        <v>6880</v>
      </c>
      <c r="AK378">
        <v>0.05</v>
      </c>
      <c r="AL378">
        <v>-8.9999999999999998E-4</v>
      </c>
      <c r="AM378">
        <v>0.2</v>
      </c>
      <c r="AN378">
        <v>-4.1000000000000003E-3</v>
      </c>
      <c r="AO378">
        <v>0.5</v>
      </c>
      <c r="AP378">
        <v>-1.0200000000000001E-2</v>
      </c>
      <c r="AQ378">
        <v>1.1499999999999999</v>
      </c>
      <c r="AR378">
        <v>-1.9400000000000001E-2</v>
      </c>
      <c r="AS378">
        <v>2.2999999999999998</v>
      </c>
      <c r="AT378">
        <v>-3.2500000000000001E-2</v>
      </c>
      <c r="AU378">
        <v>4.3</v>
      </c>
      <c r="AV378">
        <v>-5.0299999999999997E-2</v>
      </c>
      <c r="AW378">
        <v>6.3</v>
      </c>
      <c r="AX378">
        <v>-6.4699999999999994E-2</v>
      </c>
      <c r="AY378">
        <v>8.1999999999999993</v>
      </c>
      <c r="AZ378">
        <v>-7.7200000000000005E-2</v>
      </c>
      <c r="BA378">
        <v>10.5</v>
      </c>
      <c r="BB378">
        <v>-8.9499999999999996E-2</v>
      </c>
      <c r="BC378">
        <v>11.7</v>
      </c>
      <c r="BD378">
        <v>-9.5600000000000004E-2</v>
      </c>
      <c r="BE378">
        <v>12.6</v>
      </c>
      <c r="BF378">
        <v>-0.10059999999999999</v>
      </c>
      <c r="BG378">
        <v>57.800000000000004</v>
      </c>
      <c r="BH378">
        <v>-0.54500000000000004</v>
      </c>
    </row>
    <row r="379" spans="1:60" x14ac:dyDescent="0.35">
      <c r="A379" t="s">
        <v>34</v>
      </c>
      <c r="B379" s="1">
        <v>46146.65625</v>
      </c>
      <c r="C379" t="s">
        <v>34</v>
      </c>
      <c r="D379" s="1">
        <v>46147.625</v>
      </c>
      <c r="E379">
        <v>6740</v>
      </c>
      <c r="F379" t="s">
        <v>36</v>
      </c>
      <c r="G379">
        <v>0.12</v>
      </c>
      <c r="H379">
        <v>0.12</v>
      </c>
      <c r="I379">
        <v>0.12</v>
      </c>
      <c r="J379">
        <v>0.12</v>
      </c>
      <c r="K379">
        <v>4</v>
      </c>
      <c r="L379">
        <v>392</v>
      </c>
      <c r="M379">
        <v>0.05</v>
      </c>
      <c r="N379">
        <v>43</v>
      </c>
      <c r="O379">
        <v>0.1</v>
      </c>
      <c r="P379">
        <v>0</v>
      </c>
      <c r="Q379">
        <v>0</v>
      </c>
      <c r="R379">
        <v>0</v>
      </c>
      <c r="S379">
        <v>0</v>
      </c>
      <c r="T379">
        <v>0.43049999999999999</v>
      </c>
      <c r="U379">
        <v>-1.6999999999999999E-3</v>
      </c>
      <c r="V379">
        <v>0</v>
      </c>
      <c r="W379">
        <v>-7.4800000000000005E-2</v>
      </c>
      <c r="X379">
        <v>2.18E-2</v>
      </c>
      <c r="Y379">
        <v>-2.9999999999999997E-4</v>
      </c>
      <c r="Z379">
        <v>89</v>
      </c>
      <c r="AA379">
        <v>0.05</v>
      </c>
      <c r="AB379">
        <v>258</v>
      </c>
      <c r="AC379">
        <v>0.15</v>
      </c>
      <c r="AD379">
        <v>0</v>
      </c>
      <c r="AE379">
        <v>0</v>
      </c>
      <c r="AF379">
        <v>0.12</v>
      </c>
      <c r="AG379">
        <v>139</v>
      </c>
      <c r="AH379">
        <v>0</v>
      </c>
      <c r="AI379">
        <f t="shared" si="3"/>
        <v>-5.1652892561983466E-2</v>
      </c>
      <c r="AJ379" s="4">
        <v>6885</v>
      </c>
      <c r="AK379">
        <v>0.05</v>
      </c>
      <c r="AL379">
        <v>-8.9999999999999998E-4</v>
      </c>
      <c r="AM379">
        <v>0.2</v>
      </c>
      <c r="AN379">
        <v>-4.1999999999999997E-3</v>
      </c>
      <c r="AO379">
        <v>0.5</v>
      </c>
      <c r="AP379">
        <v>-1.04E-2</v>
      </c>
      <c r="AQ379">
        <v>1.2</v>
      </c>
      <c r="AR379">
        <v>-2.0299999999999999E-2</v>
      </c>
      <c r="AS379">
        <v>2.4</v>
      </c>
      <c r="AT379">
        <v>-3.39E-2</v>
      </c>
      <c r="AU379">
        <v>4.5</v>
      </c>
      <c r="AV379">
        <v>-5.21E-2</v>
      </c>
      <c r="AW379">
        <v>6.5</v>
      </c>
      <c r="AX379">
        <v>-6.6799999999999998E-2</v>
      </c>
      <c r="AY379">
        <v>8.5</v>
      </c>
      <c r="AZ379">
        <v>-7.9399999999999998E-2</v>
      </c>
      <c r="BC379">
        <v>12</v>
      </c>
      <c r="BD379">
        <v>-9.8000000000000004E-2</v>
      </c>
      <c r="BE379">
        <v>13</v>
      </c>
      <c r="BF379">
        <v>-0.1033</v>
      </c>
      <c r="BG379">
        <v>48.85</v>
      </c>
      <c r="BH379">
        <v>-0.46929999999999999</v>
      </c>
    </row>
    <row r="380" spans="1:60" x14ac:dyDescent="0.35">
      <c r="A380" t="s">
        <v>34</v>
      </c>
      <c r="B380" s="1">
        <v>46146.65625</v>
      </c>
      <c r="C380" t="s">
        <v>34</v>
      </c>
      <c r="D380" s="1">
        <v>46147.625</v>
      </c>
      <c r="E380">
        <v>6745</v>
      </c>
      <c r="F380" t="s">
        <v>36</v>
      </c>
      <c r="G380">
        <v>0.1</v>
      </c>
      <c r="H380">
        <v>0.25</v>
      </c>
      <c r="I380">
        <v>0.1</v>
      </c>
      <c r="J380">
        <v>0.1</v>
      </c>
      <c r="K380">
        <v>52</v>
      </c>
      <c r="L380">
        <v>418</v>
      </c>
      <c r="M380">
        <v>0.05</v>
      </c>
      <c r="N380">
        <v>41</v>
      </c>
      <c r="O380">
        <v>0.1</v>
      </c>
      <c r="P380">
        <v>0</v>
      </c>
      <c r="Q380">
        <v>0</v>
      </c>
      <c r="R380">
        <v>0</v>
      </c>
      <c r="S380">
        <v>0</v>
      </c>
      <c r="T380">
        <v>0.42659999999999998</v>
      </c>
      <c r="U380">
        <v>-1.6999999999999999E-3</v>
      </c>
      <c r="V380">
        <v>0</v>
      </c>
      <c r="W380">
        <v>-7.4800000000000005E-2</v>
      </c>
      <c r="X380">
        <v>2.1999999999999999E-2</v>
      </c>
      <c r="Y380">
        <v>-2.9999999999999997E-4</v>
      </c>
      <c r="Z380">
        <v>90</v>
      </c>
      <c r="AA380">
        <v>0.05</v>
      </c>
      <c r="AB380">
        <v>254</v>
      </c>
      <c r="AC380">
        <v>0.15</v>
      </c>
      <c r="AD380">
        <v>0</v>
      </c>
      <c r="AE380">
        <v>0</v>
      </c>
      <c r="AF380">
        <v>0.17879999999999999</v>
      </c>
      <c r="AG380">
        <v>6</v>
      </c>
      <c r="AH380">
        <v>0</v>
      </c>
      <c r="AI380">
        <f t="shared" si="3"/>
        <v>-5.0964187327823707E-2</v>
      </c>
      <c r="AJ380" s="4">
        <v>6890</v>
      </c>
      <c r="AK380">
        <v>0.05</v>
      </c>
      <c r="AL380">
        <v>-1E-3</v>
      </c>
      <c r="AM380">
        <v>0.2</v>
      </c>
      <c r="AN380">
        <v>-4.7999999999999996E-3</v>
      </c>
      <c r="AO380">
        <v>0.55000000000000004</v>
      </c>
      <c r="AP380">
        <v>-1.09E-2</v>
      </c>
      <c r="AQ380">
        <v>1.3</v>
      </c>
      <c r="AR380">
        <v>-2.1899999999999999E-2</v>
      </c>
      <c r="AS380">
        <v>2.5</v>
      </c>
      <c r="AT380">
        <v>-3.5299999999999998E-2</v>
      </c>
      <c r="AU380">
        <v>4.7</v>
      </c>
      <c r="AV380">
        <v>-5.3900000000000003E-2</v>
      </c>
      <c r="AW380">
        <v>6.7</v>
      </c>
      <c r="AX380">
        <v>-6.8900000000000003E-2</v>
      </c>
      <c r="AY380">
        <v>8.8000000000000007</v>
      </c>
      <c r="AZ380">
        <v>-8.1799999999999998E-2</v>
      </c>
      <c r="BA380">
        <v>11.1</v>
      </c>
      <c r="BB380">
        <v>-9.4500000000000001E-2</v>
      </c>
      <c r="BC380">
        <v>12.3</v>
      </c>
      <c r="BD380">
        <v>-0.10100000000000001</v>
      </c>
      <c r="BE380">
        <v>13.3</v>
      </c>
      <c r="BF380">
        <v>-0.106</v>
      </c>
      <c r="BG380">
        <v>61.5</v>
      </c>
      <c r="BH380">
        <v>-0.57999999999999996</v>
      </c>
    </row>
    <row r="381" spans="1:60" x14ac:dyDescent="0.35">
      <c r="A381" t="s">
        <v>34</v>
      </c>
      <c r="B381" s="1">
        <v>46146.65625</v>
      </c>
      <c r="C381" t="s">
        <v>34</v>
      </c>
      <c r="D381" s="1">
        <v>46147.625</v>
      </c>
      <c r="E381">
        <v>6750</v>
      </c>
      <c r="F381" t="s">
        <v>36</v>
      </c>
      <c r="G381">
        <v>0.15</v>
      </c>
      <c r="H381">
        <v>0.3</v>
      </c>
      <c r="I381">
        <v>7.0000000000000007E-2</v>
      </c>
      <c r="J381">
        <v>0.1</v>
      </c>
      <c r="K381">
        <v>547</v>
      </c>
      <c r="L381">
        <v>491</v>
      </c>
      <c r="M381">
        <v>0.05</v>
      </c>
      <c r="N381">
        <v>9</v>
      </c>
      <c r="O381">
        <v>0.1</v>
      </c>
      <c r="P381">
        <v>0</v>
      </c>
      <c r="Q381">
        <v>0</v>
      </c>
      <c r="R381">
        <v>0</v>
      </c>
      <c r="S381">
        <v>0</v>
      </c>
      <c r="T381">
        <v>0.42170000000000002</v>
      </c>
      <c r="U381">
        <v>-1.6999999999999999E-3</v>
      </c>
      <c r="V381">
        <v>0</v>
      </c>
      <c r="W381">
        <v>-7.4800000000000005E-2</v>
      </c>
      <c r="X381">
        <v>2.23E-2</v>
      </c>
      <c r="Y381">
        <v>-2.9999999999999997E-4</v>
      </c>
      <c r="Z381">
        <v>120</v>
      </c>
      <c r="AA381">
        <v>0.05</v>
      </c>
      <c r="AB381">
        <v>5</v>
      </c>
      <c r="AC381">
        <v>0.1</v>
      </c>
      <c r="AD381">
        <v>0</v>
      </c>
      <c r="AE381">
        <v>0</v>
      </c>
      <c r="AF381">
        <v>0.14199999999999999</v>
      </c>
      <c r="AG381">
        <v>586</v>
      </c>
      <c r="AH381">
        <v>0</v>
      </c>
      <c r="AI381">
        <f t="shared" si="3"/>
        <v>-5.0275482093663948E-2</v>
      </c>
      <c r="AJ381" s="4">
        <v>6895</v>
      </c>
      <c r="AK381">
        <v>0.05</v>
      </c>
      <c r="AL381">
        <v>-1E-3</v>
      </c>
      <c r="AM381">
        <v>0.2</v>
      </c>
      <c r="AN381">
        <v>-4.7999999999999996E-3</v>
      </c>
      <c r="AO381">
        <v>0.55000000000000004</v>
      </c>
      <c r="AP381">
        <v>-1.15E-2</v>
      </c>
      <c r="AQ381">
        <v>1.35</v>
      </c>
      <c r="AR381">
        <v>-2.2800000000000001E-2</v>
      </c>
      <c r="AS381">
        <v>2.6</v>
      </c>
      <c r="AT381">
        <v>-3.6799999999999999E-2</v>
      </c>
      <c r="AU381">
        <v>4.8</v>
      </c>
      <c r="AV381">
        <v>-5.6099999999999997E-2</v>
      </c>
      <c r="AW381">
        <v>7</v>
      </c>
      <c r="AX381">
        <v>-7.1400000000000005E-2</v>
      </c>
      <c r="AY381">
        <v>9</v>
      </c>
      <c r="AZ381">
        <v>-8.4400000000000003E-2</v>
      </c>
      <c r="BC381">
        <v>12.6</v>
      </c>
      <c r="BD381">
        <v>-0.10340000000000001</v>
      </c>
      <c r="BE381">
        <v>13.7</v>
      </c>
      <c r="BF381">
        <v>-0.1084</v>
      </c>
      <c r="BG381">
        <v>51.849999999999994</v>
      </c>
      <c r="BH381">
        <v>-0.50060000000000004</v>
      </c>
    </row>
    <row r="382" spans="1:60" x14ac:dyDescent="0.35">
      <c r="A382" t="s">
        <v>34</v>
      </c>
      <c r="B382" s="1">
        <v>46146.65625</v>
      </c>
      <c r="C382" t="s">
        <v>34</v>
      </c>
      <c r="D382" s="1">
        <v>46147.625</v>
      </c>
      <c r="E382">
        <v>6755</v>
      </c>
      <c r="F382" t="s">
        <v>36</v>
      </c>
      <c r="G382">
        <v>0.3</v>
      </c>
      <c r="H382">
        <v>0.3</v>
      </c>
      <c r="I382">
        <v>0.05</v>
      </c>
      <c r="J382">
        <v>0.05</v>
      </c>
      <c r="K382">
        <v>44</v>
      </c>
      <c r="L382">
        <v>435</v>
      </c>
      <c r="M382">
        <v>0.05</v>
      </c>
      <c r="N382">
        <v>597</v>
      </c>
      <c r="O382">
        <v>0.15</v>
      </c>
      <c r="P382">
        <v>0</v>
      </c>
      <c r="Q382">
        <v>0</v>
      </c>
      <c r="R382">
        <v>0</v>
      </c>
      <c r="S382">
        <v>0</v>
      </c>
      <c r="T382">
        <v>0.42880000000000001</v>
      </c>
      <c r="U382">
        <v>-2.2000000000000001E-3</v>
      </c>
      <c r="V382">
        <v>0</v>
      </c>
      <c r="W382">
        <v>-9.98E-2</v>
      </c>
      <c r="X382">
        <v>2.7799999999999998E-2</v>
      </c>
      <c r="Y382">
        <v>-4.0000000000000002E-4</v>
      </c>
      <c r="Z382">
        <v>91</v>
      </c>
      <c r="AA382">
        <v>0.05</v>
      </c>
      <c r="AB382">
        <v>255</v>
      </c>
      <c r="AC382">
        <v>0.15</v>
      </c>
      <c r="AD382">
        <v>0</v>
      </c>
      <c r="AE382">
        <v>0</v>
      </c>
      <c r="AF382">
        <v>0.27160000000000001</v>
      </c>
      <c r="AG382">
        <v>134</v>
      </c>
      <c r="AH382">
        <v>0</v>
      </c>
      <c r="AI382">
        <f t="shared" si="3"/>
        <v>-4.9586776859504078E-2</v>
      </c>
      <c r="AJ382" s="4">
        <v>6900</v>
      </c>
      <c r="AK382">
        <v>0.05</v>
      </c>
      <c r="AL382">
        <v>-1E-3</v>
      </c>
      <c r="AM382">
        <v>0.2</v>
      </c>
      <c r="AN382">
        <v>-4.8999999999999998E-3</v>
      </c>
      <c r="AO382">
        <v>0.55000000000000004</v>
      </c>
      <c r="AP382">
        <v>-1.17E-2</v>
      </c>
      <c r="AQ382">
        <v>1.4</v>
      </c>
      <c r="AR382">
        <v>-2.3699999999999999E-2</v>
      </c>
      <c r="AS382">
        <v>2.7</v>
      </c>
      <c r="AT382">
        <v>-3.7999999999999999E-2</v>
      </c>
      <c r="AU382">
        <v>5</v>
      </c>
      <c r="AV382">
        <v>-5.8299999999999998E-2</v>
      </c>
      <c r="AW382">
        <v>7.2</v>
      </c>
      <c r="AX382">
        <v>-7.3800000000000004E-2</v>
      </c>
      <c r="AY382">
        <v>9.3000000000000007</v>
      </c>
      <c r="AZ382">
        <v>-8.6800000000000002E-2</v>
      </c>
      <c r="BA382">
        <v>11.7</v>
      </c>
      <c r="BB382">
        <v>-9.98E-2</v>
      </c>
      <c r="BC382">
        <v>12.9</v>
      </c>
      <c r="BD382">
        <v>-0.106</v>
      </c>
      <c r="BE382">
        <v>14</v>
      </c>
      <c r="BF382">
        <v>-0.1113</v>
      </c>
      <c r="BG382">
        <v>65</v>
      </c>
      <c r="BH382">
        <v>-0.61529999999999996</v>
      </c>
    </row>
    <row r="383" spans="1:60" x14ac:dyDescent="0.35">
      <c r="A383" t="s">
        <v>34</v>
      </c>
      <c r="B383" s="1">
        <v>46146.65625</v>
      </c>
      <c r="C383" t="s">
        <v>34</v>
      </c>
      <c r="D383" s="1">
        <v>46147.625</v>
      </c>
      <c r="E383">
        <v>6760</v>
      </c>
      <c r="F383" t="s">
        <v>36</v>
      </c>
      <c r="G383">
        <v>0.12</v>
      </c>
      <c r="H383">
        <v>0.3</v>
      </c>
      <c r="I383">
        <v>0.1</v>
      </c>
      <c r="J383">
        <v>0.1</v>
      </c>
      <c r="K383">
        <v>59</v>
      </c>
      <c r="L383">
        <v>421</v>
      </c>
      <c r="M383">
        <v>0.05</v>
      </c>
      <c r="N383">
        <v>569</v>
      </c>
      <c r="O383">
        <v>0.15</v>
      </c>
      <c r="P383">
        <v>0</v>
      </c>
      <c r="Q383">
        <v>0</v>
      </c>
      <c r="R383">
        <v>0</v>
      </c>
      <c r="S383">
        <v>0</v>
      </c>
      <c r="T383">
        <v>0.42430000000000001</v>
      </c>
      <c r="U383">
        <v>-2.3E-3</v>
      </c>
      <c r="V383">
        <v>0</v>
      </c>
      <c r="W383">
        <v>-9.98E-2</v>
      </c>
      <c r="X383">
        <v>2.8000000000000001E-2</v>
      </c>
      <c r="Y383">
        <v>-4.0000000000000002E-4</v>
      </c>
      <c r="Z383">
        <v>93</v>
      </c>
      <c r="AA383">
        <v>0.05</v>
      </c>
      <c r="AB383">
        <v>196</v>
      </c>
      <c r="AC383">
        <v>0.15</v>
      </c>
      <c r="AD383">
        <v>0</v>
      </c>
      <c r="AE383">
        <v>0</v>
      </c>
      <c r="AF383">
        <v>0.22539999999999999</v>
      </c>
      <c r="AG383">
        <v>307</v>
      </c>
      <c r="AH383">
        <v>0</v>
      </c>
      <c r="AI383">
        <f t="shared" si="3"/>
        <v>-4.8898071625344319E-2</v>
      </c>
      <c r="AJ383" s="4">
        <v>6905</v>
      </c>
      <c r="AK383">
        <v>0.05</v>
      </c>
      <c r="AL383">
        <v>-1E-3</v>
      </c>
      <c r="AM383">
        <v>0.2</v>
      </c>
      <c r="AN383">
        <v>-5.0000000000000001E-3</v>
      </c>
      <c r="AO383">
        <v>0.6</v>
      </c>
      <c r="AP383">
        <v>-1.2699999999999999E-2</v>
      </c>
      <c r="AQ383">
        <v>1.45</v>
      </c>
      <c r="AR383">
        <v>-2.47E-2</v>
      </c>
      <c r="AS383">
        <v>2.85</v>
      </c>
      <c r="AT383">
        <v>-0.04</v>
      </c>
      <c r="AU383">
        <v>5.2</v>
      </c>
      <c r="AV383">
        <v>-6.0199999999999997E-2</v>
      </c>
      <c r="AW383">
        <v>7.5</v>
      </c>
      <c r="AX383">
        <v>-7.5999999999999998E-2</v>
      </c>
      <c r="AY383">
        <v>9.6</v>
      </c>
      <c r="AZ383">
        <v>-8.9499999999999996E-2</v>
      </c>
      <c r="BC383">
        <v>13.3</v>
      </c>
      <c r="BD383">
        <v>-0.109</v>
      </c>
      <c r="BE383">
        <v>14.4</v>
      </c>
      <c r="BF383">
        <v>-0.11409999999999999</v>
      </c>
      <c r="BG383">
        <v>55.15</v>
      </c>
      <c r="BH383">
        <v>-0.53220000000000001</v>
      </c>
    </row>
    <row r="384" spans="1:60" x14ac:dyDescent="0.35">
      <c r="A384" t="s">
        <v>34</v>
      </c>
      <c r="B384" s="1">
        <v>46146.65625</v>
      </c>
      <c r="C384" t="s">
        <v>34</v>
      </c>
      <c r="D384" s="1">
        <v>46147.625</v>
      </c>
      <c r="E384">
        <v>6765</v>
      </c>
      <c r="F384" t="s">
        <v>36</v>
      </c>
      <c r="G384">
        <v>0.3</v>
      </c>
      <c r="H384">
        <v>0.3</v>
      </c>
      <c r="I384">
        <v>0.1</v>
      </c>
      <c r="J384">
        <v>0.1</v>
      </c>
      <c r="K384">
        <v>321</v>
      </c>
      <c r="L384">
        <v>414</v>
      </c>
      <c r="M384">
        <v>0.05</v>
      </c>
      <c r="N384">
        <v>551</v>
      </c>
      <c r="O384">
        <v>0.15</v>
      </c>
      <c r="P384">
        <v>0</v>
      </c>
      <c r="Q384">
        <v>0</v>
      </c>
      <c r="R384">
        <v>0</v>
      </c>
      <c r="S384">
        <v>0</v>
      </c>
      <c r="T384">
        <v>0.41980000000000001</v>
      </c>
      <c r="U384">
        <v>-2.3E-3</v>
      </c>
      <c r="V384">
        <v>0</v>
      </c>
      <c r="W384">
        <v>-9.98E-2</v>
      </c>
      <c r="X384">
        <v>2.8299999999999999E-2</v>
      </c>
      <c r="Y384">
        <v>-4.0000000000000002E-4</v>
      </c>
      <c r="Z384">
        <v>93</v>
      </c>
      <c r="AA384">
        <v>0.05</v>
      </c>
      <c r="AB384">
        <v>194</v>
      </c>
      <c r="AC384">
        <v>0.15</v>
      </c>
      <c r="AD384">
        <v>0</v>
      </c>
      <c r="AE384">
        <v>0</v>
      </c>
      <c r="AF384">
        <v>0.1147</v>
      </c>
      <c r="AG384">
        <v>35</v>
      </c>
      <c r="AH384">
        <v>0</v>
      </c>
      <c r="AI384">
        <f t="shared" si="3"/>
        <v>-4.820936639118456E-2</v>
      </c>
      <c r="AJ384" s="4">
        <v>6910</v>
      </c>
      <c r="AK384">
        <v>0.05</v>
      </c>
      <c r="AL384">
        <v>-1E-3</v>
      </c>
      <c r="AM384">
        <v>0.2</v>
      </c>
      <c r="AN384">
        <v>-5.0000000000000001E-3</v>
      </c>
      <c r="AO384">
        <v>0.65</v>
      </c>
      <c r="AP384">
        <v>-1.37E-2</v>
      </c>
      <c r="AQ384">
        <v>1.55</v>
      </c>
      <c r="AR384">
        <v>-2.63E-2</v>
      </c>
      <c r="AS384">
        <v>2.95</v>
      </c>
      <c r="AT384">
        <v>-4.1799999999999997E-2</v>
      </c>
      <c r="AU384">
        <v>5.4</v>
      </c>
      <c r="AV384">
        <v>-6.2899999999999998E-2</v>
      </c>
      <c r="AW384">
        <v>7.7</v>
      </c>
      <c r="AX384">
        <v>-7.8799999999999995E-2</v>
      </c>
      <c r="AY384">
        <v>9.9</v>
      </c>
      <c r="AZ384">
        <v>-9.2200000000000004E-2</v>
      </c>
      <c r="BA384">
        <v>12.4</v>
      </c>
      <c r="BB384">
        <v>-0.10539999999999999</v>
      </c>
      <c r="BC384">
        <v>13.7</v>
      </c>
      <c r="BD384">
        <v>-0.1116</v>
      </c>
      <c r="BE384">
        <v>14.8</v>
      </c>
      <c r="BF384">
        <v>-0.1171</v>
      </c>
      <c r="BG384">
        <v>69.3</v>
      </c>
      <c r="BH384">
        <v>-0.65579999999999994</v>
      </c>
    </row>
    <row r="385" spans="1:60" x14ac:dyDescent="0.35">
      <c r="A385" t="s">
        <v>34</v>
      </c>
      <c r="B385" s="1">
        <v>46146.65625</v>
      </c>
      <c r="C385" t="s">
        <v>34</v>
      </c>
      <c r="D385" s="1">
        <v>46147.625</v>
      </c>
      <c r="E385">
        <v>6770</v>
      </c>
      <c r="F385" t="s">
        <v>36</v>
      </c>
      <c r="G385">
        <v>0.15</v>
      </c>
      <c r="H385">
        <v>0.3</v>
      </c>
      <c r="I385">
        <v>0.15</v>
      </c>
      <c r="J385">
        <v>0.25</v>
      </c>
      <c r="K385">
        <v>33</v>
      </c>
      <c r="L385">
        <v>425</v>
      </c>
      <c r="M385">
        <v>0.05</v>
      </c>
      <c r="N385">
        <v>550</v>
      </c>
      <c r="O385">
        <v>0.15</v>
      </c>
      <c r="P385">
        <v>0</v>
      </c>
      <c r="Q385">
        <v>0</v>
      </c>
      <c r="R385">
        <v>0</v>
      </c>
      <c r="S385">
        <v>0</v>
      </c>
      <c r="T385">
        <v>0.41520000000000001</v>
      </c>
      <c r="U385">
        <v>-2.3E-3</v>
      </c>
      <c r="V385">
        <v>1E-4</v>
      </c>
      <c r="W385">
        <v>-9.98E-2</v>
      </c>
      <c r="X385">
        <v>2.86E-2</v>
      </c>
      <c r="Y385">
        <v>-4.0000000000000002E-4</v>
      </c>
      <c r="Z385">
        <v>191</v>
      </c>
      <c r="AA385">
        <v>0.05</v>
      </c>
      <c r="AB385">
        <v>196</v>
      </c>
      <c r="AC385">
        <v>0.15</v>
      </c>
      <c r="AD385">
        <v>0</v>
      </c>
      <c r="AE385">
        <v>0</v>
      </c>
      <c r="AF385">
        <v>0.2409</v>
      </c>
      <c r="AG385">
        <v>202</v>
      </c>
      <c r="AH385">
        <v>0</v>
      </c>
      <c r="AI385">
        <f t="shared" si="3"/>
        <v>-4.7520661157024802E-2</v>
      </c>
      <c r="AJ385" s="4">
        <v>6915</v>
      </c>
      <c r="AK385">
        <v>0.05</v>
      </c>
      <c r="AL385">
        <v>-1E-3</v>
      </c>
      <c r="AM385">
        <v>0.2</v>
      </c>
      <c r="AN385">
        <v>-5.1000000000000004E-3</v>
      </c>
      <c r="AO385">
        <v>0.65</v>
      </c>
      <c r="AP385">
        <v>-1.3899999999999999E-2</v>
      </c>
      <c r="AQ385">
        <v>1.6</v>
      </c>
      <c r="AR385">
        <v>-2.7300000000000001E-2</v>
      </c>
      <c r="AS385">
        <v>3.1</v>
      </c>
      <c r="AT385">
        <v>-4.3799999999999999E-2</v>
      </c>
      <c r="AU385">
        <v>5.6</v>
      </c>
      <c r="AV385">
        <v>-6.4799999999999996E-2</v>
      </c>
      <c r="AW385">
        <v>8</v>
      </c>
      <c r="AX385">
        <v>-8.1600000000000006E-2</v>
      </c>
      <c r="AY385">
        <v>10.199999999999999</v>
      </c>
      <c r="AZ385">
        <v>-9.4899999999999998E-2</v>
      </c>
      <c r="BC385">
        <v>14</v>
      </c>
      <c r="BD385">
        <v>-0.1144</v>
      </c>
      <c r="BE385">
        <v>15.2</v>
      </c>
      <c r="BF385">
        <v>-0.1201</v>
      </c>
      <c r="BG385">
        <v>58.599999999999994</v>
      </c>
      <c r="BH385">
        <v>-0.56689999999999996</v>
      </c>
    </row>
    <row r="386" spans="1:60" x14ac:dyDescent="0.35">
      <c r="A386" t="s">
        <v>34</v>
      </c>
      <c r="B386" s="1">
        <v>46146.65625</v>
      </c>
      <c r="C386" t="s">
        <v>34</v>
      </c>
      <c r="D386" s="1">
        <v>46147.625</v>
      </c>
      <c r="E386">
        <v>6775</v>
      </c>
      <c r="F386" t="s">
        <v>36</v>
      </c>
      <c r="G386">
        <v>0.15</v>
      </c>
      <c r="H386">
        <v>0.25</v>
      </c>
      <c r="I386">
        <v>0.05</v>
      </c>
      <c r="J386">
        <v>0.1</v>
      </c>
      <c r="K386">
        <v>281</v>
      </c>
      <c r="L386">
        <v>459</v>
      </c>
      <c r="M386">
        <v>0.05</v>
      </c>
      <c r="N386">
        <v>14</v>
      </c>
      <c r="O386">
        <v>0.1</v>
      </c>
      <c r="P386">
        <v>0</v>
      </c>
      <c r="Q386">
        <v>0</v>
      </c>
      <c r="R386">
        <v>0</v>
      </c>
      <c r="S386">
        <v>0</v>
      </c>
      <c r="T386">
        <v>0.39960000000000001</v>
      </c>
      <c r="U386">
        <v>-1.8E-3</v>
      </c>
      <c r="V386">
        <v>0</v>
      </c>
      <c r="W386">
        <v>-7.4800000000000005E-2</v>
      </c>
      <c r="X386">
        <v>2.3400000000000001E-2</v>
      </c>
      <c r="Y386">
        <v>-4.0000000000000002E-4</v>
      </c>
      <c r="Z386">
        <v>241</v>
      </c>
      <c r="AA386">
        <v>0.05</v>
      </c>
      <c r="AB386">
        <v>194</v>
      </c>
      <c r="AC386">
        <v>0.15</v>
      </c>
      <c r="AD386">
        <v>0</v>
      </c>
      <c r="AE386">
        <v>0</v>
      </c>
      <c r="AF386">
        <v>0.14760000000000001</v>
      </c>
      <c r="AG386">
        <v>682</v>
      </c>
      <c r="AH386">
        <v>0</v>
      </c>
      <c r="AI386">
        <f t="shared" si="3"/>
        <v>-4.6831955922865043E-2</v>
      </c>
      <c r="AJ386" s="4">
        <v>6920</v>
      </c>
      <c r="AK386">
        <v>0.05</v>
      </c>
      <c r="AL386">
        <v>-1E-3</v>
      </c>
      <c r="AM386">
        <v>0.25</v>
      </c>
      <c r="AN386">
        <v>-5.7999999999999996E-3</v>
      </c>
      <c r="AO386">
        <v>0.7</v>
      </c>
      <c r="AP386">
        <v>-1.4999999999999999E-2</v>
      </c>
      <c r="AQ386">
        <v>1.7</v>
      </c>
      <c r="AR386">
        <v>-2.8899999999999999E-2</v>
      </c>
      <c r="AS386">
        <v>3.2</v>
      </c>
      <c r="AT386">
        <v>-4.5600000000000002E-2</v>
      </c>
      <c r="AU386">
        <v>5.8</v>
      </c>
      <c r="AV386">
        <v>-6.7500000000000004E-2</v>
      </c>
      <c r="AW386">
        <v>8.3000000000000007</v>
      </c>
      <c r="AX386">
        <v>-8.4199999999999997E-2</v>
      </c>
      <c r="AY386">
        <v>10.6</v>
      </c>
      <c r="AZ386">
        <v>-9.7900000000000001E-2</v>
      </c>
      <c r="BA386">
        <v>13.1</v>
      </c>
      <c r="BB386">
        <v>-0.1115</v>
      </c>
      <c r="BC386">
        <v>14.4</v>
      </c>
      <c r="BD386">
        <v>-0.1177</v>
      </c>
      <c r="BE386">
        <v>15.6</v>
      </c>
      <c r="BF386">
        <v>-0.1232</v>
      </c>
      <c r="BG386">
        <v>73.7</v>
      </c>
      <c r="BH386">
        <v>-0.69829999999999992</v>
      </c>
    </row>
    <row r="387" spans="1:60" x14ac:dyDescent="0.35">
      <c r="A387" t="s">
        <v>34</v>
      </c>
      <c r="B387" s="1">
        <v>46146.65625</v>
      </c>
      <c r="C387" t="s">
        <v>34</v>
      </c>
      <c r="D387" s="1">
        <v>46147.625</v>
      </c>
      <c r="E387">
        <v>6780</v>
      </c>
      <c r="F387" t="s">
        <v>36</v>
      </c>
      <c r="G387">
        <v>0.12</v>
      </c>
      <c r="H387">
        <v>0.3</v>
      </c>
      <c r="I387">
        <v>0.12</v>
      </c>
      <c r="J387">
        <v>0.3</v>
      </c>
      <c r="K387">
        <v>15</v>
      </c>
      <c r="L387">
        <v>426</v>
      </c>
      <c r="M387">
        <v>0.05</v>
      </c>
      <c r="N387">
        <v>568</v>
      </c>
      <c r="O387">
        <v>0.15</v>
      </c>
      <c r="P387">
        <v>0</v>
      </c>
      <c r="Q387">
        <v>0</v>
      </c>
      <c r="R387">
        <v>0</v>
      </c>
      <c r="S387">
        <v>0</v>
      </c>
      <c r="T387">
        <v>0.40620000000000001</v>
      </c>
      <c r="U387">
        <v>-2.3E-3</v>
      </c>
      <c r="V387">
        <v>1E-4</v>
      </c>
      <c r="W387">
        <v>-9.98E-2</v>
      </c>
      <c r="X387">
        <v>2.92E-2</v>
      </c>
      <c r="Y387">
        <v>-5.0000000000000001E-4</v>
      </c>
      <c r="Z387">
        <v>216</v>
      </c>
      <c r="AA387">
        <v>0.05</v>
      </c>
      <c r="AB387">
        <v>195</v>
      </c>
      <c r="AC387">
        <v>0.15</v>
      </c>
      <c r="AD387">
        <v>0</v>
      </c>
      <c r="AE387">
        <v>0</v>
      </c>
      <c r="AF387">
        <v>0.24</v>
      </c>
      <c r="AG387">
        <v>160</v>
      </c>
      <c r="AH387">
        <v>0</v>
      </c>
      <c r="AI387">
        <f t="shared" si="3"/>
        <v>-4.6143250688705284E-2</v>
      </c>
      <c r="AJ387" s="4">
        <v>6925</v>
      </c>
      <c r="AK387">
        <v>0.05</v>
      </c>
      <c r="AL387">
        <v>-1.1000000000000001E-3</v>
      </c>
      <c r="AM387">
        <v>0.25</v>
      </c>
      <c r="AN387">
        <v>-5.8999999999999999E-3</v>
      </c>
      <c r="AO387">
        <v>0.75</v>
      </c>
      <c r="AP387">
        <v>-1.6E-2</v>
      </c>
      <c r="AQ387">
        <v>1.8</v>
      </c>
      <c r="AR387">
        <v>-3.0200000000000001E-2</v>
      </c>
      <c r="AS387">
        <v>3.4</v>
      </c>
      <c r="AT387">
        <v>-4.7699999999999999E-2</v>
      </c>
      <c r="AU387">
        <v>6.1</v>
      </c>
      <c r="AV387">
        <v>-7.0199999999999999E-2</v>
      </c>
      <c r="AW387">
        <v>8.6</v>
      </c>
      <c r="AX387">
        <v>-8.7099999999999997E-2</v>
      </c>
      <c r="AY387">
        <v>10.9</v>
      </c>
      <c r="AZ387">
        <v>-0.10100000000000001</v>
      </c>
      <c r="BA387">
        <v>13.5</v>
      </c>
      <c r="BB387">
        <v>-0.1145</v>
      </c>
      <c r="BC387">
        <v>14.8</v>
      </c>
      <c r="BD387">
        <v>-0.1208</v>
      </c>
      <c r="BE387">
        <v>16</v>
      </c>
      <c r="BF387">
        <v>-0.1263</v>
      </c>
      <c r="BG387">
        <v>76.150000000000006</v>
      </c>
      <c r="BH387">
        <v>-0.72079999999999989</v>
      </c>
    </row>
    <row r="388" spans="1:60" x14ac:dyDescent="0.35">
      <c r="A388" t="s">
        <v>34</v>
      </c>
      <c r="B388" s="1">
        <v>46146.65625</v>
      </c>
      <c r="C388" t="s">
        <v>34</v>
      </c>
      <c r="D388" s="1">
        <v>46147.625</v>
      </c>
      <c r="E388">
        <v>6785</v>
      </c>
      <c r="F388" t="s">
        <v>36</v>
      </c>
      <c r="G388">
        <v>0.15</v>
      </c>
      <c r="H388">
        <v>0.35</v>
      </c>
      <c r="I388">
        <v>0.1</v>
      </c>
      <c r="J388">
        <v>0.1</v>
      </c>
      <c r="K388">
        <v>40</v>
      </c>
      <c r="L388">
        <v>437</v>
      </c>
      <c r="M388">
        <v>0.05</v>
      </c>
      <c r="N388">
        <v>559</v>
      </c>
      <c r="O388">
        <v>0.15</v>
      </c>
      <c r="P388">
        <v>0</v>
      </c>
      <c r="Q388">
        <v>0</v>
      </c>
      <c r="R388">
        <v>0</v>
      </c>
      <c r="S388">
        <v>0</v>
      </c>
      <c r="T388">
        <v>0.4017</v>
      </c>
      <c r="U388">
        <v>-2.3999999999999998E-3</v>
      </c>
      <c r="V388">
        <v>1E-4</v>
      </c>
      <c r="W388">
        <v>-9.98E-2</v>
      </c>
      <c r="X388">
        <v>2.9499999999999998E-2</v>
      </c>
      <c r="Y388">
        <v>-5.0000000000000001E-4</v>
      </c>
      <c r="Z388">
        <v>218</v>
      </c>
      <c r="AA388">
        <v>0.05</v>
      </c>
      <c r="AB388">
        <v>191</v>
      </c>
      <c r="AC388">
        <v>0.15</v>
      </c>
      <c r="AD388">
        <v>0</v>
      </c>
      <c r="AE388">
        <v>0</v>
      </c>
      <c r="AF388">
        <v>0.247</v>
      </c>
      <c r="AG388">
        <v>131</v>
      </c>
      <c r="AH388">
        <v>0</v>
      </c>
      <c r="AI388">
        <f t="shared" si="3"/>
        <v>-4.5454545454545414E-2</v>
      </c>
      <c r="AJ388" s="4">
        <v>6930</v>
      </c>
      <c r="AK388">
        <v>0.05</v>
      </c>
      <c r="AL388">
        <v>-1.1000000000000001E-3</v>
      </c>
      <c r="AM388">
        <v>0.25</v>
      </c>
      <c r="AN388">
        <v>-6.0000000000000001E-3</v>
      </c>
      <c r="AO388">
        <v>0.8</v>
      </c>
      <c r="AP388">
        <v>-1.66E-2</v>
      </c>
      <c r="AQ388">
        <v>1.9</v>
      </c>
      <c r="AR388">
        <v>-3.1899999999999998E-2</v>
      </c>
      <c r="AS388">
        <v>3.5</v>
      </c>
      <c r="AT388">
        <v>-4.9799999999999997E-2</v>
      </c>
      <c r="AU388">
        <v>6.3</v>
      </c>
      <c r="AV388">
        <v>-7.2900000000000006E-2</v>
      </c>
      <c r="AW388">
        <v>8.9</v>
      </c>
      <c r="AX388">
        <v>-9.0399999999999994E-2</v>
      </c>
      <c r="AY388">
        <v>11.3</v>
      </c>
      <c r="AZ388">
        <v>-0.1041</v>
      </c>
      <c r="BA388">
        <v>13.9</v>
      </c>
      <c r="BB388">
        <v>-0.1177</v>
      </c>
      <c r="BC388">
        <v>15.2</v>
      </c>
      <c r="BD388">
        <v>-0.124</v>
      </c>
      <c r="BE388">
        <v>16.5</v>
      </c>
      <c r="BF388">
        <v>-0.12959999999999999</v>
      </c>
      <c r="BG388">
        <v>78.599999999999994</v>
      </c>
      <c r="BH388">
        <v>-0.74409999999999998</v>
      </c>
    </row>
    <row r="389" spans="1:60" x14ac:dyDescent="0.35">
      <c r="A389" t="s">
        <v>34</v>
      </c>
      <c r="B389" s="1">
        <v>46146.65625</v>
      </c>
      <c r="C389" t="s">
        <v>34</v>
      </c>
      <c r="D389" s="1">
        <v>46147.625</v>
      </c>
      <c r="E389">
        <v>6790</v>
      </c>
      <c r="F389" t="s">
        <v>36</v>
      </c>
      <c r="G389">
        <v>0.15</v>
      </c>
      <c r="H389">
        <v>0.35</v>
      </c>
      <c r="I389">
        <v>0.1</v>
      </c>
      <c r="J389">
        <v>0.1</v>
      </c>
      <c r="K389">
        <v>54</v>
      </c>
      <c r="L389">
        <v>460</v>
      </c>
      <c r="M389">
        <v>0.05</v>
      </c>
      <c r="N389">
        <v>557</v>
      </c>
      <c r="O389">
        <v>0.15</v>
      </c>
      <c r="P389">
        <v>0</v>
      </c>
      <c r="Q389">
        <v>0</v>
      </c>
      <c r="R389">
        <v>0</v>
      </c>
      <c r="S389">
        <v>0</v>
      </c>
      <c r="T389">
        <v>0.3972</v>
      </c>
      <c r="U389">
        <v>-2.3999999999999998E-3</v>
      </c>
      <c r="V389">
        <v>1E-4</v>
      </c>
      <c r="W389">
        <v>-9.98E-2</v>
      </c>
      <c r="X389">
        <v>2.98E-2</v>
      </c>
      <c r="Y389">
        <v>-5.0000000000000001E-4</v>
      </c>
      <c r="Z389">
        <v>292</v>
      </c>
      <c r="AA389">
        <v>0.05</v>
      </c>
      <c r="AB389">
        <v>187</v>
      </c>
      <c r="AC389">
        <v>0.15</v>
      </c>
      <c r="AD389">
        <v>0</v>
      </c>
      <c r="AE389">
        <v>0</v>
      </c>
      <c r="AF389">
        <v>0.27479999999999999</v>
      </c>
      <c r="AG389">
        <v>154</v>
      </c>
      <c r="AH389">
        <v>0</v>
      </c>
      <c r="AI389">
        <f t="shared" si="3"/>
        <v>-4.4765840220385655E-2</v>
      </c>
      <c r="AJ389" s="4">
        <v>6935</v>
      </c>
      <c r="AK389">
        <v>0.05</v>
      </c>
      <c r="AL389">
        <v>-1.1000000000000001E-3</v>
      </c>
      <c r="AM389">
        <v>0.25</v>
      </c>
      <c r="AN389">
        <v>-6.1000000000000004E-3</v>
      </c>
      <c r="AO389">
        <v>0.85</v>
      </c>
      <c r="AP389">
        <v>-1.77E-2</v>
      </c>
      <c r="AQ389">
        <v>1.95</v>
      </c>
      <c r="AR389">
        <v>-3.3300000000000003E-2</v>
      </c>
      <c r="AS389">
        <v>3.7</v>
      </c>
      <c r="AT389">
        <v>-5.1900000000000002E-2</v>
      </c>
      <c r="AU389">
        <v>6.6</v>
      </c>
      <c r="AV389">
        <v>-7.5700000000000003E-2</v>
      </c>
      <c r="AW389">
        <v>9.1999999999999993</v>
      </c>
      <c r="AX389">
        <v>-9.3299999999999994E-2</v>
      </c>
      <c r="AY389">
        <v>11.6</v>
      </c>
      <c r="AZ389">
        <v>-0.1072</v>
      </c>
      <c r="BA389">
        <v>14.3</v>
      </c>
      <c r="BB389">
        <v>-0.12089999999999999</v>
      </c>
      <c r="BC389">
        <v>15.7</v>
      </c>
      <c r="BD389">
        <v>-0.12720000000000001</v>
      </c>
      <c r="BE389">
        <v>16.899999999999999</v>
      </c>
      <c r="BF389">
        <v>-0.13300000000000001</v>
      </c>
      <c r="BG389">
        <v>81.099999999999994</v>
      </c>
      <c r="BH389">
        <v>-0.76739999999999997</v>
      </c>
    </row>
    <row r="390" spans="1:60" x14ac:dyDescent="0.35">
      <c r="A390" t="s">
        <v>34</v>
      </c>
      <c r="B390" s="1">
        <v>46146.65625</v>
      </c>
      <c r="C390" t="s">
        <v>34</v>
      </c>
      <c r="D390" s="1">
        <v>46147.625</v>
      </c>
      <c r="E390">
        <v>6795</v>
      </c>
      <c r="F390" t="s">
        <v>36</v>
      </c>
      <c r="G390">
        <v>0.15</v>
      </c>
      <c r="H390">
        <v>0.3</v>
      </c>
      <c r="I390">
        <v>0.15</v>
      </c>
      <c r="J390">
        <v>0.3</v>
      </c>
      <c r="K390">
        <v>106</v>
      </c>
      <c r="L390">
        <v>446</v>
      </c>
      <c r="M390">
        <v>0.05</v>
      </c>
      <c r="N390">
        <v>562</v>
      </c>
      <c r="O390">
        <v>0.15</v>
      </c>
      <c r="P390">
        <v>0</v>
      </c>
      <c r="Q390">
        <v>0</v>
      </c>
      <c r="R390">
        <v>0</v>
      </c>
      <c r="S390">
        <v>0</v>
      </c>
      <c r="T390">
        <v>0.39269999999999999</v>
      </c>
      <c r="U390">
        <v>-2.3999999999999998E-3</v>
      </c>
      <c r="V390">
        <v>1E-4</v>
      </c>
      <c r="W390">
        <v>-9.98E-2</v>
      </c>
      <c r="X390">
        <v>3.0099999999999998E-2</v>
      </c>
      <c r="Y390">
        <v>-5.0000000000000001E-4</v>
      </c>
      <c r="Z390">
        <v>394</v>
      </c>
      <c r="AA390">
        <v>0.05</v>
      </c>
      <c r="AB390">
        <v>189</v>
      </c>
      <c r="AC390">
        <v>0.15</v>
      </c>
      <c r="AD390">
        <v>0</v>
      </c>
      <c r="AE390">
        <v>0</v>
      </c>
      <c r="AF390">
        <v>0.2321</v>
      </c>
      <c r="AG390">
        <v>112</v>
      </c>
      <c r="AH390">
        <v>0</v>
      </c>
      <c r="AI390">
        <f t="shared" si="3"/>
        <v>-4.4077134986225897E-2</v>
      </c>
      <c r="AJ390" s="4">
        <v>6940</v>
      </c>
      <c r="AK390">
        <v>0.05</v>
      </c>
      <c r="AL390">
        <v>-1.1000000000000001E-3</v>
      </c>
      <c r="AM390">
        <v>0.25</v>
      </c>
      <c r="AN390">
        <v>-6.7999999999999996E-3</v>
      </c>
      <c r="AO390">
        <v>0.85</v>
      </c>
      <c r="AP390">
        <v>-1.84E-2</v>
      </c>
      <c r="AQ390">
        <v>2.0499999999999998</v>
      </c>
      <c r="AR390">
        <v>-3.5000000000000003E-2</v>
      </c>
      <c r="AS390">
        <v>3.9</v>
      </c>
      <c r="AT390">
        <v>-5.45E-2</v>
      </c>
      <c r="AU390">
        <v>6.8</v>
      </c>
      <c r="AV390">
        <v>-7.8600000000000003E-2</v>
      </c>
      <c r="AW390">
        <v>9.5</v>
      </c>
      <c r="AX390">
        <v>-9.6299999999999997E-2</v>
      </c>
      <c r="AY390">
        <v>12</v>
      </c>
      <c r="AZ390">
        <v>-0.1106</v>
      </c>
      <c r="BA390">
        <v>14.7</v>
      </c>
      <c r="BB390">
        <v>-0.1242</v>
      </c>
      <c r="BC390">
        <v>16.100000000000001</v>
      </c>
      <c r="BD390">
        <v>-0.13059999999999999</v>
      </c>
      <c r="BE390">
        <v>17.399999999999999</v>
      </c>
      <c r="BF390">
        <v>-0.1363</v>
      </c>
      <c r="BG390">
        <v>83.6</v>
      </c>
      <c r="BH390">
        <v>-0.79239999999999988</v>
      </c>
    </row>
    <row r="391" spans="1:60" x14ac:dyDescent="0.35">
      <c r="A391" t="s">
        <v>34</v>
      </c>
      <c r="B391" s="1">
        <v>46146.65625</v>
      </c>
      <c r="C391" t="s">
        <v>34</v>
      </c>
      <c r="D391" s="1">
        <v>46147.625</v>
      </c>
      <c r="E391">
        <v>6800</v>
      </c>
      <c r="F391" t="s">
        <v>36</v>
      </c>
      <c r="G391">
        <v>0.15</v>
      </c>
      <c r="H391">
        <v>0.35</v>
      </c>
      <c r="I391">
        <v>0.05</v>
      </c>
      <c r="J391">
        <v>0.1</v>
      </c>
      <c r="K391">
        <v>723</v>
      </c>
      <c r="L391">
        <v>33</v>
      </c>
      <c r="M391">
        <v>0.1</v>
      </c>
      <c r="N391">
        <v>504</v>
      </c>
      <c r="O391">
        <v>0.15</v>
      </c>
      <c r="P391">
        <v>0</v>
      </c>
      <c r="Q391">
        <v>0</v>
      </c>
      <c r="R391">
        <v>0</v>
      </c>
      <c r="S391">
        <v>0</v>
      </c>
      <c r="T391">
        <v>0.38790000000000002</v>
      </c>
      <c r="U391">
        <v>-2.3999999999999998E-3</v>
      </c>
      <c r="V391">
        <v>1E-4</v>
      </c>
      <c r="W391">
        <v>-9.98E-2</v>
      </c>
      <c r="X391">
        <v>3.04E-2</v>
      </c>
      <c r="Y391">
        <v>-5.0000000000000001E-4</v>
      </c>
      <c r="Z391">
        <v>376</v>
      </c>
      <c r="AA391">
        <v>0.05</v>
      </c>
      <c r="AB391">
        <v>4</v>
      </c>
      <c r="AC391">
        <v>0.1</v>
      </c>
      <c r="AD391">
        <v>0</v>
      </c>
      <c r="AE391">
        <v>0</v>
      </c>
      <c r="AF391">
        <v>0.16650000000000001</v>
      </c>
      <c r="AG391">
        <v>5964</v>
      </c>
      <c r="AH391">
        <v>0</v>
      </c>
      <c r="AI391">
        <f t="shared" si="3"/>
        <v>-4.3388429752066138E-2</v>
      </c>
      <c r="AJ391" s="4">
        <v>6945</v>
      </c>
      <c r="AK391">
        <v>0.05</v>
      </c>
      <c r="AL391">
        <v>-1.1000000000000001E-3</v>
      </c>
      <c r="AM391">
        <v>0.25</v>
      </c>
      <c r="AN391">
        <v>-6.8999999999999999E-3</v>
      </c>
      <c r="AO391">
        <v>0.95</v>
      </c>
      <c r="AP391">
        <v>-1.9900000000000001E-2</v>
      </c>
      <c r="AQ391">
        <v>2.2000000000000002</v>
      </c>
      <c r="AR391">
        <v>-3.7100000000000001E-2</v>
      </c>
      <c r="AS391">
        <v>4.0999999999999996</v>
      </c>
      <c r="AT391">
        <v>-5.7200000000000001E-2</v>
      </c>
      <c r="AU391">
        <v>7.1</v>
      </c>
      <c r="AV391">
        <v>-8.1699999999999995E-2</v>
      </c>
      <c r="AW391">
        <v>9.9</v>
      </c>
      <c r="AX391">
        <v>-9.9599999999999994E-2</v>
      </c>
      <c r="AY391">
        <v>12.4</v>
      </c>
      <c r="AZ391">
        <v>-0.114</v>
      </c>
      <c r="BA391">
        <v>15.2</v>
      </c>
      <c r="BB391">
        <v>-0.12790000000000001</v>
      </c>
      <c r="BC391">
        <v>16.5</v>
      </c>
      <c r="BD391">
        <v>-0.1341</v>
      </c>
      <c r="BE391">
        <v>17.899999999999999</v>
      </c>
      <c r="BF391">
        <v>-0.13980000000000001</v>
      </c>
      <c r="BG391">
        <v>86.549999999999983</v>
      </c>
      <c r="BH391">
        <v>-0.81930000000000003</v>
      </c>
    </row>
    <row r="392" spans="1:60" x14ac:dyDescent="0.35">
      <c r="A392" t="s">
        <v>34</v>
      </c>
      <c r="B392" s="1">
        <v>46146.65625</v>
      </c>
      <c r="C392" t="s">
        <v>34</v>
      </c>
      <c r="D392" s="1">
        <v>46147.625</v>
      </c>
      <c r="E392">
        <v>6805</v>
      </c>
      <c r="F392" t="s">
        <v>36</v>
      </c>
      <c r="G392">
        <v>0.15</v>
      </c>
      <c r="H392">
        <v>0.15</v>
      </c>
      <c r="I392">
        <v>0.13</v>
      </c>
      <c r="J392">
        <v>0.13</v>
      </c>
      <c r="K392">
        <v>55</v>
      </c>
      <c r="L392">
        <v>37</v>
      </c>
      <c r="M392">
        <v>0.1</v>
      </c>
      <c r="N392">
        <v>454</v>
      </c>
      <c r="O392">
        <v>0.15</v>
      </c>
      <c r="P392">
        <v>0</v>
      </c>
      <c r="Q392">
        <v>0</v>
      </c>
      <c r="R392">
        <v>0</v>
      </c>
      <c r="S392">
        <v>0</v>
      </c>
      <c r="T392">
        <v>0.39169999999999999</v>
      </c>
      <c r="U392">
        <v>-3.0000000000000001E-3</v>
      </c>
      <c r="V392">
        <v>1E-4</v>
      </c>
      <c r="W392">
        <v>-0.12470000000000001</v>
      </c>
      <c r="X392">
        <v>3.61E-2</v>
      </c>
      <c r="Y392">
        <v>-5.9999999999999995E-4</v>
      </c>
      <c r="Z392">
        <v>368</v>
      </c>
      <c r="AA392">
        <v>0.05</v>
      </c>
      <c r="AB392">
        <v>172</v>
      </c>
      <c r="AC392">
        <v>0.15</v>
      </c>
      <c r="AD392">
        <v>0</v>
      </c>
      <c r="AE392">
        <v>0</v>
      </c>
      <c r="AF392">
        <v>0.13619999999999999</v>
      </c>
      <c r="AG392">
        <v>336</v>
      </c>
      <c r="AH392">
        <v>0</v>
      </c>
      <c r="AI392">
        <f t="shared" si="3"/>
        <v>-4.2699724517906379E-2</v>
      </c>
      <c r="AJ392" s="4">
        <v>6950</v>
      </c>
      <c r="AK392">
        <v>0.05</v>
      </c>
      <c r="AL392">
        <v>-1.1000000000000001E-3</v>
      </c>
      <c r="AM392">
        <v>0.25</v>
      </c>
      <c r="AN392">
        <v>-7.0000000000000001E-3</v>
      </c>
      <c r="AO392">
        <v>1</v>
      </c>
      <c r="AP392">
        <v>-2.06E-2</v>
      </c>
      <c r="AQ392">
        <v>2.35</v>
      </c>
      <c r="AR392">
        <v>-3.9100000000000003E-2</v>
      </c>
      <c r="AS392">
        <v>4.3</v>
      </c>
      <c r="AT392">
        <v>-5.9799999999999999E-2</v>
      </c>
      <c r="AU392">
        <v>7.4</v>
      </c>
      <c r="AV392">
        <v>-8.5000000000000006E-2</v>
      </c>
      <c r="AW392">
        <v>10.199999999999999</v>
      </c>
      <c r="AX392">
        <v>-0.10299999999999999</v>
      </c>
      <c r="AY392">
        <v>12.8</v>
      </c>
      <c r="AZ392">
        <v>-0.11749999999999999</v>
      </c>
      <c r="BA392">
        <v>15.6</v>
      </c>
      <c r="BB392">
        <v>-0.1313</v>
      </c>
      <c r="BC392">
        <v>17</v>
      </c>
      <c r="BD392">
        <v>-0.13769999999999999</v>
      </c>
      <c r="BE392">
        <v>18.3</v>
      </c>
      <c r="BF392">
        <v>-0.1434</v>
      </c>
      <c r="BG392">
        <v>89.25</v>
      </c>
      <c r="BH392">
        <v>-0.84549999999999992</v>
      </c>
    </row>
    <row r="393" spans="1:60" x14ac:dyDescent="0.35">
      <c r="A393" t="s">
        <v>34</v>
      </c>
      <c r="B393" s="1">
        <v>46146.65625</v>
      </c>
      <c r="C393" t="s">
        <v>34</v>
      </c>
      <c r="D393" s="1">
        <v>46147.625</v>
      </c>
      <c r="E393">
        <v>6810</v>
      </c>
      <c r="F393" t="s">
        <v>36</v>
      </c>
      <c r="G393">
        <v>0.15</v>
      </c>
      <c r="H393">
        <v>0.4</v>
      </c>
      <c r="I393">
        <v>0.1</v>
      </c>
      <c r="J393">
        <v>0.15</v>
      </c>
      <c r="K393">
        <v>133</v>
      </c>
      <c r="L393">
        <v>41</v>
      </c>
      <c r="M393">
        <v>0.1</v>
      </c>
      <c r="N393">
        <v>389</v>
      </c>
      <c r="O393">
        <v>0.15</v>
      </c>
      <c r="P393">
        <v>0</v>
      </c>
      <c r="Q393">
        <v>0</v>
      </c>
      <c r="R393">
        <v>0</v>
      </c>
      <c r="S393">
        <v>0</v>
      </c>
      <c r="T393">
        <v>0.3871</v>
      </c>
      <c r="U393">
        <v>-3.0000000000000001E-3</v>
      </c>
      <c r="V393">
        <v>1E-4</v>
      </c>
      <c r="W393">
        <v>-0.12470000000000001</v>
      </c>
      <c r="X393">
        <v>3.6499999999999998E-2</v>
      </c>
      <c r="Y393">
        <v>-5.9999999999999995E-4</v>
      </c>
      <c r="Z393">
        <v>411</v>
      </c>
      <c r="AA393">
        <v>0.05</v>
      </c>
      <c r="AB393">
        <v>176</v>
      </c>
      <c r="AC393">
        <v>0.15</v>
      </c>
      <c r="AD393">
        <v>0</v>
      </c>
      <c r="AE393">
        <v>0</v>
      </c>
      <c r="AF393">
        <v>0.21199999999999999</v>
      </c>
      <c r="AG393">
        <v>404</v>
      </c>
      <c r="AH393">
        <v>0</v>
      </c>
      <c r="AI393">
        <f t="shared" si="3"/>
        <v>-4.2011019283746509E-2</v>
      </c>
      <c r="AJ393" s="4">
        <v>6955</v>
      </c>
      <c r="AK393">
        <v>0.05</v>
      </c>
      <c r="AL393">
        <v>-1.1999999999999999E-3</v>
      </c>
      <c r="AM393">
        <v>0.3</v>
      </c>
      <c r="AN393">
        <v>-7.7000000000000002E-3</v>
      </c>
      <c r="AO393">
        <v>1.05</v>
      </c>
      <c r="AP393">
        <v>-2.2599999999999999E-2</v>
      </c>
      <c r="AQ393">
        <v>2.4500000000000002</v>
      </c>
      <c r="AR393">
        <v>-4.1200000000000001E-2</v>
      </c>
      <c r="AS393">
        <v>4.5</v>
      </c>
      <c r="AT393">
        <v>-6.25E-2</v>
      </c>
      <c r="AU393">
        <v>7.7</v>
      </c>
      <c r="AV393">
        <v>-8.8200000000000001E-2</v>
      </c>
      <c r="AW393">
        <v>10.6</v>
      </c>
      <c r="AX393">
        <v>-0.1066</v>
      </c>
      <c r="AY393">
        <v>13.2</v>
      </c>
      <c r="AZ393">
        <v>-0.121</v>
      </c>
      <c r="BA393">
        <v>16.100000000000001</v>
      </c>
      <c r="BB393">
        <v>-0.1351</v>
      </c>
      <c r="BC393">
        <v>17.5</v>
      </c>
      <c r="BD393">
        <v>-0.1414</v>
      </c>
      <c r="BE393">
        <v>18.8</v>
      </c>
      <c r="BF393">
        <v>-0.14710000000000001</v>
      </c>
      <c r="BG393">
        <v>92.249999999999986</v>
      </c>
      <c r="BH393">
        <v>-0.87459999999999993</v>
      </c>
    </row>
    <row r="394" spans="1:60" x14ac:dyDescent="0.35">
      <c r="A394" t="s">
        <v>34</v>
      </c>
      <c r="B394" s="1">
        <v>46146.65625</v>
      </c>
      <c r="C394" t="s">
        <v>34</v>
      </c>
      <c r="D394" s="1">
        <v>46147.625</v>
      </c>
      <c r="E394">
        <v>6815</v>
      </c>
      <c r="F394" t="s">
        <v>36</v>
      </c>
      <c r="G394">
        <v>0.15</v>
      </c>
      <c r="H394">
        <v>0.35</v>
      </c>
      <c r="I394">
        <v>0.1</v>
      </c>
      <c r="J394">
        <v>0.1</v>
      </c>
      <c r="K394">
        <v>53</v>
      </c>
      <c r="L394">
        <v>45</v>
      </c>
      <c r="M394">
        <v>0.1</v>
      </c>
      <c r="N394">
        <v>347</v>
      </c>
      <c r="O394">
        <v>0.15</v>
      </c>
      <c r="P394">
        <v>0</v>
      </c>
      <c r="Q394">
        <v>0</v>
      </c>
      <c r="R394">
        <v>0</v>
      </c>
      <c r="S394">
        <v>0</v>
      </c>
      <c r="T394">
        <v>0.38250000000000001</v>
      </c>
      <c r="U394">
        <v>-3.0000000000000001E-3</v>
      </c>
      <c r="V394">
        <v>1E-4</v>
      </c>
      <c r="W394">
        <v>-0.12470000000000001</v>
      </c>
      <c r="X394">
        <v>3.6900000000000002E-2</v>
      </c>
      <c r="Y394">
        <v>-5.9999999999999995E-4</v>
      </c>
      <c r="Z394">
        <v>340</v>
      </c>
      <c r="AA394">
        <v>0.05</v>
      </c>
      <c r="AB394">
        <v>171</v>
      </c>
      <c r="AC394">
        <v>0.15</v>
      </c>
      <c r="AD394">
        <v>0</v>
      </c>
      <c r="AE394">
        <v>0</v>
      </c>
      <c r="AF394">
        <v>0.29530000000000001</v>
      </c>
      <c r="AG394">
        <v>164</v>
      </c>
      <c r="AH394">
        <v>0</v>
      </c>
      <c r="AI394">
        <f t="shared" si="3"/>
        <v>-4.132231404958675E-2</v>
      </c>
      <c r="AJ394" s="4">
        <v>6960</v>
      </c>
      <c r="AK394">
        <v>0.05</v>
      </c>
      <c r="AL394">
        <v>-1.1999999999999999E-3</v>
      </c>
      <c r="AM394">
        <v>0.3</v>
      </c>
      <c r="AN394">
        <v>-7.7999999999999996E-3</v>
      </c>
      <c r="AO394">
        <v>1.1000000000000001</v>
      </c>
      <c r="AP394">
        <v>-2.3800000000000002E-2</v>
      </c>
      <c r="AQ394">
        <v>2.6</v>
      </c>
      <c r="AR394">
        <v>-4.36E-2</v>
      </c>
      <c r="AS394">
        <v>4.7</v>
      </c>
      <c r="AT394">
        <v>-6.5299999999999997E-2</v>
      </c>
      <c r="AU394">
        <v>8</v>
      </c>
      <c r="AV394">
        <v>-9.1499999999999998E-2</v>
      </c>
      <c r="AW394">
        <v>11</v>
      </c>
      <c r="AX394">
        <v>-0.1104</v>
      </c>
      <c r="AY394">
        <v>13.6</v>
      </c>
      <c r="AZ394">
        <v>-0.1245</v>
      </c>
      <c r="BA394">
        <v>16.600000000000001</v>
      </c>
      <c r="BB394">
        <v>-0.13900000000000001</v>
      </c>
      <c r="BC394">
        <v>18</v>
      </c>
      <c r="BD394">
        <v>-0.1452</v>
      </c>
      <c r="BE394">
        <v>19.399999999999999</v>
      </c>
      <c r="BF394">
        <v>-0.15079999999999999</v>
      </c>
      <c r="BG394">
        <v>95.35</v>
      </c>
      <c r="BH394">
        <v>-0.90310000000000001</v>
      </c>
    </row>
    <row r="395" spans="1:60" x14ac:dyDescent="0.35">
      <c r="A395" t="s">
        <v>34</v>
      </c>
      <c r="B395" s="1">
        <v>46146.65625</v>
      </c>
      <c r="C395" t="s">
        <v>34</v>
      </c>
      <c r="D395" s="1">
        <v>46147.625</v>
      </c>
      <c r="E395">
        <v>6820</v>
      </c>
      <c r="F395" t="s">
        <v>36</v>
      </c>
      <c r="G395">
        <v>0.15</v>
      </c>
      <c r="H395">
        <v>0.35</v>
      </c>
      <c r="I395">
        <v>0.1</v>
      </c>
      <c r="J395">
        <v>0.1</v>
      </c>
      <c r="K395">
        <v>93</v>
      </c>
      <c r="L395">
        <v>45</v>
      </c>
      <c r="M395">
        <v>0.1</v>
      </c>
      <c r="N395">
        <v>345</v>
      </c>
      <c r="O395">
        <v>0.15</v>
      </c>
      <c r="P395">
        <v>0</v>
      </c>
      <c r="Q395">
        <v>0</v>
      </c>
      <c r="R395">
        <v>0</v>
      </c>
      <c r="S395">
        <v>0</v>
      </c>
      <c r="T395">
        <v>0.37790000000000001</v>
      </c>
      <c r="U395">
        <v>-3.0999999999999999E-3</v>
      </c>
      <c r="V395">
        <v>1E-4</v>
      </c>
      <c r="W395">
        <v>-0.12470000000000001</v>
      </c>
      <c r="X395">
        <v>3.73E-2</v>
      </c>
      <c r="Y395">
        <v>-5.9999999999999995E-4</v>
      </c>
      <c r="Z395">
        <v>367</v>
      </c>
      <c r="AA395">
        <v>0.05</v>
      </c>
      <c r="AB395">
        <v>168</v>
      </c>
      <c r="AC395">
        <v>0.15</v>
      </c>
      <c r="AD395">
        <v>0</v>
      </c>
      <c r="AE395">
        <v>0</v>
      </c>
      <c r="AF395">
        <v>0.30399999999999999</v>
      </c>
      <c r="AG395">
        <v>247</v>
      </c>
      <c r="AH395">
        <v>0</v>
      </c>
      <c r="AI395">
        <f t="shared" si="3"/>
        <v>-4.0633608815426991E-2</v>
      </c>
      <c r="AJ395" s="4">
        <v>6965</v>
      </c>
      <c r="AK395">
        <v>0.05</v>
      </c>
      <c r="AL395">
        <v>-1.1999999999999999E-3</v>
      </c>
      <c r="AM395">
        <v>0.3</v>
      </c>
      <c r="AN395">
        <v>-8.0000000000000002E-3</v>
      </c>
      <c r="AO395">
        <v>1.2</v>
      </c>
      <c r="AP395">
        <v>-2.5399999999999999E-2</v>
      </c>
      <c r="AQ395">
        <v>2.75</v>
      </c>
      <c r="AR395">
        <v>-4.6100000000000002E-2</v>
      </c>
      <c r="AS395">
        <v>4.9000000000000004</v>
      </c>
      <c r="AT395">
        <v>-6.8099999999999994E-2</v>
      </c>
      <c r="AU395">
        <v>8.3000000000000007</v>
      </c>
      <c r="AV395">
        <v>-9.4799999999999995E-2</v>
      </c>
      <c r="AW395">
        <v>11.4</v>
      </c>
      <c r="AX395">
        <v>-0.11409999999999999</v>
      </c>
      <c r="AY395">
        <v>14.1</v>
      </c>
      <c r="AZ395">
        <v>-0.12839999999999999</v>
      </c>
      <c r="BA395">
        <v>17.100000000000001</v>
      </c>
      <c r="BB395">
        <v>-0.1424</v>
      </c>
      <c r="BC395">
        <v>18.5</v>
      </c>
      <c r="BD395">
        <v>-0.14899999999999999</v>
      </c>
      <c r="BE395">
        <v>19.899999999999999</v>
      </c>
      <c r="BF395">
        <v>-0.15479999999999999</v>
      </c>
      <c r="BG395">
        <v>98.5</v>
      </c>
      <c r="BH395">
        <v>-0.93229999999999991</v>
      </c>
    </row>
    <row r="396" spans="1:60" x14ac:dyDescent="0.35">
      <c r="A396" t="s">
        <v>34</v>
      </c>
      <c r="B396" s="1">
        <v>46146.65625</v>
      </c>
      <c r="C396" t="s">
        <v>34</v>
      </c>
      <c r="D396" s="1">
        <v>46147.625</v>
      </c>
      <c r="E396">
        <v>6825</v>
      </c>
      <c r="F396" t="s">
        <v>36</v>
      </c>
      <c r="G396">
        <v>0.2</v>
      </c>
      <c r="H396">
        <v>0.5</v>
      </c>
      <c r="I396">
        <v>0.1</v>
      </c>
      <c r="J396">
        <v>0.1</v>
      </c>
      <c r="K396">
        <v>45</v>
      </c>
      <c r="L396">
        <v>49</v>
      </c>
      <c r="M396">
        <v>0.1</v>
      </c>
      <c r="N396">
        <v>336</v>
      </c>
      <c r="O396">
        <v>0.15</v>
      </c>
      <c r="P396">
        <v>0</v>
      </c>
      <c r="Q396">
        <v>0</v>
      </c>
      <c r="R396">
        <v>0</v>
      </c>
      <c r="S396">
        <v>0</v>
      </c>
      <c r="T396">
        <v>0.37330000000000002</v>
      </c>
      <c r="U396">
        <v>-3.0999999999999999E-3</v>
      </c>
      <c r="V396">
        <v>1E-4</v>
      </c>
      <c r="W396">
        <v>-0.12470000000000001</v>
      </c>
      <c r="X396">
        <v>3.78E-2</v>
      </c>
      <c r="Y396">
        <v>-5.9999999999999995E-4</v>
      </c>
      <c r="Z396">
        <v>371</v>
      </c>
      <c r="AA396">
        <v>0.05</v>
      </c>
      <c r="AB396">
        <v>168</v>
      </c>
      <c r="AC396">
        <v>0.15</v>
      </c>
      <c r="AD396">
        <v>0</v>
      </c>
      <c r="AE396">
        <v>0</v>
      </c>
      <c r="AF396">
        <v>0.2702</v>
      </c>
      <c r="AG396">
        <v>436</v>
      </c>
      <c r="AH396">
        <v>0</v>
      </c>
      <c r="AI396">
        <f t="shared" si="3"/>
        <v>-3.9944903581267233E-2</v>
      </c>
      <c r="AJ396" s="4">
        <v>6970</v>
      </c>
      <c r="AK396">
        <v>0.05</v>
      </c>
      <c r="AL396">
        <v>-1.1999999999999999E-3</v>
      </c>
      <c r="AM396">
        <v>0.3</v>
      </c>
      <c r="AN396">
        <v>-8.6999999999999994E-3</v>
      </c>
      <c r="AO396">
        <v>1.25</v>
      </c>
      <c r="AP396">
        <v>-2.7E-2</v>
      </c>
      <c r="AQ396">
        <v>2.9</v>
      </c>
      <c r="AR396">
        <v>-4.8500000000000001E-2</v>
      </c>
      <c r="AS396">
        <v>5.2</v>
      </c>
      <c r="AT396">
        <v>-7.1400000000000005E-2</v>
      </c>
      <c r="AU396">
        <v>8.6999999999999993</v>
      </c>
      <c r="AV396">
        <v>-9.8900000000000002E-2</v>
      </c>
      <c r="AW396">
        <v>11.8</v>
      </c>
      <c r="AX396">
        <v>-0.1179</v>
      </c>
      <c r="AY396">
        <v>14.6</v>
      </c>
      <c r="AZ396">
        <v>-0.1323</v>
      </c>
      <c r="BA396">
        <v>17.600000000000001</v>
      </c>
      <c r="BB396">
        <v>-0.1464</v>
      </c>
      <c r="BC396">
        <v>19</v>
      </c>
      <c r="BD396">
        <v>-0.15279999999999999</v>
      </c>
      <c r="BE396">
        <v>20.399999999999999</v>
      </c>
      <c r="BF396">
        <v>-0.1588</v>
      </c>
      <c r="BG396">
        <v>101.80000000000001</v>
      </c>
      <c r="BH396">
        <v>-0.96389999999999998</v>
      </c>
    </row>
    <row r="397" spans="1:60" x14ac:dyDescent="0.35">
      <c r="A397" t="s">
        <v>34</v>
      </c>
      <c r="B397" s="1">
        <v>46146.65625</v>
      </c>
      <c r="C397" t="s">
        <v>34</v>
      </c>
      <c r="D397" s="1">
        <v>46147.625</v>
      </c>
      <c r="E397">
        <v>6830</v>
      </c>
      <c r="F397" t="s">
        <v>36</v>
      </c>
      <c r="G397">
        <v>0.38</v>
      </c>
      <c r="H397">
        <v>0.5</v>
      </c>
      <c r="I397">
        <v>0.1</v>
      </c>
      <c r="J397">
        <v>0.1</v>
      </c>
      <c r="K397">
        <v>49</v>
      </c>
      <c r="L397">
        <v>142</v>
      </c>
      <c r="M397">
        <v>0.1</v>
      </c>
      <c r="N397">
        <v>329</v>
      </c>
      <c r="O397">
        <v>0.15</v>
      </c>
      <c r="P397">
        <v>0</v>
      </c>
      <c r="Q397">
        <v>0</v>
      </c>
      <c r="R397">
        <v>0</v>
      </c>
      <c r="S397">
        <v>0</v>
      </c>
      <c r="T397">
        <v>0.36840000000000001</v>
      </c>
      <c r="U397">
        <v>-3.0999999999999999E-3</v>
      </c>
      <c r="V397">
        <v>1E-4</v>
      </c>
      <c r="W397">
        <v>-0.12470000000000001</v>
      </c>
      <c r="X397">
        <v>3.8199999999999998E-2</v>
      </c>
      <c r="Y397">
        <v>-5.9999999999999995E-4</v>
      </c>
      <c r="Z397">
        <v>370</v>
      </c>
      <c r="AA397">
        <v>0.05</v>
      </c>
      <c r="AB397">
        <v>180</v>
      </c>
      <c r="AC397">
        <v>0.15</v>
      </c>
      <c r="AD397">
        <v>0</v>
      </c>
      <c r="AE397">
        <v>0</v>
      </c>
      <c r="AF397">
        <v>0.34710000000000002</v>
      </c>
      <c r="AG397">
        <v>181</v>
      </c>
      <c r="AH397">
        <v>0</v>
      </c>
      <c r="AI397">
        <f t="shared" si="3"/>
        <v>-3.9256198347107474E-2</v>
      </c>
      <c r="AJ397" s="4">
        <v>6975</v>
      </c>
      <c r="AK397">
        <v>0.05</v>
      </c>
      <c r="AL397">
        <v>-1.1999999999999999E-3</v>
      </c>
      <c r="AM397">
        <v>0.3</v>
      </c>
      <c r="AN397">
        <v>-8.8999999999999999E-3</v>
      </c>
      <c r="AO397">
        <v>1.35</v>
      </c>
      <c r="AP397">
        <v>-2.8299999999999999E-2</v>
      </c>
      <c r="AQ397">
        <v>3.1</v>
      </c>
      <c r="AR397">
        <v>-5.1299999999999998E-2</v>
      </c>
      <c r="AS397">
        <v>5.4</v>
      </c>
      <c r="AT397">
        <v>-7.4700000000000003E-2</v>
      </c>
      <c r="AU397">
        <v>9.1</v>
      </c>
      <c r="AV397">
        <v>-0.1023</v>
      </c>
      <c r="AW397">
        <v>12.2</v>
      </c>
      <c r="AX397">
        <v>-0.1216</v>
      </c>
      <c r="AY397">
        <v>15</v>
      </c>
      <c r="AZ397">
        <v>-0.13650000000000001</v>
      </c>
      <c r="BA397">
        <v>18.100000000000001</v>
      </c>
      <c r="BB397">
        <v>-0.15079999999999999</v>
      </c>
      <c r="BC397">
        <v>19.5</v>
      </c>
      <c r="BD397">
        <v>-0.15679999999999999</v>
      </c>
      <c r="BE397">
        <v>21</v>
      </c>
      <c r="BF397">
        <v>-0.16309999999999999</v>
      </c>
      <c r="BG397">
        <v>105.1</v>
      </c>
      <c r="BH397">
        <v>-0.99550000000000005</v>
      </c>
    </row>
    <row r="398" spans="1:60" x14ac:dyDescent="0.35">
      <c r="A398" t="s">
        <v>34</v>
      </c>
      <c r="B398" s="1">
        <v>46146.65625</v>
      </c>
      <c r="C398" t="s">
        <v>34</v>
      </c>
      <c r="D398" s="1">
        <v>46147.625</v>
      </c>
      <c r="E398">
        <v>6835</v>
      </c>
      <c r="F398" t="s">
        <v>36</v>
      </c>
      <c r="G398">
        <v>0.35</v>
      </c>
      <c r="H398">
        <v>0.35</v>
      </c>
      <c r="I398">
        <v>0.15</v>
      </c>
      <c r="J398">
        <v>0.15</v>
      </c>
      <c r="K398">
        <v>14</v>
      </c>
      <c r="L398">
        <v>139</v>
      </c>
      <c r="M398">
        <v>0.1</v>
      </c>
      <c r="N398">
        <v>252</v>
      </c>
      <c r="O398">
        <v>0.15</v>
      </c>
      <c r="P398">
        <v>0</v>
      </c>
      <c r="Q398">
        <v>0</v>
      </c>
      <c r="R398">
        <v>0</v>
      </c>
      <c r="S398">
        <v>0</v>
      </c>
      <c r="T398">
        <v>0.36430000000000001</v>
      </c>
      <c r="U398">
        <v>-3.2000000000000002E-3</v>
      </c>
      <c r="V398">
        <v>1E-4</v>
      </c>
      <c r="W398">
        <v>-0.12470000000000001</v>
      </c>
      <c r="X398">
        <v>3.8600000000000002E-2</v>
      </c>
      <c r="Y398">
        <v>-5.9999999999999995E-4</v>
      </c>
      <c r="Z398">
        <v>353</v>
      </c>
      <c r="AA398">
        <v>0.05</v>
      </c>
      <c r="AB398">
        <v>151</v>
      </c>
      <c r="AC398">
        <v>0.15</v>
      </c>
      <c r="AD398">
        <v>0</v>
      </c>
      <c r="AE398">
        <v>0</v>
      </c>
      <c r="AF398">
        <v>0.32140000000000002</v>
      </c>
      <c r="AG398">
        <v>246</v>
      </c>
      <c r="AH398">
        <v>0</v>
      </c>
      <c r="AI398">
        <f t="shared" si="3"/>
        <v>-3.8567493112947604E-2</v>
      </c>
      <c r="AJ398" s="4">
        <v>6980</v>
      </c>
      <c r="AK398">
        <v>0.05</v>
      </c>
      <c r="AL398">
        <v>-1.2999999999999999E-3</v>
      </c>
      <c r="AM398">
        <v>0.35</v>
      </c>
      <c r="AN398">
        <v>-9.7000000000000003E-3</v>
      </c>
      <c r="AO398">
        <v>1.45</v>
      </c>
      <c r="AP398">
        <v>-3.0700000000000002E-2</v>
      </c>
      <c r="AQ398">
        <v>3.3</v>
      </c>
      <c r="AR398">
        <v>-5.3900000000000003E-2</v>
      </c>
      <c r="AS398">
        <v>5.7</v>
      </c>
      <c r="AT398">
        <v>-7.8399999999999997E-2</v>
      </c>
      <c r="AU398">
        <v>9.4</v>
      </c>
      <c r="AV398">
        <v>-0.10639999999999999</v>
      </c>
      <c r="AW398">
        <v>12.7</v>
      </c>
      <c r="AX398">
        <v>-0.1258</v>
      </c>
      <c r="AY398">
        <v>15.5</v>
      </c>
      <c r="AZ398">
        <v>-0.14069999999999999</v>
      </c>
      <c r="BA398">
        <v>18.600000000000001</v>
      </c>
      <c r="BB398">
        <v>-0.15479999999999999</v>
      </c>
      <c r="BC398">
        <v>20.100000000000001</v>
      </c>
      <c r="BD398">
        <v>-0.16109999999999999</v>
      </c>
      <c r="BE398">
        <v>21.6</v>
      </c>
      <c r="BF398">
        <v>-0.16689999999999999</v>
      </c>
      <c r="BG398">
        <v>108.75</v>
      </c>
      <c r="BH398">
        <v>-1.0297000000000001</v>
      </c>
    </row>
    <row r="399" spans="1:60" x14ac:dyDescent="0.35">
      <c r="A399" t="s">
        <v>34</v>
      </c>
      <c r="B399" s="1">
        <v>46146.65625</v>
      </c>
      <c r="C399" t="s">
        <v>34</v>
      </c>
      <c r="D399" s="1">
        <v>46147.625</v>
      </c>
      <c r="E399">
        <v>6840</v>
      </c>
      <c r="F399" t="s">
        <v>36</v>
      </c>
      <c r="G399">
        <v>0.25</v>
      </c>
      <c r="H399">
        <v>0.37</v>
      </c>
      <c r="I399">
        <v>0.1</v>
      </c>
      <c r="J399">
        <v>0.1</v>
      </c>
      <c r="K399">
        <v>62</v>
      </c>
      <c r="L399">
        <v>160</v>
      </c>
      <c r="M399">
        <v>0.1</v>
      </c>
      <c r="N399">
        <v>200</v>
      </c>
      <c r="O399">
        <v>0.15</v>
      </c>
      <c r="P399">
        <v>0</v>
      </c>
      <c r="Q399">
        <v>0</v>
      </c>
      <c r="R399">
        <v>0</v>
      </c>
      <c r="S399">
        <v>0</v>
      </c>
      <c r="T399">
        <v>0.35970000000000002</v>
      </c>
      <c r="U399">
        <v>-3.2000000000000002E-3</v>
      </c>
      <c r="V399">
        <v>1E-4</v>
      </c>
      <c r="W399">
        <v>-0.12470000000000001</v>
      </c>
      <c r="X399">
        <v>3.9100000000000003E-2</v>
      </c>
      <c r="Y399">
        <v>-5.9999999999999995E-4</v>
      </c>
      <c r="Z399">
        <v>352</v>
      </c>
      <c r="AA399">
        <v>0.05</v>
      </c>
      <c r="AB399">
        <v>150</v>
      </c>
      <c r="AC399">
        <v>0.15</v>
      </c>
      <c r="AD399">
        <v>0</v>
      </c>
      <c r="AE399">
        <v>0</v>
      </c>
      <c r="AF399">
        <v>0.16950000000000001</v>
      </c>
      <c r="AG399">
        <v>180</v>
      </c>
      <c r="AH399">
        <v>0</v>
      </c>
      <c r="AI399">
        <f t="shared" si="3"/>
        <v>-3.7878787878787845E-2</v>
      </c>
      <c r="AJ399" s="4">
        <v>6985</v>
      </c>
      <c r="AK399">
        <v>0.05</v>
      </c>
      <c r="AL399">
        <v>-1.2999999999999999E-3</v>
      </c>
      <c r="AM399">
        <v>0.35</v>
      </c>
      <c r="AN399">
        <v>-9.9000000000000008E-3</v>
      </c>
      <c r="AO399">
        <v>1.55</v>
      </c>
      <c r="AP399">
        <v>-3.2800000000000003E-2</v>
      </c>
      <c r="AQ399">
        <v>3.4</v>
      </c>
      <c r="AR399">
        <v>-5.6500000000000002E-2</v>
      </c>
      <c r="AS399">
        <v>6</v>
      </c>
      <c r="AT399">
        <v>-8.2299999999999998E-2</v>
      </c>
      <c r="AU399">
        <v>9.8000000000000007</v>
      </c>
      <c r="AV399">
        <v>-0.1105</v>
      </c>
      <c r="AW399">
        <v>13.2</v>
      </c>
      <c r="AX399">
        <v>-0.13</v>
      </c>
      <c r="AY399">
        <v>16</v>
      </c>
      <c r="AZ399">
        <v>-0.1449</v>
      </c>
      <c r="BA399">
        <v>19.2</v>
      </c>
      <c r="BB399">
        <v>-0.159</v>
      </c>
      <c r="BC399">
        <v>20.6</v>
      </c>
      <c r="BD399">
        <v>-0.1651</v>
      </c>
      <c r="BE399">
        <v>22.2</v>
      </c>
      <c r="BF399">
        <v>-0.17119999999999999</v>
      </c>
      <c r="BG399">
        <v>112.35000000000001</v>
      </c>
      <c r="BH399">
        <v>-1.0635000000000001</v>
      </c>
    </row>
    <row r="400" spans="1:60" x14ac:dyDescent="0.35">
      <c r="A400" t="s">
        <v>34</v>
      </c>
      <c r="B400" s="1">
        <v>46146.65625</v>
      </c>
      <c r="C400" t="s">
        <v>34</v>
      </c>
      <c r="D400" s="1">
        <v>46147.625</v>
      </c>
      <c r="E400">
        <v>6845</v>
      </c>
      <c r="F400" t="s">
        <v>36</v>
      </c>
      <c r="G400">
        <v>0.2</v>
      </c>
      <c r="H400">
        <v>0.35</v>
      </c>
      <c r="I400">
        <v>0.1</v>
      </c>
      <c r="J400">
        <v>0.1</v>
      </c>
      <c r="K400">
        <v>19</v>
      </c>
      <c r="L400">
        <v>253</v>
      </c>
      <c r="M400">
        <v>0.1</v>
      </c>
      <c r="N400">
        <v>79</v>
      </c>
      <c r="O400">
        <v>0.15</v>
      </c>
      <c r="P400">
        <v>0</v>
      </c>
      <c r="Q400">
        <v>0</v>
      </c>
      <c r="R400">
        <v>0</v>
      </c>
      <c r="S400">
        <v>0</v>
      </c>
      <c r="T400">
        <v>0.35499999999999998</v>
      </c>
      <c r="U400">
        <v>-3.2000000000000002E-3</v>
      </c>
      <c r="V400">
        <v>1E-4</v>
      </c>
      <c r="W400">
        <v>-0.12470000000000001</v>
      </c>
      <c r="X400">
        <v>3.95E-2</v>
      </c>
      <c r="Y400">
        <v>-5.9999999999999995E-4</v>
      </c>
      <c r="Z400">
        <v>316</v>
      </c>
      <c r="AA400">
        <v>0.05</v>
      </c>
      <c r="AB400">
        <v>99</v>
      </c>
      <c r="AC400">
        <v>0.15</v>
      </c>
      <c r="AD400">
        <v>0</v>
      </c>
      <c r="AE400">
        <v>0</v>
      </c>
      <c r="AF400">
        <v>0.21160000000000001</v>
      </c>
      <c r="AG400">
        <v>167</v>
      </c>
      <c r="AH400">
        <v>0</v>
      </c>
      <c r="AI400">
        <f t="shared" si="3"/>
        <v>-3.7190082644628086E-2</v>
      </c>
      <c r="AJ400" s="4">
        <v>6990</v>
      </c>
      <c r="AK400">
        <v>0.05</v>
      </c>
      <c r="AL400">
        <v>-1.2999999999999999E-3</v>
      </c>
      <c r="AM400">
        <v>0.35</v>
      </c>
      <c r="AN400">
        <v>-1.0699999999999999E-2</v>
      </c>
      <c r="AO400">
        <v>1.65</v>
      </c>
      <c r="AP400">
        <v>-3.49E-2</v>
      </c>
      <c r="AQ400">
        <v>3.6</v>
      </c>
      <c r="AR400">
        <v>-5.9700000000000003E-2</v>
      </c>
      <c r="AS400">
        <v>6.2</v>
      </c>
      <c r="AT400">
        <v>-8.5699999999999998E-2</v>
      </c>
      <c r="AU400">
        <v>10.199999999999999</v>
      </c>
      <c r="AV400">
        <v>-0.1147</v>
      </c>
      <c r="AW400">
        <v>13.6</v>
      </c>
      <c r="AX400">
        <v>-0.13450000000000001</v>
      </c>
      <c r="AY400">
        <v>16.600000000000001</v>
      </c>
      <c r="AZ400">
        <v>-0.1492</v>
      </c>
      <c r="BA400">
        <v>19.8</v>
      </c>
      <c r="BB400">
        <v>-0.16339999999999999</v>
      </c>
      <c r="BC400">
        <v>21.2</v>
      </c>
      <c r="BD400">
        <v>-0.1696</v>
      </c>
      <c r="BE400">
        <v>22.8</v>
      </c>
      <c r="BF400">
        <v>-0.17560000000000001</v>
      </c>
      <c r="BG400">
        <v>116.05</v>
      </c>
      <c r="BH400">
        <v>-1.0992999999999999</v>
      </c>
    </row>
    <row r="401" spans="1:60" x14ac:dyDescent="0.35">
      <c r="A401" t="s">
        <v>34</v>
      </c>
      <c r="B401" s="1">
        <v>46146.65625</v>
      </c>
      <c r="C401" t="s">
        <v>34</v>
      </c>
      <c r="D401" s="1">
        <v>46147.625</v>
      </c>
      <c r="E401">
        <v>6850</v>
      </c>
      <c r="F401" t="s">
        <v>36</v>
      </c>
      <c r="G401">
        <v>0.2</v>
      </c>
      <c r="H401">
        <v>0.5</v>
      </c>
      <c r="I401">
        <v>0.1</v>
      </c>
      <c r="J401">
        <v>0.1</v>
      </c>
      <c r="K401">
        <v>504</v>
      </c>
      <c r="L401">
        <v>436</v>
      </c>
      <c r="M401">
        <v>0.1</v>
      </c>
      <c r="N401">
        <v>140</v>
      </c>
      <c r="O401">
        <v>0.15</v>
      </c>
      <c r="P401">
        <v>0</v>
      </c>
      <c r="Q401">
        <v>0</v>
      </c>
      <c r="R401">
        <v>0</v>
      </c>
      <c r="S401">
        <v>0</v>
      </c>
      <c r="T401">
        <v>0.35039999999999999</v>
      </c>
      <c r="U401">
        <v>-3.3E-3</v>
      </c>
      <c r="V401">
        <v>1E-4</v>
      </c>
      <c r="W401">
        <v>-0.12470000000000001</v>
      </c>
      <c r="X401">
        <v>0.04</v>
      </c>
      <c r="Y401">
        <v>-5.9999999999999995E-4</v>
      </c>
      <c r="Z401">
        <v>290</v>
      </c>
      <c r="AA401">
        <v>0.05</v>
      </c>
      <c r="AB401">
        <v>71</v>
      </c>
      <c r="AC401">
        <v>0.15</v>
      </c>
      <c r="AD401">
        <v>0</v>
      </c>
      <c r="AE401">
        <v>0</v>
      </c>
      <c r="AF401">
        <v>0.217</v>
      </c>
      <c r="AG401">
        <v>894</v>
      </c>
      <c r="AH401">
        <v>0</v>
      </c>
      <c r="AI401">
        <f t="shared" si="3"/>
        <v>-3.6501377410468328E-2</v>
      </c>
      <c r="AJ401" s="4">
        <v>6995</v>
      </c>
      <c r="AK401">
        <v>0.05</v>
      </c>
      <c r="AL401">
        <v>-1.4E-3</v>
      </c>
      <c r="AM401">
        <v>0.4</v>
      </c>
      <c r="AN401">
        <v>-1.15E-2</v>
      </c>
      <c r="AO401">
        <v>1.75</v>
      </c>
      <c r="AP401">
        <v>-3.7100000000000001E-2</v>
      </c>
      <c r="AQ401">
        <v>3.9</v>
      </c>
      <c r="AR401">
        <v>-6.3399999999999998E-2</v>
      </c>
      <c r="AS401">
        <v>6.6</v>
      </c>
      <c r="AT401">
        <v>-8.9599999999999999E-2</v>
      </c>
      <c r="AU401">
        <v>10.7</v>
      </c>
      <c r="AV401">
        <v>-0.11890000000000001</v>
      </c>
      <c r="AW401">
        <v>14.1</v>
      </c>
      <c r="AX401">
        <v>-0.1391</v>
      </c>
      <c r="AY401">
        <v>17.100000000000001</v>
      </c>
      <c r="AZ401">
        <v>-0.1537</v>
      </c>
      <c r="BA401">
        <v>20.3</v>
      </c>
      <c r="BB401">
        <v>-0.16789999999999999</v>
      </c>
      <c r="BC401">
        <v>21.8</v>
      </c>
      <c r="BD401">
        <v>-0.17399999999999999</v>
      </c>
      <c r="BE401">
        <v>23.4</v>
      </c>
      <c r="BF401">
        <v>-0.1804</v>
      </c>
      <c r="BG401">
        <v>120.1</v>
      </c>
      <c r="BH401">
        <v>-1.137</v>
      </c>
    </row>
    <row r="402" spans="1:60" x14ac:dyDescent="0.35">
      <c r="A402" t="s">
        <v>34</v>
      </c>
      <c r="B402" s="1">
        <v>46146.65625</v>
      </c>
      <c r="C402" t="s">
        <v>34</v>
      </c>
      <c r="D402" s="1">
        <v>46147.625</v>
      </c>
      <c r="E402">
        <v>6855</v>
      </c>
      <c r="F402" t="s">
        <v>36</v>
      </c>
      <c r="G402">
        <v>0.25</v>
      </c>
      <c r="H402">
        <v>0.5</v>
      </c>
      <c r="I402">
        <v>0.12</v>
      </c>
      <c r="J402">
        <v>0.12</v>
      </c>
      <c r="K402">
        <v>56</v>
      </c>
      <c r="L402">
        <v>397</v>
      </c>
      <c r="M402">
        <v>0.1</v>
      </c>
      <c r="N402">
        <v>66</v>
      </c>
      <c r="O402">
        <v>0.15</v>
      </c>
      <c r="P402">
        <v>0</v>
      </c>
      <c r="Q402">
        <v>0</v>
      </c>
      <c r="R402">
        <v>0</v>
      </c>
      <c r="S402">
        <v>0</v>
      </c>
      <c r="T402">
        <v>0.34549999999999997</v>
      </c>
      <c r="U402">
        <v>-3.3E-3</v>
      </c>
      <c r="V402">
        <v>1E-4</v>
      </c>
      <c r="W402">
        <v>-0.12470000000000001</v>
      </c>
      <c r="X402">
        <v>4.0500000000000001E-2</v>
      </c>
      <c r="Y402">
        <v>-5.9999999999999995E-4</v>
      </c>
      <c r="Z402">
        <v>272</v>
      </c>
      <c r="AA402">
        <v>0.05</v>
      </c>
      <c r="AB402">
        <v>71</v>
      </c>
      <c r="AC402">
        <v>0.15</v>
      </c>
      <c r="AD402">
        <v>0</v>
      </c>
      <c r="AE402">
        <v>0</v>
      </c>
      <c r="AF402">
        <v>0.34410000000000002</v>
      </c>
      <c r="AG402">
        <v>304</v>
      </c>
      <c r="AH402">
        <v>0</v>
      </c>
      <c r="AI402">
        <f t="shared" si="3"/>
        <v>-3.5812672176308569E-2</v>
      </c>
      <c r="AJ402" s="4">
        <v>7000</v>
      </c>
      <c r="AK402">
        <v>0.05</v>
      </c>
      <c r="AL402">
        <v>-1.4E-3</v>
      </c>
      <c r="AM402">
        <v>0.4</v>
      </c>
      <c r="AN402">
        <v>-1.24E-2</v>
      </c>
      <c r="AO402">
        <v>1.9</v>
      </c>
      <c r="AP402">
        <v>-4.0099999999999997E-2</v>
      </c>
      <c r="AQ402">
        <v>4.0999999999999996</v>
      </c>
      <c r="AR402">
        <v>-6.7299999999999999E-2</v>
      </c>
      <c r="AS402">
        <v>6.9</v>
      </c>
      <c r="AT402">
        <v>-9.3899999999999997E-2</v>
      </c>
      <c r="AU402">
        <v>11.1</v>
      </c>
      <c r="AV402">
        <v>-0.1239</v>
      </c>
      <c r="AW402">
        <v>14.6</v>
      </c>
      <c r="AX402">
        <v>-0.14369999999999999</v>
      </c>
      <c r="AY402">
        <v>17.7</v>
      </c>
      <c r="AZ402">
        <v>-0.15840000000000001</v>
      </c>
      <c r="BA402">
        <v>20.9</v>
      </c>
      <c r="BB402">
        <v>-0.17249999999999999</v>
      </c>
      <c r="BC402">
        <v>22.3</v>
      </c>
      <c r="BD402">
        <v>-0.1787</v>
      </c>
      <c r="BE402">
        <v>24.1</v>
      </c>
      <c r="BF402">
        <v>-0.185</v>
      </c>
      <c r="BG402">
        <v>124.05000000000001</v>
      </c>
      <c r="BH402">
        <v>-1.1773</v>
      </c>
    </row>
    <row r="403" spans="1:60" x14ac:dyDescent="0.35">
      <c r="A403" t="s">
        <v>34</v>
      </c>
      <c r="B403" s="1">
        <v>46146.65625</v>
      </c>
      <c r="C403" t="s">
        <v>34</v>
      </c>
      <c r="D403" s="1">
        <v>46147.625</v>
      </c>
      <c r="E403">
        <v>6860</v>
      </c>
      <c r="F403" t="s">
        <v>36</v>
      </c>
      <c r="G403">
        <v>0.25</v>
      </c>
      <c r="H403">
        <v>0.6</v>
      </c>
      <c r="I403">
        <v>0.1</v>
      </c>
      <c r="J403">
        <v>0.1</v>
      </c>
      <c r="K403">
        <v>189</v>
      </c>
      <c r="L403">
        <v>451</v>
      </c>
      <c r="M403">
        <v>0.1</v>
      </c>
      <c r="N403">
        <v>514</v>
      </c>
      <c r="O403">
        <v>0.2</v>
      </c>
      <c r="P403">
        <v>0</v>
      </c>
      <c r="Q403">
        <v>0</v>
      </c>
      <c r="R403">
        <v>0</v>
      </c>
      <c r="S403">
        <v>0</v>
      </c>
      <c r="T403">
        <v>0.34749999999999998</v>
      </c>
      <c r="U403">
        <v>-3.8999999999999998E-3</v>
      </c>
      <c r="V403">
        <v>1E-4</v>
      </c>
      <c r="W403">
        <v>-0.14960000000000001</v>
      </c>
      <c r="X403">
        <v>4.6600000000000003E-2</v>
      </c>
      <c r="Y403">
        <v>-8.0000000000000004E-4</v>
      </c>
      <c r="Z403">
        <v>275</v>
      </c>
      <c r="AA403">
        <v>0.05</v>
      </c>
      <c r="AB403">
        <v>72</v>
      </c>
      <c r="AC403">
        <v>0.15</v>
      </c>
      <c r="AD403">
        <v>0</v>
      </c>
      <c r="AE403">
        <v>0</v>
      </c>
      <c r="AF403">
        <v>0.316</v>
      </c>
      <c r="AG403">
        <v>225</v>
      </c>
      <c r="AH403">
        <v>0</v>
      </c>
      <c r="AI403">
        <f t="shared" si="3"/>
        <v>-3.512396694214881E-2</v>
      </c>
      <c r="AJ403" s="4">
        <v>7005</v>
      </c>
      <c r="AK403">
        <v>0.05</v>
      </c>
      <c r="AL403">
        <v>-1.4E-3</v>
      </c>
      <c r="AM403">
        <v>0.45</v>
      </c>
      <c r="AN403">
        <v>-1.3299999999999999E-2</v>
      </c>
      <c r="AO403">
        <v>2.0499999999999998</v>
      </c>
      <c r="AP403">
        <v>-4.3099999999999999E-2</v>
      </c>
      <c r="AQ403">
        <v>4.3</v>
      </c>
      <c r="AR403">
        <v>-7.0599999999999996E-2</v>
      </c>
      <c r="AS403">
        <v>7.3</v>
      </c>
      <c r="AT403">
        <v>-9.8400000000000001E-2</v>
      </c>
      <c r="AU403">
        <v>11.6</v>
      </c>
      <c r="AV403">
        <v>-0.1285</v>
      </c>
      <c r="AW403">
        <v>15.2</v>
      </c>
      <c r="AX403">
        <v>-0.14829999999999999</v>
      </c>
      <c r="AY403">
        <v>18.2</v>
      </c>
      <c r="AZ403">
        <v>-0.16300000000000001</v>
      </c>
      <c r="BA403">
        <v>21.6</v>
      </c>
      <c r="BB403">
        <v>-0.1772</v>
      </c>
      <c r="BC403">
        <v>23.2</v>
      </c>
      <c r="BD403">
        <v>-0.18360000000000001</v>
      </c>
      <c r="BE403">
        <v>24.7</v>
      </c>
      <c r="BF403">
        <v>-0.18970000000000001</v>
      </c>
      <c r="BG403">
        <v>128.65</v>
      </c>
      <c r="BH403">
        <v>-1.2171000000000001</v>
      </c>
    </row>
    <row r="404" spans="1:60" x14ac:dyDescent="0.35">
      <c r="A404" t="s">
        <v>34</v>
      </c>
      <c r="B404" s="1">
        <v>46146.65625</v>
      </c>
      <c r="C404" t="s">
        <v>34</v>
      </c>
      <c r="D404" s="1">
        <v>46147.625</v>
      </c>
      <c r="E404">
        <v>6865</v>
      </c>
      <c r="F404" t="s">
        <v>36</v>
      </c>
      <c r="G404">
        <v>0.27</v>
      </c>
      <c r="H404">
        <v>0.6</v>
      </c>
      <c r="I404">
        <v>0.12</v>
      </c>
      <c r="J404">
        <v>0.12</v>
      </c>
      <c r="K404">
        <v>73</v>
      </c>
      <c r="L404">
        <v>383</v>
      </c>
      <c r="M404">
        <v>0.1</v>
      </c>
      <c r="N404">
        <v>539</v>
      </c>
      <c r="O404">
        <v>0.2</v>
      </c>
      <c r="P404">
        <v>0</v>
      </c>
      <c r="Q404">
        <v>0</v>
      </c>
      <c r="R404">
        <v>0</v>
      </c>
      <c r="S404">
        <v>0</v>
      </c>
      <c r="T404">
        <v>0.34279999999999999</v>
      </c>
      <c r="U404">
        <v>-4.0000000000000001E-3</v>
      </c>
      <c r="V404">
        <v>1E-4</v>
      </c>
      <c r="W404">
        <v>-0.14960000000000001</v>
      </c>
      <c r="X404">
        <v>4.7199999999999999E-2</v>
      </c>
      <c r="Y404">
        <v>-8.0000000000000004E-4</v>
      </c>
      <c r="Z404">
        <v>273</v>
      </c>
      <c r="AA404">
        <v>0.05</v>
      </c>
      <c r="AB404">
        <v>72</v>
      </c>
      <c r="AC404">
        <v>0.15</v>
      </c>
      <c r="AD404">
        <v>0</v>
      </c>
      <c r="AE404">
        <v>0</v>
      </c>
      <c r="AF404">
        <v>0.42770000000000002</v>
      </c>
      <c r="AG404">
        <v>261</v>
      </c>
      <c r="AH404">
        <v>0</v>
      </c>
      <c r="AI404">
        <f t="shared" si="3"/>
        <v>-3.443526170798894E-2</v>
      </c>
      <c r="AJ404" s="4">
        <v>7010</v>
      </c>
      <c r="AK404">
        <v>0.05</v>
      </c>
      <c r="AL404">
        <v>-1.4E-3</v>
      </c>
      <c r="AM404">
        <v>0.45</v>
      </c>
      <c r="AN404">
        <v>-1.4200000000000001E-2</v>
      </c>
      <c r="AO404">
        <v>2.2000000000000002</v>
      </c>
      <c r="AP404">
        <v>-4.6100000000000002E-2</v>
      </c>
      <c r="AQ404">
        <v>4.5999999999999996</v>
      </c>
      <c r="AR404">
        <v>-7.4999999999999997E-2</v>
      </c>
      <c r="AS404">
        <v>7.6</v>
      </c>
      <c r="AT404">
        <v>-0.1027</v>
      </c>
      <c r="AU404">
        <v>12.1</v>
      </c>
      <c r="AV404">
        <v>-0.13320000000000001</v>
      </c>
      <c r="AW404">
        <v>15.7</v>
      </c>
      <c r="AX404">
        <v>-0.1532</v>
      </c>
      <c r="AY404">
        <v>18.8</v>
      </c>
      <c r="AZ404">
        <v>-0.16800000000000001</v>
      </c>
      <c r="BA404">
        <v>22.2</v>
      </c>
      <c r="BB404">
        <v>-0.18229999999999999</v>
      </c>
      <c r="BC404">
        <v>23.8</v>
      </c>
      <c r="BD404">
        <v>-0.1883</v>
      </c>
      <c r="BE404">
        <v>25.4</v>
      </c>
      <c r="BF404">
        <v>-0.1946</v>
      </c>
      <c r="BG404">
        <v>132.9</v>
      </c>
      <c r="BH404">
        <v>-1.2589999999999999</v>
      </c>
    </row>
    <row r="405" spans="1:60" x14ac:dyDescent="0.35">
      <c r="A405" t="s">
        <v>34</v>
      </c>
      <c r="B405" s="1">
        <v>46146.65625</v>
      </c>
      <c r="C405" t="s">
        <v>34</v>
      </c>
      <c r="D405" s="1">
        <v>46147.625</v>
      </c>
      <c r="E405">
        <v>6870</v>
      </c>
      <c r="F405" t="s">
        <v>36</v>
      </c>
      <c r="G405">
        <v>0.27</v>
      </c>
      <c r="H405">
        <v>0.6</v>
      </c>
      <c r="I405">
        <v>0.15</v>
      </c>
      <c r="J405">
        <v>0.15</v>
      </c>
      <c r="K405">
        <v>193</v>
      </c>
      <c r="L405">
        <v>381</v>
      </c>
      <c r="M405">
        <v>0.1</v>
      </c>
      <c r="N405">
        <v>557</v>
      </c>
      <c r="O405">
        <v>0.2</v>
      </c>
      <c r="P405">
        <v>0</v>
      </c>
      <c r="Q405">
        <v>0</v>
      </c>
      <c r="R405">
        <v>0</v>
      </c>
      <c r="S405">
        <v>0</v>
      </c>
      <c r="T405">
        <v>0.33810000000000001</v>
      </c>
      <c r="U405">
        <v>-4.0000000000000001E-3</v>
      </c>
      <c r="V405">
        <v>1E-4</v>
      </c>
      <c r="W405">
        <v>-0.14960000000000001</v>
      </c>
      <c r="X405">
        <v>4.7800000000000002E-2</v>
      </c>
      <c r="Y405">
        <v>-8.0000000000000004E-4</v>
      </c>
      <c r="Z405">
        <v>272</v>
      </c>
      <c r="AA405">
        <v>0.05</v>
      </c>
      <c r="AB405">
        <v>72</v>
      </c>
      <c r="AC405">
        <v>0.15</v>
      </c>
      <c r="AD405">
        <v>0</v>
      </c>
      <c r="AE405">
        <v>0</v>
      </c>
      <c r="AF405">
        <v>0.40749999999999997</v>
      </c>
      <c r="AG405">
        <v>193</v>
      </c>
      <c r="AH405">
        <v>0</v>
      </c>
      <c r="AI405">
        <f t="shared" si="3"/>
        <v>-3.3746556473829181E-2</v>
      </c>
      <c r="AJ405" s="4">
        <v>7015</v>
      </c>
      <c r="AK405">
        <v>0.05</v>
      </c>
      <c r="AL405">
        <v>-1.5E-3</v>
      </c>
      <c r="AM405">
        <v>0.5</v>
      </c>
      <c r="AN405">
        <v>-1.52E-2</v>
      </c>
      <c r="AO405">
        <v>2.35</v>
      </c>
      <c r="AP405">
        <v>-4.9200000000000001E-2</v>
      </c>
      <c r="AQ405">
        <v>4.9000000000000004</v>
      </c>
      <c r="AR405">
        <v>-7.8399999999999997E-2</v>
      </c>
      <c r="AS405">
        <v>8</v>
      </c>
      <c r="AT405">
        <v>-0.1076</v>
      </c>
      <c r="AU405">
        <v>12.6</v>
      </c>
      <c r="AV405">
        <v>-0.13830000000000001</v>
      </c>
      <c r="AW405">
        <v>16.3</v>
      </c>
      <c r="AX405">
        <v>-0.1585</v>
      </c>
      <c r="AY405">
        <v>19.5</v>
      </c>
      <c r="AZ405">
        <v>-0.17319999999999999</v>
      </c>
      <c r="BA405">
        <v>22.9</v>
      </c>
      <c r="BB405">
        <v>-0.18729999999999999</v>
      </c>
      <c r="BC405">
        <v>24.5</v>
      </c>
      <c r="BD405">
        <v>-0.1933</v>
      </c>
      <c r="BE405">
        <v>26.1</v>
      </c>
      <c r="BF405">
        <v>-0.19950000000000001</v>
      </c>
      <c r="BG405">
        <v>137.69999999999999</v>
      </c>
      <c r="BH405">
        <v>-1.302</v>
      </c>
    </row>
    <row r="406" spans="1:60" x14ac:dyDescent="0.35">
      <c r="A406" t="s">
        <v>34</v>
      </c>
      <c r="B406" s="1">
        <v>46146.65625</v>
      </c>
      <c r="C406" t="s">
        <v>34</v>
      </c>
      <c r="D406" s="1">
        <v>46147.625</v>
      </c>
      <c r="E406">
        <v>6875</v>
      </c>
      <c r="F406" t="s">
        <v>36</v>
      </c>
      <c r="G406">
        <v>0.25</v>
      </c>
      <c r="H406">
        <v>0.65</v>
      </c>
      <c r="I406">
        <v>0.1</v>
      </c>
      <c r="J406">
        <v>0.1</v>
      </c>
      <c r="K406">
        <v>349</v>
      </c>
      <c r="L406">
        <v>436</v>
      </c>
      <c r="M406">
        <v>0.1</v>
      </c>
      <c r="N406">
        <v>555</v>
      </c>
      <c r="O406">
        <v>0.2</v>
      </c>
      <c r="P406">
        <v>0</v>
      </c>
      <c r="Q406">
        <v>0</v>
      </c>
      <c r="R406">
        <v>0</v>
      </c>
      <c r="S406">
        <v>0</v>
      </c>
      <c r="T406">
        <v>0.33339999999999997</v>
      </c>
      <c r="U406">
        <v>-4.1000000000000003E-3</v>
      </c>
      <c r="V406">
        <v>1E-4</v>
      </c>
      <c r="W406">
        <v>-0.14960000000000001</v>
      </c>
      <c r="X406">
        <v>4.8399999999999999E-2</v>
      </c>
      <c r="Y406">
        <v>-8.0000000000000004E-4</v>
      </c>
      <c r="Z406">
        <v>40</v>
      </c>
      <c r="AA406">
        <v>0.1</v>
      </c>
      <c r="AB406">
        <v>73</v>
      </c>
      <c r="AC406">
        <v>0.15</v>
      </c>
      <c r="AD406">
        <v>0</v>
      </c>
      <c r="AE406">
        <v>0</v>
      </c>
      <c r="AF406">
        <v>0.24740000000000001</v>
      </c>
      <c r="AG406">
        <v>467</v>
      </c>
      <c r="AH406">
        <v>0</v>
      </c>
      <c r="AI406">
        <f t="shared" si="3"/>
        <v>-3.3057851239669422E-2</v>
      </c>
      <c r="AJ406" s="4">
        <v>7020</v>
      </c>
      <c r="AK406">
        <v>0.05</v>
      </c>
      <c r="AL406">
        <v>-1.5E-3</v>
      </c>
      <c r="AM406">
        <v>0.5</v>
      </c>
      <c r="AN406">
        <v>-1.61E-2</v>
      </c>
      <c r="AO406">
        <v>2.5</v>
      </c>
      <c r="AP406">
        <v>-5.2600000000000001E-2</v>
      </c>
      <c r="AQ406">
        <v>5.0999999999999996</v>
      </c>
      <c r="AR406">
        <v>-8.2900000000000001E-2</v>
      </c>
      <c r="AS406">
        <v>8.4</v>
      </c>
      <c r="AT406">
        <v>-0.11260000000000001</v>
      </c>
      <c r="AU406">
        <v>13.1</v>
      </c>
      <c r="AV406">
        <v>-0.14369999999999999</v>
      </c>
      <c r="AW406">
        <v>16.899999999999999</v>
      </c>
      <c r="AX406">
        <v>-0.16350000000000001</v>
      </c>
      <c r="AY406">
        <v>20.100000000000001</v>
      </c>
      <c r="AZ406">
        <v>-0.1782</v>
      </c>
      <c r="BA406">
        <v>23.6</v>
      </c>
      <c r="BB406">
        <v>-0.19220000000000001</v>
      </c>
      <c r="BC406">
        <v>25.2</v>
      </c>
      <c r="BD406">
        <v>-0.1983</v>
      </c>
      <c r="BE406">
        <v>26.9</v>
      </c>
      <c r="BF406">
        <v>-0.20449999999999999</v>
      </c>
      <c r="BG406">
        <v>142.35</v>
      </c>
      <c r="BH406">
        <v>-1.3461000000000001</v>
      </c>
    </row>
    <row r="407" spans="1:60" x14ac:dyDescent="0.35">
      <c r="A407" t="s">
        <v>34</v>
      </c>
      <c r="B407" s="1">
        <v>46146.65625</v>
      </c>
      <c r="C407" t="s">
        <v>34</v>
      </c>
      <c r="D407" s="1">
        <v>46147.625</v>
      </c>
      <c r="E407">
        <v>6880</v>
      </c>
      <c r="F407" t="s">
        <v>36</v>
      </c>
      <c r="G407">
        <v>0.22</v>
      </c>
      <c r="H407">
        <v>0.55000000000000004</v>
      </c>
      <c r="I407">
        <v>0.1</v>
      </c>
      <c r="J407">
        <v>0.1</v>
      </c>
      <c r="K407">
        <v>109</v>
      </c>
      <c r="L407">
        <v>436</v>
      </c>
      <c r="M407">
        <v>0.1</v>
      </c>
      <c r="N407">
        <v>520</v>
      </c>
      <c r="O407">
        <v>0.2</v>
      </c>
      <c r="P407">
        <v>0</v>
      </c>
      <c r="Q407">
        <v>0</v>
      </c>
      <c r="R407">
        <v>0</v>
      </c>
      <c r="S407">
        <v>0</v>
      </c>
      <c r="T407">
        <v>0.32869999999999999</v>
      </c>
      <c r="U407">
        <v>-4.1000000000000003E-3</v>
      </c>
      <c r="V407">
        <v>1E-4</v>
      </c>
      <c r="W407">
        <v>-0.14960000000000001</v>
      </c>
      <c r="X407">
        <v>4.9000000000000002E-2</v>
      </c>
      <c r="Y407">
        <v>-8.0000000000000004E-4</v>
      </c>
      <c r="Z407">
        <v>41</v>
      </c>
      <c r="AA407">
        <v>0.1</v>
      </c>
      <c r="AB407">
        <v>49</v>
      </c>
      <c r="AC407">
        <v>0.15</v>
      </c>
      <c r="AD407">
        <v>0</v>
      </c>
      <c r="AE407">
        <v>0</v>
      </c>
      <c r="AF407">
        <v>0.37869999999999998</v>
      </c>
      <c r="AG407">
        <v>278</v>
      </c>
      <c r="AH407">
        <v>0</v>
      </c>
      <c r="AI407">
        <f t="shared" si="3"/>
        <v>-3.2369146005509664E-2</v>
      </c>
      <c r="AJ407" s="4">
        <v>7025</v>
      </c>
      <c r="AK407">
        <v>0.05</v>
      </c>
      <c r="AL407">
        <v>-1.5E-3</v>
      </c>
      <c r="AM407">
        <v>0.6</v>
      </c>
      <c r="AN407">
        <v>-1.77E-2</v>
      </c>
      <c r="AO407">
        <v>2.7</v>
      </c>
      <c r="AP407">
        <v>-5.62E-2</v>
      </c>
      <c r="AQ407">
        <v>5.4</v>
      </c>
      <c r="AR407">
        <v>-8.7599999999999997E-2</v>
      </c>
      <c r="AS407">
        <v>8.8000000000000007</v>
      </c>
      <c r="AT407">
        <v>-0.1177</v>
      </c>
      <c r="AU407">
        <v>13.6</v>
      </c>
      <c r="AV407">
        <v>-0.14910000000000001</v>
      </c>
      <c r="AW407">
        <v>17.5</v>
      </c>
      <c r="AX407">
        <v>-0.1691</v>
      </c>
      <c r="AY407">
        <v>20.7</v>
      </c>
      <c r="AZ407">
        <v>-0.1835</v>
      </c>
      <c r="BA407">
        <v>24.3</v>
      </c>
      <c r="BB407">
        <v>-0.19750000000000001</v>
      </c>
      <c r="BC407">
        <v>25.9</v>
      </c>
      <c r="BD407">
        <v>-0.20369999999999999</v>
      </c>
      <c r="BE407">
        <v>27.6</v>
      </c>
      <c r="BF407">
        <v>-0.2099</v>
      </c>
      <c r="BG407">
        <v>147.14999999999998</v>
      </c>
      <c r="BH407">
        <v>-1.3935</v>
      </c>
    </row>
    <row r="408" spans="1:60" x14ac:dyDescent="0.35">
      <c r="A408" t="s">
        <v>34</v>
      </c>
      <c r="B408" s="1">
        <v>46146.65625</v>
      </c>
      <c r="C408" t="s">
        <v>34</v>
      </c>
      <c r="D408" s="1">
        <v>46147.625</v>
      </c>
      <c r="E408">
        <v>6885</v>
      </c>
      <c r="F408" t="s">
        <v>36</v>
      </c>
      <c r="G408">
        <v>0.24</v>
      </c>
      <c r="H408">
        <v>0.7</v>
      </c>
      <c r="I408">
        <v>0.05</v>
      </c>
      <c r="J408">
        <v>0.1</v>
      </c>
      <c r="K408">
        <v>246</v>
      </c>
      <c r="L408">
        <v>502</v>
      </c>
      <c r="M408">
        <v>0.1</v>
      </c>
      <c r="N408">
        <v>495</v>
      </c>
      <c r="O408">
        <v>0.2</v>
      </c>
      <c r="P408">
        <v>0</v>
      </c>
      <c r="Q408">
        <v>0</v>
      </c>
      <c r="R408">
        <v>0</v>
      </c>
      <c r="S408">
        <v>0</v>
      </c>
      <c r="T408">
        <v>0.32350000000000001</v>
      </c>
      <c r="U408">
        <v>-4.1999999999999997E-3</v>
      </c>
      <c r="V408">
        <v>1E-4</v>
      </c>
      <c r="W408">
        <v>-0.14960000000000001</v>
      </c>
      <c r="X408">
        <v>4.9700000000000001E-2</v>
      </c>
      <c r="Y408">
        <v>-8.0000000000000004E-4</v>
      </c>
      <c r="Z408">
        <v>41</v>
      </c>
      <c r="AA408">
        <v>0.1</v>
      </c>
      <c r="AB408">
        <v>50</v>
      </c>
      <c r="AC408">
        <v>0.15</v>
      </c>
      <c r="AD408">
        <v>0</v>
      </c>
      <c r="AE408">
        <v>0</v>
      </c>
      <c r="AF408">
        <v>0.33760000000000001</v>
      </c>
      <c r="AG408">
        <v>240</v>
      </c>
      <c r="AH408">
        <v>0</v>
      </c>
      <c r="AI408">
        <f t="shared" si="3"/>
        <v>-3.1680440771349905E-2</v>
      </c>
      <c r="AJ408" s="4">
        <v>7030</v>
      </c>
      <c r="AK408">
        <v>0.05</v>
      </c>
      <c r="AL408">
        <v>-1.6000000000000001E-3</v>
      </c>
      <c r="AM408">
        <v>0.6</v>
      </c>
      <c r="AN408">
        <v>-1.9400000000000001E-2</v>
      </c>
      <c r="AO408">
        <v>2.95</v>
      </c>
      <c r="AP408">
        <v>-6.0900000000000003E-2</v>
      </c>
      <c r="AQ408">
        <v>5.8</v>
      </c>
      <c r="AR408">
        <v>-9.2200000000000004E-2</v>
      </c>
      <c r="AS408">
        <v>9.3000000000000007</v>
      </c>
      <c r="AT408">
        <v>-0.1236</v>
      </c>
      <c r="AU408">
        <v>14.2</v>
      </c>
      <c r="AV408">
        <v>-0.15459999999999999</v>
      </c>
      <c r="AW408">
        <v>18.100000000000001</v>
      </c>
      <c r="AX408">
        <v>-0.17449999999999999</v>
      </c>
      <c r="AY408">
        <v>21.4</v>
      </c>
      <c r="AZ408">
        <v>-0.18909999999999999</v>
      </c>
      <c r="BA408">
        <v>25</v>
      </c>
      <c r="BB408">
        <v>-0.20300000000000001</v>
      </c>
      <c r="BC408">
        <v>26.6</v>
      </c>
      <c r="BD408">
        <v>-0.20899999999999999</v>
      </c>
      <c r="BE408">
        <v>28.4</v>
      </c>
      <c r="BF408">
        <v>-0.215</v>
      </c>
      <c r="BG408">
        <v>152.4</v>
      </c>
      <c r="BH408">
        <v>-1.4429000000000003</v>
      </c>
    </row>
    <row r="409" spans="1:60" x14ac:dyDescent="0.35">
      <c r="A409" t="s">
        <v>34</v>
      </c>
      <c r="B409" s="1">
        <v>46146.65625</v>
      </c>
      <c r="C409" t="s">
        <v>34</v>
      </c>
      <c r="D409" s="1">
        <v>46147.625</v>
      </c>
      <c r="E409">
        <v>6890</v>
      </c>
      <c r="F409" t="s">
        <v>36</v>
      </c>
      <c r="G409">
        <v>0.25</v>
      </c>
      <c r="H409">
        <v>0.75</v>
      </c>
      <c r="I409">
        <v>0.15</v>
      </c>
      <c r="J409">
        <v>0.15</v>
      </c>
      <c r="K409">
        <v>1189</v>
      </c>
      <c r="L409">
        <v>30</v>
      </c>
      <c r="M409">
        <v>0.15</v>
      </c>
      <c r="N409">
        <v>352</v>
      </c>
      <c r="O409">
        <v>0.2</v>
      </c>
      <c r="P409">
        <v>0</v>
      </c>
      <c r="Q409">
        <v>0</v>
      </c>
      <c r="R409">
        <v>0</v>
      </c>
      <c r="S409">
        <v>0</v>
      </c>
      <c r="T409">
        <v>0.32440000000000002</v>
      </c>
      <c r="U409">
        <v>-4.7999999999999996E-3</v>
      </c>
      <c r="V409">
        <v>1E-4</v>
      </c>
      <c r="W409">
        <v>-0.17460000000000001</v>
      </c>
      <c r="X409">
        <v>5.6000000000000001E-2</v>
      </c>
      <c r="Y409">
        <v>-8.9999999999999998E-4</v>
      </c>
      <c r="Z409">
        <v>42</v>
      </c>
      <c r="AA409">
        <v>0.1</v>
      </c>
      <c r="AB409">
        <v>99</v>
      </c>
      <c r="AC409">
        <v>0.15</v>
      </c>
      <c r="AD409">
        <v>0</v>
      </c>
      <c r="AE409">
        <v>0</v>
      </c>
      <c r="AF409">
        <v>0.27510000000000001</v>
      </c>
      <c r="AG409">
        <v>215</v>
      </c>
      <c r="AH409">
        <v>0</v>
      </c>
      <c r="AI409">
        <f t="shared" si="3"/>
        <v>-3.0991735537190035E-2</v>
      </c>
      <c r="AJ409" s="4">
        <v>7035</v>
      </c>
      <c r="AK409">
        <v>0.05</v>
      </c>
      <c r="AL409">
        <v>-1.6000000000000001E-3</v>
      </c>
      <c r="AM409">
        <v>0.7</v>
      </c>
      <c r="AN409">
        <v>-2.12E-2</v>
      </c>
      <c r="AO409">
        <v>3.2</v>
      </c>
      <c r="AP409">
        <v>-6.4799999999999996E-2</v>
      </c>
      <c r="AQ409">
        <v>6.1</v>
      </c>
      <c r="AR409">
        <v>-9.7900000000000001E-2</v>
      </c>
      <c r="AS409">
        <v>9.8000000000000007</v>
      </c>
      <c r="AT409">
        <v>-0.12870000000000001</v>
      </c>
      <c r="AU409">
        <v>14.8</v>
      </c>
      <c r="AV409">
        <v>-0.1605</v>
      </c>
      <c r="AW409">
        <v>18.8</v>
      </c>
      <c r="AX409">
        <v>-0.1802</v>
      </c>
      <c r="AY409">
        <v>22.1</v>
      </c>
      <c r="AZ409">
        <v>-0.19470000000000001</v>
      </c>
      <c r="BA409">
        <v>25.7</v>
      </c>
      <c r="BB409">
        <v>-0.20849999999999999</v>
      </c>
      <c r="BC409">
        <v>27.4</v>
      </c>
      <c r="BD409">
        <v>-0.2145</v>
      </c>
      <c r="BE409">
        <v>29.2</v>
      </c>
      <c r="BF409">
        <v>-0.2205</v>
      </c>
      <c r="BG409">
        <v>157.85</v>
      </c>
      <c r="BH409">
        <v>-1.4930999999999999</v>
      </c>
    </row>
    <row r="410" spans="1:60" x14ac:dyDescent="0.35">
      <c r="A410" t="s">
        <v>34</v>
      </c>
      <c r="B410" s="1">
        <v>46146.65625</v>
      </c>
      <c r="C410" t="s">
        <v>34</v>
      </c>
      <c r="D410" s="1">
        <v>46147.625</v>
      </c>
      <c r="E410">
        <v>6895</v>
      </c>
      <c r="F410" t="s">
        <v>36</v>
      </c>
      <c r="G410">
        <v>0.3</v>
      </c>
      <c r="H410">
        <v>0.95</v>
      </c>
      <c r="I410">
        <v>0.1</v>
      </c>
      <c r="J410">
        <v>0.1</v>
      </c>
      <c r="K410">
        <v>101</v>
      </c>
      <c r="L410">
        <v>31</v>
      </c>
      <c r="M410">
        <v>0.15</v>
      </c>
      <c r="N410">
        <v>340</v>
      </c>
      <c r="O410">
        <v>0.2</v>
      </c>
      <c r="P410">
        <v>0</v>
      </c>
      <c r="Q410">
        <v>0</v>
      </c>
      <c r="R410">
        <v>0</v>
      </c>
      <c r="S410">
        <v>0</v>
      </c>
      <c r="T410">
        <v>0.3196</v>
      </c>
      <c r="U410">
        <v>-4.7999999999999996E-3</v>
      </c>
      <c r="V410">
        <v>1E-4</v>
      </c>
      <c r="W410">
        <v>-0.17460000000000001</v>
      </c>
      <c r="X410">
        <v>5.6800000000000003E-2</v>
      </c>
      <c r="Y410">
        <v>-8.9999999999999998E-4</v>
      </c>
      <c r="Z410">
        <v>72</v>
      </c>
      <c r="AA410">
        <v>0.1</v>
      </c>
      <c r="AB410">
        <v>69</v>
      </c>
      <c r="AC410">
        <v>0.15</v>
      </c>
      <c r="AD410">
        <v>0</v>
      </c>
      <c r="AE410">
        <v>0</v>
      </c>
      <c r="AF410">
        <v>0.39190000000000003</v>
      </c>
      <c r="AG410">
        <v>264</v>
      </c>
      <c r="AH410">
        <v>0</v>
      </c>
      <c r="AI410">
        <f t="shared" si="3"/>
        <v>-3.0303030303030276E-2</v>
      </c>
      <c r="AJ410" s="4">
        <v>7040</v>
      </c>
      <c r="AK410">
        <v>0.05</v>
      </c>
      <c r="AL410">
        <v>-1.6999999999999999E-3</v>
      </c>
      <c r="AM410">
        <v>0.75</v>
      </c>
      <c r="AN410">
        <v>-2.35E-2</v>
      </c>
      <c r="AO410">
        <v>3.4</v>
      </c>
      <c r="AP410">
        <v>-6.9500000000000006E-2</v>
      </c>
      <c r="AQ410">
        <v>6.5</v>
      </c>
      <c r="AR410">
        <v>-0.1027</v>
      </c>
      <c r="AS410">
        <v>10.3</v>
      </c>
      <c r="AT410">
        <v>-0.13469999999999999</v>
      </c>
      <c r="AU410">
        <v>15.4</v>
      </c>
      <c r="AV410">
        <v>-0.16639999999999999</v>
      </c>
      <c r="AW410">
        <v>19.5</v>
      </c>
      <c r="AX410">
        <v>-0.1862</v>
      </c>
      <c r="AY410">
        <v>22.9</v>
      </c>
      <c r="AZ410">
        <v>-0.20039999999999999</v>
      </c>
      <c r="BA410">
        <v>26.5</v>
      </c>
      <c r="BB410">
        <v>-0.21410000000000001</v>
      </c>
      <c r="BC410">
        <v>28.2</v>
      </c>
      <c r="BD410">
        <v>-0.22020000000000001</v>
      </c>
      <c r="BE410">
        <v>30</v>
      </c>
      <c r="BF410">
        <v>-0.2261</v>
      </c>
      <c r="BG410">
        <v>163.5</v>
      </c>
      <c r="BH410">
        <v>-1.5454999999999999</v>
      </c>
    </row>
    <row r="411" spans="1:60" x14ac:dyDescent="0.35">
      <c r="A411" t="s">
        <v>34</v>
      </c>
      <c r="B411" s="1">
        <v>46146.65625</v>
      </c>
      <c r="C411" t="s">
        <v>34</v>
      </c>
      <c r="D411" s="1">
        <v>46147.625</v>
      </c>
      <c r="E411">
        <v>6900</v>
      </c>
      <c r="F411" t="s">
        <v>36</v>
      </c>
      <c r="G411">
        <v>0.32</v>
      </c>
      <c r="H411">
        <v>0.8</v>
      </c>
      <c r="I411">
        <v>0.1</v>
      </c>
      <c r="J411">
        <v>0.1</v>
      </c>
      <c r="K411">
        <v>16559</v>
      </c>
      <c r="L411">
        <v>51</v>
      </c>
      <c r="M411">
        <v>0.15</v>
      </c>
      <c r="N411">
        <v>338</v>
      </c>
      <c r="O411">
        <v>0.2</v>
      </c>
      <c r="P411">
        <v>0</v>
      </c>
      <c r="Q411">
        <v>0</v>
      </c>
      <c r="R411">
        <v>0</v>
      </c>
      <c r="S411">
        <v>0</v>
      </c>
      <c r="T411">
        <v>0.31480000000000002</v>
      </c>
      <c r="U411">
        <v>-4.8999999999999998E-3</v>
      </c>
      <c r="V411">
        <v>1E-4</v>
      </c>
      <c r="W411">
        <v>-0.17460000000000001</v>
      </c>
      <c r="X411">
        <v>5.7599999999999998E-2</v>
      </c>
      <c r="Y411">
        <v>-8.9999999999999998E-4</v>
      </c>
      <c r="Z411">
        <v>74</v>
      </c>
      <c r="AA411">
        <v>0.1</v>
      </c>
      <c r="AB411">
        <v>51</v>
      </c>
      <c r="AC411">
        <v>0.15</v>
      </c>
      <c r="AD411">
        <v>0</v>
      </c>
      <c r="AE411">
        <v>0</v>
      </c>
      <c r="AF411">
        <v>0.32700000000000001</v>
      </c>
      <c r="AG411">
        <v>909</v>
      </c>
      <c r="AH411">
        <v>0</v>
      </c>
      <c r="AI411">
        <f t="shared" si="3"/>
        <v>-2.9614325068870517E-2</v>
      </c>
      <c r="AJ411" s="4">
        <v>7045</v>
      </c>
      <c r="AK411">
        <v>0.05</v>
      </c>
      <c r="AL411">
        <v>-1.6999999999999999E-3</v>
      </c>
      <c r="AM411">
        <v>0.8</v>
      </c>
      <c r="AN411">
        <v>-2.5399999999999999E-2</v>
      </c>
      <c r="AO411">
        <v>3.7</v>
      </c>
      <c r="AP411">
        <v>-7.4399999999999994E-2</v>
      </c>
      <c r="AQ411">
        <v>6.8</v>
      </c>
      <c r="AR411">
        <v>-0.1085</v>
      </c>
      <c r="AS411">
        <v>10.8</v>
      </c>
      <c r="AT411">
        <v>-0.14069999999999999</v>
      </c>
      <c r="AU411">
        <v>16</v>
      </c>
      <c r="AV411">
        <v>-0.1724</v>
      </c>
      <c r="AW411">
        <v>20.2</v>
      </c>
      <c r="AX411">
        <v>-0.1923</v>
      </c>
      <c r="AY411">
        <v>23.6</v>
      </c>
      <c r="AZ411">
        <v>-0.20660000000000001</v>
      </c>
      <c r="BA411">
        <v>27.3</v>
      </c>
      <c r="BB411">
        <v>-0.22</v>
      </c>
      <c r="BC411">
        <v>29</v>
      </c>
      <c r="BD411">
        <v>-0.22600000000000001</v>
      </c>
      <c r="BE411">
        <v>30.8</v>
      </c>
      <c r="BF411">
        <v>-0.23180000000000001</v>
      </c>
      <c r="BG411">
        <v>169.05</v>
      </c>
      <c r="BH411">
        <v>-1.5998000000000001</v>
      </c>
    </row>
    <row r="412" spans="1:60" x14ac:dyDescent="0.35">
      <c r="A412" t="s">
        <v>34</v>
      </c>
      <c r="B412" s="1">
        <v>46146.65625</v>
      </c>
      <c r="C412" t="s">
        <v>34</v>
      </c>
      <c r="D412" s="1">
        <v>46147.625</v>
      </c>
      <c r="E412">
        <v>6905</v>
      </c>
      <c r="F412" t="s">
        <v>36</v>
      </c>
      <c r="G412">
        <v>0.32</v>
      </c>
      <c r="H412">
        <v>0.65</v>
      </c>
      <c r="I412">
        <v>0.15</v>
      </c>
      <c r="J412">
        <v>0.15</v>
      </c>
      <c r="K412">
        <v>79</v>
      </c>
      <c r="L412">
        <v>91</v>
      </c>
      <c r="M412">
        <v>0.15</v>
      </c>
      <c r="N412">
        <v>174</v>
      </c>
      <c r="O412">
        <v>0.2</v>
      </c>
      <c r="P412">
        <v>0</v>
      </c>
      <c r="Q412">
        <v>0</v>
      </c>
      <c r="R412">
        <v>0</v>
      </c>
      <c r="S412">
        <v>0</v>
      </c>
      <c r="T412">
        <v>0.31030000000000002</v>
      </c>
      <c r="U412">
        <v>-5.0000000000000001E-3</v>
      </c>
      <c r="V412">
        <v>1E-4</v>
      </c>
      <c r="W412">
        <v>-0.17460000000000001</v>
      </c>
      <c r="X412">
        <v>5.8299999999999998E-2</v>
      </c>
      <c r="Y412">
        <v>-1E-3</v>
      </c>
      <c r="Z412">
        <v>109</v>
      </c>
      <c r="AA412">
        <v>0.1</v>
      </c>
      <c r="AB412">
        <v>173</v>
      </c>
      <c r="AC412">
        <v>0.2</v>
      </c>
      <c r="AD412">
        <v>0</v>
      </c>
      <c r="AE412">
        <v>0</v>
      </c>
      <c r="AF412">
        <v>0.41249999999999998</v>
      </c>
      <c r="AG412">
        <v>328</v>
      </c>
      <c r="AH412">
        <v>0</v>
      </c>
      <c r="AI412">
        <f t="shared" si="3"/>
        <v>-2.8925619834710758E-2</v>
      </c>
      <c r="AJ412" s="4">
        <v>7050</v>
      </c>
      <c r="AK412">
        <v>0.05</v>
      </c>
      <c r="AL412">
        <v>-1.8E-3</v>
      </c>
      <c r="AM412">
        <v>0.9</v>
      </c>
      <c r="AN412">
        <v>-2.8400000000000002E-2</v>
      </c>
      <c r="AO412">
        <v>4</v>
      </c>
      <c r="AP412">
        <v>-7.9899999999999999E-2</v>
      </c>
      <c r="AQ412">
        <v>7.3</v>
      </c>
      <c r="AR412">
        <v>-0.1144</v>
      </c>
      <c r="AS412">
        <v>11.3</v>
      </c>
      <c r="AT412">
        <v>-0.14749999999999999</v>
      </c>
      <c r="AU412">
        <v>16.7</v>
      </c>
      <c r="AV412">
        <v>-0.1787</v>
      </c>
      <c r="AW412">
        <v>20.9</v>
      </c>
      <c r="AX412">
        <v>-0.19869999999999999</v>
      </c>
      <c r="AY412">
        <v>24.4</v>
      </c>
      <c r="AZ412">
        <v>-0.21260000000000001</v>
      </c>
      <c r="BA412">
        <v>28.1</v>
      </c>
      <c r="BB412">
        <v>-0.22589999999999999</v>
      </c>
      <c r="BC412">
        <v>29.8</v>
      </c>
      <c r="BD412">
        <v>-0.23180000000000001</v>
      </c>
      <c r="BE412">
        <v>31.7</v>
      </c>
      <c r="BF412">
        <v>-0.23769999999999999</v>
      </c>
      <c r="BG412">
        <v>175.15</v>
      </c>
      <c r="BH412">
        <v>-1.6574</v>
      </c>
    </row>
    <row r="413" spans="1:60" x14ac:dyDescent="0.35">
      <c r="A413" t="s">
        <v>34</v>
      </c>
      <c r="B413" s="1">
        <v>46146.65625</v>
      </c>
      <c r="C413" t="s">
        <v>34</v>
      </c>
      <c r="D413" s="1">
        <v>46147.625</v>
      </c>
      <c r="E413">
        <v>6910</v>
      </c>
      <c r="F413" t="s">
        <v>36</v>
      </c>
      <c r="G413">
        <v>0.32</v>
      </c>
      <c r="H413">
        <v>0.7</v>
      </c>
      <c r="I413">
        <v>0.1</v>
      </c>
      <c r="J413">
        <v>0.15</v>
      </c>
      <c r="K413">
        <v>3349</v>
      </c>
      <c r="L413">
        <v>116</v>
      </c>
      <c r="M413">
        <v>0.15</v>
      </c>
      <c r="N413">
        <v>131</v>
      </c>
      <c r="O413">
        <v>0.2</v>
      </c>
      <c r="P413">
        <v>0</v>
      </c>
      <c r="Q413">
        <v>0</v>
      </c>
      <c r="R413">
        <v>0</v>
      </c>
      <c r="S413">
        <v>0</v>
      </c>
      <c r="T413">
        <v>0.30549999999999999</v>
      </c>
      <c r="U413">
        <v>-5.0000000000000001E-3</v>
      </c>
      <c r="V413">
        <v>1E-4</v>
      </c>
      <c r="W413">
        <v>-0.17460000000000001</v>
      </c>
      <c r="X413">
        <v>5.91E-2</v>
      </c>
      <c r="Y413">
        <v>-1E-3</v>
      </c>
      <c r="Z413">
        <v>118</v>
      </c>
      <c r="AA413">
        <v>0.1</v>
      </c>
      <c r="AB413">
        <v>404</v>
      </c>
      <c r="AC413">
        <v>0.15</v>
      </c>
      <c r="AD413">
        <v>0</v>
      </c>
      <c r="AE413">
        <v>0</v>
      </c>
      <c r="AF413">
        <v>0.246</v>
      </c>
      <c r="AG413">
        <v>405</v>
      </c>
      <c r="AH413">
        <v>0</v>
      </c>
      <c r="AI413">
        <f t="shared" si="3"/>
        <v>-2.8236914600551E-2</v>
      </c>
      <c r="AJ413" s="4">
        <v>7055</v>
      </c>
      <c r="AK413">
        <v>0.05</v>
      </c>
      <c r="AL413">
        <v>-1.8E-3</v>
      </c>
      <c r="AM413">
        <v>1</v>
      </c>
      <c r="AN413">
        <v>-3.1600000000000003E-2</v>
      </c>
      <c r="AO413">
        <v>4.3</v>
      </c>
      <c r="AP413">
        <v>-8.5500000000000007E-2</v>
      </c>
      <c r="AQ413">
        <v>7.7</v>
      </c>
      <c r="AR413">
        <v>-0.12089999999999999</v>
      </c>
      <c r="AS413">
        <v>11.9</v>
      </c>
      <c r="AT413">
        <v>-0.1537</v>
      </c>
      <c r="AU413">
        <v>17.399999999999999</v>
      </c>
      <c r="AV413">
        <v>-0.18540000000000001</v>
      </c>
      <c r="AW413">
        <v>21.7</v>
      </c>
      <c r="AX413">
        <v>-0.2049</v>
      </c>
      <c r="AY413">
        <v>25.2</v>
      </c>
      <c r="AZ413">
        <v>-0.21870000000000001</v>
      </c>
      <c r="BA413">
        <v>29</v>
      </c>
      <c r="BB413">
        <v>-0.23200000000000001</v>
      </c>
      <c r="BC413">
        <v>30.8</v>
      </c>
      <c r="BD413">
        <v>-0.23769999999999999</v>
      </c>
      <c r="BE413">
        <v>32.6</v>
      </c>
      <c r="BF413">
        <v>-0.2437</v>
      </c>
      <c r="BG413">
        <v>181.65</v>
      </c>
      <c r="BH413">
        <v>-1.7159</v>
      </c>
    </row>
    <row r="414" spans="1:60" x14ac:dyDescent="0.35">
      <c r="A414" t="s">
        <v>34</v>
      </c>
      <c r="B414" s="1">
        <v>46146.65625</v>
      </c>
      <c r="C414" t="s">
        <v>34</v>
      </c>
      <c r="D414" s="1">
        <v>46147.625</v>
      </c>
      <c r="E414">
        <v>6915</v>
      </c>
      <c r="F414" t="s">
        <v>36</v>
      </c>
      <c r="G414">
        <v>0.37</v>
      </c>
      <c r="H414">
        <v>0.67</v>
      </c>
      <c r="I414">
        <v>0.15</v>
      </c>
      <c r="J414">
        <v>0.15</v>
      </c>
      <c r="K414">
        <v>181</v>
      </c>
      <c r="L414">
        <v>264</v>
      </c>
      <c r="M414">
        <v>0.15</v>
      </c>
      <c r="N414">
        <v>88</v>
      </c>
      <c r="O414">
        <v>0.2</v>
      </c>
      <c r="P414">
        <v>0</v>
      </c>
      <c r="Q414">
        <v>0</v>
      </c>
      <c r="R414">
        <v>0</v>
      </c>
      <c r="S414">
        <v>0</v>
      </c>
      <c r="T414">
        <v>0.30070000000000002</v>
      </c>
      <c r="U414">
        <v>-5.1000000000000004E-3</v>
      </c>
      <c r="V414">
        <v>1E-4</v>
      </c>
      <c r="W414">
        <v>-0.17460000000000001</v>
      </c>
      <c r="X414">
        <v>0.06</v>
      </c>
      <c r="Y414">
        <v>-1E-3</v>
      </c>
      <c r="Z414">
        <v>180</v>
      </c>
      <c r="AA414">
        <v>0.1</v>
      </c>
      <c r="AB414">
        <v>169</v>
      </c>
      <c r="AC414">
        <v>0.2</v>
      </c>
      <c r="AD414">
        <v>0</v>
      </c>
      <c r="AE414">
        <v>0</v>
      </c>
      <c r="AF414">
        <v>0.3967</v>
      </c>
      <c r="AG414">
        <v>2225</v>
      </c>
      <c r="AH414">
        <v>0</v>
      </c>
      <c r="AI414">
        <f t="shared" si="3"/>
        <v>-2.754820936639113E-2</v>
      </c>
      <c r="AJ414" s="4">
        <v>7060</v>
      </c>
      <c r="AK414">
        <v>0.05</v>
      </c>
      <c r="AL414">
        <v>-1.9E-3</v>
      </c>
      <c r="AM414">
        <v>1.1000000000000001</v>
      </c>
      <c r="AN414">
        <v>-3.4799999999999998E-2</v>
      </c>
      <c r="AO414">
        <v>4.5999999999999996</v>
      </c>
      <c r="AP414">
        <v>-9.11E-2</v>
      </c>
      <c r="AQ414">
        <v>8.1</v>
      </c>
      <c r="AR414">
        <v>-0.1273</v>
      </c>
      <c r="AS414">
        <v>12.5</v>
      </c>
      <c r="AT414">
        <v>-0.16070000000000001</v>
      </c>
      <c r="AU414">
        <v>18.100000000000001</v>
      </c>
      <c r="AV414">
        <v>-0.19209999999999999</v>
      </c>
      <c r="AW414">
        <v>22.4</v>
      </c>
      <c r="AX414">
        <v>-0.21160000000000001</v>
      </c>
      <c r="AY414">
        <v>26</v>
      </c>
      <c r="AZ414">
        <v>-0.2253</v>
      </c>
      <c r="BA414">
        <v>29.8</v>
      </c>
      <c r="BB414">
        <v>-0.2382</v>
      </c>
      <c r="BC414">
        <v>31.6</v>
      </c>
      <c r="BD414">
        <v>-0.24390000000000001</v>
      </c>
      <c r="BE414">
        <v>33.5</v>
      </c>
      <c r="BF414">
        <v>-0.24979999999999999</v>
      </c>
      <c r="BG414">
        <v>187.75</v>
      </c>
      <c r="BH414">
        <v>-1.7766999999999999</v>
      </c>
    </row>
    <row r="415" spans="1:60" x14ac:dyDescent="0.35">
      <c r="A415" t="s">
        <v>34</v>
      </c>
      <c r="B415" s="1">
        <v>46146.65625</v>
      </c>
      <c r="C415" t="s">
        <v>34</v>
      </c>
      <c r="D415" s="1">
        <v>46147.625</v>
      </c>
      <c r="E415">
        <v>6920</v>
      </c>
      <c r="F415" t="s">
        <v>36</v>
      </c>
      <c r="G415">
        <v>0.28000000000000003</v>
      </c>
      <c r="H415">
        <v>0.95</v>
      </c>
      <c r="I415">
        <v>0.1</v>
      </c>
      <c r="J415">
        <v>0.1</v>
      </c>
      <c r="K415">
        <v>148</v>
      </c>
      <c r="L415">
        <v>447</v>
      </c>
      <c r="M415">
        <v>0.15</v>
      </c>
      <c r="N415">
        <v>499</v>
      </c>
      <c r="O415">
        <v>0.25</v>
      </c>
      <c r="P415">
        <v>0</v>
      </c>
      <c r="Q415">
        <v>0</v>
      </c>
      <c r="R415">
        <v>0</v>
      </c>
      <c r="S415">
        <v>0</v>
      </c>
      <c r="T415">
        <v>0.29970000000000002</v>
      </c>
      <c r="U415">
        <v>-5.7999999999999996E-3</v>
      </c>
      <c r="V415">
        <v>1E-4</v>
      </c>
      <c r="W415">
        <v>-0.19939999999999999</v>
      </c>
      <c r="X415">
        <v>6.6900000000000001E-2</v>
      </c>
      <c r="Y415">
        <v>-1.1000000000000001E-3</v>
      </c>
      <c r="Z415">
        <v>250</v>
      </c>
      <c r="AA415">
        <v>0.1</v>
      </c>
      <c r="AB415">
        <v>171</v>
      </c>
      <c r="AC415">
        <v>0.2</v>
      </c>
      <c r="AD415">
        <v>0</v>
      </c>
      <c r="AE415">
        <v>0</v>
      </c>
      <c r="AF415">
        <v>0.36890000000000001</v>
      </c>
      <c r="AG415">
        <v>603</v>
      </c>
      <c r="AH415">
        <v>0</v>
      </c>
      <c r="AI415">
        <f t="shared" si="3"/>
        <v>-2.6859504132231371E-2</v>
      </c>
      <c r="AJ415" s="4">
        <v>7065</v>
      </c>
      <c r="AK415">
        <v>0.05</v>
      </c>
      <c r="AL415">
        <v>-1.9E-3</v>
      </c>
      <c r="AM415">
        <v>1.2</v>
      </c>
      <c r="AN415">
        <v>-3.8100000000000002E-2</v>
      </c>
      <c r="AO415">
        <v>5</v>
      </c>
      <c r="AP415">
        <v>-9.7600000000000006E-2</v>
      </c>
      <c r="AQ415">
        <v>8.6</v>
      </c>
      <c r="AR415">
        <v>-0.13450000000000001</v>
      </c>
      <c r="AS415">
        <v>13.1</v>
      </c>
      <c r="AT415">
        <v>-0.1681</v>
      </c>
      <c r="AU415">
        <v>18.8</v>
      </c>
      <c r="AV415">
        <v>-0.19919999999999999</v>
      </c>
      <c r="AW415">
        <v>23.2</v>
      </c>
      <c r="AX415">
        <v>-0.21840000000000001</v>
      </c>
      <c r="AY415">
        <v>26.8</v>
      </c>
      <c r="AZ415">
        <v>-0.23180000000000001</v>
      </c>
      <c r="BA415">
        <v>30.7</v>
      </c>
      <c r="BB415">
        <v>-0.24460000000000001</v>
      </c>
      <c r="BC415">
        <v>32.5</v>
      </c>
      <c r="BD415">
        <v>-0.25040000000000001</v>
      </c>
      <c r="BE415">
        <v>34.4</v>
      </c>
      <c r="BF415">
        <v>-0.25590000000000002</v>
      </c>
      <c r="BG415">
        <v>194.35</v>
      </c>
      <c r="BH415">
        <v>-1.8404999999999998</v>
      </c>
    </row>
    <row r="416" spans="1:60" x14ac:dyDescent="0.35">
      <c r="A416" t="s">
        <v>34</v>
      </c>
      <c r="B416" s="1">
        <v>46146.65625</v>
      </c>
      <c r="C416" t="s">
        <v>34</v>
      </c>
      <c r="D416" s="1">
        <v>46147.625</v>
      </c>
      <c r="E416">
        <v>6925</v>
      </c>
      <c r="F416" t="s">
        <v>36</v>
      </c>
      <c r="G416">
        <v>0.35</v>
      </c>
      <c r="H416">
        <v>0.91</v>
      </c>
      <c r="I416">
        <v>0.15</v>
      </c>
      <c r="J416">
        <v>0.15</v>
      </c>
      <c r="K416">
        <v>8358</v>
      </c>
      <c r="L416">
        <v>541</v>
      </c>
      <c r="M416">
        <v>0.15</v>
      </c>
      <c r="N416">
        <v>483</v>
      </c>
      <c r="O416">
        <v>0.25</v>
      </c>
      <c r="P416">
        <v>0</v>
      </c>
      <c r="Q416">
        <v>0</v>
      </c>
      <c r="R416">
        <v>0</v>
      </c>
      <c r="S416">
        <v>0</v>
      </c>
      <c r="T416">
        <v>0.2949</v>
      </c>
      <c r="U416">
        <v>-5.8999999999999999E-3</v>
      </c>
      <c r="V416">
        <v>2.0000000000000001E-4</v>
      </c>
      <c r="W416">
        <v>-0.19950000000000001</v>
      </c>
      <c r="X416">
        <v>6.7799999999999999E-2</v>
      </c>
      <c r="Y416">
        <v>-1.1000000000000001E-3</v>
      </c>
      <c r="Z416">
        <v>259</v>
      </c>
      <c r="AA416">
        <v>0.1</v>
      </c>
      <c r="AB416">
        <v>175</v>
      </c>
      <c r="AC416">
        <v>0.2</v>
      </c>
      <c r="AD416">
        <v>0</v>
      </c>
      <c r="AE416">
        <v>0</v>
      </c>
      <c r="AF416">
        <v>0.30059999999999998</v>
      </c>
      <c r="AG416">
        <v>739</v>
      </c>
      <c r="AH416">
        <v>0</v>
      </c>
      <c r="AI416">
        <f t="shared" si="3"/>
        <v>-2.6170798898071612E-2</v>
      </c>
      <c r="AJ416" s="4">
        <v>7070</v>
      </c>
      <c r="AK416">
        <v>0.05</v>
      </c>
      <c r="AL416">
        <v>-2E-3</v>
      </c>
      <c r="AM416">
        <v>1.35</v>
      </c>
      <c r="AN416">
        <v>-4.2500000000000003E-2</v>
      </c>
      <c r="AO416">
        <v>5.3</v>
      </c>
      <c r="AP416">
        <v>-0.1041</v>
      </c>
      <c r="AQ416">
        <v>9.1</v>
      </c>
      <c r="AR416">
        <v>-0.1416</v>
      </c>
      <c r="AS416">
        <v>13.7</v>
      </c>
      <c r="AT416">
        <v>-0.17549999999999999</v>
      </c>
      <c r="AU416">
        <v>19.600000000000001</v>
      </c>
      <c r="AV416">
        <v>-0.20630000000000001</v>
      </c>
      <c r="AW416">
        <v>24.1</v>
      </c>
      <c r="AX416">
        <v>-0.22539999999999999</v>
      </c>
      <c r="AY416">
        <v>27.7</v>
      </c>
      <c r="AZ416">
        <v>-0.2387</v>
      </c>
      <c r="BA416">
        <v>31.6</v>
      </c>
      <c r="BB416">
        <v>-0.25109999999999999</v>
      </c>
      <c r="BC416">
        <v>33.5</v>
      </c>
      <c r="BD416">
        <v>-0.25669999999999998</v>
      </c>
      <c r="BE416">
        <v>35.4</v>
      </c>
      <c r="BF416">
        <v>-0.26229999999999998</v>
      </c>
      <c r="BG416">
        <v>201.4</v>
      </c>
      <c r="BH416">
        <v>-1.9061999999999999</v>
      </c>
    </row>
    <row r="417" spans="1:60" x14ac:dyDescent="0.35">
      <c r="A417" t="s">
        <v>34</v>
      </c>
      <c r="B417" s="1">
        <v>46146.65625</v>
      </c>
      <c r="C417" t="s">
        <v>34</v>
      </c>
      <c r="D417" s="1">
        <v>46147.625</v>
      </c>
      <c r="E417">
        <v>6930</v>
      </c>
      <c r="F417" t="s">
        <v>36</v>
      </c>
      <c r="G417">
        <v>0.41</v>
      </c>
      <c r="H417">
        <v>0.8</v>
      </c>
      <c r="I417">
        <v>0.15</v>
      </c>
      <c r="J417">
        <v>0.15</v>
      </c>
      <c r="K417">
        <v>152</v>
      </c>
      <c r="L417">
        <v>511</v>
      </c>
      <c r="M417">
        <v>0.15</v>
      </c>
      <c r="N417">
        <v>485</v>
      </c>
      <c r="O417">
        <v>0.25</v>
      </c>
      <c r="P417">
        <v>0</v>
      </c>
      <c r="Q417">
        <v>0</v>
      </c>
      <c r="R417">
        <v>0</v>
      </c>
      <c r="S417">
        <v>0</v>
      </c>
      <c r="T417">
        <v>0.29060000000000002</v>
      </c>
      <c r="U417">
        <v>-6.0000000000000001E-3</v>
      </c>
      <c r="V417">
        <v>2.0000000000000001E-4</v>
      </c>
      <c r="W417">
        <v>-0.19950000000000001</v>
      </c>
      <c r="X417">
        <v>6.8699999999999997E-2</v>
      </c>
      <c r="Y417">
        <v>-1.1000000000000001E-3</v>
      </c>
      <c r="Z417">
        <v>273</v>
      </c>
      <c r="AA417">
        <v>0.1</v>
      </c>
      <c r="AB417">
        <v>114</v>
      </c>
      <c r="AC417">
        <v>0.2</v>
      </c>
      <c r="AD417">
        <v>0</v>
      </c>
      <c r="AE417">
        <v>0</v>
      </c>
      <c r="AF417">
        <v>0.39700000000000002</v>
      </c>
      <c r="AG417">
        <v>193</v>
      </c>
      <c r="AH417">
        <v>0</v>
      </c>
      <c r="AI417">
        <f t="shared" si="3"/>
        <v>-2.5482093663911853E-2</v>
      </c>
      <c r="AJ417" s="4">
        <v>7075</v>
      </c>
      <c r="AK417">
        <v>0.05</v>
      </c>
      <c r="AL417">
        <v>-2E-3</v>
      </c>
      <c r="AM417">
        <v>1.55</v>
      </c>
      <c r="AN417">
        <v>-4.7199999999999999E-2</v>
      </c>
      <c r="AO417">
        <v>5.7</v>
      </c>
      <c r="AP417">
        <v>-0.11119999999999999</v>
      </c>
      <c r="AQ417">
        <v>9.6999999999999993</v>
      </c>
      <c r="AR417">
        <v>-0.1489</v>
      </c>
      <c r="AS417">
        <v>14.4</v>
      </c>
      <c r="AT417">
        <v>-0.18310000000000001</v>
      </c>
      <c r="AU417">
        <v>20.399999999999999</v>
      </c>
      <c r="AV417">
        <v>-0.21379999999999999</v>
      </c>
      <c r="AW417">
        <v>24.9</v>
      </c>
      <c r="AX417">
        <v>-0.23250000000000001</v>
      </c>
      <c r="AY417">
        <v>28.6</v>
      </c>
      <c r="AZ417">
        <v>-0.2457</v>
      </c>
      <c r="BA417">
        <v>32.6</v>
      </c>
      <c r="BB417">
        <v>-0.25790000000000002</v>
      </c>
      <c r="BC417">
        <v>34.4</v>
      </c>
      <c r="BD417">
        <v>-0.26340000000000002</v>
      </c>
      <c r="BE417">
        <v>36.299999999999997</v>
      </c>
      <c r="BF417">
        <v>-0.26889999999999997</v>
      </c>
      <c r="BG417">
        <v>208.59999999999997</v>
      </c>
      <c r="BH417">
        <v>-1.9746000000000001</v>
      </c>
    </row>
    <row r="418" spans="1:60" x14ac:dyDescent="0.35">
      <c r="A418" t="s">
        <v>34</v>
      </c>
      <c r="B418" s="1">
        <v>46146.65625</v>
      </c>
      <c r="C418" t="s">
        <v>34</v>
      </c>
      <c r="D418" s="1">
        <v>46147.625</v>
      </c>
      <c r="E418">
        <v>6935</v>
      </c>
      <c r="F418" t="s">
        <v>36</v>
      </c>
      <c r="G418">
        <v>0.35</v>
      </c>
      <c r="H418">
        <v>0.7</v>
      </c>
      <c r="I418">
        <v>0.12</v>
      </c>
      <c r="J418">
        <v>0.15</v>
      </c>
      <c r="K418">
        <v>3244</v>
      </c>
      <c r="L418">
        <v>545</v>
      </c>
      <c r="M418">
        <v>0.15</v>
      </c>
      <c r="N418">
        <v>361</v>
      </c>
      <c r="O418">
        <v>0.25</v>
      </c>
      <c r="P418">
        <v>0</v>
      </c>
      <c r="Q418">
        <v>0</v>
      </c>
      <c r="R418">
        <v>0</v>
      </c>
      <c r="S418">
        <v>0</v>
      </c>
      <c r="T418">
        <v>0.28520000000000001</v>
      </c>
      <c r="U418">
        <v>-6.1000000000000004E-3</v>
      </c>
      <c r="V418">
        <v>2.0000000000000001E-4</v>
      </c>
      <c r="W418">
        <v>-0.19950000000000001</v>
      </c>
      <c r="X418">
        <v>6.9900000000000004E-2</v>
      </c>
      <c r="Y418">
        <v>-1.1999999999999999E-3</v>
      </c>
      <c r="Z418">
        <v>361</v>
      </c>
      <c r="AA418">
        <v>0.1</v>
      </c>
      <c r="AB418">
        <v>110</v>
      </c>
      <c r="AC418">
        <v>0.2</v>
      </c>
      <c r="AD418">
        <v>0</v>
      </c>
      <c r="AE418">
        <v>0</v>
      </c>
      <c r="AF418">
        <v>0.31080000000000002</v>
      </c>
      <c r="AG418">
        <v>167</v>
      </c>
      <c r="AH418">
        <v>0</v>
      </c>
      <c r="AI418">
        <f t="shared" si="3"/>
        <v>-2.4793388429752095E-2</v>
      </c>
      <c r="AJ418" s="4">
        <v>7080</v>
      </c>
      <c r="AK418">
        <v>0.05</v>
      </c>
      <c r="AL418">
        <v>-2.0999999999999999E-3</v>
      </c>
      <c r="AM418">
        <v>1.7</v>
      </c>
      <c r="AN418">
        <v>-5.2900000000000003E-2</v>
      </c>
      <c r="AO418">
        <v>6.2</v>
      </c>
      <c r="AP418">
        <v>-0.11849999999999999</v>
      </c>
      <c r="AQ418">
        <v>10.199999999999999</v>
      </c>
      <c r="AR418">
        <v>-0.15709999999999999</v>
      </c>
      <c r="AS418">
        <v>15.1</v>
      </c>
      <c r="AT418">
        <v>-0.191</v>
      </c>
      <c r="AU418">
        <v>21.2</v>
      </c>
      <c r="AV418">
        <v>-0.2213</v>
      </c>
      <c r="AW418">
        <v>25.8</v>
      </c>
      <c r="AX418">
        <v>-0.2399</v>
      </c>
      <c r="AY418">
        <v>29.6</v>
      </c>
      <c r="AZ418">
        <v>-0.25259999999999999</v>
      </c>
      <c r="BA418">
        <v>33.5</v>
      </c>
      <c r="BB418">
        <v>-0.2646</v>
      </c>
      <c r="BC418">
        <v>35.5</v>
      </c>
      <c r="BD418">
        <v>-0.2702</v>
      </c>
      <c r="BE418">
        <v>37.4</v>
      </c>
      <c r="BF418">
        <v>-0.27560000000000001</v>
      </c>
      <c r="BG418">
        <v>216.25</v>
      </c>
      <c r="BH418">
        <v>-2.0457999999999998</v>
      </c>
    </row>
    <row r="419" spans="1:60" x14ac:dyDescent="0.35">
      <c r="A419" t="s">
        <v>34</v>
      </c>
      <c r="B419" s="1">
        <v>46146.65625</v>
      </c>
      <c r="C419" t="s">
        <v>34</v>
      </c>
      <c r="D419" s="1">
        <v>46147.625</v>
      </c>
      <c r="E419">
        <v>6940</v>
      </c>
      <c r="F419" t="s">
        <v>36</v>
      </c>
      <c r="G419">
        <v>0.4</v>
      </c>
      <c r="H419">
        <v>0.75</v>
      </c>
      <c r="I419">
        <v>0.12</v>
      </c>
      <c r="J419">
        <v>0.16</v>
      </c>
      <c r="K419">
        <v>1905</v>
      </c>
      <c r="L419">
        <v>57</v>
      </c>
      <c r="M419">
        <v>0.2</v>
      </c>
      <c r="N419">
        <v>318</v>
      </c>
      <c r="O419">
        <v>0.25</v>
      </c>
      <c r="P419">
        <v>0</v>
      </c>
      <c r="Q419">
        <v>0</v>
      </c>
      <c r="R419">
        <v>0</v>
      </c>
      <c r="S419">
        <v>0</v>
      </c>
      <c r="T419">
        <v>0.28439999999999999</v>
      </c>
      <c r="U419">
        <v>-6.7999999999999996E-3</v>
      </c>
      <c r="V419">
        <v>2.0000000000000001E-4</v>
      </c>
      <c r="W419">
        <v>-0.22450000000000001</v>
      </c>
      <c r="X419">
        <v>7.6700000000000004E-2</v>
      </c>
      <c r="Y419">
        <v>-1.2999999999999999E-3</v>
      </c>
      <c r="Z419">
        <v>405</v>
      </c>
      <c r="AA419">
        <v>0.1</v>
      </c>
      <c r="AB419">
        <v>49</v>
      </c>
      <c r="AC419">
        <v>0.2</v>
      </c>
      <c r="AD419">
        <v>0</v>
      </c>
      <c r="AE419">
        <v>0</v>
      </c>
      <c r="AF419">
        <v>0.1817</v>
      </c>
      <c r="AG419">
        <v>510</v>
      </c>
      <c r="AH419">
        <v>0</v>
      </c>
      <c r="AI419">
        <f t="shared" si="3"/>
        <v>-2.4104683195592336E-2</v>
      </c>
      <c r="AJ419" s="4">
        <v>7085</v>
      </c>
      <c r="AK419">
        <v>0.05</v>
      </c>
      <c r="AL419">
        <v>-2.2000000000000001E-3</v>
      </c>
      <c r="AM419">
        <v>1.9</v>
      </c>
      <c r="AN419">
        <v>-5.8799999999999998E-2</v>
      </c>
      <c r="AO419">
        <v>6.6</v>
      </c>
      <c r="AP419">
        <v>-0.12709999999999999</v>
      </c>
      <c r="AQ419">
        <v>10.8</v>
      </c>
      <c r="AR419">
        <v>-0.16539999999999999</v>
      </c>
      <c r="AS419">
        <v>15.8</v>
      </c>
      <c r="AT419">
        <v>-0.19939999999999999</v>
      </c>
      <c r="AU419">
        <v>22</v>
      </c>
      <c r="AV419">
        <v>-0.22919999999999999</v>
      </c>
      <c r="AW419">
        <v>26.8</v>
      </c>
      <c r="AX419">
        <v>-0.2475</v>
      </c>
      <c r="AY419">
        <v>30.5</v>
      </c>
      <c r="AZ419">
        <v>-0.2601</v>
      </c>
      <c r="BA419">
        <v>34.5</v>
      </c>
      <c r="BB419">
        <v>-0.2717</v>
      </c>
      <c r="BC419">
        <v>36.4</v>
      </c>
      <c r="BD419">
        <v>-0.27710000000000001</v>
      </c>
      <c r="BE419">
        <v>38.4</v>
      </c>
      <c r="BF419">
        <v>-0.2823</v>
      </c>
      <c r="BG419">
        <v>223.75</v>
      </c>
      <c r="BH419">
        <v>-2.1208</v>
      </c>
    </row>
    <row r="420" spans="1:60" x14ac:dyDescent="0.35">
      <c r="A420" t="s">
        <v>34</v>
      </c>
      <c r="B420" s="1">
        <v>46146.65625</v>
      </c>
      <c r="C420" t="s">
        <v>34</v>
      </c>
      <c r="D420" s="1">
        <v>46147.625</v>
      </c>
      <c r="E420">
        <v>6945</v>
      </c>
      <c r="F420" t="s">
        <v>36</v>
      </c>
      <c r="G420">
        <v>0.45</v>
      </c>
      <c r="H420">
        <v>0.9</v>
      </c>
      <c r="I420">
        <v>0.15</v>
      </c>
      <c r="J420">
        <v>0.2</v>
      </c>
      <c r="K420">
        <v>283</v>
      </c>
      <c r="L420">
        <v>50</v>
      </c>
      <c r="M420">
        <v>0.2</v>
      </c>
      <c r="N420">
        <v>194</v>
      </c>
      <c r="O420">
        <v>0.25</v>
      </c>
      <c r="P420">
        <v>0</v>
      </c>
      <c r="Q420">
        <v>0</v>
      </c>
      <c r="R420">
        <v>0</v>
      </c>
      <c r="S420">
        <v>0</v>
      </c>
      <c r="T420">
        <v>0.2797</v>
      </c>
      <c r="U420">
        <v>-6.8999999999999999E-3</v>
      </c>
      <c r="V420">
        <v>2.0000000000000001E-4</v>
      </c>
      <c r="W420">
        <v>-0.22450000000000001</v>
      </c>
      <c r="X420">
        <v>7.7799999999999994E-2</v>
      </c>
      <c r="Y420">
        <v>-1.2999999999999999E-3</v>
      </c>
      <c r="Z420">
        <v>364</v>
      </c>
      <c r="AA420">
        <v>0.1</v>
      </c>
      <c r="AB420">
        <v>49</v>
      </c>
      <c r="AC420">
        <v>0.2</v>
      </c>
      <c r="AD420">
        <v>0</v>
      </c>
      <c r="AE420">
        <v>0</v>
      </c>
      <c r="AF420">
        <v>0.30220000000000002</v>
      </c>
      <c r="AG420">
        <v>80</v>
      </c>
      <c r="AH420">
        <v>0</v>
      </c>
      <c r="AI420">
        <f t="shared" si="3"/>
        <v>-2.3415977961432466E-2</v>
      </c>
      <c r="AJ420" s="4">
        <v>7090</v>
      </c>
      <c r="AK420">
        <v>0.05</v>
      </c>
      <c r="AL420">
        <v>-2.3E-3</v>
      </c>
      <c r="AM420">
        <v>2.15</v>
      </c>
      <c r="AN420">
        <v>-6.59E-2</v>
      </c>
      <c r="AO420">
        <v>7.1</v>
      </c>
      <c r="AP420">
        <v>-0.1358</v>
      </c>
      <c r="AQ420">
        <v>11.4</v>
      </c>
      <c r="AR420">
        <v>-0.17380000000000001</v>
      </c>
      <c r="AS420">
        <v>16.600000000000001</v>
      </c>
      <c r="AT420">
        <v>-0.2079</v>
      </c>
      <c r="AU420">
        <v>22.9</v>
      </c>
      <c r="AV420">
        <v>-0.2374</v>
      </c>
      <c r="AW420">
        <v>27.7</v>
      </c>
      <c r="AX420">
        <v>-0.25519999999999998</v>
      </c>
      <c r="AY420">
        <v>31.5</v>
      </c>
      <c r="AZ420">
        <v>-0.26750000000000002</v>
      </c>
      <c r="BA420">
        <v>35.6</v>
      </c>
      <c r="BB420">
        <v>-0.27879999999999999</v>
      </c>
      <c r="BC420">
        <v>37.4</v>
      </c>
      <c r="BD420">
        <v>-0.28420000000000001</v>
      </c>
      <c r="BE420">
        <v>39.5</v>
      </c>
      <c r="BF420">
        <v>-0.28939999999999999</v>
      </c>
      <c r="BG420">
        <v>231.9</v>
      </c>
      <c r="BH420">
        <v>-2.1981999999999999</v>
      </c>
    </row>
    <row r="421" spans="1:60" x14ac:dyDescent="0.35">
      <c r="A421" t="s">
        <v>34</v>
      </c>
      <c r="B421" s="1">
        <v>46146.65625</v>
      </c>
      <c r="C421" t="s">
        <v>34</v>
      </c>
      <c r="D421" s="1">
        <v>46147.625</v>
      </c>
      <c r="E421">
        <v>6950</v>
      </c>
      <c r="F421" t="s">
        <v>36</v>
      </c>
      <c r="G421">
        <v>0.46</v>
      </c>
      <c r="H421">
        <v>1.2</v>
      </c>
      <c r="I421">
        <v>0.15</v>
      </c>
      <c r="J421">
        <v>0.15</v>
      </c>
      <c r="K421">
        <v>1264</v>
      </c>
      <c r="L421">
        <v>121</v>
      </c>
      <c r="M421">
        <v>0.2</v>
      </c>
      <c r="N421">
        <v>91</v>
      </c>
      <c r="O421">
        <v>0.25</v>
      </c>
      <c r="P421">
        <v>0</v>
      </c>
      <c r="Q421">
        <v>0</v>
      </c>
      <c r="R421">
        <v>0</v>
      </c>
      <c r="S421">
        <v>0</v>
      </c>
      <c r="T421">
        <v>0.27479999999999999</v>
      </c>
      <c r="U421">
        <v>-7.0000000000000001E-3</v>
      </c>
      <c r="V421">
        <v>2.0000000000000001E-4</v>
      </c>
      <c r="W421">
        <v>-0.22450000000000001</v>
      </c>
      <c r="X421">
        <v>7.9000000000000001E-2</v>
      </c>
      <c r="Y421">
        <v>-1.2999999999999999E-3</v>
      </c>
      <c r="Z421">
        <v>402</v>
      </c>
      <c r="AA421">
        <v>0.1</v>
      </c>
      <c r="AB421">
        <v>49</v>
      </c>
      <c r="AC421">
        <v>0.2</v>
      </c>
      <c r="AD421">
        <v>0</v>
      </c>
      <c r="AE421">
        <v>0</v>
      </c>
      <c r="AF421">
        <v>0.45879999999999999</v>
      </c>
      <c r="AG421">
        <v>758</v>
      </c>
      <c r="AH421">
        <v>0</v>
      </c>
      <c r="AI421">
        <f t="shared" si="3"/>
        <v>-2.2727272727272707E-2</v>
      </c>
      <c r="AJ421" s="4">
        <v>7095</v>
      </c>
      <c r="AK421">
        <v>0.05</v>
      </c>
      <c r="AL421">
        <v>-2.3999999999999998E-3</v>
      </c>
      <c r="AM421">
        <v>2.4</v>
      </c>
      <c r="AN421">
        <v>-7.2999999999999995E-2</v>
      </c>
      <c r="AO421">
        <v>7.6</v>
      </c>
      <c r="AP421">
        <v>-0.14460000000000001</v>
      </c>
      <c r="AQ421">
        <v>12.1</v>
      </c>
      <c r="AR421">
        <v>-0.18310000000000001</v>
      </c>
      <c r="AS421">
        <v>17.399999999999999</v>
      </c>
      <c r="AT421">
        <v>-0.21679999999999999</v>
      </c>
      <c r="AU421">
        <v>23.8</v>
      </c>
      <c r="AV421">
        <v>-0.24590000000000001</v>
      </c>
      <c r="AW421">
        <v>28.7</v>
      </c>
      <c r="AX421">
        <v>-0.26329999999999998</v>
      </c>
      <c r="AY421">
        <v>32.5</v>
      </c>
      <c r="AZ421">
        <v>-0.2752</v>
      </c>
      <c r="BA421">
        <v>36.6</v>
      </c>
      <c r="BB421">
        <v>-0.2863</v>
      </c>
      <c r="BC421">
        <v>38.6</v>
      </c>
      <c r="BD421">
        <v>-0.29139999999999999</v>
      </c>
      <c r="BE421">
        <v>40.5</v>
      </c>
      <c r="BF421">
        <v>-0.29649999999999999</v>
      </c>
      <c r="BG421">
        <v>240.25</v>
      </c>
      <c r="BH421">
        <v>-2.2785000000000002</v>
      </c>
    </row>
    <row r="422" spans="1:60" x14ac:dyDescent="0.35">
      <c r="A422" t="s">
        <v>34</v>
      </c>
      <c r="B422" s="1">
        <v>46146.65625</v>
      </c>
      <c r="C422" t="s">
        <v>34</v>
      </c>
      <c r="D422" s="1">
        <v>46147.625</v>
      </c>
      <c r="E422">
        <v>6955</v>
      </c>
      <c r="F422" t="s">
        <v>36</v>
      </c>
      <c r="G422">
        <v>0.44</v>
      </c>
      <c r="H422">
        <v>1.1499999999999999</v>
      </c>
      <c r="I422">
        <v>0.12</v>
      </c>
      <c r="J422">
        <v>0.2</v>
      </c>
      <c r="K422">
        <v>166</v>
      </c>
      <c r="L422">
        <v>351</v>
      </c>
      <c r="M422">
        <v>0.2</v>
      </c>
      <c r="N422">
        <v>489</v>
      </c>
      <c r="O422">
        <v>0.3</v>
      </c>
      <c r="P422">
        <v>0</v>
      </c>
      <c r="Q422">
        <v>0</v>
      </c>
      <c r="R422">
        <v>0</v>
      </c>
      <c r="S422">
        <v>0</v>
      </c>
      <c r="T422">
        <v>0.2732</v>
      </c>
      <c r="U422">
        <v>-7.7000000000000002E-3</v>
      </c>
      <c r="V422">
        <v>2.0000000000000001E-4</v>
      </c>
      <c r="W422">
        <v>-0.24940000000000001</v>
      </c>
      <c r="X422">
        <v>8.6099999999999996E-2</v>
      </c>
      <c r="Y422">
        <v>-1.5E-3</v>
      </c>
      <c r="Z422">
        <v>81</v>
      </c>
      <c r="AA422">
        <v>0.15</v>
      </c>
      <c r="AB422">
        <v>183</v>
      </c>
      <c r="AC422">
        <v>0.25</v>
      </c>
      <c r="AD422">
        <v>0</v>
      </c>
      <c r="AE422">
        <v>0</v>
      </c>
      <c r="AF422">
        <v>0.4415</v>
      </c>
      <c r="AG422">
        <v>341</v>
      </c>
      <c r="AH422">
        <v>0</v>
      </c>
      <c r="AI422">
        <f t="shared" si="3"/>
        <v>-2.2038567493112948E-2</v>
      </c>
      <c r="AJ422" s="4">
        <v>7100</v>
      </c>
      <c r="AK422">
        <v>0.05</v>
      </c>
      <c r="AL422">
        <v>-2.3999999999999998E-3</v>
      </c>
      <c r="AM422">
        <v>2.7</v>
      </c>
      <c r="AN422">
        <v>-8.1299999999999997E-2</v>
      </c>
      <c r="AO422">
        <v>8.1999999999999993</v>
      </c>
      <c r="AP422">
        <v>-0.1535</v>
      </c>
      <c r="AQ422">
        <v>12.8</v>
      </c>
      <c r="AR422">
        <v>-0.19259999999999999</v>
      </c>
      <c r="AS422">
        <v>18.3</v>
      </c>
      <c r="AT422">
        <v>-0.2261</v>
      </c>
      <c r="AU422">
        <v>24.8</v>
      </c>
      <c r="AV422">
        <v>-0.2545</v>
      </c>
      <c r="AW422">
        <v>29.7</v>
      </c>
      <c r="AX422">
        <v>-0.27139999999999997</v>
      </c>
      <c r="AY422">
        <v>33.6</v>
      </c>
      <c r="AZ422">
        <v>-0.28289999999999998</v>
      </c>
      <c r="BA422">
        <v>37.700000000000003</v>
      </c>
      <c r="BB422">
        <v>-0.29370000000000002</v>
      </c>
      <c r="BC422">
        <v>39.6</v>
      </c>
      <c r="BD422">
        <v>-0.29880000000000001</v>
      </c>
      <c r="BE422">
        <v>41.6</v>
      </c>
      <c r="BF422">
        <v>-0.30370000000000003</v>
      </c>
      <c r="BG422">
        <v>249.05</v>
      </c>
      <c r="BH422">
        <v>-2.3609</v>
      </c>
    </row>
    <row r="423" spans="1:60" x14ac:dyDescent="0.35">
      <c r="A423" t="s">
        <v>34</v>
      </c>
      <c r="B423" s="1">
        <v>46146.65625</v>
      </c>
      <c r="C423" t="s">
        <v>34</v>
      </c>
      <c r="D423" s="1">
        <v>46147.625</v>
      </c>
      <c r="E423">
        <v>6960</v>
      </c>
      <c r="F423" t="s">
        <v>36</v>
      </c>
      <c r="G423">
        <v>0.35</v>
      </c>
      <c r="H423">
        <v>1.25</v>
      </c>
      <c r="I423">
        <v>0.15</v>
      </c>
      <c r="J423">
        <v>0.17</v>
      </c>
      <c r="K423">
        <v>480</v>
      </c>
      <c r="L423">
        <v>455</v>
      </c>
      <c r="M423">
        <v>0.2</v>
      </c>
      <c r="N423">
        <v>475</v>
      </c>
      <c r="O423">
        <v>0.3</v>
      </c>
      <c r="P423">
        <v>0</v>
      </c>
      <c r="Q423">
        <v>0</v>
      </c>
      <c r="R423">
        <v>0</v>
      </c>
      <c r="S423">
        <v>0</v>
      </c>
      <c r="T423">
        <v>0.26819999999999999</v>
      </c>
      <c r="U423">
        <v>-7.7999999999999996E-3</v>
      </c>
      <c r="V423">
        <v>2.0000000000000001E-4</v>
      </c>
      <c r="W423">
        <v>-0.24940000000000001</v>
      </c>
      <c r="X423">
        <v>8.7499999999999994E-2</v>
      </c>
      <c r="Y423">
        <v>-1.5E-3</v>
      </c>
      <c r="Z423">
        <v>109</v>
      </c>
      <c r="AA423">
        <v>0.15</v>
      </c>
      <c r="AB423">
        <v>182</v>
      </c>
      <c r="AC423">
        <v>0.25</v>
      </c>
      <c r="AD423">
        <v>0</v>
      </c>
      <c r="AE423">
        <v>0</v>
      </c>
      <c r="AF423">
        <v>0.71430000000000005</v>
      </c>
      <c r="AG423">
        <v>264</v>
      </c>
      <c r="AH423">
        <v>0</v>
      </c>
      <c r="AI423">
        <f t="shared" ref="AI423:AI453" si="4">AJ423/AJ$454-1</f>
        <v>-2.1349862258953189E-2</v>
      </c>
      <c r="AJ423" s="4">
        <v>7105</v>
      </c>
      <c r="AK423">
        <v>0.05</v>
      </c>
      <c r="AL423">
        <v>-2.5999999999999999E-3</v>
      </c>
      <c r="AM423">
        <v>3.1</v>
      </c>
      <c r="AN423">
        <v>-8.9700000000000002E-2</v>
      </c>
      <c r="AO423">
        <v>8.8000000000000007</v>
      </c>
      <c r="AP423">
        <v>-0.1636</v>
      </c>
      <c r="AQ423">
        <v>13.5</v>
      </c>
      <c r="AR423">
        <v>-0.20219999999999999</v>
      </c>
      <c r="AS423">
        <v>19.100000000000001</v>
      </c>
      <c r="AT423">
        <v>-0.23549999999999999</v>
      </c>
      <c r="AU423">
        <v>25.8</v>
      </c>
      <c r="AV423">
        <v>-0.26319999999999999</v>
      </c>
      <c r="AW423">
        <v>30.8</v>
      </c>
      <c r="AX423">
        <v>-0.27979999999999999</v>
      </c>
      <c r="AY423">
        <v>34.700000000000003</v>
      </c>
      <c r="AZ423">
        <v>-0.29099999999999998</v>
      </c>
      <c r="BA423">
        <v>38.799999999999997</v>
      </c>
      <c r="BB423">
        <v>-0.3014</v>
      </c>
      <c r="BC423">
        <v>40.700000000000003</v>
      </c>
      <c r="BD423">
        <v>-0.30649999999999999</v>
      </c>
      <c r="BE423">
        <v>42.8</v>
      </c>
      <c r="BF423">
        <v>-0.311</v>
      </c>
      <c r="BG423">
        <v>258.15000000000003</v>
      </c>
      <c r="BH423">
        <v>-2.4464999999999995</v>
      </c>
    </row>
    <row r="424" spans="1:60" x14ac:dyDescent="0.35">
      <c r="A424" t="s">
        <v>34</v>
      </c>
      <c r="B424" s="1">
        <v>46146.65625</v>
      </c>
      <c r="C424" t="s">
        <v>34</v>
      </c>
      <c r="D424" s="1">
        <v>46147.625</v>
      </c>
      <c r="E424">
        <v>6965</v>
      </c>
      <c r="F424" t="s">
        <v>36</v>
      </c>
      <c r="G424">
        <v>0.55000000000000004</v>
      </c>
      <c r="H424">
        <v>1.1499999999999999</v>
      </c>
      <c r="I424">
        <v>0.15</v>
      </c>
      <c r="J424">
        <v>0.15</v>
      </c>
      <c r="K424">
        <v>542</v>
      </c>
      <c r="L424">
        <v>334</v>
      </c>
      <c r="M424">
        <v>0.2</v>
      </c>
      <c r="N424">
        <v>333</v>
      </c>
      <c r="O424">
        <v>0.3</v>
      </c>
      <c r="P424">
        <v>0</v>
      </c>
      <c r="Q424">
        <v>0</v>
      </c>
      <c r="R424">
        <v>0</v>
      </c>
      <c r="S424">
        <v>0</v>
      </c>
      <c r="T424">
        <v>0.26300000000000001</v>
      </c>
      <c r="U424">
        <v>-8.0000000000000002E-3</v>
      </c>
      <c r="V424">
        <v>2.0000000000000001E-4</v>
      </c>
      <c r="W424">
        <v>-0.24940000000000001</v>
      </c>
      <c r="X424">
        <v>8.9099999999999999E-2</v>
      </c>
      <c r="Y424">
        <v>-1.5E-3</v>
      </c>
      <c r="Z424">
        <v>130</v>
      </c>
      <c r="AA424">
        <v>0.15</v>
      </c>
      <c r="AB424">
        <v>156</v>
      </c>
      <c r="AC424">
        <v>0.25</v>
      </c>
      <c r="AD424">
        <v>0</v>
      </c>
      <c r="AE424">
        <v>0</v>
      </c>
      <c r="AF424">
        <v>0.69740000000000002</v>
      </c>
      <c r="AG424">
        <v>169</v>
      </c>
      <c r="AH424">
        <v>0</v>
      </c>
      <c r="AI424">
        <f t="shared" si="4"/>
        <v>-2.0661157024793431E-2</v>
      </c>
      <c r="AJ424" s="4">
        <v>7110</v>
      </c>
      <c r="AK424">
        <v>0.05</v>
      </c>
      <c r="AL424">
        <v>-2.7000000000000001E-3</v>
      </c>
      <c r="AM424">
        <v>3.4</v>
      </c>
      <c r="AN424">
        <v>-9.9299999999999999E-2</v>
      </c>
      <c r="AO424">
        <v>9.4</v>
      </c>
      <c r="AP424">
        <v>-0.17399999999999999</v>
      </c>
      <c r="AQ424">
        <v>14.3</v>
      </c>
      <c r="AR424">
        <v>-0.21240000000000001</v>
      </c>
      <c r="AS424">
        <v>20.100000000000001</v>
      </c>
      <c r="AT424">
        <v>-0.24560000000000001</v>
      </c>
      <c r="AU424">
        <v>26.9</v>
      </c>
      <c r="AV424">
        <v>-0.27239999999999998</v>
      </c>
      <c r="AW424">
        <v>31.9</v>
      </c>
      <c r="AX424">
        <v>-0.28849999999999998</v>
      </c>
      <c r="AY424">
        <v>35.799999999999997</v>
      </c>
      <c r="AZ424">
        <v>-0.29909999999999998</v>
      </c>
      <c r="BA424">
        <v>40</v>
      </c>
      <c r="BB424">
        <v>-0.30919999999999997</v>
      </c>
      <c r="BC424">
        <v>41.9</v>
      </c>
      <c r="BD424">
        <v>-0.31409999999999999</v>
      </c>
      <c r="BE424">
        <v>44</v>
      </c>
      <c r="BF424">
        <v>-0.31859999999999999</v>
      </c>
      <c r="BG424">
        <v>267.75</v>
      </c>
      <c r="BH424">
        <v>-2.5358999999999998</v>
      </c>
    </row>
    <row r="425" spans="1:60" x14ac:dyDescent="0.35">
      <c r="A425" t="s">
        <v>34</v>
      </c>
      <c r="B425" s="1">
        <v>46146.65625</v>
      </c>
      <c r="C425" t="s">
        <v>34</v>
      </c>
      <c r="D425" s="1">
        <v>46147.625</v>
      </c>
      <c r="E425">
        <v>6970</v>
      </c>
      <c r="F425" t="s">
        <v>36</v>
      </c>
      <c r="G425">
        <v>0.5</v>
      </c>
      <c r="H425">
        <v>1.24</v>
      </c>
      <c r="I425">
        <v>0.1</v>
      </c>
      <c r="J425">
        <v>0.17</v>
      </c>
      <c r="K425">
        <v>1677</v>
      </c>
      <c r="L425">
        <v>65</v>
      </c>
      <c r="M425">
        <v>0.25</v>
      </c>
      <c r="N425">
        <v>113</v>
      </c>
      <c r="O425">
        <v>0.3</v>
      </c>
      <c r="P425">
        <v>0</v>
      </c>
      <c r="Q425">
        <v>0</v>
      </c>
      <c r="R425">
        <v>0</v>
      </c>
      <c r="S425">
        <v>0</v>
      </c>
      <c r="T425">
        <v>0.26119999999999999</v>
      </c>
      <c r="U425">
        <v>-8.6999999999999994E-3</v>
      </c>
      <c r="V425">
        <v>2.0000000000000001E-4</v>
      </c>
      <c r="W425">
        <v>-0.27429999999999999</v>
      </c>
      <c r="X425">
        <v>9.6500000000000002E-2</v>
      </c>
      <c r="Y425">
        <v>-1.6999999999999999E-3</v>
      </c>
      <c r="Z425">
        <v>223</v>
      </c>
      <c r="AA425">
        <v>0.15</v>
      </c>
      <c r="AB425">
        <v>109</v>
      </c>
      <c r="AC425">
        <v>0.25</v>
      </c>
      <c r="AD425">
        <v>0</v>
      </c>
      <c r="AE425">
        <v>0</v>
      </c>
      <c r="AF425">
        <v>0.3392</v>
      </c>
      <c r="AG425">
        <v>399</v>
      </c>
      <c r="AH425">
        <v>0</v>
      </c>
      <c r="AI425">
        <f t="shared" si="4"/>
        <v>-1.9972451790633561E-2</v>
      </c>
      <c r="AJ425" s="4">
        <v>7115</v>
      </c>
      <c r="AK425">
        <v>0.05</v>
      </c>
      <c r="AL425">
        <v>-2.8E-3</v>
      </c>
      <c r="AM425">
        <v>3.9</v>
      </c>
      <c r="AN425">
        <v>-0.1108</v>
      </c>
      <c r="AO425">
        <v>10.1</v>
      </c>
      <c r="AP425">
        <v>-0.1855</v>
      </c>
      <c r="AQ425">
        <v>15.1</v>
      </c>
      <c r="AR425">
        <v>-0.2233</v>
      </c>
      <c r="AS425">
        <v>21</v>
      </c>
      <c r="AT425">
        <v>-0.2555</v>
      </c>
      <c r="AU425">
        <v>27.9</v>
      </c>
      <c r="AV425">
        <v>-0.28179999999999999</v>
      </c>
      <c r="AW425">
        <v>33</v>
      </c>
      <c r="AX425">
        <v>-0.29720000000000002</v>
      </c>
      <c r="AY425">
        <v>36.9</v>
      </c>
      <c r="AZ425">
        <v>-0.30769999999999997</v>
      </c>
      <c r="BA425">
        <v>41.1</v>
      </c>
      <c r="BB425">
        <v>-0.31719999999999998</v>
      </c>
      <c r="BC425">
        <v>43.1</v>
      </c>
      <c r="BD425">
        <v>-0.32200000000000001</v>
      </c>
      <c r="BE425">
        <v>45.2</v>
      </c>
      <c r="BF425">
        <v>-0.32629999999999998</v>
      </c>
      <c r="BG425">
        <v>277.34999999999997</v>
      </c>
      <c r="BH425">
        <v>-2.6300999999999997</v>
      </c>
    </row>
    <row r="426" spans="1:60" x14ac:dyDescent="0.35">
      <c r="A426" t="s">
        <v>34</v>
      </c>
      <c r="B426" s="1">
        <v>46146.65625</v>
      </c>
      <c r="C426" t="s">
        <v>34</v>
      </c>
      <c r="D426" s="1">
        <v>46147.625</v>
      </c>
      <c r="E426">
        <v>6975</v>
      </c>
      <c r="F426" t="s">
        <v>36</v>
      </c>
      <c r="G426">
        <v>0.6</v>
      </c>
      <c r="H426">
        <v>2.79</v>
      </c>
      <c r="I426">
        <v>0.19</v>
      </c>
      <c r="J426">
        <v>0.2</v>
      </c>
      <c r="K426">
        <v>1136</v>
      </c>
      <c r="L426">
        <v>214</v>
      </c>
      <c r="M426">
        <v>0.25</v>
      </c>
      <c r="N426">
        <v>92</v>
      </c>
      <c r="O426">
        <v>0.3</v>
      </c>
      <c r="P426">
        <v>0</v>
      </c>
      <c r="Q426">
        <v>0</v>
      </c>
      <c r="R426">
        <v>0</v>
      </c>
      <c r="S426">
        <v>0</v>
      </c>
      <c r="T426">
        <v>0.25619999999999998</v>
      </c>
      <c r="U426">
        <v>-8.8999999999999999E-3</v>
      </c>
      <c r="V426">
        <v>2.9999999999999997E-4</v>
      </c>
      <c r="W426">
        <v>-0.27429999999999999</v>
      </c>
      <c r="X426">
        <v>9.8100000000000007E-2</v>
      </c>
      <c r="Y426">
        <v>-1.6999999999999999E-3</v>
      </c>
      <c r="Z426">
        <v>252</v>
      </c>
      <c r="AA426">
        <v>0.15</v>
      </c>
      <c r="AB426">
        <v>43</v>
      </c>
      <c r="AC426">
        <v>0.25</v>
      </c>
      <c r="AD426">
        <v>0</v>
      </c>
      <c r="AE426">
        <v>0</v>
      </c>
      <c r="AF426">
        <v>0.49830000000000002</v>
      </c>
      <c r="AG426">
        <v>642</v>
      </c>
      <c r="AH426">
        <v>0</v>
      </c>
      <c r="AI426">
        <f t="shared" si="4"/>
        <v>-1.9283746556473802E-2</v>
      </c>
      <c r="AJ426" s="4">
        <v>7120</v>
      </c>
      <c r="AK426">
        <v>0.05</v>
      </c>
      <c r="AL426">
        <v>-2.8999999999999998E-3</v>
      </c>
      <c r="AM426">
        <v>4.3</v>
      </c>
      <c r="AN426">
        <v>-0.1225</v>
      </c>
      <c r="AO426">
        <v>10.8</v>
      </c>
      <c r="AP426">
        <v>-0.1971</v>
      </c>
      <c r="AQ426">
        <v>16</v>
      </c>
      <c r="AR426">
        <v>-0.23419999999999999</v>
      </c>
      <c r="AS426">
        <v>22</v>
      </c>
      <c r="AT426">
        <v>-0.26619999999999999</v>
      </c>
      <c r="AU426">
        <v>29</v>
      </c>
      <c r="AV426">
        <v>-0.29139999999999999</v>
      </c>
      <c r="AW426">
        <v>34.200000000000003</v>
      </c>
      <c r="AX426">
        <v>-0.30649999999999999</v>
      </c>
      <c r="AY426">
        <v>38.1</v>
      </c>
      <c r="AZ426">
        <v>-0.31609999999999999</v>
      </c>
      <c r="BA426">
        <v>42.4</v>
      </c>
      <c r="BB426">
        <v>-0.32540000000000002</v>
      </c>
      <c r="BC426">
        <v>44.4</v>
      </c>
      <c r="BD426">
        <v>-0.33</v>
      </c>
      <c r="BE426">
        <v>46.5</v>
      </c>
      <c r="BF426">
        <v>-0.33429999999999999</v>
      </c>
      <c r="BG426">
        <v>287.75</v>
      </c>
      <c r="BH426">
        <v>-2.7265999999999999</v>
      </c>
    </row>
    <row r="427" spans="1:60" x14ac:dyDescent="0.35">
      <c r="A427" t="s">
        <v>34</v>
      </c>
      <c r="B427" s="1">
        <v>46146.65625</v>
      </c>
      <c r="C427" t="s">
        <v>34</v>
      </c>
      <c r="D427" s="1">
        <v>46147.625</v>
      </c>
      <c r="E427">
        <v>6980</v>
      </c>
      <c r="F427" t="s">
        <v>36</v>
      </c>
      <c r="G427">
        <v>0.65</v>
      </c>
      <c r="H427">
        <v>1.6</v>
      </c>
      <c r="I427">
        <v>0.15</v>
      </c>
      <c r="J427">
        <v>0.2</v>
      </c>
      <c r="K427">
        <v>567</v>
      </c>
      <c r="L427">
        <v>432</v>
      </c>
      <c r="M427">
        <v>0.25</v>
      </c>
      <c r="N427">
        <v>467</v>
      </c>
      <c r="O427">
        <v>0.35</v>
      </c>
      <c r="P427">
        <v>0</v>
      </c>
      <c r="Q427">
        <v>0</v>
      </c>
      <c r="R427">
        <v>0</v>
      </c>
      <c r="S427">
        <v>0</v>
      </c>
      <c r="T427">
        <v>0.25380000000000003</v>
      </c>
      <c r="U427">
        <v>-9.7000000000000003E-3</v>
      </c>
      <c r="V427">
        <v>2.9999999999999997E-4</v>
      </c>
      <c r="W427">
        <v>-0.29930000000000001</v>
      </c>
      <c r="X427">
        <v>0.1057</v>
      </c>
      <c r="Y427">
        <v>-1.9E-3</v>
      </c>
      <c r="Z427">
        <v>449</v>
      </c>
      <c r="AA427">
        <v>0.15</v>
      </c>
      <c r="AB427">
        <v>176</v>
      </c>
      <c r="AC427">
        <v>0.3</v>
      </c>
      <c r="AD427">
        <v>0</v>
      </c>
      <c r="AE427">
        <v>0</v>
      </c>
      <c r="AF427">
        <v>0.59509999999999996</v>
      </c>
      <c r="AG427">
        <v>1327</v>
      </c>
      <c r="AH427">
        <v>0</v>
      </c>
      <c r="AI427">
        <f t="shared" si="4"/>
        <v>-1.8595041322314043E-2</v>
      </c>
      <c r="AJ427" s="4">
        <v>7125</v>
      </c>
      <c r="AK427">
        <v>0.05</v>
      </c>
      <c r="AL427">
        <v>-3.0999999999999999E-3</v>
      </c>
      <c r="AM427">
        <v>4.8</v>
      </c>
      <c r="AN427">
        <v>-0.13519999999999999</v>
      </c>
      <c r="AO427">
        <v>11.5</v>
      </c>
      <c r="AP427">
        <v>-0.2099</v>
      </c>
      <c r="AQ427">
        <v>16.899999999999999</v>
      </c>
      <c r="AR427">
        <v>-0.24579999999999999</v>
      </c>
      <c r="AS427">
        <v>23</v>
      </c>
      <c r="AT427">
        <v>-0.27710000000000001</v>
      </c>
      <c r="AU427">
        <v>30.2</v>
      </c>
      <c r="AV427">
        <v>-0.30130000000000001</v>
      </c>
      <c r="AW427">
        <v>35.299999999999997</v>
      </c>
      <c r="AX427">
        <v>-0.31580000000000003</v>
      </c>
      <c r="AY427">
        <v>39.4</v>
      </c>
      <c r="AZ427">
        <v>-0.3251</v>
      </c>
      <c r="BA427">
        <v>43.6</v>
      </c>
      <c r="BB427">
        <v>-0.3337</v>
      </c>
      <c r="BC427">
        <v>45.6</v>
      </c>
      <c r="BD427">
        <v>-0.33829999999999999</v>
      </c>
      <c r="BE427">
        <v>47.7</v>
      </c>
      <c r="BF427">
        <v>-0.3422</v>
      </c>
      <c r="BG427">
        <v>298.05</v>
      </c>
      <c r="BH427">
        <v>-2.8275000000000001</v>
      </c>
    </row>
    <row r="428" spans="1:60" x14ac:dyDescent="0.35">
      <c r="A428" t="s">
        <v>34</v>
      </c>
      <c r="B428" s="1">
        <v>46146.65625</v>
      </c>
      <c r="C428" t="s">
        <v>34</v>
      </c>
      <c r="D428" s="1">
        <v>46147.625</v>
      </c>
      <c r="E428">
        <v>6985</v>
      </c>
      <c r="F428" t="s">
        <v>36</v>
      </c>
      <c r="G428">
        <v>0.65</v>
      </c>
      <c r="H428">
        <v>2</v>
      </c>
      <c r="I428">
        <v>0.2</v>
      </c>
      <c r="J428">
        <v>0.25</v>
      </c>
      <c r="K428">
        <v>455</v>
      </c>
      <c r="L428">
        <v>346</v>
      </c>
      <c r="M428">
        <v>0.25</v>
      </c>
      <c r="N428">
        <v>184</v>
      </c>
      <c r="O428">
        <v>0.35</v>
      </c>
      <c r="P428">
        <v>0</v>
      </c>
      <c r="Q428">
        <v>0</v>
      </c>
      <c r="R428">
        <v>0</v>
      </c>
      <c r="S428">
        <v>0</v>
      </c>
      <c r="T428">
        <v>0.24840000000000001</v>
      </c>
      <c r="U428">
        <v>-9.9000000000000008E-3</v>
      </c>
      <c r="V428">
        <v>2.9999999999999997E-4</v>
      </c>
      <c r="W428">
        <v>-0.29920000000000002</v>
      </c>
      <c r="X428">
        <v>0.1077</v>
      </c>
      <c r="Y428">
        <v>-1.9E-3</v>
      </c>
      <c r="Z428">
        <v>101</v>
      </c>
      <c r="AA428">
        <v>0.2</v>
      </c>
      <c r="AB428">
        <v>164</v>
      </c>
      <c r="AC428">
        <v>0.3</v>
      </c>
      <c r="AD428">
        <v>0</v>
      </c>
      <c r="AE428">
        <v>0</v>
      </c>
      <c r="AF428">
        <v>0.59930000000000005</v>
      </c>
      <c r="AG428">
        <v>104</v>
      </c>
      <c r="AH428">
        <v>0</v>
      </c>
      <c r="AI428">
        <f t="shared" si="4"/>
        <v>-1.7906336088154284E-2</v>
      </c>
      <c r="AJ428" s="4">
        <v>7130</v>
      </c>
      <c r="AK428">
        <v>0.05</v>
      </c>
      <c r="AL428">
        <v>-3.3E-3</v>
      </c>
      <c r="AM428">
        <v>5.4</v>
      </c>
      <c r="AN428">
        <v>-0.1482</v>
      </c>
      <c r="AO428">
        <v>12.3</v>
      </c>
      <c r="AP428">
        <v>-0.2225</v>
      </c>
      <c r="AQ428">
        <v>17.8</v>
      </c>
      <c r="AR428">
        <v>-0.25829999999999997</v>
      </c>
      <c r="AS428">
        <v>24.1</v>
      </c>
      <c r="AT428">
        <v>-0.2883</v>
      </c>
      <c r="AU428">
        <v>31.3</v>
      </c>
      <c r="AV428">
        <v>-0.31159999999999999</v>
      </c>
      <c r="AW428">
        <v>36.6</v>
      </c>
      <c r="AX428">
        <v>-0.32519999999999999</v>
      </c>
      <c r="AY428">
        <v>40.6</v>
      </c>
      <c r="AZ428">
        <v>-0.33400000000000002</v>
      </c>
      <c r="BA428">
        <v>44.9</v>
      </c>
      <c r="BB428">
        <v>-0.34229999999999999</v>
      </c>
      <c r="BC428">
        <v>46.9</v>
      </c>
      <c r="BD428">
        <v>-0.34670000000000001</v>
      </c>
      <c r="BE428">
        <v>49</v>
      </c>
      <c r="BF428">
        <v>-0.35039999999999999</v>
      </c>
      <c r="BG428">
        <v>308.95</v>
      </c>
      <c r="BH428">
        <v>-2.9308000000000001</v>
      </c>
    </row>
    <row r="429" spans="1:60" x14ac:dyDescent="0.35">
      <c r="A429" t="s">
        <v>34</v>
      </c>
      <c r="B429" s="1">
        <v>46146.65625</v>
      </c>
      <c r="C429" t="s">
        <v>34</v>
      </c>
      <c r="D429" s="1">
        <v>46147.625</v>
      </c>
      <c r="E429">
        <v>6990</v>
      </c>
      <c r="F429" t="s">
        <v>36</v>
      </c>
      <c r="G429">
        <v>0.7</v>
      </c>
      <c r="H429">
        <v>1.8</v>
      </c>
      <c r="I429">
        <v>0.15</v>
      </c>
      <c r="J429">
        <v>0.25</v>
      </c>
      <c r="K429">
        <v>7927</v>
      </c>
      <c r="L429">
        <v>73</v>
      </c>
      <c r="M429">
        <v>0.3</v>
      </c>
      <c r="N429">
        <v>23</v>
      </c>
      <c r="O429">
        <v>0.35</v>
      </c>
      <c r="P429">
        <v>0</v>
      </c>
      <c r="Q429">
        <v>0</v>
      </c>
      <c r="R429">
        <v>0</v>
      </c>
      <c r="S429">
        <v>0</v>
      </c>
      <c r="T429">
        <v>0.24579999999999999</v>
      </c>
      <c r="U429">
        <v>-1.0699999999999999E-2</v>
      </c>
      <c r="V429">
        <v>2.9999999999999997E-4</v>
      </c>
      <c r="W429">
        <v>-0.32419999999999999</v>
      </c>
      <c r="X429">
        <v>0.1154</v>
      </c>
      <c r="Y429">
        <v>-2.0999999999999999E-3</v>
      </c>
      <c r="Z429">
        <v>135</v>
      </c>
      <c r="AA429">
        <v>0.2</v>
      </c>
      <c r="AB429">
        <v>130</v>
      </c>
      <c r="AC429">
        <v>0.3</v>
      </c>
      <c r="AD429">
        <v>0</v>
      </c>
      <c r="AE429">
        <v>0</v>
      </c>
      <c r="AF429">
        <v>0.49480000000000002</v>
      </c>
      <c r="AG429">
        <v>6235</v>
      </c>
      <c r="AH429">
        <v>0</v>
      </c>
      <c r="AI429">
        <f t="shared" si="4"/>
        <v>-1.7217630853994526E-2</v>
      </c>
      <c r="AJ429" s="4">
        <v>7135</v>
      </c>
      <c r="AK429">
        <v>0.05</v>
      </c>
      <c r="AL429">
        <v>-3.5000000000000001E-3</v>
      </c>
      <c r="AM429">
        <v>6</v>
      </c>
      <c r="AN429">
        <v>-0.16320000000000001</v>
      </c>
      <c r="AO429">
        <v>13.2</v>
      </c>
      <c r="AP429">
        <v>-0.23619999999999999</v>
      </c>
      <c r="AQ429">
        <v>18.8</v>
      </c>
      <c r="AR429">
        <v>-0.2707</v>
      </c>
      <c r="AS429">
        <v>25.3</v>
      </c>
      <c r="AT429">
        <v>-0.30009999999999998</v>
      </c>
      <c r="AU429">
        <v>32.6</v>
      </c>
      <c r="AV429">
        <v>-0.32200000000000001</v>
      </c>
      <c r="AW429">
        <v>37.9</v>
      </c>
      <c r="AX429">
        <v>-0.33500000000000002</v>
      </c>
      <c r="AY429">
        <v>41.9</v>
      </c>
      <c r="AZ429">
        <v>-0.34329999999999999</v>
      </c>
      <c r="BA429">
        <v>46.2</v>
      </c>
      <c r="BB429">
        <v>-0.35099999999999998</v>
      </c>
      <c r="BC429">
        <v>48.3</v>
      </c>
      <c r="BD429">
        <v>-0.3553</v>
      </c>
      <c r="BE429">
        <v>50.4</v>
      </c>
      <c r="BF429">
        <v>-0.35880000000000001</v>
      </c>
      <c r="BG429">
        <v>320.64999999999998</v>
      </c>
      <c r="BH429">
        <v>-3.0391000000000004</v>
      </c>
    </row>
    <row r="430" spans="1:60" x14ac:dyDescent="0.35">
      <c r="A430" t="s">
        <v>34</v>
      </c>
      <c r="B430" s="1">
        <v>46146.65625</v>
      </c>
      <c r="C430" t="s">
        <v>34</v>
      </c>
      <c r="D430" s="1">
        <v>46147.625</v>
      </c>
      <c r="E430">
        <v>6995</v>
      </c>
      <c r="F430" t="s">
        <v>36</v>
      </c>
      <c r="G430">
        <v>0.82</v>
      </c>
      <c r="H430">
        <v>3.79</v>
      </c>
      <c r="I430">
        <v>0.2</v>
      </c>
      <c r="J430">
        <v>0.25</v>
      </c>
      <c r="K430">
        <v>686</v>
      </c>
      <c r="L430">
        <v>352</v>
      </c>
      <c r="M430">
        <v>0.3</v>
      </c>
      <c r="N430">
        <v>411</v>
      </c>
      <c r="O430">
        <v>0.4</v>
      </c>
      <c r="P430">
        <v>0</v>
      </c>
      <c r="Q430">
        <v>0</v>
      </c>
      <c r="R430">
        <v>0</v>
      </c>
      <c r="S430">
        <v>0</v>
      </c>
      <c r="T430">
        <v>0.2432</v>
      </c>
      <c r="U430">
        <v>-1.15E-2</v>
      </c>
      <c r="V430">
        <v>2.9999999999999997E-4</v>
      </c>
      <c r="W430">
        <v>-0.34910000000000002</v>
      </c>
      <c r="X430">
        <v>0.123</v>
      </c>
      <c r="Y430">
        <v>-2.2000000000000001E-3</v>
      </c>
      <c r="Z430">
        <v>225</v>
      </c>
      <c r="AA430">
        <v>0.2</v>
      </c>
      <c r="AB430">
        <v>169</v>
      </c>
      <c r="AC430">
        <v>0.35</v>
      </c>
      <c r="AD430">
        <v>0</v>
      </c>
      <c r="AE430">
        <v>0</v>
      </c>
      <c r="AF430">
        <v>0.70230000000000004</v>
      </c>
      <c r="AG430">
        <v>260</v>
      </c>
      <c r="AH430">
        <v>0</v>
      </c>
      <c r="AI430">
        <f t="shared" si="4"/>
        <v>-1.6528925619834656E-2</v>
      </c>
      <c r="AJ430" s="4">
        <v>7140</v>
      </c>
      <c r="AK430">
        <v>0.05</v>
      </c>
      <c r="AL430">
        <v>-3.7000000000000002E-3</v>
      </c>
      <c r="AM430">
        <v>6.6</v>
      </c>
      <c r="AN430">
        <v>-0.17979999999999999</v>
      </c>
      <c r="AO430">
        <v>14.1</v>
      </c>
      <c r="AP430">
        <v>-0.2505</v>
      </c>
      <c r="AQ430">
        <v>19.899999999999999</v>
      </c>
      <c r="AR430">
        <v>-0.28389999999999999</v>
      </c>
      <c r="AS430">
        <v>26.4</v>
      </c>
      <c r="AT430">
        <v>-0.312</v>
      </c>
      <c r="AU430">
        <v>33.9</v>
      </c>
      <c r="AV430">
        <v>-0.33279999999999998</v>
      </c>
      <c r="AW430">
        <v>39.200000000000003</v>
      </c>
      <c r="AX430">
        <v>-0.34489999999999998</v>
      </c>
      <c r="AY430">
        <v>43.3</v>
      </c>
      <c r="AZ430">
        <v>-0.3528</v>
      </c>
      <c r="BA430">
        <v>47.6</v>
      </c>
      <c r="BB430">
        <v>-0.3599</v>
      </c>
      <c r="BC430">
        <v>49.6</v>
      </c>
      <c r="BD430">
        <v>-0.36399999999999999</v>
      </c>
      <c r="BE430">
        <v>51.8</v>
      </c>
      <c r="BF430">
        <v>-0.36749999999999999</v>
      </c>
      <c r="BG430">
        <v>332.45</v>
      </c>
      <c r="BH430">
        <v>-3.1518000000000002</v>
      </c>
    </row>
    <row r="431" spans="1:60" x14ac:dyDescent="0.35">
      <c r="A431" t="s">
        <v>34</v>
      </c>
      <c r="B431" s="1">
        <v>46146.65625</v>
      </c>
      <c r="C431" t="s">
        <v>34</v>
      </c>
      <c r="D431" s="1">
        <v>46147.625</v>
      </c>
      <c r="E431">
        <v>7000</v>
      </c>
      <c r="F431" t="s">
        <v>36</v>
      </c>
      <c r="G431">
        <v>0.76</v>
      </c>
      <c r="H431">
        <v>2.5499999999999998</v>
      </c>
      <c r="I431">
        <v>0.2</v>
      </c>
      <c r="J431">
        <v>0.28000000000000003</v>
      </c>
      <c r="K431">
        <v>24628</v>
      </c>
      <c r="L431">
        <v>34</v>
      </c>
      <c r="M431">
        <v>0.35</v>
      </c>
      <c r="N431">
        <v>144</v>
      </c>
      <c r="O431">
        <v>0.4</v>
      </c>
      <c r="P431">
        <v>0</v>
      </c>
      <c r="Q431">
        <v>0</v>
      </c>
      <c r="R431">
        <v>0</v>
      </c>
      <c r="S431">
        <v>0</v>
      </c>
      <c r="T431">
        <v>0.24</v>
      </c>
      <c r="U431">
        <v>-1.24E-2</v>
      </c>
      <c r="V431">
        <v>4.0000000000000002E-4</v>
      </c>
      <c r="W431">
        <v>-0.37409999999999999</v>
      </c>
      <c r="X431">
        <v>0.13100000000000001</v>
      </c>
      <c r="Y431">
        <v>-2.3999999999999998E-3</v>
      </c>
      <c r="Z431">
        <v>86</v>
      </c>
      <c r="AA431">
        <v>0.25</v>
      </c>
      <c r="AB431">
        <v>208</v>
      </c>
      <c r="AC431">
        <v>0.3</v>
      </c>
      <c r="AD431">
        <v>0</v>
      </c>
      <c r="AE431">
        <v>0</v>
      </c>
      <c r="AF431">
        <v>0.68669999999999998</v>
      </c>
      <c r="AG431">
        <v>12078</v>
      </c>
      <c r="AH431">
        <v>0</v>
      </c>
      <c r="AI431">
        <f t="shared" si="4"/>
        <v>-1.5840220385674897E-2</v>
      </c>
      <c r="AJ431" s="4">
        <v>7145</v>
      </c>
      <c r="AK431">
        <v>0.05</v>
      </c>
      <c r="AL431">
        <v>-4.0000000000000001E-3</v>
      </c>
      <c r="AM431">
        <v>7.3</v>
      </c>
      <c r="AN431">
        <v>-0.1968</v>
      </c>
      <c r="AO431">
        <v>15.1</v>
      </c>
      <c r="AP431">
        <v>-0.26590000000000003</v>
      </c>
      <c r="AQ431">
        <v>21</v>
      </c>
      <c r="AR431">
        <v>-0.29759999999999998</v>
      </c>
      <c r="AS431">
        <v>27.6</v>
      </c>
      <c r="AT431">
        <v>-0.32440000000000002</v>
      </c>
      <c r="AU431">
        <v>35.200000000000003</v>
      </c>
      <c r="AV431">
        <v>-0.34379999999999999</v>
      </c>
      <c r="AW431">
        <v>40.5</v>
      </c>
      <c r="AX431">
        <v>-0.35499999999999998</v>
      </c>
      <c r="AY431">
        <v>44.7</v>
      </c>
      <c r="AZ431">
        <v>-0.3624</v>
      </c>
      <c r="BA431">
        <v>49</v>
      </c>
      <c r="BB431">
        <v>-0.36899999999999999</v>
      </c>
      <c r="BC431">
        <v>51</v>
      </c>
      <c r="BD431">
        <v>-0.373</v>
      </c>
      <c r="BE431">
        <v>53.2</v>
      </c>
      <c r="BF431">
        <v>-0.37609999999999999</v>
      </c>
      <c r="BG431">
        <v>344.65</v>
      </c>
      <c r="BH431">
        <v>-3.2680000000000007</v>
      </c>
    </row>
    <row r="432" spans="1:60" x14ac:dyDescent="0.35">
      <c r="A432" t="s">
        <v>34</v>
      </c>
      <c r="B432" s="1">
        <v>46146.65625</v>
      </c>
      <c r="C432" t="s">
        <v>34</v>
      </c>
      <c r="D432" s="1">
        <v>46147.625</v>
      </c>
      <c r="E432">
        <v>7005</v>
      </c>
      <c r="F432" t="s">
        <v>36</v>
      </c>
      <c r="G432">
        <v>0.87</v>
      </c>
      <c r="H432">
        <v>2.65</v>
      </c>
      <c r="I432">
        <v>0.2</v>
      </c>
      <c r="J432">
        <v>0.3</v>
      </c>
      <c r="K432">
        <v>1244</v>
      </c>
      <c r="L432">
        <v>256</v>
      </c>
      <c r="M432">
        <v>0.35</v>
      </c>
      <c r="N432">
        <v>430</v>
      </c>
      <c r="O432">
        <v>0.45</v>
      </c>
      <c r="P432">
        <v>0</v>
      </c>
      <c r="Q432">
        <v>0</v>
      </c>
      <c r="R432">
        <v>0</v>
      </c>
      <c r="S432">
        <v>0</v>
      </c>
      <c r="T432">
        <v>0.23669999999999999</v>
      </c>
      <c r="U432">
        <v>-1.3299999999999999E-2</v>
      </c>
      <c r="V432">
        <v>4.0000000000000002E-4</v>
      </c>
      <c r="W432">
        <v>-0.39900000000000002</v>
      </c>
      <c r="X432">
        <v>0.1391</v>
      </c>
      <c r="Y432">
        <v>-2.5999999999999999E-3</v>
      </c>
      <c r="Z432">
        <v>208</v>
      </c>
      <c r="AA432">
        <v>0.25</v>
      </c>
      <c r="AB432">
        <v>82</v>
      </c>
      <c r="AC432">
        <v>0.35</v>
      </c>
      <c r="AD432">
        <v>0</v>
      </c>
      <c r="AE432">
        <v>0</v>
      </c>
      <c r="AF432">
        <v>0.56120000000000003</v>
      </c>
      <c r="AG432">
        <v>239</v>
      </c>
      <c r="AH432">
        <v>0</v>
      </c>
      <c r="AI432">
        <f t="shared" si="4"/>
        <v>-1.5151515151515138E-2</v>
      </c>
      <c r="AJ432" s="4">
        <v>7150</v>
      </c>
      <c r="AK432">
        <v>0.05</v>
      </c>
      <c r="AL432">
        <v>-4.3E-3</v>
      </c>
      <c r="AM432">
        <v>8.1</v>
      </c>
      <c r="AN432">
        <v>-0.215</v>
      </c>
      <c r="AO432">
        <v>16.100000000000001</v>
      </c>
      <c r="AP432">
        <v>-0.28170000000000001</v>
      </c>
      <c r="AQ432">
        <v>22.2</v>
      </c>
      <c r="AR432">
        <v>-0.31180000000000002</v>
      </c>
      <c r="AS432">
        <v>28.9</v>
      </c>
      <c r="AT432">
        <v>-0.33729999999999999</v>
      </c>
      <c r="AU432">
        <v>36.5</v>
      </c>
      <c r="AV432">
        <v>-0.35499999999999998</v>
      </c>
      <c r="AW432">
        <v>42</v>
      </c>
      <c r="AX432">
        <v>-0.36559999999999998</v>
      </c>
      <c r="AY432">
        <v>46.1</v>
      </c>
      <c r="AZ432">
        <v>-0.37230000000000002</v>
      </c>
      <c r="BA432">
        <v>50.4</v>
      </c>
      <c r="BB432">
        <v>-0.37840000000000001</v>
      </c>
      <c r="BC432">
        <v>52.5</v>
      </c>
      <c r="BD432">
        <v>-0.3821</v>
      </c>
      <c r="BE432">
        <v>54.7</v>
      </c>
      <c r="BF432">
        <v>-0.38500000000000001</v>
      </c>
      <c r="BG432">
        <v>357.55</v>
      </c>
      <c r="BH432">
        <v>-3.3884999999999996</v>
      </c>
    </row>
    <row r="433" spans="1:60" x14ac:dyDescent="0.35">
      <c r="A433" t="s">
        <v>34</v>
      </c>
      <c r="B433" s="1">
        <v>46146.65625</v>
      </c>
      <c r="C433" t="s">
        <v>34</v>
      </c>
      <c r="D433" s="1">
        <v>46147.625</v>
      </c>
      <c r="E433">
        <v>7010</v>
      </c>
      <c r="F433" t="s">
        <v>36</v>
      </c>
      <c r="G433">
        <v>0.9</v>
      </c>
      <c r="H433">
        <v>3.05</v>
      </c>
      <c r="I433">
        <v>0.2</v>
      </c>
      <c r="J433">
        <v>0.32</v>
      </c>
      <c r="K433">
        <v>3808</v>
      </c>
      <c r="L433">
        <v>46</v>
      </c>
      <c r="M433">
        <v>0.4</v>
      </c>
      <c r="N433">
        <v>26</v>
      </c>
      <c r="O433">
        <v>0.45</v>
      </c>
      <c r="P433">
        <v>0</v>
      </c>
      <c r="Q433">
        <v>0</v>
      </c>
      <c r="R433">
        <v>0</v>
      </c>
      <c r="S433">
        <v>0</v>
      </c>
      <c r="T433">
        <v>0.23330000000000001</v>
      </c>
      <c r="U433">
        <v>-1.4200000000000001E-2</v>
      </c>
      <c r="V433">
        <v>4.0000000000000002E-4</v>
      </c>
      <c r="W433">
        <v>-0.42399999999999999</v>
      </c>
      <c r="X433">
        <v>0.1474</v>
      </c>
      <c r="Y433">
        <v>-2.7000000000000001E-3</v>
      </c>
      <c r="Z433">
        <v>25</v>
      </c>
      <c r="AA433">
        <v>0.3</v>
      </c>
      <c r="AB433">
        <v>163</v>
      </c>
      <c r="AC433">
        <v>0.4</v>
      </c>
      <c r="AD433">
        <v>0</v>
      </c>
      <c r="AE433">
        <v>0</v>
      </c>
      <c r="AF433">
        <v>0.62739999999999996</v>
      </c>
      <c r="AG433">
        <v>189</v>
      </c>
      <c r="AH433">
        <v>0</v>
      </c>
      <c r="AI433">
        <f t="shared" si="4"/>
        <v>-1.4462809917355379E-2</v>
      </c>
      <c r="AJ433" s="4">
        <v>7155</v>
      </c>
      <c r="AK433">
        <v>0.05</v>
      </c>
      <c r="AL433">
        <v>-4.7000000000000002E-3</v>
      </c>
      <c r="AM433">
        <v>9</v>
      </c>
      <c r="AN433">
        <v>-0.2349</v>
      </c>
      <c r="AO433">
        <v>17.2</v>
      </c>
      <c r="AP433">
        <v>-0.29809999999999998</v>
      </c>
      <c r="AQ433">
        <v>23.4</v>
      </c>
      <c r="AR433">
        <v>-0.32650000000000001</v>
      </c>
      <c r="AS433">
        <v>30.2</v>
      </c>
      <c r="AT433">
        <v>-0.35039999999999999</v>
      </c>
      <c r="AU433">
        <v>38</v>
      </c>
      <c r="AV433">
        <v>-0.36659999999999998</v>
      </c>
      <c r="AW433">
        <v>43.4</v>
      </c>
      <c r="AX433">
        <v>-0.37619999999999998</v>
      </c>
      <c r="AY433">
        <v>47.6</v>
      </c>
      <c r="AZ433">
        <v>-0.38229999999999997</v>
      </c>
      <c r="BA433">
        <v>51.9</v>
      </c>
      <c r="BB433">
        <v>-0.38779999999999998</v>
      </c>
      <c r="BC433">
        <v>54</v>
      </c>
      <c r="BD433">
        <v>-0.39140000000000003</v>
      </c>
      <c r="BE433">
        <v>56.2</v>
      </c>
      <c r="BF433">
        <v>-0.39410000000000001</v>
      </c>
      <c r="BG433">
        <v>370.95</v>
      </c>
      <c r="BH433">
        <v>-3.5129999999999995</v>
      </c>
    </row>
    <row r="434" spans="1:60" x14ac:dyDescent="0.35">
      <c r="A434" t="s">
        <v>34</v>
      </c>
      <c r="B434" s="1">
        <v>46146.65625</v>
      </c>
      <c r="C434" t="s">
        <v>34</v>
      </c>
      <c r="D434" s="1">
        <v>46147.625</v>
      </c>
      <c r="E434">
        <v>7015</v>
      </c>
      <c r="F434" t="s">
        <v>36</v>
      </c>
      <c r="G434">
        <v>1.02</v>
      </c>
      <c r="H434">
        <v>3.55</v>
      </c>
      <c r="I434">
        <v>0.25</v>
      </c>
      <c r="J434">
        <v>0.35</v>
      </c>
      <c r="K434">
        <v>1095</v>
      </c>
      <c r="L434">
        <v>369</v>
      </c>
      <c r="M434">
        <v>0.4</v>
      </c>
      <c r="N434">
        <v>201</v>
      </c>
      <c r="O434">
        <v>0.5</v>
      </c>
      <c r="P434">
        <v>0</v>
      </c>
      <c r="Q434">
        <v>0</v>
      </c>
      <c r="R434">
        <v>0</v>
      </c>
      <c r="S434">
        <v>0</v>
      </c>
      <c r="T434">
        <v>0.2296</v>
      </c>
      <c r="U434">
        <v>-1.52E-2</v>
      </c>
      <c r="V434">
        <v>4.0000000000000002E-4</v>
      </c>
      <c r="W434">
        <v>-0.44879999999999998</v>
      </c>
      <c r="X434">
        <v>0.15579999999999999</v>
      </c>
      <c r="Y434">
        <v>-2.8999999999999998E-3</v>
      </c>
      <c r="Z434">
        <v>121</v>
      </c>
      <c r="AA434">
        <v>0.3</v>
      </c>
      <c r="AB434">
        <v>48</v>
      </c>
      <c r="AC434">
        <v>0.4</v>
      </c>
      <c r="AD434">
        <v>0</v>
      </c>
      <c r="AE434">
        <v>0</v>
      </c>
      <c r="AF434">
        <v>0.66600000000000004</v>
      </c>
      <c r="AG434">
        <v>262</v>
      </c>
      <c r="AH434">
        <v>0</v>
      </c>
      <c r="AI434">
        <f t="shared" si="4"/>
        <v>-1.377410468319562E-2</v>
      </c>
      <c r="AJ434" s="4">
        <v>7160</v>
      </c>
      <c r="AK434">
        <v>0.1</v>
      </c>
      <c r="AL434">
        <v>-1.21E-2</v>
      </c>
      <c r="AM434">
        <v>9.9</v>
      </c>
      <c r="AN434">
        <v>-0.25600000000000001</v>
      </c>
      <c r="AO434">
        <v>18.3</v>
      </c>
      <c r="AP434">
        <v>-0.31559999999999999</v>
      </c>
      <c r="AQ434">
        <v>24.7</v>
      </c>
      <c r="AR434">
        <v>-0.3417</v>
      </c>
      <c r="AS434">
        <v>31.6</v>
      </c>
      <c r="AT434">
        <v>-0.36399999999999999</v>
      </c>
      <c r="AU434">
        <v>39.4</v>
      </c>
      <c r="AV434">
        <v>-0.37840000000000001</v>
      </c>
      <c r="AW434">
        <v>45</v>
      </c>
      <c r="AX434">
        <v>-0.38719999999999999</v>
      </c>
      <c r="AY434">
        <v>49.1</v>
      </c>
      <c r="AZ434">
        <v>-0.39269999999999999</v>
      </c>
      <c r="BA434">
        <v>53.5</v>
      </c>
      <c r="BB434">
        <v>-0.39750000000000002</v>
      </c>
      <c r="BC434">
        <v>55.5</v>
      </c>
      <c r="BD434">
        <v>-0.40079999999999999</v>
      </c>
      <c r="BE434">
        <v>57.7</v>
      </c>
      <c r="BF434">
        <v>-0.4032</v>
      </c>
      <c r="BG434">
        <v>384.8</v>
      </c>
      <c r="BH434">
        <v>-3.6492</v>
      </c>
    </row>
    <row r="435" spans="1:60" x14ac:dyDescent="0.35">
      <c r="A435" t="s">
        <v>34</v>
      </c>
      <c r="B435" s="1">
        <v>46146.65625</v>
      </c>
      <c r="C435" t="s">
        <v>34</v>
      </c>
      <c r="D435" s="1">
        <v>46147.625</v>
      </c>
      <c r="E435">
        <v>7020</v>
      </c>
      <c r="F435" t="s">
        <v>36</v>
      </c>
      <c r="G435">
        <v>1.1000000000000001</v>
      </c>
      <c r="H435">
        <v>3.75</v>
      </c>
      <c r="I435">
        <v>0.25</v>
      </c>
      <c r="J435">
        <v>0.4</v>
      </c>
      <c r="K435">
        <v>2897</v>
      </c>
      <c r="L435">
        <v>190</v>
      </c>
      <c r="M435">
        <v>0.45</v>
      </c>
      <c r="N435">
        <v>178</v>
      </c>
      <c r="O435">
        <v>0.5</v>
      </c>
      <c r="P435">
        <v>0</v>
      </c>
      <c r="Q435">
        <v>0</v>
      </c>
      <c r="R435">
        <v>0</v>
      </c>
      <c r="S435">
        <v>0</v>
      </c>
      <c r="T435">
        <v>0.2263</v>
      </c>
      <c r="U435">
        <v>-1.61E-2</v>
      </c>
      <c r="V435">
        <v>5.0000000000000001E-4</v>
      </c>
      <c r="W435">
        <v>-0.4738</v>
      </c>
      <c r="X435">
        <v>0.1641</v>
      </c>
      <c r="Y435">
        <v>-3.0999999999999999E-3</v>
      </c>
      <c r="Z435">
        <v>540</v>
      </c>
      <c r="AA435">
        <v>0.35</v>
      </c>
      <c r="AB435">
        <v>393</v>
      </c>
      <c r="AC435">
        <v>0.4</v>
      </c>
      <c r="AD435">
        <v>0</v>
      </c>
      <c r="AE435">
        <v>0</v>
      </c>
      <c r="AF435">
        <v>0.6643</v>
      </c>
      <c r="AG435">
        <v>568</v>
      </c>
      <c r="AH435">
        <v>0</v>
      </c>
      <c r="AI435">
        <f t="shared" si="4"/>
        <v>-1.3085399449035862E-2</v>
      </c>
      <c r="AJ435" s="4">
        <v>7165</v>
      </c>
      <c r="AK435">
        <v>0.1</v>
      </c>
      <c r="AL435">
        <v>-1.34E-2</v>
      </c>
      <c r="AM435">
        <v>10.9</v>
      </c>
      <c r="AN435">
        <v>-0.27879999999999999</v>
      </c>
      <c r="AO435">
        <v>19.5</v>
      </c>
      <c r="AP435">
        <v>-0.33379999999999999</v>
      </c>
      <c r="AQ435">
        <v>26</v>
      </c>
      <c r="AR435">
        <v>-0.35770000000000002</v>
      </c>
      <c r="AS435">
        <v>33.1</v>
      </c>
      <c r="AT435">
        <v>-0.378</v>
      </c>
      <c r="AU435">
        <v>41</v>
      </c>
      <c r="AV435">
        <v>-0.39069999999999999</v>
      </c>
      <c r="AW435">
        <v>46.6</v>
      </c>
      <c r="AX435">
        <v>-0.39839999999999998</v>
      </c>
      <c r="AY435">
        <v>50.7</v>
      </c>
      <c r="AZ435">
        <v>-0.40310000000000001</v>
      </c>
      <c r="BA435">
        <v>55</v>
      </c>
      <c r="BB435">
        <v>-0.40739999999999998</v>
      </c>
      <c r="BC435">
        <v>57.1</v>
      </c>
      <c r="BD435">
        <v>-0.41049999999999998</v>
      </c>
      <c r="BE435">
        <v>59.3</v>
      </c>
      <c r="BF435">
        <v>-0.41260000000000002</v>
      </c>
      <c r="BG435">
        <v>399.3</v>
      </c>
      <c r="BH435">
        <v>-3.7843999999999993</v>
      </c>
    </row>
    <row r="436" spans="1:60" x14ac:dyDescent="0.35">
      <c r="A436" t="s">
        <v>34</v>
      </c>
      <c r="B436" s="1">
        <v>46146.65625</v>
      </c>
      <c r="C436" t="s">
        <v>34</v>
      </c>
      <c r="D436" s="1">
        <v>46147.625</v>
      </c>
      <c r="E436">
        <v>7025</v>
      </c>
      <c r="F436" t="s">
        <v>36</v>
      </c>
      <c r="G436">
        <v>1.07</v>
      </c>
      <c r="H436">
        <v>4.87</v>
      </c>
      <c r="I436">
        <v>0.25</v>
      </c>
      <c r="J436">
        <v>0.43</v>
      </c>
      <c r="K436">
        <v>9702</v>
      </c>
      <c r="L436">
        <v>43</v>
      </c>
      <c r="M436">
        <v>0.5</v>
      </c>
      <c r="N436">
        <v>400</v>
      </c>
      <c r="O436">
        <v>0.6</v>
      </c>
      <c r="P436">
        <v>0</v>
      </c>
      <c r="Q436">
        <v>0</v>
      </c>
      <c r="R436">
        <v>0</v>
      </c>
      <c r="S436">
        <v>0</v>
      </c>
      <c r="T436">
        <v>0.22409999999999999</v>
      </c>
      <c r="U436">
        <v>-1.77E-2</v>
      </c>
      <c r="V436">
        <v>5.0000000000000001E-4</v>
      </c>
      <c r="W436">
        <v>-0.52370000000000005</v>
      </c>
      <c r="X436">
        <v>0.17780000000000001</v>
      </c>
      <c r="Y436">
        <v>-3.3999999999999998E-3</v>
      </c>
      <c r="Z436">
        <v>205</v>
      </c>
      <c r="AA436">
        <v>0.35</v>
      </c>
      <c r="AB436">
        <v>161</v>
      </c>
      <c r="AC436">
        <v>0.5</v>
      </c>
      <c r="AD436">
        <v>0</v>
      </c>
      <c r="AE436">
        <v>0</v>
      </c>
      <c r="AF436">
        <v>0.75280000000000002</v>
      </c>
      <c r="AG436">
        <v>739</v>
      </c>
      <c r="AH436">
        <v>0</v>
      </c>
      <c r="AI436">
        <f t="shared" si="4"/>
        <v>-1.2396694214875992E-2</v>
      </c>
      <c r="AJ436" s="4">
        <v>7170</v>
      </c>
      <c r="AK436">
        <v>0.1</v>
      </c>
      <c r="AL436">
        <v>-1.4999999999999999E-2</v>
      </c>
      <c r="AM436">
        <v>12</v>
      </c>
      <c r="AN436">
        <v>-0.3034</v>
      </c>
      <c r="AO436">
        <v>20.8</v>
      </c>
      <c r="AP436">
        <v>-0.35299999999999998</v>
      </c>
      <c r="AQ436">
        <v>27.4</v>
      </c>
      <c r="AR436">
        <v>-0.37419999999999998</v>
      </c>
      <c r="AS436">
        <v>34.6</v>
      </c>
      <c r="AT436">
        <v>-0.39250000000000002</v>
      </c>
      <c r="AU436">
        <v>42.5</v>
      </c>
      <c r="AV436">
        <v>-0.40310000000000001</v>
      </c>
      <c r="AW436">
        <v>48.1</v>
      </c>
      <c r="AX436">
        <v>-0.4098</v>
      </c>
      <c r="AY436">
        <v>52.4</v>
      </c>
      <c r="AZ436">
        <v>-0.4138</v>
      </c>
      <c r="BA436">
        <v>56.7</v>
      </c>
      <c r="BB436">
        <v>-0.41739999999999999</v>
      </c>
      <c r="BC436">
        <v>58.7</v>
      </c>
      <c r="BD436">
        <v>-0.4204</v>
      </c>
      <c r="BE436">
        <v>60.9</v>
      </c>
      <c r="BF436">
        <v>-0.42220000000000002</v>
      </c>
      <c r="BG436">
        <v>414.2</v>
      </c>
      <c r="BH436">
        <v>-3.9248000000000003</v>
      </c>
    </row>
    <row r="437" spans="1:60" x14ac:dyDescent="0.35">
      <c r="A437" t="s">
        <v>34</v>
      </c>
      <c r="B437" s="1">
        <v>46146.65625</v>
      </c>
      <c r="C437" t="s">
        <v>34</v>
      </c>
      <c r="D437" s="1">
        <v>46147.625</v>
      </c>
      <c r="E437">
        <v>7030</v>
      </c>
      <c r="F437" t="s">
        <v>36</v>
      </c>
      <c r="G437">
        <v>1.18</v>
      </c>
      <c r="H437">
        <v>4</v>
      </c>
      <c r="I437">
        <v>0.35</v>
      </c>
      <c r="J437">
        <v>0.51</v>
      </c>
      <c r="K437">
        <v>1423</v>
      </c>
      <c r="L437">
        <v>51</v>
      </c>
      <c r="M437">
        <v>0.55000000000000004</v>
      </c>
      <c r="N437">
        <v>21</v>
      </c>
      <c r="O437">
        <v>0.6</v>
      </c>
      <c r="P437">
        <v>0</v>
      </c>
      <c r="Q437">
        <v>0</v>
      </c>
      <c r="R437">
        <v>0</v>
      </c>
      <c r="S437">
        <v>0</v>
      </c>
      <c r="T437">
        <v>0.2213</v>
      </c>
      <c r="U437">
        <v>-1.9400000000000001E-2</v>
      </c>
      <c r="V437">
        <v>5.9999999999999995E-4</v>
      </c>
      <c r="W437">
        <v>-0.5736</v>
      </c>
      <c r="X437">
        <v>0.1918</v>
      </c>
      <c r="Y437">
        <v>-3.8E-3</v>
      </c>
      <c r="Z437">
        <v>1</v>
      </c>
      <c r="AA437">
        <v>0.45</v>
      </c>
      <c r="AB437">
        <v>160</v>
      </c>
      <c r="AC437">
        <v>0.55000000000000004</v>
      </c>
      <c r="AD437">
        <v>0</v>
      </c>
      <c r="AE437">
        <v>0</v>
      </c>
      <c r="AF437">
        <v>1.0219</v>
      </c>
      <c r="AG437">
        <v>364</v>
      </c>
      <c r="AH437">
        <v>0</v>
      </c>
      <c r="AI437">
        <f t="shared" si="4"/>
        <v>-1.1707988980716233E-2</v>
      </c>
      <c r="AJ437" s="4">
        <v>7175</v>
      </c>
      <c r="AK437">
        <v>0.15</v>
      </c>
      <c r="AL437">
        <v>-2.5100000000000001E-2</v>
      </c>
      <c r="AM437">
        <v>13.2</v>
      </c>
      <c r="AN437">
        <v>-0.32969999999999999</v>
      </c>
      <c r="AO437">
        <v>22.2</v>
      </c>
      <c r="AP437">
        <v>-0.37319999999999998</v>
      </c>
      <c r="AQ437">
        <v>28.9</v>
      </c>
      <c r="AR437">
        <v>-0.39129999999999998</v>
      </c>
      <c r="AS437">
        <v>36.1</v>
      </c>
      <c r="AT437">
        <v>-0.4073</v>
      </c>
      <c r="AU437">
        <v>44.2</v>
      </c>
      <c r="AV437">
        <v>-0.41589999999999999</v>
      </c>
      <c r="AW437">
        <v>49.8</v>
      </c>
      <c r="AX437">
        <v>-0.4214</v>
      </c>
      <c r="AY437">
        <v>54</v>
      </c>
      <c r="AZ437">
        <v>-0.42470000000000002</v>
      </c>
      <c r="BA437">
        <v>58.3</v>
      </c>
      <c r="BB437">
        <v>-0.42759999999999998</v>
      </c>
      <c r="BC437">
        <v>60.3</v>
      </c>
      <c r="BD437">
        <v>-0.4304</v>
      </c>
      <c r="BE437">
        <v>62.6</v>
      </c>
      <c r="BF437">
        <v>-0.43190000000000001</v>
      </c>
      <c r="BG437">
        <v>429.75000000000006</v>
      </c>
      <c r="BH437">
        <v>-4.0785</v>
      </c>
    </row>
    <row r="438" spans="1:60" x14ac:dyDescent="0.35">
      <c r="A438" t="s">
        <v>34</v>
      </c>
      <c r="B438" s="1">
        <v>46146.65625</v>
      </c>
      <c r="C438" t="s">
        <v>34</v>
      </c>
      <c r="D438" s="1">
        <v>46147.625</v>
      </c>
      <c r="E438">
        <v>7035</v>
      </c>
      <c r="F438" t="s">
        <v>36</v>
      </c>
      <c r="G438">
        <v>1.3</v>
      </c>
      <c r="H438">
        <v>3.6</v>
      </c>
      <c r="I438">
        <v>0.35</v>
      </c>
      <c r="J438">
        <v>0.48</v>
      </c>
      <c r="K438">
        <v>4900</v>
      </c>
      <c r="L438">
        <v>62</v>
      </c>
      <c r="M438">
        <v>0.6</v>
      </c>
      <c r="N438">
        <v>350</v>
      </c>
      <c r="O438">
        <v>0.7</v>
      </c>
      <c r="P438">
        <v>0</v>
      </c>
      <c r="Q438">
        <v>0</v>
      </c>
      <c r="R438">
        <v>0</v>
      </c>
      <c r="S438">
        <v>0</v>
      </c>
      <c r="T438">
        <v>0.2185</v>
      </c>
      <c r="U438">
        <v>-2.12E-2</v>
      </c>
      <c r="V438">
        <v>5.9999999999999995E-4</v>
      </c>
      <c r="W438">
        <v>-0.62350000000000005</v>
      </c>
      <c r="X438">
        <v>0.2059</v>
      </c>
      <c r="Y438">
        <v>-4.1000000000000003E-3</v>
      </c>
      <c r="Z438">
        <v>140</v>
      </c>
      <c r="AA438">
        <v>0.45</v>
      </c>
      <c r="AB438">
        <v>152</v>
      </c>
      <c r="AC438">
        <v>0.6</v>
      </c>
      <c r="AD438">
        <v>0</v>
      </c>
      <c r="AE438">
        <v>0</v>
      </c>
      <c r="AF438">
        <v>0.78380000000000005</v>
      </c>
      <c r="AG438">
        <v>350</v>
      </c>
      <c r="AH438">
        <v>0</v>
      </c>
      <c r="AI438">
        <f t="shared" si="4"/>
        <v>-1.1019283746556474E-2</v>
      </c>
      <c r="AJ438" s="4">
        <v>7180</v>
      </c>
      <c r="AK438">
        <v>0.15</v>
      </c>
      <c r="AL438">
        <v>-2.9399999999999999E-2</v>
      </c>
      <c r="AM438">
        <v>14.5</v>
      </c>
      <c r="AN438">
        <v>-0.35770000000000002</v>
      </c>
      <c r="AO438">
        <v>23.7</v>
      </c>
      <c r="AP438">
        <v>-0.39429999999999998</v>
      </c>
      <c r="AQ438">
        <v>30.4</v>
      </c>
      <c r="AR438">
        <v>-0.40899999999999997</v>
      </c>
      <c r="AS438">
        <v>37.799999999999997</v>
      </c>
      <c r="AT438">
        <v>-0.42259999999999998</v>
      </c>
      <c r="AU438">
        <v>45.9</v>
      </c>
      <c r="AV438">
        <v>-0.42880000000000001</v>
      </c>
      <c r="AW438">
        <v>51.6</v>
      </c>
      <c r="AX438">
        <v>-0.43330000000000002</v>
      </c>
      <c r="AY438">
        <v>55.7</v>
      </c>
      <c r="AZ438">
        <v>-0.43590000000000001</v>
      </c>
      <c r="BA438">
        <v>60.1</v>
      </c>
      <c r="BB438">
        <v>-0.438</v>
      </c>
      <c r="BC438">
        <v>62</v>
      </c>
      <c r="BD438">
        <v>-0.44059999999999999</v>
      </c>
      <c r="BE438">
        <v>64.3</v>
      </c>
      <c r="BF438">
        <v>-0.44180000000000003</v>
      </c>
      <c r="BG438">
        <v>446.15000000000003</v>
      </c>
      <c r="BH438">
        <v>-4.2313999999999998</v>
      </c>
    </row>
    <row r="439" spans="1:60" x14ac:dyDescent="0.35">
      <c r="A439" t="s">
        <v>34</v>
      </c>
      <c r="B439" s="1">
        <v>46146.65625</v>
      </c>
      <c r="C439" t="s">
        <v>34</v>
      </c>
      <c r="D439" s="1">
        <v>46147.625</v>
      </c>
      <c r="E439">
        <v>7040</v>
      </c>
      <c r="F439" t="s">
        <v>36</v>
      </c>
      <c r="G439">
        <v>1.37</v>
      </c>
      <c r="H439">
        <v>6.34</v>
      </c>
      <c r="I439">
        <v>0.45</v>
      </c>
      <c r="J439">
        <v>0.56000000000000005</v>
      </c>
      <c r="K439">
        <v>3370</v>
      </c>
      <c r="L439">
        <v>101</v>
      </c>
      <c r="M439">
        <v>0.65</v>
      </c>
      <c r="N439">
        <v>264</v>
      </c>
      <c r="O439">
        <v>0.75</v>
      </c>
      <c r="P439">
        <v>0</v>
      </c>
      <c r="Q439">
        <v>0</v>
      </c>
      <c r="R439">
        <v>0</v>
      </c>
      <c r="S439">
        <v>0</v>
      </c>
      <c r="T439">
        <v>0.21659999999999999</v>
      </c>
      <c r="U439">
        <v>-2.35E-2</v>
      </c>
      <c r="V439">
        <v>6.9999999999999999E-4</v>
      </c>
      <c r="W439">
        <v>-0.69820000000000004</v>
      </c>
      <c r="X439">
        <v>0.22500000000000001</v>
      </c>
      <c r="Y439">
        <v>-4.5999999999999999E-3</v>
      </c>
      <c r="Z439">
        <v>146</v>
      </c>
      <c r="AA439">
        <v>0.5</v>
      </c>
      <c r="AB439">
        <v>138</v>
      </c>
      <c r="AC439">
        <v>0.65</v>
      </c>
      <c r="AD439">
        <v>0</v>
      </c>
      <c r="AE439">
        <v>0</v>
      </c>
      <c r="AF439">
        <v>0.94389999999999996</v>
      </c>
      <c r="AG439">
        <v>527</v>
      </c>
      <c r="AH439">
        <v>0</v>
      </c>
      <c r="AI439">
        <f t="shared" si="4"/>
        <v>-1.0330578512396715E-2</v>
      </c>
      <c r="AJ439" s="4">
        <v>7185</v>
      </c>
      <c r="AK439">
        <v>0.25</v>
      </c>
      <c r="AL439">
        <v>-4.9700000000000001E-2</v>
      </c>
      <c r="AM439">
        <v>16</v>
      </c>
      <c r="AN439">
        <v>-0.38790000000000002</v>
      </c>
      <c r="AO439">
        <v>25.3</v>
      </c>
      <c r="AP439">
        <v>-0.41599999999999998</v>
      </c>
      <c r="AQ439">
        <v>32.1</v>
      </c>
      <c r="AR439">
        <v>-0.42730000000000001</v>
      </c>
      <c r="AS439">
        <v>39.5</v>
      </c>
      <c r="AT439">
        <v>-0.43830000000000002</v>
      </c>
      <c r="AU439">
        <v>47.6</v>
      </c>
      <c r="AV439">
        <v>-0.44219999999999998</v>
      </c>
      <c r="AW439">
        <v>53.3</v>
      </c>
      <c r="AX439">
        <v>-0.44540000000000002</v>
      </c>
      <c r="AY439">
        <v>57.5</v>
      </c>
      <c r="AZ439">
        <v>-0.44719999999999999</v>
      </c>
      <c r="BA439">
        <v>61.8</v>
      </c>
      <c r="BB439">
        <v>-0.4486</v>
      </c>
      <c r="BC439">
        <v>63.8</v>
      </c>
      <c r="BD439">
        <v>-0.45100000000000001</v>
      </c>
      <c r="BE439">
        <v>66.099999999999994</v>
      </c>
      <c r="BF439">
        <v>-0.45179999999999998</v>
      </c>
      <c r="BG439">
        <v>463.25</v>
      </c>
      <c r="BH439">
        <v>-4.4054000000000002</v>
      </c>
    </row>
    <row r="440" spans="1:60" x14ac:dyDescent="0.35">
      <c r="A440" t="s">
        <v>34</v>
      </c>
      <c r="B440" s="1">
        <v>46146.65625</v>
      </c>
      <c r="C440" t="s">
        <v>34</v>
      </c>
      <c r="D440" s="1">
        <v>46147.625</v>
      </c>
      <c r="E440">
        <v>7045</v>
      </c>
      <c r="F440" t="s">
        <v>36</v>
      </c>
      <c r="G440">
        <v>1.44</v>
      </c>
      <c r="H440">
        <v>5.4</v>
      </c>
      <c r="I440">
        <v>0.5</v>
      </c>
      <c r="J440">
        <v>0.7</v>
      </c>
      <c r="K440">
        <v>1623</v>
      </c>
      <c r="L440">
        <v>240</v>
      </c>
      <c r="M440">
        <v>0.7</v>
      </c>
      <c r="N440">
        <v>47</v>
      </c>
      <c r="O440">
        <v>0.8</v>
      </c>
      <c r="P440">
        <v>0</v>
      </c>
      <c r="Q440">
        <v>0</v>
      </c>
      <c r="R440">
        <v>0</v>
      </c>
      <c r="S440">
        <v>0</v>
      </c>
      <c r="T440">
        <v>0.21310000000000001</v>
      </c>
      <c r="U440">
        <v>-2.5399999999999999E-2</v>
      </c>
      <c r="V440">
        <v>6.9999999999999999E-4</v>
      </c>
      <c r="W440">
        <v>-0.74809999999999999</v>
      </c>
      <c r="X440">
        <v>0.2392</v>
      </c>
      <c r="Y440">
        <v>-4.8999999999999998E-3</v>
      </c>
      <c r="Z440">
        <v>56</v>
      </c>
      <c r="AA440">
        <v>0.6</v>
      </c>
      <c r="AB440">
        <v>131</v>
      </c>
      <c r="AC440">
        <v>0.75</v>
      </c>
      <c r="AD440">
        <v>0</v>
      </c>
      <c r="AE440">
        <v>0</v>
      </c>
      <c r="AF440">
        <v>2.0036999999999998</v>
      </c>
      <c r="AG440">
        <v>528</v>
      </c>
      <c r="AH440">
        <v>0</v>
      </c>
      <c r="AI440">
        <f t="shared" si="4"/>
        <v>-9.6418732782369565E-3</v>
      </c>
      <c r="AJ440" s="4">
        <v>7190</v>
      </c>
      <c r="AK440">
        <v>0.45</v>
      </c>
      <c r="AL440">
        <v>-9.5600000000000004E-2</v>
      </c>
      <c r="AM440">
        <v>17.600000000000001</v>
      </c>
      <c r="AN440">
        <v>-0.41949999999999998</v>
      </c>
      <c r="AO440">
        <v>27</v>
      </c>
      <c r="AP440">
        <v>-0.43890000000000001</v>
      </c>
      <c r="AQ440">
        <v>33.799999999999997</v>
      </c>
      <c r="AR440">
        <v>-0.4461</v>
      </c>
      <c r="AS440">
        <v>41.2</v>
      </c>
      <c r="AT440">
        <v>-0.45440000000000003</v>
      </c>
      <c r="AU440">
        <v>49.4</v>
      </c>
      <c r="AV440">
        <v>-0.45579999999999998</v>
      </c>
      <c r="AW440">
        <v>55.2</v>
      </c>
      <c r="AX440">
        <v>-0.4577</v>
      </c>
      <c r="AY440">
        <v>59.3</v>
      </c>
      <c r="AZ440">
        <v>-0.4587</v>
      </c>
      <c r="BA440">
        <v>63.7</v>
      </c>
      <c r="BB440">
        <v>-0.45939999999999998</v>
      </c>
      <c r="BC440">
        <v>65.599999999999994</v>
      </c>
      <c r="BD440">
        <v>-0.46150000000000002</v>
      </c>
      <c r="BE440">
        <v>67.900000000000006</v>
      </c>
      <c r="BF440">
        <v>-0.46200000000000002</v>
      </c>
      <c r="BG440">
        <v>481.15</v>
      </c>
      <c r="BH440">
        <v>-4.6095999999999995</v>
      </c>
    </row>
    <row r="441" spans="1:60" x14ac:dyDescent="0.35">
      <c r="A441" t="s">
        <v>34</v>
      </c>
      <c r="B441" s="1">
        <v>46146.65625</v>
      </c>
      <c r="C441" t="s">
        <v>34</v>
      </c>
      <c r="D441" s="1">
        <v>46147.625</v>
      </c>
      <c r="E441">
        <v>7050</v>
      </c>
      <c r="F441" t="s">
        <v>36</v>
      </c>
      <c r="G441">
        <v>1.59</v>
      </c>
      <c r="H441">
        <v>5.5</v>
      </c>
      <c r="I441">
        <v>0.55000000000000004</v>
      </c>
      <c r="J441">
        <v>0.7</v>
      </c>
      <c r="K441">
        <v>6072</v>
      </c>
      <c r="L441">
        <v>110</v>
      </c>
      <c r="M441">
        <v>0.8</v>
      </c>
      <c r="N441">
        <v>100</v>
      </c>
      <c r="O441">
        <v>0.9</v>
      </c>
      <c r="P441">
        <v>0</v>
      </c>
      <c r="Q441">
        <v>0</v>
      </c>
      <c r="R441">
        <v>0</v>
      </c>
      <c r="S441">
        <v>0</v>
      </c>
      <c r="T441">
        <v>0.21190000000000001</v>
      </c>
      <c r="U441">
        <v>-2.8400000000000002E-2</v>
      </c>
      <c r="V441">
        <v>8.0000000000000004E-4</v>
      </c>
      <c r="W441">
        <v>-0.84789999999999999</v>
      </c>
      <c r="X441">
        <v>0.26219999999999999</v>
      </c>
      <c r="Y441">
        <v>-5.4999999999999997E-3</v>
      </c>
      <c r="Z441">
        <v>9</v>
      </c>
      <c r="AA441">
        <v>0.7</v>
      </c>
      <c r="AB441">
        <v>117</v>
      </c>
      <c r="AC441">
        <v>0.8</v>
      </c>
      <c r="AD441">
        <v>0</v>
      </c>
      <c r="AE441">
        <v>0</v>
      </c>
      <c r="AF441">
        <v>1.6697</v>
      </c>
      <c r="AG441">
        <v>2032</v>
      </c>
      <c r="AH441">
        <v>0</v>
      </c>
      <c r="AI441">
        <f t="shared" si="4"/>
        <v>-8.9531680440770867E-3</v>
      </c>
      <c r="AJ441" s="4">
        <v>7195</v>
      </c>
      <c r="AK441">
        <v>1</v>
      </c>
      <c r="AL441">
        <v>-0.2127</v>
      </c>
      <c r="AM441">
        <v>19.3</v>
      </c>
      <c r="AN441">
        <v>-0.45340000000000003</v>
      </c>
      <c r="AO441">
        <v>28.7</v>
      </c>
      <c r="AP441">
        <v>-0.46260000000000001</v>
      </c>
      <c r="AQ441">
        <v>35.6</v>
      </c>
      <c r="AR441">
        <v>-0.46560000000000001</v>
      </c>
      <c r="AS441">
        <v>43.1</v>
      </c>
      <c r="AT441">
        <v>-0.47089999999999999</v>
      </c>
      <c r="AU441">
        <v>51.3</v>
      </c>
      <c r="AV441">
        <v>-0.46970000000000001</v>
      </c>
      <c r="AW441">
        <v>57</v>
      </c>
      <c r="AX441">
        <v>-0.4703</v>
      </c>
      <c r="AY441">
        <v>61.2</v>
      </c>
      <c r="AZ441">
        <v>-0.47039999999999998</v>
      </c>
      <c r="BA441">
        <v>65.5</v>
      </c>
      <c r="BB441">
        <v>-0.4703</v>
      </c>
      <c r="BC441">
        <v>67.5</v>
      </c>
      <c r="BD441">
        <v>-0.4723</v>
      </c>
      <c r="BE441">
        <v>69.8</v>
      </c>
      <c r="BF441">
        <v>-0.47239999999999999</v>
      </c>
      <c r="BG441">
        <v>500</v>
      </c>
      <c r="BH441">
        <v>-4.8906000000000001</v>
      </c>
    </row>
    <row r="442" spans="1:60" x14ac:dyDescent="0.35">
      <c r="A442" t="s">
        <v>34</v>
      </c>
      <c r="B442" s="1">
        <v>46146.65625</v>
      </c>
      <c r="C442" t="s">
        <v>34</v>
      </c>
      <c r="D442" s="1">
        <v>46147.625</v>
      </c>
      <c r="E442">
        <v>7055</v>
      </c>
      <c r="F442" t="s">
        <v>36</v>
      </c>
      <c r="G442">
        <v>1.67</v>
      </c>
      <c r="H442">
        <v>4.97</v>
      </c>
      <c r="I442">
        <v>0.65</v>
      </c>
      <c r="J442">
        <v>0.85</v>
      </c>
      <c r="K442">
        <v>1508</v>
      </c>
      <c r="L442">
        <v>56</v>
      </c>
      <c r="M442">
        <v>0.9</v>
      </c>
      <c r="N442">
        <v>174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0.2099</v>
      </c>
      <c r="U442">
        <v>-3.1600000000000003E-2</v>
      </c>
      <c r="V442">
        <v>8.9999999999999998E-4</v>
      </c>
      <c r="W442">
        <v>-0.94769999999999999</v>
      </c>
      <c r="X442">
        <v>0.28539999999999999</v>
      </c>
      <c r="Y442">
        <v>-6.1000000000000004E-3</v>
      </c>
      <c r="Z442">
        <v>2</v>
      </c>
      <c r="AA442">
        <v>0.8</v>
      </c>
      <c r="AB442">
        <v>1</v>
      </c>
      <c r="AC442">
        <v>0.85</v>
      </c>
      <c r="AD442">
        <v>0</v>
      </c>
      <c r="AE442">
        <v>0</v>
      </c>
      <c r="AF442">
        <v>1.7491000000000001</v>
      </c>
      <c r="AG442">
        <v>491</v>
      </c>
      <c r="AH442">
        <v>0</v>
      </c>
      <c r="AI442">
        <f t="shared" si="4"/>
        <v>-8.2644628099173278E-3</v>
      </c>
      <c r="AJ442" s="4">
        <v>7200</v>
      </c>
      <c r="AK442">
        <v>2.6</v>
      </c>
      <c r="AL442">
        <v>-0.44819999999999999</v>
      </c>
      <c r="AM442">
        <v>21.2</v>
      </c>
      <c r="AN442">
        <v>-0.4889</v>
      </c>
      <c r="AO442">
        <v>30.7</v>
      </c>
      <c r="AP442">
        <v>-0.48720000000000002</v>
      </c>
      <c r="AQ442">
        <v>37.6</v>
      </c>
      <c r="AR442">
        <v>-0.48559999999999998</v>
      </c>
      <c r="AS442">
        <v>45</v>
      </c>
      <c r="AT442">
        <v>-0.48780000000000001</v>
      </c>
      <c r="AU442">
        <v>53.3</v>
      </c>
      <c r="AV442">
        <v>-0.48380000000000001</v>
      </c>
      <c r="AW442">
        <v>59</v>
      </c>
      <c r="AX442">
        <v>-0.48309999999999997</v>
      </c>
      <c r="AY442">
        <v>63.2</v>
      </c>
      <c r="AZ442">
        <v>-0.48230000000000001</v>
      </c>
      <c r="BA442">
        <v>67.5</v>
      </c>
      <c r="BB442">
        <v>-0.48139999999999999</v>
      </c>
      <c r="BC442">
        <v>69.400000000000006</v>
      </c>
      <c r="BD442">
        <v>-0.48320000000000002</v>
      </c>
      <c r="BE442">
        <v>71.7</v>
      </c>
      <c r="BF442">
        <v>-0.4829</v>
      </c>
      <c r="BG442">
        <v>521.20000000000005</v>
      </c>
      <c r="BH442">
        <v>-5.2944000000000004</v>
      </c>
    </row>
    <row r="443" spans="1:60" x14ac:dyDescent="0.35">
      <c r="A443" t="s">
        <v>34</v>
      </c>
      <c r="B443" s="1">
        <v>46146.65625</v>
      </c>
      <c r="C443" t="s">
        <v>34</v>
      </c>
      <c r="D443" s="1">
        <v>46147.625</v>
      </c>
      <c r="E443">
        <v>7060</v>
      </c>
      <c r="F443" t="s">
        <v>36</v>
      </c>
      <c r="G443">
        <v>1.91</v>
      </c>
      <c r="H443">
        <v>5.8</v>
      </c>
      <c r="I443">
        <v>0.75</v>
      </c>
      <c r="J443">
        <v>0.95</v>
      </c>
      <c r="K443">
        <v>2112</v>
      </c>
      <c r="L443">
        <v>146</v>
      </c>
      <c r="M443">
        <v>1</v>
      </c>
      <c r="N443">
        <v>145</v>
      </c>
      <c r="O443">
        <v>1.1000000000000001</v>
      </c>
      <c r="P443">
        <v>0</v>
      </c>
      <c r="Q443">
        <v>0</v>
      </c>
      <c r="R443">
        <v>0</v>
      </c>
      <c r="S443">
        <v>0</v>
      </c>
      <c r="T443">
        <v>0.20730000000000001</v>
      </c>
      <c r="U443">
        <v>-3.4799999999999998E-2</v>
      </c>
      <c r="V443">
        <v>1E-3</v>
      </c>
      <c r="W443">
        <v>-1.0475000000000001</v>
      </c>
      <c r="X443">
        <v>0.30890000000000001</v>
      </c>
      <c r="Y443">
        <v>-6.7999999999999996E-3</v>
      </c>
      <c r="Z443">
        <v>91</v>
      </c>
      <c r="AA443">
        <v>0.85</v>
      </c>
      <c r="AB443">
        <v>54</v>
      </c>
      <c r="AC443">
        <v>1</v>
      </c>
      <c r="AD443">
        <v>0</v>
      </c>
      <c r="AE443">
        <v>0</v>
      </c>
      <c r="AF443">
        <v>2.105</v>
      </c>
      <c r="AG443">
        <v>395</v>
      </c>
      <c r="AH443">
        <v>0</v>
      </c>
      <c r="AI443">
        <f t="shared" si="4"/>
        <v>-7.575757575757569E-3</v>
      </c>
      <c r="AJ443" s="4">
        <v>7205</v>
      </c>
      <c r="AK443">
        <v>5.8</v>
      </c>
      <c r="AL443">
        <v>-0.70740000000000003</v>
      </c>
      <c r="AM443">
        <v>23.3</v>
      </c>
      <c r="AN443">
        <v>-0.52610000000000001</v>
      </c>
      <c r="AO443">
        <v>32.700000000000003</v>
      </c>
      <c r="AP443">
        <v>-0.51259999999999994</v>
      </c>
      <c r="AQ443">
        <v>39.6</v>
      </c>
      <c r="AR443">
        <v>-0.50619999999999998</v>
      </c>
      <c r="AS443">
        <v>47</v>
      </c>
      <c r="AT443">
        <v>-0.50509999999999999</v>
      </c>
      <c r="AU443">
        <v>55.3</v>
      </c>
      <c r="AV443">
        <v>-0.49819999999999998</v>
      </c>
      <c r="AW443">
        <v>61</v>
      </c>
      <c r="AX443">
        <v>-0.49609999999999999</v>
      </c>
      <c r="AY443">
        <v>65.2</v>
      </c>
      <c r="AZ443">
        <v>-0.49440000000000001</v>
      </c>
      <c r="BA443">
        <v>69.5</v>
      </c>
      <c r="BB443">
        <v>-0.49270000000000003</v>
      </c>
      <c r="BC443">
        <v>71.400000000000006</v>
      </c>
      <c r="BD443">
        <v>-0.49419999999999997</v>
      </c>
      <c r="BE443">
        <v>73.599999999999994</v>
      </c>
      <c r="BF443">
        <v>-0.49359999999999998</v>
      </c>
      <c r="BG443">
        <v>544.4</v>
      </c>
      <c r="BH443">
        <v>-5.7266000000000004</v>
      </c>
    </row>
    <row r="444" spans="1:60" x14ac:dyDescent="0.35">
      <c r="A444" t="s">
        <v>34</v>
      </c>
      <c r="B444" s="1">
        <v>46146.65625</v>
      </c>
      <c r="C444" t="s">
        <v>34</v>
      </c>
      <c r="D444" s="1">
        <v>46147.625</v>
      </c>
      <c r="E444">
        <v>7065</v>
      </c>
      <c r="F444" t="s">
        <v>36</v>
      </c>
      <c r="G444">
        <v>1.97</v>
      </c>
      <c r="H444">
        <v>8.3800000000000008</v>
      </c>
      <c r="I444">
        <v>0.9</v>
      </c>
      <c r="J444">
        <v>1.05</v>
      </c>
      <c r="K444">
        <v>2317</v>
      </c>
      <c r="L444">
        <v>61</v>
      </c>
      <c r="M444">
        <v>1.1499999999999999</v>
      </c>
      <c r="N444">
        <v>1</v>
      </c>
      <c r="O444">
        <v>1.2</v>
      </c>
      <c r="P444">
        <v>0</v>
      </c>
      <c r="Q444">
        <v>0</v>
      </c>
      <c r="R444">
        <v>0</v>
      </c>
      <c r="S444">
        <v>0</v>
      </c>
      <c r="T444">
        <v>0.20449999999999999</v>
      </c>
      <c r="U444">
        <v>-3.8100000000000002E-2</v>
      </c>
      <c r="V444">
        <v>1.1000000000000001E-3</v>
      </c>
      <c r="W444">
        <v>-1.1472</v>
      </c>
      <c r="X444">
        <v>0.33200000000000002</v>
      </c>
      <c r="Y444">
        <v>-7.4000000000000003E-3</v>
      </c>
      <c r="Z444">
        <v>54</v>
      </c>
      <c r="AA444">
        <v>1</v>
      </c>
      <c r="AB444">
        <v>18</v>
      </c>
      <c r="AC444">
        <v>1.1000000000000001</v>
      </c>
      <c r="AD444">
        <v>0</v>
      </c>
      <c r="AE444">
        <v>0</v>
      </c>
      <c r="AF444">
        <v>2.0990000000000002</v>
      </c>
      <c r="AG444">
        <v>223</v>
      </c>
      <c r="AH444">
        <v>0</v>
      </c>
      <c r="AI444">
        <f t="shared" si="4"/>
        <v>-6.8870523415978102E-3</v>
      </c>
      <c r="AJ444" s="4">
        <v>7210</v>
      </c>
      <c r="AK444">
        <v>10.199999999999999</v>
      </c>
      <c r="AL444">
        <v>-0.84489999999999998</v>
      </c>
      <c r="AM444">
        <v>25.6</v>
      </c>
      <c r="AN444">
        <v>-0.56469999999999998</v>
      </c>
      <c r="AO444">
        <v>34.9</v>
      </c>
      <c r="AP444">
        <v>-0.53879999999999995</v>
      </c>
      <c r="AQ444">
        <v>41.7</v>
      </c>
      <c r="AR444">
        <v>-0.5272</v>
      </c>
      <c r="AS444">
        <v>49.1</v>
      </c>
      <c r="AT444">
        <v>-0.52280000000000004</v>
      </c>
      <c r="AU444">
        <v>57.4</v>
      </c>
      <c r="AV444">
        <v>-0.51280000000000003</v>
      </c>
      <c r="AW444">
        <v>63.1</v>
      </c>
      <c r="AX444">
        <v>-0.50919999999999999</v>
      </c>
      <c r="AY444">
        <v>67.2</v>
      </c>
      <c r="AZ444">
        <v>-0.50649999999999995</v>
      </c>
      <c r="BA444">
        <v>71.5</v>
      </c>
      <c r="BB444">
        <v>-0.50409999999999999</v>
      </c>
      <c r="BC444">
        <v>73.400000000000006</v>
      </c>
      <c r="BD444">
        <v>-0.50549999999999995</v>
      </c>
      <c r="BE444">
        <v>75.7</v>
      </c>
      <c r="BF444">
        <v>-0.50439999999999996</v>
      </c>
      <c r="BG444">
        <v>569.80000000000007</v>
      </c>
      <c r="BH444">
        <v>-6.0409000000000006</v>
      </c>
    </row>
    <row r="445" spans="1:60" x14ac:dyDescent="0.35">
      <c r="A445" t="s">
        <v>34</v>
      </c>
      <c r="B445" s="1">
        <v>46146.65625</v>
      </c>
      <c r="C445" t="s">
        <v>34</v>
      </c>
      <c r="D445" s="1">
        <v>46147.625</v>
      </c>
      <c r="E445">
        <v>7070</v>
      </c>
      <c r="F445" t="s">
        <v>36</v>
      </c>
      <c r="G445">
        <v>2.15</v>
      </c>
      <c r="H445">
        <v>9.0299999999999994</v>
      </c>
      <c r="I445">
        <v>1</v>
      </c>
      <c r="J445">
        <v>1.19</v>
      </c>
      <c r="K445">
        <v>2092</v>
      </c>
      <c r="L445">
        <v>115</v>
      </c>
      <c r="M445">
        <v>1.25</v>
      </c>
      <c r="N445">
        <v>71</v>
      </c>
      <c r="O445">
        <v>1.35</v>
      </c>
      <c r="P445">
        <v>0</v>
      </c>
      <c r="Q445">
        <v>0</v>
      </c>
      <c r="R445">
        <v>0</v>
      </c>
      <c r="S445">
        <v>0</v>
      </c>
      <c r="T445">
        <v>0.20319999999999999</v>
      </c>
      <c r="U445">
        <v>-4.2500000000000003E-2</v>
      </c>
      <c r="V445">
        <v>1.1999999999999999E-3</v>
      </c>
      <c r="W445">
        <v>-1.2968</v>
      </c>
      <c r="X445">
        <v>0.3619</v>
      </c>
      <c r="Y445">
        <v>-8.3000000000000001E-3</v>
      </c>
      <c r="Z445">
        <v>14</v>
      </c>
      <c r="AA445">
        <v>1.1499999999999999</v>
      </c>
      <c r="AB445">
        <v>100</v>
      </c>
      <c r="AC445">
        <v>1.3</v>
      </c>
      <c r="AD445">
        <v>0</v>
      </c>
      <c r="AE445">
        <v>0</v>
      </c>
      <c r="AF445">
        <v>2.5676999999999999</v>
      </c>
      <c r="AG445">
        <v>375</v>
      </c>
      <c r="AH445">
        <v>0</v>
      </c>
      <c r="AI445">
        <f t="shared" si="4"/>
        <v>-6.1983471074380514E-3</v>
      </c>
      <c r="AJ445" s="4">
        <v>7215</v>
      </c>
      <c r="AK445">
        <v>15</v>
      </c>
      <c r="AL445">
        <v>-0.90539999999999998</v>
      </c>
      <c r="AM445">
        <v>28.2</v>
      </c>
      <c r="AN445">
        <v>-0.60399999999999998</v>
      </c>
      <c r="AO445">
        <v>37.200000000000003</v>
      </c>
      <c r="AP445">
        <v>-0.5655</v>
      </c>
      <c r="AQ445">
        <v>43.9</v>
      </c>
      <c r="AR445">
        <v>-0.54869999999999997</v>
      </c>
      <c r="AS445">
        <v>51.3</v>
      </c>
      <c r="AT445">
        <v>-0.54079999999999995</v>
      </c>
      <c r="AU445">
        <v>59.6</v>
      </c>
      <c r="AV445">
        <v>-0.52759999999999996</v>
      </c>
      <c r="AW445">
        <v>65.2</v>
      </c>
      <c r="AX445">
        <v>-0.52259999999999995</v>
      </c>
      <c r="AY445">
        <v>69.400000000000006</v>
      </c>
      <c r="AZ445">
        <v>-0.51910000000000001</v>
      </c>
      <c r="BA445">
        <v>73.599999999999994</v>
      </c>
      <c r="BB445">
        <v>-0.51570000000000005</v>
      </c>
      <c r="BC445">
        <v>75.5</v>
      </c>
      <c r="BD445">
        <v>-0.51690000000000003</v>
      </c>
      <c r="BE445">
        <v>77.7</v>
      </c>
      <c r="BF445">
        <v>-0.51539999999999997</v>
      </c>
      <c r="BG445">
        <v>596.60000000000014</v>
      </c>
      <c r="BH445">
        <v>-6.281699999999999</v>
      </c>
    </row>
    <row r="446" spans="1:60" x14ac:dyDescent="0.35">
      <c r="A446" t="s">
        <v>34</v>
      </c>
      <c r="B446" s="1">
        <v>46146.65625</v>
      </c>
      <c r="C446" t="s">
        <v>34</v>
      </c>
      <c r="D446" s="1">
        <v>46147.625</v>
      </c>
      <c r="E446">
        <v>7075</v>
      </c>
      <c r="F446" t="s">
        <v>36</v>
      </c>
      <c r="G446">
        <v>2.3199999999999998</v>
      </c>
      <c r="H446">
        <v>7.52</v>
      </c>
      <c r="I446">
        <v>1.05</v>
      </c>
      <c r="J446">
        <v>1.33</v>
      </c>
      <c r="K446">
        <v>5237</v>
      </c>
      <c r="L446">
        <v>55</v>
      </c>
      <c r="M446">
        <v>1.45</v>
      </c>
      <c r="N446">
        <v>244</v>
      </c>
      <c r="O446">
        <v>1.55</v>
      </c>
      <c r="P446">
        <v>0</v>
      </c>
      <c r="Q446">
        <v>0</v>
      </c>
      <c r="R446">
        <v>0</v>
      </c>
      <c r="S446">
        <v>0</v>
      </c>
      <c r="T446">
        <v>0.20069999999999999</v>
      </c>
      <c r="U446">
        <v>-4.7199999999999999E-2</v>
      </c>
      <c r="V446">
        <v>1.2999999999999999E-3</v>
      </c>
      <c r="W446">
        <v>-1.4466000000000001</v>
      </c>
      <c r="X446">
        <v>0.39269999999999999</v>
      </c>
      <c r="Y446">
        <v>-9.1999999999999998E-3</v>
      </c>
      <c r="Z446">
        <v>40</v>
      </c>
      <c r="AA446">
        <v>1.3</v>
      </c>
      <c r="AB446">
        <v>90</v>
      </c>
      <c r="AC446">
        <v>1.45</v>
      </c>
      <c r="AD446">
        <v>0</v>
      </c>
      <c r="AE446">
        <v>0</v>
      </c>
      <c r="AF446">
        <v>2.5510999999999999</v>
      </c>
      <c r="AG446">
        <v>1125</v>
      </c>
      <c r="AH446">
        <v>0</v>
      </c>
      <c r="AI446">
        <f t="shared" si="4"/>
        <v>-5.5096418732781816E-3</v>
      </c>
      <c r="AJ446" s="4">
        <v>7220</v>
      </c>
      <c r="AK446">
        <v>20.100000000000001</v>
      </c>
      <c r="AL446">
        <v>-0.92720000000000002</v>
      </c>
      <c r="AM446">
        <v>30.9</v>
      </c>
      <c r="AN446">
        <v>-0.64390000000000003</v>
      </c>
      <c r="AO446">
        <v>39.700000000000003</v>
      </c>
      <c r="AP446">
        <v>-0.59279999999999999</v>
      </c>
      <c r="AQ446">
        <v>46.3</v>
      </c>
      <c r="AR446">
        <v>-0.57079999999999997</v>
      </c>
      <c r="AS446">
        <v>53.6</v>
      </c>
      <c r="AT446">
        <v>-0.55920000000000003</v>
      </c>
      <c r="AU446">
        <v>61.8</v>
      </c>
      <c r="AV446">
        <v>-0.54269999999999996</v>
      </c>
      <c r="AW446">
        <v>67.400000000000006</v>
      </c>
      <c r="AX446">
        <v>-0.53590000000000004</v>
      </c>
      <c r="AY446">
        <v>71.599999999999994</v>
      </c>
      <c r="AZ446">
        <v>-0.53169999999999995</v>
      </c>
      <c r="BA446">
        <v>75.8</v>
      </c>
      <c r="BB446">
        <v>-0.52749999999999997</v>
      </c>
      <c r="BC446">
        <v>77.599999999999994</v>
      </c>
      <c r="BD446">
        <v>-0.52839999999999998</v>
      </c>
      <c r="BE446">
        <v>79.900000000000006</v>
      </c>
      <c r="BF446">
        <v>-0.52649999999999997</v>
      </c>
      <c r="BG446">
        <v>624.69999999999993</v>
      </c>
      <c r="BH446">
        <v>-6.486600000000001</v>
      </c>
    </row>
    <row r="447" spans="1:60" x14ac:dyDescent="0.35">
      <c r="A447" t="s">
        <v>34</v>
      </c>
      <c r="B447" s="1">
        <v>46146.65625</v>
      </c>
      <c r="C447" t="s">
        <v>34</v>
      </c>
      <c r="D447" s="1">
        <v>46147.625</v>
      </c>
      <c r="E447">
        <v>7080</v>
      </c>
      <c r="F447" t="s">
        <v>36</v>
      </c>
      <c r="G447">
        <v>2.4900000000000002</v>
      </c>
      <c r="H447">
        <v>7.8</v>
      </c>
      <c r="I447">
        <v>1.1499999999999999</v>
      </c>
      <c r="J447">
        <v>1.5</v>
      </c>
      <c r="K447">
        <v>3136</v>
      </c>
      <c r="L447">
        <v>42</v>
      </c>
      <c r="M447">
        <v>1.6</v>
      </c>
      <c r="N447">
        <v>85</v>
      </c>
      <c r="O447">
        <v>1.7</v>
      </c>
      <c r="P447">
        <v>0</v>
      </c>
      <c r="Q447">
        <v>0</v>
      </c>
      <c r="R447">
        <v>0</v>
      </c>
      <c r="S447">
        <v>0</v>
      </c>
      <c r="T447">
        <v>0.19969999999999999</v>
      </c>
      <c r="U447">
        <v>-5.2900000000000003E-2</v>
      </c>
      <c r="V447">
        <v>1.4E-3</v>
      </c>
      <c r="W447">
        <v>-1.6459999999999999</v>
      </c>
      <c r="X447">
        <v>0.42920000000000003</v>
      </c>
      <c r="Y447">
        <v>-1.04E-2</v>
      </c>
      <c r="Z447">
        <v>62</v>
      </c>
      <c r="AA447">
        <v>1.45</v>
      </c>
      <c r="AB447">
        <v>22</v>
      </c>
      <c r="AC447">
        <v>1.6</v>
      </c>
      <c r="AD447">
        <v>0</v>
      </c>
      <c r="AE447">
        <v>0</v>
      </c>
      <c r="AF447">
        <v>2.4350000000000001</v>
      </c>
      <c r="AG447">
        <v>372</v>
      </c>
      <c r="AH447">
        <v>0</v>
      </c>
      <c r="AI447">
        <f t="shared" si="4"/>
        <v>-4.8209366391184227E-3</v>
      </c>
      <c r="AJ447" s="4">
        <v>7225</v>
      </c>
      <c r="AK447">
        <v>25</v>
      </c>
      <c r="AL447">
        <v>-0.9425</v>
      </c>
      <c r="AM447">
        <v>33.9</v>
      </c>
      <c r="AN447">
        <v>-0.6835</v>
      </c>
      <c r="AO447">
        <v>42.3</v>
      </c>
      <c r="AP447">
        <v>-0.62050000000000005</v>
      </c>
      <c r="AQ447">
        <v>48.8</v>
      </c>
      <c r="AR447">
        <v>-0.59299999999999997</v>
      </c>
      <c r="AS447">
        <v>56</v>
      </c>
      <c r="AT447">
        <v>-0.57779999999999998</v>
      </c>
      <c r="AU447">
        <v>64.099999999999994</v>
      </c>
      <c r="AV447">
        <v>-0.55800000000000005</v>
      </c>
      <c r="AW447">
        <v>69.8</v>
      </c>
      <c r="AX447">
        <v>-0.54979999999999996</v>
      </c>
      <c r="AY447">
        <v>73.8</v>
      </c>
      <c r="AZ447">
        <v>-0.5444</v>
      </c>
      <c r="BA447">
        <v>78</v>
      </c>
      <c r="BB447">
        <v>-0.5393</v>
      </c>
      <c r="BC447">
        <v>79.8</v>
      </c>
      <c r="BD447">
        <v>-0.54010000000000002</v>
      </c>
      <c r="BE447">
        <v>82.1</v>
      </c>
      <c r="BF447">
        <v>-0.53769999999999996</v>
      </c>
      <c r="BG447">
        <v>653.6</v>
      </c>
      <c r="BH447">
        <v>-6.6865999999999994</v>
      </c>
    </row>
    <row r="448" spans="1:60" x14ac:dyDescent="0.35">
      <c r="A448" t="s">
        <v>34</v>
      </c>
      <c r="B448" s="1">
        <v>46146.65625</v>
      </c>
      <c r="C448" t="s">
        <v>34</v>
      </c>
      <c r="D448" s="1">
        <v>46147.625</v>
      </c>
      <c r="E448">
        <v>7085</v>
      </c>
      <c r="F448" t="s">
        <v>36</v>
      </c>
      <c r="G448">
        <v>2.71</v>
      </c>
      <c r="H448">
        <v>9.5</v>
      </c>
      <c r="I448">
        <v>1.22</v>
      </c>
      <c r="J448">
        <v>1.7</v>
      </c>
      <c r="K448">
        <v>1848</v>
      </c>
      <c r="L448">
        <v>85</v>
      </c>
      <c r="M448">
        <v>1.8</v>
      </c>
      <c r="N448">
        <v>31</v>
      </c>
      <c r="O448">
        <v>1.9</v>
      </c>
      <c r="P448">
        <v>0</v>
      </c>
      <c r="Q448">
        <v>0</v>
      </c>
      <c r="R448">
        <v>0</v>
      </c>
      <c r="S448">
        <v>0</v>
      </c>
      <c r="T448">
        <v>0.1978</v>
      </c>
      <c r="U448">
        <v>-5.8799999999999998E-2</v>
      </c>
      <c r="V448">
        <v>1.6000000000000001E-3</v>
      </c>
      <c r="W448">
        <v>-1.8454999999999999</v>
      </c>
      <c r="X448">
        <v>0.46489999999999998</v>
      </c>
      <c r="Y448">
        <v>-1.15E-2</v>
      </c>
      <c r="Z448">
        <v>66</v>
      </c>
      <c r="AA448">
        <v>1.65</v>
      </c>
      <c r="AB448">
        <v>1</v>
      </c>
      <c r="AC448">
        <v>1.75</v>
      </c>
      <c r="AD448">
        <v>0</v>
      </c>
      <c r="AE448">
        <v>0</v>
      </c>
      <c r="AF448">
        <v>2.6217000000000001</v>
      </c>
      <c r="AG448">
        <v>185</v>
      </c>
      <c r="AH448">
        <v>0</v>
      </c>
      <c r="AI448">
        <f t="shared" si="4"/>
        <v>-4.1322314049586639E-3</v>
      </c>
      <c r="AJ448" s="4">
        <v>7230</v>
      </c>
      <c r="AK448">
        <v>29.9</v>
      </c>
      <c r="AL448">
        <v>-0.94940000000000002</v>
      </c>
      <c r="AM448">
        <v>37.4</v>
      </c>
      <c r="AN448">
        <v>-0.72319999999999995</v>
      </c>
      <c r="AO448">
        <v>45.1</v>
      </c>
      <c r="AP448">
        <v>-0.64839999999999998</v>
      </c>
      <c r="AQ448">
        <v>51.4</v>
      </c>
      <c r="AR448">
        <v>-0.61539999999999995</v>
      </c>
      <c r="AS448">
        <v>58.4</v>
      </c>
      <c r="AT448">
        <v>-0.59670000000000001</v>
      </c>
      <c r="AU448">
        <v>66.5</v>
      </c>
      <c r="AV448">
        <v>-0.57350000000000001</v>
      </c>
      <c r="AW448">
        <v>72.099999999999994</v>
      </c>
      <c r="AX448">
        <v>-0.5635</v>
      </c>
      <c r="AY448">
        <v>76.099999999999994</v>
      </c>
      <c r="AZ448">
        <v>-0.55740000000000001</v>
      </c>
      <c r="BA448">
        <v>80.3</v>
      </c>
      <c r="BB448">
        <v>-0.55130000000000001</v>
      </c>
      <c r="BC448">
        <v>82.1</v>
      </c>
      <c r="BD448">
        <v>-0.55189999999999995</v>
      </c>
      <c r="BE448">
        <v>84.3</v>
      </c>
      <c r="BF448">
        <v>-0.54910000000000003</v>
      </c>
      <c r="BG448">
        <v>683.6</v>
      </c>
      <c r="BH448">
        <v>-6.8798000000000012</v>
      </c>
    </row>
    <row r="449" spans="1:60" x14ac:dyDescent="0.35">
      <c r="A449" t="s">
        <v>34</v>
      </c>
      <c r="B449" s="1">
        <v>46146.65625</v>
      </c>
      <c r="C449" t="s">
        <v>34</v>
      </c>
      <c r="D449" s="1">
        <v>46147.625</v>
      </c>
      <c r="E449">
        <v>7090</v>
      </c>
      <c r="F449" t="s">
        <v>36</v>
      </c>
      <c r="G449">
        <v>3.02</v>
      </c>
      <c r="H449">
        <v>10</v>
      </c>
      <c r="I449">
        <v>1.35</v>
      </c>
      <c r="J449">
        <v>1.93</v>
      </c>
      <c r="K449">
        <v>2667</v>
      </c>
      <c r="L449">
        <v>58</v>
      </c>
      <c r="M449">
        <v>2.0499999999999998</v>
      </c>
      <c r="N449">
        <v>78</v>
      </c>
      <c r="O449">
        <v>2.15</v>
      </c>
      <c r="P449">
        <v>0</v>
      </c>
      <c r="Q449">
        <v>0</v>
      </c>
      <c r="R449">
        <v>0</v>
      </c>
      <c r="S449">
        <v>0</v>
      </c>
      <c r="T449">
        <v>0.1961</v>
      </c>
      <c r="U449">
        <v>-6.59E-2</v>
      </c>
      <c r="V449">
        <v>1.6999999999999999E-3</v>
      </c>
      <c r="W449">
        <v>-2.0949</v>
      </c>
      <c r="X449">
        <v>0.50649999999999995</v>
      </c>
      <c r="Y449">
        <v>-1.29E-2</v>
      </c>
      <c r="Z449">
        <v>9</v>
      </c>
      <c r="AA449">
        <v>1.9</v>
      </c>
      <c r="AB449">
        <v>64</v>
      </c>
      <c r="AC449">
        <v>2.0499999999999998</v>
      </c>
      <c r="AD449">
        <v>0</v>
      </c>
      <c r="AE449">
        <v>0</v>
      </c>
      <c r="AF449">
        <v>3.0838999999999999</v>
      </c>
      <c r="AG449">
        <v>416</v>
      </c>
      <c r="AH449">
        <v>0</v>
      </c>
      <c r="AI449">
        <f t="shared" si="4"/>
        <v>-3.4435261707989051E-3</v>
      </c>
      <c r="AJ449" s="4">
        <v>7235</v>
      </c>
      <c r="AK449">
        <v>35</v>
      </c>
      <c r="AL449">
        <v>-0.9546</v>
      </c>
      <c r="AM449">
        <v>41</v>
      </c>
      <c r="AN449">
        <v>-0.75929999999999997</v>
      </c>
      <c r="AO449">
        <v>48</v>
      </c>
      <c r="AP449">
        <v>-0.67610000000000003</v>
      </c>
      <c r="AQ449">
        <v>54.1</v>
      </c>
      <c r="AR449">
        <v>-0.63819999999999999</v>
      </c>
      <c r="AS449">
        <v>61</v>
      </c>
      <c r="AT449">
        <v>-0.61580000000000001</v>
      </c>
      <c r="AU449">
        <v>69</v>
      </c>
      <c r="AV449">
        <v>-0.58909999999999996</v>
      </c>
      <c r="AW449">
        <v>74.5</v>
      </c>
      <c r="AX449">
        <v>-0.57779999999999998</v>
      </c>
      <c r="AY449">
        <v>78.5</v>
      </c>
      <c r="AZ449">
        <v>-0.57040000000000002</v>
      </c>
      <c r="BA449">
        <v>82.7</v>
      </c>
      <c r="BB449">
        <v>-0.56340000000000001</v>
      </c>
      <c r="BC449">
        <v>84.5</v>
      </c>
      <c r="BD449">
        <v>-0.56369999999999998</v>
      </c>
      <c r="BE449">
        <v>86.6</v>
      </c>
      <c r="BF449">
        <v>-0.56059999999999999</v>
      </c>
      <c r="BG449">
        <v>714.90000000000009</v>
      </c>
      <c r="BH449">
        <v>-7.069</v>
      </c>
    </row>
    <row r="450" spans="1:60" x14ac:dyDescent="0.35">
      <c r="A450" t="s">
        <v>34</v>
      </c>
      <c r="B450" s="1">
        <v>46146.65625</v>
      </c>
      <c r="C450" t="s">
        <v>34</v>
      </c>
      <c r="D450" s="1">
        <v>46147.625</v>
      </c>
      <c r="E450">
        <v>7095</v>
      </c>
      <c r="F450" t="s">
        <v>36</v>
      </c>
      <c r="G450">
        <v>3.26</v>
      </c>
      <c r="H450">
        <v>11.62</v>
      </c>
      <c r="I450">
        <v>1.42</v>
      </c>
      <c r="J450">
        <v>2.2000000000000002</v>
      </c>
      <c r="K450">
        <v>2885</v>
      </c>
      <c r="L450">
        <v>112</v>
      </c>
      <c r="M450">
        <v>2.2999999999999998</v>
      </c>
      <c r="N450">
        <v>59</v>
      </c>
      <c r="O450">
        <v>2.4</v>
      </c>
      <c r="P450">
        <v>0</v>
      </c>
      <c r="Q450">
        <v>0</v>
      </c>
      <c r="R450">
        <v>0</v>
      </c>
      <c r="S450">
        <v>0</v>
      </c>
      <c r="T450">
        <v>0.19409999999999999</v>
      </c>
      <c r="U450">
        <v>-7.2999999999999995E-2</v>
      </c>
      <c r="V450">
        <v>1.9E-3</v>
      </c>
      <c r="W450">
        <v>-2.3443999999999998</v>
      </c>
      <c r="X450">
        <v>0.5474</v>
      </c>
      <c r="Y450">
        <v>-1.43E-2</v>
      </c>
      <c r="Z450">
        <v>26</v>
      </c>
      <c r="AA450">
        <v>2.15</v>
      </c>
      <c r="AB450">
        <v>51</v>
      </c>
      <c r="AC450">
        <v>2.2999999999999998</v>
      </c>
      <c r="AD450">
        <v>0</v>
      </c>
      <c r="AE450">
        <v>0</v>
      </c>
      <c r="AF450">
        <v>3.2968000000000002</v>
      </c>
      <c r="AG450">
        <v>271</v>
      </c>
      <c r="AH450">
        <v>0</v>
      </c>
      <c r="AI450">
        <f t="shared" si="4"/>
        <v>-2.7548209366391463E-3</v>
      </c>
      <c r="AJ450" s="4">
        <v>7240</v>
      </c>
      <c r="AK450">
        <v>40</v>
      </c>
      <c r="AL450">
        <v>-0.9587</v>
      </c>
      <c r="AM450">
        <v>44.7</v>
      </c>
      <c r="AN450">
        <v>-0.79320000000000002</v>
      </c>
      <c r="AO450">
        <v>51.2</v>
      </c>
      <c r="AP450">
        <v>-0.70409999999999995</v>
      </c>
      <c r="AQ450">
        <v>56.9</v>
      </c>
      <c r="AR450">
        <v>-0.66120000000000001</v>
      </c>
      <c r="AS450">
        <v>63.7</v>
      </c>
      <c r="AT450">
        <v>-0.63500000000000001</v>
      </c>
      <c r="AU450">
        <v>71.599999999999994</v>
      </c>
      <c r="AV450">
        <v>-0.60470000000000002</v>
      </c>
      <c r="AW450">
        <v>77</v>
      </c>
      <c r="AX450">
        <v>-0.59189999999999998</v>
      </c>
      <c r="AY450">
        <v>81</v>
      </c>
      <c r="AZ450">
        <v>-0.58350000000000002</v>
      </c>
      <c r="BA450">
        <v>85.1</v>
      </c>
      <c r="BB450">
        <v>-0.57569999999999999</v>
      </c>
      <c r="BC450">
        <v>86.9</v>
      </c>
      <c r="BD450">
        <v>-0.57569999999999999</v>
      </c>
      <c r="BE450">
        <v>89</v>
      </c>
      <c r="BF450">
        <v>-0.57220000000000004</v>
      </c>
      <c r="BG450">
        <v>747.1</v>
      </c>
      <c r="BH450">
        <v>-7.2559000000000005</v>
      </c>
    </row>
    <row r="451" spans="1:60" x14ac:dyDescent="0.35">
      <c r="A451" t="s">
        <v>34</v>
      </c>
      <c r="B451" s="1">
        <v>46146.65625</v>
      </c>
      <c r="C451" t="s">
        <v>34</v>
      </c>
      <c r="D451" s="1">
        <v>46147.625</v>
      </c>
      <c r="E451">
        <v>7100</v>
      </c>
      <c r="F451" t="s">
        <v>36</v>
      </c>
      <c r="G451">
        <v>3.37</v>
      </c>
      <c r="H451">
        <v>12</v>
      </c>
      <c r="I451">
        <v>1.5</v>
      </c>
      <c r="J451">
        <v>2.5</v>
      </c>
      <c r="K451">
        <v>8136</v>
      </c>
      <c r="L451">
        <v>39</v>
      </c>
      <c r="M451">
        <v>2.6</v>
      </c>
      <c r="N451">
        <v>70</v>
      </c>
      <c r="O451">
        <v>2.7</v>
      </c>
      <c r="P451">
        <v>0</v>
      </c>
      <c r="Q451">
        <v>0</v>
      </c>
      <c r="R451">
        <v>0</v>
      </c>
      <c r="S451">
        <v>0</v>
      </c>
      <c r="T451">
        <v>0.1925</v>
      </c>
      <c r="U451">
        <v>-8.1299999999999997E-2</v>
      </c>
      <c r="V451">
        <v>2.0999999999999999E-3</v>
      </c>
      <c r="W451">
        <v>-2.6436000000000002</v>
      </c>
      <c r="X451">
        <v>0.59209999999999996</v>
      </c>
      <c r="Y451">
        <v>-1.6E-2</v>
      </c>
      <c r="Z451">
        <v>5</v>
      </c>
      <c r="AA451">
        <v>2.4500000000000002</v>
      </c>
      <c r="AB451">
        <v>73</v>
      </c>
      <c r="AC451">
        <v>2.6</v>
      </c>
      <c r="AD451">
        <v>0</v>
      </c>
      <c r="AE451">
        <v>0</v>
      </c>
      <c r="AF451">
        <v>3.8256000000000001</v>
      </c>
      <c r="AG451">
        <v>1023</v>
      </c>
      <c r="AH451">
        <v>0</v>
      </c>
      <c r="AI451">
        <f t="shared" si="4"/>
        <v>-2.0661157024793875E-3</v>
      </c>
      <c r="AJ451" s="4">
        <v>7245</v>
      </c>
      <c r="AK451">
        <v>45.4</v>
      </c>
      <c r="AL451">
        <v>-0.9657</v>
      </c>
      <c r="AM451">
        <v>48.6</v>
      </c>
      <c r="AN451">
        <v>-0.82420000000000004</v>
      </c>
      <c r="AO451">
        <v>54.5</v>
      </c>
      <c r="AP451">
        <v>-0.7319</v>
      </c>
      <c r="AQ451">
        <v>59.9</v>
      </c>
      <c r="AR451">
        <v>-0.68379999999999996</v>
      </c>
      <c r="AS451">
        <v>66.5</v>
      </c>
      <c r="AT451">
        <v>-0.65429999999999999</v>
      </c>
      <c r="AU451">
        <v>74.2</v>
      </c>
      <c r="AV451">
        <v>-0.62070000000000003</v>
      </c>
      <c r="AW451">
        <v>79.599999999999994</v>
      </c>
      <c r="AX451">
        <v>-0.60609999999999997</v>
      </c>
      <c r="AY451">
        <v>83.6</v>
      </c>
      <c r="AZ451">
        <v>-0.59670000000000001</v>
      </c>
      <c r="BA451">
        <v>87.6</v>
      </c>
      <c r="BB451">
        <v>-0.58789999999999998</v>
      </c>
      <c r="BC451">
        <v>89.4</v>
      </c>
      <c r="BD451">
        <v>-0.58789999999999998</v>
      </c>
      <c r="BE451">
        <v>91.4</v>
      </c>
      <c r="BF451">
        <v>-0.58389999999999997</v>
      </c>
      <c r="BG451">
        <v>780.69999999999993</v>
      </c>
      <c r="BH451">
        <v>-7.4431000000000003</v>
      </c>
    </row>
    <row r="452" spans="1:60" x14ac:dyDescent="0.35">
      <c r="A452" t="s">
        <v>34</v>
      </c>
      <c r="B452" s="1">
        <v>46146.65625</v>
      </c>
      <c r="C452" t="s">
        <v>34</v>
      </c>
      <c r="D452" s="1">
        <v>46147.625</v>
      </c>
      <c r="E452">
        <v>7105</v>
      </c>
      <c r="F452" t="s">
        <v>36</v>
      </c>
      <c r="G452">
        <v>4.05</v>
      </c>
      <c r="H452">
        <v>12.86</v>
      </c>
      <c r="I452">
        <v>1.61</v>
      </c>
      <c r="J452">
        <v>2.81</v>
      </c>
      <c r="K452">
        <v>3195</v>
      </c>
      <c r="L452">
        <v>36</v>
      </c>
      <c r="M452">
        <v>2.95</v>
      </c>
      <c r="N452">
        <v>128</v>
      </c>
      <c r="O452">
        <v>3.1</v>
      </c>
      <c r="P452">
        <v>0</v>
      </c>
      <c r="Q452">
        <v>0</v>
      </c>
      <c r="R452">
        <v>0</v>
      </c>
      <c r="S452">
        <v>0</v>
      </c>
      <c r="T452">
        <v>0.1903</v>
      </c>
      <c r="U452">
        <v>-8.9700000000000002E-2</v>
      </c>
      <c r="V452">
        <v>2.2000000000000001E-3</v>
      </c>
      <c r="W452">
        <v>-2.9428999999999998</v>
      </c>
      <c r="X452">
        <v>0.63560000000000005</v>
      </c>
      <c r="Y452">
        <v>-1.7600000000000001E-2</v>
      </c>
      <c r="Z452">
        <v>24</v>
      </c>
      <c r="AA452">
        <v>2.75</v>
      </c>
      <c r="AB452">
        <v>28</v>
      </c>
      <c r="AC452">
        <v>2.9</v>
      </c>
      <c r="AD452">
        <v>0</v>
      </c>
      <c r="AE452">
        <v>0</v>
      </c>
      <c r="AF452">
        <v>4.0153999999999996</v>
      </c>
      <c r="AG452">
        <v>397</v>
      </c>
      <c r="AH452">
        <v>0</v>
      </c>
      <c r="AI452">
        <f t="shared" si="4"/>
        <v>-1.3774104683195176E-3</v>
      </c>
      <c r="AJ452" s="4">
        <v>7250</v>
      </c>
      <c r="AK452">
        <v>50.3</v>
      </c>
      <c r="AL452">
        <v>-0.96830000000000005</v>
      </c>
      <c r="AM452">
        <v>52.8</v>
      </c>
      <c r="AN452">
        <v>-0.85389999999999999</v>
      </c>
      <c r="AO452">
        <v>60.3</v>
      </c>
      <c r="AP452">
        <v>-0.74819999999999998</v>
      </c>
      <c r="AQ452">
        <v>63.2</v>
      </c>
      <c r="AR452">
        <v>-0.70709999999999995</v>
      </c>
      <c r="AS452">
        <v>69.400000000000006</v>
      </c>
      <c r="AT452">
        <v>-0.67359999999999998</v>
      </c>
      <c r="AU452">
        <v>77</v>
      </c>
      <c r="AV452">
        <v>-0.63660000000000005</v>
      </c>
      <c r="AW452">
        <v>82.2</v>
      </c>
      <c r="AX452">
        <v>-0.62029999999999996</v>
      </c>
      <c r="AY452">
        <v>86.2</v>
      </c>
      <c r="AZ452">
        <v>-0.61009999999999998</v>
      </c>
      <c r="BA452">
        <v>90.2</v>
      </c>
      <c r="BB452">
        <v>-0.60029999999999994</v>
      </c>
      <c r="BC452">
        <v>91.9</v>
      </c>
      <c r="BD452">
        <v>-0.60019999999999996</v>
      </c>
      <c r="BE452">
        <v>93.9</v>
      </c>
      <c r="BF452">
        <v>-0.59560000000000002</v>
      </c>
      <c r="BG452">
        <v>817.4</v>
      </c>
      <c r="BH452">
        <v>-7.6142000000000003</v>
      </c>
    </row>
    <row r="453" spans="1:60" x14ac:dyDescent="0.35">
      <c r="A453" t="s">
        <v>34</v>
      </c>
      <c r="B453" s="1">
        <v>46146.65625</v>
      </c>
      <c r="C453" t="s">
        <v>34</v>
      </c>
      <c r="D453" s="1">
        <v>46147.625</v>
      </c>
      <c r="E453">
        <v>7110</v>
      </c>
      <c r="F453" t="s">
        <v>36</v>
      </c>
      <c r="G453">
        <v>4</v>
      </c>
      <c r="H453">
        <v>14.25</v>
      </c>
      <c r="I453">
        <v>1.77</v>
      </c>
      <c r="J453">
        <v>3.1</v>
      </c>
      <c r="K453">
        <v>4350</v>
      </c>
      <c r="L453">
        <v>54</v>
      </c>
      <c r="M453">
        <v>3.3</v>
      </c>
      <c r="N453">
        <v>64</v>
      </c>
      <c r="O453">
        <v>3.4</v>
      </c>
      <c r="P453">
        <v>0</v>
      </c>
      <c r="Q453">
        <v>0</v>
      </c>
      <c r="R453">
        <v>0</v>
      </c>
      <c r="S453">
        <v>0</v>
      </c>
      <c r="T453">
        <v>0.1883</v>
      </c>
      <c r="U453">
        <v>-9.9299999999999999E-2</v>
      </c>
      <c r="V453">
        <v>2.3999999999999998E-3</v>
      </c>
      <c r="W453">
        <v>-3.2919999999999998</v>
      </c>
      <c r="X453">
        <v>0.68340000000000001</v>
      </c>
      <c r="Y453">
        <v>-1.95E-2</v>
      </c>
      <c r="Z453">
        <v>23</v>
      </c>
      <c r="AA453">
        <v>3.1</v>
      </c>
      <c r="AB453">
        <v>73</v>
      </c>
      <c r="AC453">
        <v>3.3</v>
      </c>
      <c r="AD453">
        <v>0</v>
      </c>
      <c r="AE453">
        <v>0</v>
      </c>
      <c r="AF453">
        <v>4.6936999999999998</v>
      </c>
      <c r="AG453">
        <v>433</v>
      </c>
      <c r="AH453">
        <v>0</v>
      </c>
      <c r="AI453">
        <f t="shared" si="4"/>
        <v>-6.8870523415975882E-4</v>
      </c>
      <c r="AJ453" s="4">
        <v>7255</v>
      </c>
      <c r="AK453">
        <v>55.4</v>
      </c>
      <c r="AL453">
        <v>-0.9738</v>
      </c>
      <c r="AM453">
        <v>57.1</v>
      </c>
      <c r="AN453">
        <v>-0.87839999999999996</v>
      </c>
      <c r="AO453">
        <v>64.2</v>
      </c>
      <c r="AP453">
        <v>-0.78149999999999997</v>
      </c>
      <c r="AQ453">
        <v>66.400000000000006</v>
      </c>
      <c r="AR453">
        <v>-0.72940000000000005</v>
      </c>
      <c r="AS453">
        <v>72.400000000000006</v>
      </c>
      <c r="AT453">
        <v>-0.69350000000000001</v>
      </c>
      <c r="AU453">
        <v>79.8</v>
      </c>
      <c r="AV453">
        <v>-0.65239999999999998</v>
      </c>
      <c r="AW453">
        <v>85</v>
      </c>
      <c r="AX453">
        <v>-0.63470000000000004</v>
      </c>
      <c r="AY453">
        <v>88.8</v>
      </c>
      <c r="AZ453">
        <v>-0.62339999999999995</v>
      </c>
      <c r="BA453">
        <v>92.8</v>
      </c>
      <c r="BB453">
        <v>-0.61280000000000001</v>
      </c>
      <c r="BC453">
        <v>94.5</v>
      </c>
      <c r="BD453">
        <v>-0.61250000000000004</v>
      </c>
      <c r="BE453">
        <v>96.6</v>
      </c>
      <c r="BF453">
        <v>-0.60740000000000005</v>
      </c>
      <c r="BG453">
        <v>853</v>
      </c>
      <c r="BH453">
        <v>-7.7998000000000003</v>
      </c>
    </row>
    <row r="454" spans="1:60" x14ac:dyDescent="0.35">
      <c r="A454" t="s">
        <v>34</v>
      </c>
      <c r="B454" s="1">
        <v>46146.65625</v>
      </c>
      <c r="C454" t="s">
        <v>34</v>
      </c>
      <c r="D454" s="1">
        <v>46147.625</v>
      </c>
      <c r="E454">
        <v>7115</v>
      </c>
      <c r="F454" t="s">
        <v>36</v>
      </c>
      <c r="G454">
        <v>4.5</v>
      </c>
      <c r="H454">
        <v>14.2</v>
      </c>
      <c r="I454">
        <v>1.9</v>
      </c>
      <c r="J454">
        <v>3.5</v>
      </c>
      <c r="K454">
        <v>1966</v>
      </c>
      <c r="L454">
        <v>58</v>
      </c>
      <c r="M454">
        <v>3.7</v>
      </c>
      <c r="N454">
        <v>116</v>
      </c>
      <c r="O454">
        <v>3.9</v>
      </c>
      <c r="P454">
        <v>0</v>
      </c>
      <c r="Q454">
        <v>0</v>
      </c>
      <c r="R454">
        <v>0</v>
      </c>
      <c r="S454">
        <v>0</v>
      </c>
      <c r="T454">
        <v>0.18720000000000001</v>
      </c>
      <c r="U454">
        <v>-0.1108</v>
      </c>
      <c r="V454">
        <v>2.7000000000000001E-3</v>
      </c>
      <c r="W454">
        <v>-3.7410999999999999</v>
      </c>
      <c r="X454">
        <v>0.73799999999999999</v>
      </c>
      <c r="Y454">
        <v>-2.18E-2</v>
      </c>
      <c r="Z454">
        <v>16</v>
      </c>
      <c r="AA454">
        <v>3.5</v>
      </c>
      <c r="AB454">
        <v>64</v>
      </c>
      <c r="AC454">
        <v>3.7</v>
      </c>
      <c r="AD454">
        <v>0</v>
      </c>
      <c r="AE454">
        <v>0</v>
      </c>
      <c r="AF454">
        <v>4.5091999999999999</v>
      </c>
      <c r="AG454">
        <v>223</v>
      </c>
      <c r="AH454">
        <v>0</v>
      </c>
      <c r="AI454">
        <f>AJ454/AJ$454-1</f>
        <v>0</v>
      </c>
      <c r="AJ454" s="4">
        <v>7260</v>
      </c>
      <c r="AK454">
        <v>60.2</v>
      </c>
      <c r="AL454">
        <v>-0.97219999999999995</v>
      </c>
      <c r="AM454">
        <v>61.5</v>
      </c>
      <c r="AN454">
        <v>-0.89780000000000004</v>
      </c>
      <c r="AO454">
        <v>68</v>
      </c>
      <c r="AP454">
        <v>-0.79410000000000003</v>
      </c>
      <c r="AQ454">
        <v>69.8</v>
      </c>
      <c r="AR454">
        <v>-0.75119999999999998</v>
      </c>
      <c r="AS454">
        <v>75.7</v>
      </c>
      <c r="AT454">
        <v>-0.71230000000000004</v>
      </c>
      <c r="AU454">
        <v>82.7</v>
      </c>
      <c r="AV454">
        <v>-0.66839999999999999</v>
      </c>
      <c r="AW454">
        <v>87.8</v>
      </c>
      <c r="AX454">
        <v>-0.64910000000000001</v>
      </c>
      <c r="AY454">
        <v>91.6</v>
      </c>
      <c r="AZ454">
        <v>-0.63670000000000004</v>
      </c>
      <c r="BA454">
        <v>95.6</v>
      </c>
      <c r="BB454">
        <v>-0.62529999999999997</v>
      </c>
      <c r="BC454">
        <v>97.3</v>
      </c>
      <c r="BD454">
        <v>-0.62490000000000001</v>
      </c>
      <c r="BE454">
        <v>99.2</v>
      </c>
      <c r="BF454">
        <v>-0.61939999999999995</v>
      </c>
      <c r="BG454">
        <v>889.4</v>
      </c>
      <c r="BH454">
        <v>-7.9514000000000005</v>
      </c>
    </row>
    <row r="455" spans="1:60" x14ac:dyDescent="0.35">
      <c r="A455" t="s">
        <v>34</v>
      </c>
      <c r="B455" s="1">
        <v>46146.65625</v>
      </c>
      <c r="C455" t="s">
        <v>34</v>
      </c>
      <c r="D455" s="1">
        <v>46147.625</v>
      </c>
      <c r="E455">
        <v>7120</v>
      </c>
      <c r="F455" t="s">
        <v>36</v>
      </c>
      <c r="G455">
        <v>4.72</v>
      </c>
      <c r="H455">
        <v>15.52</v>
      </c>
      <c r="I455">
        <v>2.04</v>
      </c>
      <c r="J455">
        <v>3.9</v>
      </c>
      <c r="K455">
        <v>11468</v>
      </c>
      <c r="L455">
        <v>111</v>
      </c>
      <c r="M455">
        <v>4.0999999999999996</v>
      </c>
      <c r="N455">
        <v>78</v>
      </c>
      <c r="O455">
        <v>4.3</v>
      </c>
      <c r="P455">
        <v>0</v>
      </c>
      <c r="Q455">
        <v>0</v>
      </c>
      <c r="R455">
        <v>0</v>
      </c>
      <c r="S455">
        <v>0</v>
      </c>
      <c r="T455">
        <v>0.18540000000000001</v>
      </c>
      <c r="U455">
        <v>-0.1225</v>
      </c>
      <c r="V455">
        <v>2.8999999999999998E-3</v>
      </c>
      <c r="W455">
        <v>-4.1898999999999997</v>
      </c>
      <c r="X455">
        <v>0.78969999999999996</v>
      </c>
      <c r="Y455">
        <v>-2.41E-2</v>
      </c>
      <c r="Z455">
        <v>48</v>
      </c>
      <c r="AA455">
        <v>3.9</v>
      </c>
      <c r="AB455">
        <v>32</v>
      </c>
      <c r="AC455">
        <v>4.0999999999999996</v>
      </c>
      <c r="AD455">
        <v>0</v>
      </c>
      <c r="AE455">
        <v>0</v>
      </c>
      <c r="AF455">
        <v>4.7973999999999997</v>
      </c>
      <c r="AG455">
        <v>370</v>
      </c>
      <c r="AH455">
        <v>0</v>
      </c>
      <c r="AJ455" s="4">
        <v>7265</v>
      </c>
      <c r="AK455">
        <v>65.2</v>
      </c>
      <c r="AL455">
        <v>-0.97089999999999999</v>
      </c>
      <c r="AM455">
        <v>66.099999999999994</v>
      </c>
      <c r="AN455">
        <v>-0.91879999999999995</v>
      </c>
      <c r="AO455">
        <v>72</v>
      </c>
      <c r="AP455">
        <v>-0.81620000000000004</v>
      </c>
      <c r="AQ455">
        <v>76.3</v>
      </c>
      <c r="AR455">
        <v>-0.76160000000000005</v>
      </c>
      <c r="AS455">
        <v>79</v>
      </c>
      <c r="AT455">
        <v>-0.73219999999999996</v>
      </c>
      <c r="AU455">
        <v>85.7</v>
      </c>
      <c r="AV455">
        <v>-0.68440000000000001</v>
      </c>
      <c r="AW455">
        <v>90.8</v>
      </c>
      <c r="AX455">
        <v>-0.66339999999999999</v>
      </c>
      <c r="AY455">
        <v>94.4</v>
      </c>
      <c r="AZ455">
        <v>-0.65049999999999997</v>
      </c>
      <c r="BA455">
        <v>98.2</v>
      </c>
      <c r="BB455">
        <v>-0.63780000000000003</v>
      </c>
      <c r="BC455">
        <v>99.9</v>
      </c>
      <c r="BD455">
        <v>-0.63729999999999998</v>
      </c>
      <c r="BE455">
        <v>102</v>
      </c>
      <c r="BF455">
        <v>-0.63119999999999998</v>
      </c>
      <c r="BG455">
        <v>929.6</v>
      </c>
      <c r="BH455">
        <v>-8.1043000000000003</v>
      </c>
    </row>
    <row r="456" spans="1:60" x14ac:dyDescent="0.35">
      <c r="A456" t="s">
        <v>34</v>
      </c>
      <c r="B456" s="1">
        <v>46146.65625</v>
      </c>
      <c r="C456" t="s">
        <v>34</v>
      </c>
      <c r="D456" s="1">
        <v>46147.625</v>
      </c>
      <c r="E456">
        <v>7125</v>
      </c>
      <c r="F456" t="s">
        <v>36</v>
      </c>
      <c r="G456">
        <v>5.21</v>
      </c>
      <c r="H456">
        <v>17.86</v>
      </c>
      <c r="I456">
        <v>2.19</v>
      </c>
      <c r="J456">
        <v>4.5</v>
      </c>
      <c r="K456">
        <v>11986</v>
      </c>
      <c r="L456">
        <v>90</v>
      </c>
      <c r="M456">
        <v>4.5999999999999996</v>
      </c>
      <c r="N456">
        <v>71</v>
      </c>
      <c r="O456">
        <v>4.8</v>
      </c>
      <c r="P456">
        <v>0</v>
      </c>
      <c r="Q456">
        <v>0</v>
      </c>
      <c r="R456">
        <v>0</v>
      </c>
      <c r="S456">
        <v>0</v>
      </c>
      <c r="T456">
        <v>0.18340000000000001</v>
      </c>
      <c r="U456">
        <v>-0.13519999999999999</v>
      </c>
      <c r="V456">
        <v>3.0999999999999999E-3</v>
      </c>
      <c r="W456">
        <v>-4.6889000000000003</v>
      </c>
      <c r="X456">
        <v>0.84430000000000005</v>
      </c>
      <c r="Y456">
        <v>-2.6700000000000002E-2</v>
      </c>
      <c r="Z456">
        <v>19</v>
      </c>
      <c r="AA456">
        <v>4.4000000000000004</v>
      </c>
      <c r="AB456">
        <v>46</v>
      </c>
      <c r="AC456">
        <v>4.5999999999999996</v>
      </c>
      <c r="AD456">
        <v>0</v>
      </c>
      <c r="AE456">
        <v>0</v>
      </c>
      <c r="AF456">
        <v>5.0941000000000001</v>
      </c>
      <c r="AG456">
        <v>782</v>
      </c>
      <c r="AH456">
        <v>0</v>
      </c>
      <c r="AJ456" s="4">
        <v>7270</v>
      </c>
      <c r="AK456">
        <v>70.3</v>
      </c>
      <c r="AL456">
        <v>-0.9698</v>
      </c>
      <c r="AM456">
        <v>70.8</v>
      </c>
      <c r="AN456">
        <v>-0.93210000000000004</v>
      </c>
      <c r="AO456">
        <v>75.900000000000006</v>
      </c>
      <c r="AP456">
        <v>-0.85160000000000002</v>
      </c>
      <c r="AQ456">
        <v>80</v>
      </c>
      <c r="AR456">
        <v>-0.78220000000000001</v>
      </c>
      <c r="AS456">
        <v>82.2</v>
      </c>
      <c r="AT456">
        <v>-0.75180000000000002</v>
      </c>
      <c r="AU456">
        <v>89.1</v>
      </c>
      <c r="AV456">
        <v>-0.7006</v>
      </c>
      <c r="AW456">
        <v>93.8</v>
      </c>
      <c r="AX456">
        <v>-0.67779999999999996</v>
      </c>
      <c r="AY456">
        <v>97.2</v>
      </c>
      <c r="AZ456">
        <v>-0.66379999999999995</v>
      </c>
      <c r="BA456">
        <v>101.2</v>
      </c>
      <c r="BB456">
        <v>-0.6502</v>
      </c>
      <c r="BC456">
        <v>102.6</v>
      </c>
      <c r="BD456">
        <v>-0.64990000000000003</v>
      </c>
      <c r="BE456">
        <v>104.8</v>
      </c>
      <c r="BF456">
        <v>-0.64319999999999999</v>
      </c>
      <c r="BG456">
        <v>967.9</v>
      </c>
      <c r="BH456">
        <v>-8.2729999999999979</v>
      </c>
    </row>
    <row r="457" spans="1:60" x14ac:dyDescent="0.35">
      <c r="A457" t="s">
        <v>34</v>
      </c>
      <c r="B457" s="1">
        <v>46146.65625</v>
      </c>
      <c r="C457" t="s">
        <v>34</v>
      </c>
      <c r="D457" s="1">
        <v>46147.625</v>
      </c>
      <c r="E457">
        <v>7130</v>
      </c>
      <c r="F457" t="s">
        <v>36</v>
      </c>
      <c r="G457">
        <v>5.47</v>
      </c>
      <c r="H457">
        <v>15.9</v>
      </c>
      <c r="I457">
        <v>2.37</v>
      </c>
      <c r="J457">
        <v>5</v>
      </c>
      <c r="K457">
        <v>3438</v>
      </c>
      <c r="L457">
        <v>48</v>
      </c>
      <c r="M457">
        <v>5.2</v>
      </c>
      <c r="N457">
        <v>98</v>
      </c>
      <c r="O457">
        <v>5.4</v>
      </c>
      <c r="P457">
        <v>0</v>
      </c>
      <c r="Q457">
        <v>0</v>
      </c>
      <c r="R457">
        <v>0</v>
      </c>
      <c r="S457">
        <v>0</v>
      </c>
      <c r="T457">
        <v>0.18099999999999999</v>
      </c>
      <c r="U457">
        <v>-0.1482</v>
      </c>
      <c r="V457">
        <v>3.3999999999999998E-3</v>
      </c>
      <c r="W457">
        <v>-5.1874000000000002</v>
      </c>
      <c r="X457">
        <v>0.89680000000000004</v>
      </c>
      <c r="Y457">
        <v>-2.93E-2</v>
      </c>
      <c r="Z457">
        <v>44</v>
      </c>
      <c r="AA457">
        <v>4.9000000000000004</v>
      </c>
      <c r="AB457">
        <v>13</v>
      </c>
      <c r="AC457">
        <v>5.0999999999999996</v>
      </c>
      <c r="AD457">
        <v>0</v>
      </c>
      <c r="AE457">
        <v>0</v>
      </c>
      <c r="AF457">
        <v>5.8063000000000002</v>
      </c>
      <c r="AG457">
        <v>332</v>
      </c>
      <c r="AH457">
        <v>0</v>
      </c>
      <c r="AJ457" s="4">
        <v>7275</v>
      </c>
      <c r="AK457">
        <v>75.3</v>
      </c>
      <c r="AL457">
        <v>-0.9738</v>
      </c>
      <c r="AM457">
        <v>75.5</v>
      </c>
      <c r="AN457">
        <v>-0.94169999999999998</v>
      </c>
      <c r="AO457">
        <v>80</v>
      </c>
      <c r="AP457">
        <v>-0.872</v>
      </c>
      <c r="AQ457">
        <v>83.6</v>
      </c>
      <c r="AR457">
        <v>-0.81299999999999994</v>
      </c>
      <c r="AS457">
        <v>85.7</v>
      </c>
      <c r="AT457">
        <v>-0.77010000000000001</v>
      </c>
      <c r="AU457">
        <v>92.3</v>
      </c>
      <c r="AV457">
        <v>-0.71660000000000001</v>
      </c>
      <c r="AW457">
        <v>96.8</v>
      </c>
      <c r="AX457">
        <v>-0.69240000000000002</v>
      </c>
      <c r="AY457">
        <v>100.2</v>
      </c>
      <c r="AZ457">
        <v>-0.67749999999999999</v>
      </c>
      <c r="BA457">
        <v>104</v>
      </c>
      <c r="BB457">
        <v>-0.66310000000000002</v>
      </c>
      <c r="BC457">
        <v>105.9</v>
      </c>
      <c r="BD457">
        <v>-0.66200000000000003</v>
      </c>
      <c r="BE457">
        <v>107.6</v>
      </c>
      <c r="BF457">
        <v>-0.6552</v>
      </c>
      <c r="BG457">
        <v>1006.9</v>
      </c>
      <c r="BH457">
        <v>-8.4374000000000002</v>
      </c>
    </row>
    <row r="458" spans="1:60" x14ac:dyDescent="0.35">
      <c r="A458" t="s">
        <v>34</v>
      </c>
      <c r="B458" s="1">
        <v>46146.65625</v>
      </c>
      <c r="C458" t="s">
        <v>34</v>
      </c>
      <c r="D458" s="1">
        <v>46147.625</v>
      </c>
      <c r="E458">
        <v>7135</v>
      </c>
      <c r="F458" t="s">
        <v>36</v>
      </c>
      <c r="G458">
        <v>5.9</v>
      </c>
      <c r="H458">
        <v>16.899999999999999</v>
      </c>
      <c r="I458">
        <v>2.59</v>
      </c>
      <c r="J458">
        <v>5.59</v>
      </c>
      <c r="K458">
        <v>3119</v>
      </c>
      <c r="L458">
        <v>43</v>
      </c>
      <c r="M458">
        <v>5.8</v>
      </c>
      <c r="N458">
        <v>96</v>
      </c>
      <c r="O458">
        <v>6</v>
      </c>
      <c r="P458">
        <v>0</v>
      </c>
      <c r="Q458">
        <v>0</v>
      </c>
      <c r="R458">
        <v>0</v>
      </c>
      <c r="S458">
        <v>0</v>
      </c>
      <c r="T458">
        <v>0.1789</v>
      </c>
      <c r="U458">
        <v>-0.16320000000000001</v>
      </c>
      <c r="V458">
        <v>3.5999999999999999E-3</v>
      </c>
      <c r="W458">
        <v>-5.7862999999999998</v>
      </c>
      <c r="X458">
        <v>0.95250000000000001</v>
      </c>
      <c r="Y458">
        <v>-3.2199999999999999E-2</v>
      </c>
      <c r="Z458">
        <v>28</v>
      </c>
      <c r="AA458">
        <v>5.5</v>
      </c>
      <c r="AB458">
        <v>13</v>
      </c>
      <c r="AC458">
        <v>5.7</v>
      </c>
      <c r="AD458">
        <v>0</v>
      </c>
      <c r="AE458">
        <v>0</v>
      </c>
      <c r="AF458">
        <v>6.4808000000000003</v>
      </c>
      <c r="AG458">
        <v>623</v>
      </c>
      <c r="AH458">
        <v>0</v>
      </c>
      <c r="AJ458" s="4">
        <v>7280</v>
      </c>
      <c r="AK458">
        <v>80.3</v>
      </c>
      <c r="AL458">
        <v>-0.97260000000000002</v>
      </c>
      <c r="AM458">
        <v>80.3</v>
      </c>
      <c r="AN458">
        <v>-0.95489999999999997</v>
      </c>
      <c r="AO458">
        <v>84.6</v>
      </c>
      <c r="AP458">
        <v>-0.88790000000000002</v>
      </c>
      <c r="AQ458">
        <v>87.5</v>
      </c>
      <c r="AR458">
        <v>-0.82069999999999999</v>
      </c>
      <c r="AS458">
        <v>89.4</v>
      </c>
      <c r="AT458">
        <v>-0.78969999999999996</v>
      </c>
      <c r="AU458">
        <v>95.6</v>
      </c>
      <c r="AV458">
        <v>-0.7319</v>
      </c>
      <c r="AW458">
        <v>101.5</v>
      </c>
      <c r="AX458">
        <v>-0.70640000000000003</v>
      </c>
      <c r="AY458">
        <v>103.4</v>
      </c>
      <c r="AZ458">
        <v>-0.69069999999999998</v>
      </c>
      <c r="BA458">
        <v>107</v>
      </c>
      <c r="BB458">
        <v>-0.67549999999999999</v>
      </c>
      <c r="BC458">
        <v>108.6</v>
      </c>
      <c r="BD458">
        <v>-0.67479999999999996</v>
      </c>
      <c r="BE458">
        <v>110.4</v>
      </c>
      <c r="BF458">
        <v>-0.66759999999999997</v>
      </c>
      <c r="BG458">
        <v>1048.6000000000001</v>
      </c>
      <c r="BH458">
        <v>-8.5726999999999993</v>
      </c>
    </row>
    <row r="459" spans="1:60" x14ac:dyDescent="0.35">
      <c r="A459" t="s">
        <v>34</v>
      </c>
      <c r="B459" s="1">
        <v>46146.65625</v>
      </c>
      <c r="C459" t="s">
        <v>34</v>
      </c>
      <c r="D459" s="1">
        <v>46147.625</v>
      </c>
      <c r="E459">
        <v>7140</v>
      </c>
      <c r="F459" t="s">
        <v>36</v>
      </c>
      <c r="G459">
        <v>6.44</v>
      </c>
      <c r="H459">
        <v>18.64</v>
      </c>
      <c r="I459">
        <v>2.75</v>
      </c>
      <c r="J459">
        <v>6.17</v>
      </c>
      <c r="K459">
        <v>2656</v>
      </c>
      <c r="L459">
        <v>57</v>
      </c>
      <c r="M459">
        <v>6.4</v>
      </c>
      <c r="N459">
        <v>46</v>
      </c>
      <c r="O459">
        <v>6.6</v>
      </c>
      <c r="P459">
        <v>0</v>
      </c>
      <c r="Q459">
        <v>0</v>
      </c>
      <c r="R459">
        <v>0</v>
      </c>
      <c r="S459">
        <v>0</v>
      </c>
      <c r="T459">
        <v>0.1772</v>
      </c>
      <c r="U459">
        <v>-0.17979999999999999</v>
      </c>
      <c r="V459">
        <v>3.8999999999999998E-3</v>
      </c>
      <c r="W459">
        <v>-6.4843999999999999</v>
      </c>
      <c r="X459">
        <v>1.0115000000000001</v>
      </c>
      <c r="Y459">
        <v>-3.56E-2</v>
      </c>
      <c r="Z459">
        <v>46</v>
      </c>
      <c r="AA459">
        <v>6.1</v>
      </c>
      <c r="AB459">
        <v>12</v>
      </c>
      <c r="AC459">
        <v>6.3</v>
      </c>
      <c r="AD459">
        <v>0</v>
      </c>
      <c r="AE459">
        <v>0</v>
      </c>
      <c r="AF459">
        <v>7.8365999999999998</v>
      </c>
      <c r="AG459">
        <v>568</v>
      </c>
      <c r="AH459">
        <v>0</v>
      </c>
      <c r="AJ459" s="4">
        <v>7285</v>
      </c>
      <c r="AK459">
        <v>85.3</v>
      </c>
      <c r="AL459">
        <v>-0.97850000000000004</v>
      </c>
      <c r="AM459">
        <v>85.5</v>
      </c>
      <c r="AN459">
        <v>-0.96120000000000005</v>
      </c>
      <c r="AO459">
        <v>88.9</v>
      </c>
      <c r="AP459">
        <v>-0.90039999999999998</v>
      </c>
      <c r="AQ459">
        <v>91.4</v>
      </c>
      <c r="AR459">
        <v>-0.83840000000000003</v>
      </c>
      <c r="AS459">
        <v>93.1</v>
      </c>
      <c r="AT459">
        <v>-0.80789999999999995</v>
      </c>
      <c r="AU459">
        <v>100.2</v>
      </c>
      <c r="AV459">
        <v>-0.74750000000000005</v>
      </c>
      <c r="AW459">
        <v>104.7</v>
      </c>
      <c r="AX459">
        <v>-0.72089999999999999</v>
      </c>
      <c r="AY459">
        <v>108</v>
      </c>
      <c r="AZ459">
        <v>-0.70340000000000003</v>
      </c>
      <c r="BA459">
        <v>110</v>
      </c>
      <c r="BB459">
        <v>-0.68820000000000003</v>
      </c>
      <c r="BC459">
        <v>111.6</v>
      </c>
      <c r="BD459">
        <v>-0.68720000000000003</v>
      </c>
      <c r="BE459">
        <v>113.4</v>
      </c>
      <c r="BF459">
        <v>-0.67959999999999998</v>
      </c>
      <c r="BG459">
        <v>1092.1000000000001</v>
      </c>
      <c r="BH459">
        <v>-8.7132000000000023</v>
      </c>
    </row>
    <row r="460" spans="1:60" x14ac:dyDescent="0.35">
      <c r="A460" t="s">
        <v>34</v>
      </c>
      <c r="B460" s="1">
        <v>46146.65625</v>
      </c>
      <c r="C460" t="s">
        <v>34</v>
      </c>
      <c r="D460" s="1">
        <v>46147.625</v>
      </c>
      <c r="E460">
        <v>7145</v>
      </c>
      <c r="F460" t="s">
        <v>36</v>
      </c>
      <c r="G460">
        <v>7.1</v>
      </c>
      <c r="H460">
        <v>22.08</v>
      </c>
      <c r="I460">
        <v>2.99</v>
      </c>
      <c r="J460">
        <v>6.84</v>
      </c>
      <c r="K460">
        <v>3474</v>
      </c>
      <c r="L460">
        <v>65</v>
      </c>
      <c r="M460">
        <v>7.1</v>
      </c>
      <c r="N460">
        <v>20</v>
      </c>
      <c r="O460">
        <v>7.3</v>
      </c>
      <c r="P460">
        <v>0</v>
      </c>
      <c r="Q460">
        <v>0</v>
      </c>
      <c r="R460">
        <v>0</v>
      </c>
      <c r="S460">
        <v>0</v>
      </c>
      <c r="T460">
        <v>0.17480000000000001</v>
      </c>
      <c r="U460">
        <v>-0.1968</v>
      </c>
      <c r="V460">
        <v>4.1999999999999997E-3</v>
      </c>
      <c r="W460">
        <v>-7.1829000000000001</v>
      </c>
      <c r="X460">
        <v>1.0674999999999999</v>
      </c>
      <c r="Y460">
        <v>-3.9E-2</v>
      </c>
      <c r="Z460">
        <v>48</v>
      </c>
      <c r="AA460">
        <v>6.8</v>
      </c>
      <c r="AB460">
        <v>43</v>
      </c>
      <c r="AC460">
        <v>7.1</v>
      </c>
      <c r="AD460">
        <v>0</v>
      </c>
      <c r="AE460">
        <v>0</v>
      </c>
      <c r="AF460">
        <v>8.4733999999999998</v>
      </c>
      <c r="AG460">
        <v>325</v>
      </c>
      <c r="AH460">
        <v>0</v>
      </c>
      <c r="AJ460" s="4">
        <v>7290</v>
      </c>
      <c r="AK460">
        <v>90.3</v>
      </c>
      <c r="AL460">
        <v>-0.9819</v>
      </c>
      <c r="AM460">
        <v>90.2</v>
      </c>
      <c r="AN460">
        <v>-0.9698</v>
      </c>
      <c r="AO460">
        <v>93.6</v>
      </c>
      <c r="AP460">
        <v>-0.91769999999999996</v>
      </c>
      <c r="AQ460">
        <v>95.4</v>
      </c>
      <c r="AR460">
        <v>-0.85619999999999996</v>
      </c>
      <c r="AS460">
        <v>97</v>
      </c>
      <c r="AT460">
        <v>-0.82499999999999996</v>
      </c>
      <c r="AU460">
        <v>103.5</v>
      </c>
      <c r="AV460">
        <v>-0.76400000000000001</v>
      </c>
      <c r="AW460">
        <v>107.8</v>
      </c>
      <c r="AX460">
        <v>-0.73499999999999999</v>
      </c>
      <c r="AY460">
        <v>111.3</v>
      </c>
      <c r="AZ460">
        <v>-0.71689999999999998</v>
      </c>
      <c r="BA460">
        <v>114.6</v>
      </c>
      <c r="BB460">
        <v>-0.70050000000000001</v>
      </c>
      <c r="BC460">
        <v>114.9</v>
      </c>
      <c r="BD460">
        <v>-0.69969999999999999</v>
      </c>
      <c r="BE460">
        <v>116.4</v>
      </c>
      <c r="BF460">
        <v>-0.69169999999999998</v>
      </c>
      <c r="BG460">
        <v>1135</v>
      </c>
      <c r="BH460">
        <v>-8.8583999999999996</v>
      </c>
    </row>
    <row r="461" spans="1:60" x14ac:dyDescent="0.35">
      <c r="A461" t="s">
        <v>34</v>
      </c>
      <c r="B461" s="1">
        <v>46146.65625</v>
      </c>
      <c r="C461" t="s">
        <v>34</v>
      </c>
      <c r="D461" s="1">
        <v>46147.625</v>
      </c>
      <c r="E461">
        <v>7150</v>
      </c>
      <c r="F461" t="s">
        <v>36</v>
      </c>
      <c r="G461">
        <v>7.76</v>
      </c>
      <c r="H461">
        <v>22.58</v>
      </c>
      <c r="I461">
        <v>3.2</v>
      </c>
      <c r="J461">
        <v>7.6</v>
      </c>
      <c r="K461">
        <v>8525</v>
      </c>
      <c r="L461">
        <v>70</v>
      </c>
      <c r="M461">
        <v>7.9</v>
      </c>
      <c r="N461">
        <v>34</v>
      </c>
      <c r="O461">
        <v>8.1</v>
      </c>
      <c r="P461">
        <v>0</v>
      </c>
      <c r="Q461">
        <v>0</v>
      </c>
      <c r="R461">
        <v>0</v>
      </c>
      <c r="S461">
        <v>0</v>
      </c>
      <c r="T461">
        <v>0.1721</v>
      </c>
      <c r="U461">
        <v>-0.215</v>
      </c>
      <c r="V461">
        <v>4.4999999999999997E-3</v>
      </c>
      <c r="W461">
        <v>-7.9311999999999996</v>
      </c>
      <c r="X461">
        <v>1.1220000000000001</v>
      </c>
      <c r="Y461">
        <v>-4.2599999999999999E-2</v>
      </c>
      <c r="Z461">
        <v>36</v>
      </c>
      <c r="AA461">
        <v>7.6</v>
      </c>
      <c r="AB461">
        <v>42</v>
      </c>
      <c r="AC461">
        <v>7.9</v>
      </c>
      <c r="AD461">
        <v>0</v>
      </c>
      <c r="AE461">
        <v>0</v>
      </c>
      <c r="AF461">
        <v>9.2484000000000002</v>
      </c>
      <c r="AG461">
        <v>1003</v>
      </c>
      <c r="AH461">
        <v>0</v>
      </c>
      <c r="AJ461" s="4">
        <v>7295</v>
      </c>
      <c r="AK461">
        <v>95.3</v>
      </c>
      <c r="AL461">
        <v>-0.98029999999999995</v>
      </c>
      <c r="AM461">
        <v>95.4</v>
      </c>
      <c r="AN461">
        <v>-0.96819999999999995</v>
      </c>
      <c r="AO461">
        <v>98.1</v>
      </c>
      <c r="AP461">
        <v>-0.93220000000000003</v>
      </c>
      <c r="AQ461">
        <v>99.6</v>
      </c>
      <c r="AR461">
        <v>-0.872</v>
      </c>
      <c r="AS461">
        <v>103.3</v>
      </c>
      <c r="AT461">
        <v>-0.83740000000000003</v>
      </c>
      <c r="AU461">
        <v>107.1</v>
      </c>
      <c r="AV461">
        <v>-0.77580000000000005</v>
      </c>
      <c r="AW461">
        <v>111.3</v>
      </c>
      <c r="AX461">
        <v>-0.74880000000000002</v>
      </c>
      <c r="AY461">
        <v>114.7</v>
      </c>
      <c r="AZ461">
        <v>-0.72989999999999999</v>
      </c>
      <c r="BA461">
        <v>117.9</v>
      </c>
      <c r="BB461">
        <v>-0.71250000000000002</v>
      </c>
      <c r="BC461">
        <v>118.1</v>
      </c>
      <c r="BD461">
        <v>-0.7117</v>
      </c>
      <c r="BE461">
        <v>121.2</v>
      </c>
      <c r="BF461">
        <v>-0.70369999999999999</v>
      </c>
      <c r="BG461">
        <v>1182</v>
      </c>
      <c r="BH461">
        <v>-8.9725000000000001</v>
      </c>
    </row>
    <row r="462" spans="1:60" x14ac:dyDescent="0.35">
      <c r="A462" t="s">
        <v>34</v>
      </c>
      <c r="B462" s="1">
        <v>46146.65625</v>
      </c>
      <c r="C462" t="s">
        <v>34</v>
      </c>
      <c r="D462" s="1">
        <v>46147.625</v>
      </c>
      <c r="E462">
        <v>7155</v>
      </c>
      <c r="F462" t="s">
        <v>36</v>
      </c>
      <c r="G462">
        <v>8.9</v>
      </c>
      <c r="H462">
        <v>23.83</v>
      </c>
      <c r="I462">
        <v>3.21</v>
      </c>
      <c r="J462">
        <v>8.5</v>
      </c>
      <c r="K462">
        <v>4161</v>
      </c>
      <c r="L462">
        <v>39</v>
      </c>
      <c r="M462">
        <v>8.8000000000000007</v>
      </c>
      <c r="N462">
        <v>73</v>
      </c>
      <c r="O462">
        <v>9</v>
      </c>
      <c r="P462">
        <v>0</v>
      </c>
      <c r="Q462">
        <v>0</v>
      </c>
      <c r="R462">
        <v>0</v>
      </c>
      <c r="S462">
        <v>0</v>
      </c>
      <c r="T462">
        <v>0.1696</v>
      </c>
      <c r="U462">
        <v>-0.2349</v>
      </c>
      <c r="V462">
        <v>4.7999999999999996E-3</v>
      </c>
      <c r="W462">
        <v>-8.7790999999999997</v>
      </c>
      <c r="X462">
        <v>1.1779999999999999</v>
      </c>
      <c r="Y462">
        <v>-4.6600000000000003E-2</v>
      </c>
      <c r="Z462">
        <v>17</v>
      </c>
      <c r="AA462">
        <v>8.5</v>
      </c>
      <c r="AB462">
        <v>11</v>
      </c>
      <c r="AC462">
        <v>8.6999999999999993</v>
      </c>
      <c r="AD462">
        <v>0</v>
      </c>
      <c r="AE462">
        <v>0</v>
      </c>
      <c r="AF462">
        <v>9.8378999999999994</v>
      </c>
      <c r="AG462">
        <v>301</v>
      </c>
      <c r="AH462">
        <v>0</v>
      </c>
      <c r="AJ462" s="4">
        <v>7300</v>
      </c>
      <c r="AK462">
        <v>100.3</v>
      </c>
      <c r="AL462">
        <v>-0.98099999999999998</v>
      </c>
      <c r="AM462">
        <v>102.8</v>
      </c>
      <c r="AN462">
        <v>-0.97270000000000001</v>
      </c>
      <c r="AO462">
        <v>102.8</v>
      </c>
      <c r="AP462">
        <v>-0.94189999999999996</v>
      </c>
      <c r="AQ462">
        <v>104</v>
      </c>
      <c r="AR462">
        <v>-0.88529999999999998</v>
      </c>
      <c r="AS462">
        <v>104.8</v>
      </c>
      <c r="AT462">
        <v>-0.85809999999999997</v>
      </c>
      <c r="AU462">
        <v>110.8</v>
      </c>
      <c r="AV462">
        <v>-0.78969999999999996</v>
      </c>
      <c r="AW462">
        <v>115</v>
      </c>
      <c r="AX462">
        <v>-0.76200000000000001</v>
      </c>
      <c r="AY462">
        <v>117.7</v>
      </c>
      <c r="AZ462">
        <v>-0.74390000000000001</v>
      </c>
      <c r="BA462">
        <v>121.1</v>
      </c>
      <c r="BB462">
        <v>-0.72519999999999996</v>
      </c>
      <c r="BC462">
        <v>120.9</v>
      </c>
      <c r="BD462">
        <v>-0.72519999999999996</v>
      </c>
      <c r="BE462">
        <v>124.1</v>
      </c>
      <c r="BF462">
        <v>-0.71619999999999995</v>
      </c>
      <c r="BG462">
        <v>1224.3</v>
      </c>
      <c r="BH462">
        <v>-9.1012000000000004</v>
      </c>
    </row>
    <row r="463" spans="1:60" x14ac:dyDescent="0.35">
      <c r="A463" t="s">
        <v>34</v>
      </c>
      <c r="B463" s="1">
        <v>46146.65625</v>
      </c>
      <c r="C463" t="s">
        <v>34</v>
      </c>
      <c r="D463" s="1">
        <v>46147.625</v>
      </c>
      <c r="E463">
        <v>7160</v>
      </c>
      <c r="F463" t="s">
        <v>36</v>
      </c>
      <c r="G463">
        <v>8.8699999999999992</v>
      </c>
      <c r="H463">
        <v>25.8</v>
      </c>
      <c r="I463">
        <v>3.76</v>
      </c>
      <c r="J463">
        <v>9.4</v>
      </c>
      <c r="K463">
        <v>4087</v>
      </c>
      <c r="L463">
        <v>43</v>
      </c>
      <c r="M463">
        <v>9.6999999999999993</v>
      </c>
      <c r="N463">
        <v>39</v>
      </c>
      <c r="O463">
        <v>9.9</v>
      </c>
      <c r="P463">
        <v>0</v>
      </c>
      <c r="Q463">
        <v>0</v>
      </c>
      <c r="R463">
        <v>0</v>
      </c>
      <c r="S463">
        <v>0</v>
      </c>
      <c r="T463">
        <v>0.1668</v>
      </c>
      <c r="U463">
        <v>-0.25600000000000001</v>
      </c>
      <c r="V463">
        <v>5.1000000000000004E-3</v>
      </c>
      <c r="W463">
        <v>-9.6769999999999996</v>
      </c>
      <c r="X463">
        <v>1.2313000000000001</v>
      </c>
      <c r="Y463">
        <v>-5.0799999999999998E-2</v>
      </c>
      <c r="Z463">
        <v>34</v>
      </c>
      <c r="AA463">
        <v>9.4</v>
      </c>
      <c r="AB463">
        <v>35</v>
      </c>
      <c r="AC463">
        <v>9.6999999999999993</v>
      </c>
      <c r="AD463">
        <v>0</v>
      </c>
      <c r="AE463">
        <v>0</v>
      </c>
      <c r="AF463">
        <v>10.946300000000001</v>
      </c>
      <c r="AG463">
        <v>410</v>
      </c>
      <c r="AH463">
        <v>0</v>
      </c>
      <c r="AJ463" s="4">
        <v>7305</v>
      </c>
      <c r="AK463">
        <v>105.5</v>
      </c>
      <c r="AL463">
        <v>-0.97760000000000002</v>
      </c>
      <c r="AM463">
        <v>107.6</v>
      </c>
      <c r="AN463">
        <v>-0.9748</v>
      </c>
      <c r="AO463">
        <v>107.6</v>
      </c>
      <c r="AP463">
        <v>-0.94350000000000001</v>
      </c>
      <c r="AQ463">
        <v>109.7</v>
      </c>
      <c r="AR463">
        <v>-0.89559999999999995</v>
      </c>
      <c r="AS463">
        <v>108.8</v>
      </c>
      <c r="AT463">
        <v>-0.87119999999999997</v>
      </c>
      <c r="AU463">
        <v>114.6</v>
      </c>
      <c r="AV463">
        <v>-0.80420000000000003</v>
      </c>
      <c r="AW463">
        <v>118.4</v>
      </c>
      <c r="AX463">
        <v>-0.77539999999999998</v>
      </c>
      <c r="AY463">
        <v>121.4</v>
      </c>
      <c r="AZ463">
        <v>-0.75590000000000002</v>
      </c>
      <c r="BA463">
        <v>124.4</v>
      </c>
      <c r="BB463">
        <v>-0.73740000000000006</v>
      </c>
      <c r="BC463">
        <v>124.5</v>
      </c>
      <c r="BD463">
        <v>-0.73619999999999997</v>
      </c>
      <c r="BE463">
        <v>127.5</v>
      </c>
      <c r="BF463">
        <v>-0.72829999999999995</v>
      </c>
      <c r="BG463">
        <v>1270</v>
      </c>
      <c r="BH463">
        <v>-9.2000999999999991</v>
      </c>
    </row>
    <row r="464" spans="1:60" x14ac:dyDescent="0.35">
      <c r="A464" t="s">
        <v>34</v>
      </c>
      <c r="B464" s="1">
        <v>46146.65625</v>
      </c>
      <c r="C464" t="s">
        <v>34</v>
      </c>
      <c r="D464" s="1">
        <v>46147.625</v>
      </c>
      <c r="E464">
        <v>7165</v>
      </c>
      <c r="F464" t="s">
        <v>36</v>
      </c>
      <c r="G464">
        <v>10.61</v>
      </c>
      <c r="H464">
        <v>27.23</v>
      </c>
      <c r="I464">
        <v>3.86</v>
      </c>
      <c r="J464">
        <v>10.9</v>
      </c>
      <c r="K464">
        <v>2562</v>
      </c>
      <c r="L464">
        <v>50</v>
      </c>
      <c r="M464">
        <v>10.7</v>
      </c>
      <c r="N464">
        <v>30</v>
      </c>
      <c r="O464">
        <v>10.9</v>
      </c>
      <c r="P464">
        <v>0</v>
      </c>
      <c r="Q464">
        <v>0</v>
      </c>
      <c r="R464">
        <v>0</v>
      </c>
      <c r="S464">
        <v>0</v>
      </c>
      <c r="T464">
        <v>0.16400000000000001</v>
      </c>
      <c r="U464">
        <v>-0.27879999999999999</v>
      </c>
      <c r="V464">
        <v>5.4000000000000003E-3</v>
      </c>
      <c r="W464">
        <v>-10.6746</v>
      </c>
      <c r="X464">
        <v>1.2829999999999999</v>
      </c>
      <c r="Y464">
        <v>-5.5300000000000002E-2</v>
      </c>
      <c r="Z464">
        <v>16</v>
      </c>
      <c r="AA464">
        <v>10.5</v>
      </c>
      <c r="AB464">
        <v>10</v>
      </c>
      <c r="AC464">
        <v>10.7</v>
      </c>
      <c r="AD464">
        <v>0</v>
      </c>
      <c r="AE464">
        <v>0</v>
      </c>
      <c r="AF464">
        <v>11.547000000000001</v>
      </c>
      <c r="AG464">
        <v>299</v>
      </c>
      <c r="AH464">
        <v>0</v>
      </c>
      <c r="AJ464" s="4">
        <v>7310</v>
      </c>
      <c r="AK464">
        <v>110.5</v>
      </c>
      <c r="AL464">
        <v>-0.97829999999999995</v>
      </c>
      <c r="AM464">
        <v>112.7</v>
      </c>
      <c r="AN464">
        <v>-0.96930000000000005</v>
      </c>
      <c r="AO464">
        <v>112.4</v>
      </c>
      <c r="AP464">
        <v>-0.95809999999999995</v>
      </c>
      <c r="AQ464">
        <v>113.7</v>
      </c>
      <c r="AR464">
        <v>-0.91259999999999997</v>
      </c>
      <c r="AS464">
        <v>113</v>
      </c>
      <c r="AT464">
        <v>-0.88959999999999995</v>
      </c>
      <c r="AU464">
        <v>118.7</v>
      </c>
      <c r="AV464">
        <v>-0.81979999999999997</v>
      </c>
      <c r="AW464">
        <v>122.2</v>
      </c>
      <c r="AX464">
        <v>-0.78879999999999995</v>
      </c>
      <c r="AY464">
        <v>125.1</v>
      </c>
      <c r="AZ464">
        <v>-0.7681</v>
      </c>
      <c r="BA464">
        <v>127.8</v>
      </c>
      <c r="BB464">
        <v>-0.74960000000000004</v>
      </c>
      <c r="BC464">
        <v>127.8</v>
      </c>
      <c r="BD464">
        <v>-0.74739999999999995</v>
      </c>
      <c r="BE464">
        <v>130.9</v>
      </c>
      <c r="BF464">
        <v>-0.73970000000000002</v>
      </c>
      <c r="BG464">
        <v>1314.8000000000002</v>
      </c>
      <c r="BH464">
        <v>-9.3213000000000008</v>
      </c>
    </row>
    <row r="465" spans="1:60" x14ac:dyDescent="0.35">
      <c r="A465" t="s">
        <v>34</v>
      </c>
      <c r="B465" s="1">
        <v>46146.65625</v>
      </c>
      <c r="C465" t="s">
        <v>34</v>
      </c>
      <c r="D465" s="1">
        <v>46147.625</v>
      </c>
      <c r="E465">
        <v>7170</v>
      </c>
      <c r="F465" t="s">
        <v>36</v>
      </c>
      <c r="G465">
        <v>10.37</v>
      </c>
      <c r="H465">
        <v>30.2</v>
      </c>
      <c r="I465">
        <v>4.45</v>
      </c>
      <c r="J465">
        <v>11.75</v>
      </c>
      <c r="K465">
        <v>3038</v>
      </c>
      <c r="L465">
        <v>46</v>
      </c>
      <c r="M465">
        <v>11.8</v>
      </c>
      <c r="N465">
        <v>28</v>
      </c>
      <c r="O465">
        <v>12</v>
      </c>
      <c r="P465">
        <v>0</v>
      </c>
      <c r="Q465">
        <v>0</v>
      </c>
      <c r="R465">
        <v>0</v>
      </c>
      <c r="S465">
        <v>0</v>
      </c>
      <c r="T465">
        <v>0.16120000000000001</v>
      </c>
      <c r="U465">
        <v>-0.3034</v>
      </c>
      <c r="V465">
        <v>5.7000000000000002E-3</v>
      </c>
      <c r="W465">
        <v>-11.7723</v>
      </c>
      <c r="X465">
        <v>1.3329</v>
      </c>
      <c r="Y465">
        <v>-6.0299999999999999E-2</v>
      </c>
      <c r="Z465">
        <v>33</v>
      </c>
      <c r="AA465">
        <v>11.6</v>
      </c>
      <c r="AB465">
        <v>28</v>
      </c>
      <c r="AC465">
        <v>11.9</v>
      </c>
      <c r="AD465">
        <v>0</v>
      </c>
      <c r="AE465">
        <v>0</v>
      </c>
      <c r="AF465">
        <v>12.4901</v>
      </c>
      <c r="AG465">
        <v>464</v>
      </c>
      <c r="AH465">
        <v>0</v>
      </c>
      <c r="AJ465" s="4">
        <v>7315</v>
      </c>
      <c r="AK465">
        <v>115.5</v>
      </c>
      <c r="AL465">
        <v>-0.97899999999999998</v>
      </c>
      <c r="AM465">
        <v>117.9</v>
      </c>
      <c r="AN465">
        <v>-0.96699999999999997</v>
      </c>
      <c r="AO465">
        <v>117.3</v>
      </c>
      <c r="AP465">
        <v>-0.96309999999999996</v>
      </c>
      <c r="AQ465">
        <v>120.2</v>
      </c>
      <c r="AR465">
        <v>-0.93420000000000003</v>
      </c>
      <c r="AS465">
        <v>117.3</v>
      </c>
      <c r="AT465">
        <v>-0.90059999999999996</v>
      </c>
      <c r="AU465">
        <v>122.7</v>
      </c>
      <c r="AV465">
        <v>-0.83309999999999995</v>
      </c>
      <c r="AW465">
        <v>126.2</v>
      </c>
      <c r="AX465">
        <v>-0.8024</v>
      </c>
      <c r="AY465">
        <v>128.80000000000001</v>
      </c>
      <c r="AZ465">
        <v>-0.78010000000000002</v>
      </c>
      <c r="BA465">
        <v>131.30000000000001</v>
      </c>
      <c r="BB465">
        <v>-0.76170000000000004</v>
      </c>
      <c r="BC465">
        <v>131.30000000000001</v>
      </c>
      <c r="BD465">
        <v>-0.76049999999999995</v>
      </c>
      <c r="BE465">
        <v>134.4</v>
      </c>
      <c r="BF465">
        <v>-0.75090000000000001</v>
      </c>
      <c r="BG465">
        <v>1362.9</v>
      </c>
      <c r="BH465">
        <v>-9.4326000000000008</v>
      </c>
    </row>
    <row r="466" spans="1:60" x14ac:dyDescent="0.35">
      <c r="A466" t="s">
        <v>34</v>
      </c>
      <c r="B466" s="1">
        <v>46146.65625</v>
      </c>
      <c r="C466" t="s">
        <v>34</v>
      </c>
      <c r="D466" s="1">
        <v>46147.625</v>
      </c>
      <c r="E466">
        <v>7175</v>
      </c>
      <c r="F466" t="s">
        <v>36</v>
      </c>
      <c r="G466">
        <v>11.54</v>
      </c>
      <c r="H466">
        <v>31.2</v>
      </c>
      <c r="I466">
        <v>4.8</v>
      </c>
      <c r="J466">
        <v>13</v>
      </c>
      <c r="K466">
        <v>4478</v>
      </c>
      <c r="L466">
        <v>47</v>
      </c>
      <c r="M466">
        <v>13</v>
      </c>
      <c r="N466">
        <v>26</v>
      </c>
      <c r="O466">
        <v>13.2</v>
      </c>
      <c r="P466">
        <v>0</v>
      </c>
      <c r="Q466">
        <v>0</v>
      </c>
      <c r="R466">
        <v>0</v>
      </c>
      <c r="S466">
        <v>0</v>
      </c>
      <c r="T466">
        <v>0.1583</v>
      </c>
      <c r="U466">
        <v>-0.32969999999999999</v>
      </c>
      <c r="V466">
        <v>6.0000000000000001E-3</v>
      </c>
      <c r="W466">
        <v>-12.969099999999999</v>
      </c>
      <c r="X466">
        <v>1.3781000000000001</v>
      </c>
      <c r="Y466">
        <v>-6.5500000000000003E-2</v>
      </c>
      <c r="Z466">
        <v>20</v>
      </c>
      <c r="AA466">
        <v>12.9</v>
      </c>
      <c r="AB466">
        <v>30</v>
      </c>
      <c r="AC466">
        <v>13.2</v>
      </c>
      <c r="AD466">
        <v>0</v>
      </c>
      <c r="AE466">
        <v>0</v>
      </c>
      <c r="AF466">
        <v>14.0829</v>
      </c>
      <c r="AG466">
        <v>534</v>
      </c>
      <c r="AH466">
        <v>0</v>
      </c>
      <c r="AJ466" s="4">
        <v>7320</v>
      </c>
      <c r="AK466">
        <v>120.5</v>
      </c>
      <c r="AL466">
        <v>-0.97970000000000002</v>
      </c>
      <c r="AM466">
        <v>122.8</v>
      </c>
      <c r="AN466">
        <v>-0.97440000000000004</v>
      </c>
      <c r="AO466">
        <v>122.5</v>
      </c>
      <c r="AP466">
        <v>-0.96240000000000003</v>
      </c>
      <c r="AQ466">
        <v>124.9</v>
      </c>
      <c r="AR466">
        <v>-0.94350000000000001</v>
      </c>
      <c r="AS466">
        <v>122</v>
      </c>
      <c r="AT466">
        <v>-0.91490000000000005</v>
      </c>
      <c r="AU466">
        <v>126.7</v>
      </c>
      <c r="AV466">
        <v>-0.84440000000000004</v>
      </c>
      <c r="AW466">
        <v>130</v>
      </c>
      <c r="AX466">
        <v>-0.8135</v>
      </c>
      <c r="AY466">
        <v>132.30000000000001</v>
      </c>
      <c r="AZ466">
        <v>-0.79339999999999999</v>
      </c>
      <c r="BA466">
        <v>135.1</v>
      </c>
      <c r="BB466">
        <v>-0.77259999999999995</v>
      </c>
      <c r="BC466">
        <v>134.80000000000001</v>
      </c>
      <c r="BD466">
        <v>-0.77129999999999999</v>
      </c>
      <c r="BE466">
        <v>137.6</v>
      </c>
      <c r="BF466">
        <v>-0.76329999999999998</v>
      </c>
      <c r="BG466">
        <v>1409.1999999999998</v>
      </c>
      <c r="BH466">
        <v>-9.5334000000000003</v>
      </c>
    </row>
    <row r="467" spans="1:60" x14ac:dyDescent="0.35">
      <c r="A467" t="s">
        <v>34</v>
      </c>
      <c r="B467" s="1">
        <v>46146.65625</v>
      </c>
      <c r="C467" t="s">
        <v>34</v>
      </c>
      <c r="D467" s="1">
        <v>46147.625</v>
      </c>
      <c r="E467">
        <v>7180</v>
      </c>
      <c r="F467" t="s">
        <v>36</v>
      </c>
      <c r="G467">
        <v>13.3</v>
      </c>
      <c r="H467">
        <v>31.1</v>
      </c>
      <c r="I467">
        <v>5.37</v>
      </c>
      <c r="J467">
        <v>14.2</v>
      </c>
      <c r="K467">
        <v>3510</v>
      </c>
      <c r="L467">
        <v>43</v>
      </c>
      <c r="M467">
        <v>14.3</v>
      </c>
      <c r="N467">
        <v>6</v>
      </c>
      <c r="O467">
        <v>14.5</v>
      </c>
      <c r="P467">
        <v>0</v>
      </c>
      <c r="Q467">
        <v>0</v>
      </c>
      <c r="R467">
        <v>0</v>
      </c>
      <c r="S467">
        <v>0</v>
      </c>
      <c r="T467">
        <v>0.1552</v>
      </c>
      <c r="U467">
        <v>-0.35770000000000002</v>
      </c>
      <c r="V467">
        <v>6.3E-3</v>
      </c>
      <c r="W467">
        <v>-14.2661</v>
      </c>
      <c r="X467">
        <v>1.4193</v>
      </c>
      <c r="Y467">
        <v>-7.1099999999999997E-2</v>
      </c>
      <c r="Z467">
        <v>10</v>
      </c>
      <c r="AA467">
        <v>14.3</v>
      </c>
      <c r="AB467">
        <v>8</v>
      </c>
      <c r="AC467">
        <v>14.5</v>
      </c>
      <c r="AD467">
        <v>0</v>
      </c>
      <c r="AE467">
        <v>0</v>
      </c>
      <c r="AF467">
        <v>15.882300000000001</v>
      </c>
      <c r="AG467">
        <v>479</v>
      </c>
      <c r="AH467">
        <v>0</v>
      </c>
      <c r="AJ467" s="4">
        <v>7325</v>
      </c>
      <c r="AK467">
        <v>125.5</v>
      </c>
      <c r="AL467">
        <v>-0.98029999999999995</v>
      </c>
      <c r="AM467">
        <v>127.6</v>
      </c>
      <c r="AN467">
        <v>-0.97509999999999997</v>
      </c>
      <c r="AO467">
        <v>127.3</v>
      </c>
      <c r="AP467">
        <v>-0.96950000000000003</v>
      </c>
      <c r="AQ467">
        <v>129.5</v>
      </c>
      <c r="AR467">
        <v>-0.95299999999999996</v>
      </c>
      <c r="AS467">
        <v>126</v>
      </c>
      <c r="AT467">
        <v>-0.9304</v>
      </c>
      <c r="AU467">
        <v>130.80000000000001</v>
      </c>
      <c r="AV467">
        <v>-0.8538</v>
      </c>
      <c r="AW467">
        <v>133.80000000000001</v>
      </c>
      <c r="AX467">
        <v>-0.82569999999999999</v>
      </c>
      <c r="AY467">
        <v>136.1</v>
      </c>
      <c r="AZ467">
        <v>-0.8054</v>
      </c>
      <c r="BA467">
        <v>138.69999999999999</v>
      </c>
      <c r="BB467">
        <v>-0.78449999999999998</v>
      </c>
      <c r="BC467">
        <v>138.30000000000001</v>
      </c>
      <c r="BD467">
        <v>-0.78249999999999997</v>
      </c>
      <c r="BE467">
        <v>141.5</v>
      </c>
      <c r="BF467">
        <v>-0.77370000000000005</v>
      </c>
      <c r="BG467">
        <v>1455.1</v>
      </c>
      <c r="BH467">
        <v>-9.6339000000000006</v>
      </c>
    </row>
    <row r="468" spans="1:60" x14ac:dyDescent="0.35">
      <c r="A468" t="s">
        <v>34</v>
      </c>
      <c r="B468" s="1">
        <v>46146.65625</v>
      </c>
      <c r="C468" t="s">
        <v>34</v>
      </c>
      <c r="D468" s="1">
        <v>46147.625</v>
      </c>
      <c r="E468">
        <v>7185</v>
      </c>
      <c r="F468" t="s">
        <v>36</v>
      </c>
      <c r="G468">
        <v>13.4</v>
      </c>
      <c r="H468">
        <v>33.340000000000003</v>
      </c>
      <c r="I468">
        <v>5.8</v>
      </c>
      <c r="J468">
        <v>16</v>
      </c>
      <c r="K468">
        <v>2405</v>
      </c>
      <c r="L468">
        <v>11</v>
      </c>
      <c r="M468">
        <v>15.8</v>
      </c>
      <c r="N468">
        <v>26</v>
      </c>
      <c r="O468">
        <v>16</v>
      </c>
      <c r="P468">
        <v>0</v>
      </c>
      <c r="Q468">
        <v>0</v>
      </c>
      <c r="R468">
        <v>0</v>
      </c>
      <c r="S468">
        <v>0</v>
      </c>
      <c r="T468">
        <v>0.15260000000000001</v>
      </c>
      <c r="U468">
        <v>-0.38790000000000002</v>
      </c>
      <c r="V468">
        <v>6.6E-3</v>
      </c>
      <c r="W468">
        <v>-15.7615</v>
      </c>
      <c r="X468">
        <v>1.4548000000000001</v>
      </c>
      <c r="Y468">
        <v>-7.7200000000000005E-2</v>
      </c>
      <c r="Z468">
        <v>9</v>
      </c>
      <c r="AA468">
        <v>15.8</v>
      </c>
      <c r="AB468">
        <v>28</v>
      </c>
      <c r="AC468">
        <v>16.100000000000001</v>
      </c>
      <c r="AD468">
        <v>0</v>
      </c>
      <c r="AE468">
        <v>0</v>
      </c>
      <c r="AF468">
        <v>17.3675</v>
      </c>
      <c r="AG468">
        <v>135</v>
      </c>
      <c r="AH468">
        <v>0</v>
      </c>
      <c r="AJ468" s="4">
        <v>7330</v>
      </c>
      <c r="AK468">
        <v>130.5</v>
      </c>
      <c r="AL468">
        <v>-0.98089999999999999</v>
      </c>
      <c r="AM468">
        <v>132.80000000000001</v>
      </c>
      <c r="AN468">
        <v>-0.97270000000000001</v>
      </c>
      <c r="AO468">
        <v>132.30000000000001</v>
      </c>
      <c r="AP468">
        <v>-0.96970000000000001</v>
      </c>
      <c r="AQ468">
        <v>134.30000000000001</v>
      </c>
      <c r="AR468">
        <v>-0.96040000000000003</v>
      </c>
      <c r="AS468">
        <v>134</v>
      </c>
      <c r="AT468">
        <v>-0.94989999999999997</v>
      </c>
      <c r="AU468">
        <v>135.19999999999999</v>
      </c>
      <c r="AV468">
        <v>-0.86680000000000001</v>
      </c>
      <c r="AW468">
        <v>137.80000000000001</v>
      </c>
      <c r="AX468">
        <v>-0.83699999999999997</v>
      </c>
      <c r="AY468">
        <v>140.1</v>
      </c>
      <c r="AZ468">
        <v>-0.81679999999999997</v>
      </c>
      <c r="BA468">
        <v>142.30000000000001</v>
      </c>
      <c r="BB468">
        <v>-0.79690000000000005</v>
      </c>
      <c r="BC468">
        <v>142</v>
      </c>
      <c r="BD468">
        <v>-0.79600000000000004</v>
      </c>
      <c r="BE468">
        <v>144.9</v>
      </c>
      <c r="BF468">
        <v>-0.78580000000000005</v>
      </c>
      <c r="BG468">
        <v>1506.2</v>
      </c>
      <c r="BH468">
        <v>-9.732899999999999</v>
      </c>
    </row>
    <row r="469" spans="1:60" x14ac:dyDescent="0.35">
      <c r="A469" t="s">
        <v>34</v>
      </c>
      <c r="B469" s="1">
        <v>46146.65625</v>
      </c>
      <c r="C469" t="s">
        <v>34</v>
      </c>
      <c r="D469" s="1">
        <v>46147.625</v>
      </c>
      <c r="E469">
        <v>7190</v>
      </c>
      <c r="F469" t="s">
        <v>36</v>
      </c>
      <c r="G469">
        <v>14.7</v>
      </c>
      <c r="H469">
        <v>35.9</v>
      </c>
      <c r="I469">
        <v>6.41</v>
      </c>
      <c r="J469">
        <v>17.399999999999999</v>
      </c>
      <c r="K469">
        <v>3252</v>
      </c>
      <c r="L469">
        <v>11</v>
      </c>
      <c r="M469">
        <v>17.399999999999999</v>
      </c>
      <c r="N469">
        <v>25</v>
      </c>
      <c r="O469">
        <v>17.600000000000001</v>
      </c>
      <c r="P469">
        <v>0</v>
      </c>
      <c r="Q469">
        <v>0</v>
      </c>
      <c r="R469">
        <v>0</v>
      </c>
      <c r="S469">
        <v>0</v>
      </c>
      <c r="T469">
        <v>0.14899999999999999</v>
      </c>
      <c r="U469">
        <v>-0.41949999999999998</v>
      </c>
      <c r="V469">
        <v>6.8999999999999999E-3</v>
      </c>
      <c r="W469">
        <v>-17.2376</v>
      </c>
      <c r="X469">
        <v>1.4824999999999999</v>
      </c>
      <c r="Y469">
        <v>-8.3500000000000005E-2</v>
      </c>
      <c r="Z469">
        <v>9</v>
      </c>
      <c r="AA469">
        <v>17.5</v>
      </c>
      <c r="AB469">
        <v>8</v>
      </c>
      <c r="AC469">
        <v>17.7</v>
      </c>
      <c r="AD469">
        <v>0</v>
      </c>
      <c r="AE469">
        <v>0</v>
      </c>
      <c r="AF469">
        <v>19.1541</v>
      </c>
      <c r="AG469">
        <v>381</v>
      </c>
      <c r="AH469">
        <v>0</v>
      </c>
      <c r="AJ469" s="4">
        <v>7335</v>
      </c>
      <c r="AK469">
        <v>135.5</v>
      </c>
      <c r="AL469">
        <v>-0.98309999999999997</v>
      </c>
      <c r="AM469">
        <v>137.9</v>
      </c>
      <c r="AN469">
        <v>-0.97489999999999999</v>
      </c>
      <c r="AO469">
        <v>137.19999999999999</v>
      </c>
      <c r="AP469">
        <v>-0.97399999999999998</v>
      </c>
      <c r="AQ469">
        <v>139.1</v>
      </c>
      <c r="AR469">
        <v>-0.95979999999999999</v>
      </c>
      <c r="AS469">
        <v>138.5</v>
      </c>
      <c r="AT469">
        <v>-0.96919999999999995</v>
      </c>
      <c r="AU469">
        <v>139.5</v>
      </c>
      <c r="AV469">
        <v>-0.87770000000000004</v>
      </c>
      <c r="AW469">
        <v>141.69999999999999</v>
      </c>
      <c r="AX469">
        <v>-0.84719999999999995</v>
      </c>
      <c r="AY469">
        <v>143.69999999999999</v>
      </c>
      <c r="AZ469">
        <v>-0.82979999999999998</v>
      </c>
      <c r="BA469">
        <v>146.6</v>
      </c>
      <c r="BB469">
        <v>-0.80830000000000002</v>
      </c>
      <c r="BC469">
        <v>145.69999999999999</v>
      </c>
      <c r="BD469">
        <v>-0.80789999999999995</v>
      </c>
      <c r="BE469">
        <v>148.4</v>
      </c>
      <c r="BF469">
        <v>-0.79620000000000002</v>
      </c>
      <c r="BG469">
        <v>1553.8</v>
      </c>
      <c r="BH469">
        <v>-9.8281000000000009</v>
      </c>
    </row>
    <row r="470" spans="1:60" x14ac:dyDescent="0.35">
      <c r="A470" t="s">
        <v>34</v>
      </c>
      <c r="B470" s="1">
        <v>46146.65625</v>
      </c>
      <c r="C470" t="s">
        <v>34</v>
      </c>
      <c r="D470" s="1">
        <v>46147.625</v>
      </c>
      <c r="E470">
        <v>7195</v>
      </c>
      <c r="F470" t="s">
        <v>36</v>
      </c>
      <c r="G470">
        <v>16.47</v>
      </c>
      <c r="H470">
        <v>41.99</v>
      </c>
      <c r="I470">
        <v>7</v>
      </c>
      <c r="J470">
        <v>19.3</v>
      </c>
      <c r="K470">
        <v>3613</v>
      </c>
      <c r="L470">
        <v>20</v>
      </c>
      <c r="M470">
        <v>19.100000000000001</v>
      </c>
      <c r="N470">
        <v>21</v>
      </c>
      <c r="O470">
        <v>19.3</v>
      </c>
      <c r="P470">
        <v>0</v>
      </c>
      <c r="Q470">
        <v>0</v>
      </c>
      <c r="R470">
        <v>0</v>
      </c>
      <c r="S470">
        <v>0</v>
      </c>
      <c r="T470">
        <v>0.14630000000000001</v>
      </c>
      <c r="U470">
        <v>-0.45340000000000003</v>
      </c>
      <c r="V470">
        <v>7.1000000000000004E-3</v>
      </c>
      <c r="W470">
        <v>-18.8172</v>
      </c>
      <c r="X470">
        <v>1.5022</v>
      </c>
      <c r="Y470">
        <v>-9.0300000000000005E-2</v>
      </c>
      <c r="Z470">
        <v>8</v>
      </c>
      <c r="AA470">
        <v>19.3</v>
      </c>
      <c r="AB470">
        <v>17</v>
      </c>
      <c r="AC470">
        <v>19.600000000000001</v>
      </c>
      <c r="AD470">
        <v>0</v>
      </c>
      <c r="AE470">
        <v>0</v>
      </c>
      <c r="AF470">
        <v>20.6175</v>
      </c>
      <c r="AG470">
        <v>337</v>
      </c>
      <c r="AH470">
        <v>0</v>
      </c>
      <c r="AJ470" s="4">
        <v>7340</v>
      </c>
      <c r="AK470">
        <v>140.5</v>
      </c>
      <c r="AL470">
        <v>-0.98350000000000004</v>
      </c>
      <c r="AM470">
        <v>142.9</v>
      </c>
      <c r="AN470">
        <v>-0.97270000000000001</v>
      </c>
      <c r="AO470">
        <v>142</v>
      </c>
      <c r="AP470">
        <v>-0.97760000000000002</v>
      </c>
      <c r="AQ470">
        <v>143.9</v>
      </c>
      <c r="AR470">
        <v>-0.97050000000000003</v>
      </c>
      <c r="AS470">
        <v>143.1</v>
      </c>
      <c r="AT470">
        <v>-0.9819</v>
      </c>
      <c r="AU470">
        <v>143.4</v>
      </c>
      <c r="AV470">
        <v>-0.88970000000000005</v>
      </c>
      <c r="AW470">
        <v>146</v>
      </c>
      <c r="AX470">
        <v>-0.85929999999999995</v>
      </c>
      <c r="AY470">
        <v>147.80000000000001</v>
      </c>
      <c r="AZ470">
        <v>-0.84089999999999998</v>
      </c>
      <c r="BA470">
        <v>150.19999999999999</v>
      </c>
      <c r="BB470">
        <v>-0.81769999999999998</v>
      </c>
      <c r="BC470">
        <v>149.4</v>
      </c>
      <c r="BD470">
        <v>-0.81950000000000001</v>
      </c>
      <c r="BE470">
        <v>152.30000000000001</v>
      </c>
      <c r="BF470">
        <v>-0.80789999999999995</v>
      </c>
      <c r="BG470">
        <v>1601.5</v>
      </c>
      <c r="BH470">
        <v>-9.9212000000000007</v>
      </c>
    </row>
    <row r="471" spans="1:60" x14ac:dyDescent="0.35">
      <c r="A471" t="s">
        <v>34</v>
      </c>
      <c r="B471" s="1">
        <v>46146.65625</v>
      </c>
      <c r="C471" t="s">
        <v>34</v>
      </c>
      <c r="D471" s="1">
        <v>46147.625</v>
      </c>
      <c r="E471">
        <v>7200</v>
      </c>
      <c r="F471" t="s">
        <v>36</v>
      </c>
      <c r="G471">
        <v>17.32</v>
      </c>
      <c r="H471">
        <v>43.18</v>
      </c>
      <c r="I471">
        <v>7.7</v>
      </c>
      <c r="J471">
        <v>21.05</v>
      </c>
      <c r="K471">
        <v>10466</v>
      </c>
      <c r="L471">
        <v>20</v>
      </c>
      <c r="M471">
        <v>21</v>
      </c>
      <c r="N471">
        <v>14</v>
      </c>
      <c r="O471">
        <v>21.2</v>
      </c>
      <c r="P471">
        <v>0</v>
      </c>
      <c r="Q471">
        <v>0</v>
      </c>
      <c r="R471">
        <v>0</v>
      </c>
      <c r="S471">
        <v>0</v>
      </c>
      <c r="T471">
        <v>0.14319999999999999</v>
      </c>
      <c r="U471">
        <v>-0.4889</v>
      </c>
      <c r="V471">
        <v>7.3000000000000001E-3</v>
      </c>
      <c r="W471">
        <v>-19.6051</v>
      </c>
      <c r="X471">
        <v>1.5113000000000001</v>
      </c>
      <c r="Y471">
        <v>-9.7299999999999998E-2</v>
      </c>
      <c r="Z471">
        <v>11</v>
      </c>
      <c r="AA471">
        <v>21.3</v>
      </c>
      <c r="AB471">
        <v>10</v>
      </c>
      <c r="AC471">
        <v>21.6</v>
      </c>
      <c r="AD471">
        <v>0</v>
      </c>
      <c r="AE471">
        <v>0</v>
      </c>
      <c r="AF471">
        <v>20.851800000000001</v>
      </c>
      <c r="AG471">
        <v>2027</v>
      </c>
      <c r="AH471">
        <v>0</v>
      </c>
      <c r="AJ471" s="4">
        <v>7345</v>
      </c>
      <c r="AK471">
        <v>145.5</v>
      </c>
      <c r="AL471">
        <v>-0.98399999999999999</v>
      </c>
      <c r="AM471">
        <v>147.80000000000001</v>
      </c>
      <c r="AN471">
        <v>-0.97470000000000001</v>
      </c>
      <c r="AO471">
        <v>147.19999999999999</v>
      </c>
      <c r="AP471">
        <v>-0.97670000000000001</v>
      </c>
      <c r="AQ471">
        <v>148.80000000000001</v>
      </c>
      <c r="AR471">
        <v>-0.98240000000000005</v>
      </c>
      <c r="AS471">
        <v>147.69999999999999</v>
      </c>
      <c r="AT471">
        <v>-0.9879</v>
      </c>
      <c r="AU471">
        <v>148.1</v>
      </c>
      <c r="AV471">
        <v>-0.89810000000000001</v>
      </c>
      <c r="AW471">
        <v>150.19999999999999</v>
      </c>
      <c r="AX471">
        <v>-0.86980000000000002</v>
      </c>
      <c r="AY471">
        <v>152</v>
      </c>
      <c r="AZ471">
        <v>-0.85050000000000003</v>
      </c>
      <c r="BA471">
        <v>154.30000000000001</v>
      </c>
      <c r="BB471">
        <v>-0.82779999999999998</v>
      </c>
      <c r="BC471">
        <v>153.19999999999999</v>
      </c>
      <c r="BD471">
        <v>-0.82840000000000003</v>
      </c>
      <c r="BE471">
        <v>156.19999999999999</v>
      </c>
      <c r="BF471">
        <v>-0.81869999999999998</v>
      </c>
      <c r="BG471">
        <v>1651</v>
      </c>
      <c r="BH471">
        <v>-9.9990000000000006</v>
      </c>
    </row>
    <row r="472" spans="1:60" x14ac:dyDescent="0.35">
      <c r="A472" t="s">
        <v>34</v>
      </c>
      <c r="B472" s="1">
        <v>46146.65625</v>
      </c>
      <c r="C472" t="s">
        <v>34</v>
      </c>
      <c r="D472" s="1">
        <v>46147.625</v>
      </c>
      <c r="E472">
        <v>7205</v>
      </c>
      <c r="F472" t="s">
        <v>36</v>
      </c>
      <c r="G472">
        <v>19.399999999999999</v>
      </c>
      <c r="H472">
        <v>42.4</v>
      </c>
      <c r="I472">
        <v>8.5</v>
      </c>
      <c r="J472">
        <v>23.5</v>
      </c>
      <c r="K472">
        <v>2155</v>
      </c>
      <c r="L472">
        <v>10</v>
      </c>
      <c r="M472">
        <v>23.1</v>
      </c>
      <c r="N472">
        <v>13</v>
      </c>
      <c r="O472">
        <v>23.3</v>
      </c>
      <c r="P472">
        <v>0</v>
      </c>
      <c r="Q472">
        <v>0</v>
      </c>
      <c r="R472">
        <v>0</v>
      </c>
      <c r="S472">
        <v>0</v>
      </c>
      <c r="T472">
        <v>0.1396</v>
      </c>
      <c r="U472">
        <v>-0.52610000000000001</v>
      </c>
      <c r="V472">
        <v>7.4999999999999997E-3</v>
      </c>
      <c r="W472">
        <v>-18.6815</v>
      </c>
      <c r="X472">
        <v>1.5088999999999999</v>
      </c>
      <c r="Y472">
        <v>-0.1048</v>
      </c>
      <c r="Z472">
        <v>8</v>
      </c>
      <c r="AA472">
        <v>23.6</v>
      </c>
      <c r="AB472">
        <v>7</v>
      </c>
      <c r="AC472">
        <v>23.8</v>
      </c>
      <c r="AD472">
        <v>0</v>
      </c>
      <c r="AE472">
        <v>0</v>
      </c>
      <c r="AF472">
        <v>23.151700000000002</v>
      </c>
      <c r="AG472">
        <v>153</v>
      </c>
      <c r="AH472">
        <v>0</v>
      </c>
      <c r="AJ472" s="4">
        <v>7350</v>
      </c>
      <c r="AK472">
        <v>150.5</v>
      </c>
      <c r="AL472">
        <v>-0.98440000000000005</v>
      </c>
      <c r="AM472">
        <v>152.80000000000001</v>
      </c>
      <c r="AN472">
        <v>-0.97960000000000003</v>
      </c>
      <c r="AO472">
        <v>152.1</v>
      </c>
      <c r="AP472">
        <v>-0.97870000000000001</v>
      </c>
      <c r="AQ472">
        <v>154</v>
      </c>
      <c r="AR472">
        <v>-0.99670000000000003</v>
      </c>
      <c r="AS472">
        <v>152.30000000000001</v>
      </c>
      <c r="AT472">
        <v>-0.90269999999999995</v>
      </c>
      <c r="AU472">
        <v>152.5</v>
      </c>
      <c r="AV472">
        <v>-0.90869999999999995</v>
      </c>
      <c r="AW472">
        <v>154.19999999999999</v>
      </c>
      <c r="AX472">
        <v>-0.88049999999999995</v>
      </c>
      <c r="AY472">
        <v>156.1</v>
      </c>
      <c r="AZ472">
        <v>-0.85980000000000001</v>
      </c>
      <c r="BA472">
        <v>157.9</v>
      </c>
      <c r="BB472">
        <v>-0.84060000000000001</v>
      </c>
      <c r="BC472">
        <v>157.1</v>
      </c>
      <c r="BD472">
        <v>-0.84119999999999995</v>
      </c>
      <c r="BE472">
        <v>159.80000000000001</v>
      </c>
      <c r="BF472">
        <v>-0.82920000000000005</v>
      </c>
      <c r="BG472">
        <v>1699.3</v>
      </c>
      <c r="BH472">
        <v>-10.0021</v>
      </c>
    </row>
    <row r="473" spans="1:60" x14ac:dyDescent="0.35">
      <c r="A473" t="s">
        <v>34</v>
      </c>
      <c r="B473" s="1">
        <v>46146.65625</v>
      </c>
      <c r="C473" t="s">
        <v>34</v>
      </c>
      <c r="D473" s="1">
        <v>46147.625</v>
      </c>
      <c r="E473">
        <v>7210</v>
      </c>
      <c r="F473" t="s">
        <v>36</v>
      </c>
      <c r="G473">
        <v>21.77</v>
      </c>
      <c r="H473">
        <v>45.3</v>
      </c>
      <c r="I473">
        <v>9.48</v>
      </c>
      <c r="J473">
        <v>26.8</v>
      </c>
      <c r="K473">
        <v>2496</v>
      </c>
      <c r="L473">
        <v>11</v>
      </c>
      <c r="M473">
        <v>25.4</v>
      </c>
      <c r="N473">
        <v>5</v>
      </c>
      <c r="O473">
        <v>25.6</v>
      </c>
      <c r="P473">
        <v>0</v>
      </c>
      <c r="Q473">
        <v>0</v>
      </c>
      <c r="R473">
        <v>0</v>
      </c>
      <c r="S473">
        <v>0</v>
      </c>
      <c r="T473">
        <v>0.1366</v>
      </c>
      <c r="U473">
        <v>-0.56469999999999998</v>
      </c>
      <c r="V473">
        <v>7.6E-3</v>
      </c>
      <c r="W473">
        <v>-16.521699999999999</v>
      </c>
      <c r="X473">
        <v>1.4932000000000001</v>
      </c>
      <c r="Y473">
        <v>-0.1125</v>
      </c>
      <c r="Z473">
        <v>7</v>
      </c>
      <c r="AA473">
        <v>26</v>
      </c>
      <c r="AB473">
        <v>9</v>
      </c>
      <c r="AC473">
        <v>26.3</v>
      </c>
      <c r="AD473">
        <v>0</v>
      </c>
      <c r="AE473">
        <v>0</v>
      </c>
      <c r="AF473">
        <v>23.300699999999999</v>
      </c>
      <c r="AG473">
        <v>455</v>
      </c>
      <c r="AH473">
        <v>0</v>
      </c>
      <c r="AJ473" s="4">
        <v>7355</v>
      </c>
      <c r="AK473">
        <v>155.5</v>
      </c>
      <c r="AL473">
        <v>-0.98480000000000001</v>
      </c>
      <c r="AM473">
        <v>157.9</v>
      </c>
      <c r="AN473">
        <v>-0.97460000000000002</v>
      </c>
      <c r="AO473">
        <v>157.1</v>
      </c>
      <c r="AP473">
        <v>-0.97909999999999997</v>
      </c>
      <c r="AQ473">
        <v>158.9</v>
      </c>
      <c r="AR473">
        <v>-0.89559999999999995</v>
      </c>
      <c r="AS473">
        <v>157</v>
      </c>
      <c r="AT473">
        <v>-0.90820000000000001</v>
      </c>
      <c r="AU473">
        <v>157.1</v>
      </c>
      <c r="AV473">
        <v>-0.91379999999999995</v>
      </c>
      <c r="AW473">
        <v>158.80000000000001</v>
      </c>
      <c r="AX473">
        <v>-0.88880000000000003</v>
      </c>
      <c r="AY473">
        <v>160.5</v>
      </c>
      <c r="AZ473">
        <v>-0.86919999999999997</v>
      </c>
      <c r="BA473">
        <v>162.1</v>
      </c>
      <c r="BB473">
        <v>-0.84850000000000003</v>
      </c>
      <c r="BC473">
        <v>161.1</v>
      </c>
      <c r="BD473">
        <v>-0.85160000000000002</v>
      </c>
      <c r="BE473">
        <v>164</v>
      </c>
      <c r="BF473">
        <v>-0.8387</v>
      </c>
      <c r="BG473">
        <v>1749.9999999999998</v>
      </c>
      <c r="BH473">
        <v>-9.9528999999999996</v>
      </c>
    </row>
    <row r="474" spans="1:60" x14ac:dyDescent="0.35">
      <c r="A474" t="s">
        <v>34</v>
      </c>
      <c r="B474" s="1">
        <v>46146.65625</v>
      </c>
      <c r="C474" t="s">
        <v>34</v>
      </c>
      <c r="D474" s="1">
        <v>46147.625</v>
      </c>
      <c r="E474">
        <v>7215</v>
      </c>
      <c r="F474" t="s">
        <v>36</v>
      </c>
      <c r="G474">
        <v>22.94</v>
      </c>
      <c r="H474">
        <v>48.8</v>
      </c>
      <c r="I474">
        <v>10.5</v>
      </c>
      <c r="J474">
        <v>30.18</v>
      </c>
      <c r="K474">
        <v>1556</v>
      </c>
      <c r="L474">
        <v>18</v>
      </c>
      <c r="M474">
        <v>27.9</v>
      </c>
      <c r="N474">
        <v>12</v>
      </c>
      <c r="O474">
        <v>28.2</v>
      </c>
      <c r="P474">
        <v>0</v>
      </c>
      <c r="Q474">
        <v>0</v>
      </c>
      <c r="R474">
        <v>0</v>
      </c>
      <c r="S474">
        <v>0</v>
      </c>
      <c r="T474">
        <v>0.13400000000000001</v>
      </c>
      <c r="U474">
        <v>-0.60399999999999998</v>
      </c>
      <c r="V474">
        <v>7.6E-3</v>
      </c>
      <c r="W474">
        <v>-14.130599999999999</v>
      </c>
      <c r="X474">
        <v>1.4632000000000001</v>
      </c>
      <c r="Y474">
        <v>-0.12039999999999999</v>
      </c>
      <c r="Z474">
        <v>6</v>
      </c>
      <c r="AA474">
        <v>28.6</v>
      </c>
      <c r="AB474">
        <v>6</v>
      </c>
      <c r="AC474">
        <v>28.9</v>
      </c>
      <c r="AD474">
        <v>0</v>
      </c>
      <c r="AE474">
        <v>0</v>
      </c>
      <c r="AF474">
        <v>26.406700000000001</v>
      </c>
      <c r="AG474">
        <v>110</v>
      </c>
      <c r="AH474">
        <v>0</v>
      </c>
      <c r="AJ474" s="4">
        <v>7360</v>
      </c>
      <c r="AK474">
        <v>160.5</v>
      </c>
      <c r="AL474">
        <v>-0.98509999999999998</v>
      </c>
      <c r="AM474">
        <v>162.6</v>
      </c>
      <c r="AN474">
        <v>-0.97909999999999997</v>
      </c>
      <c r="AO474">
        <v>162.1</v>
      </c>
      <c r="AP474">
        <v>-0.97960000000000003</v>
      </c>
      <c r="AQ474">
        <v>163.80000000000001</v>
      </c>
      <c r="AR474">
        <v>-0.8962</v>
      </c>
      <c r="AS474">
        <v>161.80000000000001</v>
      </c>
      <c r="AT474">
        <v>-0.91239999999999999</v>
      </c>
      <c r="AU474">
        <v>161.6</v>
      </c>
      <c r="AV474">
        <v>-0.92610000000000003</v>
      </c>
      <c r="AW474">
        <v>163</v>
      </c>
      <c r="AX474">
        <v>-0.89770000000000005</v>
      </c>
      <c r="AY474">
        <v>164.4</v>
      </c>
      <c r="AZ474">
        <v>-0.88160000000000005</v>
      </c>
      <c r="BA474">
        <v>166.1</v>
      </c>
      <c r="BB474">
        <v>-0.8599</v>
      </c>
      <c r="BC474">
        <v>165</v>
      </c>
      <c r="BD474">
        <v>-0.86229999999999996</v>
      </c>
      <c r="BE474">
        <v>168.1</v>
      </c>
      <c r="BF474">
        <v>-0.8478</v>
      </c>
      <c r="BG474">
        <v>1799</v>
      </c>
      <c r="BH474">
        <v>-10.027799999999999</v>
      </c>
    </row>
    <row r="475" spans="1:60" x14ac:dyDescent="0.35">
      <c r="A475" t="s">
        <v>34</v>
      </c>
      <c r="B475" s="1">
        <v>46146.65625</v>
      </c>
      <c r="C475" t="s">
        <v>34</v>
      </c>
      <c r="D475" s="1">
        <v>46147.625</v>
      </c>
      <c r="E475">
        <v>7220</v>
      </c>
      <c r="F475" t="s">
        <v>36</v>
      </c>
      <c r="G475">
        <v>24</v>
      </c>
      <c r="H475">
        <v>52</v>
      </c>
      <c r="I475">
        <v>11.4</v>
      </c>
      <c r="J475">
        <v>32.450000000000003</v>
      </c>
      <c r="K475">
        <v>2513</v>
      </c>
      <c r="L475">
        <v>15</v>
      </c>
      <c r="M475">
        <v>30.6</v>
      </c>
      <c r="N475">
        <v>10</v>
      </c>
      <c r="O475">
        <v>30.9</v>
      </c>
      <c r="P475">
        <v>0</v>
      </c>
      <c r="Q475">
        <v>0</v>
      </c>
      <c r="R475">
        <v>0</v>
      </c>
      <c r="S475">
        <v>0</v>
      </c>
      <c r="T475">
        <v>0.1313</v>
      </c>
      <c r="U475">
        <v>-0.64390000000000003</v>
      </c>
      <c r="V475">
        <v>7.4999999999999997E-3</v>
      </c>
      <c r="W475">
        <v>-11.887499999999999</v>
      </c>
      <c r="X475">
        <v>1.4181999999999999</v>
      </c>
      <c r="Y475">
        <v>-0.12839999999999999</v>
      </c>
      <c r="Z475">
        <v>4</v>
      </c>
      <c r="AA475">
        <v>31.5</v>
      </c>
      <c r="AB475">
        <v>6</v>
      </c>
      <c r="AC475">
        <v>31.8</v>
      </c>
      <c r="AD475">
        <v>0</v>
      </c>
      <c r="AE475">
        <v>0</v>
      </c>
      <c r="AF475">
        <v>26.054500000000001</v>
      </c>
      <c r="AG475">
        <v>283</v>
      </c>
      <c r="AH475">
        <v>0</v>
      </c>
      <c r="AJ475" s="4">
        <v>7365</v>
      </c>
      <c r="AK475">
        <v>168.1</v>
      </c>
      <c r="AL475">
        <v>-0.98180000000000001</v>
      </c>
      <c r="AM475">
        <v>167.9</v>
      </c>
      <c r="AN475">
        <v>-0.97960000000000003</v>
      </c>
      <c r="AO475">
        <v>167.1</v>
      </c>
      <c r="AP475">
        <v>-0.98140000000000005</v>
      </c>
      <c r="AQ475">
        <v>168.7</v>
      </c>
      <c r="AR475">
        <v>-0.90149999999999997</v>
      </c>
      <c r="AS475">
        <v>168</v>
      </c>
      <c r="AT475">
        <v>-0.90039999999999998</v>
      </c>
      <c r="AU475">
        <v>166.5</v>
      </c>
      <c r="AV475">
        <v>-0.93200000000000005</v>
      </c>
      <c r="AW475">
        <v>167.3</v>
      </c>
      <c r="AX475">
        <v>-0.9073</v>
      </c>
      <c r="AY475">
        <v>169.1</v>
      </c>
      <c r="AZ475">
        <v>-0.88749999999999996</v>
      </c>
      <c r="BA475">
        <v>170.6</v>
      </c>
      <c r="BB475">
        <v>-0.86709999999999998</v>
      </c>
      <c r="BC475">
        <v>169.2</v>
      </c>
      <c r="BD475">
        <v>-0.87070000000000003</v>
      </c>
      <c r="BE475">
        <v>171.8</v>
      </c>
      <c r="BF475">
        <v>-0.85860000000000003</v>
      </c>
      <c r="BG475">
        <v>1854.2999999999997</v>
      </c>
      <c r="BH475">
        <v>-10.067900000000002</v>
      </c>
    </row>
    <row r="476" spans="1:60" x14ac:dyDescent="0.35">
      <c r="A476" t="s">
        <v>34</v>
      </c>
      <c r="B476" s="1">
        <v>46146.65625</v>
      </c>
      <c r="C476" t="s">
        <v>34</v>
      </c>
      <c r="D476" s="1">
        <v>46147.625</v>
      </c>
      <c r="E476">
        <v>7225</v>
      </c>
      <c r="F476" t="s">
        <v>36</v>
      </c>
      <c r="G476">
        <v>26.63</v>
      </c>
      <c r="H476">
        <v>54.3</v>
      </c>
      <c r="I476">
        <v>12.86</v>
      </c>
      <c r="J476">
        <v>34.29</v>
      </c>
      <c r="K476">
        <v>1789</v>
      </c>
      <c r="L476">
        <v>4</v>
      </c>
      <c r="M476">
        <v>33.6</v>
      </c>
      <c r="N476">
        <v>2</v>
      </c>
      <c r="O476">
        <v>33.9</v>
      </c>
      <c r="P476">
        <v>0</v>
      </c>
      <c r="Q476">
        <v>0</v>
      </c>
      <c r="R476">
        <v>0</v>
      </c>
      <c r="S476">
        <v>0</v>
      </c>
      <c r="T476">
        <v>0.12889999999999999</v>
      </c>
      <c r="U476">
        <v>-0.6835</v>
      </c>
      <c r="V476">
        <v>7.3000000000000001E-3</v>
      </c>
      <c r="W476">
        <v>-9.8919999999999995</v>
      </c>
      <c r="X476">
        <v>1.3587</v>
      </c>
      <c r="Y476">
        <v>-0.1363</v>
      </c>
      <c r="Z476">
        <v>15</v>
      </c>
      <c r="AA476">
        <v>34.1</v>
      </c>
      <c r="AB476">
        <v>3</v>
      </c>
      <c r="AC476">
        <v>35.1</v>
      </c>
      <c r="AD476">
        <v>0</v>
      </c>
      <c r="AE476">
        <v>0</v>
      </c>
      <c r="AF476">
        <v>27.44</v>
      </c>
      <c r="AG476">
        <v>205</v>
      </c>
      <c r="AH476">
        <v>0</v>
      </c>
      <c r="AJ476" s="4">
        <v>7370</v>
      </c>
      <c r="AK476">
        <v>172.9</v>
      </c>
      <c r="AL476">
        <v>-0.98219999999999996</v>
      </c>
      <c r="AM476">
        <v>172.6</v>
      </c>
      <c r="AN476">
        <v>-0.98</v>
      </c>
      <c r="AO476">
        <v>171.9</v>
      </c>
      <c r="AP476">
        <v>-0.98460000000000003</v>
      </c>
      <c r="AQ476">
        <v>173.7</v>
      </c>
      <c r="AR476">
        <v>-0.89739999999999998</v>
      </c>
      <c r="AS476">
        <v>168.2</v>
      </c>
      <c r="AT476">
        <v>-0.96709999999999996</v>
      </c>
      <c r="AU476">
        <v>170.9</v>
      </c>
      <c r="AV476">
        <v>-0.93779999999999997</v>
      </c>
      <c r="AW476">
        <v>171.9</v>
      </c>
      <c r="AX476">
        <v>-0.91500000000000004</v>
      </c>
      <c r="AY476">
        <v>173</v>
      </c>
      <c r="AZ476">
        <v>-0.89729999999999999</v>
      </c>
      <c r="BA476">
        <v>174.8</v>
      </c>
      <c r="BB476">
        <v>-0.87590000000000001</v>
      </c>
      <c r="BC476">
        <v>173.4</v>
      </c>
      <c r="BD476">
        <v>-0.87980000000000003</v>
      </c>
      <c r="BE476">
        <v>176.1</v>
      </c>
      <c r="BF476">
        <v>-0.86629999999999996</v>
      </c>
      <c r="BG476">
        <v>1899.4</v>
      </c>
      <c r="BH476">
        <v>-10.183400000000001</v>
      </c>
    </row>
    <row r="477" spans="1:60" x14ac:dyDescent="0.35">
      <c r="A477" t="s">
        <v>34</v>
      </c>
      <c r="B477" s="1">
        <v>46146.65625</v>
      </c>
      <c r="C477" t="s">
        <v>34</v>
      </c>
      <c r="D477" s="1">
        <v>46147.625</v>
      </c>
      <c r="E477">
        <v>7230</v>
      </c>
      <c r="F477" t="s">
        <v>36</v>
      </c>
      <c r="G477">
        <v>27.5</v>
      </c>
      <c r="H477">
        <v>58.43</v>
      </c>
      <c r="I477">
        <v>14.34</v>
      </c>
      <c r="J477">
        <v>37.630000000000003</v>
      </c>
      <c r="K477">
        <v>2080</v>
      </c>
      <c r="L477">
        <v>26</v>
      </c>
      <c r="M477">
        <v>36.299999999999997</v>
      </c>
      <c r="N477">
        <v>7</v>
      </c>
      <c r="O477">
        <v>37.4</v>
      </c>
      <c r="P477">
        <v>0</v>
      </c>
      <c r="Q477">
        <v>0</v>
      </c>
      <c r="R477">
        <v>0</v>
      </c>
      <c r="S477">
        <v>0</v>
      </c>
      <c r="T477">
        <v>0.126</v>
      </c>
      <c r="U477">
        <v>-0.72319999999999995</v>
      </c>
      <c r="V477">
        <v>7.0000000000000001E-3</v>
      </c>
      <c r="W477">
        <v>-8.0466999999999995</v>
      </c>
      <c r="X477">
        <v>1.2824</v>
      </c>
      <c r="Y477">
        <v>-0.14430000000000001</v>
      </c>
      <c r="Z477">
        <v>13</v>
      </c>
      <c r="AA477">
        <v>37.4</v>
      </c>
      <c r="AB477">
        <v>3</v>
      </c>
      <c r="AC477">
        <v>38.4</v>
      </c>
      <c r="AD477">
        <v>0</v>
      </c>
      <c r="AE477">
        <v>0</v>
      </c>
      <c r="AF477">
        <v>28.671199999999999</v>
      </c>
      <c r="AG477">
        <v>216</v>
      </c>
      <c r="AH477">
        <v>0</v>
      </c>
      <c r="AJ477" s="4">
        <v>7375</v>
      </c>
      <c r="AK477">
        <v>177.9</v>
      </c>
      <c r="AL477">
        <v>-0.98250000000000004</v>
      </c>
      <c r="AM477">
        <v>177.8</v>
      </c>
      <c r="AN477">
        <v>-0.97789999999999999</v>
      </c>
      <c r="AO477">
        <v>177.1</v>
      </c>
      <c r="AP477">
        <v>-0.98219999999999996</v>
      </c>
      <c r="AQ477">
        <v>178.7</v>
      </c>
      <c r="AR477">
        <v>-0.98499999999999999</v>
      </c>
      <c r="AS477">
        <v>176.6</v>
      </c>
      <c r="AT477">
        <v>-0.9194</v>
      </c>
      <c r="AU477">
        <v>175.4</v>
      </c>
      <c r="AV477">
        <v>-0.95389999999999997</v>
      </c>
      <c r="AW477">
        <v>176.8</v>
      </c>
      <c r="AX477">
        <v>-0.91990000000000005</v>
      </c>
      <c r="AY477">
        <v>177.4</v>
      </c>
      <c r="AZ477">
        <v>-0.90529999999999999</v>
      </c>
      <c r="BA477">
        <v>178.8</v>
      </c>
      <c r="BB477">
        <v>-0.88449999999999995</v>
      </c>
      <c r="BC477">
        <v>177.5</v>
      </c>
      <c r="BD477">
        <v>-0.88939999999999997</v>
      </c>
      <c r="BE477">
        <v>180</v>
      </c>
      <c r="BF477">
        <v>-0.87919999999999998</v>
      </c>
      <c r="BG477">
        <v>1954</v>
      </c>
      <c r="BH477">
        <v>-10.279199999999999</v>
      </c>
    </row>
    <row r="478" spans="1:60" x14ac:dyDescent="0.35">
      <c r="A478" t="s">
        <v>34</v>
      </c>
      <c r="B478" s="1">
        <v>46146.65625</v>
      </c>
      <c r="C478" t="s">
        <v>34</v>
      </c>
      <c r="D478" s="1">
        <v>46147.625</v>
      </c>
      <c r="E478">
        <v>7235</v>
      </c>
      <c r="F478" t="s">
        <v>36</v>
      </c>
      <c r="G478">
        <v>30.31</v>
      </c>
      <c r="H478">
        <v>59.29</v>
      </c>
      <c r="I478">
        <v>16</v>
      </c>
      <c r="J478">
        <v>43.12</v>
      </c>
      <c r="K478">
        <v>1039</v>
      </c>
      <c r="L478">
        <v>1</v>
      </c>
      <c r="M478">
        <v>39.700000000000003</v>
      </c>
      <c r="N478">
        <v>11</v>
      </c>
      <c r="O478">
        <v>41</v>
      </c>
      <c r="P478">
        <v>0</v>
      </c>
      <c r="Q478">
        <v>0</v>
      </c>
      <c r="R478">
        <v>0</v>
      </c>
      <c r="S478">
        <v>0</v>
      </c>
      <c r="T478">
        <v>0.1246</v>
      </c>
      <c r="U478">
        <v>-0.75929999999999997</v>
      </c>
      <c r="V478">
        <v>6.6E-3</v>
      </c>
      <c r="W478">
        <v>-6.6</v>
      </c>
      <c r="X478">
        <v>1.1991000000000001</v>
      </c>
      <c r="Y478">
        <v>-0.1515</v>
      </c>
      <c r="Z478">
        <v>3</v>
      </c>
      <c r="AA478">
        <v>41</v>
      </c>
      <c r="AB478">
        <v>3</v>
      </c>
      <c r="AC478">
        <v>42</v>
      </c>
      <c r="AD478">
        <v>0</v>
      </c>
      <c r="AE478">
        <v>0</v>
      </c>
      <c r="AF478">
        <v>26.773900000000001</v>
      </c>
      <c r="AG478">
        <v>146</v>
      </c>
      <c r="AH478">
        <v>0</v>
      </c>
      <c r="AJ478" s="4">
        <v>7380</v>
      </c>
      <c r="AK478">
        <v>183.1</v>
      </c>
      <c r="AL478">
        <v>-0.9829</v>
      </c>
      <c r="AM478">
        <v>182.5</v>
      </c>
      <c r="AN478">
        <v>-0.98619999999999997</v>
      </c>
      <c r="AO478">
        <v>181.9</v>
      </c>
      <c r="AP478">
        <v>-0.98519999999999996</v>
      </c>
      <c r="AQ478">
        <v>183.6</v>
      </c>
      <c r="AR478">
        <v>-0.90749999999999997</v>
      </c>
      <c r="AS478">
        <v>182.7</v>
      </c>
      <c r="AT478">
        <v>-0.90849999999999997</v>
      </c>
      <c r="AU478">
        <v>180.3</v>
      </c>
      <c r="AV478">
        <v>-0.95279999999999998</v>
      </c>
      <c r="AW478">
        <v>181</v>
      </c>
      <c r="AX478">
        <v>-0.93130000000000002</v>
      </c>
      <c r="AY478">
        <v>182</v>
      </c>
      <c r="AZ478">
        <v>-0.91190000000000004</v>
      </c>
      <c r="BA478">
        <v>183.2</v>
      </c>
      <c r="BB478">
        <v>-0.89410000000000001</v>
      </c>
      <c r="BC478">
        <v>181.9</v>
      </c>
      <c r="BD478">
        <v>-0.89880000000000004</v>
      </c>
      <c r="BE478">
        <v>184.5</v>
      </c>
      <c r="BF478">
        <v>-0.88660000000000005</v>
      </c>
      <c r="BG478">
        <v>2006.7</v>
      </c>
      <c r="BH478">
        <v>-10.245799999999999</v>
      </c>
    </row>
    <row r="479" spans="1:60" x14ac:dyDescent="0.35">
      <c r="A479" t="s">
        <v>34</v>
      </c>
      <c r="B479" s="1">
        <v>46146.65625</v>
      </c>
      <c r="C479" t="s">
        <v>34</v>
      </c>
      <c r="D479" s="1">
        <v>46147.625</v>
      </c>
      <c r="E479">
        <v>7240</v>
      </c>
      <c r="F479" t="s">
        <v>36</v>
      </c>
      <c r="G479">
        <v>34.17</v>
      </c>
      <c r="H479">
        <v>66.66</v>
      </c>
      <c r="I479">
        <v>17.7</v>
      </c>
      <c r="J479">
        <v>46.7</v>
      </c>
      <c r="K479">
        <v>1322</v>
      </c>
      <c r="L479">
        <v>11</v>
      </c>
      <c r="M479">
        <v>43.4</v>
      </c>
      <c r="N479">
        <v>6</v>
      </c>
      <c r="O479">
        <v>44.7</v>
      </c>
      <c r="P479">
        <v>0</v>
      </c>
      <c r="Q479">
        <v>0</v>
      </c>
      <c r="R479">
        <v>0</v>
      </c>
      <c r="S479">
        <v>0</v>
      </c>
      <c r="T479">
        <v>0.1232</v>
      </c>
      <c r="U479">
        <v>-0.79320000000000002</v>
      </c>
      <c r="V479">
        <v>6.1000000000000004E-3</v>
      </c>
      <c r="W479">
        <v>-5.3531000000000004</v>
      </c>
      <c r="X479">
        <v>1.1059000000000001</v>
      </c>
      <c r="Y479">
        <v>-0.15820000000000001</v>
      </c>
      <c r="Z479">
        <v>7</v>
      </c>
      <c r="AA479">
        <v>42.6</v>
      </c>
      <c r="AB479">
        <v>7</v>
      </c>
      <c r="AC479">
        <v>47.6</v>
      </c>
      <c r="AD479">
        <v>0</v>
      </c>
      <c r="AE479">
        <v>0</v>
      </c>
      <c r="AF479">
        <v>28.220400000000001</v>
      </c>
      <c r="AG479">
        <v>247</v>
      </c>
      <c r="AH479">
        <v>0</v>
      </c>
      <c r="AJ479" s="4">
        <v>7385</v>
      </c>
      <c r="AK479">
        <v>187.9</v>
      </c>
      <c r="AL479">
        <v>-0.98319999999999996</v>
      </c>
      <c r="AM479">
        <v>187.6</v>
      </c>
      <c r="AN479">
        <v>-0.98119999999999996</v>
      </c>
      <c r="AO479">
        <v>187.2</v>
      </c>
      <c r="AP479">
        <v>-0.98150000000000004</v>
      </c>
      <c r="AQ479">
        <v>188.6</v>
      </c>
      <c r="AR479">
        <v>-0.89970000000000006</v>
      </c>
      <c r="AS479">
        <v>187.6</v>
      </c>
      <c r="AT479">
        <v>-0.91110000000000002</v>
      </c>
      <c r="BC479">
        <v>186.1</v>
      </c>
      <c r="BD479">
        <v>-0.90680000000000005</v>
      </c>
      <c r="BE479">
        <v>188.8</v>
      </c>
      <c r="BF479">
        <v>-0.89419999999999999</v>
      </c>
      <c r="BG479">
        <v>1313.8</v>
      </c>
      <c r="BH479">
        <v>-6.5577000000000005</v>
      </c>
    </row>
    <row r="480" spans="1:60" x14ac:dyDescent="0.35">
      <c r="A480" t="s">
        <v>34</v>
      </c>
      <c r="B480" s="1">
        <v>46146.65625</v>
      </c>
      <c r="C480" t="s">
        <v>34</v>
      </c>
      <c r="D480" s="1">
        <v>46147.625</v>
      </c>
      <c r="E480">
        <v>7245</v>
      </c>
      <c r="F480" t="s">
        <v>36</v>
      </c>
      <c r="G480">
        <v>35.51</v>
      </c>
      <c r="H480">
        <v>76.040000000000006</v>
      </c>
      <c r="I480">
        <v>19.899999999999999</v>
      </c>
      <c r="J480">
        <v>51.29</v>
      </c>
      <c r="K480">
        <v>506</v>
      </c>
      <c r="L480">
        <v>6</v>
      </c>
      <c r="M480">
        <v>47.4</v>
      </c>
      <c r="N480">
        <v>6</v>
      </c>
      <c r="O480">
        <v>48.6</v>
      </c>
      <c r="P480">
        <v>0</v>
      </c>
      <c r="Q480">
        <v>0</v>
      </c>
      <c r="R480">
        <v>0</v>
      </c>
      <c r="S480">
        <v>0</v>
      </c>
      <c r="T480">
        <v>0.1222</v>
      </c>
      <c r="U480">
        <v>-0.82420000000000004</v>
      </c>
      <c r="V480">
        <v>5.5999999999999999E-3</v>
      </c>
      <c r="W480">
        <v>-4.3056000000000001</v>
      </c>
      <c r="X480">
        <v>1.0078</v>
      </c>
      <c r="Y480">
        <v>-0.16450000000000001</v>
      </c>
      <c r="Z480">
        <v>7</v>
      </c>
      <c r="AA480">
        <v>46.7</v>
      </c>
      <c r="AB480">
        <v>7</v>
      </c>
      <c r="AC480">
        <v>51.7</v>
      </c>
      <c r="AD480">
        <v>0</v>
      </c>
      <c r="AE480">
        <v>0</v>
      </c>
      <c r="AF480">
        <v>34.845700000000001</v>
      </c>
      <c r="AG480">
        <v>104</v>
      </c>
      <c r="AH480">
        <v>0</v>
      </c>
      <c r="AJ480" s="4">
        <v>7390</v>
      </c>
      <c r="AK480">
        <v>192.9</v>
      </c>
      <c r="AL480">
        <v>-0.98360000000000003</v>
      </c>
      <c r="AM480">
        <v>192.7</v>
      </c>
      <c r="AN480">
        <v>-0.98029999999999995</v>
      </c>
      <c r="AO480">
        <v>191.9</v>
      </c>
      <c r="AP480">
        <v>-0.98580000000000001</v>
      </c>
      <c r="AQ480">
        <v>193.6</v>
      </c>
      <c r="AR480">
        <v>-0.99670000000000003</v>
      </c>
      <c r="AS480">
        <v>192.5</v>
      </c>
      <c r="AT480">
        <v>-0.91349999999999998</v>
      </c>
      <c r="AU480">
        <v>189.8</v>
      </c>
      <c r="AV480">
        <v>-0.96430000000000005</v>
      </c>
      <c r="AW480">
        <v>190.4</v>
      </c>
      <c r="AX480">
        <v>-0.94269999999999998</v>
      </c>
      <c r="AY480">
        <v>191.3</v>
      </c>
      <c r="AZ480">
        <v>-0.92589999999999995</v>
      </c>
      <c r="BA480">
        <v>192.3</v>
      </c>
      <c r="BB480">
        <v>-0.90649999999999997</v>
      </c>
      <c r="BC480">
        <v>190.5</v>
      </c>
      <c r="BD480">
        <v>-0.91459999999999997</v>
      </c>
      <c r="BE480">
        <v>193.1</v>
      </c>
      <c r="BF480">
        <v>-0.90300000000000002</v>
      </c>
      <c r="BG480">
        <v>2111</v>
      </c>
      <c r="BH480">
        <v>-10.4169</v>
      </c>
    </row>
    <row r="481" spans="1:60" x14ac:dyDescent="0.35">
      <c r="A481" t="s">
        <v>34</v>
      </c>
      <c r="B481" s="1">
        <v>46146.65625</v>
      </c>
      <c r="C481" t="s">
        <v>34</v>
      </c>
      <c r="D481" s="1">
        <v>46147.625</v>
      </c>
      <c r="E481">
        <v>7250</v>
      </c>
      <c r="F481" t="s">
        <v>36</v>
      </c>
      <c r="G481">
        <v>43.6</v>
      </c>
      <c r="H481">
        <v>75</v>
      </c>
      <c r="I481">
        <v>22.38</v>
      </c>
      <c r="J481">
        <v>55.44</v>
      </c>
      <c r="K481">
        <v>5218</v>
      </c>
      <c r="L481">
        <v>1</v>
      </c>
      <c r="M481">
        <v>51.4</v>
      </c>
      <c r="N481">
        <v>6</v>
      </c>
      <c r="O481">
        <v>52.8</v>
      </c>
      <c r="P481">
        <v>0</v>
      </c>
      <c r="Q481">
        <v>0</v>
      </c>
      <c r="R481">
        <v>0</v>
      </c>
      <c r="S481">
        <v>0</v>
      </c>
      <c r="T481">
        <v>0.12039999999999999</v>
      </c>
      <c r="U481">
        <v>-0.85389999999999999</v>
      </c>
      <c r="V481">
        <v>5.0000000000000001E-3</v>
      </c>
      <c r="W481">
        <v>-3.3578000000000001</v>
      </c>
      <c r="X481">
        <v>0.90090000000000003</v>
      </c>
      <c r="Y481">
        <v>-0.1704</v>
      </c>
      <c r="Z481">
        <v>7</v>
      </c>
      <c r="AA481">
        <v>50.9</v>
      </c>
      <c r="AB481">
        <v>7</v>
      </c>
      <c r="AC481">
        <v>55.6</v>
      </c>
      <c r="AD481">
        <v>0</v>
      </c>
      <c r="AE481">
        <v>0</v>
      </c>
      <c r="AF481">
        <v>44.890900000000002</v>
      </c>
      <c r="AG481">
        <v>340</v>
      </c>
      <c r="AH481">
        <v>0</v>
      </c>
      <c r="AJ481" s="4">
        <v>7395</v>
      </c>
      <c r="AK481">
        <v>198.1</v>
      </c>
      <c r="AL481">
        <v>-0.9839</v>
      </c>
      <c r="AM481">
        <v>197.5</v>
      </c>
      <c r="AN481">
        <v>-0.98699999999999999</v>
      </c>
      <c r="AO481">
        <v>196.9</v>
      </c>
      <c r="AP481">
        <v>-0.98599999999999999</v>
      </c>
      <c r="AQ481">
        <v>198.6</v>
      </c>
      <c r="AR481">
        <v>-0.90720000000000001</v>
      </c>
      <c r="AS481">
        <v>197.4</v>
      </c>
      <c r="AT481">
        <v>-0.91590000000000005</v>
      </c>
      <c r="BC481">
        <v>194.9</v>
      </c>
      <c r="BD481">
        <v>-0.9224</v>
      </c>
      <c r="BE481">
        <v>197.5</v>
      </c>
      <c r="BF481">
        <v>-0.91090000000000004</v>
      </c>
      <c r="BG481">
        <v>1380.9</v>
      </c>
      <c r="BH481">
        <v>-6.6132999999999997</v>
      </c>
    </row>
    <row r="482" spans="1:60" x14ac:dyDescent="0.35">
      <c r="A482" t="s">
        <v>34</v>
      </c>
      <c r="B482" s="1">
        <v>46146.65625</v>
      </c>
      <c r="C482" t="s">
        <v>34</v>
      </c>
      <c r="D482" s="1">
        <v>46147.625</v>
      </c>
      <c r="E482">
        <v>7255</v>
      </c>
      <c r="F482" t="s">
        <v>36</v>
      </c>
      <c r="G482">
        <v>40.049999999999997</v>
      </c>
      <c r="H482">
        <v>72.3</v>
      </c>
      <c r="I482">
        <v>24.9</v>
      </c>
      <c r="J482">
        <v>59.82</v>
      </c>
      <c r="K482">
        <v>302</v>
      </c>
      <c r="L482">
        <v>1</v>
      </c>
      <c r="M482">
        <v>55.7</v>
      </c>
      <c r="N482">
        <v>6</v>
      </c>
      <c r="O482">
        <v>57.1</v>
      </c>
      <c r="P482">
        <v>0</v>
      </c>
      <c r="Q482">
        <v>0</v>
      </c>
      <c r="R482">
        <v>0</v>
      </c>
      <c r="S482">
        <v>0</v>
      </c>
      <c r="T482">
        <v>0.11990000000000001</v>
      </c>
      <c r="U482">
        <v>-0.87839999999999996</v>
      </c>
      <c r="V482">
        <v>4.4000000000000003E-3</v>
      </c>
      <c r="W482">
        <v>-2.6595</v>
      </c>
      <c r="X482">
        <v>0.80049999999999999</v>
      </c>
      <c r="Y482">
        <v>-0.17519999999999999</v>
      </c>
      <c r="Z482">
        <v>7</v>
      </c>
      <c r="AA482">
        <v>55.2</v>
      </c>
      <c r="AB482">
        <v>7</v>
      </c>
      <c r="AC482">
        <v>60</v>
      </c>
      <c r="AD482">
        <v>0</v>
      </c>
      <c r="AE482">
        <v>0</v>
      </c>
      <c r="AF482">
        <v>42.938299999999998</v>
      </c>
      <c r="AG482">
        <v>130</v>
      </c>
      <c r="AH482">
        <v>0</v>
      </c>
      <c r="AJ482" s="4">
        <v>7400</v>
      </c>
      <c r="AK482">
        <v>203.2</v>
      </c>
      <c r="AL482">
        <v>-0.98929999999999996</v>
      </c>
      <c r="AM482">
        <v>202.6</v>
      </c>
      <c r="AN482">
        <v>-0.98340000000000005</v>
      </c>
      <c r="AO482">
        <v>202.1</v>
      </c>
      <c r="AP482">
        <v>-0.98370000000000002</v>
      </c>
      <c r="AQ482">
        <v>203.5</v>
      </c>
      <c r="AR482">
        <v>-0.91420000000000001</v>
      </c>
      <c r="AS482">
        <v>202.4</v>
      </c>
      <c r="AT482">
        <v>-0.91720000000000002</v>
      </c>
      <c r="AU482">
        <v>199.5</v>
      </c>
      <c r="AV482">
        <v>-0.96909999999999996</v>
      </c>
      <c r="AW482">
        <v>199.9</v>
      </c>
      <c r="AX482">
        <v>-0.95669999999999999</v>
      </c>
      <c r="AY482">
        <v>200.5</v>
      </c>
      <c r="AZ482">
        <v>-0.93559999999999999</v>
      </c>
      <c r="BA482">
        <v>201.5</v>
      </c>
      <c r="BB482">
        <v>-0.91849999999999998</v>
      </c>
      <c r="BC482">
        <v>199.2</v>
      </c>
      <c r="BD482">
        <v>-0.93110000000000004</v>
      </c>
      <c r="BE482">
        <v>201.6</v>
      </c>
      <c r="BF482">
        <v>-0.91839999999999999</v>
      </c>
      <c r="BG482">
        <v>2216</v>
      </c>
      <c r="BH482">
        <v>-10.417200000000001</v>
      </c>
    </row>
    <row r="483" spans="1:60" x14ac:dyDescent="0.35">
      <c r="A483" t="s">
        <v>34</v>
      </c>
      <c r="B483" s="1">
        <v>46146.65625</v>
      </c>
      <c r="C483" t="s">
        <v>34</v>
      </c>
      <c r="D483" s="1">
        <v>46147.625</v>
      </c>
      <c r="E483">
        <v>7260</v>
      </c>
      <c r="F483" t="s">
        <v>36</v>
      </c>
      <c r="G483">
        <v>46.49</v>
      </c>
      <c r="H483">
        <v>72.290000000000006</v>
      </c>
      <c r="I483">
        <v>27.8</v>
      </c>
      <c r="J483">
        <v>57.85</v>
      </c>
      <c r="K483">
        <v>265</v>
      </c>
      <c r="L483">
        <v>6</v>
      </c>
      <c r="M483">
        <v>60.2</v>
      </c>
      <c r="N483">
        <v>6</v>
      </c>
      <c r="O483">
        <v>61.5</v>
      </c>
      <c r="P483">
        <v>0</v>
      </c>
      <c r="Q483">
        <v>0</v>
      </c>
      <c r="R483">
        <v>0</v>
      </c>
      <c r="S483">
        <v>0</v>
      </c>
      <c r="T483">
        <v>0.1205</v>
      </c>
      <c r="U483">
        <v>-0.89780000000000004</v>
      </c>
      <c r="V483">
        <v>3.8999999999999998E-3</v>
      </c>
      <c r="W483">
        <v>-2.1606000000000001</v>
      </c>
      <c r="X483">
        <v>0.71319999999999995</v>
      </c>
      <c r="Y483">
        <v>-0.17910000000000001</v>
      </c>
      <c r="Z483">
        <v>7</v>
      </c>
      <c r="AA483">
        <v>59.9</v>
      </c>
      <c r="AB483">
        <v>7</v>
      </c>
      <c r="AC483">
        <v>64.5</v>
      </c>
      <c r="AD483">
        <v>0</v>
      </c>
      <c r="AE483">
        <v>0</v>
      </c>
      <c r="AF483">
        <v>37.994199999999999</v>
      </c>
      <c r="AG483">
        <v>88</v>
      </c>
      <c r="AH483">
        <v>0</v>
      </c>
      <c r="AJ483" s="4">
        <v>7405</v>
      </c>
      <c r="AK483">
        <v>211.4</v>
      </c>
      <c r="AL483">
        <v>-0.98950000000000005</v>
      </c>
      <c r="AM483">
        <v>209.9</v>
      </c>
      <c r="AN483">
        <v>-0.90739999999999998</v>
      </c>
      <c r="AO483">
        <v>209.3</v>
      </c>
      <c r="AP483">
        <v>-0.91039999999999999</v>
      </c>
      <c r="AQ483">
        <v>208.5</v>
      </c>
      <c r="AR483">
        <v>-0.91139999999999999</v>
      </c>
      <c r="AS483">
        <v>207.3</v>
      </c>
      <c r="AT483">
        <v>-0.91949999999999998</v>
      </c>
      <c r="BC483">
        <v>203.9</v>
      </c>
      <c r="BD483">
        <v>-0.93700000000000006</v>
      </c>
      <c r="BE483">
        <v>209.7</v>
      </c>
      <c r="BF483">
        <v>-0.93269999999999997</v>
      </c>
      <c r="BG483">
        <v>1460.0000000000002</v>
      </c>
      <c r="BH483">
        <v>-6.5079000000000002</v>
      </c>
    </row>
    <row r="484" spans="1:60" x14ac:dyDescent="0.35">
      <c r="A484" t="s">
        <v>34</v>
      </c>
      <c r="B484" s="1">
        <v>46146.65625</v>
      </c>
      <c r="C484" t="s">
        <v>34</v>
      </c>
      <c r="D484" s="1">
        <v>46147.625</v>
      </c>
      <c r="E484">
        <v>7265</v>
      </c>
      <c r="F484" t="s">
        <v>36</v>
      </c>
      <c r="G484">
        <v>49.87</v>
      </c>
      <c r="H484">
        <v>77.959999999999994</v>
      </c>
      <c r="I484">
        <v>30.8</v>
      </c>
      <c r="J484">
        <v>67.260000000000005</v>
      </c>
      <c r="K484">
        <v>72</v>
      </c>
      <c r="L484">
        <v>1</v>
      </c>
      <c r="M484">
        <v>64.599999999999994</v>
      </c>
      <c r="N484">
        <v>6</v>
      </c>
      <c r="O484">
        <v>66.099999999999994</v>
      </c>
      <c r="P484">
        <v>0</v>
      </c>
      <c r="Q484">
        <v>0</v>
      </c>
      <c r="R484">
        <v>0</v>
      </c>
      <c r="S484">
        <v>0</v>
      </c>
      <c r="T484">
        <v>0.11890000000000001</v>
      </c>
      <c r="U484">
        <v>-0.91879999999999995</v>
      </c>
      <c r="V484">
        <v>3.3E-3</v>
      </c>
      <c r="W484">
        <v>-1.6120000000000001</v>
      </c>
      <c r="X484">
        <v>0.60899999999999999</v>
      </c>
      <c r="Y484">
        <v>-0.1832</v>
      </c>
      <c r="Z484">
        <v>7</v>
      </c>
      <c r="AA484">
        <v>64.3</v>
      </c>
      <c r="AB484">
        <v>7</v>
      </c>
      <c r="AC484">
        <v>69.099999999999994</v>
      </c>
      <c r="AD484">
        <v>0</v>
      </c>
      <c r="AE484">
        <v>0</v>
      </c>
      <c r="AF484">
        <v>53.903300000000002</v>
      </c>
      <c r="AG484">
        <v>138</v>
      </c>
      <c r="AH484">
        <v>0</v>
      </c>
      <c r="AJ484" s="4">
        <v>7410</v>
      </c>
      <c r="AK484">
        <v>215.9</v>
      </c>
      <c r="AL484">
        <v>-0.9859</v>
      </c>
      <c r="AM484">
        <v>215.4</v>
      </c>
      <c r="AN484">
        <v>-0.99890000000000001</v>
      </c>
      <c r="AO484">
        <v>215.6</v>
      </c>
      <c r="AP484">
        <v>-0.97889999999999999</v>
      </c>
      <c r="AQ484">
        <v>214.5</v>
      </c>
      <c r="AR484">
        <v>-0.99009999999999998</v>
      </c>
      <c r="AS484">
        <v>212.3</v>
      </c>
      <c r="AT484">
        <v>-0.91739999999999999</v>
      </c>
      <c r="AU484">
        <v>212.6</v>
      </c>
      <c r="AV484">
        <v>-0.97260000000000002</v>
      </c>
      <c r="AW484">
        <v>212.6</v>
      </c>
      <c r="AX484">
        <v>-0.96150000000000002</v>
      </c>
      <c r="AY484">
        <v>213</v>
      </c>
      <c r="AZ484">
        <v>-0.95030000000000003</v>
      </c>
      <c r="BA484">
        <v>212.9</v>
      </c>
      <c r="BB484">
        <v>-0.93830000000000002</v>
      </c>
      <c r="BC484">
        <v>208.4</v>
      </c>
      <c r="BD484">
        <v>-0.94359999999999999</v>
      </c>
      <c r="BE484">
        <v>213.3</v>
      </c>
      <c r="BF484">
        <v>-0.94510000000000005</v>
      </c>
      <c r="BG484">
        <v>2346.5</v>
      </c>
      <c r="BH484">
        <v>-10.582600000000001</v>
      </c>
    </row>
    <row r="485" spans="1:60" x14ac:dyDescent="0.35">
      <c r="A485" t="s">
        <v>34</v>
      </c>
      <c r="B485" s="1">
        <v>46146.65625</v>
      </c>
      <c r="C485" t="s">
        <v>34</v>
      </c>
      <c r="D485" s="1">
        <v>46147.625</v>
      </c>
      <c r="E485">
        <v>7270</v>
      </c>
      <c r="F485" t="s">
        <v>36</v>
      </c>
      <c r="G485">
        <v>53.57</v>
      </c>
      <c r="H485">
        <v>87.87</v>
      </c>
      <c r="I485">
        <v>34.880000000000003</v>
      </c>
      <c r="J485">
        <v>73.64</v>
      </c>
      <c r="K485">
        <v>197</v>
      </c>
      <c r="L485">
        <v>1</v>
      </c>
      <c r="M485">
        <v>69.3</v>
      </c>
      <c r="N485">
        <v>10</v>
      </c>
      <c r="O485">
        <v>70.8</v>
      </c>
      <c r="P485">
        <v>0</v>
      </c>
      <c r="Q485">
        <v>0</v>
      </c>
      <c r="R485">
        <v>0</v>
      </c>
      <c r="S485">
        <v>0</v>
      </c>
      <c r="T485">
        <v>0.12</v>
      </c>
      <c r="U485">
        <v>-0.93210000000000004</v>
      </c>
      <c r="V485">
        <v>2.8999999999999998E-3</v>
      </c>
      <c r="W485">
        <v>-1.3127</v>
      </c>
      <c r="X485">
        <v>0.53580000000000005</v>
      </c>
      <c r="Y485">
        <v>-0.18590000000000001</v>
      </c>
      <c r="Z485">
        <v>7</v>
      </c>
      <c r="AA485">
        <v>69.099999999999994</v>
      </c>
      <c r="AB485">
        <v>7</v>
      </c>
      <c r="AC485">
        <v>73.8</v>
      </c>
      <c r="AD485">
        <v>0</v>
      </c>
      <c r="AE485">
        <v>0</v>
      </c>
      <c r="AF485">
        <v>63.777000000000001</v>
      </c>
      <c r="AG485">
        <v>74</v>
      </c>
      <c r="AH485">
        <v>0</v>
      </c>
      <c r="AJ485" s="4">
        <v>7415</v>
      </c>
      <c r="AK485">
        <v>220.8</v>
      </c>
      <c r="AL485">
        <v>-0.99980000000000002</v>
      </c>
      <c r="AM485">
        <v>220.3</v>
      </c>
      <c r="AN485">
        <v>-0.98419999999999996</v>
      </c>
      <c r="AO485">
        <v>220.5</v>
      </c>
      <c r="AP485">
        <v>-0.97989999999999999</v>
      </c>
      <c r="AQ485">
        <v>218.5</v>
      </c>
      <c r="AR485">
        <v>-0.97760000000000002</v>
      </c>
      <c r="AS485">
        <v>218.4</v>
      </c>
      <c r="AT485">
        <v>-0.9113</v>
      </c>
      <c r="BC485">
        <v>213</v>
      </c>
      <c r="BD485">
        <v>-0.94969999999999999</v>
      </c>
      <c r="BE485">
        <v>220.2</v>
      </c>
      <c r="BF485">
        <v>-0.93600000000000005</v>
      </c>
      <c r="BG485">
        <v>1531.7</v>
      </c>
      <c r="BH485">
        <v>-6.7384999999999993</v>
      </c>
    </row>
    <row r="486" spans="1:60" x14ac:dyDescent="0.35">
      <c r="A486" t="s">
        <v>34</v>
      </c>
      <c r="B486" s="1">
        <v>46146.65625</v>
      </c>
      <c r="C486" t="s">
        <v>34</v>
      </c>
      <c r="D486" s="1">
        <v>46147.625</v>
      </c>
      <c r="E486">
        <v>7275</v>
      </c>
      <c r="F486" t="s">
        <v>36</v>
      </c>
      <c r="G486">
        <v>57.47</v>
      </c>
      <c r="H486">
        <v>92.18</v>
      </c>
      <c r="I486">
        <v>37.799999999999997</v>
      </c>
      <c r="J486">
        <v>76.8</v>
      </c>
      <c r="K486">
        <v>111</v>
      </c>
      <c r="L486">
        <v>6</v>
      </c>
      <c r="M486">
        <v>74.099999999999994</v>
      </c>
      <c r="N486">
        <v>6</v>
      </c>
      <c r="O486">
        <v>75.5</v>
      </c>
      <c r="P486">
        <v>0</v>
      </c>
      <c r="Q486">
        <v>0</v>
      </c>
      <c r="R486">
        <v>0</v>
      </c>
      <c r="S486">
        <v>0</v>
      </c>
      <c r="T486">
        <v>0.12239999999999999</v>
      </c>
      <c r="U486">
        <v>-0.94169999999999998</v>
      </c>
      <c r="V486">
        <v>2.5000000000000001E-3</v>
      </c>
      <c r="W486">
        <v>-1.1132</v>
      </c>
      <c r="X486">
        <v>0.4783</v>
      </c>
      <c r="Y486">
        <v>-0.18779999999999999</v>
      </c>
      <c r="Z486">
        <v>7</v>
      </c>
      <c r="AA486">
        <v>74</v>
      </c>
      <c r="AB486">
        <v>7</v>
      </c>
      <c r="AC486">
        <v>78.599999999999994</v>
      </c>
      <c r="AD486">
        <v>0</v>
      </c>
      <c r="AE486">
        <v>0</v>
      </c>
      <c r="AF486">
        <v>57.902500000000003</v>
      </c>
      <c r="AG486">
        <v>72</v>
      </c>
      <c r="AH486">
        <v>0</v>
      </c>
      <c r="AJ486" s="4">
        <v>7420</v>
      </c>
      <c r="AK486">
        <v>228.8</v>
      </c>
      <c r="AL486">
        <v>-0.88570000000000004</v>
      </c>
      <c r="AM486">
        <v>228.1</v>
      </c>
      <c r="AN486">
        <v>-0.99680000000000002</v>
      </c>
      <c r="AO486">
        <v>227.4</v>
      </c>
      <c r="AP486">
        <v>-0.98429999999999995</v>
      </c>
      <c r="AQ486">
        <v>225.7</v>
      </c>
      <c r="AR486">
        <v>-0.89129999999999998</v>
      </c>
      <c r="AS486">
        <v>222.6</v>
      </c>
      <c r="AT486">
        <v>-0.92</v>
      </c>
      <c r="AU486">
        <v>222.9</v>
      </c>
      <c r="AV486">
        <v>-0.9758</v>
      </c>
      <c r="AW486">
        <v>223.2</v>
      </c>
      <c r="AX486">
        <v>-0.97</v>
      </c>
      <c r="AY486">
        <v>223.8</v>
      </c>
      <c r="AZ486">
        <v>-0.94610000000000005</v>
      </c>
      <c r="BA486">
        <v>223.8</v>
      </c>
      <c r="BB486">
        <v>-0.94089999999999996</v>
      </c>
      <c r="BC486">
        <v>217.6</v>
      </c>
      <c r="BD486">
        <v>-0.95589999999999997</v>
      </c>
      <c r="BE486">
        <v>224.8</v>
      </c>
      <c r="BF486">
        <v>-0.94340000000000002</v>
      </c>
      <c r="BG486">
        <v>2468.7000000000003</v>
      </c>
      <c r="BH486">
        <v>-10.4102</v>
      </c>
    </row>
    <row r="487" spans="1:60" x14ac:dyDescent="0.35">
      <c r="A487" t="s">
        <v>34</v>
      </c>
      <c r="B487" s="1">
        <v>46146.65625</v>
      </c>
      <c r="C487" t="s">
        <v>34</v>
      </c>
      <c r="D487" s="1">
        <v>46147.625</v>
      </c>
      <c r="E487">
        <v>7280</v>
      </c>
      <c r="F487" t="s">
        <v>36</v>
      </c>
      <c r="G487">
        <v>62.2</v>
      </c>
      <c r="H487">
        <v>81.47</v>
      </c>
      <c r="I487">
        <v>41.92</v>
      </c>
      <c r="J487">
        <v>81.47</v>
      </c>
      <c r="K487">
        <v>65</v>
      </c>
      <c r="L487">
        <v>1</v>
      </c>
      <c r="M487">
        <v>78.8</v>
      </c>
      <c r="N487">
        <v>6</v>
      </c>
      <c r="O487">
        <v>80.3</v>
      </c>
      <c r="P487">
        <v>0</v>
      </c>
      <c r="Q487">
        <v>0</v>
      </c>
      <c r="R487">
        <v>0</v>
      </c>
      <c r="S487">
        <v>0</v>
      </c>
      <c r="T487">
        <v>0.1211</v>
      </c>
      <c r="U487">
        <v>-0.95489999999999997</v>
      </c>
      <c r="V487">
        <v>2.0999999999999999E-3</v>
      </c>
      <c r="W487">
        <v>-0.81389999999999996</v>
      </c>
      <c r="X487">
        <v>0.39629999999999999</v>
      </c>
      <c r="Y487">
        <v>-0.19040000000000001</v>
      </c>
      <c r="Z487">
        <v>7</v>
      </c>
      <c r="AA487">
        <v>78.7</v>
      </c>
      <c r="AB487">
        <v>7</v>
      </c>
      <c r="AC487">
        <v>83.4</v>
      </c>
      <c r="AD487">
        <v>0</v>
      </c>
      <c r="AE487">
        <v>0</v>
      </c>
      <c r="AF487">
        <v>48.253999999999998</v>
      </c>
      <c r="AG487">
        <v>89</v>
      </c>
      <c r="AH487">
        <v>0</v>
      </c>
      <c r="AJ487" s="4">
        <v>7425</v>
      </c>
      <c r="AK487">
        <v>233.9</v>
      </c>
      <c r="AL487">
        <v>-0.88649999999999995</v>
      </c>
      <c r="AM487">
        <v>233.4</v>
      </c>
      <c r="AN487">
        <v>-0.98470000000000002</v>
      </c>
      <c r="AO487">
        <v>231.7</v>
      </c>
      <c r="AP487">
        <v>-0.89449999999999996</v>
      </c>
      <c r="AQ487">
        <v>231.7</v>
      </c>
      <c r="AR487">
        <v>-0.88360000000000005</v>
      </c>
      <c r="AS487">
        <v>229.6</v>
      </c>
      <c r="AT487">
        <v>-0.90359999999999996</v>
      </c>
      <c r="AU487">
        <v>230.8</v>
      </c>
      <c r="AV487">
        <v>-0.98299999999999998</v>
      </c>
      <c r="AW487">
        <v>230.2</v>
      </c>
      <c r="AX487">
        <v>-0.97789999999999999</v>
      </c>
      <c r="AY487">
        <v>228.7</v>
      </c>
      <c r="AZ487">
        <v>-0.97870000000000001</v>
      </c>
      <c r="BA487">
        <v>230.8</v>
      </c>
      <c r="BB487">
        <v>-0.94599999999999995</v>
      </c>
      <c r="BC487">
        <v>222.3</v>
      </c>
      <c r="BD487">
        <v>-0.96160000000000001</v>
      </c>
      <c r="BE487">
        <v>229.4</v>
      </c>
      <c r="BF487">
        <v>-0.94930000000000003</v>
      </c>
      <c r="BG487">
        <v>2532.5000000000005</v>
      </c>
      <c r="BH487">
        <v>-10.349399999999999</v>
      </c>
    </row>
    <row r="488" spans="1:60" x14ac:dyDescent="0.35">
      <c r="A488" t="s">
        <v>34</v>
      </c>
      <c r="B488" s="1">
        <v>46146.65625</v>
      </c>
      <c r="C488" t="s">
        <v>34</v>
      </c>
      <c r="D488" s="1">
        <v>46147.625</v>
      </c>
      <c r="E488">
        <v>7285</v>
      </c>
      <c r="F488" t="s">
        <v>36</v>
      </c>
      <c r="G488">
        <v>61.06</v>
      </c>
      <c r="H488">
        <v>90.32</v>
      </c>
      <c r="I488">
        <v>48.71</v>
      </c>
      <c r="J488">
        <v>83.65</v>
      </c>
      <c r="K488">
        <v>70</v>
      </c>
      <c r="L488">
        <v>1</v>
      </c>
      <c r="M488">
        <v>83.6</v>
      </c>
      <c r="N488">
        <v>7</v>
      </c>
      <c r="O488">
        <v>85.5</v>
      </c>
      <c r="P488">
        <v>0</v>
      </c>
      <c r="Q488">
        <v>0</v>
      </c>
      <c r="R488">
        <v>0</v>
      </c>
      <c r="S488">
        <v>0</v>
      </c>
      <c r="T488">
        <v>0.1235</v>
      </c>
      <c r="U488">
        <v>-0.96120000000000005</v>
      </c>
      <c r="V488">
        <v>1.8E-3</v>
      </c>
      <c r="W488">
        <v>-0.69420000000000004</v>
      </c>
      <c r="X488">
        <v>0.35270000000000001</v>
      </c>
      <c r="Y488">
        <v>-0.19159999999999999</v>
      </c>
      <c r="Z488">
        <v>7</v>
      </c>
      <c r="AA488">
        <v>83.6</v>
      </c>
      <c r="AB488">
        <v>7</v>
      </c>
      <c r="AC488">
        <v>88.4</v>
      </c>
      <c r="AD488">
        <v>0</v>
      </c>
      <c r="AE488">
        <v>0</v>
      </c>
      <c r="AF488">
        <v>75.952699999999993</v>
      </c>
      <c r="AG488">
        <v>19</v>
      </c>
      <c r="AH488">
        <v>0</v>
      </c>
      <c r="AJ488" s="4">
        <v>7430</v>
      </c>
      <c r="AK488">
        <v>239.9</v>
      </c>
      <c r="AL488">
        <v>-0.98260000000000003</v>
      </c>
      <c r="AM488">
        <v>238</v>
      </c>
      <c r="AN488">
        <v>-0.98970000000000002</v>
      </c>
      <c r="AO488">
        <v>238.2</v>
      </c>
      <c r="AP488">
        <v>-0.98470000000000002</v>
      </c>
      <c r="AQ488">
        <v>236.3</v>
      </c>
      <c r="AR488">
        <v>-0.88780000000000003</v>
      </c>
      <c r="AS488">
        <v>234.6</v>
      </c>
      <c r="AT488">
        <v>-0.90480000000000005</v>
      </c>
      <c r="AU488">
        <v>235</v>
      </c>
      <c r="AV488">
        <v>-0.98540000000000005</v>
      </c>
      <c r="AW488">
        <v>235.3</v>
      </c>
      <c r="AX488">
        <v>-0.97270000000000001</v>
      </c>
      <c r="AY488">
        <v>234.2</v>
      </c>
      <c r="AZ488">
        <v>-0.98660000000000003</v>
      </c>
      <c r="BA488">
        <v>235.5</v>
      </c>
      <c r="BB488">
        <v>-0.95289999999999997</v>
      </c>
      <c r="BC488">
        <v>227</v>
      </c>
      <c r="BD488">
        <v>-0.96679999999999999</v>
      </c>
      <c r="BE488">
        <v>234</v>
      </c>
      <c r="BF488">
        <v>-0.95450000000000002</v>
      </c>
      <c r="BG488">
        <v>2588</v>
      </c>
      <c r="BH488">
        <v>-10.568499999999998</v>
      </c>
    </row>
    <row r="489" spans="1:60" x14ac:dyDescent="0.35">
      <c r="A489" t="s">
        <v>34</v>
      </c>
      <c r="B489" s="1">
        <v>46146.65625</v>
      </c>
      <c r="C489" t="s">
        <v>34</v>
      </c>
      <c r="D489" s="1">
        <v>46147.625</v>
      </c>
      <c r="E489">
        <v>7290</v>
      </c>
      <c r="F489" t="s">
        <v>36</v>
      </c>
      <c r="G489">
        <v>51.59</v>
      </c>
      <c r="H489">
        <v>95.17</v>
      </c>
      <c r="I489">
        <v>49.5</v>
      </c>
      <c r="J489">
        <v>90.13</v>
      </c>
      <c r="K489">
        <v>71</v>
      </c>
      <c r="L489">
        <v>5</v>
      </c>
      <c r="M489">
        <v>88.4</v>
      </c>
      <c r="N489">
        <v>1</v>
      </c>
      <c r="O489">
        <v>90.2</v>
      </c>
      <c r="P489">
        <v>0</v>
      </c>
      <c r="Q489">
        <v>0</v>
      </c>
      <c r="R489">
        <v>0</v>
      </c>
      <c r="S489">
        <v>0</v>
      </c>
      <c r="T489">
        <v>0.1231</v>
      </c>
      <c r="U489">
        <v>-0.9698</v>
      </c>
      <c r="V489">
        <v>1.5E-3</v>
      </c>
      <c r="W489">
        <v>-0.51459999999999995</v>
      </c>
      <c r="X489">
        <v>0.29120000000000001</v>
      </c>
      <c r="Y489">
        <v>-0.1933</v>
      </c>
      <c r="Z489">
        <v>6</v>
      </c>
      <c r="AA489">
        <v>88.5</v>
      </c>
      <c r="AB489">
        <v>6</v>
      </c>
      <c r="AC489">
        <v>93.5</v>
      </c>
      <c r="AD489">
        <v>0</v>
      </c>
      <c r="AE489">
        <v>0</v>
      </c>
      <c r="AF489">
        <v>86.761099999999999</v>
      </c>
      <c r="AG489">
        <v>13</v>
      </c>
      <c r="AH489">
        <v>0</v>
      </c>
      <c r="AJ489" s="4">
        <v>7435</v>
      </c>
      <c r="AK489">
        <v>243.9</v>
      </c>
      <c r="AL489">
        <v>-0.88929999999999998</v>
      </c>
      <c r="AM489">
        <v>243.6</v>
      </c>
      <c r="AN489">
        <v>-0.98309999999999997</v>
      </c>
      <c r="AO489">
        <v>242.7</v>
      </c>
      <c r="AP489">
        <v>-0.89</v>
      </c>
      <c r="AQ489">
        <v>241.3</v>
      </c>
      <c r="AR489">
        <v>-0.89329999999999998</v>
      </c>
      <c r="AS489">
        <v>240.1</v>
      </c>
      <c r="AT489">
        <v>-0.90210000000000001</v>
      </c>
      <c r="BC489">
        <v>231.7</v>
      </c>
      <c r="BD489">
        <v>-0.97209999999999996</v>
      </c>
      <c r="BE489">
        <v>238.7</v>
      </c>
      <c r="BF489">
        <v>-0.95920000000000005</v>
      </c>
      <c r="BG489">
        <v>1682</v>
      </c>
      <c r="BH489">
        <v>-6.4891000000000005</v>
      </c>
    </row>
    <row r="490" spans="1:60" x14ac:dyDescent="0.35">
      <c r="A490" t="s">
        <v>34</v>
      </c>
      <c r="B490" s="1">
        <v>46146.65625</v>
      </c>
      <c r="C490" t="s">
        <v>34</v>
      </c>
      <c r="D490" s="1">
        <v>46147.625</v>
      </c>
      <c r="E490">
        <v>7295</v>
      </c>
      <c r="F490" t="s">
        <v>36</v>
      </c>
      <c r="G490">
        <v>74.16</v>
      </c>
      <c r="H490">
        <v>97.08</v>
      </c>
      <c r="I490">
        <v>55.9</v>
      </c>
      <c r="J490">
        <v>85.19</v>
      </c>
      <c r="K490">
        <v>26</v>
      </c>
      <c r="L490">
        <v>1</v>
      </c>
      <c r="M490">
        <v>93.5</v>
      </c>
      <c r="N490">
        <v>6</v>
      </c>
      <c r="O490">
        <v>95.4</v>
      </c>
      <c r="P490">
        <v>0</v>
      </c>
      <c r="Q490">
        <v>0</v>
      </c>
      <c r="R490">
        <v>0</v>
      </c>
      <c r="S490">
        <v>0</v>
      </c>
      <c r="T490">
        <v>0.13150000000000001</v>
      </c>
      <c r="U490">
        <v>-0.96819999999999995</v>
      </c>
      <c r="V490">
        <v>1.4E-3</v>
      </c>
      <c r="W490">
        <v>-0.58450000000000002</v>
      </c>
      <c r="X490">
        <v>0.30080000000000001</v>
      </c>
      <c r="Y490">
        <v>-0.193</v>
      </c>
      <c r="Z490">
        <v>6</v>
      </c>
      <c r="AA490">
        <v>93.3</v>
      </c>
      <c r="AB490">
        <v>6</v>
      </c>
      <c r="AC490">
        <v>98.2</v>
      </c>
      <c r="AD490">
        <v>0</v>
      </c>
      <c r="AE490">
        <v>0</v>
      </c>
      <c r="AF490">
        <v>84.202699999999993</v>
      </c>
      <c r="AG490">
        <v>9</v>
      </c>
      <c r="AH490">
        <v>0</v>
      </c>
      <c r="AJ490" s="4">
        <v>7440</v>
      </c>
      <c r="AK490">
        <v>250</v>
      </c>
      <c r="AL490">
        <v>-0.98029999999999995</v>
      </c>
      <c r="AM490">
        <v>248</v>
      </c>
      <c r="AN490">
        <v>-0.99</v>
      </c>
      <c r="AO490">
        <v>247.7</v>
      </c>
      <c r="AP490">
        <v>-0.99660000000000004</v>
      </c>
      <c r="AQ490">
        <v>246.4</v>
      </c>
      <c r="AR490">
        <v>-0.88990000000000002</v>
      </c>
      <c r="AS490">
        <v>244.5</v>
      </c>
      <c r="AT490">
        <v>-0.90800000000000003</v>
      </c>
      <c r="AU490">
        <v>245.4</v>
      </c>
      <c r="AV490">
        <v>-0.88959999999999995</v>
      </c>
      <c r="AW490">
        <v>245.6</v>
      </c>
      <c r="AX490">
        <v>-0.97419999999999995</v>
      </c>
      <c r="AY490">
        <v>244.3</v>
      </c>
      <c r="AZ490">
        <v>-0.89449999999999996</v>
      </c>
      <c r="BA490">
        <v>245</v>
      </c>
      <c r="BB490">
        <v>-0.95879999999999999</v>
      </c>
      <c r="BC490">
        <v>236.4</v>
      </c>
      <c r="BD490">
        <v>-0.97670000000000001</v>
      </c>
      <c r="BE490">
        <v>243.4</v>
      </c>
      <c r="BF490">
        <v>-0.96399999999999997</v>
      </c>
      <c r="BG490">
        <v>2696.7</v>
      </c>
      <c r="BH490">
        <v>-10.422599999999999</v>
      </c>
    </row>
    <row r="491" spans="1:60" x14ac:dyDescent="0.35">
      <c r="A491" t="s">
        <v>34</v>
      </c>
      <c r="B491" s="1">
        <v>46146.65625</v>
      </c>
      <c r="C491" t="s">
        <v>34</v>
      </c>
      <c r="D491" s="1">
        <v>46147.625</v>
      </c>
      <c r="E491">
        <v>7300</v>
      </c>
      <c r="F491" t="s">
        <v>36</v>
      </c>
      <c r="G491">
        <v>78.819999999999993</v>
      </c>
      <c r="H491">
        <v>111.3</v>
      </c>
      <c r="I491">
        <v>58.63</v>
      </c>
      <c r="J491">
        <v>99.95</v>
      </c>
      <c r="K491">
        <v>61</v>
      </c>
      <c r="L491">
        <v>1</v>
      </c>
      <c r="M491">
        <v>98.4</v>
      </c>
      <c r="N491">
        <v>1</v>
      </c>
      <c r="O491">
        <v>102.8</v>
      </c>
      <c r="P491">
        <v>0</v>
      </c>
      <c r="Q491">
        <v>0</v>
      </c>
      <c r="R491">
        <v>0</v>
      </c>
      <c r="S491">
        <v>0</v>
      </c>
      <c r="T491">
        <v>0.1336</v>
      </c>
      <c r="U491">
        <v>-0.97270000000000001</v>
      </c>
      <c r="V491">
        <v>1.1999999999999999E-3</v>
      </c>
      <c r="W491">
        <v>-0.49469999999999997</v>
      </c>
      <c r="X491">
        <v>0.26590000000000003</v>
      </c>
      <c r="Y491">
        <v>-0.19389999999999999</v>
      </c>
      <c r="Z491">
        <v>6</v>
      </c>
      <c r="AA491">
        <v>98.4</v>
      </c>
      <c r="AB491">
        <v>6</v>
      </c>
      <c r="AC491">
        <v>103.4</v>
      </c>
      <c r="AD491">
        <v>0</v>
      </c>
      <c r="AE491">
        <v>0</v>
      </c>
      <c r="AF491">
        <v>92.264300000000006</v>
      </c>
      <c r="AG491">
        <v>86</v>
      </c>
      <c r="AH491">
        <v>0</v>
      </c>
      <c r="AJ491" s="4">
        <v>7445</v>
      </c>
      <c r="AK491">
        <v>255.2</v>
      </c>
      <c r="AL491">
        <v>-0.98060000000000003</v>
      </c>
      <c r="AM491">
        <v>253</v>
      </c>
      <c r="AN491">
        <v>-0.99009999999999998</v>
      </c>
      <c r="AO491">
        <v>252.2</v>
      </c>
      <c r="AP491">
        <v>-0.89510000000000001</v>
      </c>
      <c r="AQ491">
        <v>251.3</v>
      </c>
      <c r="AR491">
        <v>-0.89849999999999997</v>
      </c>
      <c r="AS491">
        <v>250.5</v>
      </c>
      <c r="AT491">
        <v>-0.90149999999999997</v>
      </c>
      <c r="BC491">
        <v>241.2</v>
      </c>
      <c r="BD491">
        <v>-0.98160000000000003</v>
      </c>
      <c r="BE491">
        <v>248.1</v>
      </c>
      <c r="BF491">
        <v>-0.96889999999999998</v>
      </c>
      <c r="BG491">
        <v>1751.5</v>
      </c>
      <c r="BH491">
        <v>-6.6162999999999998</v>
      </c>
    </row>
    <row r="492" spans="1:60" x14ac:dyDescent="0.35">
      <c r="A492" t="s">
        <v>34</v>
      </c>
      <c r="B492" s="1">
        <v>46146.65625</v>
      </c>
      <c r="C492" t="s">
        <v>34</v>
      </c>
      <c r="D492" s="1">
        <v>46147.625</v>
      </c>
      <c r="E492">
        <v>7305</v>
      </c>
      <c r="F492" t="s">
        <v>36</v>
      </c>
      <c r="G492">
        <v>84.31</v>
      </c>
      <c r="H492">
        <v>102.5</v>
      </c>
      <c r="I492">
        <v>73.489999999999995</v>
      </c>
      <c r="J492">
        <v>102.5</v>
      </c>
      <c r="K492">
        <v>17</v>
      </c>
      <c r="L492">
        <v>1</v>
      </c>
      <c r="M492">
        <v>100.7</v>
      </c>
      <c r="N492">
        <v>1</v>
      </c>
      <c r="O492">
        <v>107.6</v>
      </c>
      <c r="P492">
        <v>0</v>
      </c>
      <c r="Q492">
        <v>0</v>
      </c>
      <c r="R492">
        <v>0</v>
      </c>
      <c r="S492">
        <v>0</v>
      </c>
      <c r="T492">
        <v>0.13789999999999999</v>
      </c>
      <c r="U492">
        <v>-0.9748</v>
      </c>
      <c r="V492">
        <v>1.1000000000000001E-3</v>
      </c>
      <c r="W492">
        <v>-0.46479999999999999</v>
      </c>
      <c r="X492">
        <v>0.24879999999999999</v>
      </c>
      <c r="Y492">
        <v>-0.1943</v>
      </c>
      <c r="Z492">
        <v>1</v>
      </c>
      <c r="AA492">
        <v>101.6</v>
      </c>
      <c r="AB492">
        <v>1</v>
      </c>
      <c r="AC492">
        <v>111.5</v>
      </c>
      <c r="AD492">
        <v>0</v>
      </c>
      <c r="AE492">
        <v>0</v>
      </c>
      <c r="AF492">
        <v>99.723500000000001</v>
      </c>
      <c r="AG492">
        <v>9</v>
      </c>
      <c r="AH492">
        <v>0</v>
      </c>
      <c r="AJ492" s="4">
        <v>7450</v>
      </c>
      <c r="AK492">
        <v>258.89999999999998</v>
      </c>
      <c r="AL492">
        <v>-0.89319999999999999</v>
      </c>
      <c r="AM492">
        <v>258.5</v>
      </c>
      <c r="AN492">
        <v>-0.98480000000000001</v>
      </c>
      <c r="AO492">
        <v>256.7</v>
      </c>
      <c r="AP492">
        <v>-0.89580000000000004</v>
      </c>
      <c r="AQ492">
        <v>256.60000000000002</v>
      </c>
      <c r="AR492">
        <v>-0.98939999999999995</v>
      </c>
      <c r="AS492">
        <v>254.5</v>
      </c>
      <c r="AT492">
        <v>-0.91020000000000001</v>
      </c>
      <c r="AU492">
        <v>255.2</v>
      </c>
      <c r="AV492">
        <v>-0.9859</v>
      </c>
      <c r="AW492">
        <v>254.9</v>
      </c>
      <c r="AX492">
        <v>-0.9839</v>
      </c>
      <c r="AY492">
        <v>254</v>
      </c>
      <c r="AZ492">
        <v>-0.89339999999999997</v>
      </c>
      <c r="BA492">
        <v>254.6</v>
      </c>
      <c r="BB492">
        <v>-0.97009999999999996</v>
      </c>
      <c r="BC492">
        <v>246</v>
      </c>
      <c r="BD492">
        <v>-0.98580000000000001</v>
      </c>
      <c r="BE492">
        <v>253.8</v>
      </c>
      <c r="BF492">
        <v>-0.89</v>
      </c>
      <c r="BG492">
        <v>2803.7000000000003</v>
      </c>
      <c r="BH492">
        <v>-10.3825</v>
      </c>
    </row>
    <row r="493" spans="1:60" x14ac:dyDescent="0.35">
      <c r="A493" t="s">
        <v>34</v>
      </c>
      <c r="B493" s="1">
        <v>46146.65625</v>
      </c>
      <c r="C493" t="s">
        <v>34</v>
      </c>
      <c r="D493" s="1">
        <v>46147.625</v>
      </c>
      <c r="E493">
        <v>7310</v>
      </c>
      <c r="F493" t="s">
        <v>36</v>
      </c>
      <c r="G493">
        <v>103.41</v>
      </c>
      <c r="H493">
        <v>103.41</v>
      </c>
      <c r="I493">
        <v>100.52</v>
      </c>
      <c r="J493">
        <v>100.52</v>
      </c>
      <c r="K493">
        <v>4</v>
      </c>
      <c r="L493">
        <v>1</v>
      </c>
      <c r="M493">
        <v>105.9</v>
      </c>
      <c r="N493">
        <v>1</v>
      </c>
      <c r="O493">
        <v>112.7</v>
      </c>
      <c r="P493">
        <v>0</v>
      </c>
      <c r="Q493">
        <v>0</v>
      </c>
      <c r="R493">
        <v>0</v>
      </c>
      <c r="S493">
        <v>0</v>
      </c>
      <c r="T493">
        <v>0.15110000000000001</v>
      </c>
      <c r="U493">
        <v>-0.96930000000000005</v>
      </c>
      <c r="V493">
        <v>1.1999999999999999E-3</v>
      </c>
      <c r="W493">
        <v>-0.64429999999999998</v>
      </c>
      <c r="X493">
        <v>0.28799999999999998</v>
      </c>
      <c r="Y493">
        <v>-0.19320000000000001</v>
      </c>
      <c r="Z493">
        <v>1</v>
      </c>
      <c r="AA493">
        <v>104</v>
      </c>
      <c r="AB493">
        <v>1</v>
      </c>
      <c r="AC493">
        <v>118.4</v>
      </c>
      <c r="AD493">
        <v>0</v>
      </c>
      <c r="AE493">
        <v>0</v>
      </c>
      <c r="AF493">
        <v>101.24250000000001</v>
      </c>
      <c r="AG493">
        <v>73</v>
      </c>
      <c r="AH493">
        <v>0</v>
      </c>
      <c r="AJ493" s="4">
        <v>7455</v>
      </c>
      <c r="BC493">
        <v>250.8</v>
      </c>
      <c r="BD493">
        <v>-0.98909999999999998</v>
      </c>
      <c r="BE493">
        <v>259.10000000000002</v>
      </c>
      <c r="BF493">
        <v>-0.89070000000000005</v>
      </c>
      <c r="BG493">
        <v>509.90000000000003</v>
      </c>
      <c r="BH493">
        <v>-1.8797999999999999</v>
      </c>
    </row>
    <row r="494" spans="1:60" x14ac:dyDescent="0.35">
      <c r="A494" t="s">
        <v>34</v>
      </c>
      <c r="B494" s="1">
        <v>46146.65625</v>
      </c>
      <c r="C494" t="s">
        <v>34</v>
      </c>
      <c r="D494" s="1">
        <v>46147.625</v>
      </c>
      <c r="E494">
        <v>7315</v>
      </c>
      <c r="F494" t="s">
        <v>36</v>
      </c>
      <c r="G494">
        <v>81.7</v>
      </c>
      <c r="H494">
        <v>110.11</v>
      </c>
      <c r="I494">
        <v>75</v>
      </c>
      <c r="J494">
        <v>110.11</v>
      </c>
      <c r="K494">
        <v>162</v>
      </c>
      <c r="L494">
        <v>1</v>
      </c>
      <c r="M494">
        <v>110.9</v>
      </c>
      <c r="N494">
        <v>1</v>
      </c>
      <c r="O494">
        <v>117.9</v>
      </c>
      <c r="P494">
        <v>0</v>
      </c>
      <c r="Q494">
        <v>0</v>
      </c>
      <c r="R494">
        <v>0</v>
      </c>
      <c r="S494">
        <v>0</v>
      </c>
      <c r="T494">
        <v>0.16070000000000001</v>
      </c>
      <c r="U494">
        <v>-0.96699999999999997</v>
      </c>
      <c r="V494">
        <v>1.1999999999999999E-3</v>
      </c>
      <c r="W494">
        <v>-0.74409999999999998</v>
      </c>
      <c r="X494">
        <v>0.30249999999999999</v>
      </c>
      <c r="Y494">
        <v>-0.1928</v>
      </c>
      <c r="Z494">
        <v>1</v>
      </c>
      <c r="AA494">
        <v>108.9</v>
      </c>
      <c r="AB494">
        <v>1</v>
      </c>
      <c r="AC494">
        <v>123.9</v>
      </c>
      <c r="AD494">
        <v>0</v>
      </c>
      <c r="AE494">
        <v>0</v>
      </c>
      <c r="AF494">
        <v>86.419899999999998</v>
      </c>
      <c r="AG494">
        <v>2</v>
      </c>
      <c r="AH494">
        <v>0</v>
      </c>
      <c r="AJ494" s="4">
        <v>7460</v>
      </c>
      <c r="AK494">
        <v>269.3</v>
      </c>
      <c r="AL494">
        <v>-0.99129999999999996</v>
      </c>
      <c r="AM494">
        <v>268.39999999999998</v>
      </c>
      <c r="AN494">
        <v>-0.89449999999999996</v>
      </c>
      <c r="AO494">
        <v>267.5</v>
      </c>
      <c r="AP494">
        <v>-0.89290000000000003</v>
      </c>
      <c r="AQ494">
        <v>267.2</v>
      </c>
      <c r="AR494">
        <v>-0.99319999999999997</v>
      </c>
      <c r="AS494">
        <v>264.39999999999998</v>
      </c>
      <c r="AT494">
        <v>-0.91300000000000003</v>
      </c>
      <c r="BC494">
        <v>255.7</v>
      </c>
      <c r="BD494">
        <v>-0.97189999999999999</v>
      </c>
      <c r="BE494">
        <v>263.8</v>
      </c>
      <c r="BF494">
        <v>-0.89190000000000003</v>
      </c>
      <c r="BG494">
        <v>1856.3000000000002</v>
      </c>
      <c r="BH494">
        <v>-6.5486999999999993</v>
      </c>
    </row>
    <row r="495" spans="1:60" x14ac:dyDescent="0.35">
      <c r="A495" t="s">
        <v>34</v>
      </c>
      <c r="B495" s="1">
        <v>46146.65625</v>
      </c>
      <c r="C495" t="s">
        <v>34</v>
      </c>
      <c r="D495" s="1">
        <v>46147.625</v>
      </c>
      <c r="E495">
        <v>7320</v>
      </c>
      <c r="F495" t="s">
        <v>36</v>
      </c>
      <c r="G495">
        <v>90.8</v>
      </c>
      <c r="H495">
        <v>130.65</v>
      </c>
      <c r="I495">
        <v>90.8</v>
      </c>
      <c r="J495">
        <v>119.16</v>
      </c>
      <c r="K495">
        <v>16</v>
      </c>
      <c r="L495">
        <v>1</v>
      </c>
      <c r="M495">
        <v>115.6</v>
      </c>
      <c r="N495">
        <v>1</v>
      </c>
      <c r="O495">
        <v>122.8</v>
      </c>
      <c r="P495">
        <v>0</v>
      </c>
      <c r="Q495">
        <v>0</v>
      </c>
      <c r="R495">
        <v>0</v>
      </c>
      <c r="S495">
        <v>0</v>
      </c>
      <c r="T495">
        <v>0.1583</v>
      </c>
      <c r="U495">
        <v>-0.97440000000000004</v>
      </c>
      <c r="V495">
        <v>1E-3</v>
      </c>
      <c r="W495">
        <v>-0.54459999999999997</v>
      </c>
      <c r="X495">
        <v>0.24829999999999999</v>
      </c>
      <c r="Y495">
        <v>-0.19420000000000001</v>
      </c>
      <c r="Z495">
        <v>1</v>
      </c>
      <c r="AA495">
        <v>113.9</v>
      </c>
      <c r="AB495">
        <v>1</v>
      </c>
      <c r="AC495">
        <v>128.4</v>
      </c>
      <c r="AD495">
        <v>0</v>
      </c>
      <c r="AE495">
        <v>0</v>
      </c>
      <c r="AF495">
        <v>120.60250000000001</v>
      </c>
      <c r="AG495">
        <v>0</v>
      </c>
      <c r="AH495">
        <v>0</v>
      </c>
      <c r="AJ495" s="4">
        <v>7465</v>
      </c>
      <c r="BC495">
        <v>260.5</v>
      </c>
      <c r="BD495">
        <v>-0.97529999999999994</v>
      </c>
      <c r="BE495">
        <v>268.60000000000002</v>
      </c>
      <c r="BF495">
        <v>-0.89629999999999999</v>
      </c>
      <c r="BG495">
        <v>529.1</v>
      </c>
      <c r="BH495">
        <v>-1.8715999999999999</v>
      </c>
    </row>
    <row r="496" spans="1:60" x14ac:dyDescent="0.35">
      <c r="A496" t="s">
        <v>34</v>
      </c>
      <c r="B496" s="1">
        <v>46146.65625</v>
      </c>
      <c r="C496" t="s">
        <v>34</v>
      </c>
      <c r="D496" s="1">
        <v>46147.625</v>
      </c>
      <c r="E496">
        <v>7325</v>
      </c>
      <c r="F496" t="s">
        <v>36</v>
      </c>
      <c r="G496">
        <v>102.76</v>
      </c>
      <c r="H496">
        <v>122.51</v>
      </c>
      <c r="I496">
        <v>87.72</v>
      </c>
      <c r="J496">
        <v>122.51</v>
      </c>
      <c r="K496">
        <v>3</v>
      </c>
      <c r="L496">
        <v>1</v>
      </c>
      <c r="M496">
        <v>120.8</v>
      </c>
      <c r="N496">
        <v>1</v>
      </c>
      <c r="O496">
        <v>127.6</v>
      </c>
      <c r="P496">
        <v>0</v>
      </c>
      <c r="Q496">
        <v>0</v>
      </c>
      <c r="R496">
        <v>0</v>
      </c>
      <c r="S496">
        <v>0</v>
      </c>
      <c r="T496">
        <v>0.1638</v>
      </c>
      <c r="U496">
        <v>-0.97509999999999997</v>
      </c>
      <c r="V496">
        <v>8.9999999999999998E-4</v>
      </c>
      <c r="W496">
        <v>-0.54459999999999997</v>
      </c>
      <c r="X496">
        <v>0.24179999999999999</v>
      </c>
      <c r="Y496">
        <v>-0.19439999999999999</v>
      </c>
      <c r="Z496">
        <v>1</v>
      </c>
      <c r="AA496">
        <v>118.9</v>
      </c>
      <c r="AB496">
        <v>3</v>
      </c>
      <c r="AC496">
        <v>134</v>
      </c>
      <c r="AD496">
        <v>0</v>
      </c>
      <c r="AE496">
        <v>0</v>
      </c>
      <c r="AF496">
        <v>104.33</v>
      </c>
      <c r="AG496">
        <v>7</v>
      </c>
      <c r="AH496">
        <v>0</v>
      </c>
      <c r="AJ496" s="4">
        <v>7470</v>
      </c>
      <c r="AK496">
        <v>278.8</v>
      </c>
      <c r="AL496">
        <v>-0.99380000000000002</v>
      </c>
      <c r="AM496">
        <v>278</v>
      </c>
      <c r="AN496">
        <v>-0.89939999999999998</v>
      </c>
      <c r="AO496">
        <v>276.10000000000002</v>
      </c>
      <c r="AP496">
        <v>-0.90739999999999998</v>
      </c>
      <c r="AQ496">
        <v>277.10000000000002</v>
      </c>
      <c r="AR496">
        <v>-0.99590000000000001</v>
      </c>
      <c r="AS496">
        <v>274.5</v>
      </c>
      <c r="AT496">
        <v>-0.91420000000000001</v>
      </c>
      <c r="BC496">
        <v>265.39999999999998</v>
      </c>
      <c r="BD496">
        <v>-0.97330000000000005</v>
      </c>
      <c r="BE496">
        <v>273.5</v>
      </c>
      <c r="BF496">
        <v>-0.89800000000000002</v>
      </c>
      <c r="BG496">
        <v>1923.4</v>
      </c>
      <c r="BH496">
        <v>-6.5819999999999999</v>
      </c>
    </row>
    <row r="497" spans="1:60" x14ac:dyDescent="0.35">
      <c r="A497" t="s">
        <v>34</v>
      </c>
      <c r="B497" s="1">
        <v>46146.65625</v>
      </c>
      <c r="C497" t="s">
        <v>34</v>
      </c>
      <c r="D497" s="1">
        <v>46147.625</v>
      </c>
      <c r="E497">
        <v>7330</v>
      </c>
      <c r="F497" t="s">
        <v>36</v>
      </c>
      <c r="G497">
        <v>127.46</v>
      </c>
      <c r="H497">
        <v>127.46</v>
      </c>
      <c r="I497">
        <v>126.88</v>
      </c>
      <c r="J497">
        <v>126.88</v>
      </c>
      <c r="K497">
        <v>2</v>
      </c>
      <c r="L497">
        <v>1</v>
      </c>
      <c r="M497">
        <v>125.8</v>
      </c>
      <c r="N497">
        <v>1</v>
      </c>
      <c r="O497">
        <v>132.80000000000001</v>
      </c>
      <c r="P497">
        <v>0</v>
      </c>
      <c r="Q497">
        <v>0</v>
      </c>
      <c r="R497">
        <v>0</v>
      </c>
      <c r="S497">
        <v>0</v>
      </c>
      <c r="T497">
        <v>0.1739</v>
      </c>
      <c r="U497">
        <v>-0.97270000000000001</v>
      </c>
      <c r="V497">
        <v>1E-3</v>
      </c>
      <c r="W497">
        <v>-0.64439999999999997</v>
      </c>
      <c r="X497">
        <v>0.25850000000000001</v>
      </c>
      <c r="Y497">
        <v>-0.19389999999999999</v>
      </c>
      <c r="Z497">
        <v>1</v>
      </c>
      <c r="AA497">
        <v>123.9</v>
      </c>
      <c r="AB497">
        <v>1</v>
      </c>
      <c r="AC497">
        <v>138.9</v>
      </c>
      <c r="AD497">
        <v>0</v>
      </c>
      <c r="AE497">
        <v>0</v>
      </c>
      <c r="AF497">
        <v>127.17</v>
      </c>
      <c r="AG497">
        <v>1</v>
      </c>
      <c r="AH497">
        <v>0</v>
      </c>
      <c r="AJ497" s="4">
        <v>7475</v>
      </c>
      <c r="AK497">
        <v>283.89999999999998</v>
      </c>
      <c r="AL497">
        <v>-0.99270000000000003</v>
      </c>
      <c r="AM497">
        <v>283.3</v>
      </c>
      <c r="AN497">
        <v>-0.89849999999999997</v>
      </c>
      <c r="AO497">
        <v>282.39999999999998</v>
      </c>
      <c r="AP497">
        <v>-0.89700000000000002</v>
      </c>
      <c r="AQ497">
        <v>280.8</v>
      </c>
      <c r="AR497">
        <v>-0.90600000000000003</v>
      </c>
      <c r="AS497">
        <v>279.5</v>
      </c>
      <c r="AT497">
        <v>-0.91520000000000001</v>
      </c>
      <c r="AU497">
        <v>280.10000000000002</v>
      </c>
      <c r="AV497">
        <v>-0.99419999999999997</v>
      </c>
      <c r="AW497">
        <v>279.8</v>
      </c>
      <c r="AX497">
        <v>-0.99060000000000004</v>
      </c>
      <c r="AY497">
        <v>279.89999999999998</v>
      </c>
      <c r="AZ497">
        <v>-0.98599999999999999</v>
      </c>
      <c r="BA497">
        <v>279</v>
      </c>
      <c r="BB497">
        <v>-0.97940000000000005</v>
      </c>
      <c r="BC497">
        <v>270.3</v>
      </c>
      <c r="BD497">
        <v>-0.97509999999999997</v>
      </c>
      <c r="BE497">
        <v>278.3</v>
      </c>
      <c r="BF497">
        <v>-0.89849999999999997</v>
      </c>
      <c r="BG497">
        <v>3077.3</v>
      </c>
      <c r="BH497">
        <v>-10.433199999999999</v>
      </c>
    </row>
    <row r="498" spans="1:60" x14ac:dyDescent="0.35">
      <c r="A498" t="s">
        <v>34</v>
      </c>
      <c r="B498" s="1">
        <v>46146.65625</v>
      </c>
      <c r="C498" t="s">
        <v>34</v>
      </c>
      <c r="D498" s="1">
        <v>46147.625</v>
      </c>
      <c r="E498">
        <v>7335</v>
      </c>
      <c r="F498" t="s">
        <v>36</v>
      </c>
      <c r="G498">
        <v>97.6</v>
      </c>
      <c r="H498">
        <v>99.2</v>
      </c>
      <c r="I498">
        <v>97.6</v>
      </c>
      <c r="J498">
        <v>99.2</v>
      </c>
      <c r="K498">
        <v>12</v>
      </c>
      <c r="L498">
        <v>1</v>
      </c>
      <c r="M498">
        <v>130.6</v>
      </c>
      <c r="N498">
        <v>1</v>
      </c>
      <c r="O498">
        <v>137.9</v>
      </c>
      <c r="P498">
        <v>0</v>
      </c>
      <c r="Q498">
        <v>0</v>
      </c>
      <c r="R498">
        <v>0</v>
      </c>
      <c r="S498">
        <v>0</v>
      </c>
      <c r="T498">
        <v>0.1772</v>
      </c>
      <c r="U498">
        <v>-0.97489999999999999</v>
      </c>
      <c r="V498">
        <v>8.9999999999999998E-4</v>
      </c>
      <c r="W498">
        <v>-0.59450000000000003</v>
      </c>
      <c r="X498">
        <v>0.24129999999999999</v>
      </c>
      <c r="Y498">
        <v>-0.1943</v>
      </c>
      <c r="Z498">
        <v>1</v>
      </c>
      <c r="AA498">
        <v>128.9</v>
      </c>
      <c r="AB498">
        <v>1</v>
      </c>
      <c r="AC498">
        <v>143.9</v>
      </c>
      <c r="AD498">
        <v>0</v>
      </c>
      <c r="AE498">
        <v>0</v>
      </c>
      <c r="AF498">
        <v>98.4</v>
      </c>
      <c r="AG498">
        <v>12</v>
      </c>
      <c r="AH498">
        <v>0</v>
      </c>
      <c r="AJ498" s="4">
        <v>7480</v>
      </c>
      <c r="AK498">
        <v>288.8</v>
      </c>
      <c r="AL498">
        <v>-0.99519999999999997</v>
      </c>
      <c r="AM498">
        <v>288</v>
      </c>
      <c r="AN498">
        <v>-0.90149999999999997</v>
      </c>
      <c r="AO498">
        <v>287.39999999999998</v>
      </c>
      <c r="AP498">
        <v>-0.89800000000000002</v>
      </c>
      <c r="AQ498">
        <v>286.60000000000002</v>
      </c>
      <c r="AR498">
        <v>-0.89800000000000002</v>
      </c>
      <c r="AS498">
        <v>284.5</v>
      </c>
      <c r="AT498">
        <v>-0.91610000000000003</v>
      </c>
      <c r="BC498">
        <v>275.2</v>
      </c>
      <c r="BD498">
        <v>-0.98029999999999995</v>
      </c>
      <c r="BE498">
        <v>283.2</v>
      </c>
      <c r="BF498">
        <v>-0.9002</v>
      </c>
      <c r="BG498">
        <v>1993.7</v>
      </c>
      <c r="BH498">
        <v>-6.4893000000000001</v>
      </c>
    </row>
    <row r="499" spans="1:60" x14ac:dyDescent="0.35">
      <c r="A499" t="s">
        <v>34</v>
      </c>
      <c r="B499" s="1">
        <v>46146.65625</v>
      </c>
      <c r="C499" t="s">
        <v>34</v>
      </c>
      <c r="D499" s="1">
        <v>46147.625</v>
      </c>
      <c r="E499">
        <v>7340</v>
      </c>
      <c r="F499" t="s">
        <v>36</v>
      </c>
      <c r="G499">
        <v>151.18</v>
      </c>
      <c r="H499">
        <v>151.18</v>
      </c>
      <c r="I499">
        <v>151.18</v>
      </c>
      <c r="J499">
        <v>151.18</v>
      </c>
      <c r="K499">
        <v>1</v>
      </c>
      <c r="L499">
        <v>1</v>
      </c>
      <c r="M499">
        <v>135.80000000000001</v>
      </c>
      <c r="N499">
        <v>1</v>
      </c>
      <c r="O499">
        <v>142.9</v>
      </c>
      <c r="P499">
        <v>0</v>
      </c>
      <c r="Q499">
        <v>0</v>
      </c>
      <c r="R499">
        <v>0</v>
      </c>
      <c r="S499">
        <v>0</v>
      </c>
      <c r="T499">
        <v>0.18720000000000001</v>
      </c>
      <c r="U499">
        <v>-0.97270000000000001</v>
      </c>
      <c r="V499">
        <v>8.9999999999999998E-4</v>
      </c>
      <c r="W499">
        <v>-0.69420000000000004</v>
      </c>
      <c r="X499">
        <v>0.25679999999999997</v>
      </c>
      <c r="Y499">
        <v>-0.19389999999999999</v>
      </c>
      <c r="Z499">
        <v>1</v>
      </c>
      <c r="AA499">
        <v>133.9</v>
      </c>
      <c r="AB499">
        <v>1</v>
      </c>
      <c r="AC499">
        <v>148.30000000000001</v>
      </c>
      <c r="AD499">
        <v>0</v>
      </c>
      <c r="AE499">
        <v>0</v>
      </c>
      <c r="AF499">
        <v>151.18</v>
      </c>
      <c r="AG499">
        <v>2</v>
      </c>
      <c r="AH499">
        <v>0</v>
      </c>
      <c r="AJ499" s="4">
        <v>7485</v>
      </c>
      <c r="BC499">
        <v>280.8</v>
      </c>
      <c r="BD499">
        <v>-0.97619999999999996</v>
      </c>
      <c r="BE499">
        <v>288</v>
      </c>
      <c r="BF499">
        <v>-0.90439999999999998</v>
      </c>
      <c r="BG499">
        <v>568.79999999999995</v>
      </c>
      <c r="BH499">
        <v>-1.8805999999999998</v>
      </c>
    </row>
    <row r="500" spans="1:60" x14ac:dyDescent="0.35">
      <c r="A500" t="s">
        <v>34</v>
      </c>
      <c r="B500" s="1">
        <v>46146.65625</v>
      </c>
      <c r="C500" t="s">
        <v>34</v>
      </c>
      <c r="D500" s="1">
        <v>46147.625</v>
      </c>
      <c r="E500">
        <v>7345</v>
      </c>
      <c r="F500" t="s">
        <v>36</v>
      </c>
      <c r="G500">
        <v>115.33</v>
      </c>
      <c r="H500">
        <v>115.33</v>
      </c>
      <c r="I500">
        <v>115.33</v>
      </c>
      <c r="J500">
        <v>115.33</v>
      </c>
      <c r="K500">
        <v>1</v>
      </c>
      <c r="L500">
        <v>1</v>
      </c>
      <c r="M500">
        <v>140.80000000000001</v>
      </c>
      <c r="N500">
        <v>1</v>
      </c>
      <c r="O500">
        <v>147.80000000000001</v>
      </c>
      <c r="P500">
        <v>0</v>
      </c>
      <c r="Q500">
        <v>0</v>
      </c>
      <c r="R500">
        <v>0</v>
      </c>
      <c r="S500">
        <v>0</v>
      </c>
      <c r="T500">
        <v>0.19059999999999999</v>
      </c>
      <c r="U500">
        <v>-0.97470000000000001</v>
      </c>
      <c r="V500">
        <v>8.0000000000000004E-4</v>
      </c>
      <c r="W500">
        <v>-0.64439999999999997</v>
      </c>
      <c r="X500">
        <v>0.2409</v>
      </c>
      <c r="Y500">
        <v>-0.1943</v>
      </c>
      <c r="Z500">
        <v>1</v>
      </c>
      <c r="AA500">
        <v>138.9</v>
      </c>
      <c r="AB500">
        <v>2</v>
      </c>
      <c r="AC500">
        <v>153.9</v>
      </c>
      <c r="AD500">
        <v>0</v>
      </c>
      <c r="AE500">
        <v>0</v>
      </c>
      <c r="AF500">
        <v>115.33</v>
      </c>
      <c r="AG500">
        <v>0</v>
      </c>
      <c r="AH500">
        <v>0</v>
      </c>
      <c r="AJ500" s="4">
        <v>7490</v>
      </c>
      <c r="AK500">
        <v>300.5</v>
      </c>
      <c r="AL500">
        <v>-0.98450000000000004</v>
      </c>
      <c r="AM500">
        <v>298</v>
      </c>
      <c r="AN500">
        <v>-0.90349999999999997</v>
      </c>
      <c r="AO500">
        <v>297.7</v>
      </c>
      <c r="AP500">
        <v>-0.99419999999999997</v>
      </c>
      <c r="AQ500">
        <v>295.8</v>
      </c>
      <c r="AR500">
        <v>-0.9103</v>
      </c>
      <c r="AS500">
        <v>294.39999999999998</v>
      </c>
      <c r="AT500">
        <v>-0.91849999999999998</v>
      </c>
      <c r="BC500">
        <v>293.2</v>
      </c>
      <c r="BD500">
        <v>-0.90949999999999998</v>
      </c>
      <c r="BE500">
        <v>293.8</v>
      </c>
      <c r="BF500">
        <v>-0.89839999999999998</v>
      </c>
      <c r="BG500">
        <v>2073.4</v>
      </c>
      <c r="BH500">
        <v>-6.5188999999999995</v>
      </c>
    </row>
    <row r="501" spans="1:60" x14ac:dyDescent="0.35">
      <c r="A501" t="s">
        <v>34</v>
      </c>
      <c r="B501" s="1">
        <v>46146.65625</v>
      </c>
      <c r="C501" t="s">
        <v>34</v>
      </c>
      <c r="D501" s="1">
        <v>46147.625</v>
      </c>
      <c r="E501">
        <v>7350</v>
      </c>
      <c r="F501" t="s">
        <v>36</v>
      </c>
      <c r="G501">
        <v>115.86</v>
      </c>
      <c r="H501">
        <v>149.69</v>
      </c>
      <c r="I501">
        <v>106.78</v>
      </c>
      <c r="J501">
        <v>149.69</v>
      </c>
      <c r="K501">
        <v>16</v>
      </c>
      <c r="L501">
        <v>1</v>
      </c>
      <c r="M501">
        <v>145.5</v>
      </c>
      <c r="N501">
        <v>1</v>
      </c>
      <c r="O501">
        <v>152.80000000000001</v>
      </c>
      <c r="P501">
        <v>0</v>
      </c>
      <c r="Q501">
        <v>0</v>
      </c>
      <c r="R501">
        <v>0</v>
      </c>
      <c r="S501">
        <v>0</v>
      </c>
      <c r="T501">
        <v>0.1885</v>
      </c>
      <c r="U501">
        <v>-0.97960000000000003</v>
      </c>
      <c r="V501">
        <v>6.9999999999999999E-4</v>
      </c>
      <c r="W501">
        <v>-0.49469999999999997</v>
      </c>
      <c r="X501">
        <v>0.2026</v>
      </c>
      <c r="Y501">
        <v>-0.1953</v>
      </c>
      <c r="Z501">
        <v>1</v>
      </c>
      <c r="AA501">
        <v>143.9</v>
      </c>
      <c r="AB501">
        <v>1</v>
      </c>
      <c r="AC501">
        <v>158.30000000000001</v>
      </c>
      <c r="AD501">
        <v>0</v>
      </c>
      <c r="AE501">
        <v>0</v>
      </c>
      <c r="AF501">
        <v>120.81</v>
      </c>
      <c r="AG501">
        <v>12</v>
      </c>
      <c r="AH501">
        <v>0</v>
      </c>
      <c r="AJ501" s="4">
        <v>7495</v>
      </c>
      <c r="BC501">
        <v>297.89999999999998</v>
      </c>
      <c r="BD501">
        <v>-0.91600000000000004</v>
      </c>
      <c r="BE501">
        <v>298.8</v>
      </c>
      <c r="BF501">
        <v>-0.89939999999999998</v>
      </c>
      <c r="BG501">
        <v>596.70000000000005</v>
      </c>
      <c r="BH501">
        <v>-1.8153999999999999</v>
      </c>
    </row>
    <row r="502" spans="1:60" x14ac:dyDescent="0.35">
      <c r="A502" t="s">
        <v>34</v>
      </c>
      <c r="B502" s="1">
        <v>46146.65625</v>
      </c>
      <c r="C502" t="s">
        <v>34</v>
      </c>
      <c r="D502" s="1">
        <v>46147.625</v>
      </c>
      <c r="E502">
        <v>7355</v>
      </c>
      <c r="F502" t="s">
        <v>36</v>
      </c>
      <c r="G502">
        <v>154.24</v>
      </c>
      <c r="H502">
        <v>154.24</v>
      </c>
      <c r="I502">
        <v>154.24</v>
      </c>
      <c r="J502">
        <v>154.24</v>
      </c>
      <c r="K502">
        <v>1</v>
      </c>
      <c r="L502">
        <v>1</v>
      </c>
      <c r="M502">
        <v>150.80000000000001</v>
      </c>
      <c r="N502">
        <v>1</v>
      </c>
      <c r="O502">
        <v>157.9</v>
      </c>
      <c r="P502">
        <v>0</v>
      </c>
      <c r="Q502">
        <v>0</v>
      </c>
      <c r="R502">
        <v>0</v>
      </c>
      <c r="S502">
        <v>0</v>
      </c>
      <c r="T502">
        <v>0.2039</v>
      </c>
      <c r="U502">
        <v>-0.97460000000000002</v>
      </c>
      <c r="V502">
        <v>8.0000000000000004E-4</v>
      </c>
      <c r="W502">
        <v>-0.69430000000000003</v>
      </c>
      <c r="X502">
        <v>0.24060000000000001</v>
      </c>
      <c r="Y502">
        <v>-0.1943</v>
      </c>
      <c r="Z502">
        <v>1</v>
      </c>
      <c r="AA502">
        <v>148.9</v>
      </c>
      <c r="AB502">
        <v>1</v>
      </c>
      <c r="AC502">
        <v>164.9</v>
      </c>
      <c r="AD502">
        <v>0</v>
      </c>
      <c r="AE502">
        <v>0</v>
      </c>
      <c r="AF502">
        <v>154.24</v>
      </c>
      <c r="AG502">
        <v>0</v>
      </c>
      <c r="AH502">
        <v>0</v>
      </c>
      <c r="AJ502" s="4">
        <v>7500</v>
      </c>
      <c r="AK502">
        <v>308.60000000000002</v>
      </c>
      <c r="AL502">
        <v>-0.99670000000000003</v>
      </c>
      <c r="AM502">
        <v>308.2</v>
      </c>
      <c r="AN502">
        <v>-0.91010000000000002</v>
      </c>
      <c r="AO502">
        <v>305.7</v>
      </c>
      <c r="AP502">
        <v>-0.91669999999999996</v>
      </c>
      <c r="AQ502">
        <v>306.60000000000002</v>
      </c>
      <c r="AR502">
        <v>-0.90200000000000002</v>
      </c>
      <c r="AS502">
        <v>304.39999999999998</v>
      </c>
      <c r="AT502">
        <v>-0.92020000000000002</v>
      </c>
      <c r="AU502">
        <v>305.3</v>
      </c>
      <c r="AV502">
        <v>-0.90200000000000002</v>
      </c>
      <c r="AW502">
        <v>305</v>
      </c>
      <c r="AX502">
        <v>-0.98770000000000002</v>
      </c>
      <c r="AY502">
        <v>304</v>
      </c>
      <c r="AZ502">
        <v>-0.98560000000000003</v>
      </c>
      <c r="BA502">
        <v>303.8</v>
      </c>
      <c r="BB502">
        <v>-0.98699999999999999</v>
      </c>
      <c r="BC502">
        <v>301.7</v>
      </c>
      <c r="BD502">
        <v>-0.92379999999999995</v>
      </c>
      <c r="BE502">
        <v>303.60000000000002</v>
      </c>
      <c r="BF502">
        <v>-0.90159999999999996</v>
      </c>
      <c r="BG502">
        <v>3356.9</v>
      </c>
      <c r="BH502">
        <v>-10.333400000000001</v>
      </c>
    </row>
    <row r="503" spans="1:60" x14ac:dyDescent="0.35">
      <c r="A503" t="s">
        <v>34</v>
      </c>
      <c r="B503" s="1">
        <v>46146.65625</v>
      </c>
      <c r="C503" t="s">
        <v>34</v>
      </c>
      <c r="D503" s="1">
        <v>46147.625</v>
      </c>
      <c r="E503">
        <v>7360</v>
      </c>
      <c r="F503" t="s">
        <v>36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155.80000000000001</v>
      </c>
      <c r="N503">
        <v>1</v>
      </c>
      <c r="O503">
        <v>162.6</v>
      </c>
      <c r="P503">
        <v>0</v>
      </c>
      <c r="Q503">
        <v>0</v>
      </c>
      <c r="R503">
        <v>0</v>
      </c>
      <c r="S503">
        <v>0</v>
      </c>
      <c r="T503">
        <v>0.20200000000000001</v>
      </c>
      <c r="U503">
        <v>-0.97909999999999997</v>
      </c>
      <c r="V503">
        <v>6.9999999999999999E-4</v>
      </c>
      <c r="W503">
        <v>-0.54459999999999997</v>
      </c>
      <c r="X503">
        <v>0.20499999999999999</v>
      </c>
      <c r="Y503">
        <v>-0.19520000000000001</v>
      </c>
      <c r="Z503">
        <v>1</v>
      </c>
      <c r="AA503">
        <v>153.9</v>
      </c>
      <c r="AB503">
        <v>1</v>
      </c>
      <c r="AC503">
        <v>169.9</v>
      </c>
      <c r="AD503">
        <v>0</v>
      </c>
      <c r="AE503">
        <v>0</v>
      </c>
      <c r="AF503">
        <v>0</v>
      </c>
      <c r="AG503">
        <v>0</v>
      </c>
      <c r="AH503">
        <v>0</v>
      </c>
      <c r="AJ503" s="4">
        <v>7505</v>
      </c>
      <c r="BC503">
        <v>308.2</v>
      </c>
      <c r="BD503">
        <v>-0.91</v>
      </c>
      <c r="BE503">
        <v>308.60000000000002</v>
      </c>
      <c r="BF503">
        <v>-0.90249999999999997</v>
      </c>
      <c r="BG503">
        <v>616.79999999999995</v>
      </c>
      <c r="BH503">
        <v>-1.8125</v>
      </c>
    </row>
    <row r="504" spans="1:60" x14ac:dyDescent="0.35">
      <c r="A504" t="s">
        <v>34</v>
      </c>
      <c r="B504" s="1">
        <v>46146.65625</v>
      </c>
      <c r="C504" t="s">
        <v>34</v>
      </c>
      <c r="D504" s="1">
        <v>46147.625</v>
      </c>
      <c r="E504">
        <v>7365</v>
      </c>
      <c r="F504" t="s">
        <v>36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160.5</v>
      </c>
      <c r="N504">
        <v>1</v>
      </c>
      <c r="O504">
        <v>167.9</v>
      </c>
      <c r="P504">
        <v>0</v>
      </c>
      <c r="Q504">
        <v>0</v>
      </c>
      <c r="R504">
        <v>0</v>
      </c>
      <c r="S504">
        <v>0</v>
      </c>
      <c r="T504">
        <v>0.20730000000000001</v>
      </c>
      <c r="U504">
        <v>-0.97960000000000003</v>
      </c>
      <c r="V504">
        <v>5.9999999999999995E-4</v>
      </c>
      <c r="W504">
        <v>-0.54459999999999997</v>
      </c>
      <c r="X504">
        <v>0.20080000000000001</v>
      </c>
      <c r="Y504">
        <v>-0.1953</v>
      </c>
      <c r="Z504">
        <v>1</v>
      </c>
      <c r="AA504">
        <v>158.9</v>
      </c>
      <c r="AB504">
        <v>1</v>
      </c>
      <c r="AC504">
        <v>174.9</v>
      </c>
      <c r="AD504">
        <v>0</v>
      </c>
      <c r="AE504">
        <v>0</v>
      </c>
      <c r="AF504">
        <v>0</v>
      </c>
      <c r="AG504">
        <v>1</v>
      </c>
      <c r="AH504">
        <v>0</v>
      </c>
      <c r="AJ504" s="4">
        <v>7510</v>
      </c>
      <c r="AK504">
        <v>320.5</v>
      </c>
      <c r="AL504">
        <v>-0.98219999999999996</v>
      </c>
      <c r="AM504">
        <v>318.10000000000002</v>
      </c>
      <c r="AN504">
        <v>-0.90739999999999998</v>
      </c>
      <c r="AO504">
        <v>317.60000000000002</v>
      </c>
      <c r="AP504">
        <v>-0.90849999999999997</v>
      </c>
      <c r="AQ504">
        <v>316.39999999999998</v>
      </c>
      <c r="AR504">
        <v>-0.99329999999999996</v>
      </c>
      <c r="AS504">
        <v>314.39999999999998</v>
      </c>
      <c r="AT504">
        <v>-0.92179999999999995</v>
      </c>
      <c r="BC504">
        <v>312.7</v>
      </c>
      <c r="BD504">
        <v>-0.91610000000000003</v>
      </c>
      <c r="BE504">
        <v>313.39999999999998</v>
      </c>
      <c r="BF504">
        <v>-0.90459999999999996</v>
      </c>
      <c r="BG504">
        <v>2213.1</v>
      </c>
      <c r="BH504">
        <v>-6.5339</v>
      </c>
    </row>
    <row r="505" spans="1:60" x14ac:dyDescent="0.35">
      <c r="A505" t="s">
        <v>34</v>
      </c>
      <c r="B505" s="1">
        <v>46146.65625</v>
      </c>
      <c r="C505" t="s">
        <v>34</v>
      </c>
      <c r="D505" s="1">
        <v>46147.625</v>
      </c>
      <c r="E505">
        <v>7370</v>
      </c>
      <c r="F505" t="s">
        <v>36</v>
      </c>
      <c r="G505">
        <v>166.84</v>
      </c>
      <c r="H505">
        <v>179.06</v>
      </c>
      <c r="I505">
        <v>166.84</v>
      </c>
      <c r="J505">
        <v>169.19</v>
      </c>
      <c r="K505">
        <v>13</v>
      </c>
      <c r="L505">
        <v>1</v>
      </c>
      <c r="M505">
        <v>165.8</v>
      </c>
      <c r="N505">
        <v>1</v>
      </c>
      <c r="O505">
        <v>172.6</v>
      </c>
      <c r="P505">
        <v>0</v>
      </c>
      <c r="Q505">
        <v>0</v>
      </c>
      <c r="R505">
        <v>0</v>
      </c>
      <c r="S505">
        <v>0</v>
      </c>
      <c r="T505">
        <v>0.2127</v>
      </c>
      <c r="U505">
        <v>-0.98</v>
      </c>
      <c r="V505">
        <v>5.9999999999999995E-4</v>
      </c>
      <c r="W505">
        <v>-0.54459999999999997</v>
      </c>
      <c r="X505">
        <v>0.19689999999999999</v>
      </c>
      <c r="Y505">
        <v>-0.1953</v>
      </c>
      <c r="Z505">
        <v>1</v>
      </c>
      <c r="AA505">
        <v>163.9</v>
      </c>
      <c r="AB505">
        <v>1</v>
      </c>
      <c r="AC505">
        <v>179.9</v>
      </c>
      <c r="AD505">
        <v>0</v>
      </c>
      <c r="AE505">
        <v>0</v>
      </c>
      <c r="AF505">
        <v>174.0369</v>
      </c>
      <c r="AG505">
        <v>1</v>
      </c>
      <c r="AH505">
        <v>0</v>
      </c>
      <c r="AJ505" s="4">
        <v>7515</v>
      </c>
      <c r="BC505">
        <v>317.7</v>
      </c>
      <c r="BD505">
        <v>-0.9093</v>
      </c>
      <c r="BE505">
        <v>316.7</v>
      </c>
      <c r="BF505">
        <v>-0.92049999999999998</v>
      </c>
      <c r="BG505">
        <v>634.4</v>
      </c>
      <c r="BH505">
        <v>-1.8298000000000001</v>
      </c>
    </row>
    <row r="506" spans="1:60" x14ac:dyDescent="0.35">
      <c r="A506" t="s">
        <v>34</v>
      </c>
      <c r="B506" s="1">
        <v>46146.65625</v>
      </c>
      <c r="C506" t="s">
        <v>34</v>
      </c>
      <c r="D506" s="1">
        <v>46147.625</v>
      </c>
      <c r="E506">
        <v>7375</v>
      </c>
      <c r="F506" t="s">
        <v>36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170.8</v>
      </c>
      <c r="N506">
        <v>1</v>
      </c>
      <c r="O506">
        <v>177.8</v>
      </c>
      <c r="P506">
        <v>0</v>
      </c>
      <c r="Q506">
        <v>0</v>
      </c>
      <c r="R506">
        <v>0</v>
      </c>
      <c r="S506">
        <v>0</v>
      </c>
      <c r="T506">
        <v>0.22339999999999999</v>
      </c>
      <c r="U506">
        <v>-0.97789999999999999</v>
      </c>
      <c r="V506">
        <v>5.9999999999999995E-4</v>
      </c>
      <c r="W506">
        <v>-0.64439999999999997</v>
      </c>
      <c r="X506">
        <v>0.21299999999999999</v>
      </c>
      <c r="Y506">
        <v>-0.19489999999999999</v>
      </c>
      <c r="Z506">
        <v>1</v>
      </c>
      <c r="AA506">
        <v>168.9</v>
      </c>
      <c r="AB506">
        <v>1</v>
      </c>
      <c r="AC506">
        <v>184.9</v>
      </c>
      <c r="AD506">
        <v>0</v>
      </c>
      <c r="AE506">
        <v>0</v>
      </c>
      <c r="AF506">
        <v>0</v>
      </c>
      <c r="AG506">
        <v>2</v>
      </c>
      <c r="AH506">
        <v>0</v>
      </c>
      <c r="AJ506" s="4">
        <v>7520</v>
      </c>
      <c r="AK506">
        <v>330</v>
      </c>
      <c r="AL506">
        <v>-0.98640000000000005</v>
      </c>
      <c r="AM506">
        <v>328.7</v>
      </c>
      <c r="AN506">
        <v>-0.90559999999999996</v>
      </c>
      <c r="AO506">
        <v>327.10000000000002</v>
      </c>
      <c r="AP506">
        <v>-0.9133</v>
      </c>
      <c r="AQ506">
        <v>326.39999999999998</v>
      </c>
      <c r="AR506">
        <v>-0.99050000000000005</v>
      </c>
      <c r="AS506">
        <v>324.3</v>
      </c>
      <c r="AT506">
        <v>-0.92390000000000005</v>
      </c>
      <c r="BC506">
        <v>322.3</v>
      </c>
      <c r="BD506">
        <v>-0.91849999999999998</v>
      </c>
      <c r="BE506">
        <v>323.3</v>
      </c>
      <c r="BF506">
        <v>-0.90869999999999995</v>
      </c>
      <c r="BG506">
        <v>2282.1</v>
      </c>
      <c r="BH506">
        <v>-6.5468999999999991</v>
      </c>
    </row>
    <row r="507" spans="1:60" x14ac:dyDescent="0.35">
      <c r="A507" t="s">
        <v>34</v>
      </c>
      <c r="B507" s="1">
        <v>46146.65625</v>
      </c>
      <c r="C507" t="s">
        <v>34</v>
      </c>
      <c r="D507" s="1">
        <v>46147.625</v>
      </c>
      <c r="E507">
        <v>7380</v>
      </c>
      <c r="F507" t="s">
        <v>36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175.5</v>
      </c>
      <c r="N507">
        <v>1</v>
      </c>
      <c r="O507">
        <v>182.5</v>
      </c>
      <c r="P507">
        <v>0</v>
      </c>
      <c r="Q507">
        <v>0</v>
      </c>
      <c r="R507">
        <v>0</v>
      </c>
      <c r="S507">
        <v>0</v>
      </c>
      <c r="T507">
        <v>0.21</v>
      </c>
      <c r="U507">
        <v>-0.98619999999999997</v>
      </c>
      <c r="V507">
        <v>4.0000000000000002E-4</v>
      </c>
      <c r="W507">
        <v>-0.34510000000000002</v>
      </c>
      <c r="X507">
        <v>0.14510000000000001</v>
      </c>
      <c r="Y507">
        <v>-0.1966</v>
      </c>
      <c r="Z507">
        <v>1</v>
      </c>
      <c r="AA507">
        <v>173.9</v>
      </c>
      <c r="AB507">
        <v>1</v>
      </c>
      <c r="AC507">
        <v>189.9</v>
      </c>
      <c r="AD507">
        <v>0</v>
      </c>
      <c r="AE507">
        <v>0</v>
      </c>
      <c r="AF507">
        <v>0</v>
      </c>
      <c r="AG507">
        <v>0</v>
      </c>
      <c r="AH507">
        <v>0</v>
      </c>
      <c r="AJ507" s="4">
        <v>7525</v>
      </c>
      <c r="AK507">
        <v>333.1</v>
      </c>
      <c r="AL507">
        <v>-0.91320000000000001</v>
      </c>
      <c r="AM507">
        <v>332.5</v>
      </c>
      <c r="AN507">
        <v>-0.9143</v>
      </c>
      <c r="AO507">
        <v>332.4</v>
      </c>
      <c r="AP507">
        <v>-0.90649999999999997</v>
      </c>
      <c r="AQ507">
        <v>331.5</v>
      </c>
      <c r="AR507">
        <v>-0.90710000000000002</v>
      </c>
      <c r="AS507">
        <v>329.4</v>
      </c>
      <c r="AT507">
        <v>-0.92400000000000004</v>
      </c>
      <c r="AU507">
        <v>330</v>
      </c>
      <c r="AV507">
        <v>-0.99109999999999998</v>
      </c>
      <c r="AW507">
        <v>329.5</v>
      </c>
      <c r="AX507">
        <v>-0.99060000000000004</v>
      </c>
      <c r="AY507">
        <v>329.3</v>
      </c>
      <c r="AZ507">
        <v>-0.98440000000000005</v>
      </c>
      <c r="BA507">
        <v>328.4</v>
      </c>
      <c r="BB507">
        <v>-0.98480000000000001</v>
      </c>
      <c r="BC507">
        <v>327.60000000000002</v>
      </c>
      <c r="BD507">
        <v>-0.91520000000000001</v>
      </c>
      <c r="BE507">
        <v>328.3</v>
      </c>
      <c r="BF507">
        <v>-0.90959999999999996</v>
      </c>
      <c r="BG507">
        <v>3632.0000000000005</v>
      </c>
      <c r="BH507">
        <v>-10.3408</v>
      </c>
    </row>
    <row r="508" spans="1:60" x14ac:dyDescent="0.35">
      <c r="A508" t="s">
        <v>34</v>
      </c>
      <c r="B508" s="1">
        <v>46146.65625</v>
      </c>
      <c r="C508" t="s">
        <v>34</v>
      </c>
      <c r="D508" s="1">
        <v>46147.625</v>
      </c>
      <c r="E508">
        <v>7385</v>
      </c>
      <c r="F508" t="s">
        <v>36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180.8</v>
      </c>
      <c r="N508">
        <v>1</v>
      </c>
      <c r="O508">
        <v>187.6</v>
      </c>
      <c r="P508">
        <v>0</v>
      </c>
      <c r="Q508">
        <v>0</v>
      </c>
      <c r="R508">
        <v>0</v>
      </c>
      <c r="S508">
        <v>0</v>
      </c>
      <c r="T508">
        <v>0.2286</v>
      </c>
      <c r="U508">
        <v>-0.98119999999999996</v>
      </c>
      <c r="V508">
        <v>5.0000000000000001E-4</v>
      </c>
      <c r="W508">
        <v>-0.54469999999999996</v>
      </c>
      <c r="X508">
        <v>0.18609999999999999</v>
      </c>
      <c r="Y508">
        <v>-0.1956</v>
      </c>
      <c r="Z508">
        <v>1</v>
      </c>
      <c r="AA508">
        <v>178.9</v>
      </c>
      <c r="AB508">
        <v>1</v>
      </c>
      <c r="AC508">
        <v>194.9</v>
      </c>
      <c r="AD508">
        <v>0</v>
      </c>
      <c r="AE508">
        <v>0</v>
      </c>
      <c r="AF508">
        <v>0</v>
      </c>
      <c r="AG508">
        <v>0</v>
      </c>
      <c r="AH508">
        <v>0</v>
      </c>
      <c r="AJ508" s="4">
        <v>7530</v>
      </c>
      <c r="AS508">
        <v>334.4</v>
      </c>
      <c r="AT508">
        <v>-0.92469999999999997</v>
      </c>
      <c r="BC508">
        <v>332.5</v>
      </c>
      <c r="BD508">
        <v>-0.91859999999999997</v>
      </c>
      <c r="BE508">
        <v>333.1</v>
      </c>
      <c r="BF508">
        <v>-0.91159999999999997</v>
      </c>
      <c r="BG508">
        <v>1000</v>
      </c>
      <c r="BH508">
        <v>-2.7549000000000001</v>
      </c>
    </row>
    <row r="509" spans="1:60" x14ac:dyDescent="0.35">
      <c r="A509" t="s">
        <v>34</v>
      </c>
      <c r="B509" s="1">
        <v>46146.65625</v>
      </c>
      <c r="C509" t="s">
        <v>34</v>
      </c>
      <c r="D509" s="1">
        <v>46147.625</v>
      </c>
      <c r="E509">
        <v>7390</v>
      </c>
      <c r="F509" t="s">
        <v>36</v>
      </c>
      <c r="G509">
        <v>184.08</v>
      </c>
      <c r="H509">
        <v>184.08</v>
      </c>
      <c r="I509">
        <v>184.08</v>
      </c>
      <c r="J509">
        <v>184.08</v>
      </c>
      <c r="K509">
        <v>2</v>
      </c>
      <c r="L509">
        <v>1</v>
      </c>
      <c r="M509">
        <v>185.8</v>
      </c>
      <c r="N509">
        <v>1</v>
      </c>
      <c r="O509">
        <v>192.7</v>
      </c>
      <c r="P509">
        <v>0</v>
      </c>
      <c r="Q509">
        <v>0</v>
      </c>
      <c r="R509">
        <v>0</v>
      </c>
      <c r="S509">
        <v>0</v>
      </c>
      <c r="T509">
        <v>0.23669999999999999</v>
      </c>
      <c r="U509">
        <v>-0.98029999999999995</v>
      </c>
      <c r="V509">
        <v>5.0000000000000001E-4</v>
      </c>
      <c r="W509">
        <v>-0.59450000000000003</v>
      </c>
      <c r="X509">
        <v>0.19239999999999999</v>
      </c>
      <c r="Y509">
        <v>-0.19539999999999999</v>
      </c>
      <c r="Z509">
        <v>1</v>
      </c>
      <c r="AA509">
        <v>183.9</v>
      </c>
      <c r="AB509">
        <v>1</v>
      </c>
      <c r="AC509">
        <v>199.9</v>
      </c>
      <c r="AD509">
        <v>0</v>
      </c>
      <c r="AE509">
        <v>0</v>
      </c>
      <c r="AF509">
        <v>184.08</v>
      </c>
      <c r="AG509">
        <v>1</v>
      </c>
      <c r="AH509">
        <v>0</v>
      </c>
      <c r="AJ509" s="4">
        <v>7535</v>
      </c>
      <c r="BC509">
        <v>336.8</v>
      </c>
      <c r="BD509">
        <v>-0.92390000000000005</v>
      </c>
      <c r="BE509">
        <v>338.2</v>
      </c>
      <c r="BF509">
        <v>-0.91379999999999995</v>
      </c>
      <c r="BG509">
        <v>675</v>
      </c>
      <c r="BH509">
        <v>-1.8376999999999999</v>
      </c>
    </row>
    <row r="510" spans="1:60" x14ac:dyDescent="0.35">
      <c r="A510" t="s">
        <v>34</v>
      </c>
      <c r="B510" s="1">
        <v>46146.65625</v>
      </c>
      <c r="C510" t="s">
        <v>34</v>
      </c>
      <c r="D510" s="1">
        <v>46147.625</v>
      </c>
      <c r="E510">
        <v>7395</v>
      </c>
      <c r="F510" t="s">
        <v>36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190.5</v>
      </c>
      <c r="N510">
        <v>1</v>
      </c>
      <c r="O510">
        <v>197.5</v>
      </c>
      <c r="P510">
        <v>0</v>
      </c>
      <c r="Q510">
        <v>0</v>
      </c>
      <c r="R510">
        <v>0</v>
      </c>
      <c r="S510">
        <v>0</v>
      </c>
      <c r="T510">
        <v>0.22509999999999999</v>
      </c>
      <c r="U510">
        <v>-0.98699999999999999</v>
      </c>
      <c r="V510">
        <v>4.0000000000000002E-4</v>
      </c>
      <c r="W510">
        <v>-0.34510000000000002</v>
      </c>
      <c r="X510">
        <v>0.13719999999999999</v>
      </c>
      <c r="Y510">
        <v>-0.19670000000000001</v>
      </c>
      <c r="Z510">
        <v>1</v>
      </c>
      <c r="AA510">
        <v>188.9</v>
      </c>
      <c r="AB510">
        <v>1</v>
      </c>
      <c r="AC510">
        <v>204.9</v>
      </c>
      <c r="AD510">
        <v>0</v>
      </c>
      <c r="AE510">
        <v>0</v>
      </c>
      <c r="AF510">
        <v>0</v>
      </c>
      <c r="AG510">
        <v>0</v>
      </c>
      <c r="AH510">
        <v>0</v>
      </c>
      <c r="AJ510" s="4">
        <v>7540</v>
      </c>
      <c r="AS510">
        <v>344.4</v>
      </c>
      <c r="AT510">
        <v>-0.92600000000000005</v>
      </c>
      <c r="BC510">
        <v>342.4</v>
      </c>
      <c r="BD510">
        <v>-0.92600000000000005</v>
      </c>
      <c r="BE510">
        <v>342.6</v>
      </c>
      <c r="BF510">
        <v>-0.91610000000000003</v>
      </c>
      <c r="BG510">
        <v>1029.4000000000001</v>
      </c>
      <c r="BH510">
        <v>-2.7681</v>
      </c>
    </row>
    <row r="511" spans="1:60" x14ac:dyDescent="0.35">
      <c r="A511" t="s">
        <v>34</v>
      </c>
      <c r="B511" s="1">
        <v>46146.65625</v>
      </c>
      <c r="C511" t="s">
        <v>34</v>
      </c>
      <c r="D511" s="1">
        <v>46147.625</v>
      </c>
      <c r="E511">
        <v>7400</v>
      </c>
      <c r="F511" t="s">
        <v>36</v>
      </c>
      <c r="G511">
        <v>165.81</v>
      </c>
      <c r="H511">
        <v>195.56</v>
      </c>
      <c r="I511">
        <v>157.69</v>
      </c>
      <c r="J511">
        <v>195.56</v>
      </c>
      <c r="K511">
        <v>9</v>
      </c>
      <c r="L511">
        <v>1</v>
      </c>
      <c r="M511">
        <v>195.7</v>
      </c>
      <c r="N511">
        <v>1</v>
      </c>
      <c r="O511">
        <v>202.6</v>
      </c>
      <c r="P511">
        <v>0</v>
      </c>
      <c r="Q511">
        <v>0</v>
      </c>
      <c r="R511">
        <v>0</v>
      </c>
      <c r="S511">
        <v>0</v>
      </c>
      <c r="T511">
        <v>0.24110000000000001</v>
      </c>
      <c r="U511">
        <v>-0.98340000000000005</v>
      </c>
      <c r="V511">
        <v>5.0000000000000001E-4</v>
      </c>
      <c r="W511">
        <v>-0.49480000000000002</v>
      </c>
      <c r="X511">
        <v>0.1671</v>
      </c>
      <c r="Y511">
        <v>-0.19600000000000001</v>
      </c>
      <c r="Z511">
        <v>1</v>
      </c>
      <c r="AA511">
        <v>193.9</v>
      </c>
      <c r="AB511">
        <v>1</v>
      </c>
      <c r="AC511">
        <v>209.9</v>
      </c>
      <c r="AD511">
        <v>0</v>
      </c>
      <c r="AE511">
        <v>0</v>
      </c>
      <c r="AF511">
        <v>163.62219999999999</v>
      </c>
      <c r="AG511">
        <v>1</v>
      </c>
      <c r="AH511">
        <v>0</v>
      </c>
      <c r="AJ511" s="4">
        <v>7545</v>
      </c>
      <c r="BC511">
        <v>346.8</v>
      </c>
      <c r="BD511">
        <v>-0.92520000000000002</v>
      </c>
      <c r="BE511">
        <v>348</v>
      </c>
      <c r="BF511">
        <v>-0.91649999999999998</v>
      </c>
      <c r="BG511">
        <v>694.8</v>
      </c>
      <c r="BH511">
        <v>-1.8416999999999999</v>
      </c>
    </row>
    <row r="512" spans="1:60" x14ac:dyDescent="0.35">
      <c r="A512" t="s">
        <v>34</v>
      </c>
      <c r="B512" s="1">
        <v>46146.65625</v>
      </c>
      <c r="C512" t="s">
        <v>34</v>
      </c>
      <c r="D512" s="1">
        <v>46147.625</v>
      </c>
      <c r="E512">
        <v>7405</v>
      </c>
      <c r="F512" t="s">
        <v>36</v>
      </c>
      <c r="G512">
        <v>203.55</v>
      </c>
      <c r="H512">
        <v>203.55</v>
      </c>
      <c r="I512">
        <v>203.55</v>
      </c>
      <c r="J512">
        <v>203.55</v>
      </c>
      <c r="K512">
        <v>9</v>
      </c>
      <c r="L512">
        <v>1</v>
      </c>
      <c r="M512">
        <v>196.9</v>
      </c>
      <c r="N512">
        <v>1</v>
      </c>
      <c r="O512">
        <v>209.9</v>
      </c>
      <c r="P512">
        <v>0</v>
      </c>
      <c r="Q512">
        <v>0</v>
      </c>
      <c r="R512">
        <v>0</v>
      </c>
      <c r="S512">
        <v>0</v>
      </c>
      <c r="T512">
        <v>0.39460000000000001</v>
      </c>
      <c r="U512">
        <v>-0.90739999999999998</v>
      </c>
      <c r="V512">
        <v>1.1000000000000001E-3</v>
      </c>
      <c r="W512">
        <v>-6.2309000000000001</v>
      </c>
      <c r="X512">
        <v>0.63549999999999995</v>
      </c>
      <c r="Y512">
        <v>-0.18099999999999999</v>
      </c>
      <c r="Z512">
        <v>1</v>
      </c>
      <c r="AA512">
        <v>198.9</v>
      </c>
      <c r="AB512">
        <v>1</v>
      </c>
      <c r="AC512">
        <v>214.9</v>
      </c>
      <c r="AD512">
        <v>0</v>
      </c>
      <c r="AE512">
        <v>0</v>
      </c>
      <c r="AF512">
        <v>203.55</v>
      </c>
      <c r="AG512">
        <v>0</v>
      </c>
      <c r="AH512">
        <v>0</v>
      </c>
      <c r="AJ512" s="4">
        <v>7550</v>
      </c>
      <c r="AK512">
        <v>357.9</v>
      </c>
      <c r="AL512">
        <v>-0.91820000000000002</v>
      </c>
      <c r="AM512">
        <v>357.5</v>
      </c>
      <c r="AN512">
        <v>-0.91800000000000004</v>
      </c>
      <c r="AO512">
        <v>356.6</v>
      </c>
      <c r="AP512">
        <v>-0.91669999999999996</v>
      </c>
      <c r="AQ512">
        <v>355.7</v>
      </c>
      <c r="AR512">
        <v>-0.91920000000000002</v>
      </c>
      <c r="AS512">
        <v>354.4</v>
      </c>
      <c r="AT512">
        <v>-0.92730000000000001</v>
      </c>
      <c r="AU512">
        <v>355</v>
      </c>
      <c r="AV512">
        <v>-0.99399999999999999</v>
      </c>
      <c r="AW512">
        <v>354.4</v>
      </c>
      <c r="AX512">
        <v>-0.99099999999999999</v>
      </c>
      <c r="AY512">
        <v>354.5</v>
      </c>
      <c r="AZ512">
        <v>-0.98419999999999996</v>
      </c>
      <c r="BA512">
        <v>353.2</v>
      </c>
      <c r="BB512">
        <v>-0.99690000000000001</v>
      </c>
      <c r="BC512">
        <v>352.3</v>
      </c>
      <c r="BD512">
        <v>-0.92259999999999998</v>
      </c>
      <c r="BE512">
        <v>353.1</v>
      </c>
      <c r="BF512">
        <v>-0.91449999999999998</v>
      </c>
      <c r="BG512">
        <v>3904.6</v>
      </c>
      <c r="BH512">
        <v>-10.4026</v>
      </c>
    </row>
    <row r="513" spans="1:60" x14ac:dyDescent="0.35">
      <c r="A513" t="s">
        <v>34</v>
      </c>
      <c r="B513" s="1">
        <v>46146.65625</v>
      </c>
      <c r="C513" t="s">
        <v>34</v>
      </c>
      <c r="D513" s="1">
        <v>46147.625</v>
      </c>
      <c r="E513">
        <v>7410</v>
      </c>
      <c r="F513" t="s">
        <v>36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201.9</v>
      </c>
      <c r="N513">
        <v>1</v>
      </c>
      <c r="O513">
        <v>215.4</v>
      </c>
      <c r="P513">
        <v>0</v>
      </c>
      <c r="Q513">
        <v>0</v>
      </c>
      <c r="R513">
        <v>0</v>
      </c>
      <c r="S513">
        <v>0</v>
      </c>
      <c r="T513">
        <v>0.17710000000000001</v>
      </c>
      <c r="U513">
        <v>-0.99890000000000001</v>
      </c>
      <c r="V513">
        <v>1E-4</v>
      </c>
      <c r="W513">
        <v>0</v>
      </c>
      <c r="X513">
        <v>1.7299999999999999E-2</v>
      </c>
      <c r="Y513">
        <v>-0.19900000000000001</v>
      </c>
      <c r="Z513">
        <v>1</v>
      </c>
      <c r="AA513">
        <v>201.4</v>
      </c>
      <c r="AB513">
        <v>1</v>
      </c>
      <c r="AC513">
        <v>222.5</v>
      </c>
      <c r="AD513">
        <v>0</v>
      </c>
      <c r="AE513">
        <v>0</v>
      </c>
      <c r="AF513">
        <v>0</v>
      </c>
      <c r="AG513">
        <v>0</v>
      </c>
      <c r="AH513">
        <v>0</v>
      </c>
      <c r="AJ513" s="4">
        <v>7555</v>
      </c>
      <c r="BC513">
        <v>357.8</v>
      </c>
      <c r="BD513">
        <v>-0.92030000000000001</v>
      </c>
      <c r="BE513">
        <v>358</v>
      </c>
      <c r="BF513">
        <v>-0.91579999999999995</v>
      </c>
      <c r="BG513">
        <v>715.8</v>
      </c>
      <c r="BH513">
        <v>-1.8361000000000001</v>
      </c>
    </row>
    <row r="514" spans="1:60" x14ac:dyDescent="0.35">
      <c r="A514" t="s">
        <v>34</v>
      </c>
      <c r="B514" s="1">
        <v>46146.65625</v>
      </c>
      <c r="C514" t="s">
        <v>34</v>
      </c>
      <c r="D514" s="1">
        <v>46147.625</v>
      </c>
      <c r="E514">
        <v>7415</v>
      </c>
      <c r="F514" t="s">
        <v>36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208</v>
      </c>
      <c r="N514">
        <v>1</v>
      </c>
      <c r="O514">
        <v>220.3</v>
      </c>
      <c r="P514">
        <v>0</v>
      </c>
      <c r="Q514">
        <v>0</v>
      </c>
      <c r="R514">
        <v>0</v>
      </c>
      <c r="S514">
        <v>0</v>
      </c>
      <c r="T514">
        <v>0.25650000000000001</v>
      </c>
      <c r="U514">
        <v>-0.98419999999999996</v>
      </c>
      <c r="V514">
        <v>4.0000000000000002E-4</v>
      </c>
      <c r="W514">
        <v>-0.49480000000000002</v>
      </c>
      <c r="X514">
        <v>0.15920000000000001</v>
      </c>
      <c r="Y514">
        <v>-0.19620000000000001</v>
      </c>
      <c r="Z514">
        <v>1</v>
      </c>
      <c r="AA514">
        <v>206.3</v>
      </c>
      <c r="AB514">
        <v>1</v>
      </c>
      <c r="AC514">
        <v>228.9</v>
      </c>
      <c r="AD514">
        <v>0</v>
      </c>
      <c r="AE514">
        <v>0</v>
      </c>
      <c r="AF514">
        <v>0</v>
      </c>
      <c r="AG514">
        <v>0</v>
      </c>
      <c r="AH514">
        <v>0</v>
      </c>
      <c r="AJ514" s="4">
        <v>7560</v>
      </c>
      <c r="AS514">
        <v>364.4</v>
      </c>
      <c r="AT514">
        <v>-0.92859999999999998</v>
      </c>
      <c r="BC514">
        <v>362.6</v>
      </c>
      <c r="BD514">
        <v>-0.92720000000000002</v>
      </c>
      <c r="BE514">
        <v>362.8</v>
      </c>
      <c r="BF514">
        <v>-0.91590000000000005</v>
      </c>
      <c r="BG514">
        <v>1089.8</v>
      </c>
      <c r="BH514">
        <v>-2.7717000000000001</v>
      </c>
    </row>
    <row r="515" spans="1:60" x14ac:dyDescent="0.35">
      <c r="A515" t="s">
        <v>34</v>
      </c>
      <c r="B515" s="1">
        <v>46146.65625</v>
      </c>
      <c r="C515" t="s">
        <v>34</v>
      </c>
      <c r="D515" s="1">
        <v>46147.625</v>
      </c>
      <c r="E515">
        <v>7420</v>
      </c>
      <c r="F515" t="s">
        <v>36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209.3</v>
      </c>
      <c r="N515">
        <v>1</v>
      </c>
      <c r="O515">
        <v>228.1</v>
      </c>
      <c r="P515">
        <v>0</v>
      </c>
      <c r="Q515">
        <v>0</v>
      </c>
      <c r="R515">
        <v>0</v>
      </c>
      <c r="S515">
        <v>0</v>
      </c>
      <c r="T515">
        <v>0.20730000000000001</v>
      </c>
      <c r="U515">
        <v>-0.99680000000000002</v>
      </c>
      <c r="V515">
        <v>1E-4</v>
      </c>
      <c r="W515">
        <v>-4.5900000000000003E-2</v>
      </c>
      <c r="X515">
        <v>4.1599999999999998E-2</v>
      </c>
      <c r="Y515">
        <v>-0.1986</v>
      </c>
      <c r="Z515">
        <v>1</v>
      </c>
      <c r="AA515">
        <v>211.4</v>
      </c>
      <c r="AB515">
        <v>1</v>
      </c>
      <c r="AC515">
        <v>232.5</v>
      </c>
      <c r="AD515">
        <v>0</v>
      </c>
      <c r="AE515">
        <v>0</v>
      </c>
      <c r="AF515">
        <v>0</v>
      </c>
      <c r="AG515">
        <v>0</v>
      </c>
      <c r="AH515">
        <v>0</v>
      </c>
      <c r="AJ515" s="4">
        <v>7565</v>
      </c>
      <c r="BC515">
        <v>367.3</v>
      </c>
      <c r="BD515">
        <v>-0.92400000000000004</v>
      </c>
      <c r="BE515">
        <v>368</v>
      </c>
      <c r="BF515">
        <v>-0.91720000000000002</v>
      </c>
      <c r="BG515">
        <v>735.3</v>
      </c>
      <c r="BH515">
        <v>-1.8412000000000002</v>
      </c>
    </row>
    <row r="516" spans="1:60" x14ac:dyDescent="0.35">
      <c r="A516" t="s">
        <v>34</v>
      </c>
      <c r="B516" s="1">
        <v>46146.65625</v>
      </c>
      <c r="C516" t="s">
        <v>34</v>
      </c>
      <c r="D516" s="1">
        <v>46147.625</v>
      </c>
      <c r="E516">
        <v>7425</v>
      </c>
      <c r="F516" t="s">
        <v>36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214.9</v>
      </c>
      <c r="N516">
        <v>1</v>
      </c>
      <c r="O516">
        <v>233.4</v>
      </c>
      <c r="P516">
        <v>0</v>
      </c>
      <c r="Q516">
        <v>0</v>
      </c>
      <c r="R516">
        <v>0</v>
      </c>
      <c r="S516">
        <v>0</v>
      </c>
      <c r="T516">
        <v>0.26669999999999999</v>
      </c>
      <c r="U516">
        <v>-0.98470000000000002</v>
      </c>
      <c r="V516">
        <v>4.0000000000000002E-4</v>
      </c>
      <c r="W516">
        <v>-0.49480000000000002</v>
      </c>
      <c r="X516">
        <v>0.15440000000000001</v>
      </c>
      <c r="Y516">
        <v>-0.1963</v>
      </c>
      <c r="Z516">
        <v>1</v>
      </c>
      <c r="AA516">
        <v>214.8</v>
      </c>
      <c r="AB516">
        <v>1</v>
      </c>
      <c r="AC516">
        <v>233.5</v>
      </c>
      <c r="AD516">
        <v>0</v>
      </c>
      <c r="AE516">
        <v>0</v>
      </c>
      <c r="AF516">
        <v>0</v>
      </c>
      <c r="AG516">
        <v>0</v>
      </c>
      <c r="AH516">
        <v>0</v>
      </c>
      <c r="AJ516" s="4">
        <v>7570</v>
      </c>
      <c r="AS516">
        <v>374.4</v>
      </c>
      <c r="AT516">
        <v>-0.92969999999999997</v>
      </c>
      <c r="BC516">
        <v>372.5</v>
      </c>
      <c r="BD516">
        <v>-0.92900000000000005</v>
      </c>
      <c r="BE516">
        <v>372.9</v>
      </c>
      <c r="BF516">
        <v>-0.91839999999999999</v>
      </c>
      <c r="BG516">
        <v>1119.8</v>
      </c>
      <c r="BH516">
        <v>-2.7770999999999999</v>
      </c>
    </row>
    <row r="517" spans="1:60" x14ac:dyDescent="0.35">
      <c r="A517" t="s">
        <v>34</v>
      </c>
      <c r="B517" s="1">
        <v>46146.65625</v>
      </c>
      <c r="C517" t="s">
        <v>34</v>
      </c>
      <c r="D517" s="1">
        <v>46147.625</v>
      </c>
      <c r="E517">
        <v>7430</v>
      </c>
      <c r="F517" t="s">
        <v>36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219.9</v>
      </c>
      <c r="N517">
        <v>1</v>
      </c>
      <c r="O517">
        <v>238</v>
      </c>
      <c r="P517">
        <v>0</v>
      </c>
      <c r="Q517">
        <v>0</v>
      </c>
      <c r="R517">
        <v>0</v>
      </c>
      <c r="S517">
        <v>0</v>
      </c>
      <c r="T517">
        <v>0.25509999999999999</v>
      </c>
      <c r="U517">
        <v>-0.98970000000000002</v>
      </c>
      <c r="V517">
        <v>2.9999999999999997E-4</v>
      </c>
      <c r="W517">
        <v>-0.29530000000000001</v>
      </c>
      <c r="X517">
        <v>0.11169999999999999</v>
      </c>
      <c r="Y517">
        <v>-0.19719999999999999</v>
      </c>
      <c r="Z517">
        <v>1</v>
      </c>
      <c r="AA517">
        <v>221.3</v>
      </c>
      <c r="AB517">
        <v>1</v>
      </c>
      <c r="AC517">
        <v>242.7</v>
      </c>
      <c r="AD517">
        <v>0</v>
      </c>
      <c r="AE517">
        <v>0</v>
      </c>
      <c r="AF517">
        <v>0</v>
      </c>
      <c r="AG517">
        <v>0</v>
      </c>
      <c r="AH517">
        <v>0</v>
      </c>
      <c r="AJ517" s="4">
        <v>7575</v>
      </c>
      <c r="AK517">
        <v>383.9</v>
      </c>
      <c r="AL517">
        <v>-0.99519999999999997</v>
      </c>
      <c r="AM517">
        <v>383.2</v>
      </c>
      <c r="AN517">
        <v>-0.9214</v>
      </c>
      <c r="AO517">
        <v>381.8</v>
      </c>
      <c r="AP517">
        <v>-0.91749999999999998</v>
      </c>
      <c r="AQ517">
        <v>382.4</v>
      </c>
      <c r="AR517">
        <v>-0.98760000000000003</v>
      </c>
      <c r="AS517">
        <v>379.4</v>
      </c>
      <c r="AT517">
        <v>-0.93030000000000002</v>
      </c>
      <c r="AU517">
        <v>379.9</v>
      </c>
      <c r="AV517">
        <v>-0.99309999999999998</v>
      </c>
      <c r="AW517">
        <v>379.4</v>
      </c>
      <c r="AX517">
        <v>-0.99280000000000002</v>
      </c>
      <c r="AY517">
        <v>379.1</v>
      </c>
      <c r="AZ517">
        <v>-0.98819999999999997</v>
      </c>
      <c r="BA517">
        <v>378.1</v>
      </c>
      <c r="BB517">
        <v>-0.99880000000000002</v>
      </c>
      <c r="BC517">
        <v>376.5</v>
      </c>
      <c r="BD517">
        <v>-0.92900000000000005</v>
      </c>
      <c r="BE517">
        <v>377.7</v>
      </c>
      <c r="BF517">
        <v>-0.91849999999999998</v>
      </c>
      <c r="BG517">
        <v>4181.3999999999996</v>
      </c>
      <c r="BH517">
        <v>-10.5724</v>
      </c>
    </row>
    <row r="518" spans="1:60" x14ac:dyDescent="0.35">
      <c r="A518" t="s">
        <v>34</v>
      </c>
      <c r="B518" s="1">
        <v>46146.65625</v>
      </c>
      <c r="C518" t="s">
        <v>34</v>
      </c>
      <c r="D518" s="1">
        <v>46147.625</v>
      </c>
      <c r="E518">
        <v>7435</v>
      </c>
      <c r="F518" t="s">
        <v>36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224.9</v>
      </c>
      <c r="N518">
        <v>1</v>
      </c>
      <c r="O518">
        <v>243.6</v>
      </c>
      <c r="P518">
        <v>0</v>
      </c>
      <c r="Q518">
        <v>0</v>
      </c>
      <c r="R518">
        <v>0</v>
      </c>
      <c r="S518">
        <v>0</v>
      </c>
      <c r="T518">
        <v>0.28370000000000001</v>
      </c>
      <c r="U518">
        <v>-0.98309999999999997</v>
      </c>
      <c r="V518">
        <v>4.0000000000000002E-4</v>
      </c>
      <c r="W518">
        <v>-0.59450000000000003</v>
      </c>
      <c r="X518">
        <v>0.16739999999999999</v>
      </c>
      <c r="Y518">
        <v>-0.19589999999999999</v>
      </c>
      <c r="Z518">
        <v>1</v>
      </c>
      <c r="AA518">
        <v>224.2</v>
      </c>
      <c r="AB518">
        <v>1</v>
      </c>
      <c r="AC518">
        <v>243.7</v>
      </c>
      <c r="AD518">
        <v>0</v>
      </c>
      <c r="AE518">
        <v>0</v>
      </c>
      <c r="AF518">
        <v>0</v>
      </c>
      <c r="AG518">
        <v>0</v>
      </c>
      <c r="AH518">
        <v>0</v>
      </c>
      <c r="AJ518" s="4">
        <v>7580</v>
      </c>
      <c r="AS518">
        <v>385.1</v>
      </c>
      <c r="AT518">
        <v>-0.92659999999999998</v>
      </c>
      <c r="BC518">
        <v>382.2</v>
      </c>
      <c r="BD518">
        <v>-0.92769999999999997</v>
      </c>
      <c r="BE518">
        <v>382.9</v>
      </c>
      <c r="BF518">
        <v>-0.91839999999999999</v>
      </c>
      <c r="BG518">
        <v>1150.1999999999998</v>
      </c>
      <c r="BH518">
        <v>-2.7726999999999999</v>
      </c>
    </row>
    <row r="519" spans="1:60" x14ac:dyDescent="0.35">
      <c r="A519" t="s">
        <v>34</v>
      </c>
      <c r="B519" s="1">
        <v>46146.65625</v>
      </c>
      <c r="C519" t="s">
        <v>34</v>
      </c>
      <c r="D519" s="1">
        <v>46147.625</v>
      </c>
      <c r="E519">
        <v>7440</v>
      </c>
      <c r="F519" t="s">
        <v>36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229.9</v>
      </c>
      <c r="N519">
        <v>1</v>
      </c>
      <c r="O519">
        <v>248</v>
      </c>
      <c r="P519">
        <v>0</v>
      </c>
      <c r="Q519">
        <v>0</v>
      </c>
      <c r="R519">
        <v>0</v>
      </c>
      <c r="S519">
        <v>0</v>
      </c>
      <c r="T519">
        <v>0.26469999999999999</v>
      </c>
      <c r="U519">
        <v>-0.99</v>
      </c>
      <c r="V519">
        <v>2.9999999999999997E-4</v>
      </c>
      <c r="W519">
        <v>-0.29530000000000001</v>
      </c>
      <c r="X519">
        <v>0.1085</v>
      </c>
      <c r="Y519">
        <v>-0.1973</v>
      </c>
      <c r="Z519">
        <v>1</v>
      </c>
      <c r="AA519">
        <v>231.3</v>
      </c>
      <c r="AB519">
        <v>1</v>
      </c>
      <c r="AC519">
        <v>253.8</v>
      </c>
      <c r="AD519">
        <v>0</v>
      </c>
      <c r="AE519">
        <v>0</v>
      </c>
      <c r="AF519">
        <v>0</v>
      </c>
      <c r="AG519">
        <v>0</v>
      </c>
      <c r="AH519">
        <v>0</v>
      </c>
      <c r="AJ519" s="4">
        <v>7585</v>
      </c>
      <c r="BC519">
        <v>386.5</v>
      </c>
      <c r="BD519">
        <v>-0.93130000000000002</v>
      </c>
      <c r="BE519">
        <v>387.8</v>
      </c>
      <c r="BF519">
        <v>-0.92249999999999999</v>
      </c>
      <c r="BG519">
        <v>774.3</v>
      </c>
      <c r="BH519">
        <v>-1.8538000000000001</v>
      </c>
    </row>
    <row r="520" spans="1:60" x14ac:dyDescent="0.35">
      <c r="A520" t="s">
        <v>34</v>
      </c>
      <c r="B520" s="1">
        <v>46146.65625</v>
      </c>
      <c r="C520" t="s">
        <v>34</v>
      </c>
      <c r="D520" s="1">
        <v>46147.625</v>
      </c>
      <c r="E520">
        <v>7445</v>
      </c>
      <c r="F520" t="s">
        <v>36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234.9</v>
      </c>
      <c r="N520">
        <v>1</v>
      </c>
      <c r="O520">
        <v>253</v>
      </c>
      <c r="P520">
        <v>0</v>
      </c>
      <c r="Q520">
        <v>0</v>
      </c>
      <c r="R520">
        <v>0</v>
      </c>
      <c r="S520">
        <v>0</v>
      </c>
      <c r="T520">
        <v>0.26960000000000001</v>
      </c>
      <c r="U520">
        <v>-0.99009999999999998</v>
      </c>
      <c r="V520">
        <v>2.9999999999999997E-4</v>
      </c>
      <c r="W520">
        <v>-0.29530000000000001</v>
      </c>
      <c r="X520">
        <v>0.107</v>
      </c>
      <c r="Y520">
        <v>-0.1973</v>
      </c>
      <c r="Z520">
        <v>1</v>
      </c>
      <c r="AA520">
        <v>236.3</v>
      </c>
      <c r="AB520">
        <v>1</v>
      </c>
      <c r="AC520">
        <v>258.60000000000002</v>
      </c>
      <c r="AD520">
        <v>0</v>
      </c>
      <c r="AE520">
        <v>0</v>
      </c>
      <c r="AF520">
        <v>0</v>
      </c>
      <c r="AG520">
        <v>0</v>
      </c>
      <c r="AH520">
        <v>0</v>
      </c>
      <c r="AJ520" s="4">
        <v>7590</v>
      </c>
      <c r="AS520">
        <v>395.1</v>
      </c>
      <c r="AT520">
        <v>-0.92769999999999997</v>
      </c>
      <c r="BC520">
        <v>392.2</v>
      </c>
      <c r="BD520">
        <v>-0.92510000000000003</v>
      </c>
      <c r="BE520">
        <v>390.9</v>
      </c>
      <c r="BF520">
        <v>-0.93469999999999998</v>
      </c>
      <c r="BG520">
        <v>1178.1999999999998</v>
      </c>
      <c r="BH520">
        <v>-2.7875000000000001</v>
      </c>
    </row>
    <row r="521" spans="1:60" x14ac:dyDescent="0.35">
      <c r="A521" t="s">
        <v>34</v>
      </c>
      <c r="B521" s="1">
        <v>46146.65625</v>
      </c>
      <c r="C521" t="s">
        <v>34</v>
      </c>
      <c r="D521" s="1">
        <v>46147.625</v>
      </c>
      <c r="E521">
        <v>7450</v>
      </c>
      <c r="F521" t="s">
        <v>36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239.9</v>
      </c>
      <c r="N521">
        <v>1</v>
      </c>
      <c r="O521">
        <v>258.5</v>
      </c>
      <c r="P521">
        <v>0</v>
      </c>
      <c r="Q521">
        <v>0</v>
      </c>
      <c r="R521">
        <v>0</v>
      </c>
      <c r="S521">
        <v>0</v>
      </c>
      <c r="T521">
        <v>0.29559999999999997</v>
      </c>
      <c r="U521">
        <v>-0.98480000000000001</v>
      </c>
      <c r="V521">
        <v>2.9999999999999997E-4</v>
      </c>
      <c r="W521">
        <v>-0.54469999999999996</v>
      </c>
      <c r="X521">
        <v>0.15240000000000001</v>
      </c>
      <c r="Y521">
        <v>-0.1963</v>
      </c>
      <c r="Z521">
        <v>1</v>
      </c>
      <c r="AA521">
        <v>240.3</v>
      </c>
      <c r="AB521">
        <v>1</v>
      </c>
      <c r="AC521">
        <v>258.60000000000002</v>
      </c>
      <c r="AD521">
        <v>0</v>
      </c>
      <c r="AE521">
        <v>0</v>
      </c>
      <c r="AF521">
        <v>0</v>
      </c>
      <c r="AG521">
        <v>0</v>
      </c>
      <c r="AH521">
        <v>0</v>
      </c>
      <c r="AJ521" s="4">
        <v>7595</v>
      </c>
      <c r="BC521">
        <v>396.4</v>
      </c>
      <c r="BD521">
        <v>-0.93869999999999998</v>
      </c>
      <c r="BE521">
        <v>397.6</v>
      </c>
      <c r="BF521">
        <v>-0.92310000000000003</v>
      </c>
      <c r="BG521">
        <v>794</v>
      </c>
      <c r="BH521">
        <v>-1.8618000000000001</v>
      </c>
    </row>
    <row r="522" spans="1:60" x14ac:dyDescent="0.35">
      <c r="A522" t="s">
        <v>34</v>
      </c>
      <c r="B522" s="1">
        <v>46146.65625</v>
      </c>
      <c r="C522" t="s">
        <v>34</v>
      </c>
      <c r="D522" s="1">
        <v>46147.625</v>
      </c>
      <c r="E522">
        <v>7460</v>
      </c>
      <c r="F522" t="s">
        <v>36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248.1</v>
      </c>
      <c r="N522">
        <v>1</v>
      </c>
      <c r="O522">
        <v>268.39999999999998</v>
      </c>
      <c r="P522">
        <v>0</v>
      </c>
      <c r="Q522">
        <v>0</v>
      </c>
      <c r="R522">
        <v>0</v>
      </c>
      <c r="S522">
        <v>0</v>
      </c>
      <c r="T522">
        <v>0.52700000000000002</v>
      </c>
      <c r="U522">
        <v>-0.89449999999999996</v>
      </c>
      <c r="V522">
        <v>8.9999999999999998E-4</v>
      </c>
      <c r="W522">
        <v>-9.7225000000000001</v>
      </c>
      <c r="X522">
        <v>0.69499999999999995</v>
      </c>
      <c r="Y522">
        <v>-0.17849999999999999</v>
      </c>
      <c r="Z522">
        <v>1</v>
      </c>
      <c r="AA522">
        <v>249.8</v>
      </c>
      <c r="AB522">
        <v>1</v>
      </c>
      <c r="AC522">
        <v>268.5</v>
      </c>
      <c r="AD522">
        <v>0</v>
      </c>
      <c r="AE522">
        <v>0</v>
      </c>
      <c r="AF522">
        <v>0</v>
      </c>
      <c r="AG522">
        <v>0</v>
      </c>
      <c r="AH522">
        <v>0</v>
      </c>
      <c r="AJ522" s="4">
        <v>7600</v>
      </c>
      <c r="AK522">
        <v>407.4</v>
      </c>
      <c r="AL522">
        <v>-0.92749999999999999</v>
      </c>
      <c r="AM522">
        <v>407.8</v>
      </c>
      <c r="AN522">
        <v>-0.9244</v>
      </c>
      <c r="AO522">
        <v>408.2</v>
      </c>
      <c r="AP522">
        <v>-0.98799999999999999</v>
      </c>
      <c r="AQ522">
        <v>407</v>
      </c>
      <c r="AR522">
        <v>-0.99960000000000004</v>
      </c>
      <c r="AS522">
        <v>404.3</v>
      </c>
      <c r="AT522">
        <v>-0.93359999999999999</v>
      </c>
      <c r="AU522">
        <v>404.1</v>
      </c>
      <c r="AV522">
        <v>-0.92169999999999996</v>
      </c>
      <c r="AW522">
        <v>404.6</v>
      </c>
      <c r="AX522">
        <v>-0.99750000000000005</v>
      </c>
      <c r="AY522">
        <v>403.8</v>
      </c>
      <c r="AZ522">
        <v>-0.99299999999999999</v>
      </c>
      <c r="BA522">
        <v>404.1</v>
      </c>
      <c r="BB522">
        <v>-0.98519999999999996</v>
      </c>
      <c r="BC522">
        <v>402.1</v>
      </c>
      <c r="BD522">
        <v>-0.92969999999999997</v>
      </c>
      <c r="BE522">
        <v>402.6</v>
      </c>
      <c r="BF522">
        <v>-0.92249999999999999</v>
      </c>
      <c r="BG522">
        <v>4456</v>
      </c>
      <c r="BH522">
        <v>-10.522700000000002</v>
      </c>
    </row>
    <row r="523" spans="1:60" x14ac:dyDescent="0.35">
      <c r="A523" t="s">
        <v>34</v>
      </c>
      <c r="B523" s="1">
        <v>46146.65625</v>
      </c>
      <c r="C523" t="s">
        <v>34</v>
      </c>
      <c r="D523" s="1">
        <v>46147.625</v>
      </c>
      <c r="E523">
        <v>7470</v>
      </c>
      <c r="F523" t="s">
        <v>36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258.10000000000002</v>
      </c>
      <c r="N523">
        <v>1</v>
      </c>
      <c r="O523">
        <v>278</v>
      </c>
      <c r="P523">
        <v>0</v>
      </c>
      <c r="Q523">
        <v>0</v>
      </c>
      <c r="R523">
        <v>0</v>
      </c>
      <c r="S523">
        <v>0</v>
      </c>
      <c r="T523">
        <v>0.53539999999999999</v>
      </c>
      <c r="U523">
        <v>-0.89939999999999998</v>
      </c>
      <c r="V523">
        <v>8.9999999999999998E-4</v>
      </c>
      <c r="W523">
        <v>-9.3234999999999992</v>
      </c>
      <c r="X523">
        <v>0.67130000000000001</v>
      </c>
      <c r="Y523">
        <v>-0.1794</v>
      </c>
      <c r="Z523">
        <v>1</v>
      </c>
      <c r="AA523">
        <v>261.3</v>
      </c>
      <c r="AB523">
        <v>1</v>
      </c>
      <c r="AC523">
        <v>283.39999999999998</v>
      </c>
      <c r="AD523">
        <v>0</v>
      </c>
      <c r="AE523">
        <v>0</v>
      </c>
      <c r="AF523">
        <v>0</v>
      </c>
      <c r="AG523">
        <v>0</v>
      </c>
      <c r="AH523">
        <v>0</v>
      </c>
      <c r="AJ523" s="4">
        <v>7605</v>
      </c>
      <c r="BC523">
        <v>407.4</v>
      </c>
      <c r="BD523">
        <v>-0.93069999999999997</v>
      </c>
      <c r="BE523">
        <v>406.6</v>
      </c>
      <c r="BF523">
        <v>-0.93</v>
      </c>
      <c r="BG523">
        <v>814</v>
      </c>
      <c r="BH523">
        <v>-1.8607</v>
      </c>
    </row>
    <row r="524" spans="1:60" x14ac:dyDescent="0.35">
      <c r="A524" t="s">
        <v>34</v>
      </c>
      <c r="B524" s="1">
        <v>46146.65625</v>
      </c>
      <c r="C524" t="s">
        <v>34</v>
      </c>
      <c r="D524" s="1">
        <v>46147.625</v>
      </c>
      <c r="E524">
        <v>7475</v>
      </c>
      <c r="F524" t="s">
        <v>36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263.10000000000002</v>
      </c>
      <c r="N524">
        <v>1</v>
      </c>
      <c r="O524">
        <v>283.3</v>
      </c>
      <c r="P524">
        <v>0</v>
      </c>
      <c r="Q524">
        <v>0</v>
      </c>
      <c r="R524">
        <v>0</v>
      </c>
      <c r="S524">
        <v>0</v>
      </c>
      <c r="T524">
        <v>0.54710000000000003</v>
      </c>
      <c r="U524">
        <v>-0.89849999999999997</v>
      </c>
      <c r="V524">
        <v>8.9999999999999998E-4</v>
      </c>
      <c r="W524">
        <v>-9.6227</v>
      </c>
      <c r="X524">
        <v>0.67520000000000002</v>
      </c>
      <c r="Y524">
        <v>-0.17929999999999999</v>
      </c>
      <c r="Z524">
        <v>1</v>
      </c>
      <c r="AA524">
        <v>265.3</v>
      </c>
      <c r="AB524">
        <v>1</v>
      </c>
      <c r="AC524">
        <v>283.39999999999998</v>
      </c>
      <c r="AD524">
        <v>0</v>
      </c>
      <c r="AE524">
        <v>0</v>
      </c>
      <c r="AF524">
        <v>0</v>
      </c>
      <c r="AG524">
        <v>0</v>
      </c>
      <c r="AH524">
        <v>0</v>
      </c>
      <c r="AJ524" s="4">
        <v>7610</v>
      </c>
      <c r="AS524">
        <v>414.9</v>
      </c>
      <c r="AT524">
        <v>-0.93100000000000005</v>
      </c>
      <c r="BC524">
        <v>413.5</v>
      </c>
      <c r="BD524">
        <v>-0.92230000000000001</v>
      </c>
      <c r="BE524">
        <v>412.6</v>
      </c>
      <c r="BF524">
        <v>-0.92320000000000002</v>
      </c>
      <c r="BG524">
        <v>1241</v>
      </c>
      <c r="BH524">
        <v>-2.7765</v>
      </c>
    </row>
    <row r="525" spans="1:60" x14ac:dyDescent="0.35">
      <c r="A525" t="s">
        <v>34</v>
      </c>
      <c r="B525" s="1">
        <v>46146.65625</v>
      </c>
      <c r="C525" t="s">
        <v>34</v>
      </c>
      <c r="D525" s="1">
        <v>46147.625</v>
      </c>
      <c r="E525">
        <v>7480</v>
      </c>
      <c r="F525" t="s">
        <v>36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268.10000000000002</v>
      </c>
      <c r="N525">
        <v>1</v>
      </c>
      <c r="O525">
        <v>288</v>
      </c>
      <c r="P525">
        <v>0</v>
      </c>
      <c r="Q525">
        <v>0</v>
      </c>
      <c r="R525">
        <v>0</v>
      </c>
      <c r="S525">
        <v>0</v>
      </c>
      <c r="T525">
        <v>0.54969999999999997</v>
      </c>
      <c r="U525">
        <v>-0.90149999999999997</v>
      </c>
      <c r="V525">
        <v>8.0000000000000004E-4</v>
      </c>
      <c r="W525">
        <v>-9.3234999999999992</v>
      </c>
      <c r="X525">
        <v>0.66059999999999997</v>
      </c>
      <c r="Y525">
        <v>-0.1799</v>
      </c>
      <c r="Z525">
        <v>1</v>
      </c>
      <c r="AA525">
        <v>271.3</v>
      </c>
      <c r="AB525">
        <v>1</v>
      </c>
      <c r="AC525">
        <v>293.39999999999998</v>
      </c>
      <c r="AD525">
        <v>0</v>
      </c>
      <c r="AE525">
        <v>0</v>
      </c>
      <c r="AF525">
        <v>0</v>
      </c>
      <c r="AG525">
        <v>0</v>
      </c>
      <c r="AH525">
        <v>0</v>
      </c>
      <c r="AJ525" s="4">
        <v>7620</v>
      </c>
      <c r="AS525">
        <v>424.9</v>
      </c>
      <c r="AT525">
        <v>-0.93200000000000005</v>
      </c>
      <c r="BC525">
        <v>420.2</v>
      </c>
      <c r="BD525">
        <v>-0.94030000000000002</v>
      </c>
      <c r="BE525">
        <v>422.9</v>
      </c>
      <c r="BF525">
        <v>-0.92300000000000004</v>
      </c>
      <c r="BG525">
        <v>1268</v>
      </c>
      <c r="BH525">
        <v>-2.7953000000000001</v>
      </c>
    </row>
    <row r="526" spans="1:60" x14ac:dyDescent="0.35">
      <c r="A526" t="s">
        <v>34</v>
      </c>
      <c r="B526" s="1">
        <v>46146.65625</v>
      </c>
      <c r="C526" t="s">
        <v>34</v>
      </c>
      <c r="D526" s="1">
        <v>46147.625</v>
      </c>
      <c r="E526">
        <v>7490</v>
      </c>
      <c r="F526" t="s">
        <v>36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277.89999999999998</v>
      </c>
      <c r="N526">
        <v>1</v>
      </c>
      <c r="O526">
        <v>298</v>
      </c>
      <c r="P526">
        <v>0</v>
      </c>
      <c r="Q526">
        <v>0</v>
      </c>
      <c r="R526">
        <v>0</v>
      </c>
      <c r="S526">
        <v>0</v>
      </c>
      <c r="T526">
        <v>0.56379999999999997</v>
      </c>
      <c r="U526">
        <v>-0.90349999999999997</v>
      </c>
      <c r="V526">
        <v>8.0000000000000004E-4</v>
      </c>
      <c r="W526">
        <v>-9.3234999999999992</v>
      </c>
      <c r="X526">
        <v>0.65049999999999997</v>
      </c>
      <c r="Y526">
        <v>-0.18029999999999999</v>
      </c>
      <c r="Z526">
        <v>1</v>
      </c>
      <c r="AA526">
        <v>281.3</v>
      </c>
      <c r="AB526">
        <v>1</v>
      </c>
      <c r="AC526">
        <v>303.39999999999998</v>
      </c>
      <c r="AD526">
        <v>0</v>
      </c>
      <c r="AE526">
        <v>0</v>
      </c>
      <c r="AF526">
        <v>0</v>
      </c>
      <c r="AG526">
        <v>0</v>
      </c>
      <c r="AH526">
        <v>0</v>
      </c>
      <c r="AJ526" s="4">
        <v>7625</v>
      </c>
      <c r="AK526">
        <v>432.8</v>
      </c>
      <c r="AL526">
        <v>-0.92800000000000005</v>
      </c>
      <c r="AM526">
        <v>433.7</v>
      </c>
      <c r="AN526">
        <v>-0.92710000000000004</v>
      </c>
      <c r="AO526">
        <v>431.7</v>
      </c>
      <c r="AP526">
        <v>-0.92400000000000004</v>
      </c>
      <c r="AQ526">
        <v>432.1</v>
      </c>
      <c r="AR526">
        <v>-0.99709999999999999</v>
      </c>
      <c r="AS526">
        <v>429.3</v>
      </c>
      <c r="AT526">
        <v>-0.93610000000000004</v>
      </c>
      <c r="AU526">
        <v>430.2</v>
      </c>
      <c r="AV526">
        <v>-0.99229999999999996</v>
      </c>
      <c r="AW526">
        <v>429.9</v>
      </c>
      <c r="AX526">
        <v>-0.98780000000000001</v>
      </c>
      <c r="AY526">
        <v>428.8</v>
      </c>
      <c r="AZ526">
        <v>-0.99729999999999996</v>
      </c>
      <c r="BA526">
        <v>427.9</v>
      </c>
      <c r="BB526">
        <v>-0.99670000000000003</v>
      </c>
      <c r="BC526">
        <v>427</v>
      </c>
      <c r="BD526">
        <v>-0.93269999999999997</v>
      </c>
      <c r="BE526">
        <v>427.6</v>
      </c>
      <c r="BF526">
        <v>-0.92469999999999997</v>
      </c>
      <c r="BG526">
        <v>4731.0000000000009</v>
      </c>
      <c r="BH526">
        <v>-10.543800000000001</v>
      </c>
    </row>
    <row r="527" spans="1:60" x14ac:dyDescent="0.35">
      <c r="A527" t="s">
        <v>34</v>
      </c>
      <c r="B527" s="1">
        <v>46146.65625</v>
      </c>
      <c r="C527" t="s">
        <v>34</v>
      </c>
      <c r="D527" s="1">
        <v>46147.625</v>
      </c>
      <c r="E527">
        <v>7500</v>
      </c>
      <c r="F527" t="s">
        <v>36</v>
      </c>
      <c r="G527">
        <v>301.70999999999998</v>
      </c>
      <c r="H527">
        <v>301.70999999999998</v>
      </c>
      <c r="I527">
        <v>301.70999999999998</v>
      </c>
      <c r="J527">
        <v>301.70999999999998</v>
      </c>
      <c r="K527">
        <v>1</v>
      </c>
      <c r="L527">
        <v>1</v>
      </c>
      <c r="M527">
        <v>287.89999999999998</v>
      </c>
      <c r="N527">
        <v>1</v>
      </c>
      <c r="O527">
        <v>308.2</v>
      </c>
      <c r="P527">
        <v>0</v>
      </c>
      <c r="Q527">
        <v>0</v>
      </c>
      <c r="R527">
        <v>0</v>
      </c>
      <c r="S527">
        <v>0</v>
      </c>
      <c r="T527">
        <v>0.56610000000000005</v>
      </c>
      <c r="U527">
        <v>-0.91010000000000002</v>
      </c>
      <c r="V527">
        <v>8.0000000000000004E-4</v>
      </c>
      <c r="W527">
        <v>-8.5940999999999992</v>
      </c>
      <c r="X527">
        <v>0.61809999999999998</v>
      </c>
      <c r="Y527">
        <v>-0.18160000000000001</v>
      </c>
      <c r="Z527">
        <v>1</v>
      </c>
      <c r="AA527">
        <v>291.39999999999998</v>
      </c>
      <c r="AB527">
        <v>1</v>
      </c>
      <c r="AC527">
        <v>313.39999999999998</v>
      </c>
      <c r="AD527">
        <v>0</v>
      </c>
      <c r="AE527">
        <v>0</v>
      </c>
      <c r="AF527">
        <v>301.70999999999998</v>
      </c>
      <c r="AG527">
        <v>1</v>
      </c>
      <c r="AH527">
        <v>0</v>
      </c>
      <c r="AJ527" s="4">
        <v>7630</v>
      </c>
      <c r="AS527">
        <v>434.9</v>
      </c>
      <c r="AT527">
        <v>-0.93300000000000005</v>
      </c>
      <c r="BC527">
        <v>432</v>
      </c>
      <c r="BD527">
        <v>-0.93269999999999997</v>
      </c>
      <c r="BE527">
        <v>432.7</v>
      </c>
      <c r="BF527">
        <v>-0.92469999999999997</v>
      </c>
      <c r="BG527">
        <v>1299.5999999999999</v>
      </c>
      <c r="BH527">
        <v>-2.7904</v>
      </c>
    </row>
    <row r="528" spans="1:60" x14ac:dyDescent="0.35">
      <c r="A528" t="s">
        <v>34</v>
      </c>
      <c r="B528" s="1">
        <v>46146.65625</v>
      </c>
      <c r="C528" t="s">
        <v>34</v>
      </c>
      <c r="D528" s="1">
        <v>46147.625</v>
      </c>
      <c r="E528">
        <v>7510</v>
      </c>
      <c r="F528" t="s">
        <v>36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298.10000000000002</v>
      </c>
      <c r="N528">
        <v>1</v>
      </c>
      <c r="O528">
        <v>318.10000000000002</v>
      </c>
      <c r="P528">
        <v>0</v>
      </c>
      <c r="Q528">
        <v>0</v>
      </c>
      <c r="R528">
        <v>0</v>
      </c>
      <c r="S528">
        <v>0</v>
      </c>
      <c r="T528">
        <v>0.59140000000000004</v>
      </c>
      <c r="U528">
        <v>-0.90739999999999998</v>
      </c>
      <c r="V528">
        <v>6.9999999999999999E-4</v>
      </c>
      <c r="W528">
        <v>-9.2922999999999991</v>
      </c>
      <c r="X528">
        <v>0.63080000000000003</v>
      </c>
      <c r="Y528">
        <v>-0.18110000000000001</v>
      </c>
      <c r="Z528">
        <v>1</v>
      </c>
      <c r="AA528">
        <v>301.3</v>
      </c>
      <c r="AB528">
        <v>1</v>
      </c>
      <c r="AC528">
        <v>323.39999999999998</v>
      </c>
      <c r="AD528">
        <v>0</v>
      </c>
      <c r="AE528">
        <v>0</v>
      </c>
      <c r="AF528">
        <v>0</v>
      </c>
      <c r="AG528">
        <v>0</v>
      </c>
      <c r="AH528">
        <v>0</v>
      </c>
      <c r="AJ528" s="4">
        <v>7640</v>
      </c>
      <c r="AS528">
        <v>444.9</v>
      </c>
      <c r="AT528">
        <v>-0.93389999999999995</v>
      </c>
      <c r="BC528">
        <v>442</v>
      </c>
      <c r="BD528">
        <v>-0.93879999999999997</v>
      </c>
      <c r="BE528">
        <v>442.5</v>
      </c>
      <c r="BF528">
        <v>-0.92679999999999996</v>
      </c>
      <c r="BG528">
        <v>1329.4</v>
      </c>
      <c r="BH528">
        <v>-2.7995000000000001</v>
      </c>
    </row>
    <row r="529" spans="1:60" x14ac:dyDescent="0.35">
      <c r="A529" t="s">
        <v>34</v>
      </c>
      <c r="B529" s="1">
        <v>46146.65625</v>
      </c>
      <c r="C529" t="s">
        <v>34</v>
      </c>
      <c r="D529" s="1">
        <v>46147.625</v>
      </c>
      <c r="E529">
        <v>7520</v>
      </c>
      <c r="F529" t="s">
        <v>36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308.10000000000002</v>
      </c>
      <c r="N529">
        <v>2</v>
      </c>
      <c r="O529">
        <v>328.7</v>
      </c>
      <c r="P529">
        <v>0</v>
      </c>
      <c r="Q529">
        <v>0</v>
      </c>
      <c r="R529">
        <v>0</v>
      </c>
      <c r="S529">
        <v>0</v>
      </c>
      <c r="T529">
        <v>0.6149</v>
      </c>
      <c r="U529">
        <v>-0.90559999999999996</v>
      </c>
      <c r="V529">
        <v>6.9999999999999999E-4</v>
      </c>
      <c r="W529">
        <v>-9.8907000000000007</v>
      </c>
      <c r="X529">
        <v>0.63959999999999995</v>
      </c>
      <c r="Y529">
        <v>-0.1807</v>
      </c>
      <c r="Z529">
        <v>1</v>
      </c>
      <c r="AA529">
        <v>309.10000000000002</v>
      </c>
      <c r="AB529">
        <v>1</v>
      </c>
      <c r="AC529">
        <v>328.7</v>
      </c>
      <c r="AD529">
        <v>0</v>
      </c>
      <c r="AE529">
        <v>0</v>
      </c>
      <c r="AF529">
        <v>0</v>
      </c>
      <c r="AG529">
        <v>0</v>
      </c>
      <c r="AH529">
        <v>0</v>
      </c>
      <c r="AJ529" s="4">
        <v>7650</v>
      </c>
      <c r="AK529">
        <v>457.8</v>
      </c>
      <c r="AL529">
        <v>-0.93049999999999999</v>
      </c>
      <c r="AM529">
        <v>458.1</v>
      </c>
      <c r="AN529">
        <v>-0.92969999999999997</v>
      </c>
      <c r="AO529">
        <v>457.7</v>
      </c>
      <c r="AP529">
        <v>-0.92149999999999999</v>
      </c>
      <c r="AQ529">
        <v>457</v>
      </c>
      <c r="AR529">
        <v>-0.99809999999999999</v>
      </c>
      <c r="AS529">
        <v>454.2</v>
      </c>
      <c r="AT529">
        <v>-0.93889999999999996</v>
      </c>
      <c r="AU529">
        <v>454.5</v>
      </c>
      <c r="AV529">
        <v>-0.92510000000000003</v>
      </c>
      <c r="AW529">
        <v>455.2</v>
      </c>
      <c r="AX529">
        <v>-0.98799999999999999</v>
      </c>
      <c r="AY529">
        <v>452</v>
      </c>
      <c r="AZ529">
        <v>-0.93469999999999998</v>
      </c>
      <c r="BA529">
        <v>452.8</v>
      </c>
      <c r="BB529">
        <v>-0.92390000000000005</v>
      </c>
      <c r="BC529">
        <v>451.3</v>
      </c>
      <c r="BD529">
        <v>-0.93969999999999998</v>
      </c>
      <c r="BE529">
        <v>452.6</v>
      </c>
      <c r="BF529">
        <v>-0.92879999999999996</v>
      </c>
      <c r="BG529">
        <v>5003.2000000000007</v>
      </c>
      <c r="BH529">
        <v>-10.358900000000002</v>
      </c>
    </row>
    <row r="530" spans="1:60" x14ac:dyDescent="0.35">
      <c r="A530" t="s">
        <v>34</v>
      </c>
      <c r="B530" s="1">
        <v>46146.65625</v>
      </c>
      <c r="C530" t="s">
        <v>34</v>
      </c>
      <c r="D530" s="1">
        <v>46147.625</v>
      </c>
      <c r="E530">
        <v>7525</v>
      </c>
      <c r="F530" t="s">
        <v>36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312.89999999999998</v>
      </c>
      <c r="N530">
        <v>1</v>
      </c>
      <c r="O530">
        <v>332.5</v>
      </c>
      <c r="P530">
        <v>0</v>
      </c>
      <c r="Q530">
        <v>0</v>
      </c>
      <c r="R530">
        <v>0</v>
      </c>
      <c r="S530">
        <v>0</v>
      </c>
      <c r="T530">
        <v>0.60040000000000004</v>
      </c>
      <c r="U530">
        <v>-0.9143</v>
      </c>
      <c r="V530">
        <v>6.9999999999999999E-4</v>
      </c>
      <c r="W530">
        <v>-8.5940999999999992</v>
      </c>
      <c r="X530">
        <v>0.59630000000000005</v>
      </c>
      <c r="Y530">
        <v>-0.18240000000000001</v>
      </c>
      <c r="Z530">
        <v>1</v>
      </c>
      <c r="AA530">
        <v>315.7</v>
      </c>
      <c r="AB530">
        <v>1</v>
      </c>
      <c r="AC530">
        <v>338.4</v>
      </c>
      <c r="AD530">
        <v>0</v>
      </c>
      <c r="AE530">
        <v>0</v>
      </c>
      <c r="AF530">
        <v>0</v>
      </c>
      <c r="AG530">
        <v>0</v>
      </c>
      <c r="AH530">
        <v>0</v>
      </c>
      <c r="AJ530" s="4">
        <v>7660</v>
      </c>
      <c r="AS530">
        <v>465.2</v>
      </c>
      <c r="AT530">
        <v>-0.93410000000000004</v>
      </c>
      <c r="BC530">
        <v>461.9</v>
      </c>
      <c r="BD530">
        <v>-0.93630000000000002</v>
      </c>
      <c r="BE530">
        <v>462.5</v>
      </c>
      <c r="BF530">
        <v>-0.92859999999999998</v>
      </c>
      <c r="BG530">
        <v>1389.6</v>
      </c>
      <c r="BH530">
        <v>-2.7989999999999999</v>
      </c>
    </row>
    <row r="531" spans="1:60" x14ac:dyDescent="0.35">
      <c r="A531" t="s">
        <v>34</v>
      </c>
      <c r="B531" s="1">
        <v>46146.65625</v>
      </c>
      <c r="C531" t="s">
        <v>34</v>
      </c>
      <c r="D531" s="1">
        <v>46147.625</v>
      </c>
      <c r="E531">
        <v>7550</v>
      </c>
      <c r="F531" t="s">
        <v>36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338.1</v>
      </c>
      <c r="N531">
        <v>1</v>
      </c>
      <c r="O531">
        <v>357.5</v>
      </c>
      <c r="P531">
        <v>0</v>
      </c>
      <c r="Q531">
        <v>0</v>
      </c>
      <c r="R531">
        <v>0</v>
      </c>
      <c r="S531">
        <v>0</v>
      </c>
      <c r="T531">
        <v>0.63419999999999999</v>
      </c>
      <c r="U531">
        <v>-0.91800000000000004</v>
      </c>
      <c r="V531">
        <v>5.9999999999999995E-4</v>
      </c>
      <c r="W531">
        <v>-8.5940999999999992</v>
      </c>
      <c r="X531">
        <v>0.57630000000000003</v>
      </c>
      <c r="Y531">
        <v>-0.18310000000000001</v>
      </c>
      <c r="Z531">
        <v>1</v>
      </c>
      <c r="AA531">
        <v>340.7</v>
      </c>
      <c r="AB531">
        <v>2</v>
      </c>
      <c r="AC531">
        <v>363.4</v>
      </c>
      <c r="AD531">
        <v>0</v>
      </c>
      <c r="AE531">
        <v>0</v>
      </c>
      <c r="AF531">
        <v>0</v>
      </c>
      <c r="AG531">
        <v>0</v>
      </c>
      <c r="AH531">
        <v>0</v>
      </c>
      <c r="AJ531" s="4">
        <v>7670</v>
      </c>
      <c r="BC531">
        <v>470.6</v>
      </c>
      <c r="BD531">
        <v>-0.94199999999999995</v>
      </c>
      <c r="BE531">
        <v>472.6</v>
      </c>
      <c r="BF531">
        <v>-0.93049999999999999</v>
      </c>
      <c r="BG531">
        <v>943.2</v>
      </c>
      <c r="BH531">
        <v>-1.8725000000000001</v>
      </c>
    </row>
    <row r="532" spans="1:60" x14ac:dyDescent="0.35">
      <c r="A532" t="s">
        <v>34</v>
      </c>
      <c r="B532" s="1">
        <v>46146.65625</v>
      </c>
      <c r="C532" t="s">
        <v>34</v>
      </c>
      <c r="D532" s="1">
        <v>46147.625</v>
      </c>
      <c r="E532">
        <v>7575</v>
      </c>
      <c r="F532" t="s">
        <v>36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363.1</v>
      </c>
      <c r="N532">
        <v>1</v>
      </c>
      <c r="O532">
        <v>383.2</v>
      </c>
      <c r="P532">
        <v>0</v>
      </c>
      <c r="Q532">
        <v>0</v>
      </c>
      <c r="R532">
        <v>0</v>
      </c>
      <c r="S532">
        <v>0</v>
      </c>
      <c r="T532">
        <v>0.66749999999999998</v>
      </c>
      <c r="U532">
        <v>-0.9214</v>
      </c>
      <c r="V532">
        <v>5.9999999999999995E-4</v>
      </c>
      <c r="W532">
        <v>-8.5940999999999992</v>
      </c>
      <c r="X532">
        <v>0.55779999999999996</v>
      </c>
      <c r="Y532">
        <v>-0.18379999999999999</v>
      </c>
      <c r="Z532">
        <v>1</v>
      </c>
      <c r="AA532">
        <v>366.3</v>
      </c>
      <c r="AB532">
        <v>1</v>
      </c>
      <c r="AC532">
        <v>388.8</v>
      </c>
      <c r="AD532">
        <v>0</v>
      </c>
      <c r="AE532">
        <v>0</v>
      </c>
      <c r="AF532">
        <v>0</v>
      </c>
      <c r="AG532">
        <v>0</v>
      </c>
      <c r="AH532">
        <v>0</v>
      </c>
      <c r="AJ532" s="4">
        <v>7675</v>
      </c>
      <c r="AK532">
        <v>485.5</v>
      </c>
      <c r="AL532">
        <v>-0.98540000000000005</v>
      </c>
      <c r="AM532">
        <v>483.1</v>
      </c>
      <c r="AN532">
        <v>-0.93200000000000005</v>
      </c>
      <c r="AO532">
        <v>482.4</v>
      </c>
      <c r="AP532">
        <v>-0.92549999999999999</v>
      </c>
      <c r="AQ532">
        <v>481.2</v>
      </c>
      <c r="AR532">
        <v>-0.9274</v>
      </c>
      <c r="AS532">
        <v>479.3</v>
      </c>
      <c r="AT532">
        <v>-0.94030000000000002</v>
      </c>
      <c r="AU532">
        <v>479.9</v>
      </c>
      <c r="AV532">
        <v>-0.99309999999999998</v>
      </c>
      <c r="AW532">
        <v>480.1</v>
      </c>
      <c r="AX532">
        <v>-0.995</v>
      </c>
      <c r="AY532">
        <v>478.7</v>
      </c>
      <c r="AZ532">
        <v>-0.99860000000000004</v>
      </c>
      <c r="BA532">
        <v>478.1</v>
      </c>
      <c r="BB532">
        <v>-0.99029999999999996</v>
      </c>
      <c r="BC532">
        <v>476.2</v>
      </c>
      <c r="BD532">
        <v>-0.94140000000000001</v>
      </c>
      <c r="BE532">
        <v>477.5</v>
      </c>
      <c r="BF532">
        <v>-0.93149999999999999</v>
      </c>
      <c r="BG532">
        <v>5282</v>
      </c>
      <c r="BH532">
        <v>-10.560499999999999</v>
      </c>
    </row>
    <row r="533" spans="1:60" x14ac:dyDescent="0.35">
      <c r="A533" t="s">
        <v>34</v>
      </c>
      <c r="B533" s="1">
        <v>46146.65625</v>
      </c>
      <c r="C533" t="s">
        <v>34</v>
      </c>
      <c r="D533" s="1">
        <v>46147.625</v>
      </c>
      <c r="E533">
        <v>7600</v>
      </c>
      <c r="F533" t="s">
        <v>36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387.9</v>
      </c>
      <c r="N533">
        <v>1</v>
      </c>
      <c r="O533">
        <v>407.8</v>
      </c>
      <c r="P533">
        <v>0</v>
      </c>
      <c r="Q533">
        <v>0</v>
      </c>
      <c r="R533">
        <v>0</v>
      </c>
      <c r="S533">
        <v>0</v>
      </c>
      <c r="T533">
        <v>0.70030000000000003</v>
      </c>
      <c r="U533">
        <v>-0.9244</v>
      </c>
      <c r="V533">
        <v>5.0000000000000001E-4</v>
      </c>
      <c r="W533">
        <v>-8.5939999999999994</v>
      </c>
      <c r="X533">
        <v>0.54079999999999995</v>
      </c>
      <c r="Y533">
        <v>-0.18440000000000001</v>
      </c>
      <c r="Z533">
        <v>1</v>
      </c>
      <c r="AA533">
        <v>391.2</v>
      </c>
      <c r="AB533">
        <v>1</v>
      </c>
      <c r="AC533">
        <v>413.2</v>
      </c>
      <c r="AD533">
        <v>0</v>
      </c>
      <c r="AE533">
        <v>0</v>
      </c>
      <c r="AF533">
        <v>0</v>
      </c>
      <c r="AG533">
        <v>0</v>
      </c>
      <c r="AH533">
        <v>0</v>
      </c>
      <c r="AJ533" s="4">
        <v>7680</v>
      </c>
      <c r="BC533">
        <v>481.9</v>
      </c>
      <c r="BD533">
        <v>-0.93859999999999999</v>
      </c>
      <c r="BE533">
        <v>482.6</v>
      </c>
      <c r="BF533">
        <v>-0.92989999999999995</v>
      </c>
      <c r="BG533">
        <v>964.5</v>
      </c>
      <c r="BH533">
        <v>-1.8685</v>
      </c>
    </row>
    <row r="534" spans="1:60" x14ac:dyDescent="0.35">
      <c r="A534" t="s">
        <v>34</v>
      </c>
      <c r="B534" s="1">
        <v>46146.65625</v>
      </c>
      <c r="C534" t="s">
        <v>34</v>
      </c>
      <c r="D534" s="1">
        <v>46147.625</v>
      </c>
      <c r="E534">
        <v>7625</v>
      </c>
      <c r="F534" t="s">
        <v>36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412.9</v>
      </c>
      <c r="N534">
        <v>1</v>
      </c>
      <c r="O534">
        <v>433.7</v>
      </c>
      <c r="P534">
        <v>0</v>
      </c>
      <c r="Q534">
        <v>0</v>
      </c>
      <c r="R534">
        <v>0</v>
      </c>
      <c r="S534">
        <v>0</v>
      </c>
      <c r="T534">
        <v>0.73270000000000002</v>
      </c>
      <c r="U534">
        <v>-0.92710000000000004</v>
      </c>
      <c r="V534">
        <v>5.0000000000000001E-4</v>
      </c>
      <c r="W534">
        <v>-8.5942000000000007</v>
      </c>
      <c r="X534">
        <v>0.5252</v>
      </c>
      <c r="Y534">
        <v>-0.185</v>
      </c>
      <c r="Z534">
        <v>1</v>
      </c>
      <c r="AA534">
        <v>415.2</v>
      </c>
      <c r="AB534">
        <v>1</v>
      </c>
      <c r="AC534">
        <v>434.5</v>
      </c>
      <c r="AD534">
        <v>0</v>
      </c>
      <c r="AE534">
        <v>0</v>
      </c>
      <c r="AF534">
        <v>0</v>
      </c>
      <c r="AG534">
        <v>0</v>
      </c>
      <c r="AH534">
        <v>0</v>
      </c>
      <c r="AJ534" s="4">
        <v>7690</v>
      </c>
      <c r="BC534">
        <v>491.9</v>
      </c>
      <c r="BD534">
        <v>-0.93789999999999996</v>
      </c>
      <c r="BE534">
        <v>491.6</v>
      </c>
      <c r="BF534">
        <v>-0.93740000000000001</v>
      </c>
      <c r="BG534">
        <v>983.5</v>
      </c>
      <c r="BH534">
        <v>-1.8753</v>
      </c>
    </row>
    <row r="535" spans="1:60" x14ac:dyDescent="0.35">
      <c r="A535" t="s">
        <v>34</v>
      </c>
      <c r="B535" s="1">
        <v>46146.65625</v>
      </c>
      <c r="C535" t="s">
        <v>34</v>
      </c>
      <c r="D535" s="1">
        <v>46147.625</v>
      </c>
      <c r="E535">
        <v>7650</v>
      </c>
      <c r="F535" t="s">
        <v>36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437.9</v>
      </c>
      <c r="N535">
        <v>1</v>
      </c>
      <c r="O535">
        <v>458.1</v>
      </c>
      <c r="P535">
        <v>0</v>
      </c>
      <c r="Q535">
        <v>0</v>
      </c>
      <c r="R535">
        <v>0</v>
      </c>
      <c r="S535">
        <v>0</v>
      </c>
      <c r="T535">
        <v>0.76470000000000005</v>
      </c>
      <c r="U535">
        <v>-0.92969999999999997</v>
      </c>
      <c r="V535">
        <v>5.0000000000000001E-4</v>
      </c>
      <c r="W535">
        <v>-8.5942000000000007</v>
      </c>
      <c r="X535">
        <v>0.51090000000000002</v>
      </c>
      <c r="Y535">
        <v>-0.1855</v>
      </c>
      <c r="Z535">
        <v>1</v>
      </c>
      <c r="AA535">
        <v>441.3</v>
      </c>
      <c r="AB535">
        <v>2</v>
      </c>
      <c r="AC535">
        <v>463.8</v>
      </c>
      <c r="AD535">
        <v>0</v>
      </c>
      <c r="AE535">
        <v>0</v>
      </c>
      <c r="AF535">
        <v>0</v>
      </c>
      <c r="AG535">
        <v>0</v>
      </c>
      <c r="AH535">
        <v>0</v>
      </c>
      <c r="AJ535" s="4">
        <v>7700</v>
      </c>
      <c r="AK535">
        <v>508.9</v>
      </c>
      <c r="AL535">
        <v>-0.99539999999999995</v>
      </c>
      <c r="AM535">
        <v>508.6</v>
      </c>
      <c r="AN535">
        <v>-0.93410000000000004</v>
      </c>
      <c r="AO535">
        <v>506.6</v>
      </c>
      <c r="AP535">
        <v>-0.9345</v>
      </c>
      <c r="AQ535">
        <v>506.6</v>
      </c>
      <c r="AR535">
        <v>-0.92769999999999997</v>
      </c>
      <c r="AS535">
        <v>504.3</v>
      </c>
      <c r="AT535">
        <v>-0.94210000000000005</v>
      </c>
      <c r="AU535">
        <v>504.8</v>
      </c>
      <c r="AV535">
        <v>-0.99450000000000005</v>
      </c>
      <c r="AW535">
        <v>503.6</v>
      </c>
      <c r="AX535">
        <v>-0.93089999999999995</v>
      </c>
      <c r="AY535">
        <v>502.8</v>
      </c>
      <c r="AZ535">
        <v>-0.93469999999999998</v>
      </c>
      <c r="BA535">
        <v>502.8</v>
      </c>
      <c r="BB535">
        <v>-0.9284</v>
      </c>
      <c r="BC535">
        <v>502.1</v>
      </c>
      <c r="BD535">
        <v>-0.93830000000000002</v>
      </c>
      <c r="BE535">
        <v>502.1</v>
      </c>
      <c r="BF535">
        <v>-0.93400000000000005</v>
      </c>
      <c r="BG535">
        <v>5553.2000000000007</v>
      </c>
      <c r="BH535">
        <v>-10.394600000000001</v>
      </c>
    </row>
    <row r="536" spans="1:60" x14ac:dyDescent="0.35">
      <c r="A536" t="s">
        <v>34</v>
      </c>
      <c r="B536" s="1">
        <v>46146.65625</v>
      </c>
      <c r="C536" t="s">
        <v>34</v>
      </c>
      <c r="D536" s="1">
        <v>46147.625</v>
      </c>
      <c r="E536">
        <v>7675</v>
      </c>
      <c r="F536" t="s">
        <v>36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462.9</v>
      </c>
      <c r="N536">
        <v>1</v>
      </c>
      <c r="O536">
        <v>483.1</v>
      </c>
      <c r="P536">
        <v>0</v>
      </c>
      <c r="Q536">
        <v>0</v>
      </c>
      <c r="R536">
        <v>0</v>
      </c>
      <c r="S536">
        <v>0</v>
      </c>
      <c r="T536">
        <v>0.7964</v>
      </c>
      <c r="U536">
        <v>-0.93200000000000005</v>
      </c>
      <c r="V536">
        <v>4.0000000000000002E-4</v>
      </c>
      <c r="W536">
        <v>-8.5942000000000007</v>
      </c>
      <c r="X536">
        <v>0.49769999999999998</v>
      </c>
      <c r="Y536">
        <v>-0.18590000000000001</v>
      </c>
      <c r="Z536">
        <v>1</v>
      </c>
      <c r="AA536">
        <v>466.3</v>
      </c>
      <c r="AB536">
        <v>1</v>
      </c>
      <c r="AC536">
        <v>488.7</v>
      </c>
      <c r="AD536">
        <v>0</v>
      </c>
      <c r="AE536">
        <v>0</v>
      </c>
      <c r="AF536">
        <v>0</v>
      </c>
      <c r="AG536">
        <v>0</v>
      </c>
      <c r="AH536">
        <v>0</v>
      </c>
      <c r="AJ536" s="4">
        <v>7710</v>
      </c>
      <c r="BC536">
        <v>510.5</v>
      </c>
      <c r="BD536">
        <v>-0.94779999999999998</v>
      </c>
      <c r="BE536">
        <v>512.6</v>
      </c>
      <c r="BF536">
        <v>-0.93269999999999997</v>
      </c>
      <c r="BG536">
        <v>1023.1</v>
      </c>
      <c r="BH536">
        <v>-1.8805000000000001</v>
      </c>
    </row>
    <row r="537" spans="1:60" x14ac:dyDescent="0.35">
      <c r="A537" t="s">
        <v>34</v>
      </c>
      <c r="B537" s="1">
        <v>46146.65625</v>
      </c>
      <c r="C537" t="s">
        <v>34</v>
      </c>
      <c r="D537" s="1">
        <v>46147.625</v>
      </c>
      <c r="E537">
        <v>7700</v>
      </c>
      <c r="F537" t="s">
        <v>36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487.9</v>
      </c>
      <c r="N537">
        <v>1</v>
      </c>
      <c r="O537">
        <v>508.6</v>
      </c>
      <c r="P537">
        <v>0</v>
      </c>
      <c r="Q537">
        <v>0</v>
      </c>
      <c r="R537">
        <v>0</v>
      </c>
      <c r="S537">
        <v>0</v>
      </c>
      <c r="T537">
        <v>0.82769999999999999</v>
      </c>
      <c r="U537">
        <v>-0.93410000000000004</v>
      </c>
      <c r="V537">
        <v>4.0000000000000002E-4</v>
      </c>
      <c r="W537">
        <v>-8.5942000000000007</v>
      </c>
      <c r="X537">
        <v>0.48559999999999998</v>
      </c>
      <c r="Y537">
        <v>-0.18629999999999999</v>
      </c>
      <c r="Z537">
        <v>1</v>
      </c>
      <c r="AA537">
        <v>489.8</v>
      </c>
      <c r="AB537">
        <v>1</v>
      </c>
      <c r="AC537">
        <v>508.6</v>
      </c>
      <c r="AD537">
        <v>0</v>
      </c>
      <c r="AE537">
        <v>0</v>
      </c>
      <c r="AF537">
        <v>0</v>
      </c>
      <c r="AG537">
        <v>0</v>
      </c>
      <c r="AH537">
        <v>0</v>
      </c>
      <c r="AJ537" s="4">
        <v>7720</v>
      </c>
      <c r="BC537">
        <v>521.79999999999995</v>
      </c>
      <c r="BD537">
        <v>-0.94189999999999996</v>
      </c>
      <c r="BE537">
        <v>522.5</v>
      </c>
      <c r="BF537">
        <v>-0.9335</v>
      </c>
      <c r="BG537">
        <v>1044.3</v>
      </c>
      <c r="BH537">
        <v>-1.8754</v>
      </c>
    </row>
    <row r="538" spans="1:60" x14ac:dyDescent="0.35">
      <c r="A538" t="s">
        <v>34</v>
      </c>
      <c r="B538" s="1">
        <v>46146.65625</v>
      </c>
      <c r="C538" t="s">
        <v>34</v>
      </c>
      <c r="D538" s="1">
        <v>46147.625</v>
      </c>
      <c r="E538">
        <v>7725</v>
      </c>
      <c r="F538" t="s">
        <v>36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512.9</v>
      </c>
      <c r="N538">
        <v>1</v>
      </c>
      <c r="O538">
        <v>533.6</v>
      </c>
      <c r="P538">
        <v>0</v>
      </c>
      <c r="Q538">
        <v>0</v>
      </c>
      <c r="R538">
        <v>0</v>
      </c>
      <c r="S538">
        <v>0</v>
      </c>
      <c r="T538">
        <v>0.88339999999999996</v>
      </c>
      <c r="U538">
        <v>-0.93030000000000002</v>
      </c>
      <c r="V538">
        <v>4.0000000000000002E-4</v>
      </c>
      <c r="W538">
        <v>-9.7911999999999999</v>
      </c>
      <c r="X538">
        <v>0.50619999999999998</v>
      </c>
      <c r="Y538">
        <v>-0.18559999999999999</v>
      </c>
      <c r="Z538">
        <v>1</v>
      </c>
      <c r="AA538">
        <v>514.29999999999995</v>
      </c>
      <c r="AB538">
        <v>1</v>
      </c>
      <c r="AC538">
        <v>533.6</v>
      </c>
      <c r="AD538">
        <v>0</v>
      </c>
      <c r="AE538">
        <v>0</v>
      </c>
      <c r="AF538">
        <v>0</v>
      </c>
      <c r="AG538">
        <v>0</v>
      </c>
      <c r="AH538">
        <v>0</v>
      </c>
      <c r="AJ538" s="4">
        <v>7725</v>
      </c>
      <c r="AK538">
        <v>535.5</v>
      </c>
      <c r="AL538">
        <v>-0.9879</v>
      </c>
      <c r="AM538">
        <v>533.6</v>
      </c>
      <c r="AN538">
        <v>-0.93030000000000002</v>
      </c>
      <c r="AO538">
        <v>532.1</v>
      </c>
      <c r="AP538">
        <v>-0.93400000000000005</v>
      </c>
      <c r="AQ538">
        <v>531</v>
      </c>
      <c r="AR538">
        <v>-0.93600000000000005</v>
      </c>
      <c r="AS538">
        <v>529.1</v>
      </c>
      <c r="AT538">
        <v>-0.94489999999999996</v>
      </c>
      <c r="AU538">
        <v>529.70000000000005</v>
      </c>
      <c r="AV538">
        <v>-0.93330000000000002</v>
      </c>
      <c r="AW538">
        <v>528.6</v>
      </c>
      <c r="AX538">
        <v>-0.93559999999999999</v>
      </c>
      <c r="AY538">
        <v>529.5</v>
      </c>
      <c r="AZ538">
        <v>-0.99919999999999998</v>
      </c>
      <c r="BA538">
        <v>527.79999999999995</v>
      </c>
      <c r="BB538">
        <v>-0.93369999999999997</v>
      </c>
      <c r="BC538">
        <v>526.79999999999995</v>
      </c>
      <c r="BD538">
        <v>-0.94310000000000005</v>
      </c>
      <c r="BE538">
        <v>525</v>
      </c>
      <c r="BF538">
        <v>-0.94850000000000001</v>
      </c>
      <c r="BG538">
        <v>5828.7000000000007</v>
      </c>
      <c r="BH538">
        <v>-10.426499999999999</v>
      </c>
    </row>
    <row r="539" spans="1:60" x14ac:dyDescent="0.35">
      <c r="A539" t="s">
        <v>34</v>
      </c>
      <c r="B539" s="1">
        <v>46146.65625</v>
      </c>
      <c r="C539" t="s">
        <v>34</v>
      </c>
      <c r="D539" s="1">
        <v>46147.625</v>
      </c>
      <c r="E539">
        <v>7800</v>
      </c>
      <c r="F539" t="s">
        <v>36</v>
      </c>
      <c r="G539">
        <v>598.45000000000005</v>
      </c>
      <c r="H539">
        <v>598.45000000000005</v>
      </c>
      <c r="I539">
        <v>598.45000000000005</v>
      </c>
      <c r="J539">
        <v>598.45000000000005</v>
      </c>
      <c r="K539">
        <v>9</v>
      </c>
      <c r="L539">
        <v>1</v>
      </c>
      <c r="M539">
        <v>588.1</v>
      </c>
      <c r="N539">
        <v>1</v>
      </c>
      <c r="O539">
        <v>608.1</v>
      </c>
      <c r="P539">
        <v>0</v>
      </c>
      <c r="Q539">
        <v>0</v>
      </c>
      <c r="R539">
        <v>0</v>
      </c>
      <c r="S539">
        <v>0</v>
      </c>
      <c r="T539">
        <v>0.94969999999999999</v>
      </c>
      <c r="U539">
        <v>-0.94110000000000005</v>
      </c>
      <c r="V539">
        <v>2.9999999999999997E-4</v>
      </c>
      <c r="W539">
        <v>-8.5943000000000005</v>
      </c>
      <c r="X539">
        <v>0.44409999999999999</v>
      </c>
      <c r="Y539">
        <v>-0.18770000000000001</v>
      </c>
      <c r="Z539">
        <v>1</v>
      </c>
      <c r="AA539">
        <v>591.29999999999995</v>
      </c>
      <c r="AB539">
        <v>1</v>
      </c>
      <c r="AC539">
        <v>613.79999999999995</v>
      </c>
      <c r="AD539">
        <v>0</v>
      </c>
      <c r="AE539">
        <v>0</v>
      </c>
      <c r="AF539">
        <v>598.45000000000005</v>
      </c>
      <c r="AG539">
        <v>0</v>
      </c>
      <c r="AH539">
        <v>0</v>
      </c>
      <c r="AJ539" s="4">
        <v>7730</v>
      </c>
      <c r="BC539">
        <v>531.79999999999995</v>
      </c>
      <c r="BD539">
        <v>-0.94059999999999999</v>
      </c>
      <c r="BE539">
        <v>532.5</v>
      </c>
      <c r="BF539">
        <v>-0.93430000000000002</v>
      </c>
      <c r="BG539">
        <v>1064.3</v>
      </c>
      <c r="BH539">
        <v>-1.8749</v>
      </c>
    </row>
    <row r="540" spans="1:60" x14ac:dyDescent="0.35">
      <c r="A540" t="s">
        <v>34</v>
      </c>
      <c r="B540" s="1">
        <v>46146.65625</v>
      </c>
      <c r="C540" t="s">
        <v>34</v>
      </c>
      <c r="D540" s="1">
        <v>46147.625</v>
      </c>
      <c r="E540">
        <v>7900</v>
      </c>
      <c r="F540" t="s">
        <v>36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688.3</v>
      </c>
      <c r="N540">
        <v>1</v>
      </c>
      <c r="O540">
        <v>708.1</v>
      </c>
      <c r="P540">
        <v>0</v>
      </c>
      <c r="Q540">
        <v>0</v>
      </c>
      <c r="R540">
        <v>0</v>
      </c>
      <c r="S540">
        <v>0</v>
      </c>
      <c r="T540">
        <v>1.0671999999999999</v>
      </c>
      <c r="U540">
        <v>-0.94650000000000001</v>
      </c>
      <c r="V540">
        <v>2.9999999999999997E-4</v>
      </c>
      <c r="W540">
        <v>-8.5944000000000003</v>
      </c>
      <c r="X540">
        <v>0.41060000000000002</v>
      </c>
      <c r="Y540">
        <v>-0.1888</v>
      </c>
      <c r="Z540">
        <v>1</v>
      </c>
      <c r="AA540">
        <v>691.3</v>
      </c>
      <c r="AB540">
        <v>1</v>
      </c>
      <c r="AC540">
        <v>713</v>
      </c>
      <c r="AD540">
        <v>0</v>
      </c>
      <c r="AE540">
        <v>0</v>
      </c>
      <c r="AF540">
        <v>0</v>
      </c>
      <c r="AG540">
        <v>0</v>
      </c>
      <c r="AH540">
        <v>0</v>
      </c>
      <c r="AJ540" s="4">
        <v>7740</v>
      </c>
      <c r="BC540">
        <v>541.79999999999995</v>
      </c>
      <c r="BD540">
        <v>-0.94010000000000005</v>
      </c>
      <c r="BE540">
        <v>542.5</v>
      </c>
      <c r="BF540">
        <v>-0.93540000000000001</v>
      </c>
      <c r="BG540">
        <v>1084.3</v>
      </c>
      <c r="BH540">
        <v>-1.8755000000000002</v>
      </c>
    </row>
    <row r="541" spans="1:60" x14ac:dyDescent="0.35">
      <c r="A541" t="s">
        <v>34</v>
      </c>
      <c r="B541" s="1">
        <v>46146.65625</v>
      </c>
      <c r="C541" t="s">
        <v>34</v>
      </c>
      <c r="D541" s="1">
        <v>46147.625</v>
      </c>
      <c r="E541">
        <v>8000</v>
      </c>
      <c r="F541" t="s">
        <v>36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788.1</v>
      </c>
      <c r="N541">
        <v>1</v>
      </c>
      <c r="O541">
        <v>807.7</v>
      </c>
      <c r="P541">
        <v>0</v>
      </c>
      <c r="Q541">
        <v>0</v>
      </c>
      <c r="R541">
        <v>0</v>
      </c>
      <c r="S541">
        <v>0</v>
      </c>
      <c r="T541">
        <v>1.1808000000000001</v>
      </c>
      <c r="U541">
        <v>-0.95079999999999998</v>
      </c>
      <c r="V541">
        <v>2.0000000000000001E-4</v>
      </c>
      <c r="W541">
        <v>-8.5945</v>
      </c>
      <c r="X541">
        <v>0.3836</v>
      </c>
      <c r="Y541">
        <v>-0.18959999999999999</v>
      </c>
      <c r="Z541">
        <v>1</v>
      </c>
      <c r="AA541">
        <v>791.1</v>
      </c>
      <c r="AB541">
        <v>1</v>
      </c>
      <c r="AC541">
        <v>812.8</v>
      </c>
      <c r="AD541">
        <v>0</v>
      </c>
      <c r="AE541">
        <v>0</v>
      </c>
      <c r="AF541">
        <v>0</v>
      </c>
      <c r="AG541">
        <v>0</v>
      </c>
      <c r="AH541">
        <v>0</v>
      </c>
      <c r="AJ541" s="4">
        <v>7750</v>
      </c>
      <c r="AS541">
        <v>554.20000000000005</v>
      </c>
      <c r="AT541">
        <v>-0.94599999999999995</v>
      </c>
      <c r="BC541">
        <v>551.70000000000005</v>
      </c>
      <c r="BD541">
        <v>-0.94359999999999999</v>
      </c>
      <c r="BE541">
        <v>552.29999999999995</v>
      </c>
      <c r="BF541">
        <v>-0.93659999999999999</v>
      </c>
      <c r="BG541">
        <v>1658.2</v>
      </c>
      <c r="BH541">
        <v>-2.8262</v>
      </c>
    </row>
    <row r="542" spans="1:60" x14ac:dyDescent="0.35">
      <c r="A542" t="s">
        <v>34</v>
      </c>
      <c r="B542" s="1">
        <v>46146.65625</v>
      </c>
      <c r="C542" t="s">
        <v>34</v>
      </c>
      <c r="D542" s="1">
        <v>46147.625</v>
      </c>
      <c r="E542">
        <v>8200</v>
      </c>
      <c r="F542" t="s">
        <v>36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987.8</v>
      </c>
      <c r="N542">
        <v>1</v>
      </c>
      <c r="O542">
        <v>1008.6</v>
      </c>
      <c r="P542">
        <v>0</v>
      </c>
      <c r="Q542">
        <v>0</v>
      </c>
      <c r="R542">
        <v>0</v>
      </c>
      <c r="S542">
        <v>0</v>
      </c>
      <c r="T542">
        <v>1.3985000000000001</v>
      </c>
      <c r="U542">
        <v>-0.95720000000000005</v>
      </c>
      <c r="V542">
        <v>2.0000000000000001E-4</v>
      </c>
      <c r="W542">
        <v>-8.5946999999999996</v>
      </c>
      <c r="X542">
        <v>0.3427</v>
      </c>
      <c r="Y542">
        <v>-0.19089999999999999</v>
      </c>
      <c r="Z542">
        <v>1</v>
      </c>
      <c r="AA542">
        <v>989.8</v>
      </c>
      <c r="AB542">
        <v>1</v>
      </c>
      <c r="AC542">
        <v>1008.7</v>
      </c>
      <c r="AD542">
        <v>0</v>
      </c>
      <c r="AE542">
        <v>0</v>
      </c>
      <c r="AF542">
        <v>0</v>
      </c>
      <c r="AG542">
        <v>0</v>
      </c>
      <c r="AH542">
        <v>0</v>
      </c>
      <c r="AJ542" s="4">
        <v>7760</v>
      </c>
      <c r="BC542">
        <v>562.1</v>
      </c>
      <c r="BD542">
        <v>-0.94289999999999996</v>
      </c>
      <c r="BE542">
        <v>562.4</v>
      </c>
      <c r="BF542">
        <v>-0.93720000000000003</v>
      </c>
      <c r="BG542">
        <v>1124.5</v>
      </c>
      <c r="BH542">
        <v>-1.8801000000000001</v>
      </c>
    </row>
    <row r="543" spans="1:60" x14ac:dyDescent="0.35">
      <c r="A543" t="s">
        <v>34</v>
      </c>
      <c r="B543" s="1">
        <v>46146.65625</v>
      </c>
      <c r="C543" t="s">
        <v>34</v>
      </c>
      <c r="D543" s="1">
        <v>46147.625</v>
      </c>
      <c r="E543">
        <v>8400</v>
      </c>
      <c r="F543" t="s">
        <v>36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1188</v>
      </c>
      <c r="N543">
        <v>1</v>
      </c>
      <c r="O543">
        <v>1207.2</v>
      </c>
      <c r="P543">
        <v>0</v>
      </c>
      <c r="Q543">
        <v>0</v>
      </c>
      <c r="R543">
        <v>0</v>
      </c>
      <c r="S543">
        <v>0</v>
      </c>
      <c r="T543">
        <v>1.6019000000000001</v>
      </c>
      <c r="U543">
        <v>-0.96199999999999997</v>
      </c>
      <c r="V543">
        <v>1E-4</v>
      </c>
      <c r="W543">
        <v>-8.4951000000000008</v>
      </c>
      <c r="X543">
        <v>0.3095</v>
      </c>
      <c r="Y543">
        <v>-0.19189999999999999</v>
      </c>
      <c r="Z543">
        <v>1</v>
      </c>
      <c r="AA543">
        <v>1189.7</v>
      </c>
      <c r="AB543">
        <v>1</v>
      </c>
      <c r="AC543">
        <v>1208.7</v>
      </c>
      <c r="AD543">
        <v>0</v>
      </c>
      <c r="AE543">
        <v>0</v>
      </c>
      <c r="AF543">
        <v>0</v>
      </c>
      <c r="AG543">
        <v>0</v>
      </c>
      <c r="AH543">
        <v>0</v>
      </c>
      <c r="AJ543" s="4">
        <v>7770</v>
      </c>
      <c r="BC543">
        <v>570.9</v>
      </c>
      <c r="BD543">
        <v>-0.94889999999999997</v>
      </c>
      <c r="BE543">
        <v>572.4</v>
      </c>
      <c r="BF543">
        <v>-0.93740000000000001</v>
      </c>
      <c r="BG543">
        <v>1143.3</v>
      </c>
      <c r="BH543">
        <v>-1.8862999999999999</v>
      </c>
    </row>
    <row r="544" spans="1:60" x14ac:dyDescent="0.35">
      <c r="A544" t="s">
        <v>34</v>
      </c>
      <c r="B544" s="1">
        <v>46146.65625</v>
      </c>
      <c r="C544" t="s">
        <v>34</v>
      </c>
      <c r="D544" s="1">
        <v>46147.625</v>
      </c>
      <c r="E544">
        <v>8600</v>
      </c>
      <c r="F544" t="s">
        <v>36</v>
      </c>
      <c r="G544">
        <v>1398.63</v>
      </c>
      <c r="H544">
        <v>1398.63</v>
      </c>
      <c r="I544">
        <v>1398.63</v>
      </c>
      <c r="J544">
        <v>1398.63</v>
      </c>
      <c r="K544">
        <v>1</v>
      </c>
      <c r="L544">
        <v>1</v>
      </c>
      <c r="M544">
        <v>1388</v>
      </c>
      <c r="N544">
        <v>1</v>
      </c>
      <c r="O544">
        <v>1408.1</v>
      </c>
      <c r="P544">
        <v>0</v>
      </c>
      <c r="Q544">
        <v>0</v>
      </c>
      <c r="R544">
        <v>0</v>
      </c>
      <c r="S544">
        <v>0</v>
      </c>
      <c r="T544">
        <v>1.7988999999999999</v>
      </c>
      <c r="U544">
        <v>-0.96550000000000002</v>
      </c>
      <c r="V544">
        <v>1E-4</v>
      </c>
      <c r="W544">
        <v>-8.4953000000000003</v>
      </c>
      <c r="X544">
        <v>0.2858</v>
      </c>
      <c r="Y544">
        <v>-0.1925</v>
      </c>
      <c r="Z544">
        <v>1</v>
      </c>
      <c r="AA544">
        <v>1389.7</v>
      </c>
      <c r="AB544">
        <v>1</v>
      </c>
      <c r="AC544">
        <v>1408.1</v>
      </c>
      <c r="AD544">
        <v>0</v>
      </c>
      <c r="AE544">
        <v>0</v>
      </c>
      <c r="AF544">
        <v>1398.63</v>
      </c>
      <c r="AG544">
        <v>1</v>
      </c>
      <c r="AH544">
        <v>0</v>
      </c>
      <c r="AJ544" s="4">
        <v>7775</v>
      </c>
      <c r="AS544">
        <v>579.20000000000005</v>
      </c>
      <c r="AT544">
        <v>-0.94740000000000002</v>
      </c>
      <c r="BC544">
        <v>575.9</v>
      </c>
      <c r="BD544">
        <v>-0.94769999999999999</v>
      </c>
      <c r="BE544">
        <v>577.20000000000005</v>
      </c>
      <c r="BF544">
        <v>-0.94010000000000005</v>
      </c>
      <c r="BG544">
        <v>1732.3</v>
      </c>
      <c r="BH544">
        <v>-2.8351999999999999</v>
      </c>
    </row>
    <row r="545" spans="1:60" x14ac:dyDescent="0.35">
      <c r="A545" t="s">
        <v>34</v>
      </c>
      <c r="B545" s="1">
        <v>46146.65625</v>
      </c>
      <c r="C545" t="s">
        <v>34</v>
      </c>
      <c r="D545" s="1">
        <v>46147.625</v>
      </c>
      <c r="E545">
        <v>8800</v>
      </c>
      <c r="F545" t="s">
        <v>36</v>
      </c>
      <c r="G545">
        <v>1577.18</v>
      </c>
      <c r="H545">
        <v>1577.18</v>
      </c>
      <c r="I545">
        <v>1577.18</v>
      </c>
      <c r="J545">
        <v>1577.18</v>
      </c>
      <c r="K545">
        <v>1</v>
      </c>
      <c r="L545">
        <v>1</v>
      </c>
      <c r="M545">
        <v>1588.2</v>
      </c>
      <c r="N545">
        <v>2</v>
      </c>
      <c r="O545">
        <v>1608.6</v>
      </c>
      <c r="P545">
        <v>0</v>
      </c>
      <c r="Q545">
        <v>0</v>
      </c>
      <c r="R545">
        <v>0</v>
      </c>
      <c r="S545">
        <v>0</v>
      </c>
      <c r="T545">
        <v>1.988</v>
      </c>
      <c r="U545">
        <v>-0.96819999999999995</v>
      </c>
      <c r="V545">
        <v>1E-4</v>
      </c>
      <c r="W545">
        <v>-8.4954999999999998</v>
      </c>
      <c r="X545">
        <v>0.26719999999999999</v>
      </c>
      <c r="Y545">
        <v>-0.19309999999999999</v>
      </c>
      <c r="Z545">
        <v>1</v>
      </c>
      <c r="AA545">
        <v>1589.7</v>
      </c>
      <c r="AB545">
        <v>1</v>
      </c>
      <c r="AC545">
        <v>1608.6</v>
      </c>
      <c r="AD545">
        <v>0</v>
      </c>
      <c r="AE545">
        <v>0</v>
      </c>
      <c r="AF545">
        <v>1577.18</v>
      </c>
      <c r="AG545">
        <v>0</v>
      </c>
      <c r="AH545">
        <v>0</v>
      </c>
      <c r="AJ545" s="4">
        <v>7780</v>
      </c>
      <c r="BC545">
        <v>581.70000000000005</v>
      </c>
      <c r="BD545">
        <v>-0.94530000000000003</v>
      </c>
      <c r="BE545">
        <v>581.4</v>
      </c>
      <c r="BF545">
        <v>-0.94420000000000004</v>
      </c>
      <c r="BG545">
        <v>1163.0999999999999</v>
      </c>
      <c r="BH545">
        <v>-1.8895</v>
      </c>
    </row>
    <row r="546" spans="1:60" x14ac:dyDescent="0.35">
      <c r="A546" t="s">
        <v>34</v>
      </c>
      <c r="B546" s="1">
        <v>46146.65625</v>
      </c>
      <c r="C546" t="s">
        <v>34</v>
      </c>
      <c r="D546" s="1">
        <v>46147.625</v>
      </c>
      <c r="E546">
        <v>9000</v>
      </c>
      <c r="F546" t="s">
        <v>36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1787.9</v>
      </c>
      <c r="N546">
        <v>1</v>
      </c>
      <c r="O546">
        <v>1807.5</v>
      </c>
      <c r="P546">
        <v>0</v>
      </c>
      <c r="Q546">
        <v>0</v>
      </c>
      <c r="R546">
        <v>0</v>
      </c>
      <c r="S546">
        <v>0</v>
      </c>
      <c r="T546">
        <v>2.1829999999999998</v>
      </c>
      <c r="U546">
        <v>-0.96950000000000003</v>
      </c>
      <c r="V546">
        <v>1E-4</v>
      </c>
      <c r="W546">
        <v>-8.8260000000000005</v>
      </c>
      <c r="X546">
        <v>0.25750000000000001</v>
      </c>
      <c r="Y546">
        <v>-0.1933</v>
      </c>
      <c r="Z546">
        <v>1</v>
      </c>
      <c r="AA546">
        <v>1791</v>
      </c>
      <c r="AB546">
        <v>1</v>
      </c>
      <c r="AC546">
        <v>1813.7</v>
      </c>
      <c r="AD546">
        <v>0</v>
      </c>
      <c r="AE546">
        <v>0</v>
      </c>
      <c r="AF546">
        <v>0</v>
      </c>
      <c r="AG546">
        <v>0</v>
      </c>
      <c r="AH546">
        <v>0</v>
      </c>
      <c r="AJ546" s="4">
        <v>7790</v>
      </c>
      <c r="BC546">
        <v>591.70000000000005</v>
      </c>
      <c r="BD546">
        <v>-0.94520000000000004</v>
      </c>
      <c r="BE546">
        <v>592.4</v>
      </c>
      <c r="BF546">
        <v>-0.93869999999999998</v>
      </c>
      <c r="BG546">
        <v>1184.0999999999999</v>
      </c>
      <c r="BH546">
        <v>-1.8839000000000001</v>
      </c>
    </row>
    <row r="547" spans="1:60" x14ac:dyDescent="0.35">
      <c r="A547" t="s">
        <v>34</v>
      </c>
      <c r="B547" s="1">
        <v>46146.65625</v>
      </c>
      <c r="C547" t="s">
        <v>34</v>
      </c>
      <c r="D547" s="1">
        <v>46147.625</v>
      </c>
      <c r="E547">
        <v>9200</v>
      </c>
      <c r="F547" t="s">
        <v>36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1987.9</v>
      </c>
      <c r="N547">
        <v>1</v>
      </c>
      <c r="O547">
        <v>2006.1</v>
      </c>
      <c r="P547">
        <v>0</v>
      </c>
      <c r="Q547">
        <v>0</v>
      </c>
      <c r="R547">
        <v>0</v>
      </c>
      <c r="S547">
        <v>0</v>
      </c>
      <c r="T547">
        <v>2.2982</v>
      </c>
      <c r="U547">
        <v>-0.97470000000000001</v>
      </c>
      <c r="V547">
        <v>1E-4</v>
      </c>
      <c r="W547">
        <v>-7.4295999999999998</v>
      </c>
      <c r="X547">
        <v>0.2195</v>
      </c>
      <c r="Y547">
        <v>-0.1943</v>
      </c>
      <c r="Z547">
        <v>1</v>
      </c>
      <c r="AA547">
        <v>1990</v>
      </c>
      <c r="AB547">
        <v>1</v>
      </c>
      <c r="AC547">
        <v>2013.2</v>
      </c>
      <c r="AD547">
        <v>0</v>
      </c>
      <c r="AE547">
        <v>0</v>
      </c>
      <c r="AF547">
        <v>0</v>
      </c>
      <c r="AG547">
        <v>0</v>
      </c>
      <c r="AH547">
        <v>0</v>
      </c>
      <c r="AJ547" s="4">
        <v>7800</v>
      </c>
      <c r="AK547">
        <v>608.9</v>
      </c>
      <c r="AL547">
        <v>-0.99670000000000003</v>
      </c>
      <c r="AM547">
        <v>608.1</v>
      </c>
      <c r="AN547">
        <v>-0.94110000000000005</v>
      </c>
      <c r="AO547">
        <v>607.29999999999995</v>
      </c>
      <c r="AP547">
        <v>-0.99450000000000005</v>
      </c>
      <c r="AQ547">
        <v>605.6</v>
      </c>
      <c r="AR547">
        <v>-0.94230000000000003</v>
      </c>
      <c r="AS547">
        <v>604.20000000000005</v>
      </c>
      <c r="AT547">
        <v>-0.94879999999999998</v>
      </c>
      <c r="AU547">
        <v>604.79999999999995</v>
      </c>
      <c r="AV547">
        <v>-0.99429999999999996</v>
      </c>
      <c r="AW547">
        <v>604.20000000000005</v>
      </c>
      <c r="AX547">
        <v>-0.99380000000000002</v>
      </c>
      <c r="AY547">
        <v>602.20000000000005</v>
      </c>
      <c r="AZ547">
        <v>-0.94410000000000005</v>
      </c>
      <c r="BA547">
        <v>602.20000000000005</v>
      </c>
      <c r="BB547">
        <v>-0.93830000000000002</v>
      </c>
      <c r="BC547">
        <v>601.6</v>
      </c>
      <c r="BD547">
        <v>-0.94689999999999996</v>
      </c>
      <c r="BE547">
        <v>600.5</v>
      </c>
      <c r="BF547">
        <v>-0.94989999999999997</v>
      </c>
      <c r="BG547">
        <v>6649.6</v>
      </c>
      <c r="BH547">
        <v>-10.5907</v>
      </c>
    </row>
    <row r="548" spans="1:60" x14ac:dyDescent="0.35">
      <c r="A548" t="s">
        <v>34</v>
      </c>
      <c r="B548" s="1">
        <v>46146.65625</v>
      </c>
      <c r="C548" t="s">
        <v>34</v>
      </c>
      <c r="D548" s="1">
        <v>46147.625</v>
      </c>
      <c r="E548">
        <v>9400</v>
      </c>
      <c r="F548" t="s">
        <v>36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2189.6</v>
      </c>
      <c r="N548">
        <v>1</v>
      </c>
      <c r="O548">
        <v>2208.3000000000002</v>
      </c>
      <c r="P548">
        <v>0</v>
      </c>
      <c r="Q548">
        <v>0</v>
      </c>
      <c r="R548">
        <v>0</v>
      </c>
      <c r="S548">
        <v>0</v>
      </c>
      <c r="T548">
        <v>1.8011999999999999</v>
      </c>
      <c r="U548">
        <v>-0.99709999999999999</v>
      </c>
      <c r="V548">
        <v>0</v>
      </c>
      <c r="W548">
        <v>-0.29699999999999999</v>
      </c>
      <c r="X548">
        <v>3.2800000000000003E-2</v>
      </c>
      <c r="Y548">
        <v>-0.19869999999999999</v>
      </c>
      <c r="Z548">
        <v>1</v>
      </c>
      <c r="AA548">
        <v>2189.3000000000002</v>
      </c>
      <c r="AB548">
        <v>1</v>
      </c>
      <c r="AC548">
        <v>2208.4</v>
      </c>
      <c r="AD548">
        <v>0</v>
      </c>
      <c r="AE548">
        <v>0</v>
      </c>
      <c r="AF548">
        <v>0</v>
      </c>
      <c r="AG548">
        <v>0</v>
      </c>
      <c r="AH548">
        <v>0</v>
      </c>
      <c r="AJ548" s="4">
        <v>7810</v>
      </c>
      <c r="BC548">
        <v>610.79999999999995</v>
      </c>
      <c r="BD548">
        <v>-0.95199999999999996</v>
      </c>
      <c r="BE548">
        <v>612.29999999999995</v>
      </c>
      <c r="BF548">
        <v>-0.94179999999999997</v>
      </c>
      <c r="BG548">
        <v>1223.0999999999999</v>
      </c>
      <c r="BH548">
        <v>-1.8937999999999999</v>
      </c>
    </row>
    <row r="549" spans="1:60" x14ac:dyDescent="0.35">
      <c r="A549" t="s">
        <v>34</v>
      </c>
      <c r="B549" s="1">
        <v>46146.65625</v>
      </c>
      <c r="C549" t="s">
        <v>34</v>
      </c>
      <c r="D549" s="1">
        <v>46148.625</v>
      </c>
      <c r="E549">
        <v>2600</v>
      </c>
      <c r="F549" t="s">
        <v>35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1240</v>
      </c>
      <c r="O549">
        <v>0.05</v>
      </c>
      <c r="P549">
        <v>0</v>
      </c>
      <c r="Q549">
        <v>0</v>
      </c>
      <c r="R549">
        <v>0</v>
      </c>
      <c r="S549">
        <v>0</v>
      </c>
      <c r="T549">
        <v>3.6987000000000001</v>
      </c>
      <c r="U549">
        <v>-1E-4</v>
      </c>
      <c r="V549">
        <v>0</v>
      </c>
      <c r="W549">
        <v>-2.5100000000000001E-2</v>
      </c>
      <c r="X549">
        <v>1.1999999999999999E-3</v>
      </c>
      <c r="Y549">
        <v>0</v>
      </c>
      <c r="Z549">
        <v>0</v>
      </c>
      <c r="AA549">
        <v>0</v>
      </c>
      <c r="AB549">
        <v>850</v>
      </c>
      <c r="AC549">
        <v>0.05</v>
      </c>
      <c r="AD549">
        <v>0</v>
      </c>
      <c r="AE549">
        <v>0</v>
      </c>
      <c r="AF549">
        <v>0</v>
      </c>
      <c r="AG549">
        <v>1</v>
      </c>
      <c r="AH549">
        <v>0</v>
      </c>
      <c r="AJ549" s="4">
        <v>7820</v>
      </c>
      <c r="BC549">
        <v>621.6</v>
      </c>
      <c r="BD549">
        <v>-0.94850000000000001</v>
      </c>
      <c r="BE549">
        <v>622.29999999999995</v>
      </c>
      <c r="BF549">
        <v>-0.94220000000000004</v>
      </c>
      <c r="BG549">
        <v>1243.9000000000001</v>
      </c>
      <c r="BH549">
        <v>-1.8907</v>
      </c>
    </row>
    <row r="550" spans="1:60" x14ac:dyDescent="0.35">
      <c r="A550" t="s">
        <v>34</v>
      </c>
      <c r="B550" s="1">
        <v>46146.65625</v>
      </c>
      <c r="C550" t="s">
        <v>34</v>
      </c>
      <c r="D550" s="1">
        <v>46148.625</v>
      </c>
      <c r="E550">
        <v>2800</v>
      </c>
      <c r="F550" t="s">
        <v>35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1240</v>
      </c>
      <c r="O550">
        <v>0.05</v>
      </c>
      <c r="P550">
        <v>0</v>
      </c>
      <c r="Q550">
        <v>0</v>
      </c>
      <c r="R550">
        <v>0</v>
      </c>
      <c r="S550">
        <v>0</v>
      </c>
      <c r="T550">
        <v>3.4371999999999998</v>
      </c>
      <c r="U550">
        <v>-1E-4</v>
      </c>
      <c r="V550">
        <v>0</v>
      </c>
      <c r="W550">
        <v>-2.5100000000000001E-2</v>
      </c>
      <c r="X550">
        <v>1.2999999999999999E-3</v>
      </c>
      <c r="Y550">
        <v>0</v>
      </c>
      <c r="Z550">
        <v>0</v>
      </c>
      <c r="AA550">
        <v>0</v>
      </c>
      <c r="AB550">
        <v>845</v>
      </c>
      <c r="AC550">
        <v>0.05</v>
      </c>
      <c r="AD550">
        <v>0</v>
      </c>
      <c r="AE550">
        <v>0</v>
      </c>
      <c r="AF550">
        <v>0</v>
      </c>
      <c r="AG550">
        <v>60</v>
      </c>
      <c r="AH550">
        <v>0</v>
      </c>
      <c r="AJ550" s="4">
        <v>7825</v>
      </c>
      <c r="AS550">
        <v>629.20000000000005</v>
      </c>
      <c r="AT550">
        <v>-0.95</v>
      </c>
      <c r="BC550">
        <v>626.5</v>
      </c>
      <c r="BD550">
        <v>-0.9486</v>
      </c>
      <c r="BE550">
        <v>627.1</v>
      </c>
      <c r="BF550">
        <v>-0.94199999999999995</v>
      </c>
      <c r="BG550">
        <v>1882.8000000000002</v>
      </c>
      <c r="BH550">
        <v>-2.8406000000000002</v>
      </c>
    </row>
    <row r="551" spans="1:60" x14ac:dyDescent="0.35">
      <c r="A551" t="s">
        <v>34</v>
      </c>
      <c r="B551" s="1">
        <v>46146.65625</v>
      </c>
      <c r="C551" t="s">
        <v>34</v>
      </c>
      <c r="D551" s="1">
        <v>46148.625</v>
      </c>
      <c r="E551">
        <v>3000</v>
      </c>
      <c r="F551" t="s">
        <v>35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1269</v>
      </c>
      <c r="O551">
        <v>0.05</v>
      </c>
      <c r="P551">
        <v>0</v>
      </c>
      <c r="Q551">
        <v>0</v>
      </c>
      <c r="R551">
        <v>0</v>
      </c>
      <c r="S551">
        <v>0</v>
      </c>
      <c r="T551">
        <v>3.1938</v>
      </c>
      <c r="U551">
        <v>-1E-4</v>
      </c>
      <c r="V551">
        <v>0</v>
      </c>
      <c r="W551">
        <v>-2.5100000000000001E-2</v>
      </c>
      <c r="X551">
        <v>1.4E-3</v>
      </c>
      <c r="Y551">
        <v>0</v>
      </c>
      <c r="Z551">
        <v>0</v>
      </c>
      <c r="AA551">
        <v>0</v>
      </c>
      <c r="AB551">
        <v>874</v>
      </c>
      <c r="AC551">
        <v>0.05</v>
      </c>
      <c r="AD551">
        <v>0</v>
      </c>
      <c r="AE551">
        <v>0</v>
      </c>
      <c r="AF551">
        <v>0</v>
      </c>
      <c r="AG551">
        <v>6</v>
      </c>
      <c r="AH551">
        <v>0</v>
      </c>
      <c r="AJ551" s="4">
        <v>7830</v>
      </c>
      <c r="BC551">
        <v>630.9</v>
      </c>
      <c r="BD551">
        <v>-0.95240000000000002</v>
      </c>
      <c r="BE551">
        <v>632.20000000000005</v>
      </c>
      <c r="BF551">
        <v>-0.94179999999999997</v>
      </c>
      <c r="BG551">
        <v>1263.0999999999999</v>
      </c>
      <c r="BH551">
        <v>-1.8942000000000001</v>
      </c>
    </row>
    <row r="552" spans="1:60" x14ac:dyDescent="0.35">
      <c r="A552" t="s">
        <v>34</v>
      </c>
      <c r="B552" s="1">
        <v>46146.65625</v>
      </c>
      <c r="C552" t="s">
        <v>34</v>
      </c>
      <c r="D552" s="1">
        <v>46148.625</v>
      </c>
      <c r="E552">
        <v>3200</v>
      </c>
      <c r="F552" t="s">
        <v>35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1263</v>
      </c>
      <c r="O552">
        <v>0.05</v>
      </c>
      <c r="P552">
        <v>0</v>
      </c>
      <c r="Q552">
        <v>0</v>
      </c>
      <c r="R552">
        <v>0</v>
      </c>
      <c r="S552">
        <v>0</v>
      </c>
      <c r="T552">
        <v>2.9661</v>
      </c>
      <c r="U552">
        <v>-1E-4</v>
      </c>
      <c r="V552">
        <v>0</v>
      </c>
      <c r="W552">
        <v>-2.5100000000000001E-2</v>
      </c>
      <c r="X552">
        <v>1.5E-3</v>
      </c>
      <c r="Y552">
        <v>0</v>
      </c>
      <c r="Z552">
        <v>0</v>
      </c>
      <c r="AA552">
        <v>0</v>
      </c>
      <c r="AB552">
        <v>1153</v>
      </c>
      <c r="AC552">
        <v>0.05</v>
      </c>
      <c r="AD552">
        <v>0</v>
      </c>
      <c r="AE552">
        <v>0</v>
      </c>
      <c r="AF552">
        <v>0</v>
      </c>
      <c r="AG552">
        <v>50</v>
      </c>
      <c r="AH552">
        <v>0</v>
      </c>
      <c r="AJ552" s="4">
        <v>7840</v>
      </c>
      <c r="BC552">
        <v>641.79999999999995</v>
      </c>
      <c r="BD552">
        <v>-0.94799999999999995</v>
      </c>
      <c r="BE552">
        <v>642.20000000000005</v>
      </c>
      <c r="BF552">
        <v>-0.94359999999999999</v>
      </c>
      <c r="BG552">
        <v>1284</v>
      </c>
      <c r="BH552">
        <v>-1.8915999999999999</v>
      </c>
    </row>
    <row r="553" spans="1:60" x14ac:dyDescent="0.35">
      <c r="A553" t="s">
        <v>34</v>
      </c>
      <c r="B553" s="1">
        <v>46146.65625</v>
      </c>
      <c r="C553" t="s">
        <v>34</v>
      </c>
      <c r="D553" s="1">
        <v>46148.625</v>
      </c>
      <c r="E553">
        <v>3400</v>
      </c>
      <c r="F553" t="s">
        <v>35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1262</v>
      </c>
      <c r="O553">
        <v>0.05</v>
      </c>
      <c r="P553">
        <v>0</v>
      </c>
      <c r="Q553">
        <v>0</v>
      </c>
      <c r="R553">
        <v>0</v>
      </c>
      <c r="S553">
        <v>0</v>
      </c>
      <c r="T553">
        <v>2.7521</v>
      </c>
      <c r="U553">
        <v>-1E-4</v>
      </c>
      <c r="V553">
        <v>0</v>
      </c>
      <c r="W553">
        <v>-2.5100000000000001E-2</v>
      </c>
      <c r="X553">
        <v>1.6000000000000001E-3</v>
      </c>
      <c r="Y553">
        <v>0</v>
      </c>
      <c r="Z553">
        <v>0</v>
      </c>
      <c r="AA553">
        <v>0</v>
      </c>
      <c r="AB553">
        <v>1138</v>
      </c>
      <c r="AC553">
        <v>0.05</v>
      </c>
      <c r="AD553">
        <v>0</v>
      </c>
      <c r="AE553">
        <v>0</v>
      </c>
      <c r="AF553">
        <v>0</v>
      </c>
      <c r="AG553">
        <v>21</v>
      </c>
      <c r="AH553">
        <v>0</v>
      </c>
      <c r="AJ553" s="4">
        <v>7850</v>
      </c>
      <c r="AS553">
        <v>654.20000000000005</v>
      </c>
      <c r="AT553">
        <v>-0.95120000000000005</v>
      </c>
      <c r="BC553">
        <v>650.70000000000005</v>
      </c>
      <c r="BD553">
        <v>-0.9536</v>
      </c>
      <c r="BE553">
        <v>652.29999999999995</v>
      </c>
      <c r="BF553">
        <v>-0.94369999999999998</v>
      </c>
      <c r="BG553">
        <v>1957.2</v>
      </c>
      <c r="BH553">
        <v>-2.8485</v>
      </c>
    </row>
    <row r="554" spans="1:60" x14ac:dyDescent="0.35">
      <c r="A554" t="s">
        <v>34</v>
      </c>
      <c r="B554" s="1">
        <v>46146.65625</v>
      </c>
      <c r="C554" t="s">
        <v>34</v>
      </c>
      <c r="D554" s="1">
        <v>46148.625</v>
      </c>
      <c r="E554">
        <v>3600</v>
      </c>
      <c r="F554" t="s">
        <v>36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1257</v>
      </c>
      <c r="O554">
        <v>0.05</v>
      </c>
      <c r="P554">
        <v>0</v>
      </c>
      <c r="Q554">
        <v>0</v>
      </c>
      <c r="R554">
        <v>0</v>
      </c>
      <c r="S554">
        <v>0</v>
      </c>
      <c r="T554">
        <v>2.5501</v>
      </c>
      <c r="U554">
        <v>-1E-4</v>
      </c>
      <c r="V554">
        <v>0</v>
      </c>
      <c r="W554">
        <v>-2.5100000000000001E-2</v>
      </c>
      <c r="X554">
        <v>1.6999999999999999E-3</v>
      </c>
      <c r="Y554">
        <v>0</v>
      </c>
      <c r="Z554">
        <v>0</v>
      </c>
      <c r="AA554">
        <v>0</v>
      </c>
      <c r="AB554">
        <v>1125</v>
      </c>
      <c r="AC554">
        <v>0.05</v>
      </c>
      <c r="AD554">
        <v>0</v>
      </c>
      <c r="AE554">
        <v>0</v>
      </c>
      <c r="AF554">
        <v>0</v>
      </c>
      <c r="AG554">
        <v>13</v>
      </c>
      <c r="AH554">
        <v>0</v>
      </c>
      <c r="AJ554" s="4">
        <v>7860</v>
      </c>
      <c r="BC554">
        <v>661.5</v>
      </c>
      <c r="BD554">
        <v>-0.95020000000000004</v>
      </c>
      <c r="BE554">
        <v>661.8</v>
      </c>
      <c r="BF554">
        <v>-0.94510000000000005</v>
      </c>
      <c r="BG554">
        <v>1323.3</v>
      </c>
      <c r="BH554">
        <v>-1.8953000000000002</v>
      </c>
    </row>
    <row r="555" spans="1:60" x14ac:dyDescent="0.35">
      <c r="A555" t="s">
        <v>34</v>
      </c>
      <c r="B555" s="1">
        <v>46146.65625</v>
      </c>
      <c r="C555" t="s">
        <v>34</v>
      </c>
      <c r="D555" s="1">
        <v>46148.625</v>
      </c>
      <c r="E555">
        <v>3800</v>
      </c>
      <c r="F555" t="s">
        <v>36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1251</v>
      </c>
      <c r="O555">
        <v>0.05</v>
      </c>
      <c r="P555">
        <v>0</v>
      </c>
      <c r="Q555">
        <v>0</v>
      </c>
      <c r="R555">
        <v>0</v>
      </c>
      <c r="S555">
        <v>0</v>
      </c>
      <c r="T555">
        <v>2.3589000000000002</v>
      </c>
      <c r="U555">
        <v>-1E-4</v>
      </c>
      <c r="V555">
        <v>0</v>
      </c>
      <c r="W555">
        <v>-2.5100000000000001E-2</v>
      </c>
      <c r="X555">
        <v>1.8E-3</v>
      </c>
      <c r="Y555">
        <v>0</v>
      </c>
      <c r="Z555">
        <v>0</v>
      </c>
      <c r="AA555">
        <v>0</v>
      </c>
      <c r="AB555">
        <v>841</v>
      </c>
      <c r="AC555">
        <v>0.05</v>
      </c>
      <c r="AD555">
        <v>0</v>
      </c>
      <c r="AE555">
        <v>0</v>
      </c>
      <c r="AF555">
        <v>0</v>
      </c>
      <c r="AG555">
        <v>156</v>
      </c>
      <c r="AH555">
        <v>0</v>
      </c>
      <c r="AJ555" s="4">
        <v>7870</v>
      </c>
      <c r="BC555">
        <v>671.8</v>
      </c>
      <c r="BD555">
        <v>-0.94979999999999998</v>
      </c>
      <c r="BE555">
        <v>672.1</v>
      </c>
      <c r="BF555">
        <v>-0.94550000000000001</v>
      </c>
      <c r="BG555">
        <v>1343.9</v>
      </c>
      <c r="BH555">
        <v>-1.8953</v>
      </c>
    </row>
    <row r="556" spans="1:60" x14ac:dyDescent="0.35">
      <c r="A556" t="s">
        <v>34</v>
      </c>
      <c r="B556" s="1">
        <v>46146.65625</v>
      </c>
      <c r="C556" t="s">
        <v>34</v>
      </c>
      <c r="D556" s="1">
        <v>46148.625</v>
      </c>
      <c r="E556">
        <v>4000</v>
      </c>
      <c r="F556" t="s">
        <v>36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1244</v>
      </c>
      <c r="O556">
        <v>0.05</v>
      </c>
      <c r="P556">
        <v>0</v>
      </c>
      <c r="Q556">
        <v>0</v>
      </c>
      <c r="R556">
        <v>0</v>
      </c>
      <c r="S556">
        <v>0</v>
      </c>
      <c r="T556">
        <v>2.1772</v>
      </c>
      <c r="U556">
        <v>-1E-4</v>
      </c>
      <c r="V556">
        <v>0</v>
      </c>
      <c r="W556">
        <v>-2.5100000000000001E-2</v>
      </c>
      <c r="X556">
        <v>2E-3</v>
      </c>
      <c r="Y556">
        <v>0</v>
      </c>
      <c r="Z556">
        <v>0</v>
      </c>
      <c r="AA556">
        <v>0</v>
      </c>
      <c r="AB556">
        <v>831</v>
      </c>
      <c r="AC556">
        <v>0.05</v>
      </c>
      <c r="AD556">
        <v>0</v>
      </c>
      <c r="AE556">
        <v>0</v>
      </c>
      <c r="AF556">
        <v>0</v>
      </c>
      <c r="AG556">
        <v>23</v>
      </c>
      <c r="AH556">
        <v>0</v>
      </c>
      <c r="AJ556" s="4">
        <v>7875</v>
      </c>
      <c r="AS556">
        <v>679.7</v>
      </c>
      <c r="AT556">
        <v>-0.95009999999999994</v>
      </c>
      <c r="BC556">
        <v>676.5</v>
      </c>
      <c r="BD556">
        <v>-0.95089999999999997</v>
      </c>
      <c r="BE556">
        <v>677.2</v>
      </c>
      <c r="BF556">
        <v>-0.94530000000000003</v>
      </c>
      <c r="BG556">
        <v>2033.4</v>
      </c>
      <c r="BH556">
        <v>-2.8462999999999998</v>
      </c>
    </row>
    <row r="557" spans="1:60" x14ac:dyDescent="0.35">
      <c r="A557" t="s">
        <v>34</v>
      </c>
      <c r="B557" s="1">
        <v>46146.65625</v>
      </c>
      <c r="C557" t="s">
        <v>34</v>
      </c>
      <c r="D557" s="1">
        <v>46148.625</v>
      </c>
      <c r="E557">
        <v>4200</v>
      </c>
      <c r="F557" t="s">
        <v>36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1233</v>
      </c>
      <c r="O557">
        <v>0.05</v>
      </c>
      <c r="P557">
        <v>0</v>
      </c>
      <c r="Q557">
        <v>0</v>
      </c>
      <c r="R557">
        <v>0</v>
      </c>
      <c r="S557">
        <v>0</v>
      </c>
      <c r="T557">
        <v>2.0038</v>
      </c>
      <c r="U557">
        <v>-1E-4</v>
      </c>
      <c r="V557">
        <v>0</v>
      </c>
      <c r="W557">
        <v>-2.5100000000000001E-2</v>
      </c>
      <c r="X557">
        <v>2.0999999999999999E-3</v>
      </c>
      <c r="Y557">
        <v>0</v>
      </c>
      <c r="Z557">
        <v>0</v>
      </c>
      <c r="AA557">
        <v>0</v>
      </c>
      <c r="AB557">
        <v>816</v>
      </c>
      <c r="AC557">
        <v>0.05</v>
      </c>
      <c r="AD557">
        <v>0</v>
      </c>
      <c r="AE557">
        <v>0</v>
      </c>
      <c r="AF557">
        <v>0</v>
      </c>
      <c r="AG557">
        <v>59</v>
      </c>
      <c r="AH557">
        <v>0</v>
      </c>
      <c r="AJ557" s="4">
        <v>7880</v>
      </c>
      <c r="BC557">
        <v>681.5</v>
      </c>
      <c r="BD557">
        <v>-0.9516</v>
      </c>
      <c r="BE557">
        <v>682.1</v>
      </c>
      <c r="BF557">
        <v>-0.94510000000000005</v>
      </c>
      <c r="BG557">
        <v>1363.6</v>
      </c>
      <c r="BH557">
        <v>-1.8967000000000001</v>
      </c>
    </row>
    <row r="558" spans="1:60" x14ac:dyDescent="0.35">
      <c r="A558" t="s">
        <v>34</v>
      </c>
      <c r="B558" s="1">
        <v>46146.65625</v>
      </c>
      <c r="C558" t="s">
        <v>34</v>
      </c>
      <c r="D558" s="1">
        <v>46148.625</v>
      </c>
      <c r="E558">
        <v>4400</v>
      </c>
      <c r="F558" t="s">
        <v>36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1225</v>
      </c>
      <c r="O558">
        <v>0.05</v>
      </c>
      <c r="P558">
        <v>0</v>
      </c>
      <c r="Q558">
        <v>0</v>
      </c>
      <c r="R558">
        <v>0</v>
      </c>
      <c r="S558">
        <v>0</v>
      </c>
      <c r="T558">
        <v>1.8388</v>
      </c>
      <c r="U558">
        <v>-1E-4</v>
      </c>
      <c r="V558">
        <v>0</v>
      </c>
      <c r="W558">
        <v>-2.5100000000000001E-2</v>
      </c>
      <c r="X558">
        <v>2.3E-3</v>
      </c>
      <c r="Y558">
        <v>0</v>
      </c>
      <c r="Z558">
        <v>0</v>
      </c>
      <c r="AA558">
        <v>0</v>
      </c>
      <c r="AB558">
        <v>799</v>
      </c>
      <c r="AC558">
        <v>0.05</v>
      </c>
      <c r="AD558">
        <v>0</v>
      </c>
      <c r="AE558">
        <v>0</v>
      </c>
      <c r="AF558">
        <v>0</v>
      </c>
      <c r="AG558">
        <v>146</v>
      </c>
      <c r="AH558">
        <v>0</v>
      </c>
      <c r="AJ558" s="4">
        <v>7890</v>
      </c>
      <c r="BC558">
        <v>690.5</v>
      </c>
      <c r="BD558">
        <v>-0.95609999999999995</v>
      </c>
      <c r="BE558">
        <v>692.1</v>
      </c>
      <c r="BF558">
        <v>-0.94789999999999996</v>
      </c>
      <c r="BG558">
        <v>1382.6</v>
      </c>
      <c r="BH558">
        <v>-1.9039999999999999</v>
      </c>
    </row>
    <row r="559" spans="1:60" x14ac:dyDescent="0.35">
      <c r="A559" t="s">
        <v>34</v>
      </c>
      <c r="B559" s="1">
        <v>46146.65625</v>
      </c>
      <c r="C559" t="s">
        <v>34</v>
      </c>
      <c r="D559" s="1">
        <v>46148.625</v>
      </c>
      <c r="E559">
        <v>4600</v>
      </c>
      <c r="F559" t="s">
        <v>36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1171</v>
      </c>
      <c r="O559">
        <v>0.05</v>
      </c>
      <c r="P559">
        <v>0</v>
      </c>
      <c r="Q559">
        <v>0</v>
      </c>
      <c r="R559">
        <v>0</v>
      </c>
      <c r="S559">
        <v>0</v>
      </c>
      <c r="T559">
        <v>1.6803999999999999</v>
      </c>
      <c r="U559">
        <v>-1E-4</v>
      </c>
      <c r="V559">
        <v>0</v>
      </c>
      <c r="W559">
        <v>-2.5100000000000001E-2</v>
      </c>
      <c r="X559">
        <v>2.5000000000000001E-3</v>
      </c>
      <c r="Y559">
        <v>-1E-4</v>
      </c>
      <c r="Z559">
        <v>0</v>
      </c>
      <c r="AA559">
        <v>0</v>
      </c>
      <c r="AB559">
        <v>777</v>
      </c>
      <c r="AC559">
        <v>0.05</v>
      </c>
      <c r="AD559">
        <v>0</v>
      </c>
      <c r="AE559">
        <v>0</v>
      </c>
      <c r="AF559">
        <v>0</v>
      </c>
      <c r="AG559">
        <v>734</v>
      </c>
      <c r="AH559">
        <v>0</v>
      </c>
      <c r="AJ559" s="4">
        <v>7900</v>
      </c>
      <c r="AK559">
        <v>710.2</v>
      </c>
      <c r="AL559">
        <v>-0.99139999999999995</v>
      </c>
      <c r="AM559">
        <v>708.1</v>
      </c>
      <c r="AN559">
        <v>-0.94650000000000001</v>
      </c>
      <c r="AO559">
        <v>707.3</v>
      </c>
      <c r="AP559">
        <v>-0.94159999999999999</v>
      </c>
      <c r="AQ559">
        <v>705.6</v>
      </c>
      <c r="AR559">
        <v>-0.94750000000000001</v>
      </c>
      <c r="AS559">
        <v>704.1</v>
      </c>
      <c r="AT559">
        <v>-0.95389999999999997</v>
      </c>
      <c r="AU559">
        <v>704.7</v>
      </c>
      <c r="AV559">
        <v>-0.99509999999999998</v>
      </c>
      <c r="AW559">
        <v>704.9</v>
      </c>
      <c r="AX559">
        <v>-0.99080000000000001</v>
      </c>
      <c r="AY559">
        <v>703.2</v>
      </c>
      <c r="AZ559">
        <v>-0.99660000000000004</v>
      </c>
      <c r="BA559">
        <v>702.5</v>
      </c>
      <c r="BB559">
        <v>-0.99770000000000003</v>
      </c>
      <c r="BC559">
        <v>701.5</v>
      </c>
      <c r="BD559">
        <v>-0.95550000000000002</v>
      </c>
      <c r="BE559">
        <v>702</v>
      </c>
      <c r="BF559">
        <v>-0.94730000000000003</v>
      </c>
      <c r="BG559">
        <v>7754.0999999999995</v>
      </c>
      <c r="BH559">
        <v>-10.6639</v>
      </c>
    </row>
    <row r="560" spans="1:60" x14ac:dyDescent="0.35">
      <c r="A560" t="s">
        <v>34</v>
      </c>
      <c r="B560" s="1">
        <v>46146.65625</v>
      </c>
      <c r="C560" t="s">
        <v>34</v>
      </c>
      <c r="D560" s="1">
        <v>46148.625</v>
      </c>
      <c r="E560">
        <v>4800</v>
      </c>
      <c r="F560" t="s">
        <v>36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633</v>
      </c>
      <c r="O560">
        <v>0.05</v>
      </c>
      <c r="P560">
        <v>0</v>
      </c>
      <c r="Q560">
        <v>0</v>
      </c>
      <c r="R560">
        <v>0</v>
      </c>
      <c r="S560">
        <v>0</v>
      </c>
      <c r="T560">
        <v>1.5283</v>
      </c>
      <c r="U560">
        <v>-1E-4</v>
      </c>
      <c r="V560">
        <v>0</v>
      </c>
      <c r="W560">
        <v>-2.5100000000000001E-2</v>
      </c>
      <c r="X560">
        <v>2.7000000000000001E-3</v>
      </c>
      <c r="Y560">
        <v>-1E-4</v>
      </c>
      <c r="Z560">
        <v>0</v>
      </c>
      <c r="AA560">
        <v>0</v>
      </c>
      <c r="AB560">
        <v>745</v>
      </c>
      <c r="AC560">
        <v>0.05</v>
      </c>
      <c r="AD560">
        <v>0</v>
      </c>
      <c r="AE560">
        <v>0</v>
      </c>
      <c r="AF560">
        <v>0</v>
      </c>
      <c r="AG560">
        <v>870</v>
      </c>
      <c r="AH560">
        <v>0</v>
      </c>
      <c r="AJ560" s="4">
        <v>7910</v>
      </c>
      <c r="BC560">
        <v>710.7</v>
      </c>
      <c r="BD560">
        <v>-0.95579999999999998</v>
      </c>
      <c r="BE560">
        <v>711.6</v>
      </c>
      <c r="BF560">
        <v>-0.9496</v>
      </c>
      <c r="BG560">
        <v>1422.3000000000002</v>
      </c>
      <c r="BH560">
        <v>-1.9054</v>
      </c>
    </row>
    <row r="561" spans="1:60" x14ac:dyDescent="0.35">
      <c r="A561" t="s">
        <v>34</v>
      </c>
      <c r="B561" s="1">
        <v>46146.65625</v>
      </c>
      <c r="C561" t="s">
        <v>34</v>
      </c>
      <c r="D561" s="1">
        <v>46148.625</v>
      </c>
      <c r="E561">
        <v>5000</v>
      </c>
      <c r="F561" t="s">
        <v>36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661</v>
      </c>
      <c r="O561">
        <v>0.05</v>
      </c>
      <c r="P561">
        <v>0</v>
      </c>
      <c r="Q561">
        <v>0</v>
      </c>
      <c r="R561">
        <v>0</v>
      </c>
      <c r="S561">
        <v>0</v>
      </c>
      <c r="T561">
        <v>1.3818999999999999</v>
      </c>
      <c r="U561">
        <v>-2.0000000000000001E-4</v>
      </c>
      <c r="V561">
        <v>0</v>
      </c>
      <c r="W561">
        <v>-2.5100000000000001E-2</v>
      </c>
      <c r="X561">
        <v>3.0000000000000001E-3</v>
      </c>
      <c r="Y561">
        <v>-1E-4</v>
      </c>
      <c r="Z561">
        <v>0</v>
      </c>
      <c r="AA561">
        <v>0</v>
      </c>
      <c r="AB561">
        <v>743</v>
      </c>
      <c r="AC561">
        <v>0.05</v>
      </c>
      <c r="AD561">
        <v>0</v>
      </c>
      <c r="AE561">
        <v>0</v>
      </c>
      <c r="AF561">
        <v>0</v>
      </c>
      <c r="AG561">
        <v>1873</v>
      </c>
      <c r="AH561">
        <v>0</v>
      </c>
      <c r="AJ561" s="4">
        <v>7920</v>
      </c>
      <c r="BC561">
        <v>720.7</v>
      </c>
      <c r="BD561">
        <v>-0.95620000000000005</v>
      </c>
      <c r="BE561">
        <v>721.1</v>
      </c>
      <c r="BF561">
        <v>-0.95330000000000004</v>
      </c>
      <c r="BG561">
        <v>1441.8000000000002</v>
      </c>
      <c r="BH561">
        <v>-1.9095</v>
      </c>
    </row>
    <row r="562" spans="1:60" x14ac:dyDescent="0.35">
      <c r="A562" t="s">
        <v>34</v>
      </c>
      <c r="B562" s="1">
        <v>46146.65625</v>
      </c>
      <c r="C562" t="s">
        <v>34</v>
      </c>
      <c r="D562" s="1">
        <v>46148.625</v>
      </c>
      <c r="E562">
        <v>5100</v>
      </c>
      <c r="F562" t="s">
        <v>36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586</v>
      </c>
      <c r="O562">
        <v>0.05</v>
      </c>
      <c r="P562">
        <v>0</v>
      </c>
      <c r="Q562">
        <v>0</v>
      </c>
      <c r="R562">
        <v>0</v>
      </c>
      <c r="S562">
        <v>0</v>
      </c>
      <c r="T562">
        <v>1.3107</v>
      </c>
      <c r="U562">
        <v>-2.0000000000000001E-4</v>
      </c>
      <c r="V562">
        <v>0</v>
      </c>
      <c r="W562">
        <v>-2.5100000000000001E-2</v>
      </c>
      <c r="X562">
        <v>3.2000000000000002E-3</v>
      </c>
      <c r="Y562">
        <v>-1E-4</v>
      </c>
      <c r="Z562">
        <v>0</v>
      </c>
      <c r="AA562">
        <v>0</v>
      </c>
      <c r="AB562">
        <v>662</v>
      </c>
      <c r="AC562">
        <v>0.05</v>
      </c>
      <c r="AD562">
        <v>0</v>
      </c>
      <c r="AE562">
        <v>0</v>
      </c>
      <c r="AF562">
        <v>0</v>
      </c>
      <c r="AG562">
        <v>729</v>
      </c>
      <c r="AH562">
        <v>0</v>
      </c>
      <c r="AJ562" s="4">
        <v>7925</v>
      </c>
      <c r="AS562">
        <v>730.3</v>
      </c>
      <c r="AT562">
        <v>-0.9496</v>
      </c>
      <c r="BC562">
        <v>726.7</v>
      </c>
      <c r="BD562">
        <v>-0.95240000000000002</v>
      </c>
      <c r="BE562">
        <v>726.2</v>
      </c>
      <c r="BF562">
        <v>-0.95079999999999998</v>
      </c>
      <c r="BG562">
        <v>2183.1999999999998</v>
      </c>
      <c r="BH562">
        <v>-2.8528000000000002</v>
      </c>
    </row>
    <row r="563" spans="1:60" x14ac:dyDescent="0.35">
      <c r="A563" t="s">
        <v>34</v>
      </c>
      <c r="B563" s="1">
        <v>46146.65625</v>
      </c>
      <c r="C563" t="s">
        <v>34</v>
      </c>
      <c r="D563" s="1">
        <v>46148.625</v>
      </c>
      <c r="E563">
        <v>5200</v>
      </c>
      <c r="F563" t="s">
        <v>36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563</v>
      </c>
      <c r="O563">
        <v>0.05</v>
      </c>
      <c r="P563">
        <v>0</v>
      </c>
      <c r="Q563">
        <v>0</v>
      </c>
      <c r="R563">
        <v>0</v>
      </c>
      <c r="S563">
        <v>0</v>
      </c>
      <c r="T563">
        <v>1.2407999999999999</v>
      </c>
      <c r="U563">
        <v>-2.0000000000000001E-4</v>
      </c>
      <c r="V563">
        <v>0</v>
      </c>
      <c r="W563">
        <v>-2.5100000000000001E-2</v>
      </c>
      <c r="X563">
        <v>3.3E-3</v>
      </c>
      <c r="Y563">
        <v>-1E-4</v>
      </c>
      <c r="Z563">
        <v>0</v>
      </c>
      <c r="AA563">
        <v>0</v>
      </c>
      <c r="AB563">
        <v>638</v>
      </c>
      <c r="AC563">
        <v>0.05</v>
      </c>
      <c r="AD563">
        <v>0</v>
      </c>
      <c r="AE563">
        <v>0</v>
      </c>
      <c r="AF563">
        <v>0</v>
      </c>
      <c r="AG563">
        <v>645</v>
      </c>
      <c r="AH563">
        <v>0</v>
      </c>
      <c r="AJ563" s="4">
        <v>7930</v>
      </c>
      <c r="BC563">
        <v>731.7</v>
      </c>
      <c r="BD563">
        <v>-0.95220000000000005</v>
      </c>
      <c r="BE563">
        <v>731.9</v>
      </c>
      <c r="BF563">
        <v>-0.94889999999999997</v>
      </c>
      <c r="BG563">
        <v>1463.6</v>
      </c>
      <c r="BH563">
        <v>-1.9011</v>
      </c>
    </row>
    <row r="564" spans="1:60" x14ac:dyDescent="0.35">
      <c r="A564" t="s">
        <v>34</v>
      </c>
      <c r="B564" s="1">
        <v>46146.65625</v>
      </c>
      <c r="C564" t="s">
        <v>34</v>
      </c>
      <c r="D564" s="1">
        <v>46148.625</v>
      </c>
      <c r="E564">
        <v>5300</v>
      </c>
      <c r="F564" t="s">
        <v>36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539</v>
      </c>
      <c r="O564">
        <v>0.05</v>
      </c>
      <c r="P564">
        <v>0</v>
      </c>
      <c r="Q564">
        <v>0</v>
      </c>
      <c r="R564">
        <v>0</v>
      </c>
      <c r="S564">
        <v>0</v>
      </c>
      <c r="T564">
        <v>1.1719999999999999</v>
      </c>
      <c r="U564">
        <v>-2.0000000000000001E-4</v>
      </c>
      <c r="V564">
        <v>0</v>
      </c>
      <c r="W564">
        <v>-2.5100000000000001E-2</v>
      </c>
      <c r="X564">
        <v>3.5000000000000001E-3</v>
      </c>
      <c r="Y564">
        <v>-1E-4</v>
      </c>
      <c r="Z564">
        <v>0</v>
      </c>
      <c r="AA564">
        <v>0</v>
      </c>
      <c r="AB564">
        <v>245</v>
      </c>
      <c r="AC564">
        <v>0.05</v>
      </c>
      <c r="AD564">
        <v>0</v>
      </c>
      <c r="AE564">
        <v>0</v>
      </c>
      <c r="AF564">
        <v>0</v>
      </c>
      <c r="AG564">
        <v>65</v>
      </c>
      <c r="AH564">
        <v>0</v>
      </c>
      <c r="AJ564" s="4">
        <v>7940</v>
      </c>
      <c r="BC564">
        <v>741.1</v>
      </c>
      <c r="BD564">
        <v>-0.9556</v>
      </c>
      <c r="BE564">
        <v>742</v>
      </c>
      <c r="BF564">
        <v>-0.94889999999999997</v>
      </c>
      <c r="BG564">
        <v>1483.1</v>
      </c>
      <c r="BH564">
        <v>-1.9045000000000001</v>
      </c>
    </row>
    <row r="565" spans="1:60" x14ac:dyDescent="0.35">
      <c r="A565" t="s">
        <v>34</v>
      </c>
      <c r="B565" s="1">
        <v>46146.65625</v>
      </c>
      <c r="C565" t="s">
        <v>34</v>
      </c>
      <c r="D565" s="1">
        <v>46148.625</v>
      </c>
      <c r="E565">
        <v>5400</v>
      </c>
      <c r="F565" t="s">
        <v>36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528</v>
      </c>
      <c r="O565">
        <v>0.05</v>
      </c>
      <c r="P565">
        <v>0</v>
      </c>
      <c r="Q565">
        <v>0</v>
      </c>
      <c r="R565">
        <v>0</v>
      </c>
      <c r="S565">
        <v>0</v>
      </c>
      <c r="T565">
        <v>1.1044</v>
      </c>
      <c r="U565">
        <v>-2.0000000000000001E-4</v>
      </c>
      <c r="V565">
        <v>0</v>
      </c>
      <c r="W565">
        <v>-2.5100000000000001E-2</v>
      </c>
      <c r="X565">
        <v>3.7000000000000002E-3</v>
      </c>
      <c r="Y565">
        <v>-1E-4</v>
      </c>
      <c r="Z565">
        <v>0</v>
      </c>
      <c r="AA565">
        <v>0</v>
      </c>
      <c r="AB565">
        <v>259</v>
      </c>
      <c r="AC565">
        <v>0.05</v>
      </c>
      <c r="AD565">
        <v>0</v>
      </c>
      <c r="AE565">
        <v>0</v>
      </c>
      <c r="AF565">
        <v>0</v>
      </c>
      <c r="AG565">
        <v>1299</v>
      </c>
      <c r="AH565">
        <v>0</v>
      </c>
      <c r="AJ565" s="4">
        <v>7950</v>
      </c>
      <c r="AS565">
        <v>754.7</v>
      </c>
      <c r="AT565">
        <v>-0.95320000000000005</v>
      </c>
      <c r="BC565">
        <v>751.6</v>
      </c>
      <c r="BD565">
        <v>-0.95269999999999999</v>
      </c>
      <c r="BE565">
        <v>751.9</v>
      </c>
      <c r="BF565">
        <v>-0.94969999999999999</v>
      </c>
      <c r="BG565">
        <v>2258.2000000000003</v>
      </c>
      <c r="BH565">
        <v>-2.8555999999999999</v>
      </c>
    </row>
    <row r="566" spans="1:60" x14ac:dyDescent="0.35">
      <c r="A566" t="s">
        <v>34</v>
      </c>
      <c r="B566" s="1">
        <v>46146.65625</v>
      </c>
      <c r="C566" t="s">
        <v>34</v>
      </c>
      <c r="D566" s="1">
        <v>46148.625</v>
      </c>
      <c r="E566">
        <v>5500</v>
      </c>
      <c r="F566" t="s">
        <v>36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468</v>
      </c>
      <c r="O566">
        <v>0.05</v>
      </c>
      <c r="P566">
        <v>0</v>
      </c>
      <c r="Q566">
        <v>0</v>
      </c>
      <c r="R566">
        <v>0</v>
      </c>
      <c r="S566">
        <v>0</v>
      </c>
      <c r="T566">
        <v>1.0378000000000001</v>
      </c>
      <c r="U566">
        <v>-2.0000000000000001E-4</v>
      </c>
      <c r="V566">
        <v>0</v>
      </c>
      <c r="W566">
        <v>-2.5100000000000001E-2</v>
      </c>
      <c r="X566">
        <v>3.8999999999999998E-3</v>
      </c>
      <c r="Y566">
        <v>-1E-4</v>
      </c>
      <c r="Z566">
        <v>0</v>
      </c>
      <c r="AA566">
        <v>0</v>
      </c>
      <c r="AB566">
        <v>201</v>
      </c>
      <c r="AC566">
        <v>0.05</v>
      </c>
      <c r="AD566">
        <v>0</v>
      </c>
      <c r="AE566">
        <v>0</v>
      </c>
      <c r="AF566">
        <v>0</v>
      </c>
      <c r="AG566">
        <v>1088</v>
      </c>
      <c r="AH566">
        <v>0</v>
      </c>
      <c r="AJ566" s="4">
        <v>7960</v>
      </c>
      <c r="BC566">
        <v>760.6</v>
      </c>
      <c r="BD566">
        <v>-0.95740000000000003</v>
      </c>
      <c r="BE566">
        <v>761.8</v>
      </c>
      <c r="BF566">
        <v>-0.9496</v>
      </c>
      <c r="BG566">
        <v>1522.4</v>
      </c>
      <c r="BH566">
        <v>-1.907</v>
      </c>
    </row>
    <row r="567" spans="1:60" x14ac:dyDescent="0.35">
      <c r="A567" t="s">
        <v>34</v>
      </c>
      <c r="B567" s="1">
        <v>46146.65625</v>
      </c>
      <c r="C567" t="s">
        <v>34</v>
      </c>
      <c r="D567" s="1">
        <v>46148.625</v>
      </c>
      <c r="E567">
        <v>5600</v>
      </c>
      <c r="F567" t="s">
        <v>36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429</v>
      </c>
      <c r="O567">
        <v>0.05</v>
      </c>
      <c r="P567">
        <v>0</v>
      </c>
      <c r="Q567">
        <v>0</v>
      </c>
      <c r="R567">
        <v>0</v>
      </c>
      <c r="S567">
        <v>0</v>
      </c>
      <c r="T567">
        <v>0.97230000000000005</v>
      </c>
      <c r="U567">
        <v>-2.0000000000000001E-4</v>
      </c>
      <c r="V567">
        <v>0</v>
      </c>
      <c r="W567">
        <v>-2.5100000000000001E-2</v>
      </c>
      <c r="X567">
        <v>4.1999999999999997E-3</v>
      </c>
      <c r="Y567">
        <v>-1E-4</v>
      </c>
      <c r="Z567">
        <v>0</v>
      </c>
      <c r="AA567">
        <v>0</v>
      </c>
      <c r="AB567">
        <v>168</v>
      </c>
      <c r="AC567">
        <v>0.05</v>
      </c>
      <c r="AD567">
        <v>0</v>
      </c>
      <c r="AE567">
        <v>0</v>
      </c>
      <c r="AF567">
        <v>0</v>
      </c>
      <c r="AG567">
        <v>2023</v>
      </c>
      <c r="AH567">
        <v>0</v>
      </c>
      <c r="AJ567" s="4">
        <v>7975</v>
      </c>
      <c r="BC567">
        <v>776.3</v>
      </c>
      <c r="BD567">
        <v>-0.95530000000000004</v>
      </c>
      <c r="BE567">
        <v>777</v>
      </c>
      <c r="BF567">
        <v>-0.94910000000000005</v>
      </c>
      <c r="BG567">
        <v>1553.3</v>
      </c>
      <c r="BH567">
        <v>-1.9044000000000001</v>
      </c>
    </row>
    <row r="568" spans="1:60" x14ac:dyDescent="0.35">
      <c r="A568" t="s">
        <v>34</v>
      </c>
      <c r="B568" s="1">
        <v>46146.65625</v>
      </c>
      <c r="C568" t="s">
        <v>34</v>
      </c>
      <c r="D568" s="1">
        <v>46148.625</v>
      </c>
      <c r="E568">
        <v>5675</v>
      </c>
      <c r="F568" t="s">
        <v>36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301</v>
      </c>
      <c r="O568">
        <v>0.05</v>
      </c>
      <c r="P568">
        <v>0</v>
      </c>
      <c r="Q568">
        <v>0</v>
      </c>
      <c r="R568">
        <v>0</v>
      </c>
      <c r="S568">
        <v>0</v>
      </c>
      <c r="T568">
        <v>0.92310000000000003</v>
      </c>
      <c r="U568">
        <v>-2.0000000000000001E-4</v>
      </c>
      <c r="V568">
        <v>0</v>
      </c>
      <c r="W568">
        <v>-2.5100000000000001E-2</v>
      </c>
      <c r="X568">
        <v>4.4000000000000003E-3</v>
      </c>
      <c r="Y568">
        <v>-1E-4</v>
      </c>
      <c r="Z568">
        <v>0</v>
      </c>
      <c r="AA568">
        <v>0</v>
      </c>
      <c r="AB568">
        <v>503</v>
      </c>
      <c r="AC568">
        <v>0.1</v>
      </c>
      <c r="AD568">
        <v>0</v>
      </c>
      <c r="AE568">
        <v>0</v>
      </c>
      <c r="AF568">
        <v>0</v>
      </c>
      <c r="AG568">
        <v>77</v>
      </c>
      <c r="AH568">
        <v>0</v>
      </c>
      <c r="AJ568" s="4">
        <v>8000</v>
      </c>
      <c r="AK568">
        <v>809</v>
      </c>
      <c r="AL568">
        <v>-0.99629999999999996</v>
      </c>
      <c r="AM568">
        <v>807.7</v>
      </c>
      <c r="AN568">
        <v>-0.95079999999999998</v>
      </c>
      <c r="AO568">
        <v>807.4</v>
      </c>
      <c r="AP568">
        <v>-0.99980000000000002</v>
      </c>
      <c r="AQ568">
        <v>806.4</v>
      </c>
      <c r="AR568">
        <v>-0.94630000000000003</v>
      </c>
      <c r="AS568">
        <v>804.1</v>
      </c>
      <c r="AT568">
        <v>-0.95750000000000002</v>
      </c>
      <c r="AU568">
        <v>804.6</v>
      </c>
      <c r="AV568">
        <v>-0.94630000000000003</v>
      </c>
      <c r="AW568">
        <v>804.5</v>
      </c>
      <c r="AX568">
        <v>-0.99429999999999996</v>
      </c>
      <c r="AY568">
        <v>803.2</v>
      </c>
      <c r="AZ568">
        <v>-0.9466</v>
      </c>
      <c r="BA568">
        <v>802.5</v>
      </c>
      <c r="BB568">
        <v>-0.94650000000000001</v>
      </c>
      <c r="BC568">
        <v>794.5</v>
      </c>
      <c r="BD568">
        <v>-0.99539999999999995</v>
      </c>
      <c r="BE568">
        <v>800.7</v>
      </c>
      <c r="BF568">
        <v>-0.95640000000000003</v>
      </c>
      <c r="BG568">
        <v>8844.6</v>
      </c>
      <c r="BH568">
        <v>-10.636200000000001</v>
      </c>
    </row>
    <row r="569" spans="1:60" x14ac:dyDescent="0.35">
      <c r="A569" t="s">
        <v>34</v>
      </c>
      <c r="B569" s="1">
        <v>46146.65625</v>
      </c>
      <c r="C569" t="s">
        <v>34</v>
      </c>
      <c r="D569" s="1">
        <v>46148.625</v>
      </c>
      <c r="E569">
        <v>5700</v>
      </c>
      <c r="F569" t="s">
        <v>36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1914</v>
      </c>
      <c r="O569">
        <v>0.05</v>
      </c>
      <c r="P569">
        <v>0</v>
      </c>
      <c r="Q569">
        <v>0</v>
      </c>
      <c r="R569">
        <v>0</v>
      </c>
      <c r="S569">
        <v>0</v>
      </c>
      <c r="T569">
        <v>0.90769999999999995</v>
      </c>
      <c r="U569">
        <v>-2.0000000000000001E-4</v>
      </c>
      <c r="V569">
        <v>0</v>
      </c>
      <c r="W569">
        <v>-2.5100000000000001E-2</v>
      </c>
      <c r="X569">
        <v>4.4999999999999997E-3</v>
      </c>
      <c r="Y569">
        <v>-1E-4</v>
      </c>
      <c r="Z569">
        <v>0</v>
      </c>
      <c r="AA569">
        <v>0</v>
      </c>
      <c r="AB569">
        <v>1677</v>
      </c>
      <c r="AC569">
        <v>0.05</v>
      </c>
      <c r="AD569">
        <v>0</v>
      </c>
      <c r="AE569">
        <v>0</v>
      </c>
      <c r="AF569">
        <v>0</v>
      </c>
      <c r="AG569">
        <v>342</v>
      </c>
      <c r="AH569">
        <v>0</v>
      </c>
      <c r="AJ569" s="4">
        <v>8025</v>
      </c>
      <c r="BC569">
        <v>825.4</v>
      </c>
      <c r="BD569">
        <v>-0.96060000000000001</v>
      </c>
      <c r="BE569">
        <v>826.9</v>
      </c>
      <c r="BF569">
        <v>-0.95150000000000001</v>
      </c>
      <c r="BG569">
        <v>1652.3</v>
      </c>
      <c r="BH569">
        <v>-1.9121000000000001</v>
      </c>
    </row>
    <row r="570" spans="1:60" x14ac:dyDescent="0.35">
      <c r="A570" t="s">
        <v>34</v>
      </c>
      <c r="B570" s="1">
        <v>46146.65625</v>
      </c>
      <c r="C570" t="s">
        <v>34</v>
      </c>
      <c r="D570" s="1">
        <v>46148.625</v>
      </c>
      <c r="E570">
        <v>5725</v>
      </c>
      <c r="F570" t="s">
        <v>36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279</v>
      </c>
      <c r="O570">
        <v>0.05</v>
      </c>
      <c r="P570">
        <v>0</v>
      </c>
      <c r="Q570">
        <v>0</v>
      </c>
      <c r="R570">
        <v>0</v>
      </c>
      <c r="S570">
        <v>0</v>
      </c>
      <c r="T570">
        <v>0.89149999999999996</v>
      </c>
      <c r="U570">
        <v>-2.0000000000000001E-4</v>
      </c>
      <c r="V570">
        <v>0</v>
      </c>
      <c r="W570">
        <v>-2.5000000000000001E-2</v>
      </c>
      <c r="X570">
        <v>4.5999999999999999E-3</v>
      </c>
      <c r="Y570">
        <v>-1E-4</v>
      </c>
      <c r="Z570">
        <v>0</v>
      </c>
      <c r="AA570">
        <v>0</v>
      </c>
      <c r="AB570">
        <v>491</v>
      </c>
      <c r="AC570">
        <v>0.1</v>
      </c>
      <c r="AD570">
        <v>0</v>
      </c>
      <c r="AE570">
        <v>0</v>
      </c>
      <c r="AF570">
        <v>0</v>
      </c>
      <c r="AG570">
        <v>45</v>
      </c>
      <c r="AH570">
        <v>0</v>
      </c>
      <c r="AJ570" s="4">
        <v>8050</v>
      </c>
      <c r="BC570">
        <v>851.2</v>
      </c>
      <c r="BD570">
        <v>-0.95850000000000002</v>
      </c>
      <c r="BE570">
        <v>850.1</v>
      </c>
      <c r="BF570">
        <v>-0.96030000000000004</v>
      </c>
      <c r="BG570">
        <v>1701.3000000000002</v>
      </c>
      <c r="BH570">
        <v>-1.9188000000000001</v>
      </c>
    </row>
    <row r="571" spans="1:60" x14ac:dyDescent="0.35">
      <c r="A571" t="s">
        <v>34</v>
      </c>
      <c r="B571" s="1">
        <v>46146.65625</v>
      </c>
      <c r="C571" t="s">
        <v>34</v>
      </c>
      <c r="D571" s="1">
        <v>46148.625</v>
      </c>
      <c r="E571">
        <v>5750</v>
      </c>
      <c r="F571" t="s">
        <v>36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271</v>
      </c>
      <c r="O571">
        <v>0.05</v>
      </c>
      <c r="P571">
        <v>0</v>
      </c>
      <c r="Q571">
        <v>0</v>
      </c>
      <c r="R571">
        <v>0</v>
      </c>
      <c r="S571">
        <v>0</v>
      </c>
      <c r="T571">
        <v>0.87509999999999999</v>
      </c>
      <c r="U571">
        <v>-2.0000000000000001E-4</v>
      </c>
      <c r="V571">
        <v>0</v>
      </c>
      <c r="W571">
        <v>-2.5000000000000001E-2</v>
      </c>
      <c r="X571">
        <v>4.5999999999999999E-3</v>
      </c>
      <c r="Y571">
        <v>-1E-4</v>
      </c>
      <c r="Z571">
        <v>0</v>
      </c>
      <c r="AA571">
        <v>0</v>
      </c>
      <c r="AB571">
        <v>518</v>
      </c>
      <c r="AC571">
        <v>0.1</v>
      </c>
      <c r="AD571">
        <v>0</v>
      </c>
      <c r="AE571">
        <v>0</v>
      </c>
      <c r="AF571">
        <v>0</v>
      </c>
      <c r="AG571">
        <v>186</v>
      </c>
      <c r="AH571">
        <v>0</v>
      </c>
      <c r="AJ571" s="4">
        <v>8075</v>
      </c>
      <c r="BC571">
        <v>876.4</v>
      </c>
      <c r="BD571">
        <v>-0.96099999999999997</v>
      </c>
      <c r="BE571">
        <v>876.8</v>
      </c>
      <c r="BF571">
        <v>-0.95420000000000005</v>
      </c>
      <c r="BG571">
        <v>1753.1999999999998</v>
      </c>
      <c r="BH571">
        <v>-1.9152</v>
      </c>
    </row>
    <row r="572" spans="1:60" x14ac:dyDescent="0.35">
      <c r="A572" t="s">
        <v>34</v>
      </c>
      <c r="B572" s="1">
        <v>46146.65625</v>
      </c>
      <c r="C572" t="s">
        <v>34</v>
      </c>
      <c r="D572" s="1">
        <v>46148.625</v>
      </c>
      <c r="E572">
        <v>5775</v>
      </c>
      <c r="F572" t="s">
        <v>36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248</v>
      </c>
      <c r="O572">
        <v>0.05</v>
      </c>
      <c r="P572">
        <v>0</v>
      </c>
      <c r="Q572">
        <v>0</v>
      </c>
      <c r="R572">
        <v>0</v>
      </c>
      <c r="S572">
        <v>0</v>
      </c>
      <c r="T572">
        <v>0.85919999999999996</v>
      </c>
      <c r="U572">
        <v>-2.0000000000000001E-4</v>
      </c>
      <c r="V572">
        <v>0</v>
      </c>
      <c r="W572">
        <v>-2.5000000000000001E-2</v>
      </c>
      <c r="X572">
        <v>4.7000000000000002E-3</v>
      </c>
      <c r="Y572">
        <v>-1E-4</v>
      </c>
      <c r="Z572">
        <v>0</v>
      </c>
      <c r="AA572">
        <v>0</v>
      </c>
      <c r="AB572">
        <v>496</v>
      </c>
      <c r="AC572">
        <v>0.1</v>
      </c>
      <c r="AD572">
        <v>0</v>
      </c>
      <c r="AE572">
        <v>0</v>
      </c>
      <c r="AF572">
        <v>0</v>
      </c>
      <c r="AG572">
        <v>126</v>
      </c>
      <c r="AH572">
        <v>0</v>
      </c>
      <c r="AJ572" s="4">
        <v>8100</v>
      </c>
      <c r="AS572">
        <v>904</v>
      </c>
      <c r="AT572">
        <v>-0.96079999999999999</v>
      </c>
      <c r="BC572">
        <v>902.5</v>
      </c>
      <c r="BD572">
        <v>-0.95650000000000002</v>
      </c>
      <c r="BE572">
        <v>901.8</v>
      </c>
      <c r="BF572">
        <v>-0.95379999999999998</v>
      </c>
      <c r="BG572">
        <v>2708.3</v>
      </c>
      <c r="BH572">
        <v>-2.8711000000000002</v>
      </c>
    </row>
    <row r="573" spans="1:60" x14ac:dyDescent="0.35">
      <c r="A573" t="s">
        <v>34</v>
      </c>
      <c r="B573" s="1">
        <v>46146.65625</v>
      </c>
      <c r="C573" t="s">
        <v>34</v>
      </c>
      <c r="D573" s="1">
        <v>46148.625</v>
      </c>
      <c r="E573">
        <v>5800</v>
      </c>
      <c r="F573" t="s">
        <v>36</v>
      </c>
      <c r="G573">
        <v>0.05</v>
      </c>
      <c r="H573">
        <v>0.05</v>
      </c>
      <c r="I573">
        <v>0.05</v>
      </c>
      <c r="J573">
        <v>0.05</v>
      </c>
      <c r="K573">
        <v>60</v>
      </c>
      <c r="L573">
        <v>0</v>
      </c>
      <c r="M573">
        <v>0</v>
      </c>
      <c r="N573">
        <v>708</v>
      </c>
      <c r="O573">
        <v>0.05</v>
      </c>
      <c r="P573">
        <v>0</v>
      </c>
      <c r="Q573">
        <v>0</v>
      </c>
      <c r="R573">
        <v>0</v>
      </c>
      <c r="S573">
        <v>0</v>
      </c>
      <c r="T573">
        <v>0.84399999999999997</v>
      </c>
      <c r="U573">
        <v>-2.0000000000000001E-4</v>
      </c>
      <c r="V573">
        <v>0</v>
      </c>
      <c r="W573">
        <v>-2.5100000000000001E-2</v>
      </c>
      <c r="X573">
        <v>4.7999999999999996E-3</v>
      </c>
      <c r="Y573">
        <v>-1E-4</v>
      </c>
      <c r="Z573">
        <v>0</v>
      </c>
      <c r="AA573">
        <v>0</v>
      </c>
      <c r="AB573">
        <v>543</v>
      </c>
      <c r="AC573">
        <v>0.05</v>
      </c>
      <c r="AD573">
        <v>0</v>
      </c>
      <c r="AE573">
        <v>0</v>
      </c>
      <c r="AF573">
        <v>0.05</v>
      </c>
      <c r="AG573">
        <v>402</v>
      </c>
      <c r="AH573">
        <v>0</v>
      </c>
      <c r="AJ573" s="4">
        <v>8125</v>
      </c>
      <c r="BC573">
        <v>926.1</v>
      </c>
      <c r="BD573">
        <v>-0.9607</v>
      </c>
      <c r="BE573">
        <v>926.7</v>
      </c>
      <c r="BF573">
        <v>-0.95699999999999996</v>
      </c>
      <c r="BG573">
        <v>1852.8000000000002</v>
      </c>
      <c r="BH573">
        <v>-1.9177</v>
      </c>
    </row>
    <row r="574" spans="1:60" x14ac:dyDescent="0.35">
      <c r="A574" t="s">
        <v>34</v>
      </c>
      <c r="B574" s="1">
        <v>46146.65625</v>
      </c>
      <c r="C574" t="s">
        <v>34</v>
      </c>
      <c r="D574" s="1">
        <v>46148.625</v>
      </c>
      <c r="E574">
        <v>5825</v>
      </c>
      <c r="F574" t="s">
        <v>36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145</v>
      </c>
      <c r="O574">
        <v>0.05</v>
      </c>
      <c r="P574">
        <v>0</v>
      </c>
      <c r="Q574">
        <v>0</v>
      </c>
      <c r="R574">
        <v>0</v>
      </c>
      <c r="S574">
        <v>0</v>
      </c>
      <c r="T574">
        <v>0.8276</v>
      </c>
      <c r="U574">
        <v>-2.0000000000000001E-4</v>
      </c>
      <c r="V574">
        <v>0</v>
      </c>
      <c r="W574">
        <v>-2.5000000000000001E-2</v>
      </c>
      <c r="X574">
        <v>4.8999999999999998E-3</v>
      </c>
      <c r="Y574">
        <v>-1E-4</v>
      </c>
      <c r="Z574">
        <v>0</v>
      </c>
      <c r="AA574">
        <v>0</v>
      </c>
      <c r="AB574">
        <v>484</v>
      </c>
      <c r="AC574">
        <v>0.1</v>
      </c>
      <c r="AD574">
        <v>0</v>
      </c>
      <c r="AE574">
        <v>0</v>
      </c>
      <c r="AF574">
        <v>0</v>
      </c>
      <c r="AG574">
        <v>165</v>
      </c>
      <c r="AH574">
        <v>0</v>
      </c>
      <c r="AJ574" s="4">
        <v>8150</v>
      </c>
      <c r="BC574">
        <v>950.7</v>
      </c>
      <c r="BD574">
        <v>-0.96230000000000004</v>
      </c>
      <c r="BE574">
        <v>951.7</v>
      </c>
      <c r="BF574">
        <v>-0.95579999999999998</v>
      </c>
      <c r="BG574">
        <v>1902.4</v>
      </c>
      <c r="BH574">
        <v>-1.9180999999999999</v>
      </c>
    </row>
    <row r="575" spans="1:60" x14ac:dyDescent="0.35">
      <c r="A575" t="s">
        <v>34</v>
      </c>
      <c r="B575" s="1">
        <v>46146.65625</v>
      </c>
      <c r="C575" t="s">
        <v>34</v>
      </c>
      <c r="D575" s="1">
        <v>46148.625</v>
      </c>
      <c r="E575">
        <v>5850</v>
      </c>
      <c r="F575" t="s">
        <v>36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141</v>
      </c>
      <c r="O575">
        <v>0.05</v>
      </c>
      <c r="P575">
        <v>0</v>
      </c>
      <c r="Q575">
        <v>0</v>
      </c>
      <c r="R575">
        <v>0</v>
      </c>
      <c r="S575">
        <v>0</v>
      </c>
      <c r="T575">
        <v>0.8125</v>
      </c>
      <c r="U575">
        <v>-2.9999999999999997E-4</v>
      </c>
      <c r="V575">
        <v>0</v>
      </c>
      <c r="W575">
        <v>-2.5100000000000001E-2</v>
      </c>
      <c r="X575">
        <v>5.0000000000000001E-3</v>
      </c>
      <c r="Y575">
        <v>-1E-4</v>
      </c>
      <c r="Z575">
        <v>0</v>
      </c>
      <c r="AA575">
        <v>0</v>
      </c>
      <c r="AB575">
        <v>455</v>
      </c>
      <c r="AC575">
        <v>0.1</v>
      </c>
      <c r="AD575">
        <v>0</v>
      </c>
      <c r="AE575">
        <v>0</v>
      </c>
      <c r="AF575">
        <v>0</v>
      </c>
      <c r="AG575">
        <v>11026</v>
      </c>
      <c r="AH575">
        <v>0</v>
      </c>
      <c r="AJ575" s="4">
        <v>8175</v>
      </c>
      <c r="BC575">
        <v>976</v>
      </c>
      <c r="BD575">
        <v>-0.96220000000000006</v>
      </c>
      <c r="BG575">
        <v>976</v>
      </c>
      <c r="BH575">
        <v>-0.96220000000000006</v>
      </c>
    </row>
    <row r="576" spans="1:60" x14ac:dyDescent="0.35">
      <c r="A576" t="s">
        <v>34</v>
      </c>
      <c r="B576" s="1">
        <v>46146.65625</v>
      </c>
      <c r="C576" t="s">
        <v>34</v>
      </c>
      <c r="D576" s="1">
        <v>46148.625</v>
      </c>
      <c r="E576">
        <v>5875</v>
      </c>
      <c r="F576" t="s">
        <v>36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136</v>
      </c>
      <c r="O576">
        <v>0.05</v>
      </c>
      <c r="P576">
        <v>0</v>
      </c>
      <c r="Q576">
        <v>0</v>
      </c>
      <c r="R576">
        <v>0</v>
      </c>
      <c r="S576">
        <v>0</v>
      </c>
      <c r="T576">
        <v>0.79690000000000005</v>
      </c>
      <c r="U576">
        <v>-2.9999999999999997E-4</v>
      </c>
      <c r="V576">
        <v>0</v>
      </c>
      <c r="W576">
        <v>-2.5100000000000001E-2</v>
      </c>
      <c r="X576">
        <v>5.1000000000000004E-3</v>
      </c>
      <c r="Y576">
        <v>-1E-4</v>
      </c>
      <c r="Z576">
        <v>0</v>
      </c>
      <c r="AA576">
        <v>0</v>
      </c>
      <c r="AB576">
        <v>215</v>
      </c>
      <c r="AC576">
        <v>0.1</v>
      </c>
      <c r="AD576">
        <v>0</v>
      </c>
      <c r="AE576">
        <v>0</v>
      </c>
      <c r="AF576">
        <v>0</v>
      </c>
      <c r="AG576">
        <v>124</v>
      </c>
      <c r="AH576">
        <v>0</v>
      </c>
      <c r="AJ576" s="4">
        <v>8200</v>
      </c>
      <c r="AK576">
        <v>1009</v>
      </c>
      <c r="AL576">
        <v>0</v>
      </c>
      <c r="AM576">
        <v>1008.6</v>
      </c>
      <c r="AN576">
        <v>-0.95720000000000005</v>
      </c>
      <c r="AO576">
        <v>1007.2</v>
      </c>
      <c r="AP576">
        <v>-0.95330000000000004</v>
      </c>
      <c r="AQ576">
        <v>1006.4</v>
      </c>
      <c r="AR576">
        <v>-0.99980000000000002</v>
      </c>
      <c r="AS576">
        <v>1003.9</v>
      </c>
      <c r="AT576">
        <v>-0.96360000000000001</v>
      </c>
      <c r="AU576">
        <v>1004.3</v>
      </c>
      <c r="AV576">
        <v>-0.95379999999999998</v>
      </c>
      <c r="AW576">
        <v>1003.8</v>
      </c>
      <c r="AX576">
        <v>-0.99619999999999997</v>
      </c>
      <c r="AY576">
        <v>1003.1</v>
      </c>
      <c r="AZ576">
        <v>-0.95330000000000004</v>
      </c>
      <c r="BA576">
        <v>1000.4</v>
      </c>
      <c r="BB576">
        <v>-0.96419999999999995</v>
      </c>
      <c r="BC576">
        <v>1001</v>
      </c>
      <c r="BD576">
        <v>-0.96220000000000006</v>
      </c>
      <c r="BE576">
        <v>1001.4</v>
      </c>
      <c r="BF576">
        <v>-0.95779999999999998</v>
      </c>
      <c r="BG576">
        <v>11049.1</v>
      </c>
      <c r="BH576">
        <v>-9.6614000000000004</v>
      </c>
    </row>
    <row r="577" spans="1:60" x14ac:dyDescent="0.35">
      <c r="A577" t="s">
        <v>34</v>
      </c>
      <c r="B577" s="1">
        <v>46146.65625</v>
      </c>
      <c r="C577" t="s">
        <v>34</v>
      </c>
      <c r="D577" s="1">
        <v>46148.625</v>
      </c>
      <c r="E577">
        <v>5900</v>
      </c>
      <c r="F577" t="s">
        <v>36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726</v>
      </c>
      <c r="O577">
        <v>0.05</v>
      </c>
      <c r="P577">
        <v>0</v>
      </c>
      <c r="Q577">
        <v>0</v>
      </c>
      <c r="R577">
        <v>0</v>
      </c>
      <c r="S577">
        <v>0</v>
      </c>
      <c r="T577">
        <v>0.78120000000000001</v>
      </c>
      <c r="U577">
        <v>-2.9999999999999997E-4</v>
      </c>
      <c r="V577">
        <v>0</v>
      </c>
      <c r="W577">
        <v>-2.5100000000000001E-2</v>
      </c>
      <c r="X577">
        <v>5.1999999999999998E-3</v>
      </c>
      <c r="Y577">
        <v>-1E-4</v>
      </c>
      <c r="Z577">
        <v>0</v>
      </c>
      <c r="AA577">
        <v>0</v>
      </c>
      <c r="AB577">
        <v>566</v>
      </c>
      <c r="AC577">
        <v>0.05</v>
      </c>
      <c r="AD577">
        <v>0</v>
      </c>
      <c r="AE577">
        <v>0</v>
      </c>
      <c r="AF577">
        <v>0</v>
      </c>
      <c r="AG577">
        <v>890</v>
      </c>
      <c r="AH577">
        <v>0</v>
      </c>
      <c r="AJ577" s="4">
        <v>8225</v>
      </c>
      <c r="BC577">
        <v>1025.2</v>
      </c>
      <c r="BD577">
        <v>-0.96879999999999999</v>
      </c>
      <c r="BG577">
        <v>1025.2</v>
      </c>
      <c r="BH577">
        <v>-0.96879999999999999</v>
      </c>
    </row>
    <row r="578" spans="1:60" x14ac:dyDescent="0.35">
      <c r="A578" t="s">
        <v>34</v>
      </c>
      <c r="B578" s="1">
        <v>46146.65625</v>
      </c>
      <c r="C578" t="s">
        <v>34</v>
      </c>
      <c r="D578" s="1">
        <v>46148.625</v>
      </c>
      <c r="E578">
        <v>5925</v>
      </c>
      <c r="F578" t="s">
        <v>36</v>
      </c>
      <c r="G578">
        <v>0.1</v>
      </c>
      <c r="H578">
        <v>0.1</v>
      </c>
      <c r="I578">
        <v>0.05</v>
      </c>
      <c r="J578">
        <v>0.05</v>
      </c>
      <c r="K578">
        <v>126</v>
      </c>
      <c r="L578">
        <v>0</v>
      </c>
      <c r="M578">
        <v>0</v>
      </c>
      <c r="N578">
        <v>125</v>
      </c>
      <c r="O578">
        <v>0.05</v>
      </c>
      <c r="P578">
        <v>0</v>
      </c>
      <c r="Q578">
        <v>0</v>
      </c>
      <c r="R578">
        <v>0</v>
      </c>
      <c r="S578">
        <v>0</v>
      </c>
      <c r="T578">
        <v>0.76570000000000005</v>
      </c>
      <c r="U578">
        <v>-2.9999999999999997E-4</v>
      </c>
      <c r="V578">
        <v>0</v>
      </c>
      <c r="W578">
        <v>-2.5100000000000001E-2</v>
      </c>
      <c r="X578">
        <v>5.3E-3</v>
      </c>
      <c r="Y578">
        <v>-1E-4</v>
      </c>
      <c r="Z578">
        <v>0</v>
      </c>
      <c r="AA578">
        <v>0</v>
      </c>
      <c r="AB578">
        <v>13</v>
      </c>
      <c r="AC578">
        <v>0.05</v>
      </c>
      <c r="AD578">
        <v>0</v>
      </c>
      <c r="AE578">
        <v>0</v>
      </c>
      <c r="AF578">
        <v>7.3800000000000004E-2</v>
      </c>
      <c r="AG578">
        <v>149</v>
      </c>
      <c r="AH578">
        <v>0</v>
      </c>
      <c r="AJ578" s="4">
        <v>8250</v>
      </c>
      <c r="BC578">
        <v>1050.2</v>
      </c>
      <c r="BD578">
        <v>-0.96619999999999995</v>
      </c>
      <c r="BG578">
        <v>1050.2</v>
      </c>
      <c r="BH578">
        <v>-0.96619999999999995</v>
      </c>
    </row>
    <row r="579" spans="1:60" x14ac:dyDescent="0.35">
      <c r="A579" t="s">
        <v>34</v>
      </c>
      <c r="B579" s="1">
        <v>46146.65625</v>
      </c>
      <c r="C579" t="s">
        <v>34</v>
      </c>
      <c r="D579" s="1">
        <v>46148.625</v>
      </c>
      <c r="E579">
        <v>5950</v>
      </c>
      <c r="F579" t="s">
        <v>36</v>
      </c>
      <c r="G579">
        <v>0.05</v>
      </c>
      <c r="H579">
        <v>0.05</v>
      </c>
      <c r="I579">
        <v>0.05</v>
      </c>
      <c r="J579">
        <v>0.05</v>
      </c>
      <c r="K579">
        <v>11</v>
      </c>
      <c r="L579">
        <v>0</v>
      </c>
      <c r="M579">
        <v>0</v>
      </c>
      <c r="N579">
        <v>118</v>
      </c>
      <c r="O579">
        <v>0.05</v>
      </c>
      <c r="P579">
        <v>0</v>
      </c>
      <c r="Q579">
        <v>0</v>
      </c>
      <c r="R579">
        <v>0</v>
      </c>
      <c r="S579">
        <v>0</v>
      </c>
      <c r="T579">
        <v>0.75019999999999998</v>
      </c>
      <c r="U579">
        <v>-2.9999999999999997E-4</v>
      </c>
      <c r="V579">
        <v>0</v>
      </c>
      <c r="W579">
        <v>-2.5100000000000001E-2</v>
      </c>
      <c r="X579">
        <v>5.4000000000000003E-3</v>
      </c>
      <c r="Y579">
        <v>-1E-4</v>
      </c>
      <c r="Z579">
        <v>0</v>
      </c>
      <c r="AA579">
        <v>0</v>
      </c>
      <c r="AB579">
        <v>202</v>
      </c>
      <c r="AC579">
        <v>0.1</v>
      </c>
      <c r="AD579">
        <v>0</v>
      </c>
      <c r="AE579">
        <v>0</v>
      </c>
      <c r="AF579">
        <v>0.05</v>
      </c>
      <c r="AG579">
        <v>1229</v>
      </c>
      <c r="AH579">
        <v>0</v>
      </c>
      <c r="AJ579" s="4">
        <v>8275</v>
      </c>
      <c r="BC579">
        <v>1075.0999999999999</v>
      </c>
      <c r="BD579">
        <v>-0.96730000000000005</v>
      </c>
      <c r="BG579">
        <v>1075.0999999999999</v>
      </c>
      <c r="BH579">
        <v>-0.96730000000000005</v>
      </c>
    </row>
    <row r="580" spans="1:60" x14ac:dyDescent="0.35">
      <c r="A580" t="s">
        <v>34</v>
      </c>
      <c r="B580" s="1">
        <v>46146.65625</v>
      </c>
      <c r="C580" t="s">
        <v>34</v>
      </c>
      <c r="D580" s="1">
        <v>46148.625</v>
      </c>
      <c r="E580">
        <v>5975</v>
      </c>
      <c r="F580" t="s">
        <v>36</v>
      </c>
      <c r="G580">
        <v>0.05</v>
      </c>
      <c r="H580">
        <v>0.05</v>
      </c>
      <c r="I580">
        <v>0.05</v>
      </c>
      <c r="J580">
        <v>0.05</v>
      </c>
      <c r="K580">
        <v>10</v>
      </c>
      <c r="L580">
        <v>0</v>
      </c>
      <c r="M580">
        <v>0</v>
      </c>
      <c r="N580">
        <v>107</v>
      </c>
      <c r="O580">
        <v>0.05</v>
      </c>
      <c r="P580">
        <v>0</v>
      </c>
      <c r="Q580">
        <v>0</v>
      </c>
      <c r="R580">
        <v>0</v>
      </c>
      <c r="S580">
        <v>0</v>
      </c>
      <c r="T580">
        <v>0.73470000000000002</v>
      </c>
      <c r="U580">
        <v>-2.9999999999999997E-4</v>
      </c>
      <c r="V580">
        <v>0</v>
      </c>
      <c r="W580">
        <v>-2.5100000000000001E-2</v>
      </c>
      <c r="X580">
        <v>5.4999999999999997E-3</v>
      </c>
      <c r="Y580">
        <v>-1E-4</v>
      </c>
      <c r="Z580">
        <v>0</v>
      </c>
      <c r="AA580">
        <v>0</v>
      </c>
      <c r="AB580">
        <v>199</v>
      </c>
      <c r="AC580">
        <v>0.1</v>
      </c>
      <c r="AD580">
        <v>0</v>
      </c>
      <c r="AE580">
        <v>0</v>
      </c>
      <c r="AF580">
        <v>0.05</v>
      </c>
      <c r="AG580">
        <v>32</v>
      </c>
      <c r="AH580">
        <v>0</v>
      </c>
      <c r="AJ580" s="4">
        <v>8300</v>
      </c>
      <c r="BC580">
        <v>1102.3</v>
      </c>
      <c r="BD580">
        <v>-0.96230000000000004</v>
      </c>
      <c r="BE580">
        <v>1099</v>
      </c>
      <c r="BF580">
        <v>-0.97060000000000002</v>
      </c>
      <c r="BG580">
        <v>2201.3000000000002</v>
      </c>
      <c r="BH580">
        <v>-1.9329000000000001</v>
      </c>
    </row>
    <row r="581" spans="1:60" x14ac:dyDescent="0.35">
      <c r="A581" t="s">
        <v>34</v>
      </c>
      <c r="B581" s="1">
        <v>46146.65625</v>
      </c>
      <c r="C581" t="s">
        <v>34</v>
      </c>
      <c r="D581" s="1">
        <v>46148.625</v>
      </c>
      <c r="E581">
        <v>6000</v>
      </c>
      <c r="F581" t="s">
        <v>36</v>
      </c>
      <c r="G581">
        <v>0.05</v>
      </c>
      <c r="H581">
        <v>0.05</v>
      </c>
      <c r="I581">
        <v>0.05</v>
      </c>
      <c r="J581">
        <v>0.05</v>
      </c>
      <c r="K581">
        <v>1090</v>
      </c>
      <c r="L581">
        <v>0</v>
      </c>
      <c r="M581">
        <v>0</v>
      </c>
      <c r="N581">
        <v>641</v>
      </c>
      <c r="O581">
        <v>0.05</v>
      </c>
      <c r="P581">
        <v>0</v>
      </c>
      <c r="Q581">
        <v>0</v>
      </c>
      <c r="R581">
        <v>0</v>
      </c>
      <c r="S581">
        <v>0</v>
      </c>
      <c r="T581">
        <v>0.71930000000000005</v>
      </c>
      <c r="U581">
        <v>-2.9999999999999997E-4</v>
      </c>
      <c r="V581">
        <v>0</v>
      </c>
      <c r="W581">
        <v>-2.5100000000000001E-2</v>
      </c>
      <c r="X581">
        <v>5.5999999999999999E-3</v>
      </c>
      <c r="Y581">
        <v>-1E-4</v>
      </c>
      <c r="Z581">
        <v>0</v>
      </c>
      <c r="AA581">
        <v>0</v>
      </c>
      <c r="AB581">
        <v>516</v>
      </c>
      <c r="AC581">
        <v>0.05</v>
      </c>
      <c r="AD581">
        <v>0</v>
      </c>
      <c r="AE581">
        <v>0</v>
      </c>
      <c r="AF581">
        <v>0.05</v>
      </c>
      <c r="AG581">
        <v>231</v>
      </c>
      <c r="AH581">
        <v>0</v>
      </c>
      <c r="AJ581" s="4">
        <v>8325</v>
      </c>
      <c r="BC581">
        <v>1125.0999999999999</v>
      </c>
      <c r="BD581">
        <v>-0.96760000000000002</v>
      </c>
      <c r="BG581">
        <v>1125.0999999999999</v>
      </c>
      <c r="BH581">
        <v>-0.96760000000000002</v>
      </c>
    </row>
    <row r="582" spans="1:60" x14ac:dyDescent="0.35">
      <c r="A582" t="s">
        <v>34</v>
      </c>
      <c r="B582" s="1">
        <v>46146.65625</v>
      </c>
      <c r="C582" t="s">
        <v>34</v>
      </c>
      <c r="D582" s="1">
        <v>46148.625</v>
      </c>
      <c r="E582">
        <v>6025</v>
      </c>
      <c r="F582" t="s">
        <v>36</v>
      </c>
      <c r="G582">
        <v>0.05</v>
      </c>
      <c r="H582">
        <v>0.05</v>
      </c>
      <c r="I582">
        <v>0.05</v>
      </c>
      <c r="J582">
        <v>0.05</v>
      </c>
      <c r="K582">
        <v>30</v>
      </c>
      <c r="L582">
        <v>0</v>
      </c>
      <c r="M582">
        <v>0</v>
      </c>
      <c r="N582">
        <v>32</v>
      </c>
      <c r="O582">
        <v>0.05</v>
      </c>
      <c r="P582">
        <v>0</v>
      </c>
      <c r="Q582">
        <v>0</v>
      </c>
      <c r="R582">
        <v>0</v>
      </c>
      <c r="S582">
        <v>0</v>
      </c>
      <c r="T582">
        <v>0.70389999999999997</v>
      </c>
      <c r="U582">
        <v>-2.9999999999999997E-4</v>
      </c>
      <c r="V582">
        <v>0</v>
      </c>
      <c r="W582">
        <v>-2.5100000000000001E-2</v>
      </c>
      <c r="X582">
        <v>5.7000000000000002E-3</v>
      </c>
      <c r="Y582">
        <v>-1E-4</v>
      </c>
      <c r="Z582">
        <v>0</v>
      </c>
      <c r="AA582">
        <v>0</v>
      </c>
      <c r="AB582">
        <v>192</v>
      </c>
      <c r="AC582">
        <v>0.1</v>
      </c>
      <c r="AD582">
        <v>0</v>
      </c>
      <c r="AE582">
        <v>0</v>
      </c>
      <c r="AF582">
        <v>0.05</v>
      </c>
      <c r="AG582">
        <v>184</v>
      </c>
      <c r="AH582">
        <v>0</v>
      </c>
      <c r="AJ582" s="4">
        <v>8400</v>
      </c>
      <c r="AK582">
        <v>1209</v>
      </c>
      <c r="AL582">
        <v>0</v>
      </c>
      <c r="AM582">
        <v>1207.2</v>
      </c>
      <c r="AN582">
        <v>-0.96199999999999997</v>
      </c>
      <c r="AO582">
        <v>1206.4000000000001</v>
      </c>
      <c r="AP582">
        <v>-0.96240000000000003</v>
      </c>
      <c r="AQ582">
        <v>1205.8</v>
      </c>
      <c r="AR582">
        <v>-0.9597</v>
      </c>
      <c r="AS582">
        <v>1205.2</v>
      </c>
      <c r="AT582">
        <v>-0.96760000000000002</v>
      </c>
      <c r="AU582">
        <v>1203.5</v>
      </c>
      <c r="AV582">
        <v>-0.96240000000000003</v>
      </c>
      <c r="AW582">
        <v>1203.9000000000001</v>
      </c>
      <c r="AX582">
        <v>-0.99939999999999996</v>
      </c>
      <c r="AY582">
        <v>1202.9000000000001</v>
      </c>
      <c r="AZ582">
        <v>-0.99780000000000002</v>
      </c>
      <c r="BA582">
        <v>1201.2</v>
      </c>
      <c r="BB582">
        <v>-0.96289999999999998</v>
      </c>
      <c r="BC582">
        <v>1199.7</v>
      </c>
      <c r="BD582">
        <v>-0.97</v>
      </c>
      <c r="BE582">
        <v>1201.5</v>
      </c>
      <c r="BF582">
        <v>-0.96220000000000006</v>
      </c>
      <c r="BG582">
        <v>13246.300000000001</v>
      </c>
      <c r="BH582">
        <v>-9.7063999999999986</v>
      </c>
    </row>
    <row r="583" spans="1:60" x14ac:dyDescent="0.35">
      <c r="A583" t="s">
        <v>34</v>
      </c>
      <c r="B583" s="1">
        <v>46146.65625</v>
      </c>
      <c r="C583" t="s">
        <v>34</v>
      </c>
      <c r="D583" s="1">
        <v>46148.625</v>
      </c>
      <c r="E583">
        <v>6050</v>
      </c>
      <c r="F583" t="s">
        <v>36</v>
      </c>
      <c r="G583">
        <v>0.05</v>
      </c>
      <c r="H583">
        <v>0.05</v>
      </c>
      <c r="I583">
        <v>0.05</v>
      </c>
      <c r="J583">
        <v>0.05</v>
      </c>
      <c r="K583">
        <v>7</v>
      </c>
      <c r="L583">
        <v>0</v>
      </c>
      <c r="M583">
        <v>0</v>
      </c>
      <c r="N583">
        <v>539</v>
      </c>
      <c r="O583">
        <v>0.1</v>
      </c>
      <c r="P583">
        <v>0</v>
      </c>
      <c r="Q583">
        <v>0</v>
      </c>
      <c r="R583">
        <v>0</v>
      </c>
      <c r="S583">
        <v>0</v>
      </c>
      <c r="T583">
        <v>0.72319999999999995</v>
      </c>
      <c r="U583">
        <v>-5.0000000000000001E-4</v>
      </c>
      <c r="V583">
        <v>0</v>
      </c>
      <c r="W583">
        <v>-5.0099999999999999E-2</v>
      </c>
      <c r="X583">
        <v>1.01E-2</v>
      </c>
      <c r="Y583">
        <v>-2.0000000000000001E-4</v>
      </c>
      <c r="Z583">
        <v>0</v>
      </c>
      <c r="AA583">
        <v>0</v>
      </c>
      <c r="AB583">
        <v>189</v>
      </c>
      <c r="AC583">
        <v>0.1</v>
      </c>
      <c r="AD583">
        <v>0</v>
      </c>
      <c r="AE583">
        <v>0</v>
      </c>
      <c r="AF583">
        <v>0.05</v>
      </c>
      <c r="AG583">
        <v>570</v>
      </c>
      <c r="AH583">
        <v>0</v>
      </c>
      <c r="AJ583" s="4">
        <v>8500</v>
      </c>
      <c r="BC583">
        <v>1301.9000000000001</v>
      </c>
      <c r="BD583">
        <v>-0.96589999999999998</v>
      </c>
      <c r="BE583">
        <v>1300.5999999999999</v>
      </c>
      <c r="BF583">
        <v>-0.96560000000000001</v>
      </c>
      <c r="BG583">
        <v>2602.5</v>
      </c>
      <c r="BH583">
        <v>-1.9315</v>
      </c>
    </row>
    <row r="584" spans="1:60" x14ac:dyDescent="0.35">
      <c r="A584" t="s">
        <v>34</v>
      </c>
      <c r="B584" s="1">
        <v>46146.65625</v>
      </c>
      <c r="C584" t="s">
        <v>34</v>
      </c>
      <c r="D584" s="1">
        <v>46148.625</v>
      </c>
      <c r="E584">
        <v>6075</v>
      </c>
      <c r="F584" t="s">
        <v>36</v>
      </c>
      <c r="G584">
        <v>0.05</v>
      </c>
      <c r="H584">
        <v>0.05</v>
      </c>
      <c r="I584">
        <v>0.05</v>
      </c>
      <c r="J584">
        <v>0.05</v>
      </c>
      <c r="K584">
        <v>50</v>
      </c>
      <c r="L584">
        <v>0</v>
      </c>
      <c r="M584">
        <v>0</v>
      </c>
      <c r="N584">
        <v>518</v>
      </c>
      <c r="O584">
        <v>0.1</v>
      </c>
      <c r="P584">
        <v>0</v>
      </c>
      <c r="Q584">
        <v>0</v>
      </c>
      <c r="R584">
        <v>0</v>
      </c>
      <c r="S584">
        <v>0</v>
      </c>
      <c r="T584">
        <v>0.70720000000000005</v>
      </c>
      <c r="U584">
        <v>-5.0000000000000001E-4</v>
      </c>
      <c r="V584">
        <v>0</v>
      </c>
      <c r="W584">
        <v>-5.0099999999999999E-2</v>
      </c>
      <c r="X584">
        <v>1.03E-2</v>
      </c>
      <c r="Y584">
        <v>-2.0000000000000001E-4</v>
      </c>
      <c r="Z584">
        <v>0</v>
      </c>
      <c r="AA584">
        <v>0</v>
      </c>
      <c r="AB584">
        <v>185</v>
      </c>
      <c r="AC584">
        <v>0.1</v>
      </c>
      <c r="AD584">
        <v>0</v>
      </c>
      <c r="AE584">
        <v>0</v>
      </c>
      <c r="AF584">
        <v>0.05</v>
      </c>
      <c r="AG584">
        <v>194</v>
      </c>
      <c r="AH584">
        <v>0</v>
      </c>
      <c r="AJ584" s="4">
        <v>8600</v>
      </c>
      <c r="AK584">
        <v>1408.6</v>
      </c>
      <c r="AL584">
        <v>0</v>
      </c>
      <c r="AM584">
        <v>1408.1</v>
      </c>
      <c r="AN584">
        <v>-0.96550000000000002</v>
      </c>
      <c r="AO584">
        <v>1406.9</v>
      </c>
      <c r="AP584">
        <v>-0.9627</v>
      </c>
      <c r="AQ584">
        <v>1406.7</v>
      </c>
      <c r="AR584">
        <v>-0.99950000000000006</v>
      </c>
      <c r="AS584">
        <v>1403.7</v>
      </c>
      <c r="AT584">
        <v>-0.97070000000000001</v>
      </c>
      <c r="AU584">
        <v>1403.6</v>
      </c>
      <c r="AV584">
        <v>-0.96360000000000001</v>
      </c>
      <c r="AW584">
        <v>1403.3</v>
      </c>
      <c r="AX584">
        <v>-0.96240000000000003</v>
      </c>
      <c r="AY584">
        <v>1401.5</v>
      </c>
      <c r="AZ584">
        <v>-0.96830000000000005</v>
      </c>
      <c r="BA584">
        <v>1401.7</v>
      </c>
      <c r="BB584">
        <v>-0.9627</v>
      </c>
      <c r="BC584">
        <v>1400.4</v>
      </c>
      <c r="BD584">
        <v>-0.97030000000000005</v>
      </c>
      <c r="BE584">
        <v>1401.2</v>
      </c>
      <c r="BF584">
        <v>-0.96499999999999997</v>
      </c>
      <c r="BG584">
        <v>15445.7</v>
      </c>
      <c r="BH584">
        <v>-9.6906999999999996</v>
      </c>
    </row>
    <row r="585" spans="1:60" x14ac:dyDescent="0.35">
      <c r="A585" t="s">
        <v>34</v>
      </c>
      <c r="B585" s="1">
        <v>46146.65625</v>
      </c>
      <c r="C585" t="s">
        <v>34</v>
      </c>
      <c r="D585" s="1">
        <v>46148.625</v>
      </c>
      <c r="E585">
        <v>6100</v>
      </c>
      <c r="F585" t="s">
        <v>36</v>
      </c>
      <c r="G585">
        <v>0.05</v>
      </c>
      <c r="H585">
        <v>0.05</v>
      </c>
      <c r="I585">
        <v>0.05</v>
      </c>
      <c r="J585">
        <v>0.05</v>
      </c>
      <c r="K585">
        <v>16</v>
      </c>
      <c r="L585">
        <v>0</v>
      </c>
      <c r="M585">
        <v>0</v>
      </c>
      <c r="N585">
        <v>494</v>
      </c>
      <c r="O585">
        <v>0.1</v>
      </c>
      <c r="P585">
        <v>0</v>
      </c>
      <c r="Q585">
        <v>0</v>
      </c>
      <c r="R585">
        <v>0</v>
      </c>
      <c r="S585">
        <v>0</v>
      </c>
      <c r="T585">
        <v>0.69130000000000003</v>
      </c>
      <c r="U585">
        <v>-5.9999999999999995E-4</v>
      </c>
      <c r="V585">
        <v>0</v>
      </c>
      <c r="W585">
        <v>-5.0099999999999999E-2</v>
      </c>
      <c r="X585">
        <v>1.0500000000000001E-2</v>
      </c>
      <c r="Y585">
        <v>-2.0000000000000001E-4</v>
      </c>
      <c r="Z585">
        <v>0</v>
      </c>
      <c r="AA585">
        <v>0</v>
      </c>
      <c r="AB585">
        <v>158</v>
      </c>
      <c r="AC585">
        <v>0.1</v>
      </c>
      <c r="AD585">
        <v>0</v>
      </c>
      <c r="AE585">
        <v>0</v>
      </c>
      <c r="AF585">
        <v>0.05</v>
      </c>
      <c r="AG585">
        <v>603</v>
      </c>
      <c r="AH585">
        <v>0</v>
      </c>
      <c r="AJ585" s="4">
        <v>8700</v>
      </c>
      <c r="BC585">
        <v>1499.3</v>
      </c>
      <c r="BD585">
        <v>-0.97419999999999995</v>
      </c>
      <c r="BE585">
        <v>1500.8</v>
      </c>
      <c r="BF585">
        <v>-0.96730000000000005</v>
      </c>
      <c r="BG585">
        <v>3000.1</v>
      </c>
      <c r="BH585">
        <v>-1.9415</v>
      </c>
    </row>
    <row r="586" spans="1:60" x14ac:dyDescent="0.35">
      <c r="A586" t="s">
        <v>34</v>
      </c>
      <c r="B586" s="1">
        <v>46146.65625</v>
      </c>
      <c r="C586" t="s">
        <v>34</v>
      </c>
      <c r="D586" s="1">
        <v>46148.625</v>
      </c>
      <c r="E586">
        <v>6125</v>
      </c>
      <c r="F586" t="s">
        <v>36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474</v>
      </c>
      <c r="O586">
        <v>0.1</v>
      </c>
      <c r="P586">
        <v>0</v>
      </c>
      <c r="Q586">
        <v>0</v>
      </c>
      <c r="R586">
        <v>0</v>
      </c>
      <c r="S586">
        <v>0</v>
      </c>
      <c r="T586">
        <v>0.67500000000000004</v>
      </c>
      <c r="U586">
        <v>-5.9999999999999995E-4</v>
      </c>
      <c r="V586">
        <v>0</v>
      </c>
      <c r="W586">
        <v>-0.05</v>
      </c>
      <c r="X586">
        <v>1.0800000000000001E-2</v>
      </c>
      <c r="Y586">
        <v>-2.0000000000000001E-4</v>
      </c>
      <c r="Z586">
        <v>0</v>
      </c>
      <c r="AA586">
        <v>0</v>
      </c>
      <c r="AB586">
        <v>151</v>
      </c>
      <c r="AC586">
        <v>0.1</v>
      </c>
      <c r="AD586">
        <v>0</v>
      </c>
      <c r="AE586">
        <v>0</v>
      </c>
      <c r="AF586">
        <v>0</v>
      </c>
      <c r="AG586">
        <v>98</v>
      </c>
      <c r="AH586">
        <v>0</v>
      </c>
      <c r="AJ586" s="4">
        <v>8800</v>
      </c>
      <c r="AK586">
        <v>1609.7</v>
      </c>
      <c r="AL586">
        <v>0</v>
      </c>
      <c r="AM586">
        <v>1608.6</v>
      </c>
      <c r="AN586">
        <v>-0.96819999999999995</v>
      </c>
      <c r="AO586">
        <v>1606.4</v>
      </c>
      <c r="AP586">
        <v>-0.96689999999999998</v>
      </c>
      <c r="AQ586">
        <v>1606.9</v>
      </c>
      <c r="AR586">
        <v>-0.99739999999999995</v>
      </c>
      <c r="AS586">
        <v>1603.5</v>
      </c>
      <c r="AT586">
        <v>-0.97340000000000004</v>
      </c>
      <c r="AU586">
        <v>1604.1</v>
      </c>
      <c r="AV586">
        <v>-0.96479999999999999</v>
      </c>
      <c r="AW586">
        <v>1603.7</v>
      </c>
      <c r="AX586">
        <v>-0.998</v>
      </c>
      <c r="AY586">
        <v>1601.3</v>
      </c>
      <c r="AZ586">
        <v>-0.9708</v>
      </c>
      <c r="BA586">
        <v>1601.6</v>
      </c>
      <c r="BB586">
        <v>-0.96530000000000005</v>
      </c>
      <c r="BC586">
        <v>1600.1</v>
      </c>
      <c r="BD586">
        <v>-0.97250000000000003</v>
      </c>
      <c r="BE586">
        <v>1600.8</v>
      </c>
      <c r="BF586">
        <v>-0.96830000000000005</v>
      </c>
      <c r="BG586">
        <v>17646.7</v>
      </c>
      <c r="BH586">
        <v>-9.7455999999999996</v>
      </c>
    </row>
    <row r="587" spans="1:60" x14ac:dyDescent="0.35">
      <c r="A587" t="s">
        <v>34</v>
      </c>
      <c r="B587" s="1">
        <v>46146.65625</v>
      </c>
      <c r="C587" t="s">
        <v>34</v>
      </c>
      <c r="D587" s="1">
        <v>46148.625</v>
      </c>
      <c r="E587">
        <v>6150</v>
      </c>
      <c r="F587" t="s">
        <v>36</v>
      </c>
      <c r="G587">
        <v>0.05</v>
      </c>
      <c r="H587">
        <v>0.05</v>
      </c>
      <c r="I587">
        <v>0.05</v>
      </c>
      <c r="J587">
        <v>0.05</v>
      </c>
      <c r="K587">
        <v>70</v>
      </c>
      <c r="L587">
        <v>0</v>
      </c>
      <c r="M587">
        <v>0</v>
      </c>
      <c r="N587">
        <v>451</v>
      </c>
      <c r="O587">
        <v>0.1</v>
      </c>
      <c r="P587">
        <v>0</v>
      </c>
      <c r="Q587">
        <v>0</v>
      </c>
      <c r="R587">
        <v>0</v>
      </c>
      <c r="S587">
        <v>0</v>
      </c>
      <c r="T587">
        <v>0.65959999999999996</v>
      </c>
      <c r="U587">
        <v>-5.9999999999999995E-4</v>
      </c>
      <c r="V587">
        <v>0</v>
      </c>
      <c r="W587">
        <v>-5.0099999999999999E-2</v>
      </c>
      <c r="X587">
        <v>1.0999999999999999E-2</v>
      </c>
      <c r="Y587">
        <v>-2.0000000000000001E-4</v>
      </c>
      <c r="Z587">
        <v>0</v>
      </c>
      <c r="AA587">
        <v>0</v>
      </c>
      <c r="AB587">
        <v>150</v>
      </c>
      <c r="AC587">
        <v>0.1</v>
      </c>
      <c r="AD587">
        <v>0</v>
      </c>
      <c r="AE587">
        <v>0</v>
      </c>
      <c r="AF587">
        <v>0.05</v>
      </c>
      <c r="AG587">
        <v>203</v>
      </c>
      <c r="AH587">
        <v>0</v>
      </c>
      <c r="AJ587" s="4">
        <v>8900</v>
      </c>
      <c r="BC587">
        <v>1700.2</v>
      </c>
      <c r="BD587">
        <v>-0.97299999999999998</v>
      </c>
      <c r="BG587">
        <v>1700.2</v>
      </c>
      <c r="BH587">
        <v>-0.97299999999999998</v>
      </c>
    </row>
    <row r="588" spans="1:60" x14ac:dyDescent="0.35">
      <c r="A588" t="s">
        <v>34</v>
      </c>
      <c r="B588" s="1">
        <v>46146.65625</v>
      </c>
      <c r="C588" t="s">
        <v>34</v>
      </c>
      <c r="D588" s="1">
        <v>46148.625</v>
      </c>
      <c r="E588">
        <v>6175</v>
      </c>
      <c r="F588" t="s">
        <v>36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427</v>
      </c>
      <c r="O588">
        <v>0.1</v>
      </c>
      <c r="P588">
        <v>0</v>
      </c>
      <c r="Q588">
        <v>0</v>
      </c>
      <c r="R588">
        <v>0</v>
      </c>
      <c r="S588">
        <v>0</v>
      </c>
      <c r="T588">
        <v>0.64380000000000004</v>
      </c>
      <c r="U588">
        <v>-5.9999999999999995E-4</v>
      </c>
      <c r="V588">
        <v>0</v>
      </c>
      <c r="W588">
        <v>-5.0099999999999999E-2</v>
      </c>
      <c r="X588">
        <v>1.1299999999999999E-2</v>
      </c>
      <c r="Y588">
        <v>-2.0000000000000001E-4</v>
      </c>
      <c r="Z588">
        <v>0</v>
      </c>
      <c r="AA588">
        <v>0</v>
      </c>
      <c r="AB588">
        <v>91</v>
      </c>
      <c r="AC588">
        <v>0.1</v>
      </c>
      <c r="AD588">
        <v>0</v>
      </c>
      <c r="AE588">
        <v>0</v>
      </c>
      <c r="AF588">
        <v>0</v>
      </c>
      <c r="AG588">
        <v>238</v>
      </c>
      <c r="AH588">
        <v>0</v>
      </c>
      <c r="AJ588" s="4">
        <v>9000</v>
      </c>
      <c r="AK588">
        <v>1808.9</v>
      </c>
      <c r="AL588">
        <v>0</v>
      </c>
      <c r="AM588">
        <v>1807.5</v>
      </c>
      <c r="AN588">
        <v>-0.96950000000000003</v>
      </c>
      <c r="AO588">
        <v>1806.3</v>
      </c>
      <c r="AP588">
        <v>-0.97070000000000001</v>
      </c>
      <c r="AQ588">
        <v>1806.1</v>
      </c>
      <c r="AR588">
        <v>-0.96750000000000003</v>
      </c>
      <c r="AS588">
        <v>1803.4</v>
      </c>
      <c r="AT588">
        <v>-0.97529999999999994</v>
      </c>
      <c r="AU588">
        <v>1803.8</v>
      </c>
      <c r="AV588">
        <v>-0.99790000000000001</v>
      </c>
      <c r="AW588">
        <v>1803.9</v>
      </c>
      <c r="AX588">
        <v>-0.99619999999999997</v>
      </c>
      <c r="AY588">
        <v>1801.4</v>
      </c>
      <c r="AZ588">
        <v>-0.97109999999999996</v>
      </c>
      <c r="BA588">
        <v>1801.2</v>
      </c>
      <c r="BB588">
        <v>-0.96819999999999995</v>
      </c>
      <c r="BC588">
        <v>1799.8</v>
      </c>
      <c r="BD588">
        <v>-0.97470000000000001</v>
      </c>
      <c r="BE588">
        <v>1800.4</v>
      </c>
      <c r="BF588">
        <v>-0.97089999999999999</v>
      </c>
      <c r="BG588">
        <v>19842.7</v>
      </c>
      <c r="BH588">
        <v>-9.7620000000000005</v>
      </c>
    </row>
    <row r="589" spans="1:60" x14ac:dyDescent="0.35">
      <c r="A589" t="s">
        <v>34</v>
      </c>
      <c r="B589" s="1">
        <v>46146.65625</v>
      </c>
      <c r="C589" t="s">
        <v>34</v>
      </c>
      <c r="D589" s="1">
        <v>46148.625</v>
      </c>
      <c r="E589">
        <v>6200</v>
      </c>
      <c r="F589" t="s">
        <v>36</v>
      </c>
      <c r="G589">
        <v>0.05</v>
      </c>
      <c r="H589">
        <v>0.05</v>
      </c>
      <c r="I589">
        <v>0.04</v>
      </c>
      <c r="J589">
        <v>0.05</v>
      </c>
      <c r="K589">
        <v>95</v>
      </c>
      <c r="L589">
        <v>0</v>
      </c>
      <c r="M589">
        <v>0</v>
      </c>
      <c r="N589">
        <v>408</v>
      </c>
      <c r="O589">
        <v>0.1</v>
      </c>
      <c r="P589">
        <v>0</v>
      </c>
      <c r="Q589">
        <v>0</v>
      </c>
      <c r="R589">
        <v>0</v>
      </c>
      <c r="S589">
        <v>0</v>
      </c>
      <c r="T589">
        <v>0.62809999999999999</v>
      </c>
      <c r="U589">
        <v>-5.9999999999999995E-4</v>
      </c>
      <c r="V589">
        <v>0</v>
      </c>
      <c r="W589">
        <v>-5.0099999999999999E-2</v>
      </c>
      <c r="X589">
        <v>1.15E-2</v>
      </c>
      <c r="Y589">
        <v>-2.0000000000000001E-4</v>
      </c>
      <c r="Z589">
        <v>0</v>
      </c>
      <c r="AA589">
        <v>0</v>
      </c>
      <c r="AB589">
        <v>92</v>
      </c>
      <c r="AC589">
        <v>0.1</v>
      </c>
      <c r="AD589">
        <v>0</v>
      </c>
      <c r="AE589">
        <v>0</v>
      </c>
      <c r="AF589">
        <v>4.9500000000000002E-2</v>
      </c>
      <c r="AG589">
        <v>522</v>
      </c>
      <c r="AH589">
        <v>0</v>
      </c>
      <c r="AJ589" s="4">
        <v>9200</v>
      </c>
      <c r="AK589">
        <v>2007.8</v>
      </c>
      <c r="AL589">
        <v>0</v>
      </c>
      <c r="AM589">
        <v>2006.1</v>
      </c>
      <c r="AN589">
        <v>-0.97470000000000001</v>
      </c>
      <c r="AO589">
        <v>2006.1</v>
      </c>
      <c r="AP589">
        <v>-0.97289999999999999</v>
      </c>
      <c r="AQ589">
        <v>2006</v>
      </c>
      <c r="AR589">
        <v>-0.96960000000000002</v>
      </c>
      <c r="AS589">
        <v>2003.3</v>
      </c>
      <c r="AT589">
        <v>-0.97689999999999999</v>
      </c>
      <c r="AU589">
        <v>2003.7</v>
      </c>
      <c r="AV589">
        <v>-0.99850000000000005</v>
      </c>
      <c r="AW589">
        <v>2002.9</v>
      </c>
      <c r="AX589">
        <v>-0.99780000000000002</v>
      </c>
      <c r="AY589">
        <v>2002.6</v>
      </c>
      <c r="AZ589">
        <v>-0.99880000000000002</v>
      </c>
      <c r="BA589">
        <v>2001</v>
      </c>
      <c r="BB589">
        <v>-0.97009999999999996</v>
      </c>
      <c r="BC589">
        <v>1999.5</v>
      </c>
      <c r="BD589">
        <v>-0.97640000000000005</v>
      </c>
      <c r="BE589">
        <v>1997.7</v>
      </c>
      <c r="BF589">
        <v>-0.97970000000000002</v>
      </c>
      <c r="BG589">
        <v>22036.7</v>
      </c>
      <c r="BH589">
        <v>-9.8154000000000003</v>
      </c>
    </row>
    <row r="590" spans="1:60" x14ac:dyDescent="0.35">
      <c r="A590" t="s">
        <v>34</v>
      </c>
      <c r="B590" s="1">
        <v>46146.65625</v>
      </c>
      <c r="C590" t="s">
        <v>34</v>
      </c>
      <c r="D590" s="1">
        <v>46148.625</v>
      </c>
      <c r="E590">
        <v>6225</v>
      </c>
      <c r="F590" t="s">
        <v>36</v>
      </c>
      <c r="G590">
        <v>0.09</v>
      </c>
      <c r="H590">
        <v>0.09</v>
      </c>
      <c r="I590">
        <v>0.05</v>
      </c>
      <c r="J590">
        <v>0.05</v>
      </c>
      <c r="K590">
        <v>19</v>
      </c>
      <c r="L590">
        <v>0</v>
      </c>
      <c r="M590">
        <v>0</v>
      </c>
      <c r="N590">
        <v>385</v>
      </c>
      <c r="O590">
        <v>0.1</v>
      </c>
      <c r="P590">
        <v>0</v>
      </c>
      <c r="Q590">
        <v>0</v>
      </c>
      <c r="R590">
        <v>0</v>
      </c>
      <c r="S590">
        <v>0</v>
      </c>
      <c r="T590">
        <v>0.61240000000000006</v>
      </c>
      <c r="U590">
        <v>-5.9999999999999995E-4</v>
      </c>
      <c r="V590">
        <v>0</v>
      </c>
      <c r="W590">
        <v>-5.0099999999999999E-2</v>
      </c>
      <c r="X590">
        <v>1.18E-2</v>
      </c>
      <c r="Y590">
        <v>-2.0000000000000001E-4</v>
      </c>
      <c r="Z590">
        <v>0</v>
      </c>
      <c r="AA590">
        <v>0</v>
      </c>
      <c r="AB590">
        <v>100</v>
      </c>
      <c r="AC590">
        <v>0.1</v>
      </c>
      <c r="AD590">
        <v>0</v>
      </c>
      <c r="AE590">
        <v>0</v>
      </c>
      <c r="AF590">
        <v>6.0499999999999998E-2</v>
      </c>
      <c r="AG590">
        <v>275</v>
      </c>
      <c r="AH590">
        <v>0</v>
      </c>
      <c r="AJ590" s="4">
        <v>9400</v>
      </c>
      <c r="AK590">
        <v>2209.8000000000002</v>
      </c>
      <c r="AL590">
        <v>0</v>
      </c>
      <c r="AM590">
        <v>2208.3000000000002</v>
      </c>
      <c r="AN590">
        <v>-0.99709999999999999</v>
      </c>
      <c r="AO590">
        <v>2207</v>
      </c>
      <c r="AP590">
        <v>-0.97230000000000005</v>
      </c>
      <c r="AQ590">
        <v>2205.5</v>
      </c>
      <c r="AR590">
        <v>-0.97370000000000001</v>
      </c>
      <c r="AS590">
        <v>2203.6999999999998</v>
      </c>
      <c r="AT590">
        <v>-0.97709999999999997</v>
      </c>
      <c r="AU590">
        <v>2203.8000000000002</v>
      </c>
      <c r="AV590">
        <v>-0.9718</v>
      </c>
      <c r="AW590">
        <v>2202.9</v>
      </c>
      <c r="AX590">
        <v>-0.97230000000000005</v>
      </c>
      <c r="AY590">
        <v>2202.8000000000002</v>
      </c>
      <c r="AZ590">
        <v>-0.99870000000000003</v>
      </c>
      <c r="BA590">
        <v>2200.8000000000002</v>
      </c>
      <c r="BB590">
        <v>-0.97289999999999999</v>
      </c>
      <c r="BG590">
        <v>19844.599999999999</v>
      </c>
      <c r="BH590">
        <v>-7.8359000000000005</v>
      </c>
    </row>
    <row r="591" spans="1:60" x14ac:dyDescent="0.35">
      <c r="A591" t="s">
        <v>34</v>
      </c>
      <c r="B591" s="1">
        <v>46146.65625</v>
      </c>
      <c r="C591" t="s">
        <v>34</v>
      </c>
      <c r="D591" s="1">
        <v>46148.625</v>
      </c>
      <c r="E591">
        <v>6250</v>
      </c>
      <c r="F591" t="s">
        <v>36</v>
      </c>
      <c r="G591">
        <v>0.1</v>
      </c>
      <c r="H591">
        <v>0.1</v>
      </c>
      <c r="I591">
        <v>0.1</v>
      </c>
      <c r="J591">
        <v>0.1</v>
      </c>
      <c r="K591">
        <v>176</v>
      </c>
      <c r="L591">
        <v>0</v>
      </c>
      <c r="M591">
        <v>0</v>
      </c>
      <c r="N591">
        <v>403</v>
      </c>
      <c r="O591">
        <v>0.1</v>
      </c>
      <c r="P591">
        <v>0</v>
      </c>
      <c r="Q591">
        <v>0</v>
      </c>
      <c r="R591">
        <v>0</v>
      </c>
      <c r="S591">
        <v>0</v>
      </c>
      <c r="T591">
        <v>0.59670000000000001</v>
      </c>
      <c r="U591">
        <v>-5.9999999999999995E-4</v>
      </c>
      <c r="V591">
        <v>0</v>
      </c>
      <c r="W591">
        <v>-5.0099999999999999E-2</v>
      </c>
      <c r="X591">
        <v>1.21E-2</v>
      </c>
      <c r="Y591">
        <v>-2.0000000000000001E-4</v>
      </c>
      <c r="Z591">
        <v>0</v>
      </c>
      <c r="AA591">
        <v>0</v>
      </c>
      <c r="AB591">
        <v>77</v>
      </c>
      <c r="AC591">
        <v>0.1</v>
      </c>
      <c r="AD591">
        <v>0</v>
      </c>
      <c r="AE591">
        <v>0</v>
      </c>
      <c r="AF591">
        <v>0.1</v>
      </c>
      <c r="AG591">
        <v>462</v>
      </c>
      <c r="AH591">
        <v>0</v>
      </c>
      <c r="AJ591" s="4">
        <v>9600</v>
      </c>
      <c r="BC591">
        <v>2398.6999999999998</v>
      </c>
      <c r="BD591">
        <v>-0.97970000000000002</v>
      </c>
      <c r="BE591">
        <v>2397.1</v>
      </c>
      <c r="BF591">
        <v>-0.9829</v>
      </c>
      <c r="BG591">
        <v>4795.7999999999993</v>
      </c>
      <c r="BH591">
        <v>-1.9626000000000001</v>
      </c>
    </row>
    <row r="592" spans="1:60" x14ac:dyDescent="0.35">
      <c r="A592" t="s">
        <v>34</v>
      </c>
      <c r="B592" s="1">
        <v>46146.65625</v>
      </c>
      <c r="C592" t="s">
        <v>34</v>
      </c>
      <c r="D592" s="1">
        <v>46148.625</v>
      </c>
      <c r="E592">
        <v>6275</v>
      </c>
      <c r="F592" t="s">
        <v>36</v>
      </c>
      <c r="G592">
        <v>0.1</v>
      </c>
      <c r="H592">
        <v>0.1</v>
      </c>
      <c r="I592">
        <v>0.1</v>
      </c>
      <c r="J592">
        <v>0.1</v>
      </c>
      <c r="K592">
        <v>1</v>
      </c>
      <c r="L592">
        <v>0</v>
      </c>
      <c r="M592">
        <v>0</v>
      </c>
      <c r="N592">
        <v>492</v>
      </c>
      <c r="O592">
        <v>0.1</v>
      </c>
      <c r="P592">
        <v>0</v>
      </c>
      <c r="Q592">
        <v>0</v>
      </c>
      <c r="R592">
        <v>0</v>
      </c>
      <c r="S592">
        <v>0</v>
      </c>
      <c r="T592">
        <v>0.58099999999999996</v>
      </c>
      <c r="U592">
        <v>-6.9999999999999999E-4</v>
      </c>
      <c r="V592">
        <v>0</v>
      </c>
      <c r="W592">
        <v>-0.05</v>
      </c>
      <c r="X592">
        <v>1.24E-2</v>
      </c>
      <c r="Y592">
        <v>-2.9999999999999997E-4</v>
      </c>
      <c r="Z592">
        <v>0</v>
      </c>
      <c r="AA592">
        <v>0</v>
      </c>
      <c r="AB592">
        <v>401</v>
      </c>
      <c r="AC592">
        <v>0.15</v>
      </c>
      <c r="AD592">
        <v>0</v>
      </c>
      <c r="AE592">
        <v>0</v>
      </c>
      <c r="AF592">
        <v>0.1</v>
      </c>
      <c r="AG592">
        <v>201</v>
      </c>
      <c r="AH592">
        <v>0</v>
      </c>
      <c r="AJ592" s="4">
        <v>10000</v>
      </c>
      <c r="BC592">
        <v>2798.2</v>
      </c>
      <c r="BD592">
        <v>-0.98180000000000001</v>
      </c>
      <c r="BE592">
        <v>2799</v>
      </c>
      <c r="BF592">
        <v>-0.97809999999999997</v>
      </c>
      <c r="BG592">
        <v>5597.2</v>
      </c>
      <c r="BH592">
        <v>-1.9599</v>
      </c>
    </row>
    <row r="593" spans="1:60" x14ac:dyDescent="0.35">
      <c r="A593" t="s">
        <v>34</v>
      </c>
      <c r="B593" s="1">
        <v>46146.65625</v>
      </c>
      <c r="C593" t="s">
        <v>34</v>
      </c>
      <c r="D593" s="1">
        <v>46148.625</v>
      </c>
      <c r="E593">
        <v>6300</v>
      </c>
      <c r="F593" t="s">
        <v>36</v>
      </c>
      <c r="G593">
        <v>0.1</v>
      </c>
      <c r="H593">
        <v>0.1</v>
      </c>
      <c r="I593">
        <v>0.05</v>
      </c>
      <c r="J593">
        <v>0.05</v>
      </c>
      <c r="K593">
        <v>81</v>
      </c>
      <c r="L593">
        <v>43</v>
      </c>
      <c r="M593">
        <v>0.05</v>
      </c>
      <c r="N593">
        <v>210</v>
      </c>
      <c r="O593">
        <v>0.1</v>
      </c>
      <c r="P593">
        <v>0</v>
      </c>
      <c r="Q593">
        <v>0</v>
      </c>
      <c r="R593">
        <v>0</v>
      </c>
      <c r="S593">
        <v>0</v>
      </c>
      <c r="T593">
        <v>0.5837</v>
      </c>
      <c r="U593">
        <v>-8.9999999999999998E-4</v>
      </c>
      <c r="V593">
        <v>0</v>
      </c>
      <c r="W593">
        <v>-7.4999999999999997E-2</v>
      </c>
      <c r="X593">
        <v>1.7399999999999999E-2</v>
      </c>
      <c r="Y593">
        <v>-4.0000000000000002E-4</v>
      </c>
      <c r="Z593">
        <v>0</v>
      </c>
      <c r="AA593">
        <v>0</v>
      </c>
      <c r="AB593">
        <v>381</v>
      </c>
      <c r="AC593">
        <v>0.15</v>
      </c>
      <c r="AD593">
        <v>0</v>
      </c>
      <c r="AE593">
        <v>0</v>
      </c>
      <c r="AF593">
        <v>9.9400000000000002E-2</v>
      </c>
      <c r="AG593">
        <v>167</v>
      </c>
      <c r="AH593">
        <v>0</v>
      </c>
      <c r="AJ593" s="4">
        <v>10400</v>
      </c>
      <c r="BC593">
        <v>3197.8</v>
      </c>
      <c r="BD593">
        <v>-0.98280000000000001</v>
      </c>
      <c r="BE593">
        <v>3198.6</v>
      </c>
      <c r="BF593">
        <v>-0.98009999999999997</v>
      </c>
      <c r="BG593">
        <v>6396.4</v>
      </c>
      <c r="BH593">
        <v>-1.9628999999999999</v>
      </c>
    </row>
    <row r="594" spans="1:60" x14ac:dyDescent="0.35">
      <c r="A594" t="s">
        <v>34</v>
      </c>
      <c r="B594" s="1">
        <v>46146.65625</v>
      </c>
      <c r="C594" t="s">
        <v>34</v>
      </c>
      <c r="D594" s="1">
        <v>46148.625</v>
      </c>
      <c r="E594">
        <v>6325</v>
      </c>
      <c r="F594" t="s">
        <v>36</v>
      </c>
      <c r="G594">
        <v>0.1</v>
      </c>
      <c r="H594">
        <v>0.1</v>
      </c>
      <c r="I594">
        <v>0.1</v>
      </c>
      <c r="J594">
        <v>0.1</v>
      </c>
      <c r="K594">
        <v>1</v>
      </c>
      <c r="L594">
        <v>56</v>
      </c>
      <c r="M594">
        <v>0.05</v>
      </c>
      <c r="N594">
        <v>209</v>
      </c>
      <c r="O594">
        <v>0.1</v>
      </c>
      <c r="P594">
        <v>0</v>
      </c>
      <c r="Q594">
        <v>0</v>
      </c>
      <c r="R594">
        <v>0</v>
      </c>
      <c r="S594">
        <v>0</v>
      </c>
      <c r="T594">
        <v>0.56779999999999997</v>
      </c>
      <c r="U594">
        <v>-1E-3</v>
      </c>
      <c r="V594">
        <v>0</v>
      </c>
      <c r="W594">
        <v>-7.4999999999999997E-2</v>
      </c>
      <c r="X594">
        <v>1.7899999999999999E-2</v>
      </c>
      <c r="Y594">
        <v>-4.0000000000000002E-4</v>
      </c>
      <c r="Z594">
        <v>38</v>
      </c>
      <c r="AA594">
        <v>0.05</v>
      </c>
      <c r="AB594">
        <v>193</v>
      </c>
      <c r="AC594">
        <v>0.15</v>
      </c>
      <c r="AD594">
        <v>0</v>
      </c>
      <c r="AE594">
        <v>0</v>
      </c>
      <c r="AF594">
        <v>0.1</v>
      </c>
      <c r="AG594">
        <v>37</v>
      </c>
      <c r="AH594">
        <v>0</v>
      </c>
      <c r="AJ594" s="4">
        <v>10800</v>
      </c>
      <c r="BC594">
        <v>3597.2</v>
      </c>
      <c r="BD594">
        <v>-0.98419999999999996</v>
      </c>
      <c r="BE594">
        <v>3598</v>
      </c>
      <c r="BF594">
        <v>-0.98160000000000003</v>
      </c>
      <c r="BG594">
        <v>7195.2</v>
      </c>
      <c r="BH594">
        <v>-1.9658</v>
      </c>
    </row>
    <row r="595" spans="1:60" x14ac:dyDescent="0.35">
      <c r="A595" t="s">
        <v>34</v>
      </c>
      <c r="B595" s="1">
        <v>46146.65625</v>
      </c>
      <c r="C595" t="s">
        <v>34</v>
      </c>
      <c r="D595" s="1">
        <v>46148.625</v>
      </c>
      <c r="E595">
        <v>6350</v>
      </c>
      <c r="F595" t="s">
        <v>36</v>
      </c>
      <c r="G595">
        <v>0.1</v>
      </c>
      <c r="H595">
        <v>0.1</v>
      </c>
      <c r="I595">
        <v>0.1</v>
      </c>
      <c r="J595">
        <v>0.1</v>
      </c>
      <c r="K595">
        <v>68</v>
      </c>
      <c r="L595">
        <v>172</v>
      </c>
      <c r="M595">
        <v>0.05</v>
      </c>
      <c r="N595">
        <v>245</v>
      </c>
      <c r="O595">
        <v>0.1</v>
      </c>
      <c r="P595">
        <v>0</v>
      </c>
      <c r="Q595">
        <v>0</v>
      </c>
      <c r="R595">
        <v>0</v>
      </c>
      <c r="S595">
        <v>0</v>
      </c>
      <c r="T595">
        <v>0.55179999999999996</v>
      </c>
      <c r="U595">
        <v>-1E-3</v>
      </c>
      <c r="V595">
        <v>0</v>
      </c>
      <c r="W595">
        <v>-7.4999999999999997E-2</v>
      </c>
      <c r="X595">
        <v>1.83E-2</v>
      </c>
      <c r="Y595">
        <v>-4.0000000000000002E-4</v>
      </c>
      <c r="Z595">
        <v>38</v>
      </c>
      <c r="AA595">
        <v>0.05</v>
      </c>
      <c r="AB595">
        <v>188</v>
      </c>
      <c r="AC595">
        <v>0.15</v>
      </c>
      <c r="AD595">
        <v>0</v>
      </c>
      <c r="AE595">
        <v>0</v>
      </c>
      <c r="AF595">
        <v>0.1</v>
      </c>
      <c r="AG595">
        <v>637</v>
      </c>
      <c r="AH595">
        <v>0</v>
      </c>
      <c r="AJ595" s="4">
        <v>11200</v>
      </c>
      <c r="BC595">
        <v>3998</v>
      </c>
      <c r="BD595">
        <v>-0.9839</v>
      </c>
      <c r="BE595">
        <v>3997.5</v>
      </c>
      <c r="BF595">
        <v>-0.98270000000000002</v>
      </c>
      <c r="BG595">
        <v>7995.5</v>
      </c>
      <c r="BH595">
        <v>-1.9666000000000001</v>
      </c>
    </row>
    <row r="596" spans="1:60" x14ac:dyDescent="0.35">
      <c r="A596" t="s">
        <v>34</v>
      </c>
      <c r="B596" s="1">
        <v>46146.65625</v>
      </c>
      <c r="C596" t="s">
        <v>34</v>
      </c>
      <c r="D596" s="1">
        <v>46148.625</v>
      </c>
      <c r="E596">
        <v>6375</v>
      </c>
      <c r="F596" t="s">
        <v>36</v>
      </c>
      <c r="G596">
        <v>0.1</v>
      </c>
      <c r="H596">
        <v>0.1</v>
      </c>
      <c r="I596">
        <v>0.1</v>
      </c>
      <c r="J596">
        <v>0.1</v>
      </c>
      <c r="K596">
        <v>1</v>
      </c>
      <c r="L596">
        <v>188</v>
      </c>
      <c r="M596">
        <v>0.05</v>
      </c>
      <c r="N596">
        <v>147</v>
      </c>
      <c r="O596">
        <v>0.1</v>
      </c>
      <c r="P596">
        <v>0</v>
      </c>
      <c r="Q596">
        <v>0</v>
      </c>
      <c r="R596">
        <v>0</v>
      </c>
      <c r="S596">
        <v>0</v>
      </c>
      <c r="T596">
        <v>0.53590000000000004</v>
      </c>
      <c r="U596">
        <v>-1E-3</v>
      </c>
      <c r="V596">
        <v>0</v>
      </c>
      <c r="W596">
        <v>-7.4999999999999997E-2</v>
      </c>
      <c r="X596">
        <v>1.89E-2</v>
      </c>
      <c r="Y596">
        <v>-4.0000000000000002E-4</v>
      </c>
      <c r="Z596">
        <v>39</v>
      </c>
      <c r="AA596">
        <v>0.05</v>
      </c>
      <c r="AB596">
        <v>183</v>
      </c>
      <c r="AC596">
        <v>0.15</v>
      </c>
      <c r="AD596">
        <v>0</v>
      </c>
      <c r="AE596">
        <v>0</v>
      </c>
      <c r="AF596">
        <v>0.1</v>
      </c>
      <c r="AG596">
        <v>79</v>
      </c>
      <c r="AH596">
        <v>0</v>
      </c>
      <c r="AJ596" s="4">
        <v>11600</v>
      </c>
      <c r="BC596">
        <v>4396.3</v>
      </c>
      <c r="BD596">
        <v>-0.98580000000000001</v>
      </c>
      <c r="BE596">
        <v>4396.8999999999996</v>
      </c>
      <c r="BF596">
        <v>-0.98329999999999995</v>
      </c>
      <c r="BG596">
        <v>8793.2000000000007</v>
      </c>
      <c r="BH596">
        <v>-1.9691000000000001</v>
      </c>
    </row>
    <row r="597" spans="1:60" x14ac:dyDescent="0.35">
      <c r="A597" t="s">
        <v>34</v>
      </c>
      <c r="B597" s="1">
        <v>46146.65625</v>
      </c>
      <c r="C597" t="s">
        <v>34</v>
      </c>
      <c r="D597" s="1">
        <v>46148.625</v>
      </c>
      <c r="E597">
        <v>6400</v>
      </c>
      <c r="F597" t="s">
        <v>36</v>
      </c>
      <c r="G597">
        <v>0.1</v>
      </c>
      <c r="H597">
        <v>0.1</v>
      </c>
      <c r="I597">
        <v>0.1</v>
      </c>
      <c r="J597">
        <v>0.1</v>
      </c>
      <c r="K597">
        <v>52</v>
      </c>
      <c r="L597">
        <v>291</v>
      </c>
      <c r="M597">
        <v>0.05</v>
      </c>
      <c r="N597">
        <v>116</v>
      </c>
      <c r="O597">
        <v>0.1</v>
      </c>
      <c r="P597">
        <v>0</v>
      </c>
      <c r="Q597">
        <v>0</v>
      </c>
      <c r="R597">
        <v>0</v>
      </c>
      <c r="S597">
        <v>0</v>
      </c>
      <c r="T597">
        <v>0.52</v>
      </c>
      <c r="U597">
        <v>-1E-3</v>
      </c>
      <c r="V597">
        <v>0</v>
      </c>
      <c r="W597">
        <v>-7.4999999999999997E-2</v>
      </c>
      <c r="X597">
        <v>1.9400000000000001E-2</v>
      </c>
      <c r="Y597">
        <v>-4.0000000000000002E-4</v>
      </c>
      <c r="Z597">
        <v>40</v>
      </c>
      <c r="AA597">
        <v>0.05</v>
      </c>
      <c r="AB597">
        <v>179</v>
      </c>
      <c r="AC597">
        <v>0.15</v>
      </c>
      <c r="AD597">
        <v>0</v>
      </c>
      <c r="AE597">
        <v>0</v>
      </c>
      <c r="AF597">
        <v>0.1</v>
      </c>
      <c r="AG597">
        <v>194</v>
      </c>
      <c r="AH597">
        <v>0</v>
      </c>
      <c r="AJ597" s="4">
        <v>12000</v>
      </c>
      <c r="BC597">
        <v>4796.8999999999996</v>
      </c>
      <c r="BD597">
        <v>-0.98399999999999999</v>
      </c>
      <c r="BE597">
        <v>4796.3</v>
      </c>
      <c r="BF597">
        <v>-0.98440000000000005</v>
      </c>
      <c r="BG597">
        <v>9593.2000000000007</v>
      </c>
      <c r="BH597">
        <v>-1.9683999999999999</v>
      </c>
    </row>
    <row r="598" spans="1:60" x14ac:dyDescent="0.35">
      <c r="A598" t="s">
        <v>34</v>
      </c>
      <c r="B598" s="1">
        <v>46146.65625</v>
      </c>
      <c r="C598" t="s">
        <v>34</v>
      </c>
      <c r="D598" s="1">
        <v>46148.625</v>
      </c>
      <c r="E598">
        <v>6425</v>
      </c>
      <c r="F598" t="s">
        <v>36</v>
      </c>
      <c r="G598">
        <v>0.2</v>
      </c>
      <c r="H598">
        <v>0.2</v>
      </c>
      <c r="I598">
        <v>0.1</v>
      </c>
      <c r="J598">
        <v>0.1</v>
      </c>
      <c r="K598">
        <v>101</v>
      </c>
      <c r="L598">
        <v>312</v>
      </c>
      <c r="M598">
        <v>0.05</v>
      </c>
      <c r="N598">
        <v>496</v>
      </c>
      <c r="O598">
        <v>0.15</v>
      </c>
      <c r="P598">
        <v>0</v>
      </c>
      <c r="Q598">
        <v>0</v>
      </c>
      <c r="R598">
        <v>0</v>
      </c>
      <c r="S598">
        <v>0</v>
      </c>
      <c r="T598">
        <v>0.51639999999999997</v>
      </c>
      <c r="U598">
        <v>-1.4E-3</v>
      </c>
      <c r="V598">
        <v>0</v>
      </c>
      <c r="W598">
        <v>-0.1</v>
      </c>
      <c r="X598">
        <v>2.4799999999999999E-2</v>
      </c>
      <c r="Y598">
        <v>-5.0000000000000001E-4</v>
      </c>
      <c r="Z598">
        <v>150</v>
      </c>
      <c r="AA598">
        <v>0.05</v>
      </c>
      <c r="AB598">
        <v>140</v>
      </c>
      <c r="AC598">
        <v>0.15</v>
      </c>
      <c r="AD598">
        <v>0</v>
      </c>
      <c r="AE598">
        <v>0</v>
      </c>
      <c r="AF598">
        <v>0.10100000000000001</v>
      </c>
      <c r="AG598">
        <v>210</v>
      </c>
      <c r="AH598">
        <v>0</v>
      </c>
      <c r="AJ598" s="4">
        <v>12400</v>
      </c>
      <c r="BC598">
        <v>5196.2</v>
      </c>
      <c r="BD598">
        <v>-0.9859</v>
      </c>
      <c r="BE598">
        <v>5195.8</v>
      </c>
      <c r="BF598">
        <v>-0.9849</v>
      </c>
      <c r="BG598">
        <v>10392</v>
      </c>
      <c r="BH598">
        <v>-1.9708000000000001</v>
      </c>
    </row>
    <row r="599" spans="1:60" x14ac:dyDescent="0.35">
      <c r="A599" t="s">
        <v>34</v>
      </c>
      <c r="B599" s="1">
        <v>46146.65625</v>
      </c>
      <c r="C599" t="s">
        <v>34</v>
      </c>
      <c r="D599" s="1">
        <v>46148.625</v>
      </c>
      <c r="E599">
        <v>6450</v>
      </c>
      <c r="F599" t="s">
        <v>36</v>
      </c>
      <c r="G599">
        <v>0.1</v>
      </c>
      <c r="H599">
        <v>0.15</v>
      </c>
      <c r="I599">
        <v>0.1</v>
      </c>
      <c r="J599">
        <v>0.15</v>
      </c>
      <c r="K599">
        <v>131</v>
      </c>
      <c r="L599">
        <v>359</v>
      </c>
      <c r="M599">
        <v>0.05</v>
      </c>
      <c r="N599">
        <v>480</v>
      </c>
      <c r="O599">
        <v>0.15</v>
      </c>
      <c r="P599">
        <v>0</v>
      </c>
      <c r="Q599">
        <v>0</v>
      </c>
      <c r="R599">
        <v>0</v>
      </c>
      <c r="S599">
        <v>0</v>
      </c>
      <c r="T599">
        <v>0.50019999999999998</v>
      </c>
      <c r="U599">
        <v>-1.4E-3</v>
      </c>
      <c r="V599">
        <v>0</v>
      </c>
      <c r="W599">
        <v>-9.9900000000000003E-2</v>
      </c>
      <c r="X599">
        <v>2.5499999999999998E-2</v>
      </c>
      <c r="Y599">
        <v>-5.0000000000000001E-4</v>
      </c>
      <c r="Z599">
        <v>153</v>
      </c>
      <c r="AA599">
        <v>0.05</v>
      </c>
      <c r="AB599">
        <v>140</v>
      </c>
      <c r="AC599">
        <v>0.15</v>
      </c>
      <c r="AD599">
        <v>0</v>
      </c>
      <c r="AE599">
        <v>0</v>
      </c>
      <c r="AF599">
        <v>0.13819999999999999</v>
      </c>
      <c r="AG599">
        <v>352</v>
      </c>
      <c r="AH599">
        <v>0</v>
      </c>
      <c r="AJ599" s="4" t="s">
        <v>39</v>
      </c>
      <c r="AK599">
        <v>26182.149999999998</v>
      </c>
      <c r="AL599">
        <v>-68.548000000000002</v>
      </c>
      <c r="AM599">
        <v>26489.050000000003</v>
      </c>
      <c r="AN599">
        <v>-76.920400000000015</v>
      </c>
      <c r="AO599">
        <v>26816.750000000004</v>
      </c>
      <c r="AP599">
        <v>-77.958399999999969</v>
      </c>
      <c r="AQ599">
        <v>27146.250000000004</v>
      </c>
      <c r="AR599">
        <v>-78.411699999999996</v>
      </c>
      <c r="AS599">
        <v>37315.699999999997</v>
      </c>
      <c r="AT599">
        <v>-96.999200000000002</v>
      </c>
      <c r="AU599">
        <v>24921.199999999997</v>
      </c>
      <c r="AV599">
        <v>-69.347500000000011</v>
      </c>
      <c r="AW599">
        <v>25367.950000000004</v>
      </c>
      <c r="AX599">
        <v>-70.279000000000011</v>
      </c>
      <c r="AY599">
        <v>25693.05</v>
      </c>
      <c r="AZ599">
        <v>-70.287900000000008</v>
      </c>
      <c r="BA599">
        <v>26006.799999999999</v>
      </c>
      <c r="BB599">
        <v>-70.008100000000027</v>
      </c>
      <c r="BC599">
        <v>102618.49999999997</v>
      </c>
      <c r="BD599">
        <v>-158.93669999999995</v>
      </c>
      <c r="BE599">
        <v>96095.400000000009</v>
      </c>
      <c r="BF599">
        <v>-152.07349999999991</v>
      </c>
      <c r="BG599">
        <v>444652.79999999999</v>
      </c>
      <c r="BH599">
        <v>-989.77039999999965</v>
      </c>
    </row>
    <row r="600" spans="1:60" x14ac:dyDescent="0.35">
      <c r="A600" t="s">
        <v>34</v>
      </c>
      <c r="B600" s="1">
        <v>46146.65625</v>
      </c>
      <c r="C600" t="s">
        <v>34</v>
      </c>
      <c r="D600" s="1">
        <v>46148.625</v>
      </c>
      <c r="E600">
        <v>6460</v>
      </c>
      <c r="F600" t="s">
        <v>36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331</v>
      </c>
      <c r="M600">
        <v>0.05</v>
      </c>
      <c r="N600">
        <v>429</v>
      </c>
      <c r="O600">
        <v>0.15</v>
      </c>
      <c r="P600">
        <v>0</v>
      </c>
      <c r="Q600">
        <v>0</v>
      </c>
      <c r="R600">
        <v>0</v>
      </c>
      <c r="S600">
        <v>0</v>
      </c>
      <c r="T600">
        <v>0.49340000000000001</v>
      </c>
      <c r="U600">
        <v>-1.4E-3</v>
      </c>
      <c r="V600">
        <v>0</v>
      </c>
      <c r="W600">
        <v>-9.98E-2</v>
      </c>
      <c r="X600">
        <v>2.58E-2</v>
      </c>
      <c r="Y600">
        <v>-5.0000000000000001E-4</v>
      </c>
      <c r="Z600">
        <v>101</v>
      </c>
      <c r="AA600">
        <v>0.05</v>
      </c>
      <c r="AB600">
        <v>130</v>
      </c>
      <c r="AC600">
        <v>0.15</v>
      </c>
      <c r="AD600">
        <v>0</v>
      </c>
      <c r="AE600">
        <v>0</v>
      </c>
      <c r="AF600">
        <v>0</v>
      </c>
      <c r="AG600">
        <v>514</v>
      </c>
      <c r="AH600">
        <v>0</v>
      </c>
    </row>
    <row r="601" spans="1:60" x14ac:dyDescent="0.35">
      <c r="A601" t="s">
        <v>34</v>
      </c>
      <c r="B601" s="1">
        <v>46146.65625</v>
      </c>
      <c r="C601" t="s">
        <v>34</v>
      </c>
      <c r="D601" s="1">
        <v>46148.625</v>
      </c>
      <c r="E601">
        <v>6470</v>
      </c>
      <c r="F601" t="s">
        <v>36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340</v>
      </c>
      <c r="M601">
        <v>0.05</v>
      </c>
      <c r="N601">
        <v>412</v>
      </c>
      <c r="O601">
        <v>0.15</v>
      </c>
      <c r="P601">
        <v>0</v>
      </c>
      <c r="Q601">
        <v>0</v>
      </c>
      <c r="R601">
        <v>0</v>
      </c>
      <c r="S601">
        <v>0</v>
      </c>
      <c r="T601">
        <v>0.48680000000000001</v>
      </c>
      <c r="U601">
        <v>-1.4E-3</v>
      </c>
      <c r="V601">
        <v>0</v>
      </c>
      <c r="W601">
        <v>-9.98E-2</v>
      </c>
      <c r="X601">
        <v>2.6100000000000002E-2</v>
      </c>
      <c r="Y601">
        <v>-5.9999999999999995E-4</v>
      </c>
      <c r="Z601">
        <v>137</v>
      </c>
      <c r="AA601">
        <v>0.05</v>
      </c>
      <c r="AB601">
        <v>214</v>
      </c>
      <c r="AC601">
        <v>0.2</v>
      </c>
      <c r="AD601">
        <v>0</v>
      </c>
      <c r="AE601">
        <v>0</v>
      </c>
      <c r="AF601">
        <v>0</v>
      </c>
      <c r="AG601">
        <v>56</v>
      </c>
      <c r="AH601">
        <v>0</v>
      </c>
    </row>
    <row r="602" spans="1:60" x14ac:dyDescent="0.35">
      <c r="A602" t="s">
        <v>34</v>
      </c>
      <c r="B602" s="1">
        <v>46146.65625</v>
      </c>
      <c r="C602" t="s">
        <v>34</v>
      </c>
      <c r="D602" s="1">
        <v>46148.625</v>
      </c>
      <c r="E602">
        <v>6475</v>
      </c>
      <c r="F602" t="s">
        <v>36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360</v>
      </c>
      <c r="M602">
        <v>0.05</v>
      </c>
      <c r="N602">
        <v>423</v>
      </c>
      <c r="O602">
        <v>0.15</v>
      </c>
      <c r="P602">
        <v>0</v>
      </c>
      <c r="Q602">
        <v>0</v>
      </c>
      <c r="R602">
        <v>0</v>
      </c>
      <c r="S602">
        <v>0</v>
      </c>
      <c r="T602">
        <v>0.48409999999999997</v>
      </c>
      <c r="U602">
        <v>-1.5E-3</v>
      </c>
      <c r="V602">
        <v>0</v>
      </c>
      <c r="W602">
        <v>-9.9900000000000003E-2</v>
      </c>
      <c r="X602">
        <v>2.63E-2</v>
      </c>
      <c r="Y602">
        <v>-5.9999999999999995E-4</v>
      </c>
      <c r="Z602">
        <v>150</v>
      </c>
      <c r="AA602">
        <v>0.05</v>
      </c>
      <c r="AB602">
        <v>223</v>
      </c>
      <c r="AC602">
        <v>0.2</v>
      </c>
      <c r="AD602">
        <v>0</v>
      </c>
      <c r="AE602">
        <v>0</v>
      </c>
      <c r="AF602">
        <v>0</v>
      </c>
      <c r="AG602">
        <v>86</v>
      </c>
      <c r="AH602">
        <v>0</v>
      </c>
    </row>
    <row r="603" spans="1:60" x14ac:dyDescent="0.35">
      <c r="A603" t="s">
        <v>34</v>
      </c>
      <c r="B603" s="1">
        <v>46146.65625</v>
      </c>
      <c r="C603" t="s">
        <v>34</v>
      </c>
      <c r="D603" s="1">
        <v>46148.625</v>
      </c>
      <c r="E603">
        <v>6480</v>
      </c>
      <c r="F603" t="s">
        <v>36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351</v>
      </c>
      <c r="M603">
        <v>0.05</v>
      </c>
      <c r="N603">
        <v>567</v>
      </c>
      <c r="O603">
        <v>0.15</v>
      </c>
      <c r="P603">
        <v>0</v>
      </c>
      <c r="Q603">
        <v>0</v>
      </c>
      <c r="R603">
        <v>0</v>
      </c>
      <c r="S603">
        <v>0</v>
      </c>
      <c r="T603">
        <v>0.48060000000000003</v>
      </c>
      <c r="U603">
        <v>-1.5E-3</v>
      </c>
      <c r="V603">
        <v>0</v>
      </c>
      <c r="W603">
        <v>-9.98E-2</v>
      </c>
      <c r="X603">
        <v>2.6499999999999999E-2</v>
      </c>
      <c r="Y603">
        <v>-5.9999999999999995E-4</v>
      </c>
      <c r="Z603">
        <v>166</v>
      </c>
      <c r="AA603">
        <v>0.05</v>
      </c>
      <c r="AB603">
        <v>210</v>
      </c>
      <c r="AC603">
        <v>0.2</v>
      </c>
      <c r="AD603">
        <v>0</v>
      </c>
      <c r="AE603">
        <v>0</v>
      </c>
      <c r="AF603">
        <v>0</v>
      </c>
      <c r="AG603">
        <v>60</v>
      </c>
      <c r="AH603">
        <v>0</v>
      </c>
    </row>
    <row r="604" spans="1:60" x14ac:dyDescent="0.35">
      <c r="A604" t="s">
        <v>34</v>
      </c>
      <c r="B604" s="1">
        <v>46146.65625</v>
      </c>
      <c r="C604" t="s">
        <v>34</v>
      </c>
      <c r="D604" s="1">
        <v>46148.625</v>
      </c>
      <c r="E604">
        <v>6490</v>
      </c>
      <c r="F604" t="s">
        <v>36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376</v>
      </c>
      <c r="M604">
        <v>0.05</v>
      </c>
      <c r="N604">
        <v>535</v>
      </c>
      <c r="O604">
        <v>0.15</v>
      </c>
      <c r="P604">
        <v>0</v>
      </c>
      <c r="Q604">
        <v>0</v>
      </c>
      <c r="R604">
        <v>0</v>
      </c>
      <c r="S604">
        <v>0</v>
      </c>
      <c r="T604">
        <v>0.47370000000000001</v>
      </c>
      <c r="U604">
        <v>-1.5E-3</v>
      </c>
      <c r="V604">
        <v>0</v>
      </c>
      <c r="W604">
        <v>-9.9900000000000003E-2</v>
      </c>
      <c r="X604">
        <v>2.6800000000000001E-2</v>
      </c>
      <c r="Y604">
        <v>-5.9999999999999995E-4</v>
      </c>
      <c r="Z604">
        <v>169</v>
      </c>
      <c r="AA604">
        <v>0.05</v>
      </c>
      <c r="AB604">
        <v>208</v>
      </c>
      <c r="AC604">
        <v>0.2</v>
      </c>
      <c r="AD604">
        <v>0</v>
      </c>
      <c r="AE604">
        <v>0</v>
      </c>
      <c r="AF604">
        <v>0</v>
      </c>
      <c r="AG604">
        <v>11</v>
      </c>
      <c r="AH604">
        <v>0</v>
      </c>
    </row>
    <row r="605" spans="1:60" x14ac:dyDescent="0.35">
      <c r="A605" t="s">
        <v>34</v>
      </c>
      <c r="B605" s="1">
        <v>46146.65625</v>
      </c>
      <c r="C605" t="s">
        <v>34</v>
      </c>
      <c r="D605" s="1">
        <v>46148.625</v>
      </c>
      <c r="E605">
        <v>6500</v>
      </c>
      <c r="F605" t="s">
        <v>36</v>
      </c>
      <c r="G605">
        <v>0.15</v>
      </c>
      <c r="H605">
        <v>0.17</v>
      </c>
      <c r="I605">
        <v>0.12</v>
      </c>
      <c r="J605">
        <v>0.12</v>
      </c>
      <c r="K605">
        <v>20</v>
      </c>
      <c r="L605">
        <v>448</v>
      </c>
      <c r="M605">
        <v>0.05</v>
      </c>
      <c r="N605">
        <v>537</v>
      </c>
      <c r="O605">
        <v>0.15</v>
      </c>
      <c r="P605">
        <v>0</v>
      </c>
      <c r="Q605">
        <v>0</v>
      </c>
      <c r="R605">
        <v>0</v>
      </c>
      <c r="S605">
        <v>0</v>
      </c>
      <c r="T605">
        <v>0.46750000000000003</v>
      </c>
      <c r="U605">
        <v>-1.5E-3</v>
      </c>
      <c r="V605">
        <v>0</v>
      </c>
      <c r="W605">
        <v>-9.98E-2</v>
      </c>
      <c r="X605">
        <v>2.7099999999999999E-2</v>
      </c>
      <c r="Y605">
        <v>-5.9999999999999995E-4</v>
      </c>
      <c r="Z605">
        <v>275</v>
      </c>
      <c r="AA605">
        <v>0.05</v>
      </c>
      <c r="AB605">
        <v>178</v>
      </c>
      <c r="AC605">
        <v>0.2</v>
      </c>
      <c r="AD605">
        <v>0</v>
      </c>
      <c r="AE605">
        <v>0</v>
      </c>
      <c r="AF605">
        <v>0.1615</v>
      </c>
      <c r="AG605">
        <v>256</v>
      </c>
      <c r="AH605">
        <v>0</v>
      </c>
    </row>
    <row r="606" spans="1:60" x14ac:dyDescent="0.35">
      <c r="A606" t="s">
        <v>34</v>
      </c>
      <c r="B606" s="1">
        <v>46146.65625</v>
      </c>
      <c r="C606" t="s">
        <v>34</v>
      </c>
      <c r="D606" s="1">
        <v>46148.625</v>
      </c>
      <c r="E606">
        <v>6510</v>
      </c>
      <c r="F606" t="s">
        <v>36</v>
      </c>
      <c r="G606">
        <v>0.15</v>
      </c>
      <c r="H606">
        <v>0.15</v>
      </c>
      <c r="I606">
        <v>0.15</v>
      </c>
      <c r="J606">
        <v>0.15</v>
      </c>
      <c r="K606">
        <v>10</v>
      </c>
      <c r="L606">
        <v>436</v>
      </c>
      <c r="M606">
        <v>0.05</v>
      </c>
      <c r="N606">
        <v>340</v>
      </c>
      <c r="O606">
        <v>0.15</v>
      </c>
      <c r="P606">
        <v>0</v>
      </c>
      <c r="Q606">
        <v>0</v>
      </c>
      <c r="R606">
        <v>0</v>
      </c>
      <c r="S606">
        <v>0</v>
      </c>
      <c r="T606">
        <v>0.46079999999999999</v>
      </c>
      <c r="U606">
        <v>-1.5E-3</v>
      </c>
      <c r="V606">
        <v>0</v>
      </c>
      <c r="W606">
        <v>-9.9900000000000003E-2</v>
      </c>
      <c r="X606">
        <v>2.75E-2</v>
      </c>
      <c r="Y606">
        <v>-5.9999999999999995E-4</v>
      </c>
      <c r="Z606">
        <v>353</v>
      </c>
      <c r="AA606">
        <v>0.05</v>
      </c>
      <c r="AB606">
        <v>165</v>
      </c>
      <c r="AC606">
        <v>0.2</v>
      </c>
      <c r="AD606">
        <v>0</v>
      </c>
      <c r="AE606">
        <v>0</v>
      </c>
      <c r="AF606">
        <v>0.15</v>
      </c>
      <c r="AG606">
        <v>125</v>
      </c>
      <c r="AH606">
        <v>0</v>
      </c>
    </row>
    <row r="607" spans="1:60" x14ac:dyDescent="0.35">
      <c r="A607" t="s">
        <v>34</v>
      </c>
      <c r="B607" s="1">
        <v>46146.65625</v>
      </c>
      <c r="C607" t="s">
        <v>34</v>
      </c>
      <c r="D607" s="1">
        <v>46148.625</v>
      </c>
      <c r="E607">
        <v>6520</v>
      </c>
      <c r="F607" t="s">
        <v>36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5</v>
      </c>
      <c r="M607">
        <v>0.1</v>
      </c>
      <c r="N607">
        <v>334</v>
      </c>
      <c r="O607">
        <v>0.15</v>
      </c>
      <c r="P607">
        <v>0</v>
      </c>
      <c r="Q607">
        <v>0</v>
      </c>
      <c r="R607">
        <v>0</v>
      </c>
      <c r="S607">
        <v>0</v>
      </c>
      <c r="T607">
        <v>0.46350000000000002</v>
      </c>
      <c r="U607">
        <v>-1.9E-3</v>
      </c>
      <c r="V607">
        <v>0</v>
      </c>
      <c r="W607">
        <v>-0.12479999999999999</v>
      </c>
      <c r="X607">
        <v>3.3000000000000002E-2</v>
      </c>
      <c r="Y607">
        <v>-6.9999999999999999E-4</v>
      </c>
      <c r="Z607">
        <v>5</v>
      </c>
      <c r="AA607">
        <v>0.1</v>
      </c>
      <c r="AB607">
        <v>162</v>
      </c>
      <c r="AC607">
        <v>0.2</v>
      </c>
      <c r="AD607">
        <v>0</v>
      </c>
      <c r="AE607">
        <v>0</v>
      </c>
      <c r="AF607">
        <v>0</v>
      </c>
      <c r="AG607">
        <v>144</v>
      </c>
      <c r="AH607">
        <v>0</v>
      </c>
    </row>
    <row r="608" spans="1:60" x14ac:dyDescent="0.35">
      <c r="A608" t="s">
        <v>34</v>
      </c>
      <c r="B608" s="1">
        <v>46146.65625</v>
      </c>
      <c r="C608" t="s">
        <v>34</v>
      </c>
      <c r="D608" s="1">
        <v>46148.625</v>
      </c>
      <c r="E608">
        <v>6525</v>
      </c>
      <c r="F608" t="s">
        <v>36</v>
      </c>
      <c r="G608">
        <v>0.15</v>
      </c>
      <c r="H608">
        <v>0.15</v>
      </c>
      <c r="I608">
        <v>0.15</v>
      </c>
      <c r="J608">
        <v>0.15</v>
      </c>
      <c r="K608">
        <v>11</v>
      </c>
      <c r="L608">
        <v>497</v>
      </c>
      <c r="M608">
        <v>0.05</v>
      </c>
      <c r="N608">
        <v>298</v>
      </c>
      <c r="O608">
        <v>0.15</v>
      </c>
      <c r="P608">
        <v>0</v>
      </c>
      <c r="Q608">
        <v>0</v>
      </c>
      <c r="R608">
        <v>0</v>
      </c>
      <c r="S608">
        <v>0</v>
      </c>
      <c r="T608">
        <v>0.45190000000000002</v>
      </c>
      <c r="U608">
        <v>-1.6000000000000001E-3</v>
      </c>
      <c r="V608">
        <v>0</v>
      </c>
      <c r="W608">
        <v>-9.9900000000000003E-2</v>
      </c>
      <c r="X608">
        <v>2.8000000000000001E-2</v>
      </c>
      <c r="Y608">
        <v>-5.9999999999999995E-4</v>
      </c>
      <c r="Z608">
        <v>376</v>
      </c>
      <c r="AA608">
        <v>0.05</v>
      </c>
      <c r="AB608">
        <v>145</v>
      </c>
      <c r="AC608">
        <v>0.2</v>
      </c>
      <c r="AD608">
        <v>0</v>
      </c>
      <c r="AE608">
        <v>0</v>
      </c>
      <c r="AF608">
        <v>0.15</v>
      </c>
      <c r="AG608">
        <v>456</v>
      </c>
      <c r="AH608">
        <v>0</v>
      </c>
    </row>
    <row r="609" spans="1:34" x14ac:dyDescent="0.35">
      <c r="A609" t="s">
        <v>34</v>
      </c>
      <c r="B609" s="1">
        <v>46146.65625</v>
      </c>
      <c r="C609" t="s">
        <v>34</v>
      </c>
      <c r="D609" s="1">
        <v>46148.625</v>
      </c>
      <c r="E609">
        <v>6530</v>
      </c>
      <c r="F609" t="s">
        <v>36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489</v>
      </c>
      <c r="M609">
        <v>0.05</v>
      </c>
      <c r="N609">
        <v>250</v>
      </c>
      <c r="O609">
        <v>0.15</v>
      </c>
      <c r="P609">
        <v>0</v>
      </c>
      <c r="Q609">
        <v>0</v>
      </c>
      <c r="R609">
        <v>0</v>
      </c>
      <c r="S609">
        <v>0</v>
      </c>
      <c r="T609">
        <v>0.4486</v>
      </c>
      <c r="U609">
        <v>-1.6000000000000001E-3</v>
      </c>
      <c r="V609">
        <v>0</v>
      </c>
      <c r="W609">
        <v>-9.9900000000000003E-2</v>
      </c>
      <c r="X609">
        <v>2.8199999999999999E-2</v>
      </c>
      <c r="Y609">
        <v>-5.9999999999999995E-4</v>
      </c>
      <c r="Z609">
        <v>370</v>
      </c>
      <c r="AA609">
        <v>0.05</v>
      </c>
      <c r="AB609">
        <v>134</v>
      </c>
      <c r="AC609">
        <v>0.2</v>
      </c>
      <c r="AD609">
        <v>0</v>
      </c>
      <c r="AE609">
        <v>0</v>
      </c>
      <c r="AF609">
        <v>0</v>
      </c>
      <c r="AG609">
        <v>114</v>
      </c>
      <c r="AH609">
        <v>0</v>
      </c>
    </row>
    <row r="610" spans="1:34" x14ac:dyDescent="0.35">
      <c r="A610" t="s">
        <v>34</v>
      </c>
      <c r="B610" s="1">
        <v>46146.65625</v>
      </c>
      <c r="C610" t="s">
        <v>34</v>
      </c>
      <c r="D610" s="1">
        <v>46148.625</v>
      </c>
      <c r="E610">
        <v>6540</v>
      </c>
      <c r="F610" t="s">
        <v>36</v>
      </c>
      <c r="G610">
        <v>0.15</v>
      </c>
      <c r="H610">
        <v>0.15</v>
      </c>
      <c r="I610">
        <v>0.1</v>
      </c>
      <c r="J610">
        <v>0.1</v>
      </c>
      <c r="K610">
        <v>45</v>
      </c>
      <c r="L610">
        <v>60</v>
      </c>
      <c r="M610">
        <v>0.1</v>
      </c>
      <c r="N610">
        <v>246</v>
      </c>
      <c r="O610">
        <v>0.15</v>
      </c>
      <c r="P610">
        <v>0</v>
      </c>
      <c r="Q610">
        <v>0</v>
      </c>
      <c r="R610">
        <v>0</v>
      </c>
      <c r="S610">
        <v>0</v>
      </c>
      <c r="T610">
        <v>0.45050000000000001</v>
      </c>
      <c r="U610">
        <v>-1.9E-3</v>
      </c>
      <c r="V610">
        <v>0</v>
      </c>
      <c r="W610">
        <v>-0.1246</v>
      </c>
      <c r="X610">
        <v>3.3799999999999997E-2</v>
      </c>
      <c r="Y610">
        <v>-6.9999999999999999E-4</v>
      </c>
      <c r="Z610">
        <v>36</v>
      </c>
      <c r="AA610">
        <v>0.1</v>
      </c>
      <c r="AB610">
        <v>131</v>
      </c>
      <c r="AC610">
        <v>0.2</v>
      </c>
      <c r="AD610">
        <v>0</v>
      </c>
      <c r="AE610">
        <v>0</v>
      </c>
      <c r="AF610">
        <v>0.1011</v>
      </c>
      <c r="AG610">
        <v>86</v>
      </c>
      <c r="AH610">
        <v>0</v>
      </c>
    </row>
    <row r="611" spans="1:34" x14ac:dyDescent="0.35">
      <c r="A611" t="s">
        <v>34</v>
      </c>
      <c r="B611" s="1">
        <v>46146.65625</v>
      </c>
      <c r="C611" t="s">
        <v>34</v>
      </c>
      <c r="D611" s="1">
        <v>46148.625</v>
      </c>
      <c r="E611">
        <v>6550</v>
      </c>
      <c r="F611" t="s">
        <v>36</v>
      </c>
      <c r="G611">
        <v>0.2</v>
      </c>
      <c r="H611">
        <v>0.27</v>
      </c>
      <c r="I611">
        <v>0.2</v>
      </c>
      <c r="J611">
        <v>0.27</v>
      </c>
      <c r="K611">
        <v>87</v>
      </c>
      <c r="L611">
        <v>156</v>
      </c>
      <c r="M611">
        <v>0.1</v>
      </c>
      <c r="N611">
        <v>252</v>
      </c>
      <c r="O611">
        <v>0.15</v>
      </c>
      <c r="P611">
        <v>0</v>
      </c>
      <c r="Q611">
        <v>0</v>
      </c>
      <c r="R611">
        <v>0</v>
      </c>
      <c r="S611">
        <v>0</v>
      </c>
      <c r="T611">
        <v>0.4446</v>
      </c>
      <c r="U611">
        <v>-1.9E-3</v>
      </c>
      <c r="V611">
        <v>0</v>
      </c>
      <c r="W611">
        <v>-0.12479999999999999</v>
      </c>
      <c r="X611">
        <v>3.4299999999999997E-2</v>
      </c>
      <c r="Y611">
        <v>-6.9999999999999999E-4</v>
      </c>
      <c r="Z611">
        <v>62</v>
      </c>
      <c r="AA611">
        <v>0.1</v>
      </c>
      <c r="AB611">
        <v>3</v>
      </c>
      <c r="AC611">
        <v>0.15</v>
      </c>
      <c r="AD611">
        <v>0</v>
      </c>
      <c r="AE611">
        <v>0</v>
      </c>
      <c r="AF611">
        <v>0.25950000000000001</v>
      </c>
      <c r="AG611">
        <v>824</v>
      </c>
      <c r="AH611">
        <v>0</v>
      </c>
    </row>
    <row r="612" spans="1:34" x14ac:dyDescent="0.35">
      <c r="A612" t="s">
        <v>34</v>
      </c>
      <c r="B612" s="1">
        <v>46146.65625</v>
      </c>
      <c r="C612" t="s">
        <v>34</v>
      </c>
      <c r="D612" s="1">
        <v>46148.625</v>
      </c>
      <c r="E612">
        <v>6560</v>
      </c>
      <c r="F612" t="s">
        <v>36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144</v>
      </c>
      <c r="M612">
        <v>0.1</v>
      </c>
      <c r="N612">
        <v>152</v>
      </c>
      <c r="O612">
        <v>0.15</v>
      </c>
      <c r="P612">
        <v>0</v>
      </c>
      <c r="Q612">
        <v>0</v>
      </c>
      <c r="R612">
        <v>0</v>
      </c>
      <c r="S612">
        <v>0</v>
      </c>
      <c r="T612">
        <v>0.438</v>
      </c>
      <c r="U612">
        <v>-2E-3</v>
      </c>
      <c r="V612">
        <v>0</v>
      </c>
      <c r="W612">
        <v>-0.12479999999999999</v>
      </c>
      <c r="X612">
        <v>3.4700000000000002E-2</v>
      </c>
      <c r="Y612">
        <v>-8.0000000000000004E-4</v>
      </c>
      <c r="Z612">
        <v>34</v>
      </c>
      <c r="AA612">
        <v>0.1</v>
      </c>
      <c r="AB612">
        <v>133</v>
      </c>
      <c r="AC612">
        <v>0.2</v>
      </c>
      <c r="AD612">
        <v>0</v>
      </c>
      <c r="AE612">
        <v>0</v>
      </c>
      <c r="AF612">
        <v>0</v>
      </c>
      <c r="AG612">
        <v>176</v>
      </c>
      <c r="AH612">
        <v>0</v>
      </c>
    </row>
    <row r="613" spans="1:34" x14ac:dyDescent="0.35">
      <c r="A613" t="s">
        <v>34</v>
      </c>
      <c r="B613" s="1">
        <v>46146.65625</v>
      </c>
      <c r="C613" t="s">
        <v>34</v>
      </c>
      <c r="D613" s="1">
        <v>46148.625</v>
      </c>
      <c r="E613">
        <v>6570</v>
      </c>
      <c r="F613" t="s">
        <v>36</v>
      </c>
      <c r="G613">
        <v>0.1</v>
      </c>
      <c r="H613">
        <v>0.1</v>
      </c>
      <c r="I613">
        <v>0.1</v>
      </c>
      <c r="J613">
        <v>0.1</v>
      </c>
      <c r="K613">
        <v>2</v>
      </c>
      <c r="L613">
        <v>161</v>
      </c>
      <c r="M613">
        <v>0.1</v>
      </c>
      <c r="N613">
        <v>173</v>
      </c>
      <c r="O613">
        <v>0.15</v>
      </c>
      <c r="P613">
        <v>0</v>
      </c>
      <c r="Q613">
        <v>0</v>
      </c>
      <c r="R613">
        <v>0</v>
      </c>
      <c r="S613">
        <v>0</v>
      </c>
      <c r="T613">
        <v>0.43130000000000002</v>
      </c>
      <c r="U613">
        <v>-2E-3</v>
      </c>
      <c r="V613">
        <v>0</v>
      </c>
      <c r="W613">
        <v>-0.12470000000000001</v>
      </c>
      <c r="X613">
        <v>3.5200000000000002E-2</v>
      </c>
      <c r="Y613">
        <v>-8.0000000000000004E-4</v>
      </c>
      <c r="Z613">
        <v>61</v>
      </c>
      <c r="AA613">
        <v>0.1</v>
      </c>
      <c r="AB613">
        <v>131</v>
      </c>
      <c r="AC613">
        <v>0.2</v>
      </c>
      <c r="AD613">
        <v>0</v>
      </c>
      <c r="AE613">
        <v>0</v>
      </c>
      <c r="AF613">
        <v>0.1</v>
      </c>
      <c r="AG613">
        <v>269</v>
      </c>
      <c r="AH613">
        <v>0</v>
      </c>
    </row>
    <row r="614" spans="1:34" x14ac:dyDescent="0.35">
      <c r="A614" t="s">
        <v>34</v>
      </c>
      <c r="B614" s="1">
        <v>46146.65625</v>
      </c>
      <c r="C614" t="s">
        <v>34</v>
      </c>
      <c r="D614" s="1">
        <v>46148.625</v>
      </c>
      <c r="E614">
        <v>6575</v>
      </c>
      <c r="F614" t="s">
        <v>36</v>
      </c>
      <c r="G614">
        <v>0.2</v>
      </c>
      <c r="H614">
        <v>0.2</v>
      </c>
      <c r="I614">
        <v>0.2</v>
      </c>
      <c r="J614">
        <v>0.2</v>
      </c>
      <c r="K614">
        <v>2</v>
      </c>
      <c r="L614">
        <v>176</v>
      </c>
      <c r="M614">
        <v>0.1</v>
      </c>
      <c r="N614">
        <v>167</v>
      </c>
      <c r="O614">
        <v>0.15</v>
      </c>
      <c r="P614">
        <v>0</v>
      </c>
      <c r="Q614">
        <v>0</v>
      </c>
      <c r="R614">
        <v>0</v>
      </c>
      <c r="S614">
        <v>0</v>
      </c>
      <c r="T614">
        <v>0.42799999999999999</v>
      </c>
      <c r="U614">
        <v>-2E-3</v>
      </c>
      <c r="V614">
        <v>0</v>
      </c>
      <c r="W614">
        <v>-0.12470000000000001</v>
      </c>
      <c r="X614">
        <v>3.5499999999999997E-2</v>
      </c>
      <c r="Y614">
        <v>-8.0000000000000004E-4</v>
      </c>
      <c r="Z614">
        <v>60</v>
      </c>
      <c r="AA614">
        <v>0.1</v>
      </c>
      <c r="AB614">
        <v>2</v>
      </c>
      <c r="AC614">
        <v>0.15</v>
      </c>
      <c r="AD614">
        <v>0</v>
      </c>
      <c r="AE614">
        <v>0</v>
      </c>
      <c r="AF614">
        <v>0.2</v>
      </c>
      <c r="AG614">
        <v>293</v>
      </c>
      <c r="AH614">
        <v>0</v>
      </c>
    </row>
    <row r="615" spans="1:34" x14ac:dyDescent="0.35">
      <c r="A615" t="s">
        <v>34</v>
      </c>
      <c r="B615" s="1">
        <v>46146.65625</v>
      </c>
      <c r="C615" t="s">
        <v>34</v>
      </c>
      <c r="D615" s="1">
        <v>46148.625</v>
      </c>
      <c r="E615">
        <v>6580</v>
      </c>
      <c r="F615" t="s">
        <v>36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203</v>
      </c>
      <c r="M615">
        <v>0.1</v>
      </c>
      <c r="N615">
        <v>124</v>
      </c>
      <c r="O615">
        <v>0.15</v>
      </c>
      <c r="P615">
        <v>0</v>
      </c>
      <c r="Q615">
        <v>0</v>
      </c>
      <c r="R615">
        <v>0</v>
      </c>
      <c r="S615">
        <v>0</v>
      </c>
      <c r="T615">
        <v>0.42459999999999998</v>
      </c>
      <c r="U615">
        <v>-2E-3</v>
      </c>
      <c r="V615">
        <v>0</v>
      </c>
      <c r="W615">
        <v>-0.12470000000000001</v>
      </c>
      <c r="X615">
        <v>3.5700000000000003E-2</v>
      </c>
      <c r="Y615">
        <v>-8.0000000000000004E-4</v>
      </c>
      <c r="Z615">
        <v>61</v>
      </c>
      <c r="AA615">
        <v>0.1</v>
      </c>
      <c r="AB615">
        <v>133</v>
      </c>
      <c r="AC615">
        <v>0.2</v>
      </c>
      <c r="AD615">
        <v>0</v>
      </c>
      <c r="AE615">
        <v>0</v>
      </c>
      <c r="AF615">
        <v>0</v>
      </c>
      <c r="AG615">
        <v>2265</v>
      </c>
      <c r="AH615">
        <v>0</v>
      </c>
    </row>
    <row r="616" spans="1:34" x14ac:dyDescent="0.35">
      <c r="A616" t="s">
        <v>34</v>
      </c>
      <c r="B616" s="1">
        <v>46146.65625</v>
      </c>
      <c r="C616" t="s">
        <v>34</v>
      </c>
      <c r="D616" s="1">
        <v>46148.625</v>
      </c>
      <c r="E616">
        <v>6590</v>
      </c>
      <c r="F616" t="s">
        <v>36</v>
      </c>
      <c r="G616">
        <v>0.3</v>
      </c>
      <c r="H616">
        <v>0.3</v>
      </c>
      <c r="I616">
        <v>0.3</v>
      </c>
      <c r="J616">
        <v>0.3</v>
      </c>
      <c r="K616">
        <v>6</v>
      </c>
      <c r="L616">
        <v>267</v>
      </c>
      <c r="M616">
        <v>0.1</v>
      </c>
      <c r="N616">
        <v>407</v>
      </c>
      <c r="O616">
        <v>0.2</v>
      </c>
      <c r="P616">
        <v>0</v>
      </c>
      <c r="Q616">
        <v>0</v>
      </c>
      <c r="R616">
        <v>0</v>
      </c>
      <c r="S616">
        <v>0</v>
      </c>
      <c r="T616">
        <v>0.42549999999999999</v>
      </c>
      <c r="U616">
        <v>-2.3999999999999998E-3</v>
      </c>
      <c r="V616">
        <v>0</v>
      </c>
      <c r="W616">
        <v>-0.14949999999999999</v>
      </c>
      <c r="X616">
        <v>4.1300000000000003E-2</v>
      </c>
      <c r="Y616">
        <v>-8.9999999999999998E-4</v>
      </c>
      <c r="Z616">
        <v>62</v>
      </c>
      <c r="AA616">
        <v>0.1</v>
      </c>
      <c r="AB616">
        <v>131</v>
      </c>
      <c r="AC616">
        <v>0.2</v>
      </c>
      <c r="AD616">
        <v>0</v>
      </c>
      <c r="AE616">
        <v>0</v>
      </c>
      <c r="AF616">
        <v>0.3</v>
      </c>
      <c r="AG616">
        <v>338</v>
      </c>
      <c r="AH616">
        <v>0</v>
      </c>
    </row>
    <row r="617" spans="1:34" x14ac:dyDescent="0.35">
      <c r="A617" t="s">
        <v>34</v>
      </c>
      <c r="B617" s="1">
        <v>46146.65625</v>
      </c>
      <c r="C617" t="s">
        <v>34</v>
      </c>
      <c r="D617" s="1">
        <v>46148.625</v>
      </c>
      <c r="E617">
        <v>6600</v>
      </c>
      <c r="F617" t="s">
        <v>36</v>
      </c>
      <c r="G617">
        <v>0.15</v>
      </c>
      <c r="H617">
        <v>0.3</v>
      </c>
      <c r="I617">
        <v>0.15</v>
      </c>
      <c r="J617">
        <v>0.15</v>
      </c>
      <c r="K617">
        <v>38</v>
      </c>
      <c r="L617">
        <v>324</v>
      </c>
      <c r="M617">
        <v>0.1</v>
      </c>
      <c r="N617">
        <v>524</v>
      </c>
      <c r="O617">
        <v>0.2</v>
      </c>
      <c r="P617">
        <v>0</v>
      </c>
      <c r="Q617">
        <v>0</v>
      </c>
      <c r="R617">
        <v>0</v>
      </c>
      <c r="S617">
        <v>0</v>
      </c>
      <c r="T617">
        <v>0.41889999999999999</v>
      </c>
      <c r="U617">
        <v>-2.3999999999999998E-3</v>
      </c>
      <c r="V617">
        <v>0</v>
      </c>
      <c r="W617">
        <v>-0.14949999999999999</v>
      </c>
      <c r="X617">
        <v>4.19E-2</v>
      </c>
      <c r="Y617">
        <v>-8.9999999999999998E-4</v>
      </c>
      <c r="Z617">
        <v>63</v>
      </c>
      <c r="AA617">
        <v>0.1</v>
      </c>
      <c r="AB617">
        <v>141</v>
      </c>
      <c r="AC617">
        <v>0.2</v>
      </c>
      <c r="AD617">
        <v>0</v>
      </c>
      <c r="AE617">
        <v>0</v>
      </c>
      <c r="AF617">
        <v>0.18659999999999999</v>
      </c>
      <c r="AG617">
        <v>248</v>
      </c>
      <c r="AH617">
        <v>0</v>
      </c>
    </row>
    <row r="618" spans="1:34" x14ac:dyDescent="0.35">
      <c r="A618" t="s">
        <v>34</v>
      </c>
      <c r="B618" s="1">
        <v>46146.65625</v>
      </c>
      <c r="C618" t="s">
        <v>34</v>
      </c>
      <c r="D618" s="1">
        <v>46148.625</v>
      </c>
      <c r="E618">
        <v>6610</v>
      </c>
      <c r="F618" t="s">
        <v>36</v>
      </c>
      <c r="G618">
        <v>0.25</v>
      </c>
      <c r="H618">
        <v>0.25</v>
      </c>
      <c r="I618">
        <v>0.1</v>
      </c>
      <c r="J618">
        <v>0.1</v>
      </c>
      <c r="K618">
        <v>10</v>
      </c>
      <c r="L618">
        <v>328</v>
      </c>
      <c r="M618">
        <v>0.1</v>
      </c>
      <c r="N618">
        <v>531</v>
      </c>
      <c r="O618">
        <v>0.2</v>
      </c>
      <c r="P618">
        <v>0</v>
      </c>
      <c r="Q618">
        <v>0</v>
      </c>
      <c r="R618">
        <v>0</v>
      </c>
      <c r="S618">
        <v>0</v>
      </c>
      <c r="T618">
        <v>0.41199999999999998</v>
      </c>
      <c r="U618">
        <v>-2.3999999999999998E-3</v>
      </c>
      <c r="V618">
        <v>0</v>
      </c>
      <c r="W618">
        <v>-0.14929999999999999</v>
      </c>
      <c r="X618">
        <v>4.2599999999999999E-2</v>
      </c>
      <c r="Y618">
        <v>-8.9999999999999998E-4</v>
      </c>
      <c r="Z618">
        <v>60</v>
      </c>
      <c r="AA618">
        <v>0.1</v>
      </c>
      <c r="AB618">
        <v>129</v>
      </c>
      <c r="AC618">
        <v>0.2</v>
      </c>
      <c r="AD618">
        <v>0</v>
      </c>
      <c r="AE618">
        <v>0</v>
      </c>
      <c r="AF618">
        <v>0.23499999999999999</v>
      </c>
      <c r="AG618">
        <v>47</v>
      </c>
      <c r="AH618">
        <v>0</v>
      </c>
    </row>
    <row r="619" spans="1:34" x14ac:dyDescent="0.35">
      <c r="A619" t="s">
        <v>34</v>
      </c>
      <c r="B619" s="1">
        <v>46146.65625</v>
      </c>
      <c r="C619" t="s">
        <v>34</v>
      </c>
      <c r="D619" s="1">
        <v>46148.625</v>
      </c>
      <c r="E619">
        <v>6620</v>
      </c>
      <c r="F619" t="s">
        <v>36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341</v>
      </c>
      <c r="M619">
        <v>0.1</v>
      </c>
      <c r="N619">
        <v>509</v>
      </c>
      <c r="O619">
        <v>0.2</v>
      </c>
      <c r="P619">
        <v>0</v>
      </c>
      <c r="Q619">
        <v>0</v>
      </c>
      <c r="R619">
        <v>0</v>
      </c>
      <c r="S619">
        <v>0</v>
      </c>
      <c r="T619">
        <v>0.4052</v>
      </c>
      <c r="U619">
        <v>-2.5000000000000001E-3</v>
      </c>
      <c r="V619">
        <v>0</v>
      </c>
      <c r="W619">
        <v>-0.14940000000000001</v>
      </c>
      <c r="X619">
        <v>4.3200000000000002E-2</v>
      </c>
      <c r="Y619">
        <v>-1E-3</v>
      </c>
      <c r="Z619">
        <v>60</v>
      </c>
      <c r="AA619">
        <v>0.1</v>
      </c>
      <c r="AB619">
        <v>97</v>
      </c>
      <c r="AC619">
        <v>0.2</v>
      </c>
      <c r="AD619">
        <v>0</v>
      </c>
      <c r="AE619">
        <v>0</v>
      </c>
      <c r="AF619">
        <v>0</v>
      </c>
      <c r="AG619">
        <v>184</v>
      </c>
      <c r="AH619">
        <v>0</v>
      </c>
    </row>
    <row r="620" spans="1:34" x14ac:dyDescent="0.35">
      <c r="A620" t="s">
        <v>34</v>
      </c>
      <c r="B620" s="1">
        <v>46146.65625</v>
      </c>
      <c r="C620" t="s">
        <v>34</v>
      </c>
      <c r="D620" s="1">
        <v>46148.625</v>
      </c>
      <c r="E620">
        <v>6625</v>
      </c>
      <c r="F620" t="s">
        <v>36</v>
      </c>
      <c r="G620">
        <v>0.35</v>
      </c>
      <c r="H620">
        <v>0.35</v>
      </c>
      <c r="I620">
        <v>0.35</v>
      </c>
      <c r="J620">
        <v>0.35</v>
      </c>
      <c r="K620">
        <v>10</v>
      </c>
      <c r="L620">
        <v>364</v>
      </c>
      <c r="M620">
        <v>0.1</v>
      </c>
      <c r="N620">
        <v>517</v>
      </c>
      <c r="O620">
        <v>0.2</v>
      </c>
      <c r="P620">
        <v>0</v>
      </c>
      <c r="Q620">
        <v>0</v>
      </c>
      <c r="R620">
        <v>0</v>
      </c>
      <c r="S620">
        <v>0</v>
      </c>
      <c r="T620">
        <v>0.40239999999999998</v>
      </c>
      <c r="U620">
        <v>-2.5000000000000001E-3</v>
      </c>
      <c r="V620">
        <v>0</v>
      </c>
      <c r="W620">
        <v>-0.14949999999999999</v>
      </c>
      <c r="X620">
        <v>4.3499999999999997E-2</v>
      </c>
      <c r="Y620">
        <v>-1E-3</v>
      </c>
      <c r="Z620">
        <v>146</v>
      </c>
      <c r="AA620">
        <v>0.1</v>
      </c>
      <c r="AB620">
        <v>109</v>
      </c>
      <c r="AC620">
        <v>0.2</v>
      </c>
      <c r="AD620">
        <v>0</v>
      </c>
      <c r="AE620">
        <v>0</v>
      </c>
      <c r="AF620">
        <v>0.35</v>
      </c>
      <c r="AG620">
        <v>140</v>
      </c>
      <c r="AH620">
        <v>0</v>
      </c>
    </row>
    <row r="621" spans="1:34" x14ac:dyDescent="0.35">
      <c r="A621" t="s">
        <v>34</v>
      </c>
      <c r="B621" s="1">
        <v>46146.65625</v>
      </c>
      <c r="C621" t="s">
        <v>34</v>
      </c>
      <c r="D621" s="1">
        <v>46148.625</v>
      </c>
      <c r="E621">
        <v>6630</v>
      </c>
      <c r="F621" t="s">
        <v>36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356</v>
      </c>
      <c r="M621">
        <v>0.1</v>
      </c>
      <c r="N621">
        <v>526</v>
      </c>
      <c r="O621">
        <v>0.2</v>
      </c>
      <c r="P621">
        <v>0</v>
      </c>
      <c r="Q621">
        <v>0</v>
      </c>
      <c r="R621">
        <v>0</v>
      </c>
      <c r="S621">
        <v>0</v>
      </c>
      <c r="T621">
        <v>0.39910000000000001</v>
      </c>
      <c r="U621">
        <v>-2.5000000000000001E-3</v>
      </c>
      <c r="V621">
        <v>0</v>
      </c>
      <c r="W621">
        <v>-0.14949999999999999</v>
      </c>
      <c r="X621">
        <v>4.3799999999999999E-2</v>
      </c>
      <c r="Y621">
        <v>-1E-3</v>
      </c>
      <c r="Z621">
        <v>91</v>
      </c>
      <c r="AA621">
        <v>0.1</v>
      </c>
      <c r="AB621">
        <v>98</v>
      </c>
      <c r="AC621">
        <v>0.2</v>
      </c>
      <c r="AD621">
        <v>0</v>
      </c>
      <c r="AE621">
        <v>0</v>
      </c>
      <c r="AF621">
        <v>0</v>
      </c>
      <c r="AG621">
        <v>70</v>
      </c>
      <c r="AH621">
        <v>0</v>
      </c>
    </row>
    <row r="622" spans="1:34" x14ac:dyDescent="0.35">
      <c r="A622" t="s">
        <v>34</v>
      </c>
      <c r="B622" s="1">
        <v>46146.65625</v>
      </c>
      <c r="C622" t="s">
        <v>34</v>
      </c>
      <c r="D622" s="1">
        <v>46148.625</v>
      </c>
      <c r="E622">
        <v>6640</v>
      </c>
      <c r="F622" t="s">
        <v>36</v>
      </c>
      <c r="G622">
        <v>0.2</v>
      </c>
      <c r="H622">
        <v>0.2</v>
      </c>
      <c r="I622">
        <v>0.2</v>
      </c>
      <c r="J622">
        <v>0.2</v>
      </c>
      <c r="K622">
        <v>1</v>
      </c>
      <c r="L622">
        <v>400</v>
      </c>
      <c r="M622">
        <v>0.1</v>
      </c>
      <c r="N622">
        <v>498</v>
      </c>
      <c r="O622">
        <v>0.2</v>
      </c>
      <c r="P622">
        <v>0</v>
      </c>
      <c r="Q622">
        <v>0</v>
      </c>
      <c r="R622">
        <v>0</v>
      </c>
      <c r="S622">
        <v>0</v>
      </c>
      <c r="T622">
        <v>0.39250000000000002</v>
      </c>
      <c r="U622">
        <v>-2.5999999999999999E-3</v>
      </c>
      <c r="V622">
        <v>0</v>
      </c>
      <c r="W622">
        <v>-0.14940000000000001</v>
      </c>
      <c r="X622">
        <v>4.4499999999999998E-2</v>
      </c>
      <c r="Y622">
        <v>-1E-3</v>
      </c>
      <c r="Z622">
        <v>161</v>
      </c>
      <c r="AA622">
        <v>0.1</v>
      </c>
      <c r="AB622">
        <v>98</v>
      </c>
      <c r="AC622">
        <v>0.2</v>
      </c>
      <c r="AD622">
        <v>0</v>
      </c>
      <c r="AE622">
        <v>0</v>
      </c>
      <c r="AF622">
        <v>0.2</v>
      </c>
      <c r="AG622">
        <v>184</v>
      </c>
      <c r="AH622">
        <v>0</v>
      </c>
    </row>
    <row r="623" spans="1:34" x14ac:dyDescent="0.35">
      <c r="A623" t="s">
        <v>34</v>
      </c>
      <c r="B623" s="1">
        <v>46146.65625</v>
      </c>
      <c r="C623" t="s">
        <v>34</v>
      </c>
      <c r="D623" s="1">
        <v>46148.625</v>
      </c>
      <c r="E623">
        <v>6650</v>
      </c>
      <c r="F623" t="s">
        <v>36</v>
      </c>
      <c r="G623">
        <v>0.18</v>
      </c>
      <c r="H623">
        <v>0.35</v>
      </c>
      <c r="I623">
        <v>0.18</v>
      </c>
      <c r="J623">
        <v>0.35</v>
      </c>
      <c r="K623">
        <v>1134</v>
      </c>
      <c r="L623">
        <v>449</v>
      </c>
      <c r="M623">
        <v>0.1</v>
      </c>
      <c r="N623">
        <v>419</v>
      </c>
      <c r="O623">
        <v>0.2</v>
      </c>
      <c r="P623">
        <v>0</v>
      </c>
      <c r="Q623">
        <v>0</v>
      </c>
      <c r="R623">
        <v>0</v>
      </c>
      <c r="S623">
        <v>0</v>
      </c>
      <c r="T623">
        <v>0.38569999999999999</v>
      </c>
      <c r="U623">
        <v>-2.5999999999999999E-3</v>
      </c>
      <c r="V623">
        <v>0</v>
      </c>
      <c r="W623">
        <v>-0.14949999999999999</v>
      </c>
      <c r="X623">
        <v>4.5199999999999997E-2</v>
      </c>
      <c r="Y623">
        <v>-1E-3</v>
      </c>
      <c r="Z623">
        <v>170</v>
      </c>
      <c r="AA623">
        <v>0.1</v>
      </c>
      <c r="AB623">
        <v>111</v>
      </c>
      <c r="AC623">
        <v>0.2</v>
      </c>
      <c r="AD623">
        <v>0</v>
      </c>
      <c r="AE623">
        <v>0</v>
      </c>
      <c r="AF623">
        <v>0.1971</v>
      </c>
      <c r="AG623">
        <v>2854</v>
      </c>
      <c r="AH623">
        <v>0</v>
      </c>
    </row>
    <row r="624" spans="1:34" x14ac:dyDescent="0.35">
      <c r="A624" t="s">
        <v>34</v>
      </c>
      <c r="B624" s="1">
        <v>46146.65625</v>
      </c>
      <c r="C624" t="s">
        <v>34</v>
      </c>
      <c r="D624" s="1">
        <v>46148.625</v>
      </c>
      <c r="E624">
        <v>6660</v>
      </c>
      <c r="F624" t="s">
        <v>36</v>
      </c>
      <c r="G624">
        <v>0.2</v>
      </c>
      <c r="H624">
        <v>0.2</v>
      </c>
      <c r="I624">
        <v>0.1</v>
      </c>
      <c r="J624">
        <v>0.1</v>
      </c>
      <c r="K624">
        <v>115</v>
      </c>
      <c r="L624">
        <v>423</v>
      </c>
      <c r="M624">
        <v>0.1</v>
      </c>
      <c r="N624">
        <v>364</v>
      </c>
      <c r="O624">
        <v>0.2</v>
      </c>
      <c r="P624">
        <v>0</v>
      </c>
      <c r="Q624">
        <v>0</v>
      </c>
      <c r="R624">
        <v>0</v>
      </c>
      <c r="S624">
        <v>0</v>
      </c>
      <c r="T624">
        <v>0.37919999999999998</v>
      </c>
      <c r="U624">
        <v>-2.5999999999999999E-3</v>
      </c>
      <c r="V624">
        <v>0</v>
      </c>
      <c r="W624">
        <v>-0.14940000000000001</v>
      </c>
      <c r="X624">
        <v>4.5900000000000003E-2</v>
      </c>
      <c r="Y624">
        <v>-1E-3</v>
      </c>
      <c r="Z624">
        <v>159</v>
      </c>
      <c r="AA624">
        <v>0.1</v>
      </c>
      <c r="AB624">
        <v>24</v>
      </c>
      <c r="AC624">
        <v>0.2</v>
      </c>
      <c r="AD624">
        <v>0</v>
      </c>
      <c r="AE624">
        <v>0</v>
      </c>
      <c r="AF624">
        <v>0.1991</v>
      </c>
      <c r="AG624">
        <v>190</v>
      </c>
      <c r="AH624">
        <v>0</v>
      </c>
    </row>
    <row r="625" spans="1:34" x14ac:dyDescent="0.35">
      <c r="A625" t="s">
        <v>34</v>
      </c>
      <c r="B625" s="1">
        <v>46146.65625</v>
      </c>
      <c r="C625" t="s">
        <v>34</v>
      </c>
      <c r="D625" s="1">
        <v>46148.625</v>
      </c>
      <c r="E625">
        <v>6670</v>
      </c>
      <c r="F625" t="s">
        <v>36</v>
      </c>
      <c r="G625">
        <v>0.2</v>
      </c>
      <c r="H625">
        <v>0.2</v>
      </c>
      <c r="I625">
        <v>0.2</v>
      </c>
      <c r="J625">
        <v>0.2</v>
      </c>
      <c r="K625">
        <v>14</v>
      </c>
      <c r="L625">
        <v>51</v>
      </c>
      <c r="M625">
        <v>0.15</v>
      </c>
      <c r="N625">
        <v>258</v>
      </c>
      <c r="O625">
        <v>0.2</v>
      </c>
      <c r="P625">
        <v>0</v>
      </c>
      <c r="Q625">
        <v>0</v>
      </c>
      <c r="R625">
        <v>0</v>
      </c>
      <c r="S625">
        <v>0</v>
      </c>
      <c r="T625">
        <v>0.378</v>
      </c>
      <c r="U625">
        <v>-3.0000000000000001E-3</v>
      </c>
      <c r="V625">
        <v>1E-4</v>
      </c>
      <c r="W625">
        <v>-0.17399999999999999</v>
      </c>
      <c r="X625">
        <v>5.2200000000000003E-2</v>
      </c>
      <c r="Y625">
        <v>-1.1999999999999999E-3</v>
      </c>
      <c r="Z625">
        <v>236</v>
      </c>
      <c r="AA625">
        <v>0.1</v>
      </c>
      <c r="AB625">
        <v>136</v>
      </c>
      <c r="AC625">
        <v>0.25</v>
      </c>
      <c r="AD625">
        <v>0</v>
      </c>
      <c r="AE625">
        <v>0</v>
      </c>
      <c r="AF625">
        <v>0.2</v>
      </c>
      <c r="AG625">
        <v>244</v>
      </c>
      <c r="AH625">
        <v>0</v>
      </c>
    </row>
    <row r="626" spans="1:34" x14ac:dyDescent="0.35">
      <c r="A626" t="s">
        <v>34</v>
      </c>
      <c r="B626" s="1">
        <v>46146.65625</v>
      </c>
      <c r="C626" t="s">
        <v>34</v>
      </c>
      <c r="D626" s="1">
        <v>46148.625</v>
      </c>
      <c r="E626">
        <v>6675</v>
      </c>
      <c r="F626" t="s">
        <v>36</v>
      </c>
      <c r="G626">
        <v>0.25</v>
      </c>
      <c r="H626">
        <v>0.25</v>
      </c>
      <c r="I626">
        <v>0.2</v>
      </c>
      <c r="J626">
        <v>0.2</v>
      </c>
      <c r="K626">
        <v>101</v>
      </c>
      <c r="L626">
        <v>92</v>
      </c>
      <c r="M626">
        <v>0.15</v>
      </c>
      <c r="N626">
        <v>339</v>
      </c>
      <c r="O626">
        <v>0.2</v>
      </c>
      <c r="P626">
        <v>0</v>
      </c>
      <c r="Q626">
        <v>0</v>
      </c>
      <c r="R626">
        <v>0</v>
      </c>
      <c r="S626">
        <v>0</v>
      </c>
      <c r="T626">
        <v>0.37469999999999998</v>
      </c>
      <c r="U626">
        <v>-3.0999999999999999E-3</v>
      </c>
      <c r="V626">
        <v>1E-4</v>
      </c>
      <c r="W626">
        <v>-0.1741</v>
      </c>
      <c r="X626">
        <v>5.2699999999999997E-2</v>
      </c>
      <c r="Y626">
        <v>-1.1999999999999999E-3</v>
      </c>
      <c r="Z626">
        <v>342</v>
      </c>
      <c r="AA626">
        <v>0.1</v>
      </c>
      <c r="AB626">
        <v>148</v>
      </c>
      <c r="AC626">
        <v>0.25</v>
      </c>
      <c r="AD626">
        <v>0</v>
      </c>
      <c r="AE626">
        <v>0</v>
      </c>
      <c r="AF626">
        <v>0.20050000000000001</v>
      </c>
      <c r="AG626">
        <v>169</v>
      </c>
      <c r="AH626">
        <v>0</v>
      </c>
    </row>
    <row r="627" spans="1:34" x14ac:dyDescent="0.35">
      <c r="A627" t="s">
        <v>34</v>
      </c>
      <c r="B627" s="1">
        <v>46146.65625</v>
      </c>
      <c r="C627" t="s">
        <v>34</v>
      </c>
      <c r="D627" s="1">
        <v>46148.625</v>
      </c>
      <c r="E627">
        <v>6680</v>
      </c>
      <c r="F627" t="s">
        <v>36</v>
      </c>
      <c r="G627">
        <v>0.25</v>
      </c>
      <c r="H627">
        <v>0.25</v>
      </c>
      <c r="I627">
        <v>0.25</v>
      </c>
      <c r="J627">
        <v>0.25</v>
      </c>
      <c r="K627">
        <v>2</v>
      </c>
      <c r="L627">
        <v>66</v>
      </c>
      <c r="M627">
        <v>0.15</v>
      </c>
      <c r="N627">
        <v>291</v>
      </c>
      <c r="O627">
        <v>0.2</v>
      </c>
      <c r="P627">
        <v>0</v>
      </c>
      <c r="Q627">
        <v>0</v>
      </c>
      <c r="R627">
        <v>0</v>
      </c>
      <c r="S627">
        <v>0</v>
      </c>
      <c r="T627">
        <v>0.37140000000000001</v>
      </c>
      <c r="U627">
        <v>-3.0999999999999999E-3</v>
      </c>
      <c r="V627">
        <v>1E-4</v>
      </c>
      <c r="W627">
        <v>-0.1741</v>
      </c>
      <c r="X627">
        <v>5.3100000000000001E-2</v>
      </c>
      <c r="Y627">
        <v>-1.1999999999999999E-3</v>
      </c>
      <c r="Z627">
        <v>316</v>
      </c>
      <c r="AA627">
        <v>0.1</v>
      </c>
      <c r="AB627">
        <v>135</v>
      </c>
      <c r="AC627">
        <v>0.25</v>
      </c>
      <c r="AD627">
        <v>0</v>
      </c>
      <c r="AE627">
        <v>0</v>
      </c>
      <c r="AF627">
        <v>0.25</v>
      </c>
      <c r="AG627">
        <v>84</v>
      </c>
      <c r="AH627">
        <v>0</v>
      </c>
    </row>
    <row r="628" spans="1:34" x14ac:dyDescent="0.35">
      <c r="A628" t="s">
        <v>34</v>
      </c>
      <c r="B628" s="1">
        <v>46146.65625</v>
      </c>
      <c r="C628" t="s">
        <v>34</v>
      </c>
      <c r="D628" s="1">
        <v>46148.625</v>
      </c>
      <c r="E628">
        <v>6690</v>
      </c>
      <c r="F628" t="s">
        <v>36</v>
      </c>
      <c r="G628">
        <v>0.35</v>
      </c>
      <c r="H628">
        <v>0.35</v>
      </c>
      <c r="I628">
        <v>0.15</v>
      </c>
      <c r="J628">
        <v>0.15</v>
      </c>
      <c r="K628">
        <v>45</v>
      </c>
      <c r="L628">
        <v>145</v>
      </c>
      <c r="M628">
        <v>0.15</v>
      </c>
      <c r="N628">
        <v>137</v>
      </c>
      <c r="O628">
        <v>0.2</v>
      </c>
      <c r="P628">
        <v>0</v>
      </c>
      <c r="Q628">
        <v>0</v>
      </c>
      <c r="R628">
        <v>0</v>
      </c>
      <c r="S628">
        <v>0</v>
      </c>
      <c r="T628">
        <v>0.36470000000000002</v>
      </c>
      <c r="U628">
        <v>-3.0999999999999999E-3</v>
      </c>
      <c r="V628">
        <v>1E-4</v>
      </c>
      <c r="W628">
        <v>-0.1741</v>
      </c>
      <c r="X628">
        <v>5.3999999999999999E-2</v>
      </c>
      <c r="Y628">
        <v>-1.1999999999999999E-3</v>
      </c>
      <c r="Z628">
        <v>68</v>
      </c>
      <c r="AA628">
        <v>0.15</v>
      </c>
      <c r="AB628">
        <v>136</v>
      </c>
      <c r="AC628">
        <v>0.25</v>
      </c>
      <c r="AD628">
        <v>0</v>
      </c>
      <c r="AE628">
        <v>0</v>
      </c>
      <c r="AF628">
        <v>0.1633</v>
      </c>
      <c r="AG628">
        <v>259</v>
      </c>
      <c r="AH628">
        <v>0</v>
      </c>
    </row>
    <row r="629" spans="1:34" x14ac:dyDescent="0.35">
      <c r="A629" t="s">
        <v>34</v>
      </c>
      <c r="B629" s="1">
        <v>46146.65625</v>
      </c>
      <c r="C629" t="s">
        <v>34</v>
      </c>
      <c r="D629" s="1">
        <v>46148.625</v>
      </c>
      <c r="E629">
        <v>6700</v>
      </c>
      <c r="F629" t="s">
        <v>36</v>
      </c>
      <c r="G629">
        <v>0.25</v>
      </c>
      <c r="H629">
        <v>0.35</v>
      </c>
      <c r="I629">
        <v>0.2</v>
      </c>
      <c r="J629">
        <v>0.2</v>
      </c>
      <c r="K629">
        <v>52</v>
      </c>
      <c r="L629">
        <v>218</v>
      </c>
      <c r="M629">
        <v>0.15</v>
      </c>
      <c r="N629">
        <v>101</v>
      </c>
      <c r="O629">
        <v>0.2</v>
      </c>
      <c r="P629">
        <v>0</v>
      </c>
      <c r="Q629">
        <v>0</v>
      </c>
      <c r="R629">
        <v>0</v>
      </c>
      <c r="S629">
        <v>0</v>
      </c>
      <c r="T629">
        <v>0.3579</v>
      </c>
      <c r="U629">
        <v>-3.2000000000000002E-3</v>
      </c>
      <c r="V629">
        <v>1E-4</v>
      </c>
      <c r="W629">
        <v>-0.1741</v>
      </c>
      <c r="X629">
        <v>5.4899999999999997E-2</v>
      </c>
      <c r="Y629">
        <v>-1.1999999999999999E-3</v>
      </c>
      <c r="Z629">
        <v>62</v>
      </c>
      <c r="AA629">
        <v>0.15</v>
      </c>
      <c r="AB629">
        <v>146</v>
      </c>
      <c r="AC629">
        <v>0.25</v>
      </c>
      <c r="AD629">
        <v>0</v>
      </c>
      <c r="AE629">
        <v>0</v>
      </c>
      <c r="AF629">
        <v>0.23080000000000001</v>
      </c>
      <c r="AG629">
        <v>709</v>
      </c>
      <c r="AH629">
        <v>0</v>
      </c>
    </row>
    <row r="630" spans="1:34" x14ac:dyDescent="0.35">
      <c r="A630" t="s">
        <v>34</v>
      </c>
      <c r="B630" s="1">
        <v>46146.65625</v>
      </c>
      <c r="C630" t="s">
        <v>34</v>
      </c>
      <c r="D630" s="1">
        <v>46148.625</v>
      </c>
      <c r="E630">
        <v>6710</v>
      </c>
      <c r="F630" t="s">
        <v>36</v>
      </c>
      <c r="G630">
        <v>0.25</v>
      </c>
      <c r="H630">
        <v>0.35</v>
      </c>
      <c r="I630">
        <v>0.15</v>
      </c>
      <c r="J630">
        <v>0.15</v>
      </c>
      <c r="K630">
        <v>16</v>
      </c>
      <c r="L630">
        <v>319</v>
      </c>
      <c r="M630">
        <v>0.15</v>
      </c>
      <c r="N630">
        <v>47</v>
      </c>
      <c r="O630">
        <v>0.2</v>
      </c>
      <c r="P630">
        <v>0</v>
      </c>
      <c r="Q630">
        <v>0</v>
      </c>
      <c r="R630">
        <v>0</v>
      </c>
      <c r="S630">
        <v>0</v>
      </c>
      <c r="T630">
        <v>0.35149999999999998</v>
      </c>
      <c r="U630">
        <v>-3.2000000000000002E-3</v>
      </c>
      <c r="V630">
        <v>1E-4</v>
      </c>
      <c r="W630">
        <v>-0.1741</v>
      </c>
      <c r="X630">
        <v>5.5800000000000002E-2</v>
      </c>
      <c r="Y630">
        <v>-1.1999999999999999E-3</v>
      </c>
      <c r="Z630">
        <v>54</v>
      </c>
      <c r="AA630">
        <v>0.15</v>
      </c>
      <c r="AB630">
        <v>133</v>
      </c>
      <c r="AC630">
        <v>0.25</v>
      </c>
      <c r="AD630">
        <v>0</v>
      </c>
      <c r="AE630">
        <v>0</v>
      </c>
      <c r="AF630">
        <v>0.24379999999999999</v>
      </c>
      <c r="AG630">
        <v>178</v>
      </c>
      <c r="AH630">
        <v>0</v>
      </c>
    </row>
    <row r="631" spans="1:34" x14ac:dyDescent="0.35">
      <c r="A631" t="s">
        <v>34</v>
      </c>
      <c r="B631" s="1">
        <v>46146.65625</v>
      </c>
      <c r="C631" t="s">
        <v>34</v>
      </c>
      <c r="D631" s="1">
        <v>46148.625</v>
      </c>
      <c r="E631">
        <v>6715</v>
      </c>
      <c r="F631" t="s">
        <v>36</v>
      </c>
      <c r="G631">
        <v>0.2</v>
      </c>
      <c r="H631">
        <v>0.2</v>
      </c>
      <c r="I631">
        <v>0.2</v>
      </c>
      <c r="J631">
        <v>0.2</v>
      </c>
      <c r="K631">
        <v>6</v>
      </c>
      <c r="L631">
        <v>328</v>
      </c>
      <c r="M631">
        <v>0.15</v>
      </c>
      <c r="N631">
        <v>37</v>
      </c>
      <c r="O631">
        <v>0.2</v>
      </c>
      <c r="P631">
        <v>0</v>
      </c>
      <c r="Q631">
        <v>0</v>
      </c>
      <c r="R631">
        <v>0</v>
      </c>
      <c r="S631">
        <v>0</v>
      </c>
      <c r="T631">
        <v>0.34820000000000001</v>
      </c>
      <c r="U631">
        <v>-3.3E-3</v>
      </c>
      <c r="V631">
        <v>1E-4</v>
      </c>
      <c r="W631">
        <v>-0.1741</v>
      </c>
      <c r="X631">
        <v>5.6300000000000003E-2</v>
      </c>
      <c r="Y631">
        <v>-1.2999999999999999E-3</v>
      </c>
      <c r="Z631">
        <v>85</v>
      </c>
      <c r="AA631">
        <v>0.15</v>
      </c>
      <c r="AB631">
        <v>132</v>
      </c>
      <c r="AC631">
        <v>0.25</v>
      </c>
      <c r="AD631">
        <v>0</v>
      </c>
      <c r="AE631">
        <v>0</v>
      </c>
      <c r="AF631">
        <v>0.2</v>
      </c>
      <c r="AG631">
        <v>4</v>
      </c>
      <c r="AH631">
        <v>0</v>
      </c>
    </row>
    <row r="632" spans="1:34" x14ac:dyDescent="0.35">
      <c r="A632" t="s">
        <v>34</v>
      </c>
      <c r="B632" s="1">
        <v>46146.65625</v>
      </c>
      <c r="C632" t="s">
        <v>34</v>
      </c>
      <c r="D632" s="1">
        <v>46148.625</v>
      </c>
      <c r="E632">
        <v>6720</v>
      </c>
      <c r="F632" t="s">
        <v>36</v>
      </c>
      <c r="G632">
        <v>0.25</v>
      </c>
      <c r="H632">
        <v>0.25</v>
      </c>
      <c r="I632">
        <v>0.2</v>
      </c>
      <c r="J632">
        <v>0.2</v>
      </c>
      <c r="K632">
        <v>83</v>
      </c>
      <c r="L632">
        <v>370</v>
      </c>
      <c r="M632">
        <v>0.15</v>
      </c>
      <c r="N632">
        <v>21</v>
      </c>
      <c r="O632">
        <v>0.2</v>
      </c>
      <c r="P632">
        <v>0</v>
      </c>
      <c r="Q632">
        <v>0</v>
      </c>
      <c r="R632">
        <v>0</v>
      </c>
      <c r="S632">
        <v>0</v>
      </c>
      <c r="T632">
        <v>0.34439999999999998</v>
      </c>
      <c r="U632">
        <v>-3.3E-3</v>
      </c>
      <c r="V632">
        <v>1E-4</v>
      </c>
      <c r="W632">
        <v>-0.17399999999999999</v>
      </c>
      <c r="X632">
        <v>5.6899999999999999E-2</v>
      </c>
      <c r="Y632">
        <v>-1.2999999999999999E-3</v>
      </c>
      <c r="Z632">
        <v>109</v>
      </c>
      <c r="AA632">
        <v>0.15</v>
      </c>
      <c r="AB632">
        <v>132</v>
      </c>
      <c r="AC632">
        <v>0.25</v>
      </c>
      <c r="AD632">
        <v>0</v>
      </c>
      <c r="AE632">
        <v>0</v>
      </c>
      <c r="AF632">
        <v>0.2301</v>
      </c>
      <c r="AG632">
        <v>82</v>
      </c>
      <c r="AH632">
        <v>0</v>
      </c>
    </row>
    <row r="633" spans="1:34" x14ac:dyDescent="0.35">
      <c r="A633" t="s">
        <v>34</v>
      </c>
      <c r="B633" s="1">
        <v>46146.65625</v>
      </c>
      <c r="C633" t="s">
        <v>34</v>
      </c>
      <c r="D633" s="1">
        <v>46148.625</v>
      </c>
      <c r="E633">
        <v>6725</v>
      </c>
      <c r="F633" t="s">
        <v>36</v>
      </c>
      <c r="G633">
        <v>0.25</v>
      </c>
      <c r="H633">
        <v>0.44</v>
      </c>
      <c r="I633">
        <v>0.15</v>
      </c>
      <c r="J633">
        <v>0.15</v>
      </c>
      <c r="K633">
        <v>75</v>
      </c>
      <c r="L633">
        <v>393</v>
      </c>
      <c r="M633">
        <v>0.15</v>
      </c>
      <c r="N633">
        <v>11</v>
      </c>
      <c r="O633">
        <v>0.2</v>
      </c>
      <c r="P633">
        <v>0</v>
      </c>
      <c r="Q633">
        <v>0</v>
      </c>
      <c r="R633">
        <v>0</v>
      </c>
      <c r="S633">
        <v>0</v>
      </c>
      <c r="T633">
        <v>0.34129999999999999</v>
      </c>
      <c r="U633">
        <v>-3.3E-3</v>
      </c>
      <c r="V633">
        <v>1E-4</v>
      </c>
      <c r="W633">
        <v>-0.17399999999999999</v>
      </c>
      <c r="X633">
        <v>5.74E-2</v>
      </c>
      <c r="Y633">
        <v>-1.2999999999999999E-3</v>
      </c>
      <c r="Z633">
        <v>166</v>
      </c>
      <c r="AA633">
        <v>0.15</v>
      </c>
      <c r="AB633">
        <v>143</v>
      </c>
      <c r="AC633">
        <v>0.25</v>
      </c>
      <c r="AD633">
        <v>0</v>
      </c>
      <c r="AE633">
        <v>0</v>
      </c>
      <c r="AF633">
        <v>0.2505</v>
      </c>
      <c r="AG633">
        <v>202</v>
      </c>
      <c r="AH633">
        <v>0</v>
      </c>
    </row>
    <row r="634" spans="1:34" x14ac:dyDescent="0.35">
      <c r="A634" t="s">
        <v>34</v>
      </c>
      <c r="B634" s="1">
        <v>46146.65625</v>
      </c>
      <c r="C634" t="s">
        <v>34</v>
      </c>
      <c r="D634" s="1">
        <v>46148.625</v>
      </c>
      <c r="E634">
        <v>6730</v>
      </c>
      <c r="F634" t="s">
        <v>36</v>
      </c>
      <c r="G634">
        <v>0.5</v>
      </c>
      <c r="H634">
        <v>0.5</v>
      </c>
      <c r="I634">
        <v>0.2</v>
      </c>
      <c r="J634">
        <v>0.2</v>
      </c>
      <c r="K634">
        <v>27</v>
      </c>
      <c r="L634">
        <v>358</v>
      </c>
      <c r="M634">
        <v>0.15</v>
      </c>
      <c r="N634">
        <v>332</v>
      </c>
      <c r="O634">
        <v>0.25</v>
      </c>
      <c r="P634">
        <v>0</v>
      </c>
      <c r="Q634">
        <v>0</v>
      </c>
      <c r="R634">
        <v>0</v>
      </c>
      <c r="S634">
        <v>0</v>
      </c>
      <c r="T634">
        <v>0.33800000000000002</v>
      </c>
      <c r="U634">
        <v>-3.3999999999999998E-3</v>
      </c>
      <c r="V634">
        <v>1E-4</v>
      </c>
      <c r="W634">
        <v>-0.17399999999999999</v>
      </c>
      <c r="X634">
        <v>5.79E-2</v>
      </c>
      <c r="Y634">
        <v>-1.2999999999999999E-3</v>
      </c>
      <c r="Z634">
        <v>153</v>
      </c>
      <c r="AA634">
        <v>0.15</v>
      </c>
      <c r="AB634">
        <v>68</v>
      </c>
      <c r="AC634">
        <v>0.25</v>
      </c>
      <c r="AD634">
        <v>0</v>
      </c>
      <c r="AE634">
        <v>0</v>
      </c>
      <c r="AF634">
        <v>0.21110000000000001</v>
      </c>
      <c r="AG634">
        <v>229</v>
      </c>
      <c r="AH634">
        <v>0</v>
      </c>
    </row>
    <row r="635" spans="1:34" x14ac:dyDescent="0.35">
      <c r="A635" t="s">
        <v>34</v>
      </c>
      <c r="B635" s="1">
        <v>46146.65625</v>
      </c>
      <c r="C635" t="s">
        <v>34</v>
      </c>
      <c r="D635" s="1">
        <v>46148.625</v>
      </c>
      <c r="E635">
        <v>6735</v>
      </c>
      <c r="F635" t="s">
        <v>36</v>
      </c>
      <c r="G635">
        <v>0.5</v>
      </c>
      <c r="H635">
        <v>0.5</v>
      </c>
      <c r="I635">
        <v>0.15</v>
      </c>
      <c r="J635">
        <v>0.15</v>
      </c>
      <c r="K635">
        <v>59</v>
      </c>
      <c r="L635">
        <v>398</v>
      </c>
      <c r="M635">
        <v>0.15</v>
      </c>
      <c r="N635">
        <v>328</v>
      </c>
      <c r="O635">
        <v>0.25</v>
      </c>
      <c r="P635">
        <v>0</v>
      </c>
      <c r="Q635">
        <v>0</v>
      </c>
      <c r="R635">
        <v>0</v>
      </c>
      <c r="S635">
        <v>0</v>
      </c>
      <c r="T635">
        <v>0.33910000000000001</v>
      </c>
      <c r="U635">
        <v>-3.8E-3</v>
      </c>
      <c r="V635">
        <v>1E-4</v>
      </c>
      <c r="W635">
        <v>-0.19869999999999999</v>
      </c>
      <c r="X635">
        <v>6.4199999999999993E-2</v>
      </c>
      <c r="Y635">
        <v>-1.5E-3</v>
      </c>
      <c r="Z635">
        <v>153</v>
      </c>
      <c r="AA635">
        <v>0.15</v>
      </c>
      <c r="AB635">
        <v>68</v>
      </c>
      <c r="AC635">
        <v>0.25</v>
      </c>
      <c r="AD635">
        <v>0</v>
      </c>
      <c r="AE635">
        <v>0</v>
      </c>
      <c r="AF635">
        <v>0.28050000000000003</v>
      </c>
      <c r="AG635">
        <v>1</v>
      </c>
      <c r="AH635">
        <v>0</v>
      </c>
    </row>
    <row r="636" spans="1:34" x14ac:dyDescent="0.35">
      <c r="A636" t="s">
        <v>34</v>
      </c>
      <c r="B636" s="1">
        <v>46146.65625</v>
      </c>
      <c r="C636" t="s">
        <v>34</v>
      </c>
      <c r="D636" s="1">
        <v>46148.625</v>
      </c>
      <c r="E636">
        <v>6740</v>
      </c>
      <c r="F636" t="s">
        <v>36</v>
      </c>
      <c r="G636">
        <v>0.24</v>
      </c>
      <c r="H636">
        <v>0.5</v>
      </c>
      <c r="I636">
        <v>0.2</v>
      </c>
      <c r="J636">
        <v>0.2</v>
      </c>
      <c r="K636">
        <v>58</v>
      </c>
      <c r="L636">
        <v>455</v>
      </c>
      <c r="M636">
        <v>0.15</v>
      </c>
      <c r="N636">
        <v>326</v>
      </c>
      <c r="O636">
        <v>0.25</v>
      </c>
      <c r="P636">
        <v>0</v>
      </c>
      <c r="Q636">
        <v>0</v>
      </c>
      <c r="R636">
        <v>0</v>
      </c>
      <c r="S636">
        <v>0</v>
      </c>
      <c r="T636">
        <v>0.33600000000000002</v>
      </c>
      <c r="U636">
        <v>-3.8E-3</v>
      </c>
      <c r="V636">
        <v>1E-4</v>
      </c>
      <c r="W636">
        <v>-0.19869999999999999</v>
      </c>
      <c r="X636">
        <v>6.4699999999999994E-2</v>
      </c>
      <c r="Y636">
        <v>-1.5E-3</v>
      </c>
      <c r="Z636">
        <v>156</v>
      </c>
      <c r="AA636">
        <v>0.15</v>
      </c>
      <c r="AB636">
        <v>24</v>
      </c>
      <c r="AC636">
        <v>0.25</v>
      </c>
      <c r="AD636">
        <v>0</v>
      </c>
      <c r="AE636">
        <v>0</v>
      </c>
      <c r="AF636">
        <v>0.25240000000000001</v>
      </c>
      <c r="AG636">
        <v>249</v>
      </c>
      <c r="AH636">
        <v>0</v>
      </c>
    </row>
    <row r="637" spans="1:34" x14ac:dyDescent="0.35">
      <c r="A637" t="s">
        <v>34</v>
      </c>
      <c r="B637" s="1">
        <v>46146.65625</v>
      </c>
      <c r="C637" t="s">
        <v>34</v>
      </c>
      <c r="D637" s="1">
        <v>46148.625</v>
      </c>
      <c r="E637">
        <v>6745</v>
      </c>
      <c r="F637" t="s">
        <v>36</v>
      </c>
      <c r="G637">
        <v>0.25</v>
      </c>
      <c r="H637">
        <v>0.3</v>
      </c>
      <c r="I637">
        <v>0.2</v>
      </c>
      <c r="J637">
        <v>0.2</v>
      </c>
      <c r="K637">
        <v>39</v>
      </c>
      <c r="L637">
        <v>464</v>
      </c>
      <c r="M637">
        <v>0.15</v>
      </c>
      <c r="N637">
        <v>320</v>
      </c>
      <c r="O637">
        <v>0.25</v>
      </c>
      <c r="P637">
        <v>0</v>
      </c>
      <c r="Q637">
        <v>0</v>
      </c>
      <c r="R637">
        <v>0</v>
      </c>
      <c r="S637">
        <v>0</v>
      </c>
      <c r="T637">
        <v>0.33239999999999997</v>
      </c>
      <c r="U637">
        <v>-3.8999999999999998E-3</v>
      </c>
      <c r="V637">
        <v>1E-4</v>
      </c>
      <c r="W637">
        <v>-0.1986</v>
      </c>
      <c r="X637">
        <v>6.5299999999999997E-2</v>
      </c>
      <c r="Y637">
        <v>-1.5E-3</v>
      </c>
      <c r="Z637">
        <v>152</v>
      </c>
      <c r="AA637">
        <v>0.15</v>
      </c>
      <c r="AB637">
        <v>24</v>
      </c>
      <c r="AC637">
        <v>0.25</v>
      </c>
      <c r="AD637">
        <v>0</v>
      </c>
      <c r="AE637">
        <v>0</v>
      </c>
      <c r="AF637">
        <v>0.2077</v>
      </c>
      <c r="AG637">
        <v>303</v>
      </c>
      <c r="AH637">
        <v>0</v>
      </c>
    </row>
    <row r="638" spans="1:34" x14ac:dyDescent="0.35">
      <c r="A638" t="s">
        <v>34</v>
      </c>
      <c r="B638" s="1">
        <v>46146.65625</v>
      </c>
      <c r="C638" t="s">
        <v>34</v>
      </c>
      <c r="D638" s="1">
        <v>46148.625</v>
      </c>
      <c r="E638">
        <v>6750</v>
      </c>
      <c r="F638" t="s">
        <v>36</v>
      </c>
      <c r="G638">
        <v>0.28999999999999998</v>
      </c>
      <c r="H638">
        <v>0.6</v>
      </c>
      <c r="I638">
        <v>0.2</v>
      </c>
      <c r="J638">
        <v>0.2</v>
      </c>
      <c r="K638">
        <v>350</v>
      </c>
      <c r="L638">
        <v>516</v>
      </c>
      <c r="M638">
        <v>0.15</v>
      </c>
      <c r="N638">
        <v>284</v>
      </c>
      <c r="O638">
        <v>0.25</v>
      </c>
      <c r="P638">
        <v>0</v>
      </c>
      <c r="Q638">
        <v>0</v>
      </c>
      <c r="R638">
        <v>0</v>
      </c>
      <c r="S638">
        <v>0</v>
      </c>
      <c r="T638">
        <v>0.32900000000000001</v>
      </c>
      <c r="U638">
        <v>-3.8999999999999998E-3</v>
      </c>
      <c r="V638">
        <v>1E-4</v>
      </c>
      <c r="W638">
        <v>-0.1986</v>
      </c>
      <c r="X638">
        <v>6.59E-2</v>
      </c>
      <c r="Y638">
        <v>-1.5E-3</v>
      </c>
      <c r="Z638">
        <v>165</v>
      </c>
      <c r="AA638">
        <v>0.15</v>
      </c>
      <c r="AB638">
        <v>24</v>
      </c>
      <c r="AC638">
        <v>0.25</v>
      </c>
      <c r="AD638">
        <v>0</v>
      </c>
      <c r="AE638">
        <v>0</v>
      </c>
      <c r="AF638">
        <v>0.2321</v>
      </c>
      <c r="AG638">
        <v>750</v>
      </c>
      <c r="AH638">
        <v>0</v>
      </c>
    </row>
    <row r="639" spans="1:34" x14ac:dyDescent="0.35">
      <c r="A639" t="s">
        <v>34</v>
      </c>
      <c r="B639" s="1">
        <v>46146.65625</v>
      </c>
      <c r="C639" t="s">
        <v>34</v>
      </c>
      <c r="D639" s="1">
        <v>46148.625</v>
      </c>
      <c r="E639">
        <v>6755</v>
      </c>
      <c r="F639" t="s">
        <v>36</v>
      </c>
      <c r="G639">
        <v>0.5</v>
      </c>
      <c r="H639">
        <v>0.6</v>
      </c>
      <c r="I639">
        <v>0.2</v>
      </c>
      <c r="J639">
        <v>0.2</v>
      </c>
      <c r="K639">
        <v>108</v>
      </c>
      <c r="L639">
        <v>38</v>
      </c>
      <c r="M639">
        <v>0.2</v>
      </c>
      <c r="N639">
        <v>305</v>
      </c>
      <c r="O639">
        <v>0.25</v>
      </c>
      <c r="P639">
        <v>0</v>
      </c>
      <c r="Q639">
        <v>0</v>
      </c>
      <c r="R639">
        <v>0</v>
      </c>
      <c r="S639">
        <v>0</v>
      </c>
      <c r="T639">
        <v>0.3296</v>
      </c>
      <c r="U639">
        <v>-4.3E-3</v>
      </c>
      <c r="V639">
        <v>1E-4</v>
      </c>
      <c r="W639">
        <v>-0.22309999999999999</v>
      </c>
      <c r="X639">
        <v>7.22E-2</v>
      </c>
      <c r="Y639">
        <v>-1.6999999999999999E-3</v>
      </c>
      <c r="Z639">
        <v>157</v>
      </c>
      <c r="AA639">
        <v>0.15</v>
      </c>
      <c r="AB639">
        <v>135</v>
      </c>
      <c r="AC639">
        <v>0.3</v>
      </c>
      <c r="AD639">
        <v>0</v>
      </c>
      <c r="AE639">
        <v>0</v>
      </c>
      <c r="AF639">
        <v>0.2792</v>
      </c>
      <c r="AG639">
        <v>22</v>
      </c>
      <c r="AH639">
        <v>0</v>
      </c>
    </row>
    <row r="640" spans="1:34" x14ac:dyDescent="0.35">
      <c r="A640" t="s">
        <v>34</v>
      </c>
      <c r="B640" s="1">
        <v>46146.65625</v>
      </c>
      <c r="C640" t="s">
        <v>34</v>
      </c>
      <c r="D640" s="1">
        <v>46148.625</v>
      </c>
      <c r="E640">
        <v>6760</v>
      </c>
      <c r="F640" t="s">
        <v>36</v>
      </c>
      <c r="G640">
        <v>0.65</v>
      </c>
      <c r="H640">
        <v>0.65</v>
      </c>
      <c r="I640">
        <v>0.2</v>
      </c>
      <c r="J640">
        <v>0.2</v>
      </c>
      <c r="K640">
        <v>60</v>
      </c>
      <c r="L640">
        <v>58</v>
      </c>
      <c r="M640">
        <v>0.2</v>
      </c>
      <c r="N640">
        <v>150</v>
      </c>
      <c r="O640">
        <v>0.25</v>
      </c>
      <c r="P640">
        <v>0</v>
      </c>
      <c r="Q640">
        <v>0</v>
      </c>
      <c r="R640">
        <v>0</v>
      </c>
      <c r="S640">
        <v>0</v>
      </c>
      <c r="T640">
        <v>0.32619999999999999</v>
      </c>
      <c r="U640">
        <v>-4.4000000000000003E-3</v>
      </c>
      <c r="V640">
        <v>1E-4</v>
      </c>
      <c r="W640">
        <v>-0.22309999999999999</v>
      </c>
      <c r="X640">
        <v>7.2900000000000006E-2</v>
      </c>
      <c r="Y640">
        <v>-1.6999999999999999E-3</v>
      </c>
      <c r="Z640">
        <v>153</v>
      </c>
      <c r="AA640">
        <v>0.15</v>
      </c>
      <c r="AB640">
        <v>134</v>
      </c>
      <c r="AC640">
        <v>0.3</v>
      </c>
      <c r="AD640">
        <v>0</v>
      </c>
      <c r="AE640">
        <v>0</v>
      </c>
      <c r="AF640">
        <v>0.2225</v>
      </c>
      <c r="AG640">
        <v>290</v>
      </c>
      <c r="AH640">
        <v>0</v>
      </c>
    </row>
    <row r="641" spans="1:34" x14ac:dyDescent="0.35">
      <c r="A641" t="s">
        <v>34</v>
      </c>
      <c r="B641" s="1">
        <v>46146.65625</v>
      </c>
      <c r="C641" t="s">
        <v>34</v>
      </c>
      <c r="D641" s="1">
        <v>46148.625</v>
      </c>
      <c r="E641">
        <v>6765</v>
      </c>
      <c r="F641" t="s">
        <v>36</v>
      </c>
      <c r="G641">
        <v>0.2</v>
      </c>
      <c r="H641">
        <v>0.2</v>
      </c>
      <c r="I641">
        <v>0.2</v>
      </c>
      <c r="J641">
        <v>0.2</v>
      </c>
      <c r="K641">
        <v>3</v>
      </c>
      <c r="L641">
        <v>146</v>
      </c>
      <c r="M641">
        <v>0.2</v>
      </c>
      <c r="N641">
        <v>71</v>
      </c>
      <c r="O641">
        <v>0.25</v>
      </c>
      <c r="P641">
        <v>0</v>
      </c>
      <c r="Q641">
        <v>0</v>
      </c>
      <c r="R641">
        <v>0</v>
      </c>
      <c r="S641">
        <v>0</v>
      </c>
      <c r="T641">
        <v>0.32269999999999999</v>
      </c>
      <c r="U641">
        <v>-4.4000000000000003E-3</v>
      </c>
      <c r="V641">
        <v>1E-4</v>
      </c>
      <c r="W641">
        <v>-0.22309999999999999</v>
      </c>
      <c r="X641">
        <v>7.3599999999999999E-2</v>
      </c>
      <c r="Y641">
        <v>-1.6999999999999999E-3</v>
      </c>
      <c r="Z641">
        <v>156</v>
      </c>
      <c r="AA641">
        <v>0.15</v>
      </c>
      <c r="AB641">
        <v>134</v>
      </c>
      <c r="AC641">
        <v>0.3</v>
      </c>
      <c r="AD641">
        <v>0</v>
      </c>
      <c r="AE641">
        <v>0</v>
      </c>
      <c r="AF641">
        <v>0.2</v>
      </c>
      <c r="AG641">
        <v>27</v>
      </c>
      <c r="AH641">
        <v>0</v>
      </c>
    </row>
    <row r="642" spans="1:34" x14ac:dyDescent="0.35">
      <c r="A642" t="s">
        <v>34</v>
      </c>
      <c r="B642" s="1">
        <v>46146.65625</v>
      </c>
      <c r="C642" t="s">
        <v>34</v>
      </c>
      <c r="D642" s="1">
        <v>46148.625</v>
      </c>
      <c r="E642">
        <v>6770</v>
      </c>
      <c r="F642" t="s">
        <v>36</v>
      </c>
      <c r="G642">
        <v>0.34</v>
      </c>
      <c r="H642">
        <v>0.6</v>
      </c>
      <c r="I642">
        <v>0.2</v>
      </c>
      <c r="J642">
        <v>0.2</v>
      </c>
      <c r="K642">
        <v>157</v>
      </c>
      <c r="L642">
        <v>173</v>
      </c>
      <c r="M642">
        <v>0.2</v>
      </c>
      <c r="N642">
        <v>92</v>
      </c>
      <c r="O642">
        <v>0.25</v>
      </c>
      <c r="P642">
        <v>0</v>
      </c>
      <c r="Q642">
        <v>0</v>
      </c>
      <c r="R642">
        <v>0</v>
      </c>
      <c r="S642">
        <v>0</v>
      </c>
      <c r="T642">
        <v>0.31929999999999997</v>
      </c>
      <c r="U642">
        <v>-4.4999999999999997E-3</v>
      </c>
      <c r="V642">
        <v>1E-4</v>
      </c>
      <c r="W642">
        <v>-0.22309999999999999</v>
      </c>
      <c r="X642">
        <v>7.4300000000000005E-2</v>
      </c>
      <c r="Y642">
        <v>-1.6999999999999999E-3</v>
      </c>
      <c r="Z642">
        <v>150</v>
      </c>
      <c r="AA642">
        <v>0.15</v>
      </c>
      <c r="AB642">
        <v>133</v>
      </c>
      <c r="AC642">
        <v>0.3</v>
      </c>
      <c r="AD642">
        <v>0</v>
      </c>
      <c r="AE642">
        <v>0</v>
      </c>
      <c r="AF642">
        <v>0.50539999999999996</v>
      </c>
      <c r="AG642">
        <v>247</v>
      </c>
      <c r="AH642">
        <v>0</v>
      </c>
    </row>
    <row r="643" spans="1:34" x14ac:dyDescent="0.35">
      <c r="A643" t="s">
        <v>34</v>
      </c>
      <c r="B643" s="1">
        <v>46146.65625</v>
      </c>
      <c r="C643" t="s">
        <v>34</v>
      </c>
      <c r="D643" s="1">
        <v>46148.625</v>
      </c>
      <c r="E643">
        <v>6775</v>
      </c>
      <c r="F643" t="s">
        <v>36</v>
      </c>
      <c r="G643">
        <v>0.3</v>
      </c>
      <c r="H643">
        <v>0.75</v>
      </c>
      <c r="I643">
        <v>0.2</v>
      </c>
      <c r="J643">
        <v>0.2</v>
      </c>
      <c r="K643">
        <v>221</v>
      </c>
      <c r="L643">
        <v>355</v>
      </c>
      <c r="M643">
        <v>0.2</v>
      </c>
      <c r="N643">
        <v>31</v>
      </c>
      <c r="O643">
        <v>0.25</v>
      </c>
      <c r="P643">
        <v>0</v>
      </c>
      <c r="Q643">
        <v>0</v>
      </c>
      <c r="R643">
        <v>0</v>
      </c>
      <c r="S643">
        <v>0</v>
      </c>
      <c r="T643">
        <v>0.31609999999999999</v>
      </c>
      <c r="U643">
        <v>-4.4999999999999997E-3</v>
      </c>
      <c r="V643">
        <v>1E-4</v>
      </c>
      <c r="W643">
        <v>-0.22309999999999999</v>
      </c>
      <c r="X643">
        <v>7.4999999999999997E-2</v>
      </c>
      <c r="Y643">
        <v>-1.6999999999999999E-3</v>
      </c>
      <c r="Z643">
        <v>81</v>
      </c>
      <c r="AA643">
        <v>0.2</v>
      </c>
      <c r="AB643">
        <v>143</v>
      </c>
      <c r="AC643">
        <v>0.3</v>
      </c>
      <c r="AD643">
        <v>0</v>
      </c>
      <c r="AE643">
        <v>0</v>
      </c>
      <c r="AF643">
        <v>0.24299999999999999</v>
      </c>
      <c r="AG643">
        <v>4225</v>
      </c>
      <c r="AH643">
        <v>0</v>
      </c>
    </row>
    <row r="644" spans="1:34" x14ac:dyDescent="0.35">
      <c r="A644" t="s">
        <v>34</v>
      </c>
      <c r="B644" s="1">
        <v>46146.65625</v>
      </c>
      <c r="C644" t="s">
        <v>34</v>
      </c>
      <c r="D644" s="1">
        <v>46148.625</v>
      </c>
      <c r="E644">
        <v>6780</v>
      </c>
      <c r="F644" t="s">
        <v>36</v>
      </c>
      <c r="G644">
        <v>0.3</v>
      </c>
      <c r="H644">
        <v>0.66</v>
      </c>
      <c r="I644">
        <v>0.22</v>
      </c>
      <c r="J644">
        <v>0.22</v>
      </c>
      <c r="K644">
        <v>86</v>
      </c>
      <c r="L644">
        <v>376</v>
      </c>
      <c r="M644">
        <v>0.2</v>
      </c>
      <c r="N644">
        <v>12</v>
      </c>
      <c r="O644">
        <v>0.25</v>
      </c>
      <c r="P644">
        <v>0</v>
      </c>
      <c r="Q644">
        <v>0</v>
      </c>
      <c r="R644">
        <v>0</v>
      </c>
      <c r="S644">
        <v>0</v>
      </c>
      <c r="T644">
        <v>0.3125</v>
      </c>
      <c r="U644">
        <v>-4.4999999999999997E-3</v>
      </c>
      <c r="V644">
        <v>1E-4</v>
      </c>
      <c r="W644">
        <v>-0.22309999999999999</v>
      </c>
      <c r="X644">
        <v>7.5800000000000006E-2</v>
      </c>
      <c r="Y644">
        <v>-1.6999999999999999E-3</v>
      </c>
      <c r="Z644">
        <v>106</v>
      </c>
      <c r="AA644">
        <v>0.2</v>
      </c>
      <c r="AB644">
        <v>131</v>
      </c>
      <c r="AC644">
        <v>0.3</v>
      </c>
      <c r="AD644">
        <v>0</v>
      </c>
      <c r="AE644">
        <v>0</v>
      </c>
      <c r="AF644">
        <v>0.36480000000000001</v>
      </c>
      <c r="AG644">
        <v>2719</v>
      </c>
      <c r="AH644">
        <v>0</v>
      </c>
    </row>
    <row r="645" spans="1:34" x14ac:dyDescent="0.35">
      <c r="A645" t="s">
        <v>34</v>
      </c>
      <c r="B645" s="1">
        <v>46146.65625</v>
      </c>
      <c r="C645" t="s">
        <v>34</v>
      </c>
      <c r="D645" s="1">
        <v>46148.625</v>
      </c>
      <c r="E645">
        <v>6785</v>
      </c>
      <c r="F645" t="s">
        <v>36</v>
      </c>
      <c r="G645">
        <v>0.3</v>
      </c>
      <c r="H645">
        <v>0.3</v>
      </c>
      <c r="I645">
        <v>0.3</v>
      </c>
      <c r="J645">
        <v>0.3</v>
      </c>
      <c r="K645">
        <v>1</v>
      </c>
      <c r="L645">
        <v>380</v>
      </c>
      <c r="M645">
        <v>0.2</v>
      </c>
      <c r="N645">
        <v>304</v>
      </c>
      <c r="O645">
        <v>0.3</v>
      </c>
      <c r="P645">
        <v>0</v>
      </c>
      <c r="Q645">
        <v>0</v>
      </c>
      <c r="R645">
        <v>0</v>
      </c>
      <c r="S645">
        <v>0</v>
      </c>
      <c r="T645">
        <v>0.31259999999999999</v>
      </c>
      <c r="U645">
        <v>-5.0000000000000001E-3</v>
      </c>
      <c r="V645">
        <v>1E-4</v>
      </c>
      <c r="W645">
        <v>-0.24759999999999999</v>
      </c>
      <c r="X645">
        <v>8.2400000000000001E-2</v>
      </c>
      <c r="Y645">
        <v>-1.9E-3</v>
      </c>
      <c r="Z645">
        <v>151</v>
      </c>
      <c r="AA645">
        <v>0.2</v>
      </c>
      <c r="AB645">
        <v>57</v>
      </c>
      <c r="AC645">
        <v>0.3</v>
      </c>
      <c r="AD645">
        <v>0</v>
      </c>
      <c r="AE645">
        <v>0</v>
      </c>
      <c r="AF645">
        <v>0.3</v>
      </c>
      <c r="AG645">
        <v>197</v>
      </c>
      <c r="AH645">
        <v>0</v>
      </c>
    </row>
    <row r="646" spans="1:34" x14ac:dyDescent="0.35">
      <c r="A646" t="s">
        <v>34</v>
      </c>
      <c r="B646" s="1">
        <v>46146.65625</v>
      </c>
      <c r="C646" t="s">
        <v>34</v>
      </c>
      <c r="D646" s="1">
        <v>46148.625</v>
      </c>
      <c r="E646">
        <v>6790</v>
      </c>
      <c r="F646" t="s">
        <v>36</v>
      </c>
      <c r="G646">
        <v>0.28999999999999998</v>
      </c>
      <c r="H646">
        <v>0.7</v>
      </c>
      <c r="I646">
        <v>0.2</v>
      </c>
      <c r="J646">
        <v>0.22</v>
      </c>
      <c r="K646">
        <v>76</v>
      </c>
      <c r="L646">
        <v>433</v>
      </c>
      <c r="M646">
        <v>0.2</v>
      </c>
      <c r="N646">
        <v>231</v>
      </c>
      <c r="O646">
        <v>0.3</v>
      </c>
      <c r="P646">
        <v>0</v>
      </c>
      <c r="Q646">
        <v>0</v>
      </c>
      <c r="R646">
        <v>0</v>
      </c>
      <c r="S646">
        <v>0</v>
      </c>
      <c r="T646">
        <v>0.30909999999999999</v>
      </c>
      <c r="U646">
        <v>-5.0000000000000001E-3</v>
      </c>
      <c r="V646">
        <v>1E-4</v>
      </c>
      <c r="W646">
        <v>-0.24759999999999999</v>
      </c>
      <c r="X646">
        <v>8.3199999999999996E-2</v>
      </c>
      <c r="Y646">
        <v>-1.9E-3</v>
      </c>
      <c r="Z646">
        <v>148</v>
      </c>
      <c r="AA646">
        <v>0.2</v>
      </c>
      <c r="AB646">
        <v>56</v>
      </c>
      <c r="AC646">
        <v>0.3</v>
      </c>
      <c r="AD646">
        <v>0</v>
      </c>
      <c r="AE646">
        <v>0</v>
      </c>
      <c r="AF646">
        <v>0.372</v>
      </c>
      <c r="AG646">
        <v>315</v>
      </c>
      <c r="AH646">
        <v>0</v>
      </c>
    </row>
    <row r="647" spans="1:34" x14ac:dyDescent="0.35">
      <c r="A647" t="s">
        <v>34</v>
      </c>
      <c r="B647" s="1">
        <v>46146.65625</v>
      </c>
      <c r="C647" t="s">
        <v>34</v>
      </c>
      <c r="D647" s="1">
        <v>46148.625</v>
      </c>
      <c r="E647">
        <v>6795</v>
      </c>
      <c r="F647" t="s">
        <v>36</v>
      </c>
      <c r="G647">
        <v>0.28000000000000003</v>
      </c>
      <c r="H647">
        <v>0.35</v>
      </c>
      <c r="I647">
        <v>0.25</v>
      </c>
      <c r="J647">
        <v>0.25</v>
      </c>
      <c r="K647">
        <v>7</v>
      </c>
      <c r="L647">
        <v>449</v>
      </c>
      <c r="M647">
        <v>0.2</v>
      </c>
      <c r="N647">
        <v>239</v>
      </c>
      <c r="O647">
        <v>0.3</v>
      </c>
      <c r="P647">
        <v>0</v>
      </c>
      <c r="Q647">
        <v>0</v>
      </c>
      <c r="R647">
        <v>0</v>
      </c>
      <c r="S647">
        <v>0</v>
      </c>
      <c r="T647">
        <v>0.30570000000000003</v>
      </c>
      <c r="U647">
        <v>-5.1000000000000004E-3</v>
      </c>
      <c r="V647">
        <v>1E-4</v>
      </c>
      <c r="W647">
        <v>-0.2475</v>
      </c>
      <c r="X647">
        <v>8.4099999999999994E-2</v>
      </c>
      <c r="Y647">
        <v>-2E-3</v>
      </c>
      <c r="Z647">
        <v>152</v>
      </c>
      <c r="AA647">
        <v>0.2</v>
      </c>
      <c r="AB647">
        <v>24</v>
      </c>
      <c r="AC647">
        <v>0.3</v>
      </c>
      <c r="AD647">
        <v>0</v>
      </c>
      <c r="AE647">
        <v>0</v>
      </c>
      <c r="AF647">
        <v>0.2757</v>
      </c>
      <c r="AG647">
        <v>254</v>
      </c>
      <c r="AH647">
        <v>0</v>
      </c>
    </row>
    <row r="648" spans="1:34" x14ac:dyDescent="0.35">
      <c r="A648" t="s">
        <v>34</v>
      </c>
      <c r="B648" s="1">
        <v>46146.65625</v>
      </c>
      <c r="C648" t="s">
        <v>34</v>
      </c>
      <c r="D648" s="1">
        <v>46148.625</v>
      </c>
      <c r="E648">
        <v>6800</v>
      </c>
      <c r="F648" t="s">
        <v>36</v>
      </c>
      <c r="G648">
        <v>0.35</v>
      </c>
      <c r="H648">
        <v>0.8</v>
      </c>
      <c r="I648">
        <v>0.2</v>
      </c>
      <c r="J648">
        <v>0.2</v>
      </c>
      <c r="K648">
        <v>1181</v>
      </c>
      <c r="L648">
        <v>36</v>
      </c>
      <c r="M648">
        <v>0.25</v>
      </c>
      <c r="N648">
        <v>220</v>
      </c>
      <c r="O648">
        <v>0.3</v>
      </c>
      <c r="P648">
        <v>0</v>
      </c>
      <c r="Q648">
        <v>0</v>
      </c>
      <c r="R648">
        <v>0</v>
      </c>
      <c r="S648">
        <v>0</v>
      </c>
      <c r="T648">
        <v>0.30549999999999999</v>
      </c>
      <c r="U648">
        <v>-5.5999999999999999E-3</v>
      </c>
      <c r="V648">
        <v>1E-4</v>
      </c>
      <c r="W648">
        <v>-0.27179999999999999</v>
      </c>
      <c r="X648">
        <v>9.0700000000000003E-2</v>
      </c>
      <c r="Y648">
        <v>-2.0999999999999999E-3</v>
      </c>
      <c r="Z648">
        <v>159</v>
      </c>
      <c r="AA648">
        <v>0.2</v>
      </c>
      <c r="AB648">
        <v>145</v>
      </c>
      <c r="AC648">
        <v>0.35</v>
      </c>
      <c r="AD648">
        <v>0</v>
      </c>
      <c r="AE648">
        <v>0</v>
      </c>
      <c r="AF648">
        <v>0.43390000000000001</v>
      </c>
      <c r="AG648">
        <v>1443</v>
      </c>
      <c r="AH648">
        <v>0</v>
      </c>
    </row>
    <row r="649" spans="1:34" x14ac:dyDescent="0.35">
      <c r="A649" t="s">
        <v>34</v>
      </c>
      <c r="B649" s="1">
        <v>46146.65625</v>
      </c>
      <c r="C649" t="s">
        <v>34</v>
      </c>
      <c r="D649" s="1">
        <v>46148.625</v>
      </c>
      <c r="E649">
        <v>6805</v>
      </c>
      <c r="F649" t="s">
        <v>36</v>
      </c>
      <c r="G649">
        <v>0.35</v>
      </c>
      <c r="H649">
        <v>0.35</v>
      </c>
      <c r="I649">
        <v>0.25</v>
      </c>
      <c r="J649">
        <v>0.25</v>
      </c>
      <c r="K649">
        <v>9</v>
      </c>
      <c r="L649">
        <v>81</v>
      </c>
      <c r="M649">
        <v>0.25</v>
      </c>
      <c r="N649">
        <v>70</v>
      </c>
      <c r="O649">
        <v>0.3</v>
      </c>
      <c r="P649">
        <v>0</v>
      </c>
      <c r="Q649">
        <v>0</v>
      </c>
      <c r="R649">
        <v>0</v>
      </c>
      <c r="S649">
        <v>0</v>
      </c>
      <c r="T649">
        <v>0.3019</v>
      </c>
      <c r="U649">
        <v>-5.5999999999999999E-3</v>
      </c>
      <c r="V649">
        <v>1E-4</v>
      </c>
      <c r="W649">
        <v>-0.27179999999999999</v>
      </c>
      <c r="X649">
        <v>9.1700000000000004E-2</v>
      </c>
      <c r="Y649">
        <v>-2.2000000000000001E-3</v>
      </c>
      <c r="Z649">
        <v>145</v>
      </c>
      <c r="AA649">
        <v>0.2</v>
      </c>
      <c r="AB649">
        <v>133</v>
      </c>
      <c r="AC649">
        <v>0.35</v>
      </c>
      <c r="AD649">
        <v>0</v>
      </c>
      <c r="AE649">
        <v>0</v>
      </c>
      <c r="AF649">
        <v>0.2611</v>
      </c>
      <c r="AG649">
        <v>50</v>
      </c>
      <c r="AH649">
        <v>0</v>
      </c>
    </row>
    <row r="650" spans="1:34" x14ac:dyDescent="0.35">
      <c r="A650" t="s">
        <v>34</v>
      </c>
      <c r="B650" s="1">
        <v>46146.65625</v>
      </c>
      <c r="C650" t="s">
        <v>34</v>
      </c>
      <c r="D650" s="1">
        <v>46148.625</v>
      </c>
      <c r="E650">
        <v>6810</v>
      </c>
      <c r="F650" t="s">
        <v>36</v>
      </c>
      <c r="G650">
        <v>0.35</v>
      </c>
      <c r="H650">
        <v>0.4</v>
      </c>
      <c r="I650">
        <v>0.25</v>
      </c>
      <c r="J650">
        <v>0.25</v>
      </c>
      <c r="K650">
        <v>58</v>
      </c>
      <c r="L650">
        <v>151</v>
      </c>
      <c r="M650">
        <v>0.25</v>
      </c>
      <c r="N650">
        <v>33</v>
      </c>
      <c r="O650">
        <v>0.3</v>
      </c>
      <c r="P650">
        <v>0</v>
      </c>
      <c r="Q650">
        <v>0</v>
      </c>
      <c r="R650">
        <v>0</v>
      </c>
      <c r="S650">
        <v>0</v>
      </c>
      <c r="T650">
        <v>0.29859999999999998</v>
      </c>
      <c r="U650">
        <v>-5.7000000000000002E-3</v>
      </c>
      <c r="V650">
        <v>1E-4</v>
      </c>
      <c r="W650">
        <v>-0.27189999999999998</v>
      </c>
      <c r="X650">
        <v>9.2600000000000002E-2</v>
      </c>
      <c r="Y650">
        <v>-2.2000000000000001E-3</v>
      </c>
      <c r="Z650">
        <v>144</v>
      </c>
      <c r="AA650">
        <v>0.2</v>
      </c>
      <c r="AB650">
        <v>132</v>
      </c>
      <c r="AC650">
        <v>0.35</v>
      </c>
      <c r="AD650">
        <v>0</v>
      </c>
      <c r="AE650">
        <v>0</v>
      </c>
      <c r="AF650">
        <v>0.34739999999999999</v>
      </c>
      <c r="AG650">
        <v>396</v>
      </c>
      <c r="AH650">
        <v>0</v>
      </c>
    </row>
    <row r="651" spans="1:34" x14ac:dyDescent="0.35">
      <c r="A651" t="s">
        <v>34</v>
      </c>
      <c r="B651" s="1">
        <v>46146.65625</v>
      </c>
      <c r="C651" t="s">
        <v>34</v>
      </c>
      <c r="D651" s="1">
        <v>46148.625</v>
      </c>
      <c r="E651">
        <v>6815</v>
      </c>
      <c r="F651" t="s">
        <v>36</v>
      </c>
      <c r="G651">
        <v>0.4</v>
      </c>
      <c r="H651">
        <v>0.4</v>
      </c>
      <c r="I651">
        <v>0.25</v>
      </c>
      <c r="J651">
        <v>0.25</v>
      </c>
      <c r="K651">
        <v>4</v>
      </c>
      <c r="L651">
        <v>335</v>
      </c>
      <c r="M651">
        <v>0.25</v>
      </c>
      <c r="N651">
        <v>9</v>
      </c>
      <c r="O651">
        <v>0.3</v>
      </c>
      <c r="P651">
        <v>0</v>
      </c>
      <c r="Q651">
        <v>0</v>
      </c>
      <c r="R651">
        <v>0</v>
      </c>
      <c r="S651">
        <v>0</v>
      </c>
      <c r="T651">
        <v>0.29499999999999998</v>
      </c>
      <c r="U651">
        <v>-5.7000000000000002E-3</v>
      </c>
      <c r="V651">
        <v>1E-4</v>
      </c>
      <c r="W651">
        <v>-0.27179999999999999</v>
      </c>
      <c r="X651">
        <v>9.3600000000000003E-2</v>
      </c>
      <c r="Y651">
        <v>-2.2000000000000001E-3</v>
      </c>
      <c r="Z651">
        <v>43</v>
      </c>
      <c r="AA651">
        <v>0.25</v>
      </c>
      <c r="AB651">
        <v>131</v>
      </c>
      <c r="AC651">
        <v>0.35</v>
      </c>
      <c r="AD651">
        <v>0</v>
      </c>
      <c r="AE651">
        <v>0</v>
      </c>
      <c r="AF651">
        <v>0.28749999999999998</v>
      </c>
      <c r="AG651">
        <v>86</v>
      </c>
      <c r="AH651">
        <v>0</v>
      </c>
    </row>
    <row r="652" spans="1:34" x14ac:dyDescent="0.35">
      <c r="A652" t="s">
        <v>34</v>
      </c>
      <c r="B652" s="1">
        <v>46146.65625</v>
      </c>
      <c r="C652" t="s">
        <v>34</v>
      </c>
      <c r="D652" s="1">
        <v>46148.625</v>
      </c>
      <c r="E652">
        <v>6820</v>
      </c>
      <c r="F652" t="s">
        <v>36</v>
      </c>
      <c r="G652">
        <v>0.4</v>
      </c>
      <c r="H652">
        <v>0.9</v>
      </c>
      <c r="I652">
        <v>0.28999999999999998</v>
      </c>
      <c r="J652">
        <v>0.28999999999999998</v>
      </c>
      <c r="K652">
        <v>160</v>
      </c>
      <c r="L652">
        <v>447</v>
      </c>
      <c r="M652">
        <v>0.25</v>
      </c>
      <c r="N652">
        <v>10</v>
      </c>
      <c r="O652">
        <v>0.3</v>
      </c>
      <c r="P652">
        <v>0</v>
      </c>
      <c r="Q652">
        <v>0</v>
      </c>
      <c r="R652">
        <v>0</v>
      </c>
      <c r="S652">
        <v>0</v>
      </c>
      <c r="T652">
        <v>0.29149999999999998</v>
      </c>
      <c r="U652">
        <v>-5.7999999999999996E-3</v>
      </c>
      <c r="V652">
        <v>1E-4</v>
      </c>
      <c r="W652">
        <v>-0.27179999999999999</v>
      </c>
      <c r="X652">
        <v>9.4600000000000004E-2</v>
      </c>
      <c r="Y652">
        <v>-2.2000000000000001E-3</v>
      </c>
      <c r="Z652">
        <v>79</v>
      </c>
      <c r="AA652">
        <v>0.25</v>
      </c>
      <c r="AB652">
        <v>88</v>
      </c>
      <c r="AC652">
        <v>0.35</v>
      </c>
      <c r="AD652">
        <v>0</v>
      </c>
      <c r="AE652">
        <v>0</v>
      </c>
      <c r="AF652">
        <v>0.40949999999999998</v>
      </c>
      <c r="AG652">
        <v>531</v>
      </c>
      <c r="AH652">
        <v>0</v>
      </c>
    </row>
    <row r="653" spans="1:34" x14ac:dyDescent="0.35">
      <c r="A653" t="s">
        <v>34</v>
      </c>
      <c r="B653" s="1">
        <v>46146.65625</v>
      </c>
      <c r="C653" t="s">
        <v>34</v>
      </c>
      <c r="D653" s="1">
        <v>46148.625</v>
      </c>
      <c r="E653">
        <v>6825</v>
      </c>
      <c r="F653" t="s">
        <v>36</v>
      </c>
      <c r="G653">
        <v>0.4</v>
      </c>
      <c r="H653">
        <v>0.98</v>
      </c>
      <c r="I653">
        <v>0.25</v>
      </c>
      <c r="J653">
        <v>0.25</v>
      </c>
      <c r="K653">
        <v>213</v>
      </c>
      <c r="L653">
        <v>551</v>
      </c>
      <c r="M653">
        <v>0.25</v>
      </c>
      <c r="N653">
        <v>9</v>
      </c>
      <c r="O653">
        <v>0.3</v>
      </c>
      <c r="P653">
        <v>0</v>
      </c>
      <c r="Q653">
        <v>0</v>
      </c>
      <c r="R653">
        <v>0</v>
      </c>
      <c r="S653">
        <v>0</v>
      </c>
      <c r="T653">
        <v>0.28799999999999998</v>
      </c>
      <c r="U653">
        <v>-5.8999999999999999E-3</v>
      </c>
      <c r="V653">
        <v>1E-4</v>
      </c>
      <c r="W653">
        <v>-0.2717</v>
      </c>
      <c r="X653">
        <v>9.5600000000000004E-2</v>
      </c>
      <c r="Y653">
        <v>-2.3E-3</v>
      </c>
      <c r="Z653">
        <v>127</v>
      </c>
      <c r="AA653">
        <v>0.25</v>
      </c>
      <c r="AB653">
        <v>33</v>
      </c>
      <c r="AC653">
        <v>0.35</v>
      </c>
      <c r="AD653">
        <v>0</v>
      </c>
      <c r="AE653">
        <v>0</v>
      </c>
      <c r="AF653">
        <v>0.59099999999999997</v>
      </c>
      <c r="AG653">
        <v>340</v>
      </c>
      <c r="AH653">
        <v>0</v>
      </c>
    </row>
    <row r="654" spans="1:34" x14ac:dyDescent="0.35">
      <c r="A654" t="s">
        <v>34</v>
      </c>
      <c r="B654" s="1">
        <v>46146.65625</v>
      </c>
      <c r="C654" t="s">
        <v>34</v>
      </c>
      <c r="D654" s="1">
        <v>46148.625</v>
      </c>
      <c r="E654">
        <v>6830</v>
      </c>
      <c r="F654" t="s">
        <v>36</v>
      </c>
      <c r="G654">
        <v>0.4</v>
      </c>
      <c r="H654">
        <v>0.97</v>
      </c>
      <c r="I654">
        <v>0.25</v>
      </c>
      <c r="J654">
        <v>0.25</v>
      </c>
      <c r="K654">
        <v>108</v>
      </c>
      <c r="L654">
        <v>68</v>
      </c>
      <c r="M654">
        <v>0.3</v>
      </c>
      <c r="N654">
        <v>197</v>
      </c>
      <c r="O654">
        <v>0.35</v>
      </c>
      <c r="P654">
        <v>0</v>
      </c>
      <c r="Q654">
        <v>0</v>
      </c>
      <c r="R654">
        <v>0</v>
      </c>
      <c r="S654">
        <v>0</v>
      </c>
      <c r="T654">
        <v>0.29010000000000002</v>
      </c>
      <c r="U654">
        <v>-6.7999999999999996E-3</v>
      </c>
      <c r="V654">
        <v>1E-4</v>
      </c>
      <c r="W654">
        <v>-0.32040000000000002</v>
      </c>
      <c r="X654">
        <v>0.1081</v>
      </c>
      <c r="Y654">
        <v>-2.5999999999999999E-3</v>
      </c>
      <c r="Z654">
        <v>144</v>
      </c>
      <c r="AA654">
        <v>0.25</v>
      </c>
      <c r="AB654">
        <v>32</v>
      </c>
      <c r="AC654">
        <v>0.35</v>
      </c>
      <c r="AD654">
        <v>0</v>
      </c>
      <c r="AE654">
        <v>0</v>
      </c>
      <c r="AF654">
        <v>0.35310000000000002</v>
      </c>
      <c r="AG654">
        <v>158</v>
      </c>
      <c r="AH654">
        <v>0</v>
      </c>
    </row>
    <row r="655" spans="1:34" x14ac:dyDescent="0.35">
      <c r="A655" t="s">
        <v>34</v>
      </c>
      <c r="B655" s="1">
        <v>46146.65625</v>
      </c>
      <c r="C655" t="s">
        <v>34</v>
      </c>
      <c r="D655" s="1">
        <v>46148.625</v>
      </c>
      <c r="E655">
        <v>6835</v>
      </c>
      <c r="F655" t="s">
        <v>36</v>
      </c>
      <c r="G655">
        <v>0.9</v>
      </c>
      <c r="H655">
        <v>1</v>
      </c>
      <c r="I655">
        <v>0.3</v>
      </c>
      <c r="J655">
        <v>0.3</v>
      </c>
      <c r="K655">
        <v>95</v>
      </c>
      <c r="L655">
        <v>62</v>
      </c>
      <c r="M655">
        <v>0.3</v>
      </c>
      <c r="N655">
        <v>59</v>
      </c>
      <c r="O655">
        <v>0.35</v>
      </c>
      <c r="P655">
        <v>0</v>
      </c>
      <c r="Q655">
        <v>0</v>
      </c>
      <c r="R655">
        <v>0</v>
      </c>
      <c r="S655">
        <v>0</v>
      </c>
      <c r="T655">
        <v>0.2863</v>
      </c>
      <c r="U655">
        <v>-6.7999999999999996E-3</v>
      </c>
      <c r="V655">
        <v>1E-4</v>
      </c>
      <c r="W655">
        <v>-0.32019999999999998</v>
      </c>
      <c r="X655">
        <v>0.10929999999999999</v>
      </c>
      <c r="Y655">
        <v>-2.5999999999999999E-3</v>
      </c>
      <c r="Z655">
        <v>143</v>
      </c>
      <c r="AA655">
        <v>0.25</v>
      </c>
      <c r="AB655">
        <v>143</v>
      </c>
      <c r="AC655">
        <v>0.4</v>
      </c>
      <c r="AD655">
        <v>0</v>
      </c>
      <c r="AE655">
        <v>0</v>
      </c>
      <c r="AF655">
        <v>0.61</v>
      </c>
      <c r="AG655">
        <v>270</v>
      </c>
      <c r="AH655">
        <v>0</v>
      </c>
    </row>
    <row r="656" spans="1:34" x14ac:dyDescent="0.35">
      <c r="A656" t="s">
        <v>34</v>
      </c>
      <c r="B656" s="1">
        <v>46146.65625</v>
      </c>
      <c r="C656" t="s">
        <v>34</v>
      </c>
      <c r="D656" s="1">
        <v>46148.625</v>
      </c>
      <c r="E656">
        <v>6840</v>
      </c>
      <c r="F656" t="s">
        <v>36</v>
      </c>
      <c r="G656">
        <v>0.45</v>
      </c>
      <c r="H656">
        <v>1.03</v>
      </c>
      <c r="I656">
        <v>0.3</v>
      </c>
      <c r="J656">
        <v>0.3</v>
      </c>
      <c r="K656">
        <v>92</v>
      </c>
      <c r="L656">
        <v>370</v>
      </c>
      <c r="M656">
        <v>0.3</v>
      </c>
      <c r="N656">
        <v>313</v>
      </c>
      <c r="O656">
        <v>0.4</v>
      </c>
      <c r="P656">
        <v>0</v>
      </c>
      <c r="Q656">
        <v>0</v>
      </c>
      <c r="R656">
        <v>0</v>
      </c>
      <c r="S656">
        <v>0</v>
      </c>
      <c r="T656">
        <v>0.2828</v>
      </c>
      <c r="U656">
        <v>-6.8999999999999999E-3</v>
      </c>
      <c r="V656">
        <v>1E-4</v>
      </c>
      <c r="W656">
        <v>-0.32029999999999997</v>
      </c>
      <c r="X656">
        <v>0.1105</v>
      </c>
      <c r="Y656">
        <v>-2.7000000000000001E-3</v>
      </c>
      <c r="Z656">
        <v>141</v>
      </c>
      <c r="AA656">
        <v>0.25</v>
      </c>
      <c r="AB656">
        <v>129</v>
      </c>
      <c r="AC656">
        <v>0.4</v>
      </c>
      <c r="AD656">
        <v>0</v>
      </c>
      <c r="AE656">
        <v>0</v>
      </c>
      <c r="AF656">
        <v>0.56789999999999996</v>
      </c>
      <c r="AG656">
        <v>253</v>
      </c>
      <c r="AH656">
        <v>0</v>
      </c>
    </row>
    <row r="657" spans="1:34" x14ac:dyDescent="0.35">
      <c r="A657" t="s">
        <v>34</v>
      </c>
      <c r="B657" s="1">
        <v>46146.65625</v>
      </c>
      <c r="C657" t="s">
        <v>34</v>
      </c>
      <c r="D657" s="1">
        <v>46148.625</v>
      </c>
      <c r="E657">
        <v>6845</v>
      </c>
      <c r="F657" t="s">
        <v>36</v>
      </c>
      <c r="G657">
        <v>0.4</v>
      </c>
      <c r="H657">
        <v>0.9</v>
      </c>
      <c r="I657">
        <v>0.3</v>
      </c>
      <c r="J657">
        <v>0.3</v>
      </c>
      <c r="K657">
        <v>114</v>
      </c>
      <c r="L657">
        <v>432</v>
      </c>
      <c r="M657">
        <v>0.3</v>
      </c>
      <c r="N657">
        <v>302</v>
      </c>
      <c r="O657">
        <v>0.4</v>
      </c>
      <c r="P657">
        <v>0</v>
      </c>
      <c r="Q657">
        <v>0</v>
      </c>
      <c r="R657">
        <v>0</v>
      </c>
      <c r="S657">
        <v>0</v>
      </c>
      <c r="T657">
        <v>0.2792</v>
      </c>
      <c r="U657">
        <v>-7.0000000000000001E-3</v>
      </c>
      <c r="V657">
        <v>1E-4</v>
      </c>
      <c r="W657">
        <v>-0.32019999999999998</v>
      </c>
      <c r="X657">
        <v>0.11169999999999999</v>
      </c>
      <c r="Y657">
        <v>-2.7000000000000001E-3</v>
      </c>
      <c r="Z657">
        <v>24</v>
      </c>
      <c r="AA657">
        <v>0.3</v>
      </c>
      <c r="AB657">
        <v>127</v>
      </c>
      <c r="AC657">
        <v>0.4</v>
      </c>
      <c r="AD657">
        <v>0</v>
      </c>
      <c r="AE657">
        <v>0</v>
      </c>
      <c r="AF657">
        <v>0.46050000000000002</v>
      </c>
      <c r="AG657">
        <v>703</v>
      </c>
      <c r="AH657">
        <v>0</v>
      </c>
    </row>
    <row r="658" spans="1:34" x14ac:dyDescent="0.35">
      <c r="A658" t="s">
        <v>34</v>
      </c>
      <c r="B658" s="1">
        <v>46146.65625</v>
      </c>
      <c r="C658" t="s">
        <v>34</v>
      </c>
      <c r="D658" s="1">
        <v>46148.625</v>
      </c>
      <c r="E658">
        <v>6850</v>
      </c>
      <c r="F658" t="s">
        <v>36</v>
      </c>
      <c r="G658">
        <v>0.44</v>
      </c>
      <c r="H658">
        <v>0.6</v>
      </c>
      <c r="I658">
        <v>0.3</v>
      </c>
      <c r="J658">
        <v>0.3</v>
      </c>
      <c r="K658">
        <v>447</v>
      </c>
      <c r="L658">
        <v>52</v>
      </c>
      <c r="M658">
        <v>0.35</v>
      </c>
      <c r="N658">
        <v>243</v>
      </c>
      <c r="O658">
        <v>0.4</v>
      </c>
      <c r="P658">
        <v>0</v>
      </c>
      <c r="Q658">
        <v>0</v>
      </c>
      <c r="R658">
        <v>0</v>
      </c>
      <c r="S658">
        <v>0</v>
      </c>
      <c r="T658">
        <v>0.27810000000000001</v>
      </c>
      <c r="U658">
        <v>-7.4999999999999997E-3</v>
      </c>
      <c r="V658">
        <v>1E-4</v>
      </c>
      <c r="W658">
        <v>-0.34439999999999998</v>
      </c>
      <c r="X658">
        <v>0.1187</v>
      </c>
      <c r="Y658">
        <v>-2.8999999999999998E-3</v>
      </c>
      <c r="Z658">
        <v>85</v>
      </c>
      <c r="AA658">
        <v>0.3</v>
      </c>
      <c r="AB658">
        <v>88</v>
      </c>
      <c r="AC658">
        <v>0.4</v>
      </c>
      <c r="AD658">
        <v>0</v>
      </c>
      <c r="AE658">
        <v>0</v>
      </c>
      <c r="AF658">
        <v>0.4274</v>
      </c>
      <c r="AG658">
        <v>1091</v>
      </c>
      <c r="AH658">
        <v>0</v>
      </c>
    </row>
    <row r="659" spans="1:34" x14ac:dyDescent="0.35">
      <c r="A659" t="s">
        <v>34</v>
      </c>
      <c r="B659" s="1">
        <v>46146.65625</v>
      </c>
      <c r="C659" t="s">
        <v>34</v>
      </c>
      <c r="D659" s="1">
        <v>46148.625</v>
      </c>
      <c r="E659">
        <v>6855</v>
      </c>
      <c r="F659" t="s">
        <v>36</v>
      </c>
      <c r="G659">
        <v>0.4</v>
      </c>
      <c r="H659">
        <v>1.1499999999999999</v>
      </c>
      <c r="I659">
        <v>0.35</v>
      </c>
      <c r="J659">
        <v>0.35</v>
      </c>
      <c r="K659">
        <v>24</v>
      </c>
      <c r="L659">
        <v>76</v>
      </c>
      <c r="M659">
        <v>0.35</v>
      </c>
      <c r="N659">
        <v>45</v>
      </c>
      <c r="O659">
        <v>0.4</v>
      </c>
      <c r="P659">
        <v>0</v>
      </c>
      <c r="Q659">
        <v>0</v>
      </c>
      <c r="R659">
        <v>0</v>
      </c>
      <c r="S659">
        <v>0</v>
      </c>
      <c r="T659">
        <v>0.27689999999999998</v>
      </c>
      <c r="U659">
        <v>-8.0000000000000002E-3</v>
      </c>
      <c r="V659">
        <v>2.0000000000000001E-4</v>
      </c>
      <c r="W659">
        <v>-0.36849999999999999</v>
      </c>
      <c r="X659">
        <v>0.12570000000000001</v>
      </c>
      <c r="Y659">
        <v>-3.0999999999999999E-3</v>
      </c>
      <c r="Z659">
        <v>110</v>
      </c>
      <c r="AA659">
        <v>0.3</v>
      </c>
      <c r="AB659">
        <v>32</v>
      </c>
      <c r="AC659">
        <v>0.4</v>
      </c>
      <c r="AD659">
        <v>0</v>
      </c>
      <c r="AE659">
        <v>0</v>
      </c>
      <c r="AF659">
        <v>0.48330000000000001</v>
      </c>
      <c r="AG659">
        <v>121</v>
      </c>
      <c r="AH659">
        <v>0</v>
      </c>
    </row>
    <row r="660" spans="1:34" x14ac:dyDescent="0.35">
      <c r="A660" t="s">
        <v>34</v>
      </c>
      <c r="B660" s="1">
        <v>46146.65625</v>
      </c>
      <c r="C660" t="s">
        <v>34</v>
      </c>
      <c r="D660" s="1">
        <v>46148.625</v>
      </c>
      <c r="E660">
        <v>6860</v>
      </c>
      <c r="F660" t="s">
        <v>36</v>
      </c>
      <c r="G660">
        <v>0.47</v>
      </c>
      <c r="H660">
        <v>1.25</v>
      </c>
      <c r="I660">
        <v>0.35</v>
      </c>
      <c r="J660">
        <v>0.35</v>
      </c>
      <c r="K660">
        <v>49</v>
      </c>
      <c r="L660">
        <v>339</v>
      </c>
      <c r="M660">
        <v>0.35</v>
      </c>
      <c r="N660">
        <v>267</v>
      </c>
      <c r="O660">
        <v>0.45</v>
      </c>
      <c r="P660">
        <v>0</v>
      </c>
      <c r="Q660">
        <v>0</v>
      </c>
      <c r="R660">
        <v>0</v>
      </c>
      <c r="S660">
        <v>0</v>
      </c>
      <c r="T660">
        <v>0.27289999999999998</v>
      </c>
      <c r="U660">
        <v>-8.0999999999999996E-3</v>
      </c>
      <c r="V660">
        <v>2.0000000000000001E-4</v>
      </c>
      <c r="W660">
        <v>-0.36840000000000001</v>
      </c>
      <c r="X660">
        <v>0.1273</v>
      </c>
      <c r="Y660">
        <v>-3.0999999999999999E-3</v>
      </c>
      <c r="Z660">
        <v>135</v>
      </c>
      <c r="AA660">
        <v>0.3</v>
      </c>
      <c r="AB660">
        <v>141</v>
      </c>
      <c r="AC660">
        <v>0.45</v>
      </c>
      <c r="AD660">
        <v>0</v>
      </c>
      <c r="AE660">
        <v>0</v>
      </c>
      <c r="AF660">
        <v>0.56940000000000002</v>
      </c>
      <c r="AG660">
        <v>342</v>
      </c>
      <c r="AH660">
        <v>0</v>
      </c>
    </row>
    <row r="661" spans="1:34" x14ac:dyDescent="0.35">
      <c r="A661" t="s">
        <v>34</v>
      </c>
      <c r="B661" s="1">
        <v>46146.65625</v>
      </c>
      <c r="C661" t="s">
        <v>34</v>
      </c>
      <c r="D661" s="1">
        <v>46148.625</v>
      </c>
      <c r="E661">
        <v>6865</v>
      </c>
      <c r="F661" t="s">
        <v>36</v>
      </c>
      <c r="G661">
        <v>0.5</v>
      </c>
      <c r="H661">
        <v>1.1499999999999999</v>
      </c>
      <c r="I661">
        <v>0.35</v>
      </c>
      <c r="J661">
        <v>0.4</v>
      </c>
      <c r="K661">
        <v>96</v>
      </c>
      <c r="L661">
        <v>428</v>
      </c>
      <c r="M661">
        <v>0.35</v>
      </c>
      <c r="N661">
        <v>216</v>
      </c>
      <c r="O661">
        <v>0.45</v>
      </c>
      <c r="P661">
        <v>0</v>
      </c>
      <c r="Q661">
        <v>0</v>
      </c>
      <c r="R661">
        <v>0</v>
      </c>
      <c r="S661">
        <v>0</v>
      </c>
      <c r="T661">
        <v>0.26950000000000002</v>
      </c>
      <c r="U661">
        <v>-8.2000000000000007E-3</v>
      </c>
      <c r="V661">
        <v>2.0000000000000001E-4</v>
      </c>
      <c r="W661">
        <v>-0.36840000000000001</v>
      </c>
      <c r="X661">
        <v>0.12870000000000001</v>
      </c>
      <c r="Y661">
        <v>-3.2000000000000002E-3</v>
      </c>
      <c r="Z661">
        <v>24</v>
      </c>
      <c r="AA661">
        <v>0.35</v>
      </c>
      <c r="AB661">
        <v>124</v>
      </c>
      <c r="AC661">
        <v>0.45</v>
      </c>
      <c r="AD661">
        <v>0</v>
      </c>
      <c r="AE661">
        <v>0</v>
      </c>
      <c r="AF661">
        <v>0.5776</v>
      </c>
      <c r="AG661">
        <v>307</v>
      </c>
      <c r="AH661">
        <v>0</v>
      </c>
    </row>
    <row r="662" spans="1:34" x14ac:dyDescent="0.35">
      <c r="A662" t="s">
        <v>34</v>
      </c>
      <c r="B662" s="1">
        <v>46146.65625</v>
      </c>
      <c r="C662" t="s">
        <v>34</v>
      </c>
      <c r="D662" s="1">
        <v>46148.625</v>
      </c>
      <c r="E662">
        <v>6870</v>
      </c>
      <c r="F662" t="s">
        <v>36</v>
      </c>
      <c r="G662">
        <v>0.53</v>
      </c>
      <c r="H662">
        <v>1.3</v>
      </c>
      <c r="I662">
        <v>0.4</v>
      </c>
      <c r="J662">
        <v>0.4</v>
      </c>
      <c r="K662">
        <v>79</v>
      </c>
      <c r="L662">
        <v>58</v>
      </c>
      <c r="M662">
        <v>0.4</v>
      </c>
      <c r="N662">
        <v>100</v>
      </c>
      <c r="O662">
        <v>0.45</v>
      </c>
      <c r="P662">
        <v>0</v>
      </c>
      <c r="Q662">
        <v>0</v>
      </c>
      <c r="R662">
        <v>0</v>
      </c>
      <c r="S662">
        <v>0</v>
      </c>
      <c r="T662">
        <v>0.26989999999999997</v>
      </c>
      <c r="U662">
        <v>-9.1999999999999998E-3</v>
      </c>
      <c r="V662">
        <v>2.0000000000000001E-4</v>
      </c>
      <c r="W662">
        <v>-0.41620000000000001</v>
      </c>
      <c r="X662">
        <v>0.1416</v>
      </c>
      <c r="Y662">
        <v>-3.5000000000000001E-3</v>
      </c>
      <c r="Z662">
        <v>59</v>
      </c>
      <c r="AA662">
        <v>0.35</v>
      </c>
      <c r="AB662">
        <v>87</v>
      </c>
      <c r="AC662">
        <v>0.45</v>
      </c>
      <c r="AD662">
        <v>0</v>
      </c>
      <c r="AE662">
        <v>0</v>
      </c>
      <c r="AF662">
        <v>0.70269999999999999</v>
      </c>
      <c r="AG662">
        <v>175</v>
      </c>
      <c r="AH662">
        <v>0</v>
      </c>
    </row>
    <row r="663" spans="1:34" x14ac:dyDescent="0.35">
      <c r="A663" t="s">
        <v>34</v>
      </c>
      <c r="B663" s="1">
        <v>46146.65625</v>
      </c>
      <c r="C663" t="s">
        <v>34</v>
      </c>
      <c r="D663" s="1">
        <v>46148.625</v>
      </c>
      <c r="E663">
        <v>6875</v>
      </c>
      <c r="F663" t="s">
        <v>36</v>
      </c>
      <c r="G663">
        <v>0.55000000000000004</v>
      </c>
      <c r="H663">
        <v>1.35</v>
      </c>
      <c r="I663">
        <v>0.4</v>
      </c>
      <c r="J663">
        <v>0.4</v>
      </c>
      <c r="K663">
        <v>272</v>
      </c>
      <c r="L663">
        <v>343</v>
      </c>
      <c r="M663">
        <v>0.4</v>
      </c>
      <c r="N663">
        <v>295</v>
      </c>
      <c r="O663">
        <v>0.5</v>
      </c>
      <c r="P663">
        <v>0</v>
      </c>
      <c r="Q663">
        <v>0</v>
      </c>
      <c r="R663">
        <v>0</v>
      </c>
      <c r="S663">
        <v>0</v>
      </c>
      <c r="T663">
        <v>0.2661</v>
      </c>
      <c r="U663">
        <v>-9.2999999999999992E-3</v>
      </c>
      <c r="V663">
        <v>2.0000000000000001E-4</v>
      </c>
      <c r="W663">
        <v>-0.41620000000000001</v>
      </c>
      <c r="X663">
        <v>0.1434</v>
      </c>
      <c r="Y663">
        <v>-3.5999999999999999E-3</v>
      </c>
      <c r="Z663">
        <v>70</v>
      </c>
      <c r="AA663">
        <v>0.35</v>
      </c>
      <c r="AB663">
        <v>32</v>
      </c>
      <c r="AC663">
        <v>0.45</v>
      </c>
      <c r="AD663">
        <v>0</v>
      </c>
      <c r="AE663">
        <v>0</v>
      </c>
      <c r="AF663">
        <v>0.53490000000000004</v>
      </c>
      <c r="AG663">
        <v>370</v>
      </c>
      <c r="AH663">
        <v>0</v>
      </c>
    </row>
    <row r="664" spans="1:34" x14ac:dyDescent="0.35">
      <c r="A664" t="s">
        <v>34</v>
      </c>
      <c r="B664" s="1">
        <v>46146.65625</v>
      </c>
      <c r="C664" t="s">
        <v>34</v>
      </c>
      <c r="D664" s="1">
        <v>46148.625</v>
      </c>
      <c r="E664">
        <v>6880</v>
      </c>
      <c r="F664" t="s">
        <v>36</v>
      </c>
      <c r="G664">
        <v>0.65</v>
      </c>
      <c r="H664">
        <v>1.55</v>
      </c>
      <c r="I664">
        <v>0.4</v>
      </c>
      <c r="J664">
        <v>0.4</v>
      </c>
      <c r="K664">
        <v>74</v>
      </c>
      <c r="L664">
        <v>27</v>
      </c>
      <c r="M664">
        <v>0.45</v>
      </c>
      <c r="N664">
        <v>200</v>
      </c>
      <c r="O664">
        <v>0.5</v>
      </c>
      <c r="P664">
        <v>0</v>
      </c>
      <c r="Q664">
        <v>0</v>
      </c>
      <c r="R664">
        <v>0</v>
      </c>
      <c r="S664">
        <v>0</v>
      </c>
      <c r="T664">
        <v>0.26650000000000001</v>
      </c>
      <c r="U664">
        <v>-1.0200000000000001E-2</v>
      </c>
      <c r="V664">
        <v>2.0000000000000001E-4</v>
      </c>
      <c r="W664">
        <v>-0.46410000000000001</v>
      </c>
      <c r="X664">
        <v>0.15570000000000001</v>
      </c>
      <c r="Y664">
        <v>-4.0000000000000001E-3</v>
      </c>
      <c r="Z664">
        <v>24</v>
      </c>
      <c r="AA664">
        <v>0.4</v>
      </c>
      <c r="AB664">
        <v>125</v>
      </c>
      <c r="AC664">
        <v>0.5</v>
      </c>
      <c r="AD664">
        <v>0</v>
      </c>
      <c r="AE664">
        <v>0</v>
      </c>
      <c r="AF664">
        <v>0.7127</v>
      </c>
      <c r="AG664">
        <v>338</v>
      </c>
      <c r="AH664">
        <v>0</v>
      </c>
    </row>
    <row r="665" spans="1:34" x14ac:dyDescent="0.35">
      <c r="A665" t="s">
        <v>34</v>
      </c>
      <c r="B665" s="1">
        <v>46146.65625</v>
      </c>
      <c r="C665" t="s">
        <v>34</v>
      </c>
      <c r="D665" s="1">
        <v>46148.625</v>
      </c>
      <c r="E665">
        <v>6885</v>
      </c>
      <c r="F665" t="s">
        <v>36</v>
      </c>
      <c r="G665">
        <v>0.55000000000000004</v>
      </c>
      <c r="H665">
        <v>1.45</v>
      </c>
      <c r="I665">
        <v>0.41</v>
      </c>
      <c r="J665">
        <v>0.41</v>
      </c>
      <c r="K665">
        <v>40</v>
      </c>
      <c r="L665">
        <v>55</v>
      </c>
      <c r="M665">
        <v>0.45</v>
      </c>
      <c r="N665">
        <v>36</v>
      </c>
      <c r="O665">
        <v>0.5</v>
      </c>
      <c r="P665">
        <v>0</v>
      </c>
      <c r="Q665">
        <v>0</v>
      </c>
      <c r="R665">
        <v>0</v>
      </c>
      <c r="S665">
        <v>0</v>
      </c>
      <c r="T665">
        <v>0.26279999999999998</v>
      </c>
      <c r="U665">
        <v>-1.04E-2</v>
      </c>
      <c r="V665">
        <v>2.0000000000000001E-4</v>
      </c>
      <c r="W665">
        <v>-0.46400000000000002</v>
      </c>
      <c r="X665">
        <v>0.15759999999999999</v>
      </c>
      <c r="Y665">
        <v>-4.0000000000000001E-3</v>
      </c>
      <c r="Z665">
        <v>25</v>
      </c>
      <c r="AA665">
        <v>0.4</v>
      </c>
      <c r="AB665">
        <v>64</v>
      </c>
      <c r="AC665">
        <v>0.5</v>
      </c>
      <c r="AD665">
        <v>0</v>
      </c>
      <c r="AE665">
        <v>0</v>
      </c>
      <c r="AF665">
        <v>0.62429999999999997</v>
      </c>
      <c r="AG665">
        <v>520</v>
      </c>
      <c r="AH665">
        <v>0</v>
      </c>
    </row>
    <row r="666" spans="1:34" x14ac:dyDescent="0.35">
      <c r="A666" t="s">
        <v>34</v>
      </c>
      <c r="B666" s="1">
        <v>46146.65625</v>
      </c>
      <c r="C666" t="s">
        <v>34</v>
      </c>
      <c r="D666" s="1">
        <v>46148.625</v>
      </c>
      <c r="E666">
        <v>6890</v>
      </c>
      <c r="F666" t="s">
        <v>36</v>
      </c>
      <c r="G666">
        <v>0.65</v>
      </c>
      <c r="H666">
        <v>1.8</v>
      </c>
      <c r="I666">
        <v>0.42</v>
      </c>
      <c r="J666">
        <v>0.42</v>
      </c>
      <c r="K666">
        <v>63</v>
      </c>
      <c r="L666">
        <v>2</v>
      </c>
      <c r="M666">
        <v>0.5</v>
      </c>
      <c r="N666">
        <v>228</v>
      </c>
      <c r="O666">
        <v>0.55000000000000004</v>
      </c>
      <c r="P666">
        <v>0</v>
      </c>
      <c r="Q666">
        <v>0</v>
      </c>
      <c r="R666">
        <v>0</v>
      </c>
      <c r="S666">
        <v>0</v>
      </c>
      <c r="T666">
        <v>0.2606</v>
      </c>
      <c r="U666">
        <v>-1.09E-2</v>
      </c>
      <c r="V666">
        <v>2.0000000000000001E-4</v>
      </c>
      <c r="W666">
        <v>-0.48770000000000002</v>
      </c>
      <c r="X666">
        <v>0.16489999999999999</v>
      </c>
      <c r="Y666">
        <v>-4.1999999999999997E-3</v>
      </c>
      <c r="Z666">
        <v>58</v>
      </c>
      <c r="AA666">
        <v>0.4</v>
      </c>
      <c r="AB666">
        <v>32</v>
      </c>
      <c r="AC666">
        <v>0.5</v>
      </c>
      <c r="AD666">
        <v>0</v>
      </c>
      <c r="AE666">
        <v>0</v>
      </c>
      <c r="AF666">
        <v>0.93269999999999997</v>
      </c>
      <c r="AG666">
        <v>215</v>
      </c>
      <c r="AH666">
        <v>0</v>
      </c>
    </row>
    <row r="667" spans="1:34" x14ac:dyDescent="0.35">
      <c r="A667" t="s">
        <v>34</v>
      </c>
      <c r="B667" s="1">
        <v>46146.65625</v>
      </c>
      <c r="C667" t="s">
        <v>34</v>
      </c>
      <c r="D667" s="1">
        <v>46148.625</v>
      </c>
      <c r="E667">
        <v>6895</v>
      </c>
      <c r="F667" t="s">
        <v>36</v>
      </c>
      <c r="G667">
        <v>0.45</v>
      </c>
      <c r="H667">
        <v>1.65</v>
      </c>
      <c r="I667">
        <v>0.45</v>
      </c>
      <c r="J667">
        <v>0.45</v>
      </c>
      <c r="K667">
        <v>56</v>
      </c>
      <c r="L667">
        <v>37</v>
      </c>
      <c r="M667">
        <v>0.5</v>
      </c>
      <c r="N667">
        <v>83</v>
      </c>
      <c r="O667">
        <v>0.55000000000000004</v>
      </c>
      <c r="P667">
        <v>0</v>
      </c>
      <c r="Q667">
        <v>0</v>
      </c>
      <c r="R667">
        <v>0</v>
      </c>
      <c r="S667">
        <v>0</v>
      </c>
      <c r="T667">
        <v>0.25869999999999999</v>
      </c>
      <c r="U667">
        <v>-1.15E-2</v>
      </c>
      <c r="V667">
        <v>2.0000000000000001E-4</v>
      </c>
      <c r="W667">
        <v>-0.51139999999999997</v>
      </c>
      <c r="X667">
        <v>0.1721</v>
      </c>
      <c r="Y667">
        <v>-4.4999999999999997E-3</v>
      </c>
      <c r="Z667">
        <v>25</v>
      </c>
      <c r="AA667">
        <v>0.45</v>
      </c>
      <c r="AB667">
        <v>84</v>
      </c>
      <c r="AC667">
        <v>0.55000000000000004</v>
      </c>
      <c r="AD667">
        <v>0</v>
      </c>
      <c r="AE667">
        <v>0</v>
      </c>
      <c r="AF667">
        <v>0.91839999999999999</v>
      </c>
      <c r="AG667">
        <v>137</v>
      </c>
      <c r="AH667">
        <v>0</v>
      </c>
    </row>
    <row r="668" spans="1:34" x14ac:dyDescent="0.35">
      <c r="A668" t="s">
        <v>34</v>
      </c>
      <c r="B668" s="1">
        <v>46146.65625</v>
      </c>
      <c r="C668" t="s">
        <v>34</v>
      </c>
      <c r="D668" s="1">
        <v>46148.625</v>
      </c>
      <c r="E668">
        <v>6900</v>
      </c>
      <c r="F668" t="s">
        <v>36</v>
      </c>
      <c r="G668">
        <v>0.7</v>
      </c>
      <c r="H668">
        <v>1.95</v>
      </c>
      <c r="I668">
        <v>0.4</v>
      </c>
      <c r="J668">
        <v>0.48</v>
      </c>
      <c r="K668">
        <v>676</v>
      </c>
      <c r="L668">
        <v>332</v>
      </c>
      <c r="M668">
        <v>0.5</v>
      </c>
      <c r="N668">
        <v>9</v>
      </c>
      <c r="O668">
        <v>0.55000000000000004</v>
      </c>
      <c r="P668">
        <v>0</v>
      </c>
      <c r="Q668">
        <v>0</v>
      </c>
      <c r="R668">
        <v>0</v>
      </c>
      <c r="S668">
        <v>0</v>
      </c>
      <c r="T668">
        <v>0.2545</v>
      </c>
      <c r="U668">
        <v>-1.17E-2</v>
      </c>
      <c r="V668">
        <v>2.0000000000000001E-4</v>
      </c>
      <c r="W668">
        <v>-0.5111</v>
      </c>
      <c r="X668">
        <v>0.17449999999999999</v>
      </c>
      <c r="Y668">
        <v>-4.4999999999999997E-3</v>
      </c>
      <c r="Z668">
        <v>64</v>
      </c>
      <c r="AA668">
        <v>0.45</v>
      </c>
      <c r="AB668">
        <v>53</v>
      </c>
      <c r="AC668">
        <v>0.55000000000000004</v>
      </c>
      <c r="AD668">
        <v>0</v>
      </c>
      <c r="AE668">
        <v>0</v>
      </c>
      <c r="AF668">
        <v>0.98560000000000003</v>
      </c>
      <c r="AG668">
        <v>1097</v>
      </c>
      <c r="AH668">
        <v>0</v>
      </c>
    </row>
    <row r="669" spans="1:34" x14ac:dyDescent="0.35">
      <c r="A669" t="s">
        <v>34</v>
      </c>
      <c r="B669" s="1">
        <v>46146.65625</v>
      </c>
      <c r="C669" t="s">
        <v>34</v>
      </c>
      <c r="D669" s="1">
        <v>46148.625</v>
      </c>
      <c r="E669">
        <v>6905</v>
      </c>
      <c r="F669" t="s">
        <v>36</v>
      </c>
      <c r="G669">
        <v>1.35</v>
      </c>
      <c r="H669">
        <v>2.2000000000000002</v>
      </c>
      <c r="I669">
        <v>0.5</v>
      </c>
      <c r="J669">
        <v>0.5</v>
      </c>
      <c r="K669">
        <v>86</v>
      </c>
      <c r="L669">
        <v>37</v>
      </c>
      <c r="M669">
        <v>0.55000000000000004</v>
      </c>
      <c r="N669">
        <v>71</v>
      </c>
      <c r="O669">
        <v>0.6</v>
      </c>
      <c r="P669">
        <v>0</v>
      </c>
      <c r="Q669">
        <v>0</v>
      </c>
      <c r="R669">
        <v>0</v>
      </c>
      <c r="S669">
        <v>0</v>
      </c>
      <c r="T669">
        <v>0.25419999999999998</v>
      </c>
      <c r="U669">
        <v>-1.2699999999999999E-2</v>
      </c>
      <c r="V669">
        <v>2.0000000000000001E-4</v>
      </c>
      <c r="W669">
        <v>-0.5585</v>
      </c>
      <c r="X669">
        <v>0.187</v>
      </c>
      <c r="Y669">
        <v>-4.8999999999999998E-3</v>
      </c>
      <c r="Z669">
        <v>78</v>
      </c>
      <c r="AA669">
        <v>0.45</v>
      </c>
      <c r="AB669">
        <v>120</v>
      </c>
      <c r="AC669">
        <v>0.6</v>
      </c>
      <c r="AD669">
        <v>0</v>
      </c>
      <c r="AE669">
        <v>0</v>
      </c>
      <c r="AF669">
        <v>1.1583000000000001</v>
      </c>
      <c r="AG669">
        <v>268</v>
      </c>
      <c r="AH669">
        <v>0</v>
      </c>
    </row>
    <row r="670" spans="1:34" x14ac:dyDescent="0.35">
      <c r="A670" t="s">
        <v>34</v>
      </c>
      <c r="B670" s="1">
        <v>46146.65625</v>
      </c>
      <c r="C670" t="s">
        <v>34</v>
      </c>
      <c r="D670" s="1">
        <v>46148.625</v>
      </c>
      <c r="E670">
        <v>6910</v>
      </c>
      <c r="F670" t="s">
        <v>36</v>
      </c>
      <c r="G670">
        <v>0.75</v>
      </c>
      <c r="H670">
        <v>2.25</v>
      </c>
      <c r="I670">
        <v>0.5</v>
      </c>
      <c r="J670">
        <v>0.5</v>
      </c>
      <c r="K670">
        <v>391</v>
      </c>
      <c r="L670">
        <v>25</v>
      </c>
      <c r="M670">
        <v>0.6</v>
      </c>
      <c r="N670">
        <v>178</v>
      </c>
      <c r="O670">
        <v>0.65</v>
      </c>
      <c r="P670">
        <v>0</v>
      </c>
      <c r="Q670">
        <v>0</v>
      </c>
      <c r="R670">
        <v>0</v>
      </c>
      <c r="S670">
        <v>0</v>
      </c>
      <c r="T670">
        <v>0.25319999999999998</v>
      </c>
      <c r="U670">
        <v>-1.37E-2</v>
      </c>
      <c r="V670">
        <v>2.9999999999999997E-4</v>
      </c>
      <c r="W670">
        <v>-0.60550000000000004</v>
      </c>
      <c r="X670">
        <v>0.19980000000000001</v>
      </c>
      <c r="Y670">
        <v>-5.3E-3</v>
      </c>
      <c r="Z670">
        <v>26</v>
      </c>
      <c r="AA670">
        <v>0.5</v>
      </c>
      <c r="AB670">
        <v>54</v>
      </c>
      <c r="AC670">
        <v>0.6</v>
      </c>
      <c r="AD670">
        <v>0</v>
      </c>
      <c r="AE670">
        <v>0</v>
      </c>
      <c r="AF670">
        <v>0.67530000000000001</v>
      </c>
      <c r="AG670">
        <v>225</v>
      </c>
      <c r="AH670">
        <v>0</v>
      </c>
    </row>
    <row r="671" spans="1:34" x14ac:dyDescent="0.35">
      <c r="A671" t="s">
        <v>34</v>
      </c>
      <c r="B671" s="1">
        <v>46146.65625</v>
      </c>
      <c r="C671" t="s">
        <v>34</v>
      </c>
      <c r="D671" s="1">
        <v>46148.625</v>
      </c>
      <c r="E671">
        <v>6915</v>
      </c>
      <c r="F671" t="s">
        <v>36</v>
      </c>
      <c r="G671">
        <v>0.68</v>
      </c>
      <c r="H671">
        <v>1.9</v>
      </c>
      <c r="I671">
        <v>0.55000000000000004</v>
      </c>
      <c r="J671">
        <v>0.55000000000000004</v>
      </c>
      <c r="K671">
        <v>63</v>
      </c>
      <c r="L671">
        <v>61</v>
      </c>
      <c r="M671">
        <v>0.6</v>
      </c>
      <c r="N671">
        <v>9</v>
      </c>
      <c r="O671">
        <v>0.65</v>
      </c>
      <c r="P671">
        <v>0</v>
      </c>
      <c r="Q671">
        <v>0</v>
      </c>
      <c r="R671">
        <v>0</v>
      </c>
      <c r="S671">
        <v>0</v>
      </c>
      <c r="T671">
        <v>0.249</v>
      </c>
      <c r="U671">
        <v>-1.3899999999999999E-2</v>
      </c>
      <c r="V671">
        <v>2.9999999999999997E-4</v>
      </c>
      <c r="W671">
        <v>-0.60509999999999997</v>
      </c>
      <c r="X671">
        <v>0.2026</v>
      </c>
      <c r="Y671">
        <v>-5.4000000000000003E-3</v>
      </c>
      <c r="Z671">
        <v>75</v>
      </c>
      <c r="AA671">
        <v>0.5</v>
      </c>
      <c r="AB671">
        <v>117</v>
      </c>
      <c r="AC671">
        <v>0.65</v>
      </c>
      <c r="AD671">
        <v>0</v>
      </c>
      <c r="AE671">
        <v>0</v>
      </c>
      <c r="AF671">
        <v>1.1106</v>
      </c>
      <c r="AG671">
        <v>136</v>
      </c>
      <c r="AH671">
        <v>0</v>
      </c>
    </row>
    <row r="672" spans="1:34" x14ac:dyDescent="0.35">
      <c r="A672" t="s">
        <v>34</v>
      </c>
      <c r="B672" s="1">
        <v>46146.65625</v>
      </c>
      <c r="C672" t="s">
        <v>34</v>
      </c>
      <c r="D672" s="1">
        <v>46148.625</v>
      </c>
      <c r="E672">
        <v>6920</v>
      </c>
      <c r="F672" t="s">
        <v>36</v>
      </c>
      <c r="G672">
        <v>0.7</v>
      </c>
      <c r="H672">
        <v>2.2999999999999998</v>
      </c>
      <c r="I672">
        <v>0.55000000000000004</v>
      </c>
      <c r="J672">
        <v>0.6</v>
      </c>
      <c r="K672">
        <v>172</v>
      </c>
      <c r="L672">
        <v>28</v>
      </c>
      <c r="M672">
        <v>0.65</v>
      </c>
      <c r="N672">
        <v>82</v>
      </c>
      <c r="O672">
        <v>0.7</v>
      </c>
      <c r="P672">
        <v>0</v>
      </c>
      <c r="Q672">
        <v>0</v>
      </c>
      <c r="R672">
        <v>0</v>
      </c>
      <c r="S672">
        <v>0</v>
      </c>
      <c r="T672">
        <v>0.24740000000000001</v>
      </c>
      <c r="U672">
        <v>-1.4999999999999999E-2</v>
      </c>
      <c r="V672">
        <v>2.9999999999999997E-4</v>
      </c>
      <c r="W672">
        <v>-0.65169999999999995</v>
      </c>
      <c r="X672">
        <v>0.21579999999999999</v>
      </c>
      <c r="Y672">
        <v>-5.7999999999999996E-3</v>
      </c>
      <c r="Z672">
        <v>26</v>
      </c>
      <c r="AA672">
        <v>0.55000000000000004</v>
      </c>
      <c r="AB672">
        <v>32</v>
      </c>
      <c r="AC672">
        <v>0.65</v>
      </c>
      <c r="AD672">
        <v>0</v>
      </c>
      <c r="AE672">
        <v>0</v>
      </c>
      <c r="AF672">
        <v>0.97330000000000005</v>
      </c>
      <c r="AG672">
        <v>375</v>
      </c>
      <c r="AH672">
        <v>0</v>
      </c>
    </row>
    <row r="673" spans="1:34" x14ac:dyDescent="0.35">
      <c r="A673" t="s">
        <v>34</v>
      </c>
      <c r="B673" s="1">
        <v>46146.65625</v>
      </c>
      <c r="C673" t="s">
        <v>34</v>
      </c>
      <c r="D673" s="1">
        <v>46148.625</v>
      </c>
      <c r="E673">
        <v>6925</v>
      </c>
      <c r="F673" t="s">
        <v>36</v>
      </c>
      <c r="G673">
        <v>0.86</v>
      </c>
      <c r="H673">
        <v>2.5499999999999998</v>
      </c>
      <c r="I673">
        <v>0.55000000000000004</v>
      </c>
      <c r="J673">
        <v>0.6</v>
      </c>
      <c r="K673">
        <v>317</v>
      </c>
      <c r="L673">
        <v>24</v>
      </c>
      <c r="M673">
        <v>0.7</v>
      </c>
      <c r="N673">
        <v>158</v>
      </c>
      <c r="O673">
        <v>0.75</v>
      </c>
      <c r="P673">
        <v>0</v>
      </c>
      <c r="Q673">
        <v>0</v>
      </c>
      <c r="R673">
        <v>0</v>
      </c>
      <c r="S673">
        <v>0</v>
      </c>
      <c r="T673">
        <v>0.2467</v>
      </c>
      <c r="U673">
        <v>-1.6E-2</v>
      </c>
      <c r="V673">
        <v>2.9999999999999997E-4</v>
      </c>
      <c r="W673">
        <v>-0.69840000000000002</v>
      </c>
      <c r="X673">
        <v>0.22789999999999999</v>
      </c>
      <c r="Y673">
        <v>-6.1999999999999998E-3</v>
      </c>
      <c r="Z673">
        <v>81</v>
      </c>
      <c r="AA673">
        <v>0.55000000000000004</v>
      </c>
      <c r="AB673">
        <v>113</v>
      </c>
      <c r="AC673">
        <v>0.7</v>
      </c>
      <c r="AD673">
        <v>0</v>
      </c>
      <c r="AE673">
        <v>0</v>
      </c>
      <c r="AF673">
        <v>1.0387</v>
      </c>
      <c r="AG673">
        <v>859</v>
      </c>
      <c r="AH673">
        <v>0</v>
      </c>
    </row>
    <row r="674" spans="1:34" x14ac:dyDescent="0.35">
      <c r="A674" t="s">
        <v>34</v>
      </c>
      <c r="B674" s="1">
        <v>46146.65625</v>
      </c>
      <c r="C674" t="s">
        <v>34</v>
      </c>
      <c r="D674" s="1">
        <v>46148.625</v>
      </c>
      <c r="E674">
        <v>6930</v>
      </c>
      <c r="F674" t="s">
        <v>36</v>
      </c>
      <c r="G674">
        <v>0.7</v>
      </c>
      <c r="H674">
        <v>2.6</v>
      </c>
      <c r="I674">
        <v>0.55000000000000004</v>
      </c>
      <c r="J674">
        <v>0.6</v>
      </c>
      <c r="K674">
        <v>83</v>
      </c>
      <c r="L674">
        <v>2</v>
      </c>
      <c r="M674">
        <v>0.75</v>
      </c>
      <c r="N674">
        <v>182</v>
      </c>
      <c r="O674">
        <v>0.8</v>
      </c>
      <c r="P674">
        <v>0</v>
      </c>
      <c r="Q674">
        <v>0</v>
      </c>
      <c r="R674">
        <v>0</v>
      </c>
      <c r="S674">
        <v>0</v>
      </c>
      <c r="T674">
        <v>0.24390000000000001</v>
      </c>
      <c r="U674">
        <v>-1.66E-2</v>
      </c>
      <c r="V674">
        <v>2.9999999999999997E-4</v>
      </c>
      <c r="W674">
        <v>-0.72140000000000004</v>
      </c>
      <c r="X674">
        <v>0.23580000000000001</v>
      </c>
      <c r="Y674">
        <v>-6.4999999999999997E-3</v>
      </c>
      <c r="Z674">
        <v>46</v>
      </c>
      <c r="AA674">
        <v>0.6</v>
      </c>
      <c r="AB674">
        <v>23</v>
      </c>
      <c r="AC674">
        <v>0.7</v>
      </c>
      <c r="AD674">
        <v>0</v>
      </c>
      <c r="AE674">
        <v>0</v>
      </c>
      <c r="AF674">
        <v>1.663</v>
      </c>
      <c r="AG674">
        <v>215</v>
      </c>
      <c r="AH674">
        <v>0</v>
      </c>
    </row>
    <row r="675" spans="1:34" x14ac:dyDescent="0.35">
      <c r="A675" t="s">
        <v>34</v>
      </c>
      <c r="B675" s="1">
        <v>46146.65625</v>
      </c>
      <c r="C675" t="s">
        <v>34</v>
      </c>
      <c r="D675" s="1">
        <v>46148.625</v>
      </c>
      <c r="E675">
        <v>6935</v>
      </c>
      <c r="F675" t="s">
        <v>36</v>
      </c>
      <c r="G675">
        <v>1</v>
      </c>
      <c r="H675">
        <v>2.7</v>
      </c>
      <c r="I675">
        <v>0.6</v>
      </c>
      <c r="J675">
        <v>0.6</v>
      </c>
      <c r="K675">
        <v>71</v>
      </c>
      <c r="L675">
        <v>53</v>
      </c>
      <c r="M675">
        <v>0.75</v>
      </c>
      <c r="N675">
        <v>240</v>
      </c>
      <c r="O675">
        <v>0.85</v>
      </c>
      <c r="P675">
        <v>0</v>
      </c>
      <c r="Q675">
        <v>0</v>
      </c>
      <c r="R675">
        <v>0</v>
      </c>
      <c r="S675">
        <v>0</v>
      </c>
      <c r="T675">
        <v>0.2424</v>
      </c>
      <c r="U675">
        <v>-1.77E-2</v>
      </c>
      <c r="V675">
        <v>2.9999999999999997E-4</v>
      </c>
      <c r="W675">
        <v>-0.76749999999999996</v>
      </c>
      <c r="X675">
        <v>0.24840000000000001</v>
      </c>
      <c r="Y675">
        <v>-6.8999999999999999E-3</v>
      </c>
      <c r="Z675">
        <v>26</v>
      </c>
      <c r="AA675">
        <v>0.65</v>
      </c>
      <c r="AB675">
        <v>30</v>
      </c>
      <c r="AC675">
        <v>0.75</v>
      </c>
      <c r="AD675">
        <v>0</v>
      </c>
      <c r="AE675">
        <v>0</v>
      </c>
      <c r="AF675">
        <v>1.5618000000000001</v>
      </c>
      <c r="AG675">
        <v>72</v>
      </c>
      <c r="AH675">
        <v>0</v>
      </c>
    </row>
    <row r="676" spans="1:34" x14ac:dyDescent="0.35">
      <c r="A676" t="s">
        <v>34</v>
      </c>
      <c r="B676" s="1">
        <v>46146.65625</v>
      </c>
      <c r="C676" t="s">
        <v>34</v>
      </c>
      <c r="D676" s="1">
        <v>46148.625</v>
      </c>
      <c r="E676">
        <v>6940</v>
      </c>
      <c r="F676" t="s">
        <v>36</v>
      </c>
      <c r="G676">
        <v>0.95</v>
      </c>
      <c r="H676">
        <v>3.2</v>
      </c>
      <c r="I676">
        <v>0.65</v>
      </c>
      <c r="J676">
        <v>0.72</v>
      </c>
      <c r="K676">
        <v>83</v>
      </c>
      <c r="L676">
        <v>100</v>
      </c>
      <c r="M676">
        <v>0.8</v>
      </c>
      <c r="N676">
        <v>4</v>
      </c>
      <c r="O676">
        <v>0.85</v>
      </c>
      <c r="P676">
        <v>0</v>
      </c>
      <c r="Q676">
        <v>0</v>
      </c>
      <c r="R676">
        <v>0</v>
      </c>
      <c r="S676">
        <v>0</v>
      </c>
      <c r="T676">
        <v>0.23949999999999999</v>
      </c>
      <c r="U676">
        <v>-1.84E-2</v>
      </c>
      <c r="V676">
        <v>4.0000000000000002E-4</v>
      </c>
      <c r="W676">
        <v>-0.79010000000000002</v>
      </c>
      <c r="X676">
        <v>0.25640000000000002</v>
      </c>
      <c r="Y676">
        <v>-7.1999999999999998E-3</v>
      </c>
      <c r="Z676">
        <v>26</v>
      </c>
      <c r="AA676">
        <v>0.7</v>
      </c>
      <c r="AB676">
        <v>56</v>
      </c>
      <c r="AC676">
        <v>0.8</v>
      </c>
      <c r="AD676">
        <v>0</v>
      </c>
      <c r="AE676">
        <v>0</v>
      </c>
      <c r="AF676">
        <v>1.923</v>
      </c>
      <c r="AG676">
        <v>129</v>
      </c>
      <c r="AH676">
        <v>0</v>
      </c>
    </row>
    <row r="677" spans="1:34" x14ac:dyDescent="0.35">
      <c r="A677" t="s">
        <v>34</v>
      </c>
      <c r="B677" s="1">
        <v>46146.65625</v>
      </c>
      <c r="C677" t="s">
        <v>34</v>
      </c>
      <c r="D677" s="1">
        <v>46148.625</v>
      </c>
      <c r="E677">
        <v>6945</v>
      </c>
      <c r="F677" t="s">
        <v>36</v>
      </c>
      <c r="G677">
        <v>1.2</v>
      </c>
      <c r="H677">
        <v>2.9</v>
      </c>
      <c r="I677">
        <v>0.7</v>
      </c>
      <c r="J677">
        <v>0.73</v>
      </c>
      <c r="K677">
        <v>182</v>
      </c>
      <c r="L677">
        <v>49</v>
      </c>
      <c r="M677">
        <v>0.85</v>
      </c>
      <c r="N677">
        <v>232</v>
      </c>
      <c r="O677">
        <v>0.95</v>
      </c>
      <c r="P677">
        <v>0</v>
      </c>
      <c r="Q677">
        <v>0</v>
      </c>
      <c r="R677">
        <v>0</v>
      </c>
      <c r="S677">
        <v>0</v>
      </c>
      <c r="T677">
        <v>0.2384</v>
      </c>
      <c r="U677">
        <v>-1.9900000000000001E-2</v>
      </c>
      <c r="V677">
        <v>4.0000000000000002E-4</v>
      </c>
      <c r="W677">
        <v>-0.85880000000000001</v>
      </c>
      <c r="X677">
        <v>0.2742</v>
      </c>
      <c r="Y677">
        <v>-7.7999999999999996E-3</v>
      </c>
      <c r="Z677">
        <v>94</v>
      </c>
      <c r="AA677">
        <v>0.7</v>
      </c>
      <c r="AB677">
        <v>76</v>
      </c>
      <c r="AC677">
        <v>0.85</v>
      </c>
      <c r="AD677">
        <v>0</v>
      </c>
      <c r="AE677">
        <v>0</v>
      </c>
      <c r="AF677">
        <v>1.4985999999999999</v>
      </c>
      <c r="AG677">
        <v>208</v>
      </c>
      <c r="AH677">
        <v>0</v>
      </c>
    </row>
    <row r="678" spans="1:34" x14ac:dyDescent="0.35">
      <c r="A678" t="s">
        <v>34</v>
      </c>
      <c r="B678" s="1">
        <v>46146.65625</v>
      </c>
      <c r="C678" t="s">
        <v>34</v>
      </c>
      <c r="D678" s="1">
        <v>46148.625</v>
      </c>
      <c r="E678">
        <v>6950</v>
      </c>
      <c r="F678" t="s">
        <v>36</v>
      </c>
      <c r="G678">
        <v>1.1000000000000001</v>
      </c>
      <c r="H678">
        <v>3</v>
      </c>
      <c r="I678">
        <v>0.65</v>
      </c>
      <c r="J678">
        <v>0.8</v>
      </c>
      <c r="K678">
        <v>702</v>
      </c>
      <c r="L678">
        <v>146</v>
      </c>
      <c r="M678">
        <v>0.9</v>
      </c>
      <c r="N678">
        <v>183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0.23530000000000001</v>
      </c>
      <c r="U678">
        <v>-2.06E-2</v>
      </c>
      <c r="V678">
        <v>4.0000000000000002E-4</v>
      </c>
      <c r="W678">
        <v>-0.88109999999999999</v>
      </c>
      <c r="X678">
        <v>0.28260000000000002</v>
      </c>
      <c r="Y678">
        <v>-8.0000000000000002E-3</v>
      </c>
      <c r="Z678">
        <v>98</v>
      </c>
      <c r="AA678">
        <v>0.75</v>
      </c>
      <c r="AB678">
        <v>77</v>
      </c>
      <c r="AC678">
        <v>0.9</v>
      </c>
      <c r="AD678">
        <v>0</v>
      </c>
      <c r="AE678">
        <v>0</v>
      </c>
      <c r="AF678">
        <v>1.1621999999999999</v>
      </c>
      <c r="AG678">
        <v>512</v>
      </c>
      <c r="AH678">
        <v>0</v>
      </c>
    </row>
    <row r="679" spans="1:34" x14ac:dyDescent="0.35">
      <c r="A679" t="s">
        <v>34</v>
      </c>
      <c r="B679" s="1">
        <v>46146.65625</v>
      </c>
      <c r="C679" t="s">
        <v>34</v>
      </c>
      <c r="D679" s="1">
        <v>46148.625</v>
      </c>
      <c r="E679">
        <v>6955</v>
      </c>
      <c r="F679" t="s">
        <v>36</v>
      </c>
      <c r="G679">
        <v>1.1499999999999999</v>
      </c>
      <c r="H679">
        <v>3.6</v>
      </c>
      <c r="I679">
        <v>0.75</v>
      </c>
      <c r="J679">
        <v>0.8</v>
      </c>
      <c r="K679">
        <v>628</v>
      </c>
      <c r="L679">
        <v>14</v>
      </c>
      <c r="M679">
        <v>1</v>
      </c>
      <c r="N679">
        <v>111</v>
      </c>
      <c r="O679">
        <v>1.05</v>
      </c>
      <c r="P679">
        <v>0</v>
      </c>
      <c r="Q679">
        <v>0</v>
      </c>
      <c r="R679">
        <v>0</v>
      </c>
      <c r="S679">
        <v>0</v>
      </c>
      <c r="T679">
        <v>0.2349</v>
      </c>
      <c r="U679">
        <v>-2.2599999999999999E-2</v>
      </c>
      <c r="V679">
        <v>4.0000000000000002E-4</v>
      </c>
      <c r="W679">
        <v>-0.97170000000000001</v>
      </c>
      <c r="X679">
        <v>0.3049</v>
      </c>
      <c r="Y679">
        <v>-8.8000000000000005E-3</v>
      </c>
      <c r="Z679">
        <v>69</v>
      </c>
      <c r="AA679">
        <v>0.8</v>
      </c>
      <c r="AB679">
        <v>55</v>
      </c>
      <c r="AC679">
        <v>0.95</v>
      </c>
      <c r="AD679">
        <v>0</v>
      </c>
      <c r="AE679">
        <v>0</v>
      </c>
      <c r="AF679">
        <v>1.5694999999999999</v>
      </c>
      <c r="AG679">
        <v>137</v>
      </c>
      <c r="AH679">
        <v>0</v>
      </c>
    </row>
    <row r="680" spans="1:34" x14ac:dyDescent="0.35">
      <c r="A680" t="s">
        <v>34</v>
      </c>
      <c r="B680" s="1">
        <v>46146.65625</v>
      </c>
      <c r="C680" t="s">
        <v>34</v>
      </c>
      <c r="D680" s="1">
        <v>46148.625</v>
      </c>
      <c r="E680">
        <v>6960</v>
      </c>
      <c r="F680" t="s">
        <v>36</v>
      </c>
      <c r="G680">
        <v>0.95</v>
      </c>
      <c r="H680">
        <v>5.15</v>
      </c>
      <c r="I680">
        <v>0.75</v>
      </c>
      <c r="J680">
        <v>0.9</v>
      </c>
      <c r="K680">
        <v>379</v>
      </c>
      <c r="L680">
        <v>15</v>
      </c>
      <c r="M680">
        <v>1.05</v>
      </c>
      <c r="N680">
        <v>20</v>
      </c>
      <c r="O680">
        <v>1.1000000000000001</v>
      </c>
      <c r="P680">
        <v>0</v>
      </c>
      <c r="Q680">
        <v>0</v>
      </c>
      <c r="R680">
        <v>0</v>
      </c>
      <c r="S680">
        <v>0</v>
      </c>
      <c r="T680">
        <v>0.23269999999999999</v>
      </c>
      <c r="U680">
        <v>-2.3800000000000002E-2</v>
      </c>
      <c r="V680">
        <v>5.0000000000000001E-4</v>
      </c>
      <c r="W680">
        <v>-1.0162</v>
      </c>
      <c r="X680">
        <v>0.31790000000000002</v>
      </c>
      <c r="Y680">
        <v>-9.2999999999999992E-3</v>
      </c>
      <c r="Z680">
        <v>26</v>
      </c>
      <c r="AA680">
        <v>0.9</v>
      </c>
      <c r="AB680">
        <v>20</v>
      </c>
      <c r="AC680">
        <v>1</v>
      </c>
      <c r="AD680">
        <v>0</v>
      </c>
      <c r="AE680">
        <v>0</v>
      </c>
      <c r="AF680">
        <v>1.502</v>
      </c>
      <c r="AG680">
        <v>693</v>
      </c>
      <c r="AH680">
        <v>0</v>
      </c>
    </row>
    <row r="681" spans="1:34" x14ac:dyDescent="0.35">
      <c r="A681" t="s">
        <v>34</v>
      </c>
      <c r="B681" s="1">
        <v>46146.65625</v>
      </c>
      <c r="C681" t="s">
        <v>34</v>
      </c>
      <c r="D681" s="1">
        <v>46148.625</v>
      </c>
      <c r="E681">
        <v>6965</v>
      </c>
      <c r="F681" t="s">
        <v>36</v>
      </c>
      <c r="G681">
        <v>1.39</v>
      </c>
      <c r="H681">
        <v>3.4</v>
      </c>
      <c r="I681">
        <v>0.85</v>
      </c>
      <c r="J681">
        <v>1.05</v>
      </c>
      <c r="K681">
        <v>386</v>
      </c>
      <c r="L681">
        <v>48</v>
      </c>
      <c r="M681">
        <v>1.1000000000000001</v>
      </c>
      <c r="N681">
        <v>164</v>
      </c>
      <c r="O681">
        <v>1.2</v>
      </c>
      <c r="P681">
        <v>0</v>
      </c>
      <c r="Q681">
        <v>0</v>
      </c>
      <c r="R681">
        <v>0</v>
      </c>
      <c r="S681">
        <v>0</v>
      </c>
      <c r="T681">
        <v>0.23100000000000001</v>
      </c>
      <c r="U681">
        <v>-2.5399999999999999E-2</v>
      </c>
      <c r="V681">
        <v>5.0000000000000001E-4</v>
      </c>
      <c r="W681">
        <v>-1.0829</v>
      </c>
      <c r="X681">
        <v>0.33539999999999998</v>
      </c>
      <c r="Y681">
        <v>-9.9000000000000008E-3</v>
      </c>
      <c r="Z681">
        <v>46</v>
      </c>
      <c r="AA681">
        <v>0.95</v>
      </c>
      <c r="AB681">
        <v>85</v>
      </c>
      <c r="AC681">
        <v>1.1000000000000001</v>
      </c>
      <c r="AD681">
        <v>0</v>
      </c>
      <c r="AE681">
        <v>0</v>
      </c>
      <c r="AF681">
        <v>1.3936999999999999</v>
      </c>
      <c r="AG681">
        <v>201</v>
      </c>
      <c r="AH681">
        <v>0</v>
      </c>
    </row>
    <row r="682" spans="1:34" x14ac:dyDescent="0.35">
      <c r="A682" t="s">
        <v>34</v>
      </c>
      <c r="B682" s="1">
        <v>46146.65625</v>
      </c>
      <c r="C682" t="s">
        <v>34</v>
      </c>
      <c r="D682" s="1">
        <v>46148.625</v>
      </c>
      <c r="E682">
        <v>6970</v>
      </c>
      <c r="F682" t="s">
        <v>36</v>
      </c>
      <c r="G682">
        <v>1.52</v>
      </c>
      <c r="H682">
        <v>3.8</v>
      </c>
      <c r="I682">
        <v>0.9</v>
      </c>
      <c r="J682">
        <v>1.1499999999999999</v>
      </c>
      <c r="K682">
        <v>350</v>
      </c>
      <c r="L682">
        <v>15</v>
      </c>
      <c r="M682">
        <v>1.2</v>
      </c>
      <c r="N682">
        <v>17</v>
      </c>
      <c r="O682">
        <v>1.25</v>
      </c>
      <c r="P682">
        <v>0</v>
      </c>
      <c r="Q682">
        <v>0</v>
      </c>
      <c r="R682">
        <v>0</v>
      </c>
      <c r="S682">
        <v>0</v>
      </c>
      <c r="T682">
        <v>0.2293</v>
      </c>
      <c r="U682">
        <v>-2.7E-2</v>
      </c>
      <c r="V682">
        <v>5.0000000000000001E-4</v>
      </c>
      <c r="W682">
        <v>-1.1491</v>
      </c>
      <c r="X682">
        <v>0.35249999999999998</v>
      </c>
      <c r="Y682">
        <v>-1.0500000000000001E-2</v>
      </c>
      <c r="Z682">
        <v>59</v>
      </c>
      <c r="AA682">
        <v>1</v>
      </c>
      <c r="AB682">
        <v>35</v>
      </c>
      <c r="AC682">
        <v>1.1499999999999999</v>
      </c>
      <c r="AD682">
        <v>0</v>
      </c>
      <c r="AE682">
        <v>0</v>
      </c>
      <c r="AF682">
        <v>2.0577999999999999</v>
      </c>
      <c r="AG682">
        <v>476</v>
      </c>
      <c r="AH682">
        <v>0</v>
      </c>
    </row>
    <row r="683" spans="1:34" x14ac:dyDescent="0.35">
      <c r="A683" t="s">
        <v>34</v>
      </c>
      <c r="B683" s="1">
        <v>46146.65625</v>
      </c>
      <c r="C683" t="s">
        <v>34</v>
      </c>
      <c r="D683" s="1">
        <v>46148.625</v>
      </c>
      <c r="E683">
        <v>6975</v>
      </c>
      <c r="F683" t="s">
        <v>36</v>
      </c>
      <c r="G683">
        <v>1.46</v>
      </c>
      <c r="H683">
        <v>3.99</v>
      </c>
      <c r="I683">
        <v>0.95</v>
      </c>
      <c r="J683">
        <v>1.2</v>
      </c>
      <c r="K683">
        <v>2416</v>
      </c>
      <c r="L683">
        <v>186</v>
      </c>
      <c r="M683">
        <v>1.25</v>
      </c>
      <c r="N683">
        <v>114</v>
      </c>
      <c r="O683">
        <v>1.35</v>
      </c>
      <c r="P683">
        <v>0</v>
      </c>
      <c r="Q683">
        <v>0</v>
      </c>
      <c r="R683">
        <v>0</v>
      </c>
      <c r="S683">
        <v>0</v>
      </c>
      <c r="T683">
        <v>0.22639999999999999</v>
      </c>
      <c r="U683">
        <v>-2.8299999999999999E-2</v>
      </c>
      <c r="V683">
        <v>5.0000000000000001E-4</v>
      </c>
      <c r="W683">
        <v>-1.1923999999999999</v>
      </c>
      <c r="X683">
        <v>0.36609999999999998</v>
      </c>
      <c r="Y683">
        <v>-1.0999999999999999E-2</v>
      </c>
      <c r="Z683">
        <v>45</v>
      </c>
      <c r="AA683">
        <v>1.1000000000000001</v>
      </c>
      <c r="AB683">
        <v>85</v>
      </c>
      <c r="AC683">
        <v>1.25</v>
      </c>
      <c r="AD683">
        <v>0</v>
      </c>
      <c r="AE683">
        <v>0</v>
      </c>
      <c r="AF683">
        <v>2.3519000000000001</v>
      </c>
      <c r="AG683">
        <v>1232</v>
      </c>
      <c r="AH683">
        <v>0</v>
      </c>
    </row>
    <row r="684" spans="1:34" x14ac:dyDescent="0.35">
      <c r="A684" t="s">
        <v>34</v>
      </c>
      <c r="B684" s="1">
        <v>46146.65625</v>
      </c>
      <c r="C684" t="s">
        <v>34</v>
      </c>
      <c r="D684" s="1">
        <v>46148.625</v>
      </c>
      <c r="E684">
        <v>6980</v>
      </c>
      <c r="F684" t="s">
        <v>36</v>
      </c>
      <c r="G684">
        <v>1.73</v>
      </c>
      <c r="H684">
        <v>4.5</v>
      </c>
      <c r="I684">
        <v>0.95</v>
      </c>
      <c r="J684">
        <v>1.25</v>
      </c>
      <c r="K684">
        <v>382</v>
      </c>
      <c r="L684">
        <v>83</v>
      </c>
      <c r="M684">
        <v>1.35</v>
      </c>
      <c r="N684">
        <v>183</v>
      </c>
      <c r="O684">
        <v>1.45</v>
      </c>
      <c r="P684">
        <v>0</v>
      </c>
      <c r="Q684">
        <v>0</v>
      </c>
      <c r="R684">
        <v>0</v>
      </c>
      <c r="S684">
        <v>0</v>
      </c>
      <c r="T684">
        <v>0.22589999999999999</v>
      </c>
      <c r="U684">
        <v>-3.0700000000000002E-2</v>
      </c>
      <c r="V684">
        <v>5.9999999999999995E-4</v>
      </c>
      <c r="W684">
        <v>-1.3018000000000001</v>
      </c>
      <c r="X684">
        <v>0.39150000000000001</v>
      </c>
      <c r="Y684">
        <v>-1.2E-2</v>
      </c>
      <c r="Z684">
        <v>24</v>
      </c>
      <c r="AA684">
        <v>1.2</v>
      </c>
      <c r="AB684">
        <v>82</v>
      </c>
      <c r="AC684">
        <v>1.35</v>
      </c>
      <c r="AD684">
        <v>0</v>
      </c>
      <c r="AE684">
        <v>0</v>
      </c>
      <c r="AF684">
        <v>1.6761999999999999</v>
      </c>
      <c r="AG684">
        <v>360</v>
      </c>
      <c r="AH684">
        <v>0</v>
      </c>
    </row>
    <row r="685" spans="1:34" x14ac:dyDescent="0.35">
      <c r="A685" t="s">
        <v>34</v>
      </c>
      <c r="B685" s="1">
        <v>46146.65625</v>
      </c>
      <c r="C685" t="s">
        <v>34</v>
      </c>
      <c r="D685" s="1">
        <v>46148.625</v>
      </c>
      <c r="E685">
        <v>6985</v>
      </c>
      <c r="F685" t="s">
        <v>36</v>
      </c>
      <c r="G685">
        <v>1.4</v>
      </c>
      <c r="H685">
        <v>5</v>
      </c>
      <c r="I685">
        <v>1.1499999999999999</v>
      </c>
      <c r="J685">
        <v>1.3</v>
      </c>
      <c r="K685">
        <v>1056</v>
      </c>
      <c r="L685">
        <v>129</v>
      </c>
      <c r="M685">
        <v>1.45</v>
      </c>
      <c r="N685">
        <v>124</v>
      </c>
      <c r="O685">
        <v>1.55</v>
      </c>
      <c r="P685">
        <v>0</v>
      </c>
      <c r="Q685">
        <v>0</v>
      </c>
      <c r="R685">
        <v>0</v>
      </c>
      <c r="S685">
        <v>0</v>
      </c>
      <c r="T685">
        <v>0.22409999999999999</v>
      </c>
      <c r="U685">
        <v>-3.2800000000000003E-2</v>
      </c>
      <c r="V685">
        <v>5.9999999999999995E-4</v>
      </c>
      <c r="W685">
        <v>-1.3878999999999999</v>
      </c>
      <c r="X685">
        <v>0.41339999999999999</v>
      </c>
      <c r="Y685">
        <v>-1.2800000000000001E-2</v>
      </c>
      <c r="Z685">
        <v>58</v>
      </c>
      <c r="AA685">
        <v>1.25</v>
      </c>
      <c r="AB685">
        <v>11</v>
      </c>
      <c r="AC685">
        <v>1.4</v>
      </c>
      <c r="AD685">
        <v>0</v>
      </c>
      <c r="AE685">
        <v>0</v>
      </c>
      <c r="AF685">
        <v>1.3721000000000001</v>
      </c>
      <c r="AG685">
        <v>513</v>
      </c>
      <c r="AH685">
        <v>0</v>
      </c>
    </row>
    <row r="686" spans="1:34" x14ac:dyDescent="0.35">
      <c r="A686" t="s">
        <v>34</v>
      </c>
      <c r="B686" s="1">
        <v>46146.65625</v>
      </c>
      <c r="C686" t="s">
        <v>34</v>
      </c>
      <c r="D686" s="1">
        <v>46148.625</v>
      </c>
      <c r="E686">
        <v>6990</v>
      </c>
      <c r="F686" t="s">
        <v>36</v>
      </c>
      <c r="G686">
        <v>1.85</v>
      </c>
      <c r="H686">
        <v>4.5</v>
      </c>
      <c r="I686">
        <v>1</v>
      </c>
      <c r="J686">
        <v>1.4</v>
      </c>
      <c r="K686">
        <v>300</v>
      </c>
      <c r="L686">
        <v>120</v>
      </c>
      <c r="M686">
        <v>1.55</v>
      </c>
      <c r="N686">
        <v>80</v>
      </c>
      <c r="O686">
        <v>1.65</v>
      </c>
      <c r="P686">
        <v>0</v>
      </c>
      <c r="Q686">
        <v>0</v>
      </c>
      <c r="R686">
        <v>0</v>
      </c>
      <c r="S686">
        <v>0</v>
      </c>
      <c r="T686">
        <v>0.2223</v>
      </c>
      <c r="U686">
        <v>-3.49E-2</v>
      </c>
      <c r="V686">
        <v>6.9999999999999999E-4</v>
      </c>
      <c r="W686">
        <v>-1.4728000000000001</v>
      </c>
      <c r="X686">
        <v>0.435</v>
      </c>
      <c r="Y686">
        <v>-1.37E-2</v>
      </c>
      <c r="Z686">
        <v>23</v>
      </c>
      <c r="AA686">
        <v>1.4</v>
      </c>
      <c r="AB686">
        <v>79</v>
      </c>
      <c r="AC686">
        <v>1.55</v>
      </c>
      <c r="AD686">
        <v>0</v>
      </c>
      <c r="AE686">
        <v>0</v>
      </c>
      <c r="AF686">
        <v>2.2159</v>
      </c>
      <c r="AG686">
        <v>170</v>
      </c>
      <c r="AH686">
        <v>0</v>
      </c>
    </row>
    <row r="687" spans="1:34" x14ac:dyDescent="0.35">
      <c r="A687" t="s">
        <v>34</v>
      </c>
      <c r="B687" s="1">
        <v>46146.65625</v>
      </c>
      <c r="C687" t="s">
        <v>34</v>
      </c>
      <c r="D687" s="1">
        <v>46148.625</v>
      </c>
      <c r="E687">
        <v>6995</v>
      </c>
      <c r="F687" t="s">
        <v>36</v>
      </c>
      <c r="G687">
        <v>1.89</v>
      </c>
      <c r="H687">
        <v>6</v>
      </c>
      <c r="I687">
        <v>1.06</v>
      </c>
      <c r="J687">
        <v>1.5</v>
      </c>
      <c r="K687">
        <v>323</v>
      </c>
      <c r="L687">
        <v>48</v>
      </c>
      <c r="M687">
        <v>1.7</v>
      </c>
      <c r="N687">
        <v>2</v>
      </c>
      <c r="O687">
        <v>1.75</v>
      </c>
      <c r="P687">
        <v>0</v>
      </c>
      <c r="Q687">
        <v>0</v>
      </c>
      <c r="R687">
        <v>0</v>
      </c>
      <c r="S687">
        <v>0</v>
      </c>
      <c r="T687">
        <v>0.22020000000000001</v>
      </c>
      <c r="U687">
        <v>-3.7100000000000001E-2</v>
      </c>
      <c r="V687">
        <v>6.9999999999999999E-4</v>
      </c>
      <c r="W687">
        <v>-1.5569999999999999</v>
      </c>
      <c r="X687">
        <v>0.45660000000000001</v>
      </c>
      <c r="Y687">
        <v>-1.4500000000000001E-2</v>
      </c>
      <c r="Z687">
        <v>22</v>
      </c>
      <c r="AA687">
        <v>1.5</v>
      </c>
      <c r="AB687">
        <v>72</v>
      </c>
      <c r="AC687">
        <v>1.65</v>
      </c>
      <c r="AD687">
        <v>0</v>
      </c>
      <c r="AE687">
        <v>0</v>
      </c>
      <c r="AF687">
        <v>2.2054999999999998</v>
      </c>
      <c r="AG687">
        <v>93</v>
      </c>
      <c r="AH687">
        <v>0</v>
      </c>
    </row>
    <row r="688" spans="1:34" x14ac:dyDescent="0.35">
      <c r="A688" t="s">
        <v>34</v>
      </c>
      <c r="B688" s="1">
        <v>46146.65625</v>
      </c>
      <c r="C688" t="s">
        <v>34</v>
      </c>
      <c r="D688" s="1">
        <v>46148.625</v>
      </c>
      <c r="E688">
        <v>7000</v>
      </c>
      <c r="F688" t="s">
        <v>36</v>
      </c>
      <c r="G688">
        <v>2</v>
      </c>
      <c r="H688">
        <v>5.7</v>
      </c>
      <c r="I688">
        <v>1.1299999999999999</v>
      </c>
      <c r="J688">
        <v>1.64</v>
      </c>
      <c r="K688">
        <v>16023</v>
      </c>
      <c r="L688">
        <v>108</v>
      </c>
      <c r="M688">
        <v>1.8</v>
      </c>
      <c r="N688">
        <v>75</v>
      </c>
      <c r="O688">
        <v>1.9</v>
      </c>
      <c r="P688">
        <v>0</v>
      </c>
      <c r="Q688">
        <v>0</v>
      </c>
      <c r="R688">
        <v>0</v>
      </c>
      <c r="S688">
        <v>0</v>
      </c>
      <c r="T688">
        <v>0.21920000000000001</v>
      </c>
      <c r="U688">
        <v>-4.0099999999999997E-2</v>
      </c>
      <c r="V688">
        <v>6.9999999999999999E-4</v>
      </c>
      <c r="W688">
        <v>-1.6827000000000001</v>
      </c>
      <c r="X688">
        <v>0.4849</v>
      </c>
      <c r="Y688">
        <v>-1.5699999999999999E-2</v>
      </c>
      <c r="Z688">
        <v>62</v>
      </c>
      <c r="AA688">
        <v>1.6</v>
      </c>
      <c r="AB688">
        <v>42</v>
      </c>
      <c r="AC688">
        <v>1.75</v>
      </c>
      <c r="AD688">
        <v>0</v>
      </c>
      <c r="AE688">
        <v>0</v>
      </c>
      <c r="AF688">
        <v>2.2793999999999999</v>
      </c>
      <c r="AG688">
        <v>1988</v>
      </c>
      <c r="AH688">
        <v>0</v>
      </c>
    </row>
    <row r="689" spans="1:34" x14ac:dyDescent="0.35">
      <c r="A689" t="s">
        <v>34</v>
      </c>
      <c r="B689" s="1">
        <v>46146.65625</v>
      </c>
      <c r="C689" t="s">
        <v>34</v>
      </c>
      <c r="D689" s="1">
        <v>46148.625</v>
      </c>
      <c r="E689">
        <v>7005</v>
      </c>
      <c r="F689" t="s">
        <v>36</v>
      </c>
      <c r="G689">
        <v>2.17</v>
      </c>
      <c r="H689">
        <v>5.25</v>
      </c>
      <c r="I689">
        <v>1.25</v>
      </c>
      <c r="J689">
        <v>1.9</v>
      </c>
      <c r="K689">
        <v>705</v>
      </c>
      <c r="L689">
        <v>69</v>
      </c>
      <c r="M689">
        <v>1.95</v>
      </c>
      <c r="N689">
        <v>130</v>
      </c>
      <c r="O689">
        <v>2.0499999999999998</v>
      </c>
      <c r="P689">
        <v>0</v>
      </c>
      <c r="Q689">
        <v>0</v>
      </c>
      <c r="R689">
        <v>0</v>
      </c>
      <c r="S689">
        <v>0</v>
      </c>
      <c r="T689">
        <v>0.21779999999999999</v>
      </c>
      <c r="U689">
        <v>-4.3099999999999999E-2</v>
      </c>
      <c r="V689">
        <v>8.0000000000000004E-4</v>
      </c>
      <c r="W689">
        <v>-1.8065</v>
      </c>
      <c r="X689">
        <v>0.5131</v>
      </c>
      <c r="Y689">
        <v>-1.6899999999999998E-2</v>
      </c>
      <c r="Z689">
        <v>41</v>
      </c>
      <c r="AA689">
        <v>1.75</v>
      </c>
      <c r="AB689">
        <v>72</v>
      </c>
      <c r="AC689">
        <v>1.9</v>
      </c>
      <c r="AD689">
        <v>0</v>
      </c>
      <c r="AE689">
        <v>0</v>
      </c>
      <c r="AF689">
        <v>1.9977</v>
      </c>
      <c r="AG689">
        <v>206</v>
      </c>
      <c r="AH689">
        <v>0</v>
      </c>
    </row>
    <row r="690" spans="1:34" x14ac:dyDescent="0.35">
      <c r="A690" t="s">
        <v>34</v>
      </c>
      <c r="B690" s="1">
        <v>46146.65625</v>
      </c>
      <c r="C690" t="s">
        <v>34</v>
      </c>
      <c r="D690" s="1">
        <v>46148.625</v>
      </c>
      <c r="E690">
        <v>7010</v>
      </c>
      <c r="F690" t="s">
        <v>36</v>
      </c>
      <c r="G690">
        <v>2.2999999999999998</v>
      </c>
      <c r="H690">
        <v>6.1</v>
      </c>
      <c r="I690">
        <v>1.3</v>
      </c>
      <c r="J690">
        <v>1.9</v>
      </c>
      <c r="K690">
        <v>6683</v>
      </c>
      <c r="L690">
        <v>49</v>
      </c>
      <c r="M690">
        <v>2.1</v>
      </c>
      <c r="N690">
        <v>75</v>
      </c>
      <c r="O690">
        <v>2.2000000000000002</v>
      </c>
      <c r="P690">
        <v>0</v>
      </c>
      <c r="Q690">
        <v>0</v>
      </c>
      <c r="R690">
        <v>0</v>
      </c>
      <c r="S690">
        <v>0</v>
      </c>
      <c r="T690">
        <v>0.21629999999999999</v>
      </c>
      <c r="U690">
        <v>-4.6100000000000002E-2</v>
      </c>
      <c r="V690">
        <v>8.0000000000000004E-4</v>
      </c>
      <c r="W690">
        <v>-1.9285000000000001</v>
      </c>
      <c r="X690">
        <v>0.5413</v>
      </c>
      <c r="Y690">
        <v>-1.8100000000000002E-2</v>
      </c>
      <c r="Z690">
        <v>32</v>
      </c>
      <c r="AA690">
        <v>1.9</v>
      </c>
      <c r="AB690">
        <v>99</v>
      </c>
      <c r="AC690">
        <v>2.0499999999999998</v>
      </c>
      <c r="AD690">
        <v>0</v>
      </c>
      <c r="AE690">
        <v>0</v>
      </c>
      <c r="AF690">
        <v>1.6021000000000001</v>
      </c>
      <c r="AG690">
        <v>2150</v>
      </c>
      <c r="AH690">
        <v>0</v>
      </c>
    </row>
    <row r="691" spans="1:34" x14ac:dyDescent="0.35">
      <c r="A691" t="s">
        <v>34</v>
      </c>
      <c r="B691" s="1">
        <v>46146.65625</v>
      </c>
      <c r="C691" t="s">
        <v>34</v>
      </c>
      <c r="D691" s="1">
        <v>46148.625</v>
      </c>
      <c r="E691">
        <v>7015</v>
      </c>
      <c r="F691" t="s">
        <v>36</v>
      </c>
      <c r="G691">
        <v>1.35</v>
      </c>
      <c r="H691">
        <v>6.7</v>
      </c>
      <c r="I691">
        <v>1.35</v>
      </c>
      <c r="J691">
        <v>2.15</v>
      </c>
      <c r="K691">
        <v>741</v>
      </c>
      <c r="L691">
        <v>9</v>
      </c>
      <c r="M691">
        <v>2.2999999999999998</v>
      </c>
      <c r="N691">
        <v>60</v>
      </c>
      <c r="O691">
        <v>2.35</v>
      </c>
      <c r="P691">
        <v>0</v>
      </c>
      <c r="Q691">
        <v>0</v>
      </c>
      <c r="R691">
        <v>0</v>
      </c>
      <c r="S691">
        <v>0</v>
      </c>
      <c r="T691">
        <v>0.21460000000000001</v>
      </c>
      <c r="U691">
        <v>-4.9200000000000001E-2</v>
      </c>
      <c r="V691">
        <v>8.9999999999999998E-4</v>
      </c>
      <c r="W691">
        <v>-2.0485000000000002</v>
      </c>
      <c r="X691">
        <v>0.5696</v>
      </c>
      <c r="Y691">
        <v>-1.9300000000000001E-2</v>
      </c>
      <c r="Z691">
        <v>20</v>
      </c>
      <c r="AA691">
        <v>2.0499999999999998</v>
      </c>
      <c r="AB691">
        <v>149</v>
      </c>
      <c r="AC691">
        <v>2.2000000000000002</v>
      </c>
      <c r="AD691">
        <v>0</v>
      </c>
      <c r="AE691">
        <v>0</v>
      </c>
      <c r="AF691">
        <v>2.8325999999999998</v>
      </c>
      <c r="AG691">
        <v>483</v>
      </c>
      <c r="AH691">
        <v>0</v>
      </c>
    </row>
    <row r="692" spans="1:34" x14ac:dyDescent="0.35">
      <c r="A692" t="s">
        <v>34</v>
      </c>
      <c r="B692" s="1">
        <v>46146.65625</v>
      </c>
      <c r="C692" t="s">
        <v>34</v>
      </c>
      <c r="D692" s="1">
        <v>46148.625</v>
      </c>
      <c r="E692">
        <v>7020</v>
      </c>
      <c r="F692" t="s">
        <v>36</v>
      </c>
      <c r="G692">
        <v>2</v>
      </c>
      <c r="H692">
        <v>6.7</v>
      </c>
      <c r="I692">
        <v>1.4</v>
      </c>
      <c r="J692">
        <v>2.25</v>
      </c>
      <c r="K692">
        <v>562</v>
      </c>
      <c r="L692">
        <v>58</v>
      </c>
      <c r="M692">
        <v>2.4500000000000002</v>
      </c>
      <c r="N692">
        <v>1</v>
      </c>
      <c r="O692">
        <v>2.5</v>
      </c>
      <c r="P692">
        <v>0</v>
      </c>
      <c r="Q692">
        <v>0</v>
      </c>
      <c r="R692">
        <v>0</v>
      </c>
      <c r="S692">
        <v>0</v>
      </c>
      <c r="T692">
        <v>0.21329999999999999</v>
      </c>
      <c r="U692">
        <v>-5.2600000000000001E-2</v>
      </c>
      <c r="V692">
        <v>8.9999999999999998E-4</v>
      </c>
      <c r="W692">
        <v>-2.1869999999999998</v>
      </c>
      <c r="X692">
        <v>0.60050000000000003</v>
      </c>
      <c r="Y692">
        <v>-2.07E-2</v>
      </c>
      <c r="Z692">
        <v>57</v>
      </c>
      <c r="AA692">
        <v>2.2000000000000002</v>
      </c>
      <c r="AB692">
        <v>15</v>
      </c>
      <c r="AC692">
        <v>2.35</v>
      </c>
      <c r="AD692">
        <v>0</v>
      </c>
      <c r="AE692">
        <v>0</v>
      </c>
      <c r="AF692">
        <v>2.9398</v>
      </c>
      <c r="AG692">
        <v>349</v>
      </c>
      <c r="AH692">
        <v>0</v>
      </c>
    </row>
    <row r="693" spans="1:34" x14ac:dyDescent="0.35">
      <c r="A693" t="s">
        <v>34</v>
      </c>
      <c r="B693" s="1">
        <v>46146.65625</v>
      </c>
      <c r="C693" t="s">
        <v>34</v>
      </c>
      <c r="D693" s="1">
        <v>46148.625</v>
      </c>
      <c r="E693">
        <v>7025</v>
      </c>
      <c r="F693" t="s">
        <v>36</v>
      </c>
      <c r="G693">
        <v>2.74</v>
      </c>
      <c r="H693">
        <v>6.9</v>
      </c>
      <c r="I693">
        <v>1.55</v>
      </c>
      <c r="J693">
        <v>2.4500000000000002</v>
      </c>
      <c r="K693">
        <v>315</v>
      </c>
      <c r="L693">
        <v>52</v>
      </c>
      <c r="M693">
        <v>2.65</v>
      </c>
      <c r="N693">
        <v>1</v>
      </c>
      <c r="O693">
        <v>2.7</v>
      </c>
      <c r="P693">
        <v>0</v>
      </c>
      <c r="Q693">
        <v>0</v>
      </c>
      <c r="R693">
        <v>0</v>
      </c>
      <c r="S693">
        <v>0</v>
      </c>
      <c r="T693">
        <v>0.21129999999999999</v>
      </c>
      <c r="U693">
        <v>-5.62E-2</v>
      </c>
      <c r="V693">
        <v>1E-3</v>
      </c>
      <c r="W693">
        <v>-2.3224</v>
      </c>
      <c r="X693">
        <v>0.63160000000000005</v>
      </c>
      <c r="Y693">
        <v>-2.2100000000000002E-2</v>
      </c>
      <c r="Z693">
        <v>29</v>
      </c>
      <c r="AA693">
        <v>2.4</v>
      </c>
      <c r="AB693">
        <v>33</v>
      </c>
      <c r="AC693">
        <v>2.5499999999999998</v>
      </c>
      <c r="AD693">
        <v>0</v>
      </c>
      <c r="AE693">
        <v>0</v>
      </c>
      <c r="AF693">
        <v>3.5590999999999999</v>
      </c>
      <c r="AG693">
        <v>981</v>
      </c>
      <c r="AH693">
        <v>0</v>
      </c>
    </row>
    <row r="694" spans="1:34" x14ac:dyDescent="0.35">
      <c r="A694" t="s">
        <v>34</v>
      </c>
      <c r="B694" s="1">
        <v>46146.65625</v>
      </c>
      <c r="C694" t="s">
        <v>34</v>
      </c>
      <c r="D694" s="1">
        <v>46148.625</v>
      </c>
      <c r="E694">
        <v>7030</v>
      </c>
      <c r="F694" t="s">
        <v>36</v>
      </c>
      <c r="G694">
        <v>3.2</v>
      </c>
      <c r="H694">
        <v>7.92</v>
      </c>
      <c r="I694">
        <v>1.8</v>
      </c>
      <c r="J694">
        <v>2.59</v>
      </c>
      <c r="K694">
        <v>303</v>
      </c>
      <c r="L694">
        <v>59</v>
      </c>
      <c r="M694">
        <v>2.85</v>
      </c>
      <c r="N694">
        <v>76</v>
      </c>
      <c r="O694">
        <v>2.95</v>
      </c>
      <c r="P694">
        <v>0</v>
      </c>
      <c r="Q694">
        <v>0</v>
      </c>
      <c r="R694">
        <v>0</v>
      </c>
      <c r="S694">
        <v>0</v>
      </c>
      <c r="T694">
        <v>0.21049999999999999</v>
      </c>
      <c r="U694">
        <v>-6.0900000000000003E-2</v>
      </c>
      <c r="V694">
        <v>1.1000000000000001E-3</v>
      </c>
      <c r="W694">
        <v>-2.5148000000000001</v>
      </c>
      <c r="X694">
        <v>0.67049999999999998</v>
      </c>
      <c r="Y694">
        <v>-2.4E-2</v>
      </c>
      <c r="Z694">
        <v>28</v>
      </c>
      <c r="AA694">
        <v>2.6</v>
      </c>
      <c r="AB694">
        <v>41</v>
      </c>
      <c r="AC694">
        <v>2.75</v>
      </c>
      <c r="AD694">
        <v>0</v>
      </c>
      <c r="AE694">
        <v>0</v>
      </c>
      <c r="AF694">
        <v>3.6194000000000002</v>
      </c>
      <c r="AG694">
        <v>156</v>
      </c>
      <c r="AH694">
        <v>0</v>
      </c>
    </row>
    <row r="695" spans="1:34" x14ac:dyDescent="0.35">
      <c r="A695" t="s">
        <v>34</v>
      </c>
      <c r="B695" s="1">
        <v>46146.65625</v>
      </c>
      <c r="C695" t="s">
        <v>34</v>
      </c>
      <c r="D695" s="1">
        <v>46148.625</v>
      </c>
      <c r="E695">
        <v>7035</v>
      </c>
      <c r="F695" t="s">
        <v>36</v>
      </c>
      <c r="G695">
        <v>3.09</v>
      </c>
      <c r="H695">
        <v>7.3</v>
      </c>
      <c r="I695">
        <v>1.75</v>
      </c>
      <c r="J695">
        <v>2.9</v>
      </c>
      <c r="K695">
        <v>206</v>
      </c>
      <c r="L695">
        <v>8</v>
      </c>
      <c r="M695">
        <v>3.1</v>
      </c>
      <c r="N695">
        <v>117</v>
      </c>
      <c r="O695">
        <v>3.2</v>
      </c>
      <c r="P695">
        <v>0</v>
      </c>
      <c r="Q695">
        <v>0</v>
      </c>
      <c r="R695">
        <v>0</v>
      </c>
      <c r="S695">
        <v>0</v>
      </c>
      <c r="T695">
        <v>0.20880000000000001</v>
      </c>
      <c r="U695">
        <v>-6.4799999999999996E-2</v>
      </c>
      <c r="V695">
        <v>1.1000000000000001E-3</v>
      </c>
      <c r="W695">
        <v>-2.6640999999999999</v>
      </c>
      <c r="X695">
        <v>0.70340000000000003</v>
      </c>
      <c r="Y695">
        <v>-2.5499999999999998E-2</v>
      </c>
      <c r="Z695">
        <v>29</v>
      </c>
      <c r="AA695">
        <v>2.8</v>
      </c>
      <c r="AB695">
        <v>14</v>
      </c>
      <c r="AC695">
        <v>2.95</v>
      </c>
      <c r="AD695">
        <v>0</v>
      </c>
      <c r="AE695">
        <v>0</v>
      </c>
      <c r="AF695">
        <v>3.2035999999999998</v>
      </c>
      <c r="AG695">
        <v>143</v>
      </c>
      <c r="AH695">
        <v>0</v>
      </c>
    </row>
    <row r="696" spans="1:34" x14ac:dyDescent="0.35">
      <c r="A696" t="s">
        <v>34</v>
      </c>
      <c r="B696" s="1">
        <v>46146.65625</v>
      </c>
      <c r="C696" t="s">
        <v>34</v>
      </c>
      <c r="D696" s="1">
        <v>46148.625</v>
      </c>
      <c r="E696">
        <v>7040</v>
      </c>
      <c r="F696" t="s">
        <v>36</v>
      </c>
      <c r="G696">
        <v>3.31</v>
      </c>
      <c r="H696">
        <v>9.1999999999999993</v>
      </c>
      <c r="I696">
        <v>1.74</v>
      </c>
      <c r="J696">
        <v>3.1</v>
      </c>
      <c r="K696">
        <v>791</v>
      </c>
      <c r="L696">
        <v>53</v>
      </c>
      <c r="M696">
        <v>3.3</v>
      </c>
      <c r="N696">
        <v>58</v>
      </c>
      <c r="O696">
        <v>3.4</v>
      </c>
      <c r="P696">
        <v>0</v>
      </c>
      <c r="Q696">
        <v>0</v>
      </c>
      <c r="R696">
        <v>0</v>
      </c>
      <c r="S696">
        <v>0</v>
      </c>
      <c r="T696">
        <v>0.20760000000000001</v>
      </c>
      <c r="U696">
        <v>-6.9500000000000006E-2</v>
      </c>
      <c r="V696">
        <v>1.1999999999999999E-3</v>
      </c>
      <c r="W696">
        <v>-2.8485999999999998</v>
      </c>
      <c r="X696">
        <v>0.74160000000000004</v>
      </c>
      <c r="Y696">
        <v>-2.7400000000000001E-2</v>
      </c>
      <c r="Z696">
        <v>63</v>
      </c>
      <c r="AA696">
        <v>3</v>
      </c>
      <c r="AB696">
        <v>56</v>
      </c>
      <c r="AC696">
        <v>3.2</v>
      </c>
      <c r="AD696">
        <v>0</v>
      </c>
      <c r="AE696">
        <v>0</v>
      </c>
      <c r="AF696">
        <v>3.1934</v>
      </c>
      <c r="AG696">
        <v>556</v>
      </c>
      <c r="AH696">
        <v>0</v>
      </c>
    </row>
    <row r="697" spans="1:34" x14ac:dyDescent="0.35">
      <c r="A697" t="s">
        <v>34</v>
      </c>
      <c r="B697" s="1">
        <v>46146.65625</v>
      </c>
      <c r="C697" t="s">
        <v>34</v>
      </c>
      <c r="D697" s="1">
        <v>46148.625</v>
      </c>
      <c r="E697">
        <v>7045</v>
      </c>
      <c r="F697" t="s">
        <v>36</v>
      </c>
      <c r="G697">
        <v>2.82</v>
      </c>
      <c r="H697">
        <v>9.75</v>
      </c>
      <c r="I697">
        <v>1.9</v>
      </c>
      <c r="J697">
        <v>3.4</v>
      </c>
      <c r="K697">
        <v>256</v>
      </c>
      <c r="L697">
        <v>26</v>
      </c>
      <c r="M697">
        <v>3.6</v>
      </c>
      <c r="N697">
        <v>104</v>
      </c>
      <c r="O697">
        <v>3.7</v>
      </c>
      <c r="P697">
        <v>0</v>
      </c>
      <c r="Q697">
        <v>0</v>
      </c>
      <c r="R697">
        <v>0</v>
      </c>
      <c r="S697">
        <v>0</v>
      </c>
      <c r="T697">
        <v>0.2059</v>
      </c>
      <c r="U697">
        <v>-7.4399999999999994E-2</v>
      </c>
      <c r="V697">
        <v>1.2999999999999999E-3</v>
      </c>
      <c r="W697">
        <v>-3.028</v>
      </c>
      <c r="X697">
        <v>0.7802</v>
      </c>
      <c r="Y697">
        <v>-2.93E-2</v>
      </c>
      <c r="Z697">
        <v>65</v>
      </c>
      <c r="AA697">
        <v>3.2</v>
      </c>
      <c r="AB697">
        <v>65</v>
      </c>
      <c r="AC697">
        <v>3.5</v>
      </c>
      <c r="AD697">
        <v>0</v>
      </c>
      <c r="AE697">
        <v>0</v>
      </c>
      <c r="AF697">
        <v>4.1951999999999998</v>
      </c>
      <c r="AG697">
        <v>66</v>
      </c>
      <c r="AH697">
        <v>0</v>
      </c>
    </row>
    <row r="698" spans="1:34" x14ac:dyDescent="0.35">
      <c r="A698" t="s">
        <v>34</v>
      </c>
      <c r="B698" s="1">
        <v>46146.65625</v>
      </c>
      <c r="C698" t="s">
        <v>34</v>
      </c>
      <c r="D698" s="1">
        <v>46148.625</v>
      </c>
      <c r="E698">
        <v>7050</v>
      </c>
      <c r="F698" t="s">
        <v>36</v>
      </c>
      <c r="G698">
        <v>3.4</v>
      </c>
      <c r="H698">
        <v>9.8699999999999992</v>
      </c>
      <c r="I698">
        <v>2.0499999999999998</v>
      </c>
      <c r="J698">
        <v>3.52</v>
      </c>
      <c r="K698">
        <v>1291</v>
      </c>
      <c r="L698">
        <v>131</v>
      </c>
      <c r="M698">
        <v>3.8</v>
      </c>
      <c r="N698">
        <v>144</v>
      </c>
      <c r="O698">
        <v>4</v>
      </c>
      <c r="P698">
        <v>0</v>
      </c>
      <c r="Q698">
        <v>0</v>
      </c>
      <c r="R698">
        <v>0</v>
      </c>
      <c r="S698">
        <v>0</v>
      </c>
      <c r="T698">
        <v>0.2046</v>
      </c>
      <c r="U698">
        <v>-7.9899999999999999E-2</v>
      </c>
      <c r="V698">
        <v>1.4E-3</v>
      </c>
      <c r="W698">
        <v>-3.2395999999999998</v>
      </c>
      <c r="X698">
        <v>0.8226</v>
      </c>
      <c r="Y698">
        <v>-3.1600000000000003E-2</v>
      </c>
      <c r="Z698">
        <v>62</v>
      </c>
      <c r="AA698">
        <v>3.5</v>
      </c>
      <c r="AB698">
        <v>11</v>
      </c>
      <c r="AC698">
        <v>3.7</v>
      </c>
      <c r="AD698">
        <v>0</v>
      </c>
      <c r="AE698">
        <v>0</v>
      </c>
      <c r="AF698">
        <v>4.8916000000000004</v>
      </c>
      <c r="AG698">
        <v>1258</v>
      </c>
      <c r="AH698">
        <v>0</v>
      </c>
    </row>
    <row r="699" spans="1:34" x14ac:dyDescent="0.35">
      <c r="A699" t="s">
        <v>34</v>
      </c>
      <c r="B699" s="1">
        <v>46146.65625</v>
      </c>
      <c r="C699" t="s">
        <v>34</v>
      </c>
      <c r="D699" s="1">
        <v>46148.625</v>
      </c>
      <c r="E699">
        <v>7055</v>
      </c>
      <c r="F699" t="s">
        <v>36</v>
      </c>
      <c r="G699">
        <v>3.8</v>
      </c>
      <c r="H699">
        <v>10</v>
      </c>
      <c r="I699">
        <v>2.85</v>
      </c>
      <c r="J699">
        <v>3.54</v>
      </c>
      <c r="K699">
        <v>268</v>
      </c>
      <c r="L699">
        <v>126</v>
      </c>
      <c r="M699">
        <v>4.0999999999999996</v>
      </c>
      <c r="N699">
        <v>132</v>
      </c>
      <c r="O699">
        <v>4.3</v>
      </c>
      <c r="P699">
        <v>0</v>
      </c>
      <c r="Q699">
        <v>0</v>
      </c>
      <c r="R699">
        <v>0</v>
      </c>
      <c r="S699">
        <v>0</v>
      </c>
      <c r="T699">
        <v>0.2031</v>
      </c>
      <c r="U699">
        <v>-8.5500000000000007E-2</v>
      </c>
      <c r="V699">
        <v>1.4E-3</v>
      </c>
      <c r="W699">
        <v>-3.4451999999999998</v>
      </c>
      <c r="X699">
        <v>0.86380000000000001</v>
      </c>
      <c r="Y699">
        <v>-3.3799999999999997E-2</v>
      </c>
      <c r="Z699">
        <v>56</v>
      </c>
      <c r="AA699">
        <v>3.8</v>
      </c>
      <c r="AB699">
        <v>25</v>
      </c>
      <c r="AC699">
        <v>4</v>
      </c>
      <c r="AD699">
        <v>0</v>
      </c>
      <c r="AE699">
        <v>0</v>
      </c>
      <c r="AF699">
        <v>6.0780000000000003</v>
      </c>
      <c r="AG699">
        <v>312</v>
      </c>
      <c r="AH699">
        <v>0</v>
      </c>
    </row>
    <row r="700" spans="1:34" x14ac:dyDescent="0.35">
      <c r="A700" t="s">
        <v>34</v>
      </c>
      <c r="B700" s="1">
        <v>46146.65625</v>
      </c>
      <c r="C700" t="s">
        <v>34</v>
      </c>
      <c r="D700" s="1">
        <v>46148.625</v>
      </c>
      <c r="E700">
        <v>7060</v>
      </c>
      <c r="F700" t="s">
        <v>36</v>
      </c>
      <c r="G700">
        <v>4</v>
      </c>
      <c r="H700">
        <v>13.19</v>
      </c>
      <c r="I700">
        <v>2.35</v>
      </c>
      <c r="J700">
        <v>4.16</v>
      </c>
      <c r="K700">
        <v>723</v>
      </c>
      <c r="L700">
        <v>15</v>
      </c>
      <c r="M700">
        <v>4.5</v>
      </c>
      <c r="N700">
        <v>85</v>
      </c>
      <c r="O700">
        <v>4.5999999999999996</v>
      </c>
      <c r="P700">
        <v>0</v>
      </c>
      <c r="Q700">
        <v>0</v>
      </c>
      <c r="R700">
        <v>0</v>
      </c>
      <c r="S700">
        <v>0</v>
      </c>
      <c r="T700">
        <v>0.2016</v>
      </c>
      <c r="U700">
        <v>-9.11E-2</v>
      </c>
      <c r="V700">
        <v>1.5E-3</v>
      </c>
      <c r="W700">
        <v>-3.6456</v>
      </c>
      <c r="X700">
        <v>0.90410000000000001</v>
      </c>
      <c r="Y700">
        <v>-3.5999999999999997E-2</v>
      </c>
      <c r="Z700">
        <v>56</v>
      </c>
      <c r="AA700">
        <v>4.0999999999999996</v>
      </c>
      <c r="AB700">
        <v>24</v>
      </c>
      <c r="AC700">
        <v>4.3</v>
      </c>
      <c r="AD700">
        <v>0</v>
      </c>
      <c r="AE700">
        <v>0</v>
      </c>
      <c r="AF700">
        <v>5.0372000000000003</v>
      </c>
      <c r="AG700">
        <v>311</v>
      </c>
      <c r="AH700">
        <v>0</v>
      </c>
    </row>
    <row r="701" spans="1:34" x14ac:dyDescent="0.35">
      <c r="A701" t="s">
        <v>34</v>
      </c>
      <c r="B701" s="1">
        <v>46146.65625</v>
      </c>
      <c r="C701" t="s">
        <v>34</v>
      </c>
      <c r="D701" s="1">
        <v>46148.625</v>
      </c>
      <c r="E701">
        <v>7065</v>
      </c>
      <c r="F701" t="s">
        <v>36</v>
      </c>
      <c r="G701">
        <v>4.4000000000000004</v>
      </c>
      <c r="H701">
        <v>10.7</v>
      </c>
      <c r="I701">
        <v>2.41</v>
      </c>
      <c r="J701">
        <v>4.5999999999999996</v>
      </c>
      <c r="K701">
        <v>328</v>
      </c>
      <c r="L701">
        <v>90</v>
      </c>
      <c r="M701">
        <v>4.8</v>
      </c>
      <c r="N701">
        <v>120</v>
      </c>
      <c r="O701">
        <v>5</v>
      </c>
      <c r="P701">
        <v>0</v>
      </c>
      <c r="Q701">
        <v>0</v>
      </c>
      <c r="R701">
        <v>0</v>
      </c>
      <c r="S701">
        <v>0</v>
      </c>
      <c r="T701">
        <v>0.2</v>
      </c>
      <c r="U701">
        <v>-9.7600000000000006E-2</v>
      </c>
      <c r="V701">
        <v>1.6000000000000001E-3</v>
      </c>
      <c r="W701">
        <v>-3.8727</v>
      </c>
      <c r="X701">
        <v>0.94989999999999997</v>
      </c>
      <c r="Y701">
        <v>-3.85E-2</v>
      </c>
      <c r="Z701">
        <v>17</v>
      </c>
      <c r="AA701">
        <v>4.5</v>
      </c>
      <c r="AB701">
        <v>58</v>
      </c>
      <c r="AC701">
        <v>4.7</v>
      </c>
      <c r="AD701">
        <v>0</v>
      </c>
      <c r="AE701">
        <v>0</v>
      </c>
      <c r="AF701">
        <v>5.1473000000000004</v>
      </c>
      <c r="AG701">
        <v>107</v>
      </c>
      <c r="AH701">
        <v>0</v>
      </c>
    </row>
    <row r="702" spans="1:34" x14ac:dyDescent="0.35">
      <c r="A702" t="s">
        <v>34</v>
      </c>
      <c r="B702" s="1">
        <v>46146.65625</v>
      </c>
      <c r="C702" t="s">
        <v>34</v>
      </c>
      <c r="D702" s="1">
        <v>46148.625</v>
      </c>
      <c r="E702">
        <v>7070</v>
      </c>
      <c r="F702" t="s">
        <v>36</v>
      </c>
      <c r="G702">
        <v>4.6399999999999997</v>
      </c>
      <c r="H702">
        <v>12.38</v>
      </c>
      <c r="I702">
        <v>2.5099999999999998</v>
      </c>
      <c r="J702">
        <v>5.0999999999999996</v>
      </c>
      <c r="K702">
        <v>343</v>
      </c>
      <c r="L702">
        <v>47</v>
      </c>
      <c r="M702">
        <v>5.2</v>
      </c>
      <c r="N702">
        <v>47</v>
      </c>
      <c r="O702">
        <v>5.3</v>
      </c>
      <c r="P702">
        <v>0</v>
      </c>
      <c r="Q702">
        <v>0</v>
      </c>
      <c r="R702">
        <v>0</v>
      </c>
      <c r="S702">
        <v>0</v>
      </c>
      <c r="T702">
        <v>0.19819999999999999</v>
      </c>
      <c r="U702">
        <v>-0.1041</v>
      </c>
      <c r="V702">
        <v>1.6999999999999999E-3</v>
      </c>
      <c r="W702">
        <v>-4.0926</v>
      </c>
      <c r="X702">
        <v>0.99460000000000004</v>
      </c>
      <c r="Y702">
        <v>-4.1200000000000001E-2</v>
      </c>
      <c r="Z702">
        <v>1</v>
      </c>
      <c r="AA702">
        <v>4.9000000000000004</v>
      </c>
      <c r="AB702">
        <v>22</v>
      </c>
      <c r="AC702">
        <v>5</v>
      </c>
      <c r="AD702">
        <v>0</v>
      </c>
      <c r="AE702">
        <v>0</v>
      </c>
      <c r="AF702">
        <v>5.9180000000000001</v>
      </c>
      <c r="AG702">
        <v>167</v>
      </c>
      <c r="AH702">
        <v>0</v>
      </c>
    </row>
    <row r="703" spans="1:34" x14ac:dyDescent="0.35">
      <c r="A703" t="s">
        <v>34</v>
      </c>
      <c r="B703" s="1">
        <v>46146.65625</v>
      </c>
      <c r="C703" t="s">
        <v>34</v>
      </c>
      <c r="D703" s="1">
        <v>46148.625</v>
      </c>
      <c r="E703">
        <v>7075</v>
      </c>
      <c r="F703" t="s">
        <v>36</v>
      </c>
      <c r="G703">
        <v>5</v>
      </c>
      <c r="H703">
        <v>12.61</v>
      </c>
      <c r="I703">
        <v>2.72</v>
      </c>
      <c r="J703">
        <v>5.4</v>
      </c>
      <c r="K703">
        <v>686</v>
      </c>
      <c r="L703">
        <v>65</v>
      </c>
      <c r="M703">
        <v>5.6</v>
      </c>
      <c r="N703">
        <v>43</v>
      </c>
      <c r="O703">
        <v>5.7</v>
      </c>
      <c r="P703">
        <v>0</v>
      </c>
      <c r="Q703">
        <v>0</v>
      </c>
      <c r="R703">
        <v>0</v>
      </c>
      <c r="S703">
        <v>0</v>
      </c>
      <c r="T703">
        <v>0.19670000000000001</v>
      </c>
      <c r="U703">
        <v>-0.11119999999999999</v>
      </c>
      <c r="V703">
        <v>1.8E-3</v>
      </c>
      <c r="W703">
        <v>-4.3372000000000002</v>
      </c>
      <c r="X703">
        <v>1.0419</v>
      </c>
      <c r="Y703">
        <v>-4.41E-2</v>
      </c>
      <c r="Z703">
        <v>37</v>
      </c>
      <c r="AA703">
        <v>5.2</v>
      </c>
      <c r="AB703">
        <v>24</v>
      </c>
      <c r="AC703">
        <v>5.4</v>
      </c>
      <c r="AD703">
        <v>0</v>
      </c>
      <c r="AE703">
        <v>0</v>
      </c>
      <c r="AF703">
        <v>5.9946000000000002</v>
      </c>
      <c r="AG703">
        <v>432</v>
      </c>
      <c r="AH703">
        <v>0</v>
      </c>
    </row>
    <row r="704" spans="1:34" x14ac:dyDescent="0.35">
      <c r="A704" t="s">
        <v>34</v>
      </c>
      <c r="B704" s="1">
        <v>46146.65625</v>
      </c>
      <c r="C704" t="s">
        <v>34</v>
      </c>
      <c r="D704" s="1">
        <v>46148.625</v>
      </c>
      <c r="E704">
        <v>7080</v>
      </c>
      <c r="F704" t="s">
        <v>36</v>
      </c>
      <c r="G704">
        <v>5.25</v>
      </c>
      <c r="H704">
        <v>13.3</v>
      </c>
      <c r="I704">
        <v>2.84</v>
      </c>
      <c r="J704">
        <v>5.74</v>
      </c>
      <c r="K704">
        <v>722</v>
      </c>
      <c r="L704">
        <v>67</v>
      </c>
      <c r="M704">
        <v>6</v>
      </c>
      <c r="N704">
        <v>105</v>
      </c>
      <c r="O704">
        <v>6.2</v>
      </c>
      <c r="P704">
        <v>0</v>
      </c>
      <c r="Q704">
        <v>0</v>
      </c>
      <c r="R704">
        <v>0</v>
      </c>
      <c r="S704">
        <v>0</v>
      </c>
      <c r="T704">
        <v>0.19500000000000001</v>
      </c>
      <c r="U704">
        <v>-0.11849999999999999</v>
      </c>
      <c r="V704">
        <v>1.9E-3</v>
      </c>
      <c r="W704">
        <v>-4.5724</v>
      </c>
      <c r="X704">
        <v>1.0878000000000001</v>
      </c>
      <c r="Y704">
        <v>-4.6899999999999997E-2</v>
      </c>
      <c r="Z704">
        <v>36</v>
      </c>
      <c r="AA704">
        <v>5.6</v>
      </c>
      <c r="AB704">
        <v>21</v>
      </c>
      <c r="AC704">
        <v>5.8</v>
      </c>
      <c r="AD704">
        <v>0</v>
      </c>
      <c r="AE704">
        <v>0</v>
      </c>
      <c r="AF704">
        <v>5.7035999999999998</v>
      </c>
      <c r="AG704">
        <v>356</v>
      </c>
      <c r="AH704">
        <v>0</v>
      </c>
    </row>
    <row r="705" spans="1:34" x14ac:dyDescent="0.35">
      <c r="A705" t="s">
        <v>34</v>
      </c>
      <c r="B705" s="1">
        <v>46146.65625</v>
      </c>
      <c r="C705" t="s">
        <v>34</v>
      </c>
      <c r="D705" s="1">
        <v>46148.625</v>
      </c>
      <c r="E705">
        <v>7085</v>
      </c>
      <c r="F705" t="s">
        <v>36</v>
      </c>
      <c r="G705">
        <v>5.65</v>
      </c>
      <c r="H705">
        <v>15.6</v>
      </c>
      <c r="I705">
        <v>2.99</v>
      </c>
      <c r="J705">
        <v>6.29</v>
      </c>
      <c r="K705">
        <v>266</v>
      </c>
      <c r="L705">
        <v>93</v>
      </c>
      <c r="M705">
        <v>6.4</v>
      </c>
      <c r="N705">
        <v>50</v>
      </c>
      <c r="O705">
        <v>6.6</v>
      </c>
      <c r="P705">
        <v>0</v>
      </c>
      <c r="Q705">
        <v>0</v>
      </c>
      <c r="R705">
        <v>0</v>
      </c>
      <c r="S705">
        <v>0</v>
      </c>
      <c r="T705">
        <v>0.1938</v>
      </c>
      <c r="U705">
        <v>-0.12709999999999999</v>
      </c>
      <c r="V705">
        <v>2E-3</v>
      </c>
      <c r="W705">
        <v>-4.8597000000000001</v>
      </c>
      <c r="X705">
        <v>1.1405000000000001</v>
      </c>
      <c r="Y705">
        <v>-5.0299999999999997E-2</v>
      </c>
      <c r="Z705">
        <v>15</v>
      </c>
      <c r="AA705">
        <v>6.1</v>
      </c>
      <c r="AB705">
        <v>50</v>
      </c>
      <c r="AC705">
        <v>6.3</v>
      </c>
      <c r="AD705">
        <v>0</v>
      </c>
      <c r="AE705">
        <v>0</v>
      </c>
      <c r="AF705">
        <v>8.0025999999999993</v>
      </c>
      <c r="AG705">
        <v>155</v>
      </c>
      <c r="AH705">
        <v>0</v>
      </c>
    </row>
    <row r="706" spans="1:34" x14ac:dyDescent="0.35">
      <c r="A706" t="s">
        <v>34</v>
      </c>
      <c r="B706" s="1">
        <v>46146.65625</v>
      </c>
      <c r="C706" t="s">
        <v>34</v>
      </c>
      <c r="D706" s="1">
        <v>46148.625</v>
      </c>
      <c r="E706">
        <v>7090</v>
      </c>
      <c r="F706" t="s">
        <v>36</v>
      </c>
      <c r="G706">
        <v>6.2</v>
      </c>
      <c r="H706">
        <v>14.8</v>
      </c>
      <c r="I706">
        <v>3.2</v>
      </c>
      <c r="J706">
        <v>6.6</v>
      </c>
      <c r="K706">
        <v>495</v>
      </c>
      <c r="L706">
        <v>76</v>
      </c>
      <c r="M706">
        <v>6.9</v>
      </c>
      <c r="N706">
        <v>69</v>
      </c>
      <c r="O706">
        <v>7.1</v>
      </c>
      <c r="P706">
        <v>0</v>
      </c>
      <c r="Q706">
        <v>0</v>
      </c>
      <c r="R706">
        <v>0</v>
      </c>
      <c r="S706">
        <v>0</v>
      </c>
      <c r="T706">
        <v>0.1923</v>
      </c>
      <c r="U706">
        <v>-0.1358</v>
      </c>
      <c r="V706">
        <v>2.0999999999999999E-3</v>
      </c>
      <c r="W706">
        <v>-5.1337000000000002</v>
      </c>
      <c r="X706">
        <v>1.1922999999999999</v>
      </c>
      <c r="Y706">
        <v>-5.3800000000000001E-2</v>
      </c>
      <c r="Z706">
        <v>42</v>
      </c>
      <c r="AA706">
        <v>6.5</v>
      </c>
      <c r="AB706">
        <v>14</v>
      </c>
      <c r="AC706">
        <v>6.7</v>
      </c>
      <c r="AD706">
        <v>0</v>
      </c>
      <c r="AE706">
        <v>0</v>
      </c>
      <c r="AF706">
        <v>7.3884999999999996</v>
      </c>
      <c r="AG706">
        <v>256</v>
      </c>
      <c r="AH706">
        <v>0</v>
      </c>
    </row>
    <row r="707" spans="1:34" x14ac:dyDescent="0.35">
      <c r="A707" t="s">
        <v>34</v>
      </c>
      <c r="B707" s="1">
        <v>46146.65625</v>
      </c>
      <c r="C707" t="s">
        <v>34</v>
      </c>
      <c r="D707" s="1">
        <v>46148.625</v>
      </c>
      <c r="E707">
        <v>7095</v>
      </c>
      <c r="F707" t="s">
        <v>36</v>
      </c>
      <c r="G707">
        <v>6.6</v>
      </c>
      <c r="H707">
        <v>18.5</v>
      </c>
      <c r="I707">
        <v>3.45</v>
      </c>
      <c r="J707">
        <v>7.2</v>
      </c>
      <c r="K707">
        <v>316</v>
      </c>
      <c r="L707">
        <v>95</v>
      </c>
      <c r="M707">
        <v>7.4</v>
      </c>
      <c r="N707">
        <v>49</v>
      </c>
      <c r="O707">
        <v>7.6</v>
      </c>
      <c r="P707">
        <v>0</v>
      </c>
      <c r="Q707">
        <v>0</v>
      </c>
      <c r="R707">
        <v>0</v>
      </c>
      <c r="S707">
        <v>0</v>
      </c>
      <c r="T707">
        <v>0.19059999999999999</v>
      </c>
      <c r="U707">
        <v>-0.14460000000000001</v>
      </c>
      <c r="V707">
        <v>2.2000000000000001E-3</v>
      </c>
      <c r="W707">
        <v>-5.3933999999999997</v>
      </c>
      <c r="X707">
        <v>1.2427999999999999</v>
      </c>
      <c r="Y707">
        <v>-5.74E-2</v>
      </c>
      <c r="Z707">
        <v>41</v>
      </c>
      <c r="AA707">
        <v>7</v>
      </c>
      <c r="AB707">
        <v>49</v>
      </c>
      <c r="AC707">
        <v>7.3</v>
      </c>
      <c r="AD707">
        <v>0</v>
      </c>
      <c r="AE707">
        <v>0</v>
      </c>
      <c r="AF707">
        <v>8.4273000000000007</v>
      </c>
      <c r="AG707">
        <v>150</v>
      </c>
      <c r="AH707">
        <v>0</v>
      </c>
    </row>
    <row r="708" spans="1:34" x14ac:dyDescent="0.35">
      <c r="A708" t="s">
        <v>34</v>
      </c>
      <c r="B708" s="1">
        <v>46146.65625</v>
      </c>
      <c r="C708" t="s">
        <v>34</v>
      </c>
      <c r="D708" s="1">
        <v>46148.625</v>
      </c>
      <c r="E708">
        <v>7100</v>
      </c>
      <c r="F708" t="s">
        <v>36</v>
      </c>
      <c r="G708">
        <v>6.69</v>
      </c>
      <c r="H708">
        <v>18.399999999999999</v>
      </c>
      <c r="I708">
        <v>3.65</v>
      </c>
      <c r="J708">
        <v>7.59</v>
      </c>
      <c r="K708">
        <v>4907</v>
      </c>
      <c r="L708">
        <v>66</v>
      </c>
      <c r="M708">
        <v>8</v>
      </c>
      <c r="N708">
        <v>97</v>
      </c>
      <c r="O708">
        <v>8.1999999999999993</v>
      </c>
      <c r="P708">
        <v>0</v>
      </c>
      <c r="Q708">
        <v>0</v>
      </c>
      <c r="R708">
        <v>0</v>
      </c>
      <c r="S708">
        <v>0</v>
      </c>
      <c r="T708">
        <v>0.1885</v>
      </c>
      <c r="U708">
        <v>-0.1535</v>
      </c>
      <c r="V708">
        <v>2.3E-3</v>
      </c>
      <c r="W708">
        <v>-5.6387999999999998</v>
      </c>
      <c r="X708">
        <v>1.2916000000000001</v>
      </c>
      <c r="Y708">
        <v>-6.0999999999999999E-2</v>
      </c>
      <c r="Z708">
        <v>20</v>
      </c>
      <c r="AA708">
        <v>7.6</v>
      </c>
      <c r="AB708">
        <v>33</v>
      </c>
      <c r="AC708">
        <v>7.8</v>
      </c>
      <c r="AD708">
        <v>0</v>
      </c>
      <c r="AE708">
        <v>0</v>
      </c>
      <c r="AF708">
        <v>10.2317</v>
      </c>
      <c r="AG708">
        <v>1013</v>
      </c>
      <c r="AH708">
        <v>0</v>
      </c>
    </row>
    <row r="709" spans="1:34" x14ac:dyDescent="0.35">
      <c r="A709" t="s">
        <v>34</v>
      </c>
      <c r="B709" s="1">
        <v>46146.65625</v>
      </c>
      <c r="C709" t="s">
        <v>34</v>
      </c>
      <c r="D709" s="1">
        <v>46148.625</v>
      </c>
      <c r="E709">
        <v>7105</v>
      </c>
      <c r="F709" t="s">
        <v>36</v>
      </c>
      <c r="G709">
        <v>6.77</v>
      </c>
      <c r="H709">
        <v>20.21</v>
      </c>
      <c r="I709">
        <v>4.09</v>
      </c>
      <c r="J709">
        <v>8.49</v>
      </c>
      <c r="K709">
        <v>247</v>
      </c>
      <c r="L709">
        <v>50</v>
      </c>
      <c r="M709">
        <v>8.6</v>
      </c>
      <c r="N709">
        <v>86</v>
      </c>
      <c r="O709">
        <v>8.8000000000000007</v>
      </c>
      <c r="P709">
        <v>0</v>
      </c>
      <c r="Q709">
        <v>0</v>
      </c>
      <c r="R709">
        <v>0</v>
      </c>
      <c r="S709">
        <v>0</v>
      </c>
      <c r="T709">
        <v>0.18690000000000001</v>
      </c>
      <c r="U709">
        <v>-0.1636</v>
      </c>
      <c r="V709">
        <v>2.5000000000000001E-3</v>
      </c>
      <c r="W709">
        <v>-5.9253999999999998</v>
      </c>
      <c r="X709">
        <v>1.3445</v>
      </c>
      <c r="Y709">
        <v>-6.5000000000000002E-2</v>
      </c>
      <c r="Z709">
        <v>14</v>
      </c>
      <c r="AA709">
        <v>8.1999999999999993</v>
      </c>
      <c r="AB709">
        <v>33</v>
      </c>
      <c r="AC709">
        <v>8.4</v>
      </c>
      <c r="AD709">
        <v>0</v>
      </c>
      <c r="AE709">
        <v>0</v>
      </c>
      <c r="AF709">
        <v>10.6379</v>
      </c>
      <c r="AG709">
        <v>107</v>
      </c>
      <c r="AH709">
        <v>0</v>
      </c>
    </row>
    <row r="710" spans="1:34" x14ac:dyDescent="0.35">
      <c r="A710" t="s">
        <v>34</v>
      </c>
      <c r="B710" s="1">
        <v>46146.65625</v>
      </c>
      <c r="C710" t="s">
        <v>34</v>
      </c>
      <c r="D710" s="1">
        <v>46148.625</v>
      </c>
      <c r="E710">
        <v>7110</v>
      </c>
      <c r="F710" t="s">
        <v>36</v>
      </c>
      <c r="G710">
        <v>7.99</v>
      </c>
      <c r="H710">
        <v>20.399999999999999</v>
      </c>
      <c r="I710">
        <v>4.0999999999999996</v>
      </c>
      <c r="J710">
        <v>9.16</v>
      </c>
      <c r="K710">
        <v>1269</v>
      </c>
      <c r="L710">
        <v>53</v>
      </c>
      <c r="M710">
        <v>9.1999999999999993</v>
      </c>
      <c r="N710">
        <v>80</v>
      </c>
      <c r="O710">
        <v>9.4</v>
      </c>
      <c r="P710">
        <v>0</v>
      </c>
      <c r="Q710">
        <v>0</v>
      </c>
      <c r="R710">
        <v>0</v>
      </c>
      <c r="S710">
        <v>0</v>
      </c>
      <c r="T710">
        <v>0.185</v>
      </c>
      <c r="U710">
        <v>-0.17399999999999999</v>
      </c>
      <c r="V710">
        <v>2.5999999999999999E-3</v>
      </c>
      <c r="W710">
        <v>-6.1929999999999996</v>
      </c>
      <c r="X710">
        <v>1.397</v>
      </c>
      <c r="Y710">
        <v>-6.9099999999999995E-2</v>
      </c>
      <c r="Z710">
        <v>19</v>
      </c>
      <c r="AA710">
        <v>8.8000000000000007</v>
      </c>
      <c r="AB710">
        <v>18</v>
      </c>
      <c r="AC710">
        <v>9</v>
      </c>
      <c r="AD710">
        <v>0</v>
      </c>
      <c r="AE710">
        <v>0</v>
      </c>
      <c r="AF710">
        <v>9.2517999999999994</v>
      </c>
      <c r="AG710">
        <v>695</v>
      </c>
      <c r="AH710">
        <v>0</v>
      </c>
    </row>
    <row r="711" spans="1:34" x14ac:dyDescent="0.35">
      <c r="A711" t="s">
        <v>34</v>
      </c>
      <c r="B711" s="1">
        <v>46146.65625</v>
      </c>
      <c r="C711" t="s">
        <v>34</v>
      </c>
      <c r="D711" s="1">
        <v>46148.625</v>
      </c>
      <c r="E711">
        <v>7115</v>
      </c>
      <c r="F711" t="s">
        <v>36</v>
      </c>
      <c r="G711">
        <v>8.7899999999999991</v>
      </c>
      <c r="H711">
        <v>20.14</v>
      </c>
      <c r="I711">
        <v>4.4000000000000004</v>
      </c>
      <c r="J711">
        <v>9.4700000000000006</v>
      </c>
      <c r="K711">
        <v>505</v>
      </c>
      <c r="L711">
        <v>46</v>
      </c>
      <c r="M711">
        <v>9.9</v>
      </c>
      <c r="N711">
        <v>81</v>
      </c>
      <c r="O711">
        <v>10.1</v>
      </c>
      <c r="P711">
        <v>0</v>
      </c>
      <c r="Q711">
        <v>0</v>
      </c>
      <c r="R711">
        <v>0</v>
      </c>
      <c r="S711">
        <v>0</v>
      </c>
      <c r="T711">
        <v>0.1835</v>
      </c>
      <c r="U711">
        <v>-0.1855</v>
      </c>
      <c r="V711">
        <v>2.7000000000000001E-3</v>
      </c>
      <c r="W711">
        <v>-6.4938000000000002</v>
      </c>
      <c r="X711">
        <v>1.4527000000000001</v>
      </c>
      <c r="Y711">
        <v>-7.3800000000000004E-2</v>
      </c>
      <c r="Z711">
        <v>28</v>
      </c>
      <c r="AA711">
        <v>9.4</v>
      </c>
      <c r="AB711">
        <v>33</v>
      </c>
      <c r="AC711">
        <v>9.6999999999999993</v>
      </c>
      <c r="AD711">
        <v>0</v>
      </c>
      <c r="AE711">
        <v>0</v>
      </c>
      <c r="AF711">
        <v>10.542199999999999</v>
      </c>
      <c r="AG711">
        <v>323</v>
      </c>
      <c r="AH711">
        <v>0</v>
      </c>
    </row>
    <row r="712" spans="1:34" x14ac:dyDescent="0.35">
      <c r="A712" t="s">
        <v>34</v>
      </c>
      <c r="B712" s="1">
        <v>46146.65625</v>
      </c>
      <c r="C712" t="s">
        <v>34</v>
      </c>
      <c r="D712" s="1">
        <v>46148.625</v>
      </c>
      <c r="E712">
        <v>7120</v>
      </c>
      <c r="F712" t="s">
        <v>36</v>
      </c>
      <c r="G712">
        <v>9.36</v>
      </c>
      <c r="H712">
        <v>20.36</v>
      </c>
      <c r="I712">
        <v>4.7</v>
      </c>
      <c r="J712">
        <v>10.119999999999999</v>
      </c>
      <c r="K712">
        <v>1280</v>
      </c>
      <c r="L712">
        <v>40</v>
      </c>
      <c r="M712">
        <v>10.6</v>
      </c>
      <c r="N712">
        <v>74</v>
      </c>
      <c r="O712">
        <v>10.8</v>
      </c>
      <c r="P712">
        <v>0</v>
      </c>
      <c r="Q712">
        <v>0</v>
      </c>
      <c r="R712">
        <v>0</v>
      </c>
      <c r="S712">
        <v>0</v>
      </c>
      <c r="T712">
        <v>0.1817</v>
      </c>
      <c r="U712">
        <v>-0.1971</v>
      </c>
      <c r="V712">
        <v>2.8E-3</v>
      </c>
      <c r="W712">
        <v>-6.7712000000000003</v>
      </c>
      <c r="X712">
        <v>1.5058</v>
      </c>
      <c r="Y712">
        <v>-7.85E-2</v>
      </c>
      <c r="Z712">
        <v>12</v>
      </c>
      <c r="AA712">
        <v>10.199999999999999</v>
      </c>
      <c r="AB712">
        <v>30</v>
      </c>
      <c r="AC712">
        <v>10.4</v>
      </c>
      <c r="AD712">
        <v>0</v>
      </c>
      <c r="AE712">
        <v>0</v>
      </c>
      <c r="AF712">
        <v>11.5084</v>
      </c>
      <c r="AG712">
        <v>476</v>
      </c>
      <c r="AH712">
        <v>0</v>
      </c>
    </row>
    <row r="713" spans="1:34" x14ac:dyDescent="0.35">
      <c r="A713" t="s">
        <v>34</v>
      </c>
      <c r="B713" s="1">
        <v>46146.65625</v>
      </c>
      <c r="C713" t="s">
        <v>34</v>
      </c>
      <c r="D713" s="1">
        <v>46148.625</v>
      </c>
      <c r="E713">
        <v>7125</v>
      </c>
      <c r="F713" t="s">
        <v>36</v>
      </c>
      <c r="G713">
        <v>8.8699999999999992</v>
      </c>
      <c r="H713">
        <v>22.34</v>
      </c>
      <c r="I713">
        <v>5</v>
      </c>
      <c r="J713">
        <v>11.38</v>
      </c>
      <c r="K713">
        <v>792</v>
      </c>
      <c r="L713">
        <v>70</v>
      </c>
      <c r="M713">
        <v>11.3</v>
      </c>
      <c r="N713">
        <v>39</v>
      </c>
      <c r="O713">
        <v>11.5</v>
      </c>
      <c r="P713">
        <v>0</v>
      </c>
      <c r="Q713">
        <v>0</v>
      </c>
      <c r="R713">
        <v>0</v>
      </c>
      <c r="S713">
        <v>0</v>
      </c>
      <c r="T713">
        <v>0.18010000000000001</v>
      </c>
      <c r="U713">
        <v>-0.2099</v>
      </c>
      <c r="V713">
        <v>3.0000000000000001E-3</v>
      </c>
      <c r="W713">
        <v>-7.0724</v>
      </c>
      <c r="X713">
        <v>1.5604</v>
      </c>
      <c r="Y713">
        <v>-8.3500000000000005E-2</v>
      </c>
      <c r="Z713">
        <v>19</v>
      </c>
      <c r="AA713">
        <v>10.9</v>
      </c>
      <c r="AB713">
        <v>11</v>
      </c>
      <c r="AC713">
        <v>11.1</v>
      </c>
      <c r="AD713">
        <v>0</v>
      </c>
      <c r="AE713">
        <v>0</v>
      </c>
      <c r="AF713">
        <v>11.790800000000001</v>
      </c>
      <c r="AG713">
        <v>257</v>
      </c>
      <c r="AH713">
        <v>0</v>
      </c>
    </row>
    <row r="714" spans="1:34" x14ac:dyDescent="0.35">
      <c r="A714" t="s">
        <v>34</v>
      </c>
      <c r="B714" s="1">
        <v>46146.65625</v>
      </c>
      <c r="C714" t="s">
        <v>34</v>
      </c>
      <c r="D714" s="1">
        <v>46148.625</v>
      </c>
      <c r="E714">
        <v>7130</v>
      </c>
      <c r="F714" t="s">
        <v>36</v>
      </c>
      <c r="G714">
        <v>11.3</v>
      </c>
      <c r="H714">
        <v>23.45</v>
      </c>
      <c r="I714">
        <v>5.3</v>
      </c>
      <c r="J714">
        <v>12.1</v>
      </c>
      <c r="K714">
        <v>504</v>
      </c>
      <c r="L714">
        <v>59</v>
      </c>
      <c r="M714">
        <v>12.1</v>
      </c>
      <c r="N714">
        <v>31</v>
      </c>
      <c r="O714">
        <v>12.3</v>
      </c>
      <c r="P714">
        <v>0</v>
      </c>
      <c r="Q714">
        <v>0</v>
      </c>
      <c r="R714">
        <v>0</v>
      </c>
      <c r="S714">
        <v>0</v>
      </c>
      <c r="T714">
        <v>0.1779</v>
      </c>
      <c r="U714">
        <v>-0.2225</v>
      </c>
      <c r="V714">
        <v>3.0999999999999999E-3</v>
      </c>
      <c r="W714">
        <v>-7.3224999999999998</v>
      </c>
      <c r="X714">
        <v>1.6121000000000001</v>
      </c>
      <c r="Y714">
        <v>-8.8599999999999998E-2</v>
      </c>
      <c r="Z714">
        <v>19</v>
      </c>
      <c r="AA714">
        <v>11.7</v>
      </c>
      <c r="AB714">
        <v>33</v>
      </c>
      <c r="AC714">
        <v>12</v>
      </c>
      <c r="AD714">
        <v>0</v>
      </c>
      <c r="AE714">
        <v>0</v>
      </c>
      <c r="AF714">
        <v>11.418699999999999</v>
      </c>
      <c r="AG714">
        <v>217</v>
      </c>
      <c r="AH714">
        <v>0</v>
      </c>
    </row>
    <row r="715" spans="1:34" x14ac:dyDescent="0.35">
      <c r="A715" t="s">
        <v>34</v>
      </c>
      <c r="B715" s="1">
        <v>46146.65625</v>
      </c>
      <c r="C715" t="s">
        <v>34</v>
      </c>
      <c r="D715" s="1">
        <v>46148.625</v>
      </c>
      <c r="E715">
        <v>7135</v>
      </c>
      <c r="F715" t="s">
        <v>36</v>
      </c>
      <c r="G715">
        <v>11.03</v>
      </c>
      <c r="H715">
        <v>26.3</v>
      </c>
      <c r="I715">
        <v>5.7</v>
      </c>
      <c r="J715">
        <v>12.7</v>
      </c>
      <c r="K715">
        <v>405</v>
      </c>
      <c r="L715">
        <v>40</v>
      </c>
      <c r="M715">
        <v>13</v>
      </c>
      <c r="N715">
        <v>49</v>
      </c>
      <c r="O715">
        <v>13.2</v>
      </c>
      <c r="P715">
        <v>0</v>
      </c>
      <c r="Q715">
        <v>0</v>
      </c>
      <c r="R715">
        <v>0</v>
      </c>
      <c r="S715">
        <v>0</v>
      </c>
      <c r="T715">
        <v>0.17599999999999999</v>
      </c>
      <c r="U715">
        <v>-0.23619999999999999</v>
      </c>
      <c r="V715">
        <v>3.3E-3</v>
      </c>
      <c r="W715">
        <v>-7.5898000000000003</v>
      </c>
      <c r="X715">
        <v>1.6656</v>
      </c>
      <c r="Y715">
        <v>-9.4100000000000003E-2</v>
      </c>
      <c r="Z715">
        <v>18</v>
      </c>
      <c r="AA715">
        <v>12.6</v>
      </c>
      <c r="AB715">
        <v>11</v>
      </c>
      <c r="AC715">
        <v>12.8</v>
      </c>
      <c r="AD715">
        <v>0</v>
      </c>
      <c r="AE715">
        <v>0</v>
      </c>
      <c r="AF715">
        <v>11.526899999999999</v>
      </c>
      <c r="AG715">
        <v>361</v>
      </c>
      <c r="AH715">
        <v>0</v>
      </c>
    </row>
    <row r="716" spans="1:34" x14ac:dyDescent="0.35">
      <c r="A716" t="s">
        <v>34</v>
      </c>
      <c r="B716" s="1">
        <v>46146.65625</v>
      </c>
      <c r="C716" t="s">
        <v>34</v>
      </c>
      <c r="D716" s="1">
        <v>46148.625</v>
      </c>
      <c r="E716">
        <v>7140</v>
      </c>
      <c r="F716" t="s">
        <v>36</v>
      </c>
      <c r="G716">
        <v>11.57</v>
      </c>
      <c r="H716">
        <v>24.53</v>
      </c>
      <c r="I716">
        <v>6</v>
      </c>
      <c r="J716">
        <v>13.9</v>
      </c>
      <c r="K716">
        <v>769</v>
      </c>
      <c r="L716">
        <v>39</v>
      </c>
      <c r="M716">
        <v>13.9</v>
      </c>
      <c r="N716">
        <v>45</v>
      </c>
      <c r="O716">
        <v>14.1</v>
      </c>
      <c r="P716">
        <v>0</v>
      </c>
      <c r="Q716">
        <v>0</v>
      </c>
      <c r="R716">
        <v>0</v>
      </c>
      <c r="S716">
        <v>0</v>
      </c>
      <c r="T716">
        <v>0.17399999999999999</v>
      </c>
      <c r="U716">
        <v>-0.2505</v>
      </c>
      <c r="V716">
        <v>3.3999999999999998E-3</v>
      </c>
      <c r="W716">
        <v>-7.8460999999999999</v>
      </c>
      <c r="X716">
        <v>1.7175</v>
      </c>
      <c r="Y716">
        <v>-9.9900000000000003E-2</v>
      </c>
      <c r="Z716">
        <v>19</v>
      </c>
      <c r="AA716">
        <v>13.5</v>
      </c>
      <c r="AB716">
        <v>11</v>
      </c>
      <c r="AC716">
        <v>13.7</v>
      </c>
      <c r="AD716">
        <v>0</v>
      </c>
      <c r="AE716">
        <v>0</v>
      </c>
      <c r="AF716">
        <v>12.913</v>
      </c>
      <c r="AG716">
        <v>423</v>
      </c>
      <c r="AH716">
        <v>0</v>
      </c>
    </row>
    <row r="717" spans="1:34" x14ac:dyDescent="0.35">
      <c r="A717" t="s">
        <v>34</v>
      </c>
      <c r="B717" s="1">
        <v>46146.65625</v>
      </c>
      <c r="C717" t="s">
        <v>34</v>
      </c>
      <c r="D717" s="1">
        <v>46148.625</v>
      </c>
      <c r="E717">
        <v>7145</v>
      </c>
      <c r="F717" t="s">
        <v>36</v>
      </c>
      <c r="G717">
        <v>11.8</v>
      </c>
      <c r="H717">
        <v>30.41</v>
      </c>
      <c r="I717">
        <v>6.47</v>
      </c>
      <c r="J717">
        <v>14.67</v>
      </c>
      <c r="K717">
        <v>470</v>
      </c>
      <c r="L717">
        <v>61</v>
      </c>
      <c r="M717">
        <v>14.8</v>
      </c>
      <c r="N717">
        <v>51</v>
      </c>
      <c r="O717">
        <v>15.1</v>
      </c>
      <c r="P717">
        <v>0</v>
      </c>
      <c r="Q717">
        <v>0</v>
      </c>
      <c r="R717">
        <v>0</v>
      </c>
      <c r="S717">
        <v>0</v>
      </c>
      <c r="T717">
        <v>0.17219999999999999</v>
      </c>
      <c r="U717">
        <v>-0.26590000000000003</v>
      </c>
      <c r="V717">
        <v>3.5999999999999999E-3</v>
      </c>
      <c r="W717">
        <v>-8.1090999999999998</v>
      </c>
      <c r="X717">
        <v>1.7685999999999999</v>
      </c>
      <c r="Y717">
        <v>-0.1061</v>
      </c>
      <c r="Z717">
        <v>17</v>
      </c>
      <c r="AA717">
        <v>14.5</v>
      </c>
      <c r="AB717">
        <v>10</v>
      </c>
      <c r="AC717">
        <v>14.7</v>
      </c>
      <c r="AD717">
        <v>0</v>
      </c>
      <c r="AE717">
        <v>0</v>
      </c>
      <c r="AF717">
        <v>13.7133</v>
      </c>
      <c r="AG717">
        <v>292</v>
      </c>
      <c r="AH717">
        <v>0</v>
      </c>
    </row>
    <row r="718" spans="1:34" x14ac:dyDescent="0.35">
      <c r="A718" t="s">
        <v>34</v>
      </c>
      <c r="B718" s="1">
        <v>46146.65625</v>
      </c>
      <c r="C718" t="s">
        <v>34</v>
      </c>
      <c r="D718" s="1">
        <v>46148.625</v>
      </c>
      <c r="E718">
        <v>7150</v>
      </c>
      <c r="F718" t="s">
        <v>36</v>
      </c>
      <c r="G718">
        <v>12.6</v>
      </c>
      <c r="H718">
        <v>31.91</v>
      </c>
      <c r="I718">
        <v>6.49</v>
      </c>
      <c r="J718">
        <v>16.09</v>
      </c>
      <c r="K718">
        <v>5617</v>
      </c>
      <c r="L718">
        <v>23</v>
      </c>
      <c r="M718">
        <v>15.9</v>
      </c>
      <c r="N718">
        <v>55</v>
      </c>
      <c r="O718">
        <v>16.100000000000001</v>
      </c>
      <c r="P718">
        <v>0</v>
      </c>
      <c r="Q718">
        <v>0</v>
      </c>
      <c r="R718">
        <v>0</v>
      </c>
      <c r="S718">
        <v>0</v>
      </c>
      <c r="T718">
        <v>0.1701</v>
      </c>
      <c r="U718">
        <v>-0.28170000000000001</v>
      </c>
      <c r="V718">
        <v>3.7000000000000002E-3</v>
      </c>
      <c r="W718">
        <v>-8.3329000000000004</v>
      </c>
      <c r="X718">
        <v>1.8176000000000001</v>
      </c>
      <c r="Y718">
        <v>-0.1124</v>
      </c>
      <c r="Z718">
        <v>11</v>
      </c>
      <c r="AA718">
        <v>15.6</v>
      </c>
      <c r="AB718">
        <v>16</v>
      </c>
      <c r="AC718">
        <v>15.8</v>
      </c>
      <c r="AD718">
        <v>0</v>
      </c>
      <c r="AE718">
        <v>0</v>
      </c>
      <c r="AF718">
        <v>16.852900000000002</v>
      </c>
      <c r="AG718">
        <v>2225</v>
      </c>
      <c r="AH718">
        <v>0</v>
      </c>
    </row>
    <row r="719" spans="1:34" x14ac:dyDescent="0.35">
      <c r="A719" t="s">
        <v>34</v>
      </c>
      <c r="B719" s="1">
        <v>46146.65625</v>
      </c>
      <c r="C719" t="s">
        <v>34</v>
      </c>
      <c r="D719" s="1">
        <v>46148.625</v>
      </c>
      <c r="E719">
        <v>7155</v>
      </c>
      <c r="F719" t="s">
        <v>36</v>
      </c>
      <c r="G719">
        <v>13.87</v>
      </c>
      <c r="H719">
        <v>29.6</v>
      </c>
      <c r="I719">
        <v>7.51</v>
      </c>
      <c r="J719">
        <v>17.38</v>
      </c>
      <c r="K719">
        <v>424</v>
      </c>
      <c r="L719">
        <v>60</v>
      </c>
      <c r="M719">
        <v>16.899999999999999</v>
      </c>
      <c r="N719">
        <v>48</v>
      </c>
      <c r="O719">
        <v>17.2</v>
      </c>
      <c r="P719">
        <v>0</v>
      </c>
      <c r="Q719">
        <v>0</v>
      </c>
      <c r="R719">
        <v>0</v>
      </c>
      <c r="S719">
        <v>0</v>
      </c>
      <c r="T719">
        <v>0.1678</v>
      </c>
      <c r="U719">
        <v>-0.29809999999999998</v>
      </c>
      <c r="V719">
        <v>3.8999999999999998E-3</v>
      </c>
      <c r="W719">
        <v>-8.5343999999999998</v>
      </c>
      <c r="X719">
        <v>1.8653</v>
      </c>
      <c r="Y719">
        <v>-0.1191</v>
      </c>
      <c r="Z719">
        <v>11</v>
      </c>
      <c r="AA719">
        <v>16.7</v>
      </c>
      <c r="AB719">
        <v>10</v>
      </c>
      <c r="AC719">
        <v>16.899999999999999</v>
      </c>
      <c r="AD719">
        <v>0</v>
      </c>
      <c r="AE719">
        <v>0</v>
      </c>
      <c r="AF719">
        <v>14.275499999999999</v>
      </c>
      <c r="AG719">
        <v>135</v>
      </c>
      <c r="AH719">
        <v>0</v>
      </c>
    </row>
    <row r="720" spans="1:34" x14ac:dyDescent="0.35">
      <c r="A720" t="s">
        <v>34</v>
      </c>
      <c r="B720" s="1">
        <v>46146.65625</v>
      </c>
      <c r="C720" t="s">
        <v>34</v>
      </c>
      <c r="D720" s="1">
        <v>46148.625</v>
      </c>
      <c r="E720">
        <v>7160</v>
      </c>
      <c r="F720" t="s">
        <v>36</v>
      </c>
      <c r="G720">
        <v>15.15</v>
      </c>
      <c r="H720">
        <v>34.729999999999997</v>
      </c>
      <c r="I720">
        <v>7.48</v>
      </c>
      <c r="J720">
        <v>18</v>
      </c>
      <c r="K720">
        <v>1007</v>
      </c>
      <c r="L720">
        <v>32</v>
      </c>
      <c r="M720">
        <v>18.100000000000001</v>
      </c>
      <c r="N720">
        <v>39</v>
      </c>
      <c r="O720">
        <v>18.3</v>
      </c>
      <c r="P720">
        <v>0</v>
      </c>
      <c r="Q720">
        <v>0</v>
      </c>
      <c r="R720">
        <v>0</v>
      </c>
      <c r="S720">
        <v>0</v>
      </c>
      <c r="T720">
        <v>0.16569999999999999</v>
      </c>
      <c r="U720">
        <v>-0.31559999999999999</v>
      </c>
      <c r="V720">
        <v>4.0000000000000001E-3</v>
      </c>
      <c r="W720">
        <v>-8.7274999999999991</v>
      </c>
      <c r="X720">
        <v>1.9106000000000001</v>
      </c>
      <c r="Y720">
        <v>-0.12609999999999999</v>
      </c>
      <c r="Z720">
        <v>11</v>
      </c>
      <c r="AA720">
        <v>17.899999999999999</v>
      </c>
      <c r="AB720">
        <v>10</v>
      </c>
      <c r="AC720">
        <v>18.100000000000001</v>
      </c>
      <c r="AD720">
        <v>0</v>
      </c>
      <c r="AE720">
        <v>0</v>
      </c>
      <c r="AF720">
        <v>16.427600000000002</v>
      </c>
      <c r="AG720">
        <v>326</v>
      </c>
      <c r="AH720">
        <v>0</v>
      </c>
    </row>
    <row r="721" spans="1:34" x14ac:dyDescent="0.35">
      <c r="A721" t="s">
        <v>34</v>
      </c>
      <c r="B721" s="1">
        <v>46146.65625</v>
      </c>
      <c r="C721" t="s">
        <v>34</v>
      </c>
      <c r="D721" s="1">
        <v>46148.625</v>
      </c>
      <c r="E721">
        <v>7165</v>
      </c>
      <c r="F721" t="s">
        <v>36</v>
      </c>
      <c r="G721">
        <v>15.69</v>
      </c>
      <c r="H721">
        <v>32.5</v>
      </c>
      <c r="I721">
        <v>8.36</v>
      </c>
      <c r="J721">
        <v>20</v>
      </c>
      <c r="K721">
        <v>319</v>
      </c>
      <c r="L721">
        <v>34</v>
      </c>
      <c r="M721">
        <v>19.3</v>
      </c>
      <c r="N721">
        <v>15</v>
      </c>
      <c r="O721">
        <v>19.5</v>
      </c>
      <c r="P721">
        <v>0</v>
      </c>
      <c r="Q721">
        <v>0</v>
      </c>
      <c r="R721">
        <v>0</v>
      </c>
      <c r="S721">
        <v>0</v>
      </c>
      <c r="T721">
        <v>0.16339999999999999</v>
      </c>
      <c r="U721">
        <v>-0.33379999999999999</v>
      </c>
      <c r="V721">
        <v>4.1999999999999997E-3</v>
      </c>
      <c r="W721">
        <v>-8.8895</v>
      </c>
      <c r="X721">
        <v>1.9527000000000001</v>
      </c>
      <c r="Y721">
        <v>-0.13339999999999999</v>
      </c>
      <c r="Z721">
        <v>10</v>
      </c>
      <c r="AA721">
        <v>19.2</v>
      </c>
      <c r="AB721">
        <v>9</v>
      </c>
      <c r="AC721">
        <v>19.399999999999999</v>
      </c>
      <c r="AD721">
        <v>0</v>
      </c>
      <c r="AE721">
        <v>0</v>
      </c>
      <c r="AF721">
        <v>17.8522</v>
      </c>
      <c r="AG721">
        <v>274</v>
      </c>
      <c r="AH721">
        <v>0</v>
      </c>
    </row>
    <row r="722" spans="1:34" x14ac:dyDescent="0.35">
      <c r="A722" t="s">
        <v>34</v>
      </c>
      <c r="B722" s="1">
        <v>46146.65625</v>
      </c>
      <c r="C722" t="s">
        <v>34</v>
      </c>
      <c r="D722" s="1">
        <v>46148.625</v>
      </c>
      <c r="E722">
        <v>7170</v>
      </c>
      <c r="F722" t="s">
        <v>36</v>
      </c>
      <c r="G722">
        <v>17.14</v>
      </c>
      <c r="H722">
        <v>35.9</v>
      </c>
      <c r="I722">
        <v>8.6</v>
      </c>
      <c r="J722">
        <v>21</v>
      </c>
      <c r="K722">
        <v>638</v>
      </c>
      <c r="L722">
        <v>31</v>
      </c>
      <c r="M722">
        <v>20.6</v>
      </c>
      <c r="N722">
        <v>9</v>
      </c>
      <c r="O722">
        <v>20.8</v>
      </c>
      <c r="P722">
        <v>0</v>
      </c>
      <c r="Q722">
        <v>0</v>
      </c>
      <c r="R722">
        <v>0</v>
      </c>
      <c r="S722">
        <v>0</v>
      </c>
      <c r="T722">
        <v>0.16120000000000001</v>
      </c>
      <c r="U722">
        <v>-0.35299999999999998</v>
      </c>
      <c r="V722">
        <v>4.3E-3</v>
      </c>
      <c r="W722">
        <v>-9.0327000000000002</v>
      </c>
      <c r="X722">
        <v>1.9926999999999999</v>
      </c>
      <c r="Y722">
        <v>-0.1411</v>
      </c>
      <c r="Z722">
        <v>15</v>
      </c>
      <c r="AA722">
        <v>20.5</v>
      </c>
      <c r="AB722">
        <v>21</v>
      </c>
      <c r="AC722">
        <v>20.8</v>
      </c>
      <c r="AD722">
        <v>0</v>
      </c>
      <c r="AE722">
        <v>0</v>
      </c>
      <c r="AF722">
        <v>20.124400000000001</v>
      </c>
      <c r="AG722">
        <v>359</v>
      </c>
      <c r="AH722">
        <v>0</v>
      </c>
    </row>
    <row r="723" spans="1:34" x14ac:dyDescent="0.35">
      <c r="A723" t="s">
        <v>34</v>
      </c>
      <c r="B723" s="1">
        <v>46146.65625</v>
      </c>
      <c r="C723" t="s">
        <v>34</v>
      </c>
      <c r="D723" s="1">
        <v>46148.625</v>
      </c>
      <c r="E723">
        <v>7175</v>
      </c>
      <c r="F723" t="s">
        <v>36</v>
      </c>
      <c r="G723">
        <v>17.059999999999999</v>
      </c>
      <c r="H723">
        <v>36.869999999999997</v>
      </c>
      <c r="I723">
        <v>9.7799999999999994</v>
      </c>
      <c r="J723">
        <v>22.82</v>
      </c>
      <c r="K723">
        <v>642</v>
      </c>
      <c r="L723">
        <v>31</v>
      </c>
      <c r="M723">
        <v>22</v>
      </c>
      <c r="N723">
        <v>8</v>
      </c>
      <c r="O723">
        <v>22.2</v>
      </c>
      <c r="P723">
        <v>0</v>
      </c>
      <c r="Q723">
        <v>0</v>
      </c>
      <c r="R723">
        <v>0</v>
      </c>
      <c r="S723">
        <v>0</v>
      </c>
      <c r="T723">
        <v>0.159</v>
      </c>
      <c r="U723">
        <v>-0.37319999999999998</v>
      </c>
      <c r="V723">
        <v>4.4000000000000003E-3</v>
      </c>
      <c r="W723">
        <v>-9.1498000000000008</v>
      </c>
      <c r="X723">
        <v>2.0291999999999999</v>
      </c>
      <c r="Y723">
        <v>-0.14929999999999999</v>
      </c>
      <c r="Z723">
        <v>10</v>
      </c>
      <c r="AA723">
        <v>22</v>
      </c>
      <c r="AB723">
        <v>8</v>
      </c>
      <c r="AC723">
        <v>22.2</v>
      </c>
      <c r="AD723">
        <v>0</v>
      </c>
      <c r="AE723">
        <v>0</v>
      </c>
      <c r="AF723">
        <v>22.519300000000001</v>
      </c>
      <c r="AG723">
        <v>238</v>
      </c>
      <c r="AH723">
        <v>0</v>
      </c>
    </row>
    <row r="724" spans="1:34" x14ac:dyDescent="0.35">
      <c r="A724" t="s">
        <v>34</v>
      </c>
      <c r="B724" s="1">
        <v>46146.65625</v>
      </c>
      <c r="C724" t="s">
        <v>34</v>
      </c>
      <c r="D724" s="1">
        <v>46148.625</v>
      </c>
      <c r="E724">
        <v>7180</v>
      </c>
      <c r="F724" t="s">
        <v>36</v>
      </c>
      <c r="G724">
        <v>19.55</v>
      </c>
      <c r="H724">
        <v>38.950000000000003</v>
      </c>
      <c r="I724">
        <v>10.08</v>
      </c>
      <c r="J724">
        <v>24.1</v>
      </c>
      <c r="K724">
        <v>480</v>
      </c>
      <c r="L724">
        <v>8</v>
      </c>
      <c r="M724">
        <v>23.5</v>
      </c>
      <c r="N724">
        <v>32</v>
      </c>
      <c r="O724">
        <v>23.7</v>
      </c>
      <c r="P724">
        <v>0</v>
      </c>
      <c r="Q724">
        <v>0</v>
      </c>
      <c r="R724">
        <v>0</v>
      </c>
      <c r="S724">
        <v>0</v>
      </c>
      <c r="T724">
        <v>0.15679999999999999</v>
      </c>
      <c r="U724">
        <v>-0.39429999999999998</v>
      </c>
      <c r="V724">
        <v>4.5999999999999999E-3</v>
      </c>
      <c r="W724">
        <v>-9.2356999999999996</v>
      </c>
      <c r="X724">
        <v>2.0607000000000002</v>
      </c>
      <c r="Y724">
        <v>-0.1578</v>
      </c>
      <c r="Z724">
        <v>9</v>
      </c>
      <c r="AA724">
        <v>23.5</v>
      </c>
      <c r="AB724">
        <v>16</v>
      </c>
      <c r="AC724">
        <v>23.8</v>
      </c>
      <c r="AD724">
        <v>0</v>
      </c>
      <c r="AE724">
        <v>0</v>
      </c>
      <c r="AF724">
        <v>23.230799999999999</v>
      </c>
      <c r="AG724">
        <v>259</v>
      </c>
      <c r="AH724">
        <v>0</v>
      </c>
    </row>
    <row r="725" spans="1:34" x14ac:dyDescent="0.35">
      <c r="A725" t="s">
        <v>34</v>
      </c>
      <c r="B725" s="1">
        <v>46146.65625</v>
      </c>
      <c r="C725" t="s">
        <v>34</v>
      </c>
      <c r="D725" s="1">
        <v>46148.625</v>
      </c>
      <c r="E725">
        <v>7185</v>
      </c>
      <c r="F725" t="s">
        <v>36</v>
      </c>
      <c r="G725">
        <v>19.5</v>
      </c>
      <c r="H725">
        <v>41.12</v>
      </c>
      <c r="I725">
        <v>11.29</v>
      </c>
      <c r="J725">
        <v>25.9</v>
      </c>
      <c r="K725">
        <v>769</v>
      </c>
      <c r="L725">
        <v>36</v>
      </c>
      <c r="M725">
        <v>25</v>
      </c>
      <c r="N725">
        <v>26</v>
      </c>
      <c r="O725">
        <v>25.3</v>
      </c>
      <c r="P725">
        <v>0</v>
      </c>
      <c r="Q725">
        <v>0</v>
      </c>
      <c r="R725">
        <v>0</v>
      </c>
      <c r="S725">
        <v>0</v>
      </c>
      <c r="T725">
        <v>0.1542</v>
      </c>
      <c r="U725">
        <v>-0.41599999999999998</v>
      </c>
      <c r="V725">
        <v>4.7000000000000002E-3</v>
      </c>
      <c r="W725">
        <v>-9.2543000000000006</v>
      </c>
      <c r="X725">
        <v>2.0872000000000002</v>
      </c>
      <c r="Y725">
        <v>-0.16650000000000001</v>
      </c>
      <c r="Z725">
        <v>9</v>
      </c>
      <c r="AA725">
        <v>25.2</v>
      </c>
      <c r="AB725">
        <v>8</v>
      </c>
      <c r="AC725">
        <v>25.4</v>
      </c>
      <c r="AD725">
        <v>0</v>
      </c>
      <c r="AE725">
        <v>0</v>
      </c>
      <c r="AF725">
        <v>26.244700000000002</v>
      </c>
      <c r="AG725">
        <v>653</v>
      </c>
      <c r="AH725">
        <v>0</v>
      </c>
    </row>
    <row r="726" spans="1:34" x14ac:dyDescent="0.35">
      <c r="A726" t="s">
        <v>34</v>
      </c>
      <c r="B726" s="1">
        <v>46146.65625</v>
      </c>
      <c r="C726" t="s">
        <v>34</v>
      </c>
      <c r="D726" s="1">
        <v>46148.625</v>
      </c>
      <c r="E726">
        <v>7190</v>
      </c>
      <c r="F726" t="s">
        <v>36</v>
      </c>
      <c r="G726">
        <v>20.8</v>
      </c>
      <c r="H726">
        <v>45.3</v>
      </c>
      <c r="I726">
        <v>11.83</v>
      </c>
      <c r="J726">
        <v>27.7</v>
      </c>
      <c r="K726">
        <v>865</v>
      </c>
      <c r="L726">
        <v>32</v>
      </c>
      <c r="M726">
        <v>26.7</v>
      </c>
      <c r="N726">
        <v>32</v>
      </c>
      <c r="O726">
        <v>27</v>
      </c>
      <c r="P726">
        <v>0</v>
      </c>
      <c r="Q726">
        <v>0</v>
      </c>
      <c r="R726">
        <v>0</v>
      </c>
      <c r="S726">
        <v>0</v>
      </c>
      <c r="T726">
        <v>0.152</v>
      </c>
      <c r="U726">
        <v>-0.43890000000000001</v>
      </c>
      <c r="V726">
        <v>4.7999999999999996E-3</v>
      </c>
      <c r="W726">
        <v>-9.2609999999999992</v>
      </c>
      <c r="X726">
        <v>2.1088</v>
      </c>
      <c r="Y726">
        <v>-0.17580000000000001</v>
      </c>
      <c r="Z726">
        <v>8</v>
      </c>
      <c r="AA726">
        <v>26.9</v>
      </c>
      <c r="AB726">
        <v>14</v>
      </c>
      <c r="AC726">
        <v>27.2</v>
      </c>
      <c r="AD726">
        <v>0</v>
      </c>
      <c r="AE726">
        <v>0</v>
      </c>
      <c r="AF726">
        <v>28.423100000000002</v>
      </c>
      <c r="AG726">
        <v>445</v>
      </c>
      <c r="AH726">
        <v>0</v>
      </c>
    </row>
    <row r="727" spans="1:34" x14ac:dyDescent="0.35">
      <c r="A727" t="s">
        <v>34</v>
      </c>
      <c r="B727" s="1">
        <v>46146.65625</v>
      </c>
      <c r="C727" t="s">
        <v>34</v>
      </c>
      <c r="D727" s="1">
        <v>46148.625</v>
      </c>
      <c r="E727">
        <v>7195</v>
      </c>
      <c r="F727" t="s">
        <v>36</v>
      </c>
      <c r="G727">
        <v>22.2</v>
      </c>
      <c r="H727">
        <v>45.28</v>
      </c>
      <c r="I727">
        <v>13</v>
      </c>
      <c r="J727">
        <v>29.77</v>
      </c>
      <c r="K727">
        <v>690</v>
      </c>
      <c r="L727">
        <v>30</v>
      </c>
      <c r="M727">
        <v>28.5</v>
      </c>
      <c r="N727">
        <v>7</v>
      </c>
      <c r="O727">
        <v>28.7</v>
      </c>
      <c r="P727">
        <v>0</v>
      </c>
      <c r="Q727">
        <v>0</v>
      </c>
      <c r="R727">
        <v>0</v>
      </c>
      <c r="S727">
        <v>0</v>
      </c>
      <c r="T727">
        <v>0.14979999999999999</v>
      </c>
      <c r="U727">
        <v>-0.46260000000000001</v>
      </c>
      <c r="V727">
        <v>4.8999999999999998E-3</v>
      </c>
      <c r="W727">
        <v>-9.2192000000000007</v>
      </c>
      <c r="X727">
        <v>2.1236999999999999</v>
      </c>
      <c r="Y727">
        <v>-0.18540000000000001</v>
      </c>
      <c r="Z727">
        <v>8</v>
      </c>
      <c r="AA727">
        <v>28.8</v>
      </c>
      <c r="AB727">
        <v>15</v>
      </c>
      <c r="AC727">
        <v>29.1</v>
      </c>
      <c r="AD727">
        <v>0</v>
      </c>
      <c r="AE727">
        <v>0</v>
      </c>
      <c r="AF727">
        <v>30.9742</v>
      </c>
      <c r="AG727">
        <v>141</v>
      </c>
      <c r="AH727">
        <v>0</v>
      </c>
    </row>
    <row r="728" spans="1:34" x14ac:dyDescent="0.35">
      <c r="A728" t="s">
        <v>34</v>
      </c>
      <c r="B728" s="1">
        <v>46146.65625</v>
      </c>
      <c r="C728" t="s">
        <v>34</v>
      </c>
      <c r="D728" s="1">
        <v>46148.625</v>
      </c>
      <c r="E728">
        <v>7200</v>
      </c>
      <c r="F728" t="s">
        <v>36</v>
      </c>
      <c r="G728">
        <v>23.8</v>
      </c>
      <c r="H728">
        <v>50</v>
      </c>
      <c r="I728">
        <v>13.8</v>
      </c>
      <c r="J728">
        <v>30.9</v>
      </c>
      <c r="K728">
        <v>2018</v>
      </c>
      <c r="L728">
        <v>30</v>
      </c>
      <c r="M728">
        <v>30.4</v>
      </c>
      <c r="N728">
        <v>31</v>
      </c>
      <c r="O728">
        <v>30.7</v>
      </c>
      <c r="P728">
        <v>0</v>
      </c>
      <c r="Q728">
        <v>0</v>
      </c>
      <c r="R728">
        <v>0</v>
      </c>
      <c r="S728">
        <v>0</v>
      </c>
      <c r="T728">
        <v>0.14749999999999999</v>
      </c>
      <c r="U728">
        <v>-0.48720000000000002</v>
      </c>
      <c r="V728">
        <v>5.0000000000000001E-3</v>
      </c>
      <c r="W728">
        <v>-9.1250999999999998</v>
      </c>
      <c r="X728">
        <v>2.1315</v>
      </c>
      <c r="Y728">
        <v>-0.1953</v>
      </c>
      <c r="Z728">
        <v>8</v>
      </c>
      <c r="AA728">
        <v>30.8</v>
      </c>
      <c r="AB728">
        <v>7</v>
      </c>
      <c r="AC728">
        <v>31</v>
      </c>
      <c r="AD728">
        <v>0</v>
      </c>
      <c r="AE728">
        <v>0</v>
      </c>
      <c r="AF728">
        <v>29.520499999999998</v>
      </c>
      <c r="AG728">
        <v>801</v>
      </c>
      <c r="AH728">
        <v>0</v>
      </c>
    </row>
    <row r="729" spans="1:34" x14ac:dyDescent="0.35">
      <c r="A729" t="s">
        <v>34</v>
      </c>
      <c r="B729" s="1">
        <v>46146.65625</v>
      </c>
      <c r="C729" t="s">
        <v>34</v>
      </c>
      <c r="D729" s="1">
        <v>46148.625</v>
      </c>
      <c r="E729">
        <v>7205</v>
      </c>
      <c r="F729" t="s">
        <v>36</v>
      </c>
      <c r="G729">
        <v>25.2</v>
      </c>
      <c r="H729">
        <v>47.3</v>
      </c>
      <c r="I729">
        <v>15.1</v>
      </c>
      <c r="J729">
        <v>32.799999999999997</v>
      </c>
      <c r="K729">
        <v>325</v>
      </c>
      <c r="L729">
        <v>21</v>
      </c>
      <c r="M729">
        <v>32.4</v>
      </c>
      <c r="N729">
        <v>16</v>
      </c>
      <c r="O729">
        <v>32.700000000000003</v>
      </c>
      <c r="P729">
        <v>0</v>
      </c>
      <c r="Q729">
        <v>0</v>
      </c>
      <c r="R729">
        <v>0</v>
      </c>
      <c r="S729">
        <v>0</v>
      </c>
      <c r="T729">
        <v>0.14499999999999999</v>
      </c>
      <c r="U729">
        <v>-0.51259999999999994</v>
      </c>
      <c r="V729">
        <v>5.1000000000000004E-3</v>
      </c>
      <c r="W729">
        <v>-8.9725999999999999</v>
      </c>
      <c r="X729">
        <v>2.1316000000000002</v>
      </c>
      <c r="Y729">
        <v>-0.20569999999999999</v>
      </c>
      <c r="Z729">
        <v>8</v>
      </c>
      <c r="AA729">
        <v>32.9</v>
      </c>
      <c r="AB729">
        <v>12</v>
      </c>
      <c r="AC729">
        <v>33.200000000000003</v>
      </c>
      <c r="AD729">
        <v>0</v>
      </c>
      <c r="AE729">
        <v>0</v>
      </c>
      <c r="AF729">
        <v>33.093299999999999</v>
      </c>
      <c r="AG729">
        <v>60</v>
      </c>
      <c r="AH729">
        <v>0</v>
      </c>
    </row>
    <row r="730" spans="1:34" x14ac:dyDescent="0.35">
      <c r="A730" t="s">
        <v>34</v>
      </c>
      <c r="B730" s="1">
        <v>46146.65625</v>
      </c>
      <c r="C730" t="s">
        <v>34</v>
      </c>
      <c r="D730" s="1">
        <v>46148.625</v>
      </c>
      <c r="E730">
        <v>7210</v>
      </c>
      <c r="F730" t="s">
        <v>36</v>
      </c>
      <c r="G730">
        <v>26.9</v>
      </c>
      <c r="H730">
        <v>51.95</v>
      </c>
      <c r="I730">
        <v>16.21</v>
      </c>
      <c r="J730">
        <v>35</v>
      </c>
      <c r="K730">
        <v>604</v>
      </c>
      <c r="L730">
        <v>9</v>
      </c>
      <c r="M730">
        <v>34.6</v>
      </c>
      <c r="N730">
        <v>20</v>
      </c>
      <c r="O730">
        <v>34.9</v>
      </c>
      <c r="P730">
        <v>0</v>
      </c>
      <c r="Q730">
        <v>0</v>
      </c>
      <c r="R730">
        <v>0</v>
      </c>
      <c r="S730">
        <v>0</v>
      </c>
      <c r="T730">
        <v>0.14269999999999999</v>
      </c>
      <c r="U730">
        <v>-0.53879999999999995</v>
      </c>
      <c r="V730">
        <v>5.1999999999999998E-3</v>
      </c>
      <c r="W730">
        <v>-8.7723999999999993</v>
      </c>
      <c r="X730">
        <v>2.1232000000000002</v>
      </c>
      <c r="Y730">
        <v>-0.21609999999999999</v>
      </c>
      <c r="Z730">
        <v>8</v>
      </c>
      <c r="AA730">
        <v>35.1</v>
      </c>
      <c r="AB730">
        <v>7</v>
      </c>
      <c r="AC730">
        <v>35.4</v>
      </c>
      <c r="AD730">
        <v>0</v>
      </c>
      <c r="AE730">
        <v>0</v>
      </c>
      <c r="AF730">
        <v>33.434899999999999</v>
      </c>
      <c r="AG730">
        <v>260</v>
      </c>
      <c r="AH730">
        <v>0</v>
      </c>
    </row>
    <row r="731" spans="1:34" x14ac:dyDescent="0.35">
      <c r="A731" t="s">
        <v>34</v>
      </c>
      <c r="B731" s="1">
        <v>46146.65625</v>
      </c>
      <c r="C731" t="s">
        <v>34</v>
      </c>
      <c r="D731" s="1">
        <v>46148.625</v>
      </c>
      <c r="E731">
        <v>7215</v>
      </c>
      <c r="F731" t="s">
        <v>36</v>
      </c>
      <c r="G731">
        <v>28.74</v>
      </c>
      <c r="H731">
        <v>58.4</v>
      </c>
      <c r="I731">
        <v>17.5</v>
      </c>
      <c r="J731">
        <v>38.869999999999997</v>
      </c>
      <c r="K731">
        <v>556</v>
      </c>
      <c r="L731">
        <v>16</v>
      </c>
      <c r="M731">
        <v>36.9</v>
      </c>
      <c r="N731">
        <v>13</v>
      </c>
      <c r="O731">
        <v>37.200000000000003</v>
      </c>
      <c r="P731">
        <v>0</v>
      </c>
      <c r="Q731">
        <v>0</v>
      </c>
      <c r="R731">
        <v>0</v>
      </c>
      <c r="S731">
        <v>0</v>
      </c>
      <c r="T731">
        <v>0.1406</v>
      </c>
      <c r="U731">
        <v>-0.5655</v>
      </c>
      <c r="V731">
        <v>5.1999999999999998E-3</v>
      </c>
      <c r="W731">
        <v>-8.5376999999999992</v>
      </c>
      <c r="X731">
        <v>2.1055999999999999</v>
      </c>
      <c r="Y731">
        <v>-0.22700000000000001</v>
      </c>
      <c r="Z731">
        <v>8</v>
      </c>
      <c r="AA731">
        <v>37.5</v>
      </c>
      <c r="AB731">
        <v>7</v>
      </c>
      <c r="AC731">
        <v>37.799999999999997</v>
      </c>
      <c r="AD731">
        <v>0</v>
      </c>
      <c r="AE731">
        <v>0</v>
      </c>
      <c r="AF731">
        <v>33.620399999999997</v>
      </c>
      <c r="AG731">
        <v>81</v>
      </c>
      <c r="AH731">
        <v>0</v>
      </c>
    </row>
    <row r="732" spans="1:34" x14ac:dyDescent="0.35">
      <c r="A732" t="s">
        <v>34</v>
      </c>
      <c r="B732" s="1">
        <v>46146.65625</v>
      </c>
      <c r="C732" t="s">
        <v>34</v>
      </c>
      <c r="D732" s="1">
        <v>46148.625</v>
      </c>
      <c r="E732">
        <v>7220</v>
      </c>
      <c r="F732" t="s">
        <v>36</v>
      </c>
      <c r="G732">
        <v>31.8</v>
      </c>
      <c r="H732">
        <v>58.1</v>
      </c>
      <c r="I732">
        <v>18.7</v>
      </c>
      <c r="J732">
        <v>41.1</v>
      </c>
      <c r="K732">
        <v>761</v>
      </c>
      <c r="L732">
        <v>19</v>
      </c>
      <c r="M732">
        <v>39.299999999999997</v>
      </c>
      <c r="N732">
        <v>14</v>
      </c>
      <c r="O732">
        <v>39.700000000000003</v>
      </c>
      <c r="P732">
        <v>0</v>
      </c>
      <c r="Q732">
        <v>0</v>
      </c>
      <c r="R732">
        <v>0</v>
      </c>
      <c r="S732">
        <v>0</v>
      </c>
      <c r="T732">
        <v>0.1384</v>
      </c>
      <c r="U732">
        <v>-0.59279999999999999</v>
      </c>
      <c r="V732">
        <v>5.1999999999999998E-3</v>
      </c>
      <c r="W732">
        <v>-8.2355999999999998</v>
      </c>
      <c r="X732">
        <v>2.0777999999999999</v>
      </c>
      <c r="Y732">
        <v>-0.23810000000000001</v>
      </c>
      <c r="Z732">
        <v>7</v>
      </c>
      <c r="AA732">
        <v>40.1</v>
      </c>
      <c r="AB732">
        <v>6</v>
      </c>
      <c r="AC732">
        <v>40.4</v>
      </c>
      <c r="AD732">
        <v>0</v>
      </c>
      <c r="AE732">
        <v>0</v>
      </c>
      <c r="AF732">
        <v>30.814499999999999</v>
      </c>
      <c r="AG732">
        <v>104</v>
      </c>
      <c r="AH732">
        <v>0</v>
      </c>
    </row>
    <row r="733" spans="1:34" x14ac:dyDescent="0.35">
      <c r="A733" t="s">
        <v>34</v>
      </c>
      <c r="B733" s="1">
        <v>46146.65625</v>
      </c>
      <c r="C733" t="s">
        <v>34</v>
      </c>
      <c r="D733" s="1">
        <v>46148.625</v>
      </c>
      <c r="E733">
        <v>7225</v>
      </c>
      <c r="F733" t="s">
        <v>36</v>
      </c>
      <c r="G733">
        <v>33.200000000000003</v>
      </c>
      <c r="H733">
        <v>59.28</v>
      </c>
      <c r="I733">
        <v>20.149999999999999</v>
      </c>
      <c r="J733">
        <v>43.58</v>
      </c>
      <c r="K733">
        <v>674</v>
      </c>
      <c r="L733">
        <v>14</v>
      </c>
      <c r="M733">
        <v>42</v>
      </c>
      <c r="N733">
        <v>12</v>
      </c>
      <c r="O733">
        <v>42.3</v>
      </c>
      <c r="P733">
        <v>0</v>
      </c>
      <c r="Q733">
        <v>0</v>
      </c>
      <c r="R733">
        <v>0</v>
      </c>
      <c r="S733">
        <v>0</v>
      </c>
      <c r="T733">
        <v>0.13619999999999999</v>
      </c>
      <c r="U733">
        <v>-0.62050000000000005</v>
      </c>
      <c r="V733">
        <v>5.1999999999999998E-3</v>
      </c>
      <c r="W733">
        <v>-7.8815999999999997</v>
      </c>
      <c r="X733">
        <v>2.0405000000000002</v>
      </c>
      <c r="Y733">
        <v>-0.2492</v>
      </c>
      <c r="Z733">
        <v>6</v>
      </c>
      <c r="AA733">
        <v>42.8</v>
      </c>
      <c r="AB733">
        <v>5</v>
      </c>
      <c r="AC733">
        <v>43.1</v>
      </c>
      <c r="AD733">
        <v>0</v>
      </c>
      <c r="AE733">
        <v>0</v>
      </c>
      <c r="AF733">
        <v>34.164999999999999</v>
      </c>
      <c r="AG733">
        <v>228</v>
      </c>
      <c r="AH733">
        <v>0</v>
      </c>
    </row>
    <row r="734" spans="1:34" x14ac:dyDescent="0.35">
      <c r="A734" t="s">
        <v>34</v>
      </c>
      <c r="B734" s="1">
        <v>46146.65625</v>
      </c>
      <c r="C734" t="s">
        <v>34</v>
      </c>
      <c r="D734" s="1">
        <v>46148.625</v>
      </c>
      <c r="E734">
        <v>7230</v>
      </c>
      <c r="F734" t="s">
        <v>36</v>
      </c>
      <c r="G734">
        <v>35.200000000000003</v>
      </c>
      <c r="H734">
        <v>57.45</v>
      </c>
      <c r="I734">
        <v>22</v>
      </c>
      <c r="J734">
        <v>44.77</v>
      </c>
      <c r="K734">
        <v>524</v>
      </c>
      <c r="L734">
        <v>7</v>
      </c>
      <c r="M734">
        <v>44.8</v>
      </c>
      <c r="N734">
        <v>11</v>
      </c>
      <c r="O734">
        <v>45.1</v>
      </c>
      <c r="P734">
        <v>0</v>
      </c>
      <c r="Q734">
        <v>0</v>
      </c>
      <c r="R734">
        <v>0</v>
      </c>
      <c r="S734">
        <v>0</v>
      </c>
      <c r="T734">
        <v>0.13400000000000001</v>
      </c>
      <c r="U734">
        <v>-0.64839999999999998</v>
      </c>
      <c r="V734">
        <v>5.1999999999999998E-3</v>
      </c>
      <c r="W734">
        <v>-7.4770000000000003</v>
      </c>
      <c r="X734">
        <v>1.9917</v>
      </c>
      <c r="Y734">
        <v>-0.26069999999999999</v>
      </c>
      <c r="Z734">
        <v>5</v>
      </c>
      <c r="AA734">
        <v>45.6</v>
      </c>
      <c r="AB734">
        <v>4</v>
      </c>
      <c r="AC734">
        <v>45.9</v>
      </c>
      <c r="AD734">
        <v>0</v>
      </c>
      <c r="AE734">
        <v>0</v>
      </c>
      <c r="AF734">
        <v>35.963799999999999</v>
      </c>
      <c r="AG734">
        <v>103</v>
      </c>
      <c r="AH734">
        <v>0</v>
      </c>
    </row>
    <row r="735" spans="1:34" x14ac:dyDescent="0.35">
      <c r="A735" t="s">
        <v>34</v>
      </c>
      <c r="B735" s="1">
        <v>46146.65625</v>
      </c>
      <c r="C735" t="s">
        <v>34</v>
      </c>
      <c r="D735" s="1">
        <v>46148.625</v>
      </c>
      <c r="E735">
        <v>7235</v>
      </c>
      <c r="F735" t="s">
        <v>36</v>
      </c>
      <c r="G735">
        <v>31.7</v>
      </c>
      <c r="H735">
        <v>68.28</v>
      </c>
      <c r="I735">
        <v>24</v>
      </c>
      <c r="J735">
        <v>45.53</v>
      </c>
      <c r="K735">
        <v>370</v>
      </c>
      <c r="L735">
        <v>10</v>
      </c>
      <c r="M735">
        <v>47.7</v>
      </c>
      <c r="N735">
        <v>9</v>
      </c>
      <c r="O735">
        <v>48</v>
      </c>
      <c r="P735">
        <v>0</v>
      </c>
      <c r="Q735">
        <v>0</v>
      </c>
      <c r="R735">
        <v>0</v>
      </c>
      <c r="S735">
        <v>0</v>
      </c>
      <c r="T735">
        <v>0.13200000000000001</v>
      </c>
      <c r="U735">
        <v>-0.67610000000000003</v>
      </c>
      <c r="V735">
        <v>5.1000000000000004E-3</v>
      </c>
      <c r="W735">
        <v>-7.0418000000000003</v>
      </c>
      <c r="X735">
        <v>1.9334</v>
      </c>
      <c r="Y735">
        <v>-0.27179999999999999</v>
      </c>
      <c r="Z735">
        <v>3</v>
      </c>
      <c r="AA735">
        <v>48.6</v>
      </c>
      <c r="AB735">
        <v>3</v>
      </c>
      <c r="AC735">
        <v>48.9</v>
      </c>
      <c r="AD735">
        <v>0</v>
      </c>
      <c r="AE735">
        <v>0</v>
      </c>
      <c r="AF735">
        <v>34.545299999999997</v>
      </c>
      <c r="AG735">
        <v>57</v>
      </c>
      <c r="AH735">
        <v>0</v>
      </c>
    </row>
    <row r="736" spans="1:34" x14ac:dyDescent="0.35">
      <c r="A736" t="s">
        <v>34</v>
      </c>
      <c r="B736" s="1">
        <v>46146.65625</v>
      </c>
      <c r="C736" t="s">
        <v>34</v>
      </c>
      <c r="D736" s="1">
        <v>46148.625</v>
      </c>
      <c r="E736">
        <v>7240</v>
      </c>
      <c r="F736" t="s">
        <v>36</v>
      </c>
      <c r="G736">
        <v>40</v>
      </c>
      <c r="H736">
        <v>72.25</v>
      </c>
      <c r="I736">
        <v>25.3</v>
      </c>
      <c r="J736">
        <v>51.46</v>
      </c>
      <c r="K736">
        <v>269</v>
      </c>
      <c r="L736">
        <v>26</v>
      </c>
      <c r="M736">
        <v>50.3</v>
      </c>
      <c r="N736">
        <v>6</v>
      </c>
      <c r="O736">
        <v>51.2</v>
      </c>
      <c r="P736">
        <v>0</v>
      </c>
      <c r="Q736">
        <v>0</v>
      </c>
      <c r="R736">
        <v>0</v>
      </c>
      <c r="S736">
        <v>0</v>
      </c>
      <c r="T736">
        <v>0.1298</v>
      </c>
      <c r="U736">
        <v>-0.70409999999999995</v>
      </c>
      <c r="V736">
        <v>5.0000000000000001E-3</v>
      </c>
      <c r="W736">
        <v>-6.5469999999999997</v>
      </c>
      <c r="X736">
        <v>1.8635999999999999</v>
      </c>
      <c r="Y736">
        <v>-0.28320000000000001</v>
      </c>
      <c r="Z736">
        <v>15</v>
      </c>
      <c r="AA736">
        <v>51.2</v>
      </c>
      <c r="AB736">
        <v>15</v>
      </c>
      <c r="AC736">
        <v>52.5</v>
      </c>
      <c r="AD736">
        <v>0</v>
      </c>
      <c r="AE736">
        <v>0</v>
      </c>
      <c r="AF736">
        <v>39.329099999999997</v>
      </c>
      <c r="AG736">
        <v>71</v>
      </c>
      <c r="AH736">
        <v>0</v>
      </c>
    </row>
    <row r="737" spans="1:34" x14ac:dyDescent="0.35">
      <c r="A737" t="s">
        <v>34</v>
      </c>
      <c r="B737" s="1">
        <v>46146.65625</v>
      </c>
      <c r="C737" t="s">
        <v>34</v>
      </c>
      <c r="D737" s="1">
        <v>46148.625</v>
      </c>
      <c r="E737">
        <v>7245</v>
      </c>
      <c r="F737" t="s">
        <v>36</v>
      </c>
      <c r="G737">
        <v>45.8</v>
      </c>
      <c r="H737">
        <v>72.97</v>
      </c>
      <c r="I737">
        <v>27.35</v>
      </c>
      <c r="J737">
        <v>55.78</v>
      </c>
      <c r="K737">
        <v>177</v>
      </c>
      <c r="L737">
        <v>29</v>
      </c>
      <c r="M737">
        <v>53.4</v>
      </c>
      <c r="N737">
        <v>6</v>
      </c>
      <c r="O737">
        <v>54.5</v>
      </c>
      <c r="P737">
        <v>0</v>
      </c>
      <c r="Q737">
        <v>0</v>
      </c>
      <c r="R737">
        <v>0</v>
      </c>
      <c r="S737">
        <v>0</v>
      </c>
      <c r="T737">
        <v>0.1275</v>
      </c>
      <c r="U737">
        <v>-0.7319</v>
      </c>
      <c r="V737">
        <v>4.7999999999999996E-3</v>
      </c>
      <c r="W737">
        <v>-6.0141</v>
      </c>
      <c r="X737">
        <v>1.7822</v>
      </c>
      <c r="Y737">
        <v>-0.29449999999999998</v>
      </c>
      <c r="Z737">
        <v>15</v>
      </c>
      <c r="AA737">
        <v>54.4</v>
      </c>
      <c r="AB737">
        <v>15</v>
      </c>
      <c r="AC737">
        <v>55.9</v>
      </c>
      <c r="AD737">
        <v>0</v>
      </c>
      <c r="AE737">
        <v>0</v>
      </c>
      <c r="AF737">
        <v>41.231400000000001</v>
      </c>
      <c r="AG737">
        <v>74</v>
      </c>
      <c r="AH737">
        <v>0</v>
      </c>
    </row>
    <row r="738" spans="1:34" x14ac:dyDescent="0.35">
      <c r="A738" t="s">
        <v>34</v>
      </c>
      <c r="B738" s="1">
        <v>46146.65625</v>
      </c>
      <c r="C738" t="s">
        <v>34</v>
      </c>
      <c r="D738" s="1">
        <v>46148.625</v>
      </c>
      <c r="E738">
        <v>7250</v>
      </c>
      <c r="F738" t="s">
        <v>36</v>
      </c>
      <c r="G738">
        <v>45</v>
      </c>
      <c r="H738">
        <v>76</v>
      </c>
      <c r="I738">
        <v>29.8</v>
      </c>
      <c r="J738">
        <v>59.28</v>
      </c>
      <c r="K738">
        <v>293</v>
      </c>
      <c r="L738">
        <v>7</v>
      </c>
      <c r="M738">
        <v>56.3</v>
      </c>
      <c r="N738">
        <v>12</v>
      </c>
      <c r="O738">
        <v>60.3</v>
      </c>
      <c r="P738">
        <v>0</v>
      </c>
      <c r="Q738">
        <v>0</v>
      </c>
      <c r="R738">
        <v>0</v>
      </c>
      <c r="S738">
        <v>0</v>
      </c>
      <c r="T738">
        <v>0.13150000000000001</v>
      </c>
      <c r="U738">
        <v>-0.74819999999999998</v>
      </c>
      <c r="V738">
        <v>4.4999999999999997E-3</v>
      </c>
      <c r="W738">
        <v>-5.9275000000000002</v>
      </c>
      <c r="X738">
        <v>1.7285999999999999</v>
      </c>
      <c r="Y738">
        <v>-0.30130000000000001</v>
      </c>
      <c r="Z738">
        <v>3</v>
      </c>
      <c r="AA738">
        <v>57.3</v>
      </c>
      <c r="AB738">
        <v>3</v>
      </c>
      <c r="AC738">
        <v>60</v>
      </c>
      <c r="AD738">
        <v>0</v>
      </c>
      <c r="AE738">
        <v>0</v>
      </c>
      <c r="AF738">
        <v>53.723199999999999</v>
      </c>
      <c r="AG738">
        <v>190</v>
      </c>
      <c r="AH738">
        <v>0</v>
      </c>
    </row>
    <row r="739" spans="1:34" x14ac:dyDescent="0.35">
      <c r="A739" t="s">
        <v>34</v>
      </c>
      <c r="B739" s="1">
        <v>46146.65625</v>
      </c>
      <c r="C739" t="s">
        <v>34</v>
      </c>
      <c r="D739" s="1">
        <v>46148.625</v>
      </c>
      <c r="E739">
        <v>7255</v>
      </c>
      <c r="F739" t="s">
        <v>36</v>
      </c>
      <c r="G739">
        <v>46.3</v>
      </c>
      <c r="H739">
        <v>76.37</v>
      </c>
      <c r="I739">
        <v>31.9</v>
      </c>
      <c r="J739">
        <v>62.98</v>
      </c>
      <c r="K739">
        <v>144</v>
      </c>
      <c r="L739">
        <v>11</v>
      </c>
      <c r="M739">
        <v>58</v>
      </c>
      <c r="N739">
        <v>11</v>
      </c>
      <c r="O739">
        <v>64.2</v>
      </c>
      <c r="P739">
        <v>0</v>
      </c>
      <c r="Q739">
        <v>0</v>
      </c>
      <c r="R739">
        <v>0</v>
      </c>
      <c r="S739">
        <v>0</v>
      </c>
      <c r="T739">
        <v>0.12520000000000001</v>
      </c>
      <c r="U739">
        <v>-0.78149999999999997</v>
      </c>
      <c r="V739">
        <v>4.4000000000000003E-3</v>
      </c>
      <c r="W739">
        <v>-5.0519999999999996</v>
      </c>
      <c r="X739">
        <v>1.6068</v>
      </c>
      <c r="Y739">
        <v>-0.31480000000000002</v>
      </c>
      <c r="Z739">
        <v>3</v>
      </c>
      <c r="AA739">
        <v>60.7</v>
      </c>
      <c r="AB739">
        <v>3</v>
      </c>
      <c r="AC739">
        <v>63.4</v>
      </c>
      <c r="AD739">
        <v>0</v>
      </c>
      <c r="AE739">
        <v>0</v>
      </c>
      <c r="AF739">
        <v>48.491700000000002</v>
      </c>
      <c r="AG739">
        <v>72</v>
      </c>
      <c r="AH739">
        <v>0</v>
      </c>
    </row>
    <row r="740" spans="1:34" x14ac:dyDescent="0.35">
      <c r="A740" t="s">
        <v>34</v>
      </c>
      <c r="B740" s="1">
        <v>46146.65625</v>
      </c>
      <c r="C740" t="s">
        <v>34</v>
      </c>
      <c r="D740" s="1">
        <v>46148.625</v>
      </c>
      <c r="E740">
        <v>7260</v>
      </c>
      <c r="F740" t="s">
        <v>36</v>
      </c>
      <c r="G740">
        <v>54.5</v>
      </c>
      <c r="H740">
        <v>74.459999999999994</v>
      </c>
      <c r="I740">
        <v>35.85</v>
      </c>
      <c r="J740">
        <v>64.63</v>
      </c>
      <c r="K740">
        <v>79</v>
      </c>
      <c r="L740">
        <v>6</v>
      </c>
      <c r="M740">
        <v>63.6</v>
      </c>
      <c r="N740">
        <v>11</v>
      </c>
      <c r="O740">
        <v>68</v>
      </c>
      <c r="P740">
        <v>0</v>
      </c>
      <c r="Q740">
        <v>0</v>
      </c>
      <c r="R740">
        <v>0</v>
      </c>
      <c r="S740">
        <v>0</v>
      </c>
      <c r="T740">
        <v>0.1298</v>
      </c>
      <c r="U740">
        <v>-0.79410000000000003</v>
      </c>
      <c r="V740">
        <v>4.1000000000000003E-3</v>
      </c>
      <c r="W740">
        <v>-4.9912000000000001</v>
      </c>
      <c r="X740">
        <v>1.5544</v>
      </c>
      <c r="Y740">
        <v>-0.3201</v>
      </c>
      <c r="Z740">
        <v>1</v>
      </c>
      <c r="AA740">
        <v>62.5</v>
      </c>
      <c r="AB740">
        <v>7</v>
      </c>
      <c r="AC740">
        <v>69.5</v>
      </c>
      <c r="AD740">
        <v>0</v>
      </c>
      <c r="AE740">
        <v>0</v>
      </c>
      <c r="AF740">
        <v>47.362900000000003</v>
      </c>
      <c r="AG740">
        <v>62</v>
      </c>
      <c r="AH740">
        <v>0</v>
      </c>
    </row>
    <row r="741" spans="1:34" x14ac:dyDescent="0.35">
      <c r="A741" t="s">
        <v>34</v>
      </c>
      <c r="B741" s="1">
        <v>46146.65625</v>
      </c>
      <c r="C741" t="s">
        <v>34</v>
      </c>
      <c r="D741" s="1">
        <v>46148.625</v>
      </c>
      <c r="E741">
        <v>7265</v>
      </c>
      <c r="F741" t="s">
        <v>36</v>
      </c>
      <c r="G741">
        <v>53.89</v>
      </c>
      <c r="H741">
        <v>77.760000000000005</v>
      </c>
      <c r="I741">
        <v>37.200000000000003</v>
      </c>
      <c r="J741">
        <v>64.069999999999993</v>
      </c>
      <c r="K741">
        <v>39</v>
      </c>
      <c r="L741">
        <v>6</v>
      </c>
      <c r="M741">
        <v>67.3</v>
      </c>
      <c r="N741">
        <v>12</v>
      </c>
      <c r="O741">
        <v>72</v>
      </c>
      <c r="P741">
        <v>0</v>
      </c>
      <c r="Q741">
        <v>0</v>
      </c>
      <c r="R741">
        <v>0</v>
      </c>
      <c r="S741">
        <v>0</v>
      </c>
      <c r="T741">
        <v>0.1285</v>
      </c>
      <c r="U741">
        <v>-0.81620000000000004</v>
      </c>
      <c r="V741">
        <v>3.8999999999999998E-3</v>
      </c>
      <c r="W741">
        <v>-4.4843999999999999</v>
      </c>
      <c r="X741">
        <v>1.4575</v>
      </c>
      <c r="Y741">
        <v>-0.32919999999999999</v>
      </c>
      <c r="Z741">
        <v>2</v>
      </c>
      <c r="AA741">
        <v>66.400000000000006</v>
      </c>
      <c r="AB741">
        <v>7</v>
      </c>
      <c r="AC741">
        <v>73.400000000000006</v>
      </c>
      <c r="AD741">
        <v>0</v>
      </c>
      <c r="AE741">
        <v>0</v>
      </c>
      <c r="AF741">
        <v>50.479700000000001</v>
      </c>
      <c r="AG741">
        <v>29</v>
      </c>
      <c r="AH741">
        <v>0</v>
      </c>
    </row>
    <row r="742" spans="1:34" x14ac:dyDescent="0.35">
      <c r="A742" t="s">
        <v>34</v>
      </c>
      <c r="B742" s="1">
        <v>46146.65625</v>
      </c>
      <c r="C742" t="s">
        <v>34</v>
      </c>
      <c r="D742" s="1">
        <v>46148.625</v>
      </c>
      <c r="E742">
        <v>7270</v>
      </c>
      <c r="F742" t="s">
        <v>36</v>
      </c>
      <c r="G742">
        <v>54.72</v>
      </c>
      <c r="H742">
        <v>80.41</v>
      </c>
      <c r="I742">
        <v>40.200000000000003</v>
      </c>
      <c r="J742">
        <v>76.06</v>
      </c>
      <c r="K742">
        <v>51</v>
      </c>
      <c r="L742">
        <v>11</v>
      </c>
      <c r="M742">
        <v>69.5</v>
      </c>
      <c r="N742">
        <v>7</v>
      </c>
      <c r="O742">
        <v>75.900000000000006</v>
      </c>
      <c r="P742">
        <v>0</v>
      </c>
      <c r="Q742">
        <v>0</v>
      </c>
      <c r="R742">
        <v>0</v>
      </c>
      <c r="S742">
        <v>0</v>
      </c>
      <c r="T742">
        <v>0.11990000000000001</v>
      </c>
      <c r="U742">
        <v>-0.85160000000000002</v>
      </c>
      <c r="V742">
        <v>3.5999999999999999E-3</v>
      </c>
      <c r="W742">
        <v>-3.4525000000000001</v>
      </c>
      <c r="X742">
        <v>1.2837000000000001</v>
      </c>
      <c r="Y742">
        <v>-0.34339999999999998</v>
      </c>
      <c r="Z742">
        <v>2</v>
      </c>
      <c r="AA742">
        <v>70.400000000000006</v>
      </c>
      <c r="AB742">
        <v>7</v>
      </c>
      <c r="AC742">
        <v>77.5</v>
      </c>
      <c r="AD742">
        <v>0</v>
      </c>
      <c r="AE742">
        <v>0</v>
      </c>
      <c r="AF742">
        <v>61.106099999999998</v>
      </c>
      <c r="AG742">
        <v>27</v>
      </c>
      <c r="AH742">
        <v>0</v>
      </c>
    </row>
    <row r="743" spans="1:34" x14ac:dyDescent="0.35">
      <c r="A743" t="s">
        <v>34</v>
      </c>
      <c r="B743" s="1">
        <v>46146.65625</v>
      </c>
      <c r="C743" t="s">
        <v>34</v>
      </c>
      <c r="D743" s="1">
        <v>46148.625</v>
      </c>
      <c r="E743">
        <v>7275</v>
      </c>
      <c r="F743" t="s">
        <v>36</v>
      </c>
      <c r="G743">
        <v>48.5</v>
      </c>
      <c r="H743">
        <v>98.11</v>
      </c>
      <c r="I743">
        <v>43.4</v>
      </c>
      <c r="J743">
        <v>73.599999999999994</v>
      </c>
      <c r="K743">
        <v>50</v>
      </c>
      <c r="L743">
        <v>11</v>
      </c>
      <c r="M743">
        <v>73.599999999999994</v>
      </c>
      <c r="N743">
        <v>7</v>
      </c>
      <c r="O743">
        <v>80</v>
      </c>
      <c r="P743">
        <v>0</v>
      </c>
      <c r="Q743">
        <v>0</v>
      </c>
      <c r="R743">
        <v>0</v>
      </c>
      <c r="S743">
        <v>0</v>
      </c>
      <c r="T743">
        <v>0.1182</v>
      </c>
      <c r="U743">
        <v>-0.872</v>
      </c>
      <c r="V743">
        <v>3.3E-3</v>
      </c>
      <c r="W743">
        <v>-2.9592999999999998</v>
      </c>
      <c r="X743">
        <v>1.1686000000000001</v>
      </c>
      <c r="Y743">
        <v>-0.35189999999999999</v>
      </c>
      <c r="Z743">
        <v>7</v>
      </c>
      <c r="AA743">
        <v>75</v>
      </c>
      <c r="AB743">
        <v>7</v>
      </c>
      <c r="AC743">
        <v>81.7</v>
      </c>
      <c r="AD743">
        <v>0</v>
      </c>
      <c r="AE743">
        <v>0</v>
      </c>
      <c r="AF743">
        <v>67.701599999999999</v>
      </c>
      <c r="AG743">
        <v>72</v>
      </c>
      <c r="AH743">
        <v>0</v>
      </c>
    </row>
    <row r="744" spans="1:34" x14ac:dyDescent="0.35">
      <c r="A744" t="s">
        <v>34</v>
      </c>
      <c r="B744" s="1">
        <v>46146.65625</v>
      </c>
      <c r="C744" t="s">
        <v>34</v>
      </c>
      <c r="D744" s="1">
        <v>46148.625</v>
      </c>
      <c r="E744">
        <v>7280</v>
      </c>
      <c r="F744" t="s">
        <v>36</v>
      </c>
      <c r="G744">
        <v>59.47</v>
      </c>
      <c r="H744">
        <v>83.63</v>
      </c>
      <c r="I744">
        <v>46.86</v>
      </c>
      <c r="J744">
        <v>82.97</v>
      </c>
      <c r="K744">
        <v>105</v>
      </c>
      <c r="L744">
        <v>11</v>
      </c>
      <c r="M744">
        <v>77.8</v>
      </c>
      <c r="N744">
        <v>11</v>
      </c>
      <c r="O744">
        <v>84.6</v>
      </c>
      <c r="P744">
        <v>0</v>
      </c>
      <c r="Q744">
        <v>0</v>
      </c>
      <c r="R744">
        <v>0</v>
      </c>
      <c r="S744">
        <v>0</v>
      </c>
      <c r="T744">
        <v>0.1181</v>
      </c>
      <c r="U744">
        <v>-0.88790000000000002</v>
      </c>
      <c r="V744">
        <v>3.0000000000000001E-3</v>
      </c>
      <c r="W744">
        <v>-2.5988000000000002</v>
      </c>
      <c r="X744">
        <v>1.0716000000000001</v>
      </c>
      <c r="Y744">
        <v>-0.3584</v>
      </c>
      <c r="Z744">
        <v>2</v>
      </c>
      <c r="AA744">
        <v>78.900000000000006</v>
      </c>
      <c r="AB744">
        <v>7</v>
      </c>
      <c r="AC744">
        <v>86.1</v>
      </c>
      <c r="AD744">
        <v>0</v>
      </c>
      <c r="AE744">
        <v>0</v>
      </c>
      <c r="AF744">
        <v>74.366500000000002</v>
      </c>
      <c r="AG744">
        <v>34</v>
      </c>
      <c r="AH744">
        <v>0</v>
      </c>
    </row>
    <row r="745" spans="1:34" x14ac:dyDescent="0.35">
      <c r="A745" t="s">
        <v>34</v>
      </c>
      <c r="B745" s="1">
        <v>46146.65625</v>
      </c>
      <c r="C745" t="s">
        <v>34</v>
      </c>
      <c r="D745" s="1">
        <v>46148.625</v>
      </c>
      <c r="E745">
        <v>7285</v>
      </c>
      <c r="F745" t="s">
        <v>36</v>
      </c>
      <c r="G745">
        <v>63.33</v>
      </c>
      <c r="H745">
        <v>87.96</v>
      </c>
      <c r="I745">
        <v>63.33</v>
      </c>
      <c r="J745">
        <v>84.3</v>
      </c>
      <c r="K745">
        <v>63</v>
      </c>
      <c r="L745">
        <v>11</v>
      </c>
      <c r="M745">
        <v>82.2</v>
      </c>
      <c r="N745">
        <v>11</v>
      </c>
      <c r="O745">
        <v>88.9</v>
      </c>
      <c r="P745">
        <v>0</v>
      </c>
      <c r="Q745">
        <v>0</v>
      </c>
      <c r="R745">
        <v>0</v>
      </c>
      <c r="S745">
        <v>0</v>
      </c>
      <c r="T745">
        <v>0.1186</v>
      </c>
      <c r="U745">
        <v>-0.90039999999999998</v>
      </c>
      <c r="V745">
        <v>2.7000000000000001E-3</v>
      </c>
      <c r="W745">
        <v>-2.3209</v>
      </c>
      <c r="X745">
        <v>0.98919999999999997</v>
      </c>
      <c r="Y745">
        <v>-0.36380000000000001</v>
      </c>
      <c r="Z745">
        <v>11</v>
      </c>
      <c r="AA745">
        <v>83.2</v>
      </c>
      <c r="AB745">
        <v>7</v>
      </c>
      <c r="AC745">
        <v>90.3</v>
      </c>
      <c r="AD745">
        <v>0</v>
      </c>
      <c r="AE745">
        <v>0</v>
      </c>
      <c r="AF745">
        <v>83.997299999999996</v>
      </c>
      <c r="AG745">
        <v>16</v>
      </c>
      <c r="AH745">
        <v>0</v>
      </c>
    </row>
    <row r="746" spans="1:34" x14ac:dyDescent="0.35">
      <c r="A746" t="s">
        <v>34</v>
      </c>
      <c r="B746" s="1">
        <v>46146.65625</v>
      </c>
      <c r="C746" t="s">
        <v>34</v>
      </c>
      <c r="D746" s="1">
        <v>46148.625</v>
      </c>
      <c r="E746">
        <v>7290</v>
      </c>
      <c r="F746" t="s">
        <v>36</v>
      </c>
      <c r="G746">
        <v>66.34</v>
      </c>
      <c r="H746">
        <v>93.21</v>
      </c>
      <c r="I746">
        <v>54.6</v>
      </c>
      <c r="J746">
        <v>90.73</v>
      </c>
      <c r="K746">
        <v>29</v>
      </c>
      <c r="L746">
        <v>11</v>
      </c>
      <c r="M746">
        <v>86.7</v>
      </c>
      <c r="N746">
        <v>3</v>
      </c>
      <c r="O746">
        <v>93.6</v>
      </c>
      <c r="P746">
        <v>0</v>
      </c>
      <c r="Q746">
        <v>0</v>
      </c>
      <c r="R746">
        <v>0</v>
      </c>
      <c r="S746">
        <v>0</v>
      </c>
      <c r="T746">
        <v>0.1166</v>
      </c>
      <c r="U746">
        <v>-0.91769999999999996</v>
      </c>
      <c r="V746">
        <v>2.3999999999999998E-3</v>
      </c>
      <c r="W746">
        <v>-1.8804000000000001</v>
      </c>
      <c r="X746">
        <v>0.86819999999999997</v>
      </c>
      <c r="Y746">
        <v>-0.37090000000000001</v>
      </c>
      <c r="Z746">
        <v>7</v>
      </c>
      <c r="AA746">
        <v>88.3</v>
      </c>
      <c r="AB746">
        <v>7</v>
      </c>
      <c r="AC746">
        <v>95.1</v>
      </c>
      <c r="AD746">
        <v>0</v>
      </c>
      <c r="AE746">
        <v>0</v>
      </c>
      <c r="AF746">
        <v>87.165899999999993</v>
      </c>
      <c r="AG746">
        <v>108</v>
      </c>
      <c r="AH746">
        <v>0</v>
      </c>
    </row>
    <row r="747" spans="1:34" x14ac:dyDescent="0.35">
      <c r="A747" t="s">
        <v>34</v>
      </c>
      <c r="B747" s="1">
        <v>46146.65625</v>
      </c>
      <c r="C747" t="s">
        <v>34</v>
      </c>
      <c r="D747" s="1">
        <v>46148.625</v>
      </c>
      <c r="E747">
        <v>7295</v>
      </c>
      <c r="F747" t="s">
        <v>36</v>
      </c>
      <c r="G747">
        <v>95.32</v>
      </c>
      <c r="H747">
        <v>95.32</v>
      </c>
      <c r="I747">
        <v>95.32</v>
      </c>
      <c r="J747">
        <v>95.32</v>
      </c>
      <c r="K747">
        <v>23</v>
      </c>
      <c r="L747">
        <v>11</v>
      </c>
      <c r="M747">
        <v>91.2</v>
      </c>
      <c r="N747">
        <v>11</v>
      </c>
      <c r="O747">
        <v>98.1</v>
      </c>
      <c r="P747">
        <v>0</v>
      </c>
      <c r="Q747">
        <v>0</v>
      </c>
      <c r="R747">
        <v>0</v>
      </c>
      <c r="S747">
        <v>0</v>
      </c>
      <c r="T747">
        <v>0.1148</v>
      </c>
      <c r="U747">
        <v>-0.93220000000000003</v>
      </c>
      <c r="V747">
        <v>2.0999999999999999E-3</v>
      </c>
      <c r="W747">
        <v>-1.5141</v>
      </c>
      <c r="X747">
        <v>0.75780000000000003</v>
      </c>
      <c r="Y747">
        <v>-0.37690000000000001</v>
      </c>
      <c r="Z747">
        <v>4</v>
      </c>
      <c r="AA747">
        <v>92.4</v>
      </c>
      <c r="AB747">
        <v>7</v>
      </c>
      <c r="AC747">
        <v>99.5</v>
      </c>
      <c r="AD747">
        <v>0</v>
      </c>
      <c r="AE747">
        <v>0</v>
      </c>
      <c r="AF747">
        <v>95.32</v>
      </c>
      <c r="AG747">
        <v>6</v>
      </c>
      <c r="AH747">
        <v>0</v>
      </c>
    </row>
    <row r="748" spans="1:34" x14ac:dyDescent="0.35">
      <c r="A748" t="s">
        <v>34</v>
      </c>
      <c r="B748" s="1">
        <v>46146.65625</v>
      </c>
      <c r="C748" t="s">
        <v>34</v>
      </c>
      <c r="D748" s="1">
        <v>46148.625</v>
      </c>
      <c r="E748">
        <v>7300</v>
      </c>
      <c r="F748" t="s">
        <v>36</v>
      </c>
      <c r="G748">
        <v>74.94</v>
      </c>
      <c r="H748">
        <v>82.82</v>
      </c>
      <c r="I748">
        <v>61.76</v>
      </c>
      <c r="J748">
        <v>82.82</v>
      </c>
      <c r="K748">
        <v>8</v>
      </c>
      <c r="L748">
        <v>11</v>
      </c>
      <c r="M748">
        <v>95.9</v>
      </c>
      <c r="N748">
        <v>13</v>
      </c>
      <c r="O748">
        <v>102.8</v>
      </c>
      <c r="P748">
        <v>0</v>
      </c>
      <c r="Q748">
        <v>0</v>
      </c>
      <c r="R748">
        <v>0</v>
      </c>
      <c r="S748">
        <v>0</v>
      </c>
      <c r="T748">
        <v>0.1148</v>
      </c>
      <c r="U748">
        <v>-0.94189999999999996</v>
      </c>
      <c r="V748">
        <v>1.9E-3</v>
      </c>
      <c r="W748">
        <v>-1.2856000000000001</v>
      </c>
      <c r="X748">
        <v>0.67700000000000005</v>
      </c>
      <c r="Y748">
        <v>-0.38109999999999999</v>
      </c>
      <c r="Z748">
        <v>4</v>
      </c>
      <c r="AA748">
        <v>97.1</v>
      </c>
      <c r="AB748">
        <v>7</v>
      </c>
      <c r="AC748">
        <v>104.2</v>
      </c>
      <c r="AD748">
        <v>0</v>
      </c>
      <c r="AE748">
        <v>0</v>
      </c>
      <c r="AF748">
        <v>74.453800000000001</v>
      </c>
      <c r="AG748">
        <v>106</v>
      </c>
      <c r="AH748">
        <v>0</v>
      </c>
    </row>
    <row r="749" spans="1:34" x14ac:dyDescent="0.35">
      <c r="A749" t="s">
        <v>34</v>
      </c>
      <c r="B749" s="1">
        <v>46146.65625</v>
      </c>
      <c r="C749" t="s">
        <v>34</v>
      </c>
      <c r="D749" s="1">
        <v>46148.625</v>
      </c>
      <c r="E749">
        <v>7305</v>
      </c>
      <c r="F749" t="s">
        <v>36</v>
      </c>
      <c r="G749">
        <v>86.84</v>
      </c>
      <c r="H749">
        <v>86.84</v>
      </c>
      <c r="I749">
        <v>86.84</v>
      </c>
      <c r="J749">
        <v>86.84</v>
      </c>
      <c r="K749">
        <v>1</v>
      </c>
      <c r="L749">
        <v>11</v>
      </c>
      <c r="M749">
        <v>100.6</v>
      </c>
      <c r="N749">
        <v>11</v>
      </c>
      <c r="O749">
        <v>107.6</v>
      </c>
      <c r="P749">
        <v>0</v>
      </c>
      <c r="Q749">
        <v>0</v>
      </c>
      <c r="R749">
        <v>0</v>
      </c>
      <c r="S749">
        <v>0</v>
      </c>
      <c r="T749">
        <v>0.1193</v>
      </c>
      <c r="U749">
        <v>-0.94350000000000001</v>
      </c>
      <c r="V749">
        <v>1.8E-3</v>
      </c>
      <c r="W749">
        <v>-1.2992999999999999</v>
      </c>
      <c r="X749">
        <v>0.66190000000000004</v>
      </c>
      <c r="Y749">
        <v>-0.3821</v>
      </c>
      <c r="Z749">
        <v>7</v>
      </c>
      <c r="AA749">
        <v>101.8</v>
      </c>
      <c r="AB749">
        <v>7</v>
      </c>
      <c r="AC749">
        <v>109</v>
      </c>
      <c r="AD749">
        <v>0</v>
      </c>
      <c r="AE749">
        <v>0</v>
      </c>
      <c r="AF749">
        <v>86.84</v>
      </c>
      <c r="AG749">
        <v>6</v>
      </c>
      <c r="AH749">
        <v>0</v>
      </c>
    </row>
    <row r="750" spans="1:34" x14ac:dyDescent="0.35">
      <c r="A750" t="s">
        <v>34</v>
      </c>
      <c r="B750" s="1">
        <v>46146.65625</v>
      </c>
      <c r="C750" t="s">
        <v>34</v>
      </c>
      <c r="D750" s="1">
        <v>46148.625</v>
      </c>
      <c r="E750">
        <v>7310</v>
      </c>
      <c r="F750" t="s">
        <v>36</v>
      </c>
      <c r="G750">
        <v>82.94</v>
      </c>
      <c r="H750">
        <v>82.94</v>
      </c>
      <c r="I750">
        <v>82.94</v>
      </c>
      <c r="J750">
        <v>82.94</v>
      </c>
      <c r="K750">
        <v>1</v>
      </c>
      <c r="L750">
        <v>11</v>
      </c>
      <c r="M750">
        <v>105.3</v>
      </c>
      <c r="N750">
        <v>11</v>
      </c>
      <c r="O750">
        <v>112.4</v>
      </c>
      <c r="P750">
        <v>0</v>
      </c>
      <c r="Q750">
        <v>0</v>
      </c>
      <c r="R750">
        <v>0</v>
      </c>
      <c r="S750">
        <v>0</v>
      </c>
      <c r="T750">
        <v>0.115</v>
      </c>
      <c r="U750">
        <v>-0.95809999999999995</v>
      </c>
      <c r="V750">
        <v>1.5E-3</v>
      </c>
      <c r="W750">
        <v>-0.90769999999999995</v>
      </c>
      <c r="X750">
        <v>0.53200000000000003</v>
      </c>
      <c r="Y750">
        <v>-0.38819999999999999</v>
      </c>
      <c r="Z750">
        <v>7</v>
      </c>
      <c r="AA750">
        <v>106.6</v>
      </c>
      <c r="AB750">
        <v>7</v>
      </c>
      <c r="AC750">
        <v>113.8</v>
      </c>
      <c r="AD750">
        <v>0</v>
      </c>
      <c r="AE750">
        <v>0</v>
      </c>
      <c r="AF750">
        <v>82.94</v>
      </c>
      <c r="AG750">
        <v>4</v>
      </c>
      <c r="AH750">
        <v>0</v>
      </c>
    </row>
    <row r="751" spans="1:34" x14ac:dyDescent="0.35">
      <c r="A751" t="s">
        <v>34</v>
      </c>
      <c r="B751" s="1">
        <v>46146.65625</v>
      </c>
      <c r="C751" t="s">
        <v>34</v>
      </c>
      <c r="D751" s="1">
        <v>46148.625</v>
      </c>
      <c r="E751">
        <v>7315</v>
      </c>
      <c r="F751" t="s">
        <v>36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6</v>
      </c>
      <c r="M751">
        <v>110.2</v>
      </c>
      <c r="N751">
        <v>6</v>
      </c>
      <c r="O751">
        <v>117.3</v>
      </c>
      <c r="P751">
        <v>0</v>
      </c>
      <c r="Q751">
        <v>0</v>
      </c>
      <c r="R751">
        <v>0</v>
      </c>
      <c r="S751">
        <v>0</v>
      </c>
      <c r="T751">
        <v>0.1164</v>
      </c>
      <c r="U751">
        <v>-0.96309999999999996</v>
      </c>
      <c r="V751">
        <v>1.2999999999999999E-3</v>
      </c>
      <c r="W751">
        <v>-0.79949999999999999</v>
      </c>
      <c r="X751">
        <v>0.48280000000000001</v>
      </c>
      <c r="Y751">
        <v>-0.39050000000000001</v>
      </c>
      <c r="Z751">
        <v>7</v>
      </c>
      <c r="AA751">
        <v>111.5</v>
      </c>
      <c r="AB751">
        <v>7</v>
      </c>
      <c r="AC751">
        <v>118.7</v>
      </c>
      <c r="AD751">
        <v>0</v>
      </c>
      <c r="AE751">
        <v>0</v>
      </c>
      <c r="AF751">
        <v>0</v>
      </c>
      <c r="AG751">
        <v>1</v>
      </c>
      <c r="AH751">
        <v>0</v>
      </c>
    </row>
    <row r="752" spans="1:34" x14ac:dyDescent="0.35">
      <c r="A752" t="s">
        <v>34</v>
      </c>
      <c r="B752" s="1">
        <v>46146.65625</v>
      </c>
      <c r="C752" t="s">
        <v>34</v>
      </c>
      <c r="D752" s="1">
        <v>46148.625</v>
      </c>
      <c r="E752">
        <v>7320</v>
      </c>
      <c r="F752" t="s">
        <v>36</v>
      </c>
      <c r="G752">
        <v>117.8</v>
      </c>
      <c r="H752">
        <v>117.8</v>
      </c>
      <c r="I752">
        <v>117.8</v>
      </c>
      <c r="J752">
        <v>117.8</v>
      </c>
      <c r="K752">
        <v>2</v>
      </c>
      <c r="L752">
        <v>6</v>
      </c>
      <c r="M752">
        <v>115</v>
      </c>
      <c r="N752">
        <v>6</v>
      </c>
      <c r="O752">
        <v>122.5</v>
      </c>
      <c r="P752">
        <v>0</v>
      </c>
      <c r="Q752">
        <v>0</v>
      </c>
      <c r="R752">
        <v>0</v>
      </c>
      <c r="S752">
        <v>0</v>
      </c>
      <c r="T752">
        <v>0.122</v>
      </c>
      <c r="U752">
        <v>-0.96240000000000003</v>
      </c>
      <c r="V752">
        <v>1.2999999999999999E-3</v>
      </c>
      <c r="W752">
        <v>-0.8538</v>
      </c>
      <c r="X752">
        <v>0.48649999999999999</v>
      </c>
      <c r="Y752">
        <v>-0.3906</v>
      </c>
      <c r="Z752">
        <v>7</v>
      </c>
      <c r="AA752">
        <v>116.1</v>
      </c>
      <c r="AB752">
        <v>7</v>
      </c>
      <c r="AC752">
        <v>123.6</v>
      </c>
      <c r="AD752">
        <v>0</v>
      </c>
      <c r="AE752">
        <v>0</v>
      </c>
      <c r="AF752">
        <v>117.8</v>
      </c>
      <c r="AG752">
        <v>3</v>
      </c>
      <c r="AH752">
        <v>0</v>
      </c>
    </row>
    <row r="753" spans="1:34" x14ac:dyDescent="0.35">
      <c r="A753" t="s">
        <v>34</v>
      </c>
      <c r="B753" s="1">
        <v>46146.65625</v>
      </c>
      <c r="C753" t="s">
        <v>34</v>
      </c>
      <c r="D753" s="1">
        <v>46148.625</v>
      </c>
      <c r="E753">
        <v>7325</v>
      </c>
      <c r="F753" t="s">
        <v>36</v>
      </c>
      <c r="G753">
        <v>117.6</v>
      </c>
      <c r="H753">
        <v>117.6</v>
      </c>
      <c r="I753">
        <v>117.6</v>
      </c>
      <c r="J753">
        <v>117.6</v>
      </c>
      <c r="K753">
        <v>1</v>
      </c>
      <c r="L753">
        <v>5</v>
      </c>
      <c r="M753">
        <v>119.9</v>
      </c>
      <c r="N753">
        <v>5</v>
      </c>
      <c r="O753">
        <v>127.3</v>
      </c>
      <c r="P753">
        <v>0</v>
      </c>
      <c r="Q753">
        <v>0</v>
      </c>
      <c r="R753">
        <v>0</v>
      </c>
      <c r="S753">
        <v>0</v>
      </c>
      <c r="T753">
        <v>0.1208</v>
      </c>
      <c r="U753">
        <v>-0.96950000000000003</v>
      </c>
      <c r="V753">
        <v>1.1000000000000001E-3</v>
      </c>
      <c r="W753">
        <v>-0.67269999999999996</v>
      </c>
      <c r="X753">
        <v>0.41520000000000001</v>
      </c>
      <c r="Y753">
        <v>-0.39379999999999998</v>
      </c>
      <c r="Z753">
        <v>6</v>
      </c>
      <c r="AA753">
        <v>121.1</v>
      </c>
      <c r="AB753">
        <v>6</v>
      </c>
      <c r="AC753">
        <v>128.5</v>
      </c>
      <c r="AD753">
        <v>0</v>
      </c>
      <c r="AE753">
        <v>0</v>
      </c>
      <c r="AF753">
        <v>117.6</v>
      </c>
      <c r="AG753">
        <v>3</v>
      </c>
      <c r="AH753">
        <v>0</v>
      </c>
    </row>
    <row r="754" spans="1:34" x14ac:dyDescent="0.35">
      <c r="A754" t="s">
        <v>34</v>
      </c>
      <c r="B754" s="1">
        <v>46146.65625</v>
      </c>
      <c r="C754" t="s">
        <v>34</v>
      </c>
      <c r="D754" s="1">
        <v>46148.625</v>
      </c>
      <c r="E754">
        <v>7330</v>
      </c>
      <c r="F754" t="s">
        <v>36</v>
      </c>
      <c r="G754">
        <v>106.49</v>
      </c>
      <c r="H754">
        <v>129.38</v>
      </c>
      <c r="I754">
        <v>106.49</v>
      </c>
      <c r="J754">
        <v>129.38</v>
      </c>
      <c r="K754">
        <v>2</v>
      </c>
      <c r="L754">
        <v>5</v>
      </c>
      <c r="M754">
        <v>124.9</v>
      </c>
      <c r="N754">
        <v>5</v>
      </c>
      <c r="O754">
        <v>132.30000000000001</v>
      </c>
      <c r="P754">
        <v>0</v>
      </c>
      <c r="Q754">
        <v>0</v>
      </c>
      <c r="R754">
        <v>0</v>
      </c>
      <c r="S754">
        <v>0</v>
      </c>
      <c r="T754">
        <v>0.12540000000000001</v>
      </c>
      <c r="U754">
        <v>-0.96970000000000001</v>
      </c>
      <c r="V754">
        <v>1E-3</v>
      </c>
      <c r="W754">
        <v>-0.69230000000000003</v>
      </c>
      <c r="X754">
        <v>0.41070000000000001</v>
      </c>
      <c r="Y754">
        <v>-0.39419999999999999</v>
      </c>
      <c r="Z754">
        <v>6</v>
      </c>
      <c r="AA754">
        <v>126.1</v>
      </c>
      <c r="AB754">
        <v>6</v>
      </c>
      <c r="AC754">
        <v>133.69999999999999</v>
      </c>
      <c r="AD754">
        <v>0</v>
      </c>
      <c r="AE754">
        <v>0</v>
      </c>
      <c r="AF754">
        <v>117.935</v>
      </c>
      <c r="AG754">
        <v>2</v>
      </c>
      <c r="AH754">
        <v>0</v>
      </c>
    </row>
    <row r="755" spans="1:34" x14ac:dyDescent="0.35">
      <c r="A755" t="s">
        <v>34</v>
      </c>
      <c r="B755" s="1">
        <v>46146.65625</v>
      </c>
      <c r="C755" t="s">
        <v>34</v>
      </c>
      <c r="D755" s="1">
        <v>46148.625</v>
      </c>
      <c r="E755">
        <v>7335</v>
      </c>
      <c r="F755" t="s">
        <v>36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5</v>
      </c>
      <c r="M755">
        <v>129.80000000000001</v>
      </c>
      <c r="N755">
        <v>5</v>
      </c>
      <c r="O755">
        <v>137.19999999999999</v>
      </c>
      <c r="P755">
        <v>0</v>
      </c>
      <c r="Q755">
        <v>0</v>
      </c>
      <c r="R755">
        <v>0</v>
      </c>
      <c r="S755">
        <v>0</v>
      </c>
      <c r="T755">
        <v>0.12590000000000001</v>
      </c>
      <c r="U755">
        <v>-0.97399999999999998</v>
      </c>
      <c r="V755">
        <v>8.9999999999999998E-4</v>
      </c>
      <c r="W755">
        <v>-0.58679999999999999</v>
      </c>
      <c r="X755">
        <v>0.36480000000000001</v>
      </c>
      <c r="Y755">
        <v>-0.39629999999999999</v>
      </c>
      <c r="Z755">
        <v>6</v>
      </c>
      <c r="AA755">
        <v>131</v>
      </c>
      <c r="AB755">
        <v>6</v>
      </c>
      <c r="AC755">
        <v>138.4</v>
      </c>
      <c r="AD755">
        <v>0</v>
      </c>
      <c r="AE755">
        <v>0</v>
      </c>
      <c r="AF755">
        <v>0</v>
      </c>
      <c r="AG755">
        <v>0</v>
      </c>
      <c r="AH755">
        <v>0</v>
      </c>
    </row>
    <row r="756" spans="1:34" x14ac:dyDescent="0.35">
      <c r="A756" t="s">
        <v>34</v>
      </c>
      <c r="B756" s="1">
        <v>46146.65625</v>
      </c>
      <c r="C756" t="s">
        <v>34</v>
      </c>
      <c r="D756" s="1">
        <v>46148.625</v>
      </c>
      <c r="E756">
        <v>7340</v>
      </c>
      <c r="F756" t="s">
        <v>36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5</v>
      </c>
      <c r="M756">
        <v>134.80000000000001</v>
      </c>
      <c r="N756">
        <v>5</v>
      </c>
      <c r="O756">
        <v>142</v>
      </c>
      <c r="P756">
        <v>0</v>
      </c>
      <c r="Q756">
        <v>0</v>
      </c>
      <c r="R756">
        <v>0</v>
      </c>
      <c r="S756">
        <v>0</v>
      </c>
      <c r="T756">
        <v>0.1265</v>
      </c>
      <c r="U756">
        <v>-0.97760000000000002</v>
      </c>
      <c r="V756">
        <v>8.0000000000000004E-4</v>
      </c>
      <c r="W756">
        <v>-0.49740000000000001</v>
      </c>
      <c r="X756">
        <v>0.32400000000000001</v>
      </c>
      <c r="Y756">
        <v>-0.39800000000000002</v>
      </c>
      <c r="Z756">
        <v>6</v>
      </c>
      <c r="AA756">
        <v>137</v>
      </c>
      <c r="AB756">
        <v>6</v>
      </c>
      <c r="AC756">
        <v>143.30000000000001</v>
      </c>
      <c r="AD756">
        <v>0</v>
      </c>
      <c r="AE756">
        <v>0</v>
      </c>
      <c r="AF756">
        <v>0</v>
      </c>
      <c r="AG756">
        <v>3</v>
      </c>
      <c r="AH756">
        <v>0</v>
      </c>
    </row>
    <row r="757" spans="1:34" x14ac:dyDescent="0.35">
      <c r="A757" t="s">
        <v>34</v>
      </c>
      <c r="B757" s="1">
        <v>46146.65625</v>
      </c>
      <c r="C757" t="s">
        <v>34</v>
      </c>
      <c r="D757" s="1">
        <v>46148.625</v>
      </c>
      <c r="E757">
        <v>7345</v>
      </c>
      <c r="F757" t="s">
        <v>36</v>
      </c>
      <c r="G757">
        <v>120.49</v>
      </c>
      <c r="H757">
        <v>120.49</v>
      </c>
      <c r="I757">
        <v>120.49</v>
      </c>
      <c r="J757">
        <v>120.49</v>
      </c>
      <c r="K757">
        <v>2</v>
      </c>
      <c r="L757">
        <v>5</v>
      </c>
      <c r="M757">
        <v>139.69999999999999</v>
      </c>
      <c r="N757">
        <v>5</v>
      </c>
      <c r="O757">
        <v>147.19999999999999</v>
      </c>
      <c r="P757">
        <v>0</v>
      </c>
      <c r="Q757">
        <v>0</v>
      </c>
      <c r="R757">
        <v>0</v>
      </c>
      <c r="S757">
        <v>0</v>
      </c>
      <c r="T757">
        <v>0.1321</v>
      </c>
      <c r="U757">
        <v>-0.97670000000000001</v>
      </c>
      <c r="V757">
        <v>8.0000000000000004E-4</v>
      </c>
      <c r="W757">
        <v>-0.54420000000000002</v>
      </c>
      <c r="X757">
        <v>0.33260000000000001</v>
      </c>
      <c r="Y757">
        <v>-0.39810000000000001</v>
      </c>
      <c r="Z757">
        <v>6</v>
      </c>
      <c r="AA757">
        <v>141</v>
      </c>
      <c r="AB757">
        <v>6</v>
      </c>
      <c r="AC757">
        <v>148.6</v>
      </c>
      <c r="AD757">
        <v>0</v>
      </c>
      <c r="AE757">
        <v>0</v>
      </c>
      <c r="AF757">
        <v>120.49</v>
      </c>
      <c r="AG757">
        <v>4</v>
      </c>
      <c r="AH757">
        <v>0</v>
      </c>
    </row>
    <row r="758" spans="1:34" x14ac:dyDescent="0.35">
      <c r="A758" t="s">
        <v>34</v>
      </c>
      <c r="B758" s="1">
        <v>46146.65625</v>
      </c>
      <c r="C758" t="s">
        <v>34</v>
      </c>
      <c r="D758" s="1">
        <v>46148.625</v>
      </c>
      <c r="E758">
        <v>7350</v>
      </c>
      <c r="F758" t="s">
        <v>36</v>
      </c>
      <c r="G758">
        <v>124.35</v>
      </c>
      <c r="H758">
        <v>154.22</v>
      </c>
      <c r="I758">
        <v>113.95</v>
      </c>
      <c r="J758">
        <v>148.06</v>
      </c>
      <c r="K758">
        <v>5</v>
      </c>
      <c r="L758">
        <v>5</v>
      </c>
      <c r="M758">
        <v>144.69999999999999</v>
      </c>
      <c r="N758">
        <v>5</v>
      </c>
      <c r="O758">
        <v>152.1</v>
      </c>
      <c r="P758">
        <v>0</v>
      </c>
      <c r="Q758">
        <v>0</v>
      </c>
      <c r="R758">
        <v>0</v>
      </c>
      <c r="S758">
        <v>0</v>
      </c>
      <c r="T758">
        <v>0.13420000000000001</v>
      </c>
      <c r="U758">
        <v>-0.97870000000000001</v>
      </c>
      <c r="V758">
        <v>6.9999999999999999E-4</v>
      </c>
      <c r="W758">
        <v>-0.49969999999999998</v>
      </c>
      <c r="X758">
        <v>0.30919999999999997</v>
      </c>
      <c r="Y758">
        <v>-0.3992</v>
      </c>
      <c r="Z758">
        <v>6</v>
      </c>
      <c r="AA758">
        <v>145.9</v>
      </c>
      <c r="AB758">
        <v>6</v>
      </c>
      <c r="AC758">
        <v>153.6</v>
      </c>
      <c r="AD758">
        <v>0</v>
      </c>
      <c r="AE758">
        <v>0</v>
      </c>
      <c r="AF758">
        <v>134.00399999999999</v>
      </c>
      <c r="AG758">
        <v>7</v>
      </c>
      <c r="AH758">
        <v>0</v>
      </c>
    </row>
    <row r="759" spans="1:34" x14ac:dyDescent="0.35">
      <c r="A759" t="s">
        <v>34</v>
      </c>
      <c r="B759" s="1">
        <v>46146.65625</v>
      </c>
      <c r="C759" t="s">
        <v>34</v>
      </c>
      <c r="D759" s="1">
        <v>46148.625</v>
      </c>
      <c r="E759">
        <v>7355</v>
      </c>
      <c r="F759" t="s">
        <v>36</v>
      </c>
      <c r="G759">
        <v>130.09</v>
      </c>
      <c r="H759">
        <v>159.16999999999999</v>
      </c>
      <c r="I759">
        <v>130.09</v>
      </c>
      <c r="J759">
        <v>159.16999999999999</v>
      </c>
      <c r="K759">
        <v>2</v>
      </c>
      <c r="L759">
        <v>5</v>
      </c>
      <c r="M759">
        <v>149.69999999999999</v>
      </c>
      <c r="N759">
        <v>5</v>
      </c>
      <c r="O759">
        <v>157.1</v>
      </c>
      <c r="P759">
        <v>0</v>
      </c>
      <c r="Q759">
        <v>0</v>
      </c>
      <c r="R759">
        <v>0</v>
      </c>
      <c r="S759">
        <v>0</v>
      </c>
      <c r="T759">
        <v>0.13800000000000001</v>
      </c>
      <c r="U759">
        <v>-0.97909999999999997</v>
      </c>
      <c r="V759">
        <v>6.9999999999999999E-4</v>
      </c>
      <c r="W759">
        <v>-0.50080000000000002</v>
      </c>
      <c r="X759">
        <v>0.3024</v>
      </c>
      <c r="Y759">
        <v>-0.3997</v>
      </c>
      <c r="Z759">
        <v>3</v>
      </c>
      <c r="AA759">
        <v>148.19999999999999</v>
      </c>
      <c r="AB759">
        <v>1</v>
      </c>
      <c r="AC759">
        <v>162.9</v>
      </c>
      <c r="AD759">
        <v>0</v>
      </c>
      <c r="AE759">
        <v>0</v>
      </c>
      <c r="AF759">
        <v>144.63</v>
      </c>
      <c r="AG759">
        <v>0</v>
      </c>
      <c r="AH759">
        <v>0</v>
      </c>
    </row>
    <row r="760" spans="1:34" x14ac:dyDescent="0.35">
      <c r="A760" t="s">
        <v>34</v>
      </c>
      <c r="B760" s="1">
        <v>46146.65625</v>
      </c>
      <c r="C760" t="s">
        <v>34</v>
      </c>
      <c r="D760" s="1">
        <v>46148.625</v>
      </c>
      <c r="E760">
        <v>7360</v>
      </c>
      <c r="F760" t="s">
        <v>36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5</v>
      </c>
      <c r="M760">
        <v>154.69999999999999</v>
      </c>
      <c r="N760">
        <v>5</v>
      </c>
      <c r="O760">
        <v>162.1</v>
      </c>
      <c r="P760">
        <v>0</v>
      </c>
      <c r="Q760">
        <v>0</v>
      </c>
      <c r="R760">
        <v>0</v>
      </c>
      <c r="S760">
        <v>0</v>
      </c>
      <c r="T760">
        <v>0.14180000000000001</v>
      </c>
      <c r="U760">
        <v>-0.97960000000000003</v>
      </c>
      <c r="V760">
        <v>5.9999999999999995E-4</v>
      </c>
      <c r="W760">
        <v>-0.50190000000000001</v>
      </c>
      <c r="X760">
        <v>0.29609999999999997</v>
      </c>
      <c r="Y760">
        <v>-0.40029999999999999</v>
      </c>
      <c r="Z760">
        <v>2</v>
      </c>
      <c r="AA760">
        <v>153.19999999999999</v>
      </c>
      <c r="AB760">
        <v>1</v>
      </c>
      <c r="AC760">
        <v>169.1</v>
      </c>
      <c r="AD760">
        <v>0</v>
      </c>
      <c r="AE760">
        <v>0</v>
      </c>
      <c r="AF760">
        <v>0</v>
      </c>
      <c r="AG760">
        <v>0</v>
      </c>
      <c r="AH760">
        <v>0</v>
      </c>
    </row>
    <row r="761" spans="1:34" x14ac:dyDescent="0.35">
      <c r="A761" t="s">
        <v>34</v>
      </c>
      <c r="B761" s="1">
        <v>46146.65625</v>
      </c>
      <c r="C761" t="s">
        <v>34</v>
      </c>
      <c r="D761" s="1">
        <v>46148.625</v>
      </c>
      <c r="E761">
        <v>7365</v>
      </c>
      <c r="F761" t="s">
        <v>36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5</v>
      </c>
      <c r="M761">
        <v>159.6</v>
      </c>
      <c r="N761">
        <v>5</v>
      </c>
      <c r="O761">
        <v>167.1</v>
      </c>
      <c r="P761">
        <v>0</v>
      </c>
      <c r="Q761">
        <v>0</v>
      </c>
      <c r="R761">
        <v>0</v>
      </c>
      <c r="S761">
        <v>0</v>
      </c>
      <c r="T761">
        <v>0.14360000000000001</v>
      </c>
      <c r="U761">
        <v>-0.98140000000000005</v>
      </c>
      <c r="V761">
        <v>5.9999999999999995E-4</v>
      </c>
      <c r="W761">
        <v>-0.45679999999999998</v>
      </c>
      <c r="X761">
        <v>0.2742</v>
      </c>
      <c r="Y761">
        <v>-0.40139999999999998</v>
      </c>
      <c r="Z761">
        <v>2</v>
      </c>
      <c r="AA761">
        <v>158.19999999999999</v>
      </c>
      <c r="AB761">
        <v>1</v>
      </c>
      <c r="AC761">
        <v>172.7</v>
      </c>
      <c r="AD761">
        <v>0</v>
      </c>
      <c r="AE761">
        <v>0</v>
      </c>
      <c r="AF761">
        <v>0</v>
      </c>
      <c r="AG761">
        <v>0</v>
      </c>
      <c r="AH761">
        <v>0</v>
      </c>
    </row>
    <row r="762" spans="1:34" x14ac:dyDescent="0.35">
      <c r="A762" t="s">
        <v>34</v>
      </c>
      <c r="B762" s="1">
        <v>46146.65625</v>
      </c>
      <c r="C762" t="s">
        <v>34</v>
      </c>
      <c r="D762" s="1">
        <v>46148.625</v>
      </c>
      <c r="E762">
        <v>7370</v>
      </c>
      <c r="F762" t="s">
        <v>36</v>
      </c>
      <c r="G762">
        <v>166.47</v>
      </c>
      <c r="H762">
        <v>166.47</v>
      </c>
      <c r="I762">
        <v>166.47</v>
      </c>
      <c r="J762">
        <v>166.47</v>
      </c>
      <c r="K762">
        <v>1</v>
      </c>
      <c r="L762">
        <v>5</v>
      </c>
      <c r="M762">
        <v>164.6</v>
      </c>
      <c r="N762">
        <v>5</v>
      </c>
      <c r="O762">
        <v>171.9</v>
      </c>
      <c r="P762">
        <v>0</v>
      </c>
      <c r="Q762">
        <v>0</v>
      </c>
      <c r="R762">
        <v>0</v>
      </c>
      <c r="S762">
        <v>0</v>
      </c>
      <c r="T762">
        <v>0.14269999999999999</v>
      </c>
      <c r="U762">
        <v>-0.98460000000000003</v>
      </c>
      <c r="V762">
        <v>5.0000000000000001E-4</v>
      </c>
      <c r="W762">
        <v>-0.36430000000000001</v>
      </c>
      <c r="X762">
        <v>0.2354</v>
      </c>
      <c r="Y762">
        <v>-0.40300000000000002</v>
      </c>
      <c r="Z762">
        <v>3</v>
      </c>
      <c r="AA762">
        <v>163.1</v>
      </c>
      <c r="AB762">
        <v>1</v>
      </c>
      <c r="AC762">
        <v>177.8</v>
      </c>
      <c r="AD762">
        <v>0</v>
      </c>
      <c r="AE762">
        <v>0</v>
      </c>
      <c r="AF762">
        <v>166.47</v>
      </c>
      <c r="AG762">
        <v>1</v>
      </c>
      <c r="AH762">
        <v>0</v>
      </c>
    </row>
    <row r="763" spans="1:34" x14ac:dyDescent="0.35">
      <c r="A763" t="s">
        <v>34</v>
      </c>
      <c r="B763" s="1">
        <v>46146.65625</v>
      </c>
      <c r="C763" t="s">
        <v>34</v>
      </c>
      <c r="D763" s="1">
        <v>46148.625</v>
      </c>
      <c r="E763">
        <v>7375</v>
      </c>
      <c r="F763" t="s">
        <v>36</v>
      </c>
      <c r="G763">
        <v>172.97</v>
      </c>
      <c r="H763">
        <v>172.97</v>
      </c>
      <c r="I763">
        <v>172.97</v>
      </c>
      <c r="J763">
        <v>172.97</v>
      </c>
      <c r="K763">
        <v>1</v>
      </c>
      <c r="L763">
        <v>5</v>
      </c>
      <c r="M763">
        <v>169.6</v>
      </c>
      <c r="N763">
        <v>5</v>
      </c>
      <c r="O763">
        <v>177.1</v>
      </c>
      <c r="P763">
        <v>0</v>
      </c>
      <c r="Q763">
        <v>0</v>
      </c>
      <c r="R763">
        <v>0</v>
      </c>
      <c r="S763">
        <v>0</v>
      </c>
      <c r="T763">
        <v>0.15110000000000001</v>
      </c>
      <c r="U763">
        <v>-0.98219999999999996</v>
      </c>
      <c r="V763">
        <v>5.0000000000000001E-4</v>
      </c>
      <c r="W763">
        <v>-0.4587</v>
      </c>
      <c r="X763">
        <v>0.26350000000000001</v>
      </c>
      <c r="Y763">
        <v>-0.40239999999999998</v>
      </c>
      <c r="Z763">
        <v>3</v>
      </c>
      <c r="AA763">
        <v>168.1</v>
      </c>
      <c r="AB763">
        <v>3</v>
      </c>
      <c r="AC763">
        <v>184.1</v>
      </c>
      <c r="AD763">
        <v>0</v>
      </c>
      <c r="AE763">
        <v>0</v>
      </c>
      <c r="AF763">
        <v>172.97</v>
      </c>
      <c r="AG763">
        <v>0</v>
      </c>
      <c r="AH763">
        <v>0</v>
      </c>
    </row>
    <row r="764" spans="1:34" x14ac:dyDescent="0.35">
      <c r="A764" t="s">
        <v>34</v>
      </c>
      <c r="B764" s="1">
        <v>46146.65625</v>
      </c>
      <c r="C764" t="s">
        <v>34</v>
      </c>
      <c r="D764" s="1">
        <v>46148.625</v>
      </c>
      <c r="E764">
        <v>7380</v>
      </c>
      <c r="F764" t="s">
        <v>36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5</v>
      </c>
      <c r="M764">
        <v>174.6</v>
      </c>
      <c r="N764">
        <v>5</v>
      </c>
      <c r="O764">
        <v>181.9</v>
      </c>
      <c r="P764">
        <v>0</v>
      </c>
      <c r="Q764">
        <v>0</v>
      </c>
      <c r="R764">
        <v>0</v>
      </c>
      <c r="S764">
        <v>0</v>
      </c>
      <c r="T764">
        <v>0.15010000000000001</v>
      </c>
      <c r="U764">
        <v>-0.98519999999999996</v>
      </c>
      <c r="V764">
        <v>5.0000000000000001E-4</v>
      </c>
      <c r="W764">
        <v>-0.36599999999999999</v>
      </c>
      <c r="X764">
        <v>0.2263</v>
      </c>
      <c r="Y764">
        <v>-0.40400000000000003</v>
      </c>
      <c r="Z764">
        <v>3</v>
      </c>
      <c r="AA764">
        <v>173.1</v>
      </c>
      <c r="AB764">
        <v>1</v>
      </c>
      <c r="AC764">
        <v>187.8</v>
      </c>
      <c r="AD764">
        <v>0</v>
      </c>
      <c r="AE764">
        <v>0</v>
      </c>
      <c r="AF764">
        <v>0</v>
      </c>
      <c r="AG764">
        <v>0</v>
      </c>
      <c r="AH764">
        <v>0</v>
      </c>
    </row>
    <row r="765" spans="1:34" x14ac:dyDescent="0.35">
      <c r="A765" t="s">
        <v>34</v>
      </c>
      <c r="B765" s="1">
        <v>46146.65625</v>
      </c>
      <c r="C765" t="s">
        <v>34</v>
      </c>
      <c r="D765" s="1">
        <v>46148.625</v>
      </c>
      <c r="E765">
        <v>7385</v>
      </c>
      <c r="F765" t="s">
        <v>36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5</v>
      </c>
      <c r="M765">
        <v>179.6</v>
      </c>
      <c r="N765">
        <v>5</v>
      </c>
      <c r="O765">
        <v>187.2</v>
      </c>
      <c r="P765">
        <v>0</v>
      </c>
      <c r="Q765">
        <v>0</v>
      </c>
      <c r="R765">
        <v>0</v>
      </c>
      <c r="S765">
        <v>0</v>
      </c>
      <c r="T765">
        <v>0.16070000000000001</v>
      </c>
      <c r="U765">
        <v>-0.98150000000000004</v>
      </c>
      <c r="V765">
        <v>5.0000000000000001E-4</v>
      </c>
      <c r="W765">
        <v>-0.50700000000000001</v>
      </c>
      <c r="X765">
        <v>0.26850000000000002</v>
      </c>
      <c r="Y765">
        <v>-0.40289999999999998</v>
      </c>
      <c r="Z765">
        <v>3</v>
      </c>
      <c r="AA765">
        <v>178.1</v>
      </c>
      <c r="AB765">
        <v>1</v>
      </c>
      <c r="AC765">
        <v>192.7</v>
      </c>
      <c r="AD765">
        <v>0</v>
      </c>
      <c r="AE765">
        <v>0</v>
      </c>
      <c r="AF765">
        <v>0</v>
      </c>
      <c r="AG765">
        <v>0</v>
      </c>
      <c r="AH765">
        <v>0</v>
      </c>
    </row>
    <row r="766" spans="1:34" x14ac:dyDescent="0.35">
      <c r="A766" t="s">
        <v>34</v>
      </c>
      <c r="B766" s="1">
        <v>46146.65625</v>
      </c>
      <c r="C766" t="s">
        <v>34</v>
      </c>
      <c r="D766" s="1">
        <v>46148.625</v>
      </c>
      <c r="E766">
        <v>7390</v>
      </c>
      <c r="F766" t="s">
        <v>36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5</v>
      </c>
      <c r="M766">
        <v>184.6</v>
      </c>
      <c r="N766">
        <v>5</v>
      </c>
      <c r="O766">
        <v>191.9</v>
      </c>
      <c r="P766">
        <v>0</v>
      </c>
      <c r="Q766">
        <v>0</v>
      </c>
      <c r="R766">
        <v>0</v>
      </c>
      <c r="S766">
        <v>0</v>
      </c>
      <c r="T766">
        <v>0.1573</v>
      </c>
      <c r="U766">
        <v>-0.98580000000000001</v>
      </c>
      <c r="V766">
        <v>4.0000000000000002E-4</v>
      </c>
      <c r="W766">
        <v>-0.36749999999999999</v>
      </c>
      <c r="X766">
        <v>0.21820000000000001</v>
      </c>
      <c r="Y766">
        <v>-0.40500000000000003</v>
      </c>
      <c r="Z766">
        <v>3</v>
      </c>
      <c r="AA766">
        <v>183.1</v>
      </c>
      <c r="AB766">
        <v>1</v>
      </c>
      <c r="AC766">
        <v>197.8</v>
      </c>
      <c r="AD766">
        <v>0</v>
      </c>
      <c r="AE766">
        <v>0</v>
      </c>
      <c r="AF766">
        <v>0</v>
      </c>
      <c r="AG766">
        <v>0</v>
      </c>
      <c r="AH766">
        <v>0</v>
      </c>
    </row>
    <row r="767" spans="1:34" x14ac:dyDescent="0.35">
      <c r="A767" t="s">
        <v>34</v>
      </c>
      <c r="B767" s="1">
        <v>46146.65625</v>
      </c>
      <c r="C767" t="s">
        <v>34</v>
      </c>
      <c r="D767" s="1">
        <v>46148.625</v>
      </c>
      <c r="E767">
        <v>7395</v>
      </c>
      <c r="F767" t="s">
        <v>36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5</v>
      </c>
      <c r="M767">
        <v>189.6</v>
      </c>
      <c r="N767">
        <v>5</v>
      </c>
      <c r="O767">
        <v>196.9</v>
      </c>
      <c r="P767">
        <v>0</v>
      </c>
      <c r="Q767">
        <v>0</v>
      </c>
      <c r="R767">
        <v>0</v>
      </c>
      <c r="S767">
        <v>0</v>
      </c>
      <c r="T767">
        <v>0.16089999999999999</v>
      </c>
      <c r="U767">
        <v>-0.98599999999999999</v>
      </c>
      <c r="V767">
        <v>4.0000000000000002E-4</v>
      </c>
      <c r="W767">
        <v>-0.36830000000000002</v>
      </c>
      <c r="X767">
        <v>0.21429999999999999</v>
      </c>
      <c r="Y767">
        <v>-0.40539999999999998</v>
      </c>
      <c r="Z767">
        <v>3</v>
      </c>
      <c r="AA767">
        <v>188.1</v>
      </c>
      <c r="AB767">
        <v>1</v>
      </c>
      <c r="AC767">
        <v>202.7</v>
      </c>
      <c r="AD767">
        <v>0</v>
      </c>
      <c r="AE767">
        <v>0</v>
      </c>
      <c r="AF767">
        <v>0</v>
      </c>
      <c r="AG767">
        <v>0</v>
      </c>
      <c r="AH767">
        <v>0</v>
      </c>
    </row>
    <row r="768" spans="1:34" x14ac:dyDescent="0.35">
      <c r="A768" t="s">
        <v>34</v>
      </c>
      <c r="B768" s="1">
        <v>46146.65625</v>
      </c>
      <c r="C768" t="s">
        <v>34</v>
      </c>
      <c r="D768" s="1">
        <v>46148.625</v>
      </c>
      <c r="E768">
        <v>7400</v>
      </c>
      <c r="F768" t="s">
        <v>36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5</v>
      </c>
      <c r="M768">
        <v>194.6</v>
      </c>
      <c r="N768">
        <v>5</v>
      </c>
      <c r="O768">
        <v>202.1</v>
      </c>
      <c r="P768">
        <v>0</v>
      </c>
      <c r="Q768">
        <v>0</v>
      </c>
      <c r="R768">
        <v>0</v>
      </c>
      <c r="S768">
        <v>0</v>
      </c>
      <c r="T768">
        <v>0.1696</v>
      </c>
      <c r="U768">
        <v>-0.98370000000000002</v>
      </c>
      <c r="V768">
        <v>4.0000000000000002E-4</v>
      </c>
      <c r="W768">
        <v>-0.46310000000000001</v>
      </c>
      <c r="X768">
        <v>0.24099999999999999</v>
      </c>
      <c r="Y768">
        <v>-0.40489999999999998</v>
      </c>
      <c r="Z768">
        <v>3</v>
      </c>
      <c r="AA768">
        <v>193.1</v>
      </c>
      <c r="AB768">
        <v>3</v>
      </c>
      <c r="AC768">
        <v>209.1</v>
      </c>
      <c r="AD768">
        <v>0</v>
      </c>
      <c r="AE768">
        <v>0</v>
      </c>
      <c r="AF768">
        <v>0</v>
      </c>
      <c r="AG768">
        <v>0</v>
      </c>
      <c r="AH768">
        <v>0</v>
      </c>
    </row>
    <row r="769" spans="1:34" x14ac:dyDescent="0.35">
      <c r="A769" t="s">
        <v>34</v>
      </c>
      <c r="B769" s="1">
        <v>46146.65625</v>
      </c>
      <c r="C769" t="s">
        <v>34</v>
      </c>
      <c r="D769" s="1">
        <v>46148.625</v>
      </c>
      <c r="E769">
        <v>7405</v>
      </c>
      <c r="F769" t="s">
        <v>36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196.1</v>
      </c>
      <c r="N769">
        <v>2</v>
      </c>
      <c r="O769">
        <v>209.3</v>
      </c>
      <c r="P769">
        <v>0</v>
      </c>
      <c r="Q769">
        <v>0</v>
      </c>
      <c r="R769">
        <v>0</v>
      </c>
      <c r="S769">
        <v>0</v>
      </c>
      <c r="T769">
        <v>0.27560000000000001</v>
      </c>
      <c r="U769">
        <v>-0.91039999999999999</v>
      </c>
      <c r="V769">
        <v>1.1000000000000001E-3</v>
      </c>
      <c r="W769">
        <v>-4.8323999999999998</v>
      </c>
      <c r="X769">
        <v>0.88429999999999997</v>
      </c>
      <c r="Y769">
        <v>-0.37719999999999998</v>
      </c>
      <c r="Z769">
        <v>3</v>
      </c>
      <c r="AA769">
        <v>198.1</v>
      </c>
      <c r="AB769">
        <v>1</v>
      </c>
      <c r="AC769">
        <v>212.7</v>
      </c>
      <c r="AD769">
        <v>0</v>
      </c>
      <c r="AE769">
        <v>0</v>
      </c>
      <c r="AF769">
        <v>0</v>
      </c>
      <c r="AG769">
        <v>0</v>
      </c>
      <c r="AH769">
        <v>0</v>
      </c>
    </row>
    <row r="770" spans="1:34" x14ac:dyDescent="0.35">
      <c r="A770" t="s">
        <v>34</v>
      </c>
      <c r="B770" s="1">
        <v>46146.65625</v>
      </c>
      <c r="C770" t="s">
        <v>34</v>
      </c>
      <c r="D770" s="1">
        <v>46148.625</v>
      </c>
      <c r="E770">
        <v>7410</v>
      </c>
      <c r="F770" t="s">
        <v>36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201.1</v>
      </c>
      <c r="N770">
        <v>1</v>
      </c>
      <c r="O770">
        <v>215.6</v>
      </c>
      <c r="P770">
        <v>0</v>
      </c>
      <c r="Q770">
        <v>0</v>
      </c>
      <c r="R770">
        <v>0</v>
      </c>
      <c r="S770">
        <v>0</v>
      </c>
      <c r="T770">
        <v>0.18709999999999999</v>
      </c>
      <c r="U770">
        <v>-0.97889999999999999</v>
      </c>
      <c r="V770">
        <v>5.0000000000000001E-4</v>
      </c>
      <c r="W770">
        <v>-0.68740000000000001</v>
      </c>
      <c r="X770">
        <v>0.2944</v>
      </c>
      <c r="Y770">
        <v>-0.40379999999999999</v>
      </c>
      <c r="Z770">
        <v>3</v>
      </c>
      <c r="AA770">
        <v>200.2</v>
      </c>
      <c r="AB770">
        <v>1</v>
      </c>
      <c r="AC770">
        <v>217.7</v>
      </c>
      <c r="AD770">
        <v>0</v>
      </c>
      <c r="AE770">
        <v>0</v>
      </c>
      <c r="AF770">
        <v>0</v>
      </c>
      <c r="AG770">
        <v>0</v>
      </c>
      <c r="AH770">
        <v>0</v>
      </c>
    </row>
    <row r="771" spans="1:34" x14ac:dyDescent="0.35">
      <c r="A771" t="s">
        <v>34</v>
      </c>
      <c r="B771" s="1">
        <v>46146.65625</v>
      </c>
      <c r="C771" t="s">
        <v>34</v>
      </c>
      <c r="D771" s="1">
        <v>46148.625</v>
      </c>
      <c r="E771">
        <v>7415</v>
      </c>
      <c r="F771" t="s">
        <v>36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206.1</v>
      </c>
      <c r="N771">
        <v>1</v>
      </c>
      <c r="O771">
        <v>220.5</v>
      </c>
      <c r="P771">
        <v>0</v>
      </c>
      <c r="Q771">
        <v>0</v>
      </c>
      <c r="R771">
        <v>0</v>
      </c>
      <c r="S771">
        <v>0</v>
      </c>
      <c r="T771">
        <v>0.18970000000000001</v>
      </c>
      <c r="U771">
        <v>-0.97989999999999999</v>
      </c>
      <c r="V771">
        <v>5.0000000000000001E-4</v>
      </c>
      <c r="W771">
        <v>-0.66080000000000005</v>
      </c>
      <c r="X771">
        <v>0.28289999999999998</v>
      </c>
      <c r="Y771">
        <v>-0.40450000000000003</v>
      </c>
      <c r="Z771">
        <v>3</v>
      </c>
      <c r="AA771">
        <v>204.1</v>
      </c>
      <c r="AB771">
        <v>1</v>
      </c>
      <c r="AC771">
        <v>223.6</v>
      </c>
      <c r="AD771">
        <v>0</v>
      </c>
      <c r="AE771">
        <v>0</v>
      </c>
      <c r="AF771">
        <v>0</v>
      </c>
      <c r="AG771">
        <v>0</v>
      </c>
      <c r="AH771">
        <v>0</v>
      </c>
    </row>
    <row r="772" spans="1:34" x14ac:dyDescent="0.35">
      <c r="A772" t="s">
        <v>34</v>
      </c>
      <c r="B772" s="1">
        <v>46146.65625</v>
      </c>
      <c r="C772" t="s">
        <v>34</v>
      </c>
      <c r="D772" s="1">
        <v>46148.625</v>
      </c>
      <c r="E772">
        <v>7420</v>
      </c>
      <c r="F772" t="s">
        <v>36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208.7</v>
      </c>
      <c r="N772">
        <v>1</v>
      </c>
      <c r="O772">
        <v>227.4</v>
      </c>
      <c r="P772">
        <v>0</v>
      </c>
      <c r="Q772">
        <v>0</v>
      </c>
      <c r="R772">
        <v>0</v>
      </c>
      <c r="S772">
        <v>0</v>
      </c>
      <c r="T772">
        <v>0.185</v>
      </c>
      <c r="U772">
        <v>-0.98429999999999995</v>
      </c>
      <c r="V772">
        <v>4.0000000000000002E-4</v>
      </c>
      <c r="W772">
        <v>-0.48509999999999998</v>
      </c>
      <c r="X772">
        <v>0.23180000000000001</v>
      </c>
      <c r="Y772">
        <v>-0.40660000000000002</v>
      </c>
      <c r="Z772">
        <v>3</v>
      </c>
      <c r="AA772">
        <v>209.1</v>
      </c>
      <c r="AB772">
        <v>1</v>
      </c>
      <c r="AC772">
        <v>228.6</v>
      </c>
      <c r="AD772">
        <v>0</v>
      </c>
      <c r="AE772">
        <v>0</v>
      </c>
      <c r="AF772">
        <v>0</v>
      </c>
      <c r="AG772">
        <v>0</v>
      </c>
      <c r="AH772">
        <v>0</v>
      </c>
    </row>
    <row r="773" spans="1:34" x14ac:dyDescent="0.35">
      <c r="A773" t="s">
        <v>34</v>
      </c>
      <c r="B773" s="1">
        <v>46146.65625</v>
      </c>
      <c r="C773" t="s">
        <v>34</v>
      </c>
      <c r="D773" s="1">
        <v>46148.625</v>
      </c>
      <c r="E773">
        <v>7425</v>
      </c>
      <c r="F773" t="s">
        <v>36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212.5</v>
      </c>
      <c r="N773">
        <v>1</v>
      </c>
      <c r="O773">
        <v>231.7</v>
      </c>
      <c r="P773">
        <v>0</v>
      </c>
      <c r="Q773">
        <v>0</v>
      </c>
      <c r="R773">
        <v>0</v>
      </c>
      <c r="S773">
        <v>0</v>
      </c>
      <c r="T773">
        <v>0.32369999999999999</v>
      </c>
      <c r="U773">
        <v>-0.89449999999999996</v>
      </c>
      <c r="V773">
        <v>1.1000000000000001E-3</v>
      </c>
      <c r="W773">
        <v>-6.6841999999999997</v>
      </c>
      <c r="X773">
        <v>0.99060000000000004</v>
      </c>
      <c r="Y773">
        <v>-0.37259999999999999</v>
      </c>
      <c r="Z773">
        <v>1</v>
      </c>
      <c r="AA773">
        <v>215</v>
      </c>
      <c r="AB773">
        <v>3</v>
      </c>
      <c r="AC773">
        <v>238.1</v>
      </c>
      <c r="AD773">
        <v>0</v>
      </c>
      <c r="AE773">
        <v>0</v>
      </c>
      <c r="AF773">
        <v>0</v>
      </c>
      <c r="AG773">
        <v>0</v>
      </c>
      <c r="AH773">
        <v>0</v>
      </c>
    </row>
    <row r="774" spans="1:34" x14ac:dyDescent="0.35">
      <c r="A774" t="s">
        <v>34</v>
      </c>
      <c r="B774" s="1">
        <v>46146.65625</v>
      </c>
      <c r="C774" t="s">
        <v>34</v>
      </c>
      <c r="D774" s="1">
        <v>46148.625</v>
      </c>
      <c r="E774">
        <v>7430</v>
      </c>
      <c r="F774" t="s">
        <v>36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217.9</v>
      </c>
      <c r="N774">
        <v>2</v>
      </c>
      <c r="O774">
        <v>238.2</v>
      </c>
      <c r="P774">
        <v>0</v>
      </c>
      <c r="Q774">
        <v>0</v>
      </c>
      <c r="R774">
        <v>0</v>
      </c>
      <c r="S774">
        <v>0</v>
      </c>
      <c r="T774">
        <v>0.1923</v>
      </c>
      <c r="U774">
        <v>-0.98470000000000002</v>
      </c>
      <c r="V774">
        <v>4.0000000000000002E-4</v>
      </c>
      <c r="W774">
        <v>-0.48680000000000001</v>
      </c>
      <c r="X774">
        <v>0.22509999999999999</v>
      </c>
      <c r="Y774">
        <v>-0.40749999999999997</v>
      </c>
      <c r="Z774">
        <v>3</v>
      </c>
      <c r="AA774">
        <v>219.1</v>
      </c>
      <c r="AB774">
        <v>1</v>
      </c>
      <c r="AC774">
        <v>238.6</v>
      </c>
      <c r="AD774">
        <v>0</v>
      </c>
      <c r="AE774">
        <v>0</v>
      </c>
      <c r="AF774">
        <v>0</v>
      </c>
      <c r="AG774">
        <v>0</v>
      </c>
      <c r="AH774">
        <v>0</v>
      </c>
    </row>
    <row r="775" spans="1:34" x14ac:dyDescent="0.35">
      <c r="A775" t="s">
        <v>34</v>
      </c>
      <c r="B775" s="1">
        <v>46146.65625</v>
      </c>
      <c r="C775" t="s">
        <v>34</v>
      </c>
      <c r="D775" s="1">
        <v>46148.625</v>
      </c>
      <c r="E775">
        <v>7435</v>
      </c>
      <c r="F775" t="s">
        <v>36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222.5</v>
      </c>
      <c r="N775">
        <v>1</v>
      </c>
      <c r="O775">
        <v>242.7</v>
      </c>
      <c r="P775">
        <v>0</v>
      </c>
      <c r="Q775">
        <v>0</v>
      </c>
      <c r="R775">
        <v>0</v>
      </c>
      <c r="S775">
        <v>0</v>
      </c>
      <c r="T775">
        <v>0.34429999999999999</v>
      </c>
      <c r="U775">
        <v>-0.89</v>
      </c>
      <c r="V775">
        <v>1E-3</v>
      </c>
      <c r="W775">
        <v>-7.4046000000000003</v>
      </c>
      <c r="X775">
        <v>1.0188999999999999</v>
      </c>
      <c r="Y775">
        <v>-0.37169999999999997</v>
      </c>
      <c r="Z775">
        <v>2</v>
      </c>
      <c r="AA775">
        <v>224.1</v>
      </c>
      <c r="AB775">
        <v>1</v>
      </c>
      <c r="AC775">
        <v>242.7</v>
      </c>
      <c r="AD775">
        <v>0</v>
      </c>
      <c r="AE775">
        <v>0</v>
      </c>
      <c r="AF775">
        <v>0</v>
      </c>
      <c r="AG775">
        <v>0</v>
      </c>
      <c r="AH775">
        <v>0</v>
      </c>
    </row>
    <row r="776" spans="1:34" x14ac:dyDescent="0.35">
      <c r="A776" t="s">
        <v>34</v>
      </c>
      <c r="B776" s="1">
        <v>46146.65625</v>
      </c>
      <c r="C776" t="s">
        <v>34</v>
      </c>
      <c r="D776" s="1">
        <v>46148.625</v>
      </c>
      <c r="E776">
        <v>7440</v>
      </c>
      <c r="F776" t="s">
        <v>36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227.5</v>
      </c>
      <c r="N776">
        <v>1</v>
      </c>
      <c r="O776">
        <v>247.7</v>
      </c>
      <c r="P776">
        <v>0</v>
      </c>
      <c r="Q776">
        <v>0</v>
      </c>
      <c r="R776">
        <v>0</v>
      </c>
      <c r="S776">
        <v>0</v>
      </c>
      <c r="T776">
        <v>0.16059999999999999</v>
      </c>
      <c r="U776">
        <v>-0.99660000000000004</v>
      </c>
      <c r="V776">
        <v>1E-4</v>
      </c>
      <c r="W776">
        <v>-5.5199999999999999E-2</v>
      </c>
      <c r="X776">
        <v>6.5000000000000002E-2</v>
      </c>
      <c r="Y776">
        <v>-0.4128</v>
      </c>
      <c r="Z776">
        <v>2</v>
      </c>
      <c r="AA776">
        <v>229.1</v>
      </c>
      <c r="AB776">
        <v>1</v>
      </c>
      <c r="AC776">
        <v>247.7</v>
      </c>
      <c r="AD776">
        <v>0</v>
      </c>
      <c r="AE776">
        <v>0</v>
      </c>
      <c r="AF776">
        <v>0</v>
      </c>
      <c r="AG776">
        <v>0</v>
      </c>
      <c r="AH776">
        <v>0</v>
      </c>
    </row>
    <row r="777" spans="1:34" x14ac:dyDescent="0.35">
      <c r="A777" t="s">
        <v>34</v>
      </c>
      <c r="B777" s="1">
        <v>46146.65625</v>
      </c>
      <c r="C777" t="s">
        <v>34</v>
      </c>
      <c r="D777" s="1">
        <v>46148.625</v>
      </c>
      <c r="E777">
        <v>7445</v>
      </c>
      <c r="F777" t="s">
        <v>36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232.5</v>
      </c>
      <c r="N777">
        <v>1</v>
      </c>
      <c r="O777">
        <v>252.2</v>
      </c>
      <c r="P777">
        <v>0</v>
      </c>
      <c r="Q777">
        <v>0</v>
      </c>
      <c r="R777">
        <v>0</v>
      </c>
      <c r="S777">
        <v>0</v>
      </c>
      <c r="T777">
        <v>0.35070000000000001</v>
      </c>
      <c r="U777">
        <v>-0.89510000000000001</v>
      </c>
      <c r="V777">
        <v>1E-3</v>
      </c>
      <c r="W777">
        <v>-7.1961000000000004</v>
      </c>
      <c r="X777">
        <v>0.98440000000000005</v>
      </c>
      <c r="Y777">
        <v>-0.37440000000000001</v>
      </c>
      <c r="Z777">
        <v>1</v>
      </c>
      <c r="AA777">
        <v>235.4</v>
      </c>
      <c r="AB777">
        <v>2</v>
      </c>
      <c r="AC777">
        <v>258.10000000000002</v>
      </c>
      <c r="AD777">
        <v>0</v>
      </c>
      <c r="AE777">
        <v>0</v>
      </c>
      <c r="AF777">
        <v>0</v>
      </c>
      <c r="AG777">
        <v>0</v>
      </c>
      <c r="AH777">
        <v>0</v>
      </c>
    </row>
    <row r="778" spans="1:34" x14ac:dyDescent="0.35">
      <c r="A778" t="s">
        <v>34</v>
      </c>
      <c r="B778" s="1">
        <v>46146.65625</v>
      </c>
      <c r="C778" t="s">
        <v>34</v>
      </c>
      <c r="D778" s="1">
        <v>46148.625</v>
      </c>
      <c r="E778">
        <v>7450</v>
      </c>
      <c r="F778" t="s">
        <v>36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237.5</v>
      </c>
      <c r="N778">
        <v>1</v>
      </c>
      <c r="O778">
        <v>256.7</v>
      </c>
      <c r="P778">
        <v>0</v>
      </c>
      <c r="Q778">
        <v>0</v>
      </c>
      <c r="R778">
        <v>0</v>
      </c>
      <c r="S778">
        <v>0</v>
      </c>
      <c r="T778">
        <v>0.35599999999999998</v>
      </c>
      <c r="U778">
        <v>-0.89580000000000004</v>
      </c>
      <c r="V778">
        <v>8.9999999999999998E-4</v>
      </c>
      <c r="W778">
        <v>-7.2591000000000001</v>
      </c>
      <c r="X778">
        <v>0.97889999999999999</v>
      </c>
      <c r="Y778">
        <v>-0.37469999999999998</v>
      </c>
      <c r="Z778">
        <v>1</v>
      </c>
      <c r="AA778">
        <v>240</v>
      </c>
      <c r="AB778">
        <v>1</v>
      </c>
      <c r="AC778">
        <v>263</v>
      </c>
      <c r="AD778">
        <v>0</v>
      </c>
      <c r="AE778">
        <v>0</v>
      </c>
      <c r="AF778">
        <v>0</v>
      </c>
      <c r="AG778">
        <v>0</v>
      </c>
      <c r="AH778">
        <v>0</v>
      </c>
    </row>
    <row r="779" spans="1:34" x14ac:dyDescent="0.35">
      <c r="A779" t="s">
        <v>34</v>
      </c>
      <c r="B779" s="1">
        <v>46146.65625</v>
      </c>
      <c r="C779" t="s">
        <v>34</v>
      </c>
      <c r="D779" s="1">
        <v>46148.625</v>
      </c>
      <c r="E779">
        <v>7460</v>
      </c>
      <c r="F779" t="s">
        <v>36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247.5</v>
      </c>
      <c r="N779">
        <v>1</v>
      </c>
      <c r="O779">
        <v>267.5</v>
      </c>
      <c r="P779">
        <v>0</v>
      </c>
      <c r="Q779">
        <v>0</v>
      </c>
      <c r="R779">
        <v>0</v>
      </c>
      <c r="S779">
        <v>0</v>
      </c>
      <c r="T779">
        <v>0.37459999999999999</v>
      </c>
      <c r="U779">
        <v>-0.89290000000000003</v>
      </c>
      <c r="V779">
        <v>8.9999999999999998E-4</v>
      </c>
      <c r="W779">
        <v>-7.8468999999999998</v>
      </c>
      <c r="X779">
        <v>0.99739999999999995</v>
      </c>
      <c r="Y779">
        <v>-0.37440000000000001</v>
      </c>
      <c r="Z779">
        <v>3</v>
      </c>
      <c r="AA779">
        <v>249</v>
      </c>
      <c r="AB779">
        <v>1</v>
      </c>
      <c r="AC779">
        <v>267.7</v>
      </c>
      <c r="AD779">
        <v>0</v>
      </c>
      <c r="AE779">
        <v>0</v>
      </c>
      <c r="AF779">
        <v>0</v>
      </c>
      <c r="AG779">
        <v>0</v>
      </c>
      <c r="AH779">
        <v>0</v>
      </c>
    </row>
    <row r="780" spans="1:34" x14ac:dyDescent="0.35">
      <c r="A780" t="s">
        <v>34</v>
      </c>
      <c r="B780" s="1">
        <v>46146.65625</v>
      </c>
      <c r="C780" t="s">
        <v>34</v>
      </c>
      <c r="D780" s="1">
        <v>46148.625</v>
      </c>
      <c r="E780">
        <v>7470</v>
      </c>
      <c r="F780" t="s">
        <v>36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257.10000000000002</v>
      </c>
      <c r="N780">
        <v>1</v>
      </c>
      <c r="O780">
        <v>276.10000000000002</v>
      </c>
      <c r="P780">
        <v>0</v>
      </c>
      <c r="Q780">
        <v>0</v>
      </c>
      <c r="R780">
        <v>0</v>
      </c>
      <c r="S780">
        <v>0</v>
      </c>
      <c r="T780">
        <v>0.36549999999999999</v>
      </c>
      <c r="U780">
        <v>-0.90739999999999998</v>
      </c>
      <c r="V780">
        <v>8.0000000000000004E-4</v>
      </c>
      <c r="W780">
        <v>-6.6166999999999998</v>
      </c>
      <c r="X780">
        <v>0.89810000000000001</v>
      </c>
      <c r="Y780">
        <v>-0.38080000000000003</v>
      </c>
      <c r="Z780">
        <v>1</v>
      </c>
      <c r="AA780">
        <v>259.3</v>
      </c>
      <c r="AB780">
        <v>3</v>
      </c>
      <c r="AC780">
        <v>283</v>
      </c>
      <c r="AD780">
        <v>0</v>
      </c>
      <c r="AE780">
        <v>0</v>
      </c>
      <c r="AF780">
        <v>0</v>
      </c>
      <c r="AG780">
        <v>6</v>
      </c>
      <c r="AH780">
        <v>0</v>
      </c>
    </row>
    <row r="781" spans="1:34" x14ac:dyDescent="0.35">
      <c r="A781" t="s">
        <v>34</v>
      </c>
      <c r="B781" s="1">
        <v>46146.65625</v>
      </c>
      <c r="C781" t="s">
        <v>34</v>
      </c>
      <c r="D781" s="1">
        <v>46148.625</v>
      </c>
      <c r="E781">
        <v>7475</v>
      </c>
      <c r="F781" t="s">
        <v>36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262.39999999999998</v>
      </c>
      <c r="N781">
        <v>1</v>
      </c>
      <c r="O781">
        <v>282.39999999999998</v>
      </c>
      <c r="P781">
        <v>0</v>
      </c>
      <c r="Q781">
        <v>0</v>
      </c>
      <c r="R781">
        <v>0</v>
      </c>
      <c r="S781">
        <v>0</v>
      </c>
      <c r="T781">
        <v>0.38900000000000001</v>
      </c>
      <c r="U781">
        <v>-0.89700000000000002</v>
      </c>
      <c r="V781">
        <v>8.9999999999999998E-4</v>
      </c>
      <c r="W781">
        <v>-7.8395000000000001</v>
      </c>
      <c r="X781">
        <v>0.96919999999999995</v>
      </c>
      <c r="Y781">
        <v>-0.37709999999999999</v>
      </c>
      <c r="Z781">
        <v>3</v>
      </c>
      <c r="AA781">
        <v>264</v>
      </c>
      <c r="AB781">
        <v>1</v>
      </c>
      <c r="AC781">
        <v>282.8</v>
      </c>
      <c r="AD781">
        <v>0</v>
      </c>
      <c r="AE781">
        <v>0</v>
      </c>
      <c r="AF781">
        <v>0</v>
      </c>
      <c r="AG781">
        <v>0</v>
      </c>
      <c r="AH781">
        <v>0</v>
      </c>
    </row>
    <row r="782" spans="1:34" x14ac:dyDescent="0.35">
      <c r="A782" t="s">
        <v>34</v>
      </c>
      <c r="B782" s="1">
        <v>46146.65625</v>
      </c>
      <c r="C782" t="s">
        <v>34</v>
      </c>
      <c r="D782" s="1">
        <v>46148.625</v>
      </c>
      <c r="E782">
        <v>7480</v>
      </c>
      <c r="F782" t="s">
        <v>36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267.39999999999998</v>
      </c>
      <c r="N782">
        <v>1</v>
      </c>
      <c r="O782">
        <v>287.39999999999998</v>
      </c>
      <c r="P782">
        <v>0</v>
      </c>
      <c r="Q782">
        <v>0</v>
      </c>
      <c r="R782">
        <v>0</v>
      </c>
      <c r="S782">
        <v>0</v>
      </c>
      <c r="T782">
        <v>0.39410000000000001</v>
      </c>
      <c r="U782">
        <v>-0.89800000000000002</v>
      </c>
      <c r="V782">
        <v>8.0000000000000004E-4</v>
      </c>
      <c r="W782">
        <v>-7.8587999999999996</v>
      </c>
      <c r="X782">
        <v>0.96160000000000001</v>
      </c>
      <c r="Y782">
        <v>-0.37790000000000001</v>
      </c>
      <c r="Z782">
        <v>3</v>
      </c>
      <c r="AA782">
        <v>269</v>
      </c>
      <c r="AB782">
        <v>1</v>
      </c>
      <c r="AC782">
        <v>287.7</v>
      </c>
      <c r="AD782">
        <v>0</v>
      </c>
      <c r="AE782">
        <v>0</v>
      </c>
      <c r="AF782">
        <v>0</v>
      </c>
      <c r="AG782">
        <v>0</v>
      </c>
      <c r="AH782">
        <v>0</v>
      </c>
    </row>
    <row r="783" spans="1:34" x14ac:dyDescent="0.35">
      <c r="A783" t="s">
        <v>34</v>
      </c>
      <c r="B783" s="1">
        <v>46146.65625</v>
      </c>
      <c r="C783" t="s">
        <v>34</v>
      </c>
      <c r="D783" s="1">
        <v>46148.625</v>
      </c>
      <c r="E783">
        <v>7490</v>
      </c>
      <c r="F783" t="s">
        <v>36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277.7</v>
      </c>
      <c r="N783">
        <v>1</v>
      </c>
      <c r="O783">
        <v>297.7</v>
      </c>
      <c r="P783">
        <v>0</v>
      </c>
      <c r="Q783">
        <v>0</v>
      </c>
      <c r="R783">
        <v>0</v>
      </c>
      <c r="S783">
        <v>0</v>
      </c>
      <c r="T783">
        <v>0.2077</v>
      </c>
      <c r="U783">
        <v>-0.99419999999999997</v>
      </c>
      <c r="V783">
        <v>2.0000000000000001E-4</v>
      </c>
      <c r="W783">
        <v>-0.15909999999999999</v>
      </c>
      <c r="X783">
        <v>9.8699999999999996E-2</v>
      </c>
      <c r="Y783">
        <v>-0.41560000000000002</v>
      </c>
      <c r="Z783">
        <v>1</v>
      </c>
      <c r="AA783">
        <v>279.5</v>
      </c>
      <c r="AB783">
        <v>1</v>
      </c>
      <c r="AC783">
        <v>297.7</v>
      </c>
      <c r="AD783">
        <v>0</v>
      </c>
      <c r="AE783">
        <v>0</v>
      </c>
      <c r="AF783">
        <v>0</v>
      </c>
      <c r="AG783">
        <v>0</v>
      </c>
      <c r="AH783">
        <v>0</v>
      </c>
    </row>
    <row r="784" spans="1:34" x14ac:dyDescent="0.35">
      <c r="A784" t="s">
        <v>34</v>
      </c>
      <c r="B784" s="1">
        <v>46146.65625</v>
      </c>
      <c r="C784" t="s">
        <v>34</v>
      </c>
      <c r="D784" s="1">
        <v>46148.625</v>
      </c>
      <c r="E784">
        <v>7500</v>
      </c>
      <c r="F784" t="s">
        <v>36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287.39999999999998</v>
      </c>
      <c r="N784">
        <v>1</v>
      </c>
      <c r="O784">
        <v>305.7</v>
      </c>
      <c r="P784">
        <v>0</v>
      </c>
      <c r="Q784">
        <v>0</v>
      </c>
      <c r="R784">
        <v>0</v>
      </c>
      <c r="S784">
        <v>0</v>
      </c>
      <c r="T784">
        <v>0.38850000000000001</v>
      </c>
      <c r="U784">
        <v>-0.91669999999999996</v>
      </c>
      <c r="V784">
        <v>6.9999999999999999E-4</v>
      </c>
      <c r="W784">
        <v>-6.3070000000000004</v>
      </c>
      <c r="X784">
        <v>0.83069999999999999</v>
      </c>
      <c r="Y784">
        <v>-0.38690000000000002</v>
      </c>
      <c r="Z784">
        <v>3</v>
      </c>
      <c r="AA784">
        <v>289</v>
      </c>
      <c r="AB784">
        <v>1</v>
      </c>
      <c r="AC784">
        <v>312.3</v>
      </c>
      <c r="AD784">
        <v>0</v>
      </c>
      <c r="AE784">
        <v>0</v>
      </c>
      <c r="AF784">
        <v>0</v>
      </c>
      <c r="AG784">
        <v>6</v>
      </c>
      <c r="AH784">
        <v>0</v>
      </c>
    </row>
    <row r="785" spans="1:34" x14ac:dyDescent="0.35">
      <c r="A785" t="s">
        <v>34</v>
      </c>
      <c r="B785" s="1">
        <v>46146.65625</v>
      </c>
      <c r="C785" t="s">
        <v>34</v>
      </c>
      <c r="D785" s="1">
        <v>46148.625</v>
      </c>
      <c r="E785">
        <v>7510</v>
      </c>
      <c r="F785" t="s">
        <v>36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297.39999999999998</v>
      </c>
      <c r="N785">
        <v>1</v>
      </c>
      <c r="O785">
        <v>317.60000000000002</v>
      </c>
      <c r="P785">
        <v>0</v>
      </c>
      <c r="Q785">
        <v>0</v>
      </c>
      <c r="R785">
        <v>0</v>
      </c>
      <c r="S785">
        <v>0</v>
      </c>
      <c r="T785">
        <v>0.41699999999999998</v>
      </c>
      <c r="U785">
        <v>-0.90849999999999997</v>
      </c>
      <c r="V785">
        <v>6.9999999999999999E-4</v>
      </c>
      <c r="W785">
        <v>-7.4508999999999999</v>
      </c>
      <c r="X785">
        <v>0.88790000000000002</v>
      </c>
      <c r="Y785">
        <v>-0.38429999999999997</v>
      </c>
      <c r="Z785">
        <v>2</v>
      </c>
      <c r="AA785">
        <v>299</v>
      </c>
      <c r="AB785">
        <v>1</v>
      </c>
      <c r="AC785">
        <v>317.60000000000002</v>
      </c>
      <c r="AD785">
        <v>0</v>
      </c>
      <c r="AE785">
        <v>0</v>
      </c>
      <c r="AF785">
        <v>0</v>
      </c>
      <c r="AG785">
        <v>0</v>
      </c>
      <c r="AH785">
        <v>0</v>
      </c>
    </row>
    <row r="786" spans="1:34" x14ac:dyDescent="0.35">
      <c r="A786" t="s">
        <v>34</v>
      </c>
      <c r="B786" s="1">
        <v>46146.65625</v>
      </c>
      <c r="C786" t="s">
        <v>34</v>
      </c>
      <c r="D786" s="1">
        <v>46148.625</v>
      </c>
      <c r="E786">
        <v>7520</v>
      </c>
      <c r="F786" t="s">
        <v>36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307.39999999999998</v>
      </c>
      <c r="N786">
        <v>1</v>
      </c>
      <c r="O786">
        <v>327.10000000000002</v>
      </c>
      <c r="P786">
        <v>0</v>
      </c>
      <c r="Q786">
        <v>0</v>
      </c>
      <c r="R786">
        <v>0</v>
      </c>
      <c r="S786">
        <v>0</v>
      </c>
      <c r="T786">
        <v>0.4209</v>
      </c>
      <c r="U786">
        <v>-0.9133</v>
      </c>
      <c r="V786">
        <v>6.9999999999999999E-4</v>
      </c>
      <c r="W786">
        <v>-7.1182999999999996</v>
      </c>
      <c r="X786">
        <v>0.85370000000000001</v>
      </c>
      <c r="Y786">
        <v>-0.38690000000000002</v>
      </c>
      <c r="Z786">
        <v>1</v>
      </c>
      <c r="AA786">
        <v>310.39999999999998</v>
      </c>
      <c r="AB786">
        <v>1</v>
      </c>
      <c r="AC786">
        <v>332.3</v>
      </c>
      <c r="AD786">
        <v>0</v>
      </c>
      <c r="AE786">
        <v>0</v>
      </c>
      <c r="AF786">
        <v>0</v>
      </c>
      <c r="AG786">
        <v>0</v>
      </c>
      <c r="AH786">
        <v>0</v>
      </c>
    </row>
    <row r="787" spans="1:34" x14ac:dyDescent="0.35">
      <c r="A787" t="s">
        <v>34</v>
      </c>
      <c r="B787" s="1">
        <v>46146.65625</v>
      </c>
      <c r="C787" t="s">
        <v>34</v>
      </c>
      <c r="D787" s="1">
        <v>46148.625</v>
      </c>
      <c r="E787">
        <v>7525</v>
      </c>
      <c r="F787" t="s">
        <v>36</v>
      </c>
      <c r="G787">
        <v>325.86</v>
      </c>
      <c r="H787">
        <v>325.86</v>
      </c>
      <c r="I787">
        <v>325.86</v>
      </c>
      <c r="J787">
        <v>325.86</v>
      </c>
      <c r="K787">
        <v>1</v>
      </c>
      <c r="L787">
        <v>1</v>
      </c>
      <c r="M787">
        <v>312.39999999999998</v>
      </c>
      <c r="N787">
        <v>1</v>
      </c>
      <c r="O787">
        <v>332.4</v>
      </c>
      <c r="P787">
        <v>0</v>
      </c>
      <c r="Q787">
        <v>0</v>
      </c>
      <c r="R787">
        <v>0</v>
      </c>
      <c r="S787">
        <v>0</v>
      </c>
      <c r="T787">
        <v>0.43919999999999998</v>
      </c>
      <c r="U787">
        <v>-0.90649999999999997</v>
      </c>
      <c r="V787">
        <v>6.9999999999999999E-4</v>
      </c>
      <c r="W787">
        <v>-8.0140999999999991</v>
      </c>
      <c r="X787">
        <v>0.90049999999999997</v>
      </c>
      <c r="Y787">
        <v>-0.3846</v>
      </c>
      <c r="Z787">
        <v>3</v>
      </c>
      <c r="AA787">
        <v>314</v>
      </c>
      <c r="AB787">
        <v>1</v>
      </c>
      <c r="AC787">
        <v>332.8</v>
      </c>
      <c r="AD787">
        <v>0</v>
      </c>
      <c r="AE787">
        <v>0</v>
      </c>
      <c r="AF787">
        <v>325.86</v>
      </c>
      <c r="AG787">
        <v>0</v>
      </c>
      <c r="AH787">
        <v>0</v>
      </c>
    </row>
    <row r="788" spans="1:34" x14ac:dyDescent="0.35">
      <c r="A788" t="s">
        <v>34</v>
      </c>
      <c r="B788" s="1">
        <v>46146.65625</v>
      </c>
      <c r="C788" t="s">
        <v>34</v>
      </c>
      <c r="D788" s="1">
        <v>46148.625</v>
      </c>
      <c r="E788">
        <v>7550</v>
      </c>
      <c r="F788" t="s">
        <v>36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337.4</v>
      </c>
      <c r="N788">
        <v>1</v>
      </c>
      <c r="O788">
        <v>356.6</v>
      </c>
      <c r="P788">
        <v>0</v>
      </c>
      <c r="Q788">
        <v>0</v>
      </c>
      <c r="R788">
        <v>0</v>
      </c>
      <c r="S788">
        <v>0</v>
      </c>
      <c r="T788">
        <v>0.45119999999999999</v>
      </c>
      <c r="U788">
        <v>-0.91669999999999996</v>
      </c>
      <c r="V788">
        <v>5.9999999999999995E-4</v>
      </c>
      <c r="W788">
        <v>-7.3158000000000003</v>
      </c>
      <c r="X788">
        <v>0.82730000000000004</v>
      </c>
      <c r="Y788">
        <v>-0.39040000000000002</v>
      </c>
      <c r="Z788">
        <v>1</v>
      </c>
      <c r="AA788">
        <v>340</v>
      </c>
      <c r="AB788">
        <v>1</v>
      </c>
      <c r="AC788">
        <v>362.1</v>
      </c>
      <c r="AD788">
        <v>0</v>
      </c>
      <c r="AE788">
        <v>0</v>
      </c>
      <c r="AF788">
        <v>0</v>
      </c>
      <c r="AG788">
        <v>0</v>
      </c>
      <c r="AH788">
        <v>0</v>
      </c>
    </row>
    <row r="789" spans="1:34" x14ac:dyDescent="0.35">
      <c r="A789" t="s">
        <v>34</v>
      </c>
      <c r="B789" s="1">
        <v>46146.65625</v>
      </c>
      <c r="C789" t="s">
        <v>34</v>
      </c>
      <c r="D789" s="1">
        <v>46148.625</v>
      </c>
      <c r="E789">
        <v>7575</v>
      </c>
      <c r="F789" t="s">
        <v>36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362.5</v>
      </c>
      <c r="N789">
        <v>1</v>
      </c>
      <c r="O789">
        <v>381.8</v>
      </c>
      <c r="P789">
        <v>0</v>
      </c>
      <c r="Q789">
        <v>0</v>
      </c>
      <c r="R789">
        <v>0</v>
      </c>
      <c r="S789">
        <v>0</v>
      </c>
      <c r="T789">
        <v>0.48039999999999999</v>
      </c>
      <c r="U789">
        <v>-0.91749999999999998</v>
      </c>
      <c r="V789">
        <v>5.9999999999999995E-4</v>
      </c>
      <c r="W789">
        <v>-7.7156000000000002</v>
      </c>
      <c r="X789">
        <v>0.82079999999999997</v>
      </c>
      <c r="Y789">
        <v>-0.3926</v>
      </c>
      <c r="Z789">
        <v>1</v>
      </c>
      <c r="AA789">
        <v>365</v>
      </c>
      <c r="AB789">
        <v>3</v>
      </c>
      <c r="AC789">
        <v>388</v>
      </c>
      <c r="AD789">
        <v>0</v>
      </c>
      <c r="AE789">
        <v>0</v>
      </c>
      <c r="AF789">
        <v>0</v>
      </c>
      <c r="AG789">
        <v>0</v>
      </c>
      <c r="AH789">
        <v>0</v>
      </c>
    </row>
    <row r="790" spans="1:34" x14ac:dyDescent="0.35">
      <c r="A790" t="s">
        <v>34</v>
      </c>
      <c r="B790" s="1">
        <v>46146.65625</v>
      </c>
      <c r="C790" t="s">
        <v>34</v>
      </c>
      <c r="D790" s="1">
        <v>46148.625</v>
      </c>
      <c r="E790">
        <v>7600</v>
      </c>
      <c r="F790" t="s">
        <v>36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2</v>
      </c>
      <c r="M790">
        <v>388.1</v>
      </c>
      <c r="N790">
        <v>2</v>
      </c>
      <c r="O790">
        <v>408.2</v>
      </c>
      <c r="P790">
        <v>0</v>
      </c>
      <c r="Q790">
        <v>0</v>
      </c>
      <c r="R790">
        <v>0</v>
      </c>
      <c r="S790">
        <v>0</v>
      </c>
      <c r="T790">
        <v>0.318</v>
      </c>
      <c r="U790">
        <v>-0.98799999999999999</v>
      </c>
      <c r="V790">
        <v>2.0000000000000001E-4</v>
      </c>
      <c r="W790">
        <v>-0.60650000000000004</v>
      </c>
      <c r="X790">
        <v>0.17560000000000001</v>
      </c>
      <c r="Y790">
        <v>-0.4214</v>
      </c>
      <c r="Z790">
        <v>1</v>
      </c>
      <c r="AA790">
        <v>389.4</v>
      </c>
      <c r="AB790">
        <v>1</v>
      </c>
      <c r="AC790">
        <v>412.1</v>
      </c>
      <c r="AD790">
        <v>0</v>
      </c>
      <c r="AE790">
        <v>0</v>
      </c>
      <c r="AF790">
        <v>0</v>
      </c>
      <c r="AG790">
        <v>0</v>
      </c>
      <c r="AH790">
        <v>0</v>
      </c>
    </row>
    <row r="791" spans="1:34" x14ac:dyDescent="0.35">
      <c r="A791" t="s">
        <v>34</v>
      </c>
      <c r="B791" s="1">
        <v>46146.65625</v>
      </c>
      <c r="C791" t="s">
        <v>34</v>
      </c>
      <c r="D791" s="1">
        <v>46148.625</v>
      </c>
      <c r="E791">
        <v>7625</v>
      </c>
      <c r="F791" t="s">
        <v>36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412.4</v>
      </c>
      <c r="N791">
        <v>1</v>
      </c>
      <c r="O791">
        <v>431.7</v>
      </c>
      <c r="P791">
        <v>0</v>
      </c>
      <c r="Q791">
        <v>0</v>
      </c>
      <c r="R791">
        <v>0</v>
      </c>
      <c r="S791">
        <v>0</v>
      </c>
      <c r="T791">
        <v>0.52600000000000002</v>
      </c>
      <c r="U791">
        <v>-0.92400000000000004</v>
      </c>
      <c r="V791">
        <v>5.0000000000000001E-4</v>
      </c>
      <c r="W791">
        <v>-7.75</v>
      </c>
      <c r="X791">
        <v>0.76970000000000005</v>
      </c>
      <c r="Y791">
        <v>-0.39889999999999998</v>
      </c>
      <c r="Z791">
        <v>1</v>
      </c>
      <c r="AA791">
        <v>415</v>
      </c>
      <c r="AB791">
        <v>3</v>
      </c>
      <c r="AC791">
        <v>438</v>
      </c>
      <c r="AD791">
        <v>0</v>
      </c>
      <c r="AE791">
        <v>0</v>
      </c>
      <c r="AF791">
        <v>0</v>
      </c>
      <c r="AG791">
        <v>0</v>
      </c>
      <c r="AH791">
        <v>0</v>
      </c>
    </row>
    <row r="792" spans="1:34" x14ac:dyDescent="0.35">
      <c r="A792" t="s">
        <v>34</v>
      </c>
      <c r="B792" s="1">
        <v>46146.65625</v>
      </c>
      <c r="C792" t="s">
        <v>34</v>
      </c>
      <c r="D792" s="1">
        <v>46148.625</v>
      </c>
      <c r="E792">
        <v>7650</v>
      </c>
      <c r="F792" t="s">
        <v>36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437.2</v>
      </c>
      <c r="N792">
        <v>1</v>
      </c>
      <c r="O792">
        <v>457.7</v>
      </c>
      <c r="P792">
        <v>0</v>
      </c>
      <c r="Q792">
        <v>0</v>
      </c>
      <c r="R792">
        <v>0</v>
      </c>
      <c r="S792">
        <v>0</v>
      </c>
      <c r="T792">
        <v>0.56220000000000003</v>
      </c>
      <c r="U792">
        <v>-0.92149999999999999</v>
      </c>
      <c r="V792">
        <v>5.0000000000000001E-4</v>
      </c>
      <c r="W792">
        <v>-8.5550999999999995</v>
      </c>
      <c r="X792">
        <v>0.78759999999999997</v>
      </c>
      <c r="Y792">
        <v>-0.39989999999999998</v>
      </c>
      <c r="Z792">
        <v>1</v>
      </c>
      <c r="AA792">
        <v>439.4</v>
      </c>
      <c r="AB792">
        <v>1</v>
      </c>
      <c r="AC792">
        <v>457.7</v>
      </c>
      <c r="AD792">
        <v>0</v>
      </c>
      <c r="AE792">
        <v>0</v>
      </c>
      <c r="AF792">
        <v>0</v>
      </c>
      <c r="AG792">
        <v>0</v>
      </c>
      <c r="AH792">
        <v>0</v>
      </c>
    </row>
    <row r="793" spans="1:34" x14ac:dyDescent="0.35">
      <c r="A793" t="s">
        <v>34</v>
      </c>
      <c r="B793" s="1">
        <v>46146.65625</v>
      </c>
      <c r="C793" t="s">
        <v>34</v>
      </c>
      <c r="D793" s="1">
        <v>46148.625</v>
      </c>
      <c r="E793">
        <v>7675</v>
      </c>
      <c r="F793" t="s">
        <v>36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462.4</v>
      </c>
      <c r="N793">
        <v>1</v>
      </c>
      <c r="O793">
        <v>482.4</v>
      </c>
      <c r="P793">
        <v>0</v>
      </c>
      <c r="Q793">
        <v>0</v>
      </c>
      <c r="R793">
        <v>0</v>
      </c>
      <c r="S793">
        <v>0</v>
      </c>
      <c r="T793">
        <v>0.58120000000000005</v>
      </c>
      <c r="U793">
        <v>-0.92549999999999999</v>
      </c>
      <c r="V793">
        <v>5.0000000000000001E-4</v>
      </c>
      <c r="W793">
        <v>-8.3783999999999992</v>
      </c>
      <c r="X793">
        <v>0.75639999999999996</v>
      </c>
      <c r="Y793">
        <v>-0.40329999999999999</v>
      </c>
      <c r="Z793">
        <v>3</v>
      </c>
      <c r="AA793">
        <v>464</v>
      </c>
      <c r="AB793">
        <v>1</v>
      </c>
      <c r="AC793">
        <v>483.6</v>
      </c>
      <c r="AD793">
        <v>0</v>
      </c>
      <c r="AE793">
        <v>0</v>
      </c>
      <c r="AF793">
        <v>0</v>
      </c>
      <c r="AG793">
        <v>0</v>
      </c>
      <c r="AH793">
        <v>0</v>
      </c>
    </row>
    <row r="794" spans="1:34" x14ac:dyDescent="0.35">
      <c r="A794" t="s">
        <v>34</v>
      </c>
      <c r="B794" s="1">
        <v>46146.65625</v>
      </c>
      <c r="C794" t="s">
        <v>34</v>
      </c>
      <c r="D794" s="1">
        <v>46148.625</v>
      </c>
      <c r="E794">
        <v>7700</v>
      </c>
      <c r="F794" t="s">
        <v>36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488.3</v>
      </c>
      <c r="N794">
        <v>1</v>
      </c>
      <c r="O794">
        <v>506.6</v>
      </c>
      <c r="P794">
        <v>0</v>
      </c>
      <c r="Q794">
        <v>0</v>
      </c>
      <c r="R794">
        <v>0</v>
      </c>
      <c r="S794">
        <v>0</v>
      </c>
      <c r="T794">
        <v>0.5847</v>
      </c>
      <c r="U794">
        <v>-0.9345</v>
      </c>
      <c r="V794">
        <v>4.0000000000000002E-4</v>
      </c>
      <c r="W794">
        <v>-7.3659999999999997</v>
      </c>
      <c r="X794">
        <v>0.68610000000000004</v>
      </c>
      <c r="Y794">
        <v>-0.40889999999999999</v>
      </c>
      <c r="Z794">
        <v>1</v>
      </c>
      <c r="AA794">
        <v>489.9</v>
      </c>
      <c r="AB794">
        <v>3</v>
      </c>
      <c r="AC794">
        <v>513</v>
      </c>
      <c r="AD794">
        <v>0</v>
      </c>
      <c r="AE794">
        <v>0</v>
      </c>
      <c r="AF794">
        <v>0</v>
      </c>
      <c r="AG794">
        <v>0</v>
      </c>
      <c r="AH794">
        <v>0</v>
      </c>
    </row>
    <row r="795" spans="1:34" x14ac:dyDescent="0.35">
      <c r="A795" t="s">
        <v>34</v>
      </c>
      <c r="B795" s="1">
        <v>46146.65625</v>
      </c>
      <c r="C795" t="s">
        <v>34</v>
      </c>
      <c r="D795" s="1">
        <v>46148.625</v>
      </c>
      <c r="E795">
        <v>7725</v>
      </c>
      <c r="F795" t="s">
        <v>36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512.5</v>
      </c>
      <c r="N795">
        <v>1</v>
      </c>
      <c r="O795">
        <v>532.1</v>
      </c>
      <c r="P795">
        <v>0</v>
      </c>
      <c r="Q795">
        <v>0</v>
      </c>
      <c r="R795">
        <v>0</v>
      </c>
      <c r="S795">
        <v>0</v>
      </c>
      <c r="T795">
        <v>0.61419999999999997</v>
      </c>
      <c r="U795">
        <v>-0.93400000000000005</v>
      </c>
      <c r="V795">
        <v>4.0000000000000002E-4</v>
      </c>
      <c r="W795">
        <v>-7.7942</v>
      </c>
      <c r="X795">
        <v>0.68940000000000001</v>
      </c>
      <c r="Y795">
        <v>-0.41060000000000002</v>
      </c>
      <c r="Z795">
        <v>1</v>
      </c>
      <c r="AA795">
        <v>515.29999999999995</v>
      </c>
      <c r="AB795">
        <v>2</v>
      </c>
      <c r="AC795">
        <v>537.9</v>
      </c>
      <c r="AD795">
        <v>0</v>
      </c>
      <c r="AE795">
        <v>0</v>
      </c>
      <c r="AF795">
        <v>0</v>
      </c>
      <c r="AG795">
        <v>0</v>
      </c>
      <c r="AH795">
        <v>0</v>
      </c>
    </row>
    <row r="796" spans="1:34" x14ac:dyDescent="0.35">
      <c r="A796" t="s">
        <v>34</v>
      </c>
      <c r="B796" s="1">
        <v>46146.65625</v>
      </c>
      <c r="C796" t="s">
        <v>34</v>
      </c>
      <c r="D796" s="1">
        <v>46148.625</v>
      </c>
      <c r="E796">
        <v>7800</v>
      </c>
      <c r="F796" t="s">
        <v>36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588.29999999999995</v>
      </c>
      <c r="N796">
        <v>1</v>
      </c>
      <c r="O796">
        <v>607.29999999999995</v>
      </c>
      <c r="P796">
        <v>0</v>
      </c>
      <c r="Q796">
        <v>0</v>
      </c>
      <c r="R796">
        <v>0</v>
      </c>
      <c r="S796">
        <v>0</v>
      </c>
      <c r="T796">
        <v>0.41810000000000003</v>
      </c>
      <c r="U796">
        <v>-0.99450000000000005</v>
      </c>
      <c r="V796">
        <v>1E-4</v>
      </c>
      <c r="W796">
        <v>-0.29249999999999998</v>
      </c>
      <c r="X796">
        <v>8.6699999999999999E-2</v>
      </c>
      <c r="Y796">
        <v>-0.43890000000000001</v>
      </c>
      <c r="Z796">
        <v>3</v>
      </c>
      <c r="AA796">
        <v>588.9</v>
      </c>
      <c r="AB796">
        <v>1</v>
      </c>
      <c r="AC796">
        <v>607.79999999999995</v>
      </c>
      <c r="AD796">
        <v>0</v>
      </c>
      <c r="AE796">
        <v>0</v>
      </c>
      <c r="AF796">
        <v>0</v>
      </c>
      <c r="AG796">
        <v>0</v>
      </c>
      <c r="AH796">
        <v>0</v>
      </c>
    </row>
    <row r="797" spans="1:34" x14ac:dyDescent="0.35">
      <c r="A797" t="s">
        <v>34</v>
      </c>
      <c r="B797" s="1">
        <v>46146.65625</v>
      </c>
      <c r="C797" t="s">
        <v>34</v>
      </c>
      <c r="D797" s="1">
        <v>46148.625</v>
      </c>
      <c r="E797">
        <v>7900</v>
      </c>
      <c r="F797" t="s">
        <v>36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687.4</v>
      </c>
      <c r="N797">
        <v>1</v>
      </c>
      <c r="O797">
        <v>707.3</v>
      </c>
      <c r="P797">
        <v>0</v>
      </c>
      <c r="Q797">
        <v>0</v>
      </c>
      <c r="R797">
        <v>0</v>
      </c>
      <c r="S797">
        <v>0</v>
      </c>
      <c r="T797">
        <v>0.77569999999999995</v>
      </c>
      <c r="U797">
        <v>-0.94159999999999999</v>
      </c>
      <c r="V797">
        <v>2.9999999999999997E-4</v>
      </c>
      <c r="W797">
        <v>-8.6249000000000002</v>
      </c>
      <c r="X797">
        <v>0.62450000000000006</v>
      </c>
      <c r="Y797">
        <v>-0.42630000000000001</v>
      </c>
      <c r="Z797">
        <v>3</v>
      </c>
      <c r="AA797">
        <v>688.9</v>
      </c>
      <c r="AB797">
        <v>1</v>
      </c>
      <c r="AC797">
        <v>707.5</v>
      </c>
      <c r="AD797">
        <v>0</v>
      </c>
      <c r="AE797">
        <v>0</v>
      </c>
      <c r="AF797">
        <v>0</v>
      </c>
      <c r="AG797">
        <v>0</v>
      </c>
      <c r="AH797">
        <v>0</v>
      </c>
    </row>
    <row r="798" spans="1:34" x14ac:dyDescent="0.35">
      <c r="A798" t="s">
        <v>34</v>
      </c>
      <c r="B798" s="1">
        <v>46146.65625</v>
      </c>
      <c r="C798" t="s">
        <v>34</v>
      </c>
      <c r="D798" s="1">
        <v>46148.625</v>
      </c>
      <c r="E798">
        <v>8000</v>
      </c>
      <c r="F798" t="s">
        <v>36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787.4</v>
      </c>
      <c r="N798">
        <v>1</v>
      </c>
      <c r="O798">
        <v>807.4</v>
      </c>
      <c r="P798">
        <v>0</v>
      </c>
      <c r="Q798">
        <v>0</v>
      </c>
      <c r="R798">
        <v>0</v>
      </c>
      <c r="S798">
        <v>0</v>
      </c>
      <c r="T798">
        <v>0.39169999999999999</v>
      </c>
      <c r="U798">
        <v>-0.99980000000000002</v>
      </c>
      <c r="V798">
        <v>0</v>
      </c>
      <c r="W798">
        <v>0</v>
      </c>
      <c r="X798">
        <v>3.5000000000000001E-3</v>
      </c>
      <c r="Y798">
        <v>-0.45569999999999999</v>
      </c>
      <c r="Z798">
        <v>3</v>
      </c>
      <c r="AA798">
        <v>788.9</v>
      </c>
      <c r="AB798">
        <v>1</v>
      </c>
      <c r="AC798">
        <v>807.4</v>
      </c>
      <c r="AD798">
        <v>0</v>
      </c>
      <c r="AE798">
        <v>0</v>
      </c>
      <c r="AF798">
        <v>0</v>
      </c>
      <c r="AG798">
        <v>0</v>
      </c>
      <c r="AH798">
        <v>0</v>
      </c>
    </row>
    <row r="799" spans="1:34" x14ac:dyDescent="0.35">
      <c r="A799" t="s">
        <v>34</v>
      </c>
      <c r="B799" s="1">
        <v>46146.65625</v>
      </c>
      <c r="C799" t="s">
        <v>34</v>
      </c>
      <c r="D799" s="1">
        <v>46148.625</v>
      </c>
      <c r="E799">
        <v>8200</v>
      </c>
      <c r="F799" t="s">
        <v>36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987.1</v>
      </c>
      <c r="N799">
        <v>1</v>
      </c>
      <c r="O799">
        <v>1007.2</v>
      </c>
      <c r="P799">
        <v>0</v>
      </c>
      <c r="Q799">
        <v>0</v>
      </c>
      <c r="R799">
        <v>0</v>
      </c>
      <c r="S799">
        <v>0</v>
      </c>
      <c r="T799">
        <v>1.0133000000000001</v>
      </c>
      <c r="U799">
        <v>-0.95330000000000004</v>
      </c>
      <c r="V799">
        <v>2.0000000000000001E-4</v>
      </c>
      <c r="W799">
        <v>-8.8032000000000004</v>
      </c>
      <c r="X799">
        <v>0.51980000000000004</v>
      </c>
      <c r="Y799">
        <v>-0.45329999999999998</v>
      </c>
      <c r="Z799">
        <v>1</v>
      </c>
      <c r="AA799">
        <v>989.2</v>
      </c>
      <c r="AB799">
        <v>1</v>
      </c>
      <c r="AC799">
        <v>1007.3</v>
      </c>
      <c r="AD799">
        <v>0</v>
      </c>
      <c r="AE799">
        <v>0</v>
      </c>
      <c r="AF799">
        <v>0</v>
      </c>
      <c r="AG799">
        <v>0</v>
      </c>
      <c r="AH799">
        <v>0</v>
      </c>
    </row>
    <row r="800" spans="1:34" x14ac:dyDescent="0.35">
      <c r="A800" t="s">
        <v>34</v>
      </c>
      <c r="B800" s="1">
        <v>46146.65625</v>
      </c>
      <c r="C800" t="s">
        <v>34</v>
      </c>
      <c r="D800" s="1">
        <v>46148.625</v>
      </c>
      <c r="E800">
        <v>8400</v>
      </c>
      <c r="F800" t="s">
        <v>36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1188.0999999999999</v>
      </c>
      <c r="N800">
        <v>1</v>
      </c>
      <c r="O800">
        <v>1206.4000000000001</v>
      </c>
      <c r="P800">
        <v>0</v>
      </c>
      <c r="Q800">
        <v>0</v>
      </c>
      <c r="R800">
        <v>0</v>
      </c>
      <c r="S800">
        <v>0</v>
      </c>
      <c r="T800">
        <v>1.1322000000000001</v>
      </c>
      <c r="U800">
        <v>-0.96240000000000003</v>
      </c>
      <c r="V800">
        <v>1E-4</v>
      </c>
      <c r="W800">
        <v>-7.7465000000000002</v>
      </c>
      <c r="X800">
        <v>0.4355</v>
      </c>
      <c r="Y800">
        <v>-0.47210000000000002</v>
      </c>
      <c r="Z800">
        <v>1</v>
      </c>
      <c r="AA800">
        <v>1189.7</v>
      </c>
      <c r="AB800">
        <v>4</v>
      </c>
      <c r="AC800">
        <v>1212.8</v>
      </c>
      <c r="AD800">
        <v>0</v>
      </c>
      <c r="AE800">
        <v>0</v>
      </c>
      <c r="AF800">
        <v>0</v>
      </c>
      <c r="AG800">
        <v>0</v>
      </c>
      <c r="AH800">
        <v>0</v>
      </c>
    </row>
    <row r="801" spans="1:34" x14ac:dyDescent="0.35">
      <c r="A801" t="s">
        <v>34</v>
      </c>
      <c r="B801" s="1">
        <v>46146.65625</v>
      </c>
      <c r="C801" t="s">
        <v>34</v>
      </c>
      <c r="D801" s="1">
        <v>46148.625</v>
      </c>
      <c r="E801">
        <v>8600</v>
      </c>
      <c r="F801" t="s">
        <v>36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1387.2</v>
      </c>
      <c r="N801">
        <v>1</v>
      </c>
      <c r="O801">
        <v>1406.9</v>
      </c>
      <c r="P801">
        <v>0</v>
      </c>
      <c r="Q801">
        <v>0</v>
      </c>
      <c r="R801">
        <v>0</v>
      </c>
      <c r="S801">
        <v>0</v>
      </c>
      <c r="T801">
        <v>1.298</v>
      </c>
      <c r="U801">
        <v>-0.9627</v>
      </c>
      <c r="V801">
        <v>1E-4</v>
      </c>
      <c r="W801">
        <v>-8.7636000000000003</v>
      </c>
      <c r="X801">
        <v>0.43109999999999998</v>
      </c>
      <c r="Y801">
        <v>-0.48680000000000001</v>
      </c>
      <c r="Z801">
        <v>1</v>
      </c>
      <c r="AA801">
        <v>1390.1</v>
      </c>
      <c r="AB801">
        <v>3</v>
      </c>
      <c r="AC801">
        <v>1412.7</v>
      </c>
      <c r="AD801">
        <v>0</v>
      </c>
      <c r="AE801">
        <v>0</v>
      </c>
      <c r="AF801">
        <v>0</v>
      </c>
      <c r="AG801">
        <v>0</v>
      </c>
      <c r="AH801">
        <v>0</v>
      </c>
    </row>
    <row r="802" spans="1:34" x14ac:dyDescent="0.35">
      <c r="A802" t="s">
        <v>34</v>
      </c>
      <c r="B802" s="1">
        <v>46146.65625</v>
      </c>
      <c r="C802" t="s">
        <v>34</v>
      </c>
      <c r="D802" s="1">
        <v>46148.625</v>
      </c>
      <c r="E802">
        <v>8800</v>
      </c>
      <c r="F802" t="s">
        <v>36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1587.4</v>
      </c>
      <c r="N802">
        <v>1</v>
      </c>
      <c r="O802">
        <v>1606.4</v>
      </c>
      <c r="P802">
        <v>0</v>
      </c>
      <c r="Q802">
        <v>0</v>
      </c>
      <c r="R802">
        <v>0</v>
      </c>
      <c r="S802">
        <v>0</v>
      </c>
      <c r="T802">
        <v>1.4215</v>
      </c>
      <c r="U802">
        <v>-0.96689999999999998</v>
      </c>
      <c r="V802">
        <v>1E-4</v>
      </c>
      <c r="W802">
        <v>-8.4015000000000004</v>
      </c>
      <c r="X802">
        <v>0.39100000000000001</v>
      </c>
      <c r="Y802">
        <v>-0.50329999999999997</v>
      </c>
      <c r="Z802">
        <v>1</v>
      </c>
      <c r="AA802">
        <v>1589.6</v>
      </c>
      <c r="AB802">
        <v>1</v>
      </c>
      <c r="AC802">
        <v>1612.5</v>
      </c>
      <c r="AD802">
        <v>0</v>
      </c>
      <c r="AE802">
        <v>0</v>
      </c>
      <c r="AF802">
        <v>0</v>
      </c>
      <c r="AG802">
        <v>0</v>
      </c>
      <c r="AH802">
        <v>0</v>
      </c>
    </row>
    <row r="803" spans="1:34" x14ac:dyDescent="0.35">
      <c r="A803" t="s">
        <v>34</v>
      </c>
      <c r="B803" s="1">
        <v>46146.65625</v>
      </c>
      <c r="C803" t="s">
        <v>34</v>
      </c>
      <c r="D803" s="1">
        <v>46148.625</v>
      </c>
      <c r="E803">
        <v>9000</v>
      </c>
      <c r="F803" t="s">
        <v>36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1787.1</v>
      </c>
      <c r="N803">
        <v>1</v>
      </c>
      <c r="O803">
        <v>1806.3</v>
      </c>
      <c r="P803">
        <v>0</v>
      </c>
      <c r="Q803">
        <v>0</v>
      </c>
      <c r="R803">
        <v>0</v>
      </c>
      <c r="S803">
        <v>0</v>
      </c>
      <c r="T803">
        <v>1.5331999999999999</v>
      </c>
      <c r="U803">
        <v>-0.97070000000000001</v>
      </c>
      <c r="V803">
        <v>1E-4</v>
      </c>
      <c r="W803">
        <v>-7.8718000000000004</v>
      </c>
      <c r="X803">
        <v>0.35289999999999999</v>
      </c>
      <c r="Y803">
        <v>-0.52</v>
      </c>
      <c r="Z803">
        <v>1</v>
      </c>
      <c r="AA803">
        <v>1789.6</v>
      </c>
      <c r="AB803">
        <v>2</v>
      </c>
      <c r="AC803">
        <v>1812.6</v>
      </c>
      <c r="AD803">
        <v>0</v>
      </c>
      <c r="AE803">
        <v>0</v>
      </c>
      <c r="AF803">
        <v>0</v>
      </c>
      <c r="AG803">
        <v>0</v>
      </c>
      <c r="AH803">
        <v>0</v>
      </c>
    </row>
    <row r="804" spans="1:34" x14ac:dyDescent="0.35">
      <c r="A804" t="s">
        <v>34</v>
      </c>
      <c r="B804" s="1">
        <v>46146.65625</v>
      </c>
      <c r="C804" t="s">
        <v>34</v>
      </c>
      <c r="D804" s="1">
        <v>46148.625</v>
      </c>
      <c r="E804">
        <v>9200</v>
      </c>
      <c r="F804" t="s">
        <v>36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1987.1</v>
      </c>
      <c r="N804">
        <v>1</v>
      </c>
      <c r="O804">
        <v>2006.1</v>
      </c>
      <c r="P804">
        <v>0</v>
      </c>
      <c r="Q804">
        <v>0</v>
      </c>
      <c r="R804">
        <v>0</v>
      </c>
      <c r="S804">
        <v>0</v>
      </c>
      <c r="T804">
        <v>1.6517999999999999</v>
      </c>
      <c r="U804">
        <v>-0.97289999999999999</v>
      </c>
      <c r="V804">
        <v>1E-4</v>
      </c>
      <c r="W804">
        <v>-7.7453000000000003</v>
      </c>
      <c r="X804">
        <v>0.32990000000000003</v>
      </c>
      <c r="Y804">
        <v>-0.53580000000000005</v>
      </c>
      <c r="Z804">
        <v>1</v>
      </c>
      <c r="AA804">
        <v>1989.3</v>
      </c>
      <c r="AB804">
        <v>3</v>
      </c>
      <c r="AC804">
        <v>2012.6</v>
      </c>
      <c r="AD804">
        <v>0</v>
      </c>
      <c r="AE804">
        <v>0</v>
      </c>
      <c r="AF804">
        <v>0</v>
      </c>
      <c r="AG804">
        <v>0</v>
      </c>
      <c r="AH804">
        <v>0</v>
      </c>
    </row>
    <row r="805" spans="1:34" x14ac:dyDescent="0.35">
      <c r="A805" t="s">
        <v>34</v>
      </c>
      <c r="B805" s="1">
        <v>46146.65625</v>
      </c>
      <c r="C805" t="s">
        <v>34</v>
      </c>
      <c r="D805" s="1">
        <v>46148.625</v>
      </c>
      <c r="E805">
        <v>9400</v>
      </c>
      <c r="F805" t="s">
        <v>36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2187.1</v>
      </c>
      <c r="N805">
        <v>1</v>
      </c>
      <c r="O805">
        <v>2207</v>
      </c>
      <c r="P805">
        <v>0</v>
      </c>
      <c r="Q805">
        <v>0</v>
      </c>
      <c r="R805">
        <v>0</v>
      </c>
      <c r="S805">
        <v>0</v>
      </c>
      <c r="T805">
        <v>1.8002</v>
      </c>
      <c r="U805">
        <v>-0.97230000000000005</v>
      </c>
      <c r="V805">
        <v>1E-4</v>
      </c>
      <c r="W805">
        <v>-8.6126000000000005</v>
      </c>
      <c r="X805">
        <v>0.33550000000000002</v>
      </c>
      <c r="Y805">
        <v>-0.55049999999999999</v>
      </c>
      <c r="Z805">
        <v>2</v>
      </c>
      <c r="AA805">
        <v>2188.6</v>
      </c>
      <c r="AB805">
        <v>1</v>
      </c>
      <c r="AC805">
        <v>2207.1999999999998</v>
      </c>
      <c r="AD805">
        <v>0</v>
      </c>
      <c r="AE805">
        <v>0</v>
      </c>
      <c r="AF805">
        <v>0</v>
      </c>
      <c r="AG805">
        <v>0</v>
      </c>
      <c r="AH805">
        <v>0</v>
      </c>
    </row>
    <row r="806" spans="1:34" x14ac:dyDescent="0.35">
      <c r="A806" t="s">
        <v>34</v>
      </c>
      <c r="B806" s="1">
        <v>46146.65625</v>
      </c>
      <c r="C806" t="s">
        <v>34</v>
      </c>
      <c r="D806" s="1">
        <v>46149.625</v>
      </c>
      <c r="E806">
        <v>2600</v>
      </c>
      <c r="F806" t="s">
        <v>35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976</v>
      </c>
      <c r="O806">
        <v>0.05</v>
      </c>
      <c r="P806">
        <v>0</v>
      </c>
      <c r="Q806">
        <v>0</v>
      </c>
      <c r="R806">
        <v>0</v>
      </c>
      <c r="S806">
        <v>0</v>
      </c>
      <c r="T806">
        <v>3.0228999999999999</v>
      </c>
      <c r="U806">
        <v>-1E-4</v>
      </c>
      <c r="V806">
        <v>0</v>
      </c>
      <c r="W806">
        <v>-2.4400000000000002E-2</v>
      </c>
      <c r="X806">
        <v>1.4E-3</v>
      </c>
      <c r="Y806">
        <v>0</v>
      </c>
      <c r="Z806">
        <v>0</v>
      </c>
      <c r="AA806">
        <v>0</v>
      </c>
      <c r="AB806">
        <v>242</v>
      </c>
      <c r="AC806">
        <v>0.05</v>
      </c>
      <c r="AD806">
        <v>0</v>
      </c>
      <c r="AE806">
        <v>0</v>
      </c>
      <c r="AF806">
        <v>0</v>
      </c>
      <c r="AG806">
        <v>0</v>
      </c>
      <c r="AH806">
        <v>0</v>
      </c>
    </row>
    <row r="807" spans="1:34" x14ac:dyDescent="0.35">
      <c r="A807" t="s">
        <v>34</v>
      </c>
      <c r="B807" s="1">
        <v>46146.65625</v>
      </c>
      <c r="C807" t="s">
        <v>34</v>
      </c>
      <c r="D807" s="1">
        <v>46149.625</v>
      </c>
      <c r="E807">
        <v>2800</v>
      </c>
      <c r="F807" t="s">
        <v>35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974</v>
      </c>
      <c r="O807">
        <v>0.05</v>
      </c>
      <c r="P807">
        <v>0</v>
      </c>
      <c r="Q807">
        <v>0</v>
      </c>
      <c r="R807">
        <v>0</v>
      </c>
      <c r="S807">
        <v>0</v>
      </c>
      <c r="T807">
        <v>2.8092000000000001</v>
      </c>
      <c r="U807">
        <v>-1E-4</v>
      </c>
      <c r="V807">
        <v>0</v>
      </c>
      <c r="W807">
        <v>-2.4400000000000002E-2</v>
      </c>
      <c r="X807">
        <v>1.6000000000000001E-3</v>
      </c>
      <c r="Y807">
        <v>0</v>
      </c>
      <c r="Z807">
        <v>0</v>
      </c>
      <c r="AA807">
        <v>0</v>
      </c>
      <c r="AB807">
        <v>242</v>
      </c>
      <c r="AC807">
        <v>0.05</v>
      </c>
      <c r="AD807">
        <v>0</v>
      </c>
      <c r="AE807">
        <v>0</v>
      </c>
      <c r="AF807">
        <v>0</v>
      </c>
      <c r="AG807">
        <v>100</v>
      </c>
      <c r="AH807">
        <v>0</v>
      </c>
    </row>
    <row r="808" spans="1:34" x14ac:dyDescent="0.35">
      <c r="A808" t="s">
        <v>34</v>
      </c>
      <c r="B808" s="1">
        <v>46146.65625</v>
      </c>
      <c r="C808" t="s">
        <v>34</v>
      </c>
      <c r="D808" s="1">
        <v>46149.625</v>
      </c>
      <c r="E808">
        <v>3000</v>
      </c>
      <c r="F808" t="s">
        <v>35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999</v>
      </c>
      <c r="O808">
        <v>0.05</v>
      </c>
      <c r="P808">
        <v>0</v>
      </c>
      <c r="Q808">
        <v>0</v>
      </c>
      <c r="R808">
        <v>0</v>
      </c>
      <c r="S808">
        <v>0</v>
      </c>
      <c r="T808">
        <v>2.6103000000000001</v>
      </c>
      <c r="U808">
        <v>-1E-4</v>
      </c>
      <c r="V808">
        <v>0</v>
      </c>
      <c r="W808">
        <v>-2.4400000000000002E-2</v>
      </c>
      <c r="X808">
        <v>1.6999999999999999E-3</v>
      </c>
      <c r="Y808">
        <v>0</v>
      </c>
      <c r="Z808">
        <v>0</v>
      </c>
      <c r="AA808">
        <v>0</v>
      </c>
      <c r="AB808">
        <v>277</v>
      </c>
      <c r="AC808">
        <v>0.05</v>
      </c>
      <c r="AD808">
        <v>0</v>
      </c>
      <c r="AE808">
        <v>0</v>
      </c>
      <c r="AF808">
        <v>0</v>
      </c>
      <c r="AG808">
        <v>0</v>
      </c>
      <c r="AH808">
        <v>0</v>
      </c>
    </row>
    <row r="809" spans="1:34" x14ac:dyDescent="0.35">
      <c r="A809" t="s">
        <v>34</v>
      </c>
      <c r="B809" s="1">
        <v>46146.65625</v>
      </c>
      <c r="C809" t="s">
        <v>34</v>
      </c>
      <c r="D809" s="1">
        <v>46149.625</v>
      </c>
      <c r="E809">
        <v>3200</v>
      </c>
      <c r="F809" t="s">
        <v>35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992</v>
      </c>
      <c r="O809">
        <v>0.05</v>
      </c>
      <c r="P809">
        <v>0</v>
      </c>
      <c r="Q809">
        <v>0</v>
      </c>
      <c r="R809">
        <v>0</v>
      </c>
      <c r="S809">
        <v>0</v>
      </c>
      <c r="T809">
        <v>2.4241999999999999</v>
      </c>
      <c r="U809">
        <v>-1E-4</v>
      </c>
      <c r="V809">
        <v>0</v>
      </c>
      <c r="W809">
        <v>-2.4400000000000002E-2</v>
      </c>
      <c r="X809">
        <v>1.8E-3</v>
      </c>
      <c r="Y809">
        <v>0</v>
      </c>
      <c r="Z809">
        <v>0</v>
      </c>
      <c r="AA809">
        <v>0</v>
      </c>
      <c r="AB809">
        <v>277</v>
      </c>
      <c r="AC809">
        <v>0.05</v>
      </c>
      <c r="AD809">
        <v>0</v>
      </c>
      <c r="AE809">
        <v>0</v>
      </c>
      <c r="AF809">
        <v>0</v>
      </c>
      <c r="AG809">
        <v>60</v>
      </c>
      <c r="AH809">
        <v>0</v>
      </c>
    </row>
    <row r="810" spans="1:34" x14ac:dyDescent="0.35">
      <c r="A810" t="s">
        <v>34</v>
      </c>
      <c r="B810" s="1">
        <v>46146.65625</v>
      </c>
      <c r="C810" t="s">
        <v>34</v>
      </c>
      <c r="D810" s="1">
        <v>46149.625</v>
      </c>
      <c r="E810">
        <v>3400</v>
      </c>
      <c r="F810" t="s">
        <v>35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981</v>
      </c>
      <c r="O810">
        <v>0.05</v>
      </c>
      <c r="P810">
        <v>0</v>
      </c>
      <c r="Q810">
        <v>0</v>
      </c>
      <c r="R810">
        <v>0</v>
      </c>
      <c r="S810">
        <v>0</v>
      </c>
      <c r="T810">
        <v>2.2492999999999999</v>
      </c>
      <c r="U810">
        <v>-1E-4</v>
      </c>
      <c r="V810">
        <v>0</v>
      </c>
      <c r="W810">
        <v>-2.4400000000000002E-2</v>
      </c>
      <c r="X810">
        <v>1.9E-3</v>
      </c>
      <c r="Y810">
        <v>0</v>
      </c>
      <c r="Z810">
        <v>0</v>
      </c>
      <c r="AA810">
        <v>0</v>
      </c>
      <c r="AB810">
        <v>275</v>
      </c>
      <c r="AC810">
        <v>0.05</v>
      </c>
      <c r="AD810">
        <v>0</v>
      </c>
      <c r="AE810">
        <v>0</v>
      </c>
      <c r="AF810">
        <v>0</v>
      </c>
      <c r="AG810">
        <v>4</v>
      </c>
      <c r="AH810">
        <v>0</v>
      </c>
    </row>
    <row r="811" spans="1:34" x14ac:dyDescent="0.35">
      <c r="A811" t="s">
        <v>34</v>
      </c>
      <c r="B811" s="1">
        <v>46146.65625</v>
      </c>
      <c r="C811" t="s">
        <v>34</v>
      </c>
      <c r="D811" s="1">
        <v>46149.625</v>
      </c>
      <c r="E811">
        <v>3600</v>
      </c>
      <c r="F811" t="s">
        <v>36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969</v>
      </c>
      <c r="O811">
        <v>0.05</v>
      </c>
      <c r="P811">
        <v>0</v>
      </c>
      <c r="Q811">
        <v>0</v>
      </c>
      <c r="R811">
        <v>0</v>
      </c>
      <c r="S811">
        <v>0</v>
      </c>
      <c r="T811">
        <v>2.0842999999999998</v>
      </c>
      <c r="U811">
        <v>-1E-4</v>
      </c>
      <c r="V811">
        <v>0</v>
      </c>
      <c r="W811">
        <v>-2.4400000000000002E-2</v>
      </c>
      <c r="X811">
        <v>2.0999999999999999E-3</v>
      </c>
      <c r="Y811">
        <v>-1E-4</v>
      </c>
      <c r="Z811">
        <v>0</v>
      </c>
      <c r="AA811">
        <v>0</v>
      </c>
      <c r="AB811">
        <v>273</v>
      </c>
      <c r="AC811">
        <v>0.05</v>
      </c>
      <c r="AD811">
        <v>0</v>
      </c>
      <c r="AE811">
        <v>0</v>
      </c>
      <c r="AF811">
        <v>0</v>
      </c>
      <c r="AG811">
        <v>50</v>
      </c>
      <c r="AH811">
        <v>0</v>
      </c>
    </row>
    <row r="812" spans="1:34" x14ac:dyDescent="0.35">
      <c r="A812" t="s">
        <v>34</v>
      </c>
      <c r="B812" s="1">
        <v>46146.65625</v>
      </c>
      <c r="C812" t="s">
        <v>34</v>
      </c>
      <c r="D812" s="1">
        <v>46149.625</v>
      </c>
      <c r="E812">
        <v>3800</v>
      </c>
      <c r="F812" t="s">
        <v>36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954</v>
      </c>
      <c r="O812">
        <v>0.05</v>
      </c>
      <c r="P812">
        <v>0</v>
      </c>
      <c r="Q812">
        <v>0</v>
      </c>
      <c r="R812">
        <v>0</v>
      </c>
      <c r="S812">
        <v>0</v>
      </c>
      <c r="T812">
        <v>1.9279999999999999</v>
      </c>
      <c r="U812">
        <v>-1E-4</v>
      </c>
      <c r="V812">
        <v>0</v>
      </c>
      <c r="W812">
        <v>-2.4400000000000002E-2</v>
      </c>
      <c r="X812">
        <v>2.2000000000000001E-3</v>
      </c>
      <c r="Y812">
        <v>-1E-4</v>
      </c>
      <c r="Z812">
        <v>0</v>
      </c>
      <c r="AA812">
        <v>0</v>
      </c>
      <c r="AB812">
        <v>272</v>
      </c>
      <c r="AC812">
        <v>0.05</v>
      </c>
      <c r="AD812">
        <v>0</v>
      </c>
      <c r="AE812">
        <v>0</v>
      </c>
      <c r="AF812">
        <v>0</v>
      </c>
      <c r="AG812">
        <v>10</v>
      </c>
      <c r="AH812">
        <v>0</v>
      </c>
    </row>
    <row r="813" spans="1:34" x14ac:dyDescent="0.35">
      <c r="A813" t="s">
        <v>34</v>
      </c>
      <c r="B813" s="1">
        <v>46146.65625</v>
      </c>
      <c r="C813" t="s">
        <v>34</v>
      </c>
      <c r="D813" s="1">
        <v>46149.625</v>
      </c>
      <c r="E813">
        <v>4000</v>
      </c>
      <c r="F813" t="s">
        <v>36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934</v>
      </c>
      <c r="O813">
        <v>0.05</v>
      </c>
      <c r="P813">
        <v>0</v>
      </c>
      <c r="Q813">
        <v>0</v>
      </c>
      <c r="R813">
        <v>0</v>
      </c>
      <c r="S813">
        <v>0</v>
      </c>
      <c r="T813">
        <v>1.7796000000000001</v>
      </c>
      <c r="U813">
        <v>-1E-4</v>
      </c>
      <c r="V813">
        <v>0</v>
      </c>
      <c r="W813">
        <v>-2.4400000000000002E-2</v>
      </c>
      <c r="X813">
        <v>2.3999999999999998E-3</v>
      </c>
      <c r="Y813">
        <v>-1E-4</v>
      </c>
      <c r="Z813">
        <v>0</v>
      </c>
      <c r="AA813">
        <v>0</v>
      </c>
      <c r="AB813">
        <v>270</v>
      </c>
      <c r="AC813">
        <v>0.05</v>
      </c>
      <c r="AD813">
        <v>0</v>
      </c>
      <c r="AE813">
        <v>0</v>
      </c>
      <c r="AF813">
        <v>0</v>
      </c>
      <c r="AG813">
        <v>225</v>
      </c>
      <c r="AH813">
        <v>0</v>
      </c>
    </row>
    <row r="814" spans="1:34" x14ac:dyDescent="0.35">
      <c r="A814" t="s">
        <v>34</v>
      </c>
      <c r="B814" s="1">
        <v>46146.65625</v>
      </c>
      <c r="C814" t="s">
        <v>34</v>
      </c>
      <c r="D814" s="1">
        <v>46149.625</v>
      </c>
      <c r="E814">
        <v>4200</v>
      </c>
      <c r="F814" t="s">
        <v>36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909</v>
      </c>
      <c r="O814">
        <v>0.05</v>
      </c>
      <c r="P814">
        <v>0</v>
      </c>
      <c r="Q814">
        <v>0</v>
      </c>
      <c r="R814">
        <v>0</v>
      </c>
      <c r="S814">
        <v>0</v>
      </c>
      <c r="T814">
        <v>1.6380999999999999</v>
      </c>
      <c r="U814">
        <v>-1E-4</v>
      </c>
      <c r="V814">
        <v>0</v>
      </c>
      <c r="W814">
        <v>-2.4400000000000002E-2</v>
      </c>
      <c r="X814">
        <v>2.5999999999999999E-3</v>
      </c>
      <c r="Y814">
        <v>-1E-4</v>
      </c>
      <c r="Z814">
        <v>0</v>
      </c>
      <c r="AA814">
        <v>0</v>
      </c>
      <c r="AB814">
        <v>269</v>
      </c>
      <c r="AC814">
        <v>0.05</v>
      </c>
      <c r="AD814">
        <v>0</v>
      </c>
      <c r="AE814">
        <v>0</v>
      </c>
      <c r="AF814">
        <v>0</v>
      </c>
      <c r="AG814">
        <v>53</v>
      </c>
      <c r="AH814">
        <v>0</v>
      </c>
    </row>
    <row r="815" spans="1:34" x14ac:dyDescent="0.35">
      <c r="A815" t="s">
        <v>34</v>
      </c>
      <c r="B815" s="1">
        <v>46146.65625</v>
      </c>
      <c r="C815" t="s">
        <v>34</v>
      </c>
      <c r="D815" s="1">
        <v>46149.625</v>
      </c>
      <c r="E815">
        <v>4400</v>
      </c>
      <c r="F815" t="s">
        <v>36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527</v>
      </c>
      <c r="O815">
        <v>0.05</v>
      </c>
      <c r="P815">
        <v>0</v>
      </c>
      <c r="Q815">
        <v>0</v>
      </c>
      <c r="R815">
        <v>0</v>
      </c>
      <c r="S815">
        <v>0</v>
      </c>
      <c r="T815">
        <v>1.5029999999999999</v>
      </c>
      <c r="U815">
        <v>-1E-4</v>
      </c>
      <c r="V815">
        <v>0</v>
      </c>
      <c r="W815">
        <v>-2.4299999999999999E-2</v>
      </c>
      <c r="X815">
        <v>2.8E-3</v>
      </c>
      <c r="Y815">
        <v>-1E-4</v>
      </c>
      <c r="Z815">
        <v>0</v>
      </c>
      <c r="AA815">
        <v>0</v>
      </c>
      <c r="AB815">
        <v>265</v>
      </c>
      <c r="AC815">
        <v>0.05</v>
      </c>
      <c r="AD815">
        <v>0</v>
      </c>
      <c r="AE815">
        <v>0</v>
      </c>
      <c r="AF815">
        <v>0</v>
      </c>
      <c r="AG815">
        <v>51</v>
      </c>
      <c r="AH815">
        <v>0</v>
      </c>
    </row>
    <row r="816" spans="1:34" x14ac:dyDescent="0.35">
      <c r="A816" t="s">
        <v>34</v>
      </c>
      <c r="B816" s="1">
        <v>46146.65625</v>
      </c>
      <c r="C816" t="s">
        <v>34</v>
      </c>
      <c r="D816" s="1">
        <v>46149.625</v>
      </c>
      <c r="E816">
        <v>4600</v>
      </c>
      <c r="F816" t="s">
        <v>36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527</v>
      </c>
      <c r="O816">
        <v>0.05</v>
      </c>
      <c r="P816">
        <v>0</v>
      </c>
      <c r="Q816">
        <v>0</v>
      </c>
      <c r="R816">
        <v>0</v>
      </c>
      <c r="S816">
        <v>0</v>
      </c>
      <c r="T816">
        <v>1.3734999999999999</v>
      </c>
      <c r="U816">
        <v>-1E-4</v>
      </c>
      <c r="V816">
        <v>0</v>
      </c>
      <c r="W816">
        <v>-2.4299999999999999E-2</v>
      </c>
      <c r="X816">
        <v>3.0999999999999999E-3</v>
      </c>
      <c r="Y816">
        <v>-1E-4</v>
      </c>
      <c r="Z816">
        <v>0</v>
      </c>
      <c r="AA816">
        <v>0</v>
      </c>
      <c r="AB816">
        <v>259</v>
      </c>
      <c r="AC816">
        <v>0.05</v>
      </c>
      <c r="AD816">
        <v>0</v>
      </c>
      <c r="AE816">
        <v>0</v>
      </c>
      <c r="AF816">
        <v>0</v>
      </c>
      <c r="AG816">
        <v>273</v>
      </c>
      <c r="AH816">
        <v>0</v>
      </c>
    </row>
    <row r="817" spans="1:34" x14ac:dyDescent="0.35">
      <c r="A817" t="s">
        <v>34</v>
      </c>
      <c r="B817" s="1">
        <v>46146.65625</v>
      </c>
      <c r="C817" t="s">
        <v>34</v>
      </c>
      <c r="D817" s="1">
        <v>46149.625</v>
      </c>
      <c r="E817">
        <v>4800</v>
      </c>
      <c r="F817" t="s">
        <v>36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492</v>
      </c>
      <c r="O817">
        <v>0.05</v>
      </c>
      <c r="P817">
        <v>0</v>
      </c>
      <c r="Q817">
        <v>0</v>
      </c>
      <c r="R817">
        <v>0</v>
      </c>
      <c r="S817">
        <v>0</v>
      </c>
      <c r="T817">
        <v>1.2492000000000001</v>
      </c>
      <c r="U817">
        <v>-1E-4</v>
      </c>
      <c r="V817">
        <v>0</v>
      </c>
      <c r="W817">
        <v>-2.4299999999999999E-2</v>
      </c>
      <c r="X817">
        <v>3.3999999999999998E-3</v>
      </c>
      <c r="Y817">
        <v>-1E-4</v>
      </c>
      <c r="Z817">
        <v>0</v>
      </c>
      <c r="AA817">
        <v>0</v>
      </c>
      <c r="AB817">
        <v>245</v>
      </c>
      <c r="AC817">
        <v>0.05</v>
      </c>
      <c r="AD817">
        <v>0</v>
      </c>
      <c r="AE817">
        <v>0</v>
      </c>
      <c r="AF817">
        <v>0</v>
      </c>
      <c r="AG817">
        <v>746</v>
      </c>
      <c r="AH817">
        <v>0</v>
      </c>
    </row>
    <row r="818" spans="1:34" x14ac:dyDescent="0.35">
      <c r="A818" t="s">
        <v>34</v>
      </c>
      <c r="B818" s="1">
        <v>46146.65625</v>
      </c>
      <c r="C818" t="s">
        <v>34</v>
      </c>
      <c r="D818" s="1">
        <v>46149.625</v>
      </c>
      <c r="E818">
        <v>5000</v>
      </c>
      <c r="F818" t="s">
        <v>36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471</v>
      </c>
      <c r="O818">
        <v>0.05</v>
      </c>
      <c r="P818">
        <v>0</v>
      </c>
      <c r="Q818">
        <v>0</v>
      </c>
      <c r="R818">
        <v>0</v>
      </c>
      <c r="S818">
        <v>0</v>
      </c>
      <c r="T818">
        <v>1.1295999999999999</v>
      </c>
      <c r="U818">
        <v>-2.0000000000000001E-4</v>
      </c>
      <c r="V818">
        <v>0</v>
      </c>
      <c r="W818">
        <v>-2.4299999999999999E-2</v>
      </c>
      <c r="X818">
        <v>3.7000000000000002E-3</v>
      </c>
      <c r="Y818">
        <v>-1E-4</v>
      </c>
      <c r="Z818">
        <v>0</v>
      </c>
      <c r="AA818">
        <v>0</v>
      </c>
      <c r="AB818">
        <v>230</v>
      </c>
      <c r="AC818">
        <v>0.05</v>
      </c>
      <c r="AD818">
        <v>0</v>
      </c>
      <c r="AE818">
        <v>0</v>
      </c>
      <c r="AF818">
        <v>0</v>
      </c>
      <c r="AG818">
        <v>901</v>
      </c>
      <c r="AH818">
        <v>0</v>
      </c>
    </row>
    <row r="819" spans="1:34" x14ac:dyDescent="0.35">
      <c r="A819" t="s">
        <v>34</v>
      </c>
      <c r="B819" s="1">
        <v>46146.65625</v>
      </c>
      <c r="C819" t="s">
        <v>34</v>
      </c>
      <c r="D819" s="1">
        <v>46149.625</v>
      </c>
      <c r="E819">
        <v>5100</v>
      </c>
      <c r="F819" t="s">
        <v>36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446</v>
      </c>
      <c r="O819">
        <v>0.05</v>
      </c>
      <c r="P819">
        <v>0</v>
      </c>
      <c r="Q819">
        <v>0</v>
      </c>
      <c r="R819">
        <v>0</v>
      </c>
      <c r="S819">
        <v>0</v>
      </c>
      <c r="T819">
        <v>1.0713999999999999</v>
      </c>
      <c r="U819">
        <v>-2.0000000000000001E-4</v>
      </c>
      <c r="V819">
        <v>0</v>
      </c>
      <c r="W819">
        <v>-2.4299999999999999E-2</v>
      </c>
      <c r="X819">
        <v>3.8999999999999998E-3</v>
      </c>
      <c r="Y819">
        <v>-1E-4</v>
      </c>
      <c r="Z819">
        <v>0</v>
      </c>
      <c r="AA819">
        <v>0</v>
      </c>
      <c r="AB819">
        <v>222</v>
      </c>
      <c r="AC819">
        <v>0.05</v>
      </c>
      <c r="AD819">
        <v>0</v>
      </c>
      <c r="AE819">
        <v>0</v>
      </c>
      <c r="AF819">
        <v>0</v>
      </c>
      <c r="AG819">
        <v>1238</v>
      </c>
      <c r="AH819">
        <v>0</v>
      </c>
    </row>
    <row r="820" spans="1:34" x14ac:dyDescent="0.35">
      <c r="A820" t="s">
        <v>34</v>
      </c>
      <c r="B820" s="1">
        <v>46146.65625</v>
      </c>
      <c r="C820" t="s">
        <v>34</v>
      </c>
      <c r="D820" s="1">
        <v>46149.625</v>
      </c>
      <c r="E820">
        <v>5200</v>
      </c>
      <c r="F820" t="s">
        <v>36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325</v>
      </c>
      <c r="O820">
        <v>0.05</v>
      </c>
      <c r="P820">
        <v>0</v>
      </c>
      <c r="Q820">
        <v>0</v>
      </c>
      <c r="R820">
        <v>0</v>
      </c>
      <c r="S820">
        <v>0</v>
      </c>
      <c r="T820">
        <v>1.0143</v>
      </c>
      <c r="U820">
        <v>-2.0000000000000001E-4</v>
      </c>
      <c r="V820">
        <v>0</v>
      </c>
      <c r="W820">
        <v>-2.4299999999999999E-2</v>
      </c>
      <c r="X820">
        <v>4.1000000000000003E-3</v>
      </c>
      <c r="Y820">
        <v>-1E-4</v>
      </c>
      <c r="Z820">
        <v>0</v>
      </c>
      <c r="AA820">
        <v>0</v>
      </c>
      <c r="AB820">
        <v>199</v>
      </c>
      <c r="AC820">
        <v>0.05</v>
      </c>
      <c r="AD820">
        <v>0</v>
      </c>
      <c r="AE820">
        <v>0</v>
      </c>
      <c r="AF820">
        <v>0</v>
      </c>
      <c r="AG820">
        <v>2037</v>
      </c>
      <c r="AH820">
        <v>0</v>
      </c>
    </row>
    <row r="821" spans="1:34" x14ac:dyDescent="0.35">
      <c r="A821" t="s">
        <v>34</v>
      </c>
      <c r="B821" s="1">
        <v>46146.65625</v>
      </c>
      <c r="C821" t="s">
        <v>34</v>
      </c>
      <c r="D821" s="1">
        <v>46149.625</v>
      </c>
      <c r="E821">
        <v>5300</v>
      </c>
      <c r="F821" t="s">
        <v>36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240</v>
      </c>
      <c r="O821">
        <v>0.05</v>
      </c>
      <c r="P821">
        <v>0</v>
      </c>
      <c r="Q821">
        <v>0</v>
      </c>
      <c r="R821">
        <v>0</v>
      </c>
      <c r="S821">
        <v>0</v>
      </c>
      <c r="T821">
        <v>0.95809999999999995</v>
      </c>
      <c r="U821">
        <v>-2.0000000000000001E-4</v>
      </c>
      <c r="V821">
        <v>0</v>
      </c>
      <c r="W821">
        <v>-2.4299999999999999E-2</v>
      </c>
      <c r="X821">
        <v>4.4000000000000003E-3</v>
      </c>
      <c r="Y821">
        <v>-1E-4</v>
      </c>
      <c r="Z821">
        <v>0</v>
      </c>
      <c r="AA821">
        <v>0</v>
      </c>
      <c r="AB821">
        <v>343</v>
      </c>
      <c r="AC821">
        <v>0.1</v>
      </c>
      <c r="AD821">
        <v>0</v>
      </c>
      <c r="AE821">
        <v>0</v>
      </c>
      <c r="AF821">
        <v>0</v>
      </c>
      <c r="AG821">
        <v>313</v>
      </c>
      <c r="AH821">
        <v>0</v>
      </c>
    </row>
    <row r="822" spans="1:34" x14ac:dyDescent="0.35">
      <c r="A822" t="s">
        <v>34</v>
      </c>
      <c r="B822" s="1">
        <v>46146.65625</v>
      </c>
      <c r="C822" t="s">
        <v>34</v>
      </c>
      <c r="D822" s="1">
        <v>46149.625</v>
      </c>
      <c r="E822">
        <v>5400</v>
      </c>
      <c r="F822" t="s">
        <v>36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138</v>
      </c>
      <c r="O822">
        <v>0.05</v>
      </c>
      <c r="P822">
        <v>0</v>
      </c>
      <c r="Q822">
        <v>0</v>
      </c>
      <c r="R822">
        <v>0</v>
      </c>
      <c r="S822">
        <v>0</v>
      </c>
      <c r="T822">
        <v>0.90280000000000005</v>
      </c>
      <c r="U822">
        <v>-2.0000000000000001E-4</v>
      </c>
      <c r="V822">
        <v>0</v>
      </c>
      <c r="W822">
        <v>-2.4299999999999999E-2</v>
      </c>
      <c r="X822">
        <v>4.5999999999999999E-3</v>
      </c>
      <c r="Y822">
        <v>-1E-4</v>
      </c>
      <c r="Z822">
        <v>0</v>
      </c>
      <c r="AA822">
        <v>0</v>
      </c>
      <c r="AB822">
        <v>459</v>
      </c>
      <c r="AC822">
        <v>0.1</v>
      </c>
      <c r="AD822">
        <v>0</v>
      </c>
      <c r="AE822">
        <v>0</v>
      </c>
      <c r="AF822">
        <v>0</v>
      </c>
      <c r="AG822">
        <v>2088</v>
      </c>
      <c r="AH822">
        <v>0</v>
      </c>
    </row>
    <row r="823" spans="1:34" x14ac:dyDescent="0.35">
      <c r="A823" t="s">
        <v>34</v>
      </c>
      <c r="B823" s="1">
        <v>46146.65625</v>
      </c>
      <c r="C823" t="s">
        <v>34</v>
      </c>
      <c r="D823" s="1">
        <v>46149.625</v>
      </c>
      <c r="E823">
        <v>5500</v>
      </c>
      <c r="F823" t="s">
        <v>36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866</v>
      </c>
      <c r="O823">
        <v>0.05</v>
      </c>
      <c r="P823">
        <v>0</v>
      </c>
      <c r="Q823">
        <v>0</v>
      </c>
      <c r="R823">
        <v>0</v>
      </c>
      <c r="S823">
        <v>0</v>
      </c>
      <c r="T823">
        <v>0.84840000000000004</v>
      </c>
      <c r="U823">
        <v>-2.0000000000000001E-4</v>
      </c>
      <c r="V823">
        <v>0</v>
      </c>
      <c r="W823">
        <v>-2.4199999999999999E-2</v>
      </c>
      <c r="X823">
        <v>4.8999999999999998E-3</v>
      </c>
      <c r="Y823">
        <v>-1E-4</v>
      </c>
      <c r="Z823">
        <v>0</v>
      </c>
      <c r="AA823">
        <v>0</v>
      </c>
      <c r="AB823">
        <v>795</v>
      </c>
      <c r="AC823">
        <v>0.05</v>
      </c>
      <c r="AD823">
        <v>0</v>
      </c>
      <c r="AE823">
        <v>0</v>
      </c>
      <c r="AF823">
        <v>0</v>
      </c>
      <c r="AG823">
        <v>183</v>
      </c>
      <c r="AH823">
        <v>0</v>
      </c>
    </row>
    <row r="824" spans="1:34" x14ac:dyDescent="0.35">
      <c r="A824" t="s">
        <v>34</v>
      </c>
      <c r="B824" s="1">
        <v>46146.65625</v>
      </c>
      <c r="C824" t="s">
        <v>34</v>
      </c>
      <c r="D824" s="1">
        <v>46149.625</v>
      </c>
      <c r="E824">
        <v>5600</v>
      </c>
      <c r="F824" t="s">
        <v>36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1596</v>
      </c>
      <c r="O824">
        <v>0.05</v>
      </c>
      <c r="P824">
        <v>0</v>
      </c>
      <c r="Q824">
        <v>0</v>
      </c>
      <c r="R824">
        <v>0</v>
      </c>
      <c r="S824">
        <v>0</v>
      </c>
      <c r="T824">
        <v>0.79490000000000005</v>
      </c>
      <c r="U824">
        <v>-2.0000000000000001E-4</v>
      </c>
      <c r="V824">
        <v>0</v>
      </c>
      <c r="W824">
        <v>-2.4199999999999999E-2</v>
      </c>
      <c r="X824">
        <v>5.1999999999999998E-3</v>
      </c>
      <c r="Y824">
        <v>-1E-4</v>
      </c>
      <c r="Z824">
        <v>0</v>
      </c>
      <c r="AA824">
        <v>0</v>
      </c>
      <c r="AB824">
        <v>1535</v>
      </c>
      <c r="AC824">
        <v>0.05</v>
      </c>
      <c r="AD824">
        <v>0</v>
      </c>
      <c r="AE824">
        <v>0</v>
      </c>
      <c r="AF824">
        <v>0</v>
      </c>
      <c r="AG824">
        <v>1496</v>
      </c>
      <c r="AH824">
        <v>0</v>
      </c>
    </row>
    <row r="825" spans="1:34" x14ac:dyDescent="0.35">
      <c r="A825" t="s">
        <v>34</v>
      </c>
      <c r="B825" s="1">
        <v>46146.65625</v>
      </c>
      <c r="C825" t="s">
        <v>34</v>
      </c>
      <c r="D825" s="1">
        <v>46149.625</v>
      </c>
      <c r="E825">
        <v>5675</v>
      </c>
      <c r="F825" t="s">
        <v>36</v>
      </c>
      <c r="G825">
        <v>0.05</v>
      </c>
      <c r="H825">
        <v>0.05</v>
      </c>
      <c r="I825">
        <v>0.05</v>
      </c>
      <c r="J825">
        <v>0.05</v>
      </c>
      <c r="K825">
        <v>15</v>
      </c>
      <c r="L825">
        <v>0</v>
      </c>
      <c r="M825">
        <v>0</v>
      </c>
      <c r="N825">
        <v>64</v>
      </c>
      <c r="O825">
        <v>0.05</v>
      </c>
      <c r="P825">
        <v>0</v>
      </c>
      <c r="Q825">
        <v>0</v>
      </c>
      <c r="R825">
        <v>0</v>
      </c>
      <c r="S825">
        <v>0</v>
      </c>
      <c r="T825">
        <v>0.75519999999999998</v>
      </c>
      <c r="U825">
        <v>-2.0000000000000001E-4</v>
      </c>
      <c r="V825">
        <v>0</v>
      </c>
      <c r="W825">
        <v>-2.4199999999999999E-2</v>
      </c>
      <c r="X825">
        <v>5.4999999999999997E-3</v>
      </c>
      <c r="Y825">
        <v>-1E-4</v>
      </c>
      <c r="Z825">
        <v>0</v>
      </c>
      <c r="AA825">
        <v>0</v>
      </c>
      <c r="AB825">
        <v>189</v>
      </c>
      <c r="AC825">
        <v>0.1</v>
      </c>
      <c r="AD825">
        <v>0</v>
      </c>
      <c r="AE825">
        <v>0</v>
      </c>
      <c r="AF825">
        <v>0.05</v>
      </c>
      <c r="AG825">
        <v>81</v>
      </c>
      <c r="AH825">
        <v>0</v>
      </c>
    </row>
    <row r="826" spans="1:34" x14ac:dyDescent="0.35">
      <c r="A826" t="s">
        <v>34</v>
      </c>
      <c r="B826" s="1">
        <v>46146.65625</v>
      </c>
      <c r="C826" t="s">
        <v>34</v>
      </c>
      <c r="D826" s="1">
        <v>46149.625</v>
      </c>
      <c r="E826">
        <v>5700</v>
      </c>
      <c r="F826" t="s">
        <v>36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519</v>
      </c>
      <c r="O826">
        <v>0.1</v>
      </c>
      <c r="P826">
        <v>0</v>
      </c>
      <c r="Q826">
        <v>0</v>
      </c>
      <c r="R826">
        <v>0</v>
      </c>
      <c r="S826">
        <v>0</v>
      </c>
      <c r="T826">
        <v>0.77800000000000002</v>
      </c>
      <c r="U826">
        <v>-4.0000000000000002E-4</v>
      </c>
      <c r="V826">
        <v>0</v>
      </c>
      <c r="W826">
        <v>-4.8000000000000001E-2</v>
      </c>
      <c r="X826">
        <v>9.7000000000000003E-3</v>
      </c>
      <c r="Y826">
        <v>-2.0000000000000001E-4</v>
      </c>
      <c r="Z826">
        <v>0</v>
      </c>
      <c r="AA826">
        <v>0</v>
      </c>
      <c r="AB826">
        <v>189</v>
      </c>
      <c r="AC826">
        <v>0.1</v>
      </c>
      <c r="AD826">
        <v>0</v>
      </c>
      <c r="AE826">
        <v>0</v>
      </c>
      <c r="AF826">
        <v>0</v>
      </c>
      <c r="AG826">
        <v>616</v>
      </c>
      <c r="AH826">
        <v>0</v>
      </c>
    </row>
    <row r="827" spans="1:34" x14ac:dyDescent="0.35">
      <c r="A827" t="s">
        <v>34</v>
      </c>
      <c r="B827" s="1">
        <v>46146.65625</v>
      </c>
      <c r="C827" t="s">
        <v>34</v>
      </c>
      <c r="D827" s="1">
        <v>46149.625</v>
      </c>
      <c r="E827">
        <v>5725</v>
      </c>
      <c r="F827" t="s">
        <v>36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496</v>
      </c>
      <c r="O827">
        <v>0.1</v>
      </c>
      <c r="P827">
        <v>0</v>
      </c>
      <c r="Q827">
        <v>0</v>
      </c>
      <c r="R827">
        <v>0</v>
      </c>
      <c r="S827">
        <v>0</v>
      </c>
      <c r="T827">
        <v>0.76439999999999997</v>
      </c>
      <c r="U827">
        <v>-4.0000000000000002E-4</v>
      </c>
      <c r="V827">
        <v>0</v>
      </c>
      <c r="W827">
        <v>-4.8000000000000001E-2</v>
      </c>
      <c r="X827">
        <v>9.7999999999999997E-3</v>
      </c>
      <c r="Y827">
        <v>-2.0000000000000001E-4</v>
      </c>
      <c r="Z827">
        <v>0</v>
      </c>
      <c r="AA827">
        <v>0</v>
      </c>
      <c r="AB827">
        <v>184</v>
      </c>
      <c r="AC827">
        <v>0.1</v>
      </c>
      <c r="AD827">
        <v>0</v>
      </c>
      <c r="AE827">
        <v>0</v>
      </c>
      <c r="AF827">
        <v>0</v>
      </c>
      <c r="AG827">
        <v>49</v>
      </c>
      <c r="AH827">
        <v>0</v>
      </c>
    </row>
    <row r="828" spans="1:34" x14ac:dyDescent="0.35">
      <c r="A828" t="s">
        <v>34</v>
      </c>
      <c r="B828" s="1">
        <v>46146.65625</v>
      </c>
      <c r="C828" t="s">
        <v>34</v>
      </c>
      <c r="D828" s="1">
        <v>46149.625</v>
      </c>
      <c r="E828">
        <v>5750</v>
      </c>
      <c r="F828" t="s">
        <v>36</v>
      </c>
      <c r="G828">
        <v>0.05</v>
      </c>
      <c r="H828">
        <v>0.05</v>
      </c>
      <c r="I828">
        <v>0.05</v>
      </c>
      <c r="J828">
        <v>0.05</v>
      </c>
      <c r="K828">
        <v>1125</v>
      </c>
      <c r="L828">
        <v>0</v>
      </c>
      <c r="M828">
        <v>0</v>
      </c>
      <c r="N828">
        <v>166</v>
      </c>
      <c r="O828">
        <v>0.05</v>
      </c>
      <c r="P828">
        <v>0</v>
      </c>
      <c r="Q828">
        <v>0</v>
      </c>
      <c r="R828">
        <v>0</v>
      </c>
      <c r="S828">
        <v>0</v>
      </c>
      <c r="T828">
        <v>0.71550000000000002</v>
      </c>
      <c r="U828">
        <v>-2.0000000000000001E-4</v>
      </c>
      <c r="V828">
        <v>0</v>
      </c>
      <c r="W828">
        <v>-2.4199999999999999E-2</v>
      </c>
      <c r="X828">
        <v>5.7999999999999996E-3</v>
      </c>
      <c r="Y828">
        <v>-1E-4</v>
      </c>
      <c r="Z828">
        <v>0</v>
      </c>
      <c r="AA828">
        <v>0</v>
      </c>
      <c r="AB828">
        <v>166</v>
      </c>
      <c r="AC828">
        <v>0.05</v>
      </c>
      <c r="AD828">
        <v>0</v>
      </c>
      <c r="AE828">
        <v>0</v>
      </c>
      <c r="AF828">
        <v>0.05</v>
      </c>
      <c r="AG828">
        <v>223</v>
      </c>
      <c r="AH828">
        <v>0</v>
      </c>
    </row>
    <row r="829" spans="1:34" x14ac:dyDescent="0.35">
      <c r="A829" t="s">
        <v>34</v>
      </c>
      <c r="B829" s="1">
        <v>46146.65625</v>
      </c>
      <c r="C829" t="s">
        <v>34</v>
      </c>
      <c r="D829" s="1">
        <v>46149.625</v>
      </c>
      <c r="E829">
        <v>5775</v>
      </c>
      <c r="F829" t="s">
        <v>36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461</v>
      </c>
      <c r="O829">
        <v>0.1</v>
      </c>
      <c r="P829">
        <v>0</v>
      </c>
      <c r="Q829">
        <v>0</v>
      </c>
      <c r="R829">
        <v>0</v>
      </c>
      <c r="S829">
        <v>0</v>
      </c>
      <c r="T829">
        <v>0.73750000000000004</v>
      </c>
      <c r="U829">
        <v>-4.0000000000000002E-4</v>
      </c>
      <c r="V829">
        <v>0</v>
      </c>
      <c r="W829">
        <v>-4.8000000000000001E-2</v>
      </c>
      <c r="X829">
        <v>1.0200000000000001E-2</v>
      </c>
      <c r="Y829">
        <v>-2.0000000000000001E-4</v>
      </c>
      <c r="Z829">
        <v>0</v>
      </c>
      <c r="AA829">
        <v>0</v>
      </c>
      <c r="AB829">
        <v>180</v>
      </c>
      <c r="AC829">
        <v>0.1</v>
      </c>
      <c r="AD829">
        <v>0</v>
      </c>
      <c r="AE829">
        <v>0</v>
      </c>
      <c r="AF829">
        <v>0</v>
      </c>
      <c r="AG829">
        <v>209</v>
      </c>
      <c r="AH829">
        <v>0</v>
      </c>
    </row>
    <row r="830" spans="1:34" x14ac:dyDescent="0.35">
      <c r="A830" t="s">
        <v>34</v>
      </c>
      <c r="B830" s="1">
        <v>46146.65625</v>
      </c>
      <c r="C830" t="s">
        <v>34</v>
      </c>
      <c r="D830" s="1">
        <v>46149.625</v>
      </c>
      <c r="E830">
        <v>5800</v>
      </c>
      <c r="F830" t="s">
        <v>36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448</v>
      </c>
      <c r="O830">
        <v>0.1</v>
      </c>
      <c r="P830">
        <v>0</v>
      </c>
      <c r="Q830">
        <v>0</v>
      </c>
      <c r="R830">
        <v>0</v>
      </c>
      <c r="S830">
        <v>0</v>
      </c>
      <c r="T830">
        <v>0.72399999999999998</v>
      </c>
      <c r="U830">
        <v>-4.0000000000000002E-4</v>
      </c>
      <c r="V830">
        <v>0</v>
      </c>
      <c r="W830">
        <v>-4.8000000000000001E-2</v>
      </c>
      <c r="X830">
        <v>1.03E-2</v>
      </c>
      <c r="Y830">
        <v>-2.9999999999999997E-4</v>
      </c>
      <c r="Z830">
        <v>0</v>
      </c>
      <c r="AA830">
        <v>0</v>
      </c>
      <c r="AB830">
        <v>178</v>
      </c>
      <c r="AC830">
        <v>0.1</v>
      </c>
      <c r="AD830">
        <v>0</v>
      </c>
      <c r="AE830">
        <v>0</v>
      </c>
      <c r="AF830">
        <v>0</v>
      </c>
      <c r="AG830">
        <v>280</v>
      </c>
      <c r="AH830">
        <v>0</v>
      </c>
    </row>
    <row r="831" spans="1:34" x14ac:dyDescent="0.35">
      <c r="A831" t="s">
        <v>34</v>
      </c>
      <c r="B831" s="1">
        <v>46146.65625</v>
      </c>
      <c r="C831" t="s">
        <v>34</v>
      </c>
      <c r="D831" s="1">
        <v>46149.625</v>
      </c>
      <c r="E831">
        <v>5825</v>
      </c>
      <c r="F831" t="s">
        <v>36</v>
      </c>
      <c r="G831">
        <v>0.05</v>
      </c>
      <c r="H831">
        <v>0.05</v>
      </c>
      <c r="I831">
        <v>0.05</v>
      </c>
      <c r="J831">
        <v>0.05</v>
      </c>
      <c r="K831">
        <v>10</v>
      </c>
      <c r="L831">
        <v>0</v>
      </c>
      <c r="M831">
        <v>0</v>
      </c>
      <c r="N831">
        <v>428</v>
      </c>
      <c r="O831">
        <v>0.1</v>
      </c>
      <c r="P831">
        <v>0</v>
      </c>
      <c r="Q831">
        <v>0</v>
      </c>
      <c r="R831">
        <v>0</v>
      </c>
      <c r="S831">
        <v>0</v>
      </c>
      <c r="T831">
        <v>0.71050000000000002</v>
      </c>
      <c r="U831">
        <v>-4.0000000000000002E-4</v>
      </c>
      <c r="V831">
        <v>0</v>
      </c>
      <c r="W831">
        <v>-4.8000000000000001E-2</v>
      </c>
      <c r="X831">
        <v>1.0500000000000001E-2</v>
      </c>
      <c r="Y831">
        <v>-2.9999999999999997E-4</v>
      </c>
      <c r="Z831">
        <v>0</v>
      </c>
      <c r="AA831">
        <v>0</v>
      </c>
      <c r="AB831">
        <v>177</v>
      </c>
      <c r="AC831">
        <v>0.1</v>
      </c>
      <c r="AD831">
        <v>0</v>
      </c>
      <c r="AE831">
        <v>0</v>
      </c>
      <c r="AF831">
        <v>0.05</v>
      </c>
      <c r="AG831">
        <v>61</v>
      </c>
      <c r="AH831">
        <v>0</v>
      </c>
    </row>
    <row r="832" spans="1:34" x14ac:dyDescent="0.35">
      <c r="A832" t="s">
        <v>34</v>
      </c>
      <c r="B832" s="1">
        <v>46146.65625</v>
      </c>
      <c r="C832" t="s">
        <v>34</v>
      </c>
      <c r="D832" s="1">
        <v>46149.625</v>
      </c>
      <c r="E832">
        <v>5850</v>
      </c>
      <c r="F832" t="s">
        <v>36</v>
      </c>
      <c r="G832">
        <v>0.05</v>
      </c>
      <c r="H832">
        <v>0.05</v>
      </c>
      <c r="I832">
        <v>0.05</v>
      </c>
      <c r="J832">
        <v>0.05</v>
      </c>
      <c r="K832">
        <v>76</v>
      </c>
      <c r="L832">
        <v>0</v>
      </c>
      <c r="M832">
        <v>0</v>
      </c>
      <c r="N832">
        <v>413</v>
      </c>
      <c r="O832">
        <v>0.1</v>
      </c>
      <c r="P832">
        <v>0</v>
      </c>
      <c r="Q832">
        <v>0</v>
      </c>
      <c r="R832">
        <v>0</v>
      </c>
      <c r="S832">
        <v>0</v>
      </c>
      <c r="T832">
        <v>0.69710000000000005</v>
      </c>
      <c r="U832">
        <v>-5.0000000000000001E-4</v>
      </c>
      <c r="V832">
        <v>0</v>
      </c>
      <c r="W832">
        <v>-4.8000000000000001E-2</v>
      </c>
      <c r="X832">
        <v>1.0699999999999999E-2</v>
      </c>
      <c r="Y832">
        <v>-2.9999999999999997E-4</v>
      </c>
      <c r="Z832">
        <v>0</v>
      </c>
      <c r="AA832">
        <v>0</v>
      </c>
      <c r="AB832">
        <v>175</v>
      </c>
      <c r="AC832">
        <v>0.1</v>
      </c>
      <c r="AD832">
        <v>0</v>
      </c>
      <c r="AE832">
        <v>0</v>
      </c>
      <c r="AF832">
        <v>0.05</v>
      </c>
      <c r="AG832">
        <v>535</v>
      </c>
      <c r="AH832">
        <v>0</v>
      </c>
    </row>
    <row r="833" spans="1:34" x14ac:dyDescent="0.35">
      <c r="A833" t="s">
        <v>34</v>
      </c>
      <c r="B833" s="1">
        <v>46146.65625</v>
      </c>
      <c r="C833" t="s">
        <v>34</v>
      </c>
      <c r="D833" s="1">
        <v>46149.625</v>
      </c>
      <c r="E833">
        <v>5875</v>
      </c>
      <c r="F833" t="s">
        <v>36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398</v>
      </c>
      <c r="O833">
        <v>0.1</v>
      </c>
      <c r="P833">
        <v>0</v>
      </c>
      <c r="Q833">
        <v>0</v>
      </c>
      <c r="R833">
        <v>0</v>
      </c>
      <c r="S833">
        <v>0</v>
      </c>
      <c r="T833">
        <v>0.68369999999999997</v>
      </c>
      <c r="U833">
        <v>-5.0000000000000001E-4</v>
      </c>
      <c r="V833">
        <v>0</v>
      </c>
      <c r="W833">
        <v>-4.7899999999999998E-2</v>
      </c>
      <c r="X833">
        <v>1.09E-2</v>
      </c>
      <c r="Y833">
        <v>-2.9999999999999997E-4</v>
      </c>
      <c r="Z833">
        <v>0</v>
      </c>
      <c r="AA833">
        <v>0</v>
      </c>
      <c r="AB833">
        <v>173</v>
      </c>
      <c r="AC833">
        <v>0.1</v>
      </c>
      <c r="AD833">
        <v>0</v>
      </c>
      <c r="AE833">
        <v>0</v>
      </c>
      <c r="AF833">
        <v>0</v>
      </c>
      <c r="AG833">
        <v>122</v>
      </c>
      <c r="AH833">
        <v>0</v>
      </c>
    </row>
    <row r="834" spans="1:34" x14ac:dyDescent="0.35">
      <c r="A834" t="s">
        <v>34</v>
      </c>
      <c r="B834" s="1">
        <v>46146.65625</v>
      </c>
      <c r="C834" t="s">
        <v>34</v>
      </c>
      <c r="D834" s="1">
        <v>46149.625</v>
      </c>
      <c r="E834">
        <v>5900</v>
      </c>
      <c r="F834" t="s">
        <v>36</v>
      </c>
      <c r="G834">
        <v>0.05</v>
      </c>
      <c r="H834">
        <v>0.05</v>
      </c>
      <c r="I834">
        <v>0.05</v>
      </c>
      <c r="J834">
        <v>0.05</v>
      </c>
      <c r="K834">
        <v>20</v>
      </c>
      <c r="L834">
        <v>0</v>
      </c>
      <c r="M834">
        <v>0</v>
      </c>
      <c r="N834">
        <v>319</v>
      </c>
      <c r="O834">
        <v>0.1</v>
      </c>
      <c r="P834">
        <v>0</v>
      </c>
      <c r="Q834">
        <v>0</v>
      </c>
      <c r="R834">
        <v>0</v>
      </c>
      <c r="S834">
        <v>0</v>
      </c>
      <c r="T834">
        <v>0.6704</v>
      </c>
      <c r="U834">
        <v>-5.0000000000000001E-4</v>
      </c>
      <c r="V834">
        <v>0</v>
      </c>
      <c r="W834">
        <v>-4.7899999999999998E-2</v>
      </c>
      <c r="X834">
        <v>1.11E-2</v>
      </c>
      <c r="Y834">
        <v>-2.9999999999999997E-4</v>
      </c>
      <c r="Z834">
        <v>0</v>
      </c>
      <c r="AA834">
        <v>0</v>
      </c>
      <c r="AB834">
        <v>171</v>
      </c>
      <c r="AC834">
        <v>0.1</v>
      </c>
      <c r="AD834">
        <v>0</v>
      </c>
      <c r="AE834">
        <v>0</v>
      </c>
      <c r="AF834">
        <v>0.05</v>
      </c>
      <c r="AG834">
        <v>1112</v>
      </c>
      <c r="AH834">
        <v>0</v>
      </c>
    </row>
    <row r="835" spans="1:34" x14ac:dyDescent="0.35">
      <c r="A835" t="s">
        <v>34</v>
      </c>
      <c r="B835" s="1">
        <v>46146.65625</v>
      </c>
      <c r="C835" t="s">
        <v>34</v>
      </c>
      <c r="D835" s="1">
        <v>46149.625</v>
      </c>
      <c r="E835">
        <v>5925</v>
      </c>
      <c r="F835" t="s">
        <v>36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302</v>
      </c>
      <c r="O835">
        <v>0.1</v>
      </c>
      <c r="P835">
        <v>0</v>
      </c>
      <c r="Q835">
        <v>0</v>
      </c>
      <c r="R835">
        <v>0</v>
      </c>
      <c r="S835">
        <v>0</v>
      </c>
      <c r="T835">
        <v>0.65710000000000002</v>
      </c>
      <c r="U835">
        <v>-5.0000000000000001E-4</v>
      </c>
      <c r="V835">
        <v>0</v>
      </c>
      <c r="W835">
        <v>-4.7899999999999998E-2</v>
      </c>
      <c r="X835">
        <v>1.1299999999999999E-2</v>
      </c>
      <c r="Y835">
        <v>-2.9999999999999997E-4</v>
      </c>
      <c r="Z835">
        <v>0</v>
      </c>
      <c r="AA835">
        <v>0</v>
      </c>
      <c r="AB835">
        <v>142</v>
      </c>
      <c r="AC835">
        <v>0.1</v>
      </c>
      <c r="AD835">
        <v>0</v>
      </c>
      <c r="AE835">
        <v>0</v>
      </c>
      <c r="AF835">
        <v>0</v>
      </c>
      <c r="AG835">
        <v>86</v>
      </c>
      <c r="AH835">
        <v>0</v>
      </c>
    </row>
    <row r="836" spans="1:34" x14ac:dyDescent="0.35">
      <c r="A836" t="s">
        <v>34</v>
      </c>
      <c r="B836" s="1">
        <v>46146.65625</v>
      </c>
      <c r="C836" t="s">
        <v>34</v>
      </c>
      <c r="D836" s="1">
        <v>46149.625</v>
      </c>
      <c r="E836">
        <v>5950</v>
      </c>
      <c r="F836" t="s">
        <v>36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331</v>
      </c>
      <c r="O836">
        <v>0.1</v>
      </c>
      <c r="P836">
        <v>0</v>
      </c>
      <c r="Q836">
        <v>0</v>
      </c>
      <c r="R836">
        <v>0</v>
      </c>
      <c r="S836">
        <v>0</v>
      </c>
      <c r="T836">
        <v>0.64390000000000003</v>
      </c>
      <c r="U836">
        <v>-5.0000000000000001E-4</v>
      </c>
      <c r="V836">
        <v>0</v>
      </c>
      <c r="W836">
        <v>-4.7899999999999998E-2</v>
      </c>
      <c r="X836">
        <v>1.1599999999999999E-2</v>
      </c>
      <c r="Y836">
        <v>-2.9999999999999997E-4</v>
      </c>
      <c r="Z836">
        <v>0</v>
      </c>
      <c r="AA836">
        <v>0</v>
      </c>
      <c r="AB836">
        <v>99</v>
      </c>
      <c r="AC836">
        <v>0.1</v>
      </c>
      <c r="AD836">
        <v>0</v>
      </c>
      <c r="AE836">
        <v>0</v>
      </c>
      <c r="AF836">
        <v>0</v>
      </c>
      <c r="AG836">
        <v>371</v>
      </c>
      <c r="AH836">
        <v>0</v>
      </c>
    </row>
    <row r="837" spans="1:34" x14ac:dyDescent="0.35">
      <c r="A837" t="s">
        <v>34</v>
      </c>
      <c r="B837" s="1">
        <v>46146.65625</v>
      </c>
      <c r="C837" t="s">
        <v>34</v>
      </c>
      <c r="D837" s="1">
        <v>46149.625</v>
      </c>
      <c r="E837">
        <v>5975</v>
      </c>
      <c r="F837" t="s">
        <v>36</v>
      </c>
      <c r="G837">
        <v>0.1</v>
      </c>
      <c r="H837">
        <v>0.1</v>
      </c>
      <c r="I837">
        <v>0.1</v>
      </c>
      <c r="J837">
        <v>0.1</v>
      </c>
      <c r="K837">
        <v>56</v>
      </c>
      <c r="L837">
        <v>0</v>
      </c>
      <c r="M837">
        <v>0</v>
      </c>
      <c r="N837">
        <v>270</v>
      </c>
      <c r="O837">
        <v>0.1</v>
      </c>
      <c r="P837">
        <v>0</v>
      </c>
      <c r="Q837">
        <v>0</v>
      </c>
      <c r="R837">
        <v>0</v>
      </c>
      <c r="S837">
        <v>0</v>
      </c>
      <c r="T837">
        <v>0.63070000000000004</v>
      </c>
      <c r="U837">
        <v>-5.0000000000000001E-4</v>
      </c>
      <c r="V837">
        <v>0</v>
      </c>
      <c r="W837">
        <v>-4.7899999999999998E-2</v>
      </c>
      <c r="X837">
        <v>1.18E-2</v>
      </c>
      <c r="Y837">
        <v>-2.9999999999999997E-4</v>
      </c>
      <c r="Z837">
        <v>0</v>
      </c>
      <c r="AA837">
        <v>0</v>
      </c>
      <c r="AB837">
        <v>99</v>
      </c>
      <c r="AC837">
        <v>0.1</v>
      </c>
      <c r="AD837">
        <v>0</v>
      </c>
      <c r="AE837">
        <v>0</v>
      </c>
      <c r="AF837">
        <v>0.1</v>
      </c>
      <c r="AG837">
        <v>81</v>
      </c>
      <c r="AH837">
        <v>0</v>
      </c>
    </row>
    <row r="838" spans="1:34" x14ac:dyDescent="0.35">
      <c r="A838" t="s">
        <v>34</v>
      </c>
      <c r="B838" s="1">
        <v>46146.65625</v>
      </c>
      <c r="C838" t="s">
        <v>34</v>
      </c>
      <c r="D838" s="1">
        <v>46149.625</v>
      </c>
      <c r="E838">
        <v>6000</v>
      </c>
      <c r="F838" t="s">
        <v>36</v>
      </c>
      <c r="G838">
        <v>0.05</v>
      </c>
      <c r="H838">
        <v>0.05</v>
      </c>
      <c r="I838">
        <v>0.05</v>
      </c>
      <c r="J838">
        <v>0.05</v>
      </c>
      <c r="K838">
        <v>2</v>
      </c>
      <c r="L838">
        <v>1</v>
      </c>
      <c r="M838">
        <v>0.05</v>
      </c>
      <c r="N838">
        <v>225</v>
      </c>
      <c r="O838">
        <v>0.1</v>
      </c>
      <c r="P838">
        <v>0</v>
      </c>
      <c r="Q838">
        <v>0</v>
      </c>
      <c r="R838">
        <v>0</v>
      </c>
      <c r="S838">
        <v>0</v>
      </c>
      <c r="T838">
        <v>0.63670000000000004</v>
      </c>
      <c r="U838">
        <v>-6.9999999999999999E-4</v>
      </c>
      <c r="V838">
        <v>0</v>
      </c>
      <c r="W838">
        <v>-7.1300000000000002E-2</v>
      </c>
      <c r="X838">
        <v>1.6500000000000001E-2</v>
      </c>
      <c r="Y838">
        <v>-4.0000000000000002E-4</v>
      </c>
      <c r="Z838">
        <v>1</v>
      </c>
      <c r="AA838">
        <v>0.05</v>
      </c>
      <c r="AB838">
        <v>99</v>
      </c>
      <c r="AC838">
        <v>0.1</v>
      </c>
      <c r="AD838">
        <v>0</v>
      </c>
      <c r="AE838">
        <v>0</v>
      </c>
      <c r="AF838">
        <v>0.05</v>
      </c>
      <c r="AG838">
        <v>6711</v>
      </c>
      <c r="AH838">
        <v>0</v>
      </c>
    </row>
    <row r="839" spans="1:34" x14ac:dyDescent="0.35">
      <c r="A839" t="s">
        <v>34</v>
      </c>
      <c r="B839" s="1">
        <v>46146.65625</v>
      </c>
      <c r="C839" t="s">
        <v>34</v>
      </c>
      <c r="D839" s="1">
        <v>46149.625</v>
      </c>
      <c r="E839">
        <v>6025</v>
      </c>
      <c r="F839" t="s">
        <v>36</v>
      </c>
      <c r="G839">
        <v>0.1</v>
      </c>
      <c r="H839">
        <v>0.1</v>
      </c>
      <c r="I839">
        <v>0.1</v>
      </c>
      <c r="J839">
        <v>0.1</v>
      </c>
      <c r="K839">
        <v>5</v>
      </c>
      <c r="L839">
        <v>0</v>
      </c>
      <c r="M839">
        <v>0</v>
      </c>
      <c r="N839">
        <v>220</v>
      </c>
      <c r="O839">
        <v>0.1</v>
      </c>
      <c r="P839">
        <v>0</v>
      </c>
      <c r="Q839">
        <v>0</v>
      </c>
      <c r="R839">
        <v>0</v>
      </c>
      <c r="S839">
        <v>0</v>
      </c>
      <c r="T839">
        <v>0.60429999999999995</v>
      </c>
      <c r="U839">
        <v>-5.0000000000000001E-4</v>
      </c>
      <c r="V839">
        <v>0</v>
      </c>
      <c r="W839">
        <v>-4.7800000000000002E-2</v>
      </c>
      <c r="X839">
        <v>1.23E-2</v>
      </c>
      <c r="Y839">
        <v>-2.9999999999999997E-4</v>
      </c>
      <c r="Z839">
        <v>0</v>
      </c>
      <c r="AA839">
        <v>0</v>
      </c>
      <c r="AB839">
        <v>211</v>
      </c>
      <c r="AC839">
        <v>0.15</v>
      </c>
      <c r="AD839">
        <v>0</v>
      </c>
      <c r="AE839">
        <v>0</v>
      </c>
      <c r="AF839">
        <v>0.1</v>
      </c>
      <c r="AG839">
        <v>177</v>
      </c>
      <c r="AH839">
        <v>0</v>
      </c>
    </row>
    <row r="840" spans="1:34" x14ac:dyDescent="0.35">
      <c r="A840" t="s">
        <v>34</v>
      </c>
      <c r="B840" s="1">
        <v>46146.65625</v>
      </c>
      <c r="C840" t="s">
        <v>34</v>
      </c>
      <c r="D840" s="1">
        <v>46149.625</v>
      </c>
      <c r="E840">
        <v>6050</v>
      </c>
      <c r="F840" t="s">
        <v>36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48</v>
      </c>
      <c r="M840">
        <v>0.05</v>
      </c>
      <c r="N840">
        <v>216</v>
      </c>
      <c r="O840">
        <v>0.1</v>
      </c>
      <c r="P840">
        <v>0</v>
      </c>
      <c r="Q840">
        <v>0</v>
      </c>
      <c r="R840">
        <v>0</v>
      </c>
      <c r="S840">
        <v>0</v>
      </c>
      <c r="T840">
        <v>0.60980000000000001</v>
      </c>
      <c r="U840">
        <v>-6.9999999999999999E-4</v>
      </c>
      <c r="V840">
        <v>0</v>
      </c>
      <c r="W840">
        <v>-7.1300000000000002E-2</v>
      </c>
      <c r="X840">
        <v>1.72E-2</v>
      </c>
      <c r="Y840">
        <v>-4.0000000000000002E-4</v>
      </c>
      <c r="Z840">
        <v>0</v>
      </c>
      <c r="AA840">
        <v>0</v>
      </c>
      <c r="AB840">
        <v>208</v>
      </c>
      <c r="AC840">
        <v>0.15</v>
      </c>
      <c r="AD840">
        <v>0</v>
      </c>
      <c r="AE840">
        <v>0</v>
      </c>
      <c r="AF840">
        <v>0</v>
      </c>
      <c r="AG840">
        <v>62</v>
      </c>
      <c r="AH840">
        <v>0</v>
      </c>
    </row>
    <row r="841" spans="1:34" x14ac:dyDescent="0.35">
      <c r="A841" t="s">
        <v>34</v>
      </c>
      <c r="B841" s="1">
        <v>46146.65625</v>
      </c>
      <c r="C841" t="s">
        <v>34</v>
      </c>
      <c r="D841" s="1">
        <v>46149.625</v>
      </c>
      <c r="E841">
        <v>6075</v>
      </c>
      <c r="F841" t="s">
        <v>36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49</v>
      </c>
      <c r="M841">
        <v>0.05</v>
      </c>
      <c r="N841">
        <v>208</v>
      </c>
      <c r="O841">
        <v>0.1</v>
      </c>
      <c r="P841">
        <v>0</v>
      </c>
      <c r="Q841">
        <v>0</v>
      </c>
      <c r="R841">
        <v>0</v>
      </c>
      <c r="S841">
        <v>0</v>
      </c>
      <c r="T841">
        <v>0.59640000000000004</v>
      </c>
      <c r="U841">
        <v>-8.0000000000000004E-4</v>
      </c>
      <c r="V841">
        <v>0</v>
      </c>
      <c r="W841">
        <v>-7.1199999999999999E-2</v>
      </c>
      <c r="X841">
        <v>1.7500000000000002E-2</v>
      </c>
      <c r="Y841">
        <v>-4.0000000000000002E-4</v>
      </c>
      <c r="Z841">
        <v>0</v>
      </c>
      <c r="AA841">
        <v>0</v>
      </c>
      <c r="AB841">
        <v>202</v>
      </c>
      <c r="AC841">
        <v>0.15</v>
      </c>
      <c r="AD841">
        <v>0</v>
      </c>
      <c r="AE841">
        <v>0</v>
      </c>
      <c r="AF841">
        <v>0</v>
      </c>
      <c r="AG841">
        <v>78</v>
      </c>
      <c r="AH841">
        <v>0</v>
      </c>
    </row>
    <row r="842" spans="1:34" x14ac:dyDescent="0.35">
      <c r="A842" t="s">
        <v>34</v>
      </c>
      <c r="B842" s="1">
        <v>46146.65625</v>
      </c>
      <c r="C842" t="s">
        <v>34</v>
      </c>
      <c r="D842" s="1">
        <v>46149.625</v>
      </c>
      <c r="E842">
        <v>6100</v>
      </c>
      <c r="F842" t="s">
        <v>36</v>
      </c>
      <c r="G842">
        <v>0.1</v>
      </c>
      <c r="H842">
        <v>0.1</v>
      </c>
      <c r="I842">
        <v>7.0000000000000007E-2</v>
      </c>
      <c r="J842">
        <v>7.0000000000000007E-2</v>
      </c>
      <c r="K842">
        <v>4</v>
      </c>
      <c r="L842">
        <v>181</v>
      </c>
      <c r="M842">
        <v>0.05</v>
      </c>
      <c r="N842">
        <v>95</v>
      </c>
      <c r="O842">
        <v>0.1</v>
      </c>
      <c r="P842">
        <v>0</v>
      </c>
      <c r="Q842">
        <v>0</v>
      </c>
      <c r="R842">
        <v>0</v>
      </c>
      <c r="S842">
        <v>0</v>
      </c>
      <c r="T842">
        <v>0.58260000000000001</v>
      </c>
      <c r="U842">
        <v>-8.0000000000000004E-4</v>
      </c>
      <c r="V842">
        <v>0</v>
      </c>
      <c r="W842">
        <v>-7.1199999999999999E-2</v>
      </c>
      <c r="X842">
        <v>1.7899999999999999E-2</v>
      </c>
      <c r="Y842">
        <v>-4.0000000000000002E-4</v>
      </c>
      <c r="Z842">
        <v>0</v>
      </c>
      <c r="AA842">
        <v>0</v>
      </c>
      <c r="AB842">
        <v>1</v>
      </c>
      <c r="AC842">
        <v>0.1</v>
      </c>
      <c r="AD842">
        <v>0</v>
      </c>
      <c r="AE842">
        <v>0</v>
      </c>
      <c r="AF842">
        <v>8.5000000000000006E-2</v>
      </c>
      <c r="AG842">
        <v>502</v>
      </c>
      <c r="AH842">
        <v>0</v>
      </c>
    </row>
    <row r="843" spans="1:34" x14ac:dyDescent="0.35">
      <c r="A843" t="s">
        <v>34</v>
      </c>
      <c r="B843" s="1">
        <v>46146.65625</v>
      </c>
      <c r="C843" t="s">
        <v>34</v>
      </c>
      <c r="D843" s="1">
        <v>46149.625</v>
      </c>
      <c r="E843">
        <v>6125</v>
      </c>
      <c r="F843" t="s">
        <v>36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178</v>
      </c>
      <c r="M843">
        <v>0.05</v>
      </c>
      <c r="N843">
        <v>58</v>
      </c>
      <c r="O843">
        <v>0.1</v>
      </c>
      <c r="P843">
        <v>0</v>
      </c>
      <c r="Q843">
        <v>0</v>
      </c>
      <c r="R843">
        <v>0</v>
      </c>
      <c r="S843">
        <v>0</v>
      </c>
      <c r="T843">
        <v>0.56969999999999998</v>
      </c>
      <c r="U843">
        <v>-8.0000000000000004E-4</v>
      </c>
      <c r="V843">
        <v>0</v>
      </c>
      <c r="W843">
        <v>-7.1199999999999999E-2</v>
      </c>
      <c r="X843">
        <v>1.83E-2</v>
      </c>
      <c r="Y843">
        <v>-5.0000000000000001E-4</v>
      </c>
      <c r="Z843">
        <v>78</v>
      </c>
      <c r="AA843">
        <v>0.05</v>
      </c>
      <c r="AB843">
        <v>199</v>
      </c>
      <c r="AC843">
        <v>0.15</v>
      </c>
      <c r="AD843">
        <v>0</v>
      </c>
      <c r="AE843">
        <v>0</v>
      </c>
      <c r="AF843">
        <v>0</v>
      </c>
      <c r="AG843">
        <v>117</v>
      </c>
      <c r="AH843">
        <v>0</v>
      </c>
    </row>
    <row r="844" spans="1:34" x14ac:dyDescent="0.35">
      <c r="A844" t="s">
        <v>34</v>
      </c>
      <c r="B844" s="1">
        <v>46146.65625</v>
      </c>
      <c r="C844" t="s">
        <v>34</v>
      </c>
      <c r="D844" s="1">
        <v>46149.625</v>
      </c>
      <c r="E844">
        <v>6150</v>
      </c>
      <c r="F844" t="s">
        <v>36</v>
      </c>
      <c r="G844">
        <v>0.1</v>
      </c>
      <c r="H844">
        <v>0.1</v>
      </c>
      <c r="I844">
        <v>0.1</v>
      </c>
      <c r="J844">
        <v>0.1</v>
      </c>
      <c r="K844">
        <v>67</v>
      </c>
      <c r="L844">
        <v>176</v>
      </c>
      <c r="M844">
        <v>0.05</v>
      </c>
      <c r="N844">
        <v>439</v>
      </c>
      <c r="O844">
        <v>0.15</v>
      </c>
      <c r="P844">
        <v>0</v>
      </c>
      <c r="Q844">
        <v>0</v>
      </c>
      <c r="R844">
        <v>0</v>
      </c>
      <c r="S844">
        <v>0</v>
      </c>
      <c r="T844">
        <v>0.56940000000000002</v>
      </c>
      <c r="U844">
        <v>-1E-3</v>
      </c>
      <c r="V844">
        <v>0</v>
      </c>
      <c r="W844">
        <v>-9.4299999999999995E-2</v>
      </c>
      <c r="X844">
        <v>2.3400000000000001E-2</v>
      </c>
      <c r="Y844">
        <v>-5.9999999999999995E-4</v>
      </c>
      <c r="Z844">
        <v>75</v>
      </c>
      <c r="AA844">
        <v>0.05</v>
      </c>
      <c r="AB844">
        <v>188</v>
      </c>
      <c r="AC844">
        <v>0.15</v>
      </c>
      <c r="AD844">
        <v>0</v>
      </c>
      <c r="AE844">
        <v>0</v>
      </c>
      <c r="AF844">
        <v>0.1</v>
      </c>
      <c r="AG844">
        <v>87</v>
      </c>
      <c r="AH844">
        <v>0</v>
      </c>
    </row>
    <row r="845" spans="1:34" x14ac:dyDescent="0.35">
      <c r="A845" t="s">
        <v>34</v>
      </c>
      <c r="B845" s="1">
        <v>46146.65625</v>
      </c>
      <c r="C845" t="s">
        <v>34</v>
      </c>
      <c r="D845" s="1">
        <v>46149.625</v>
      </c>
      <c r="E845">
        <v>6175</v>
      </c>
      <c r="F845" t="s">
        <v>36</v>
      </c>
      <c r="G845">
        <v>0.15</v>
      </c>
      <c r="H845">
        <v>0.15</v>
      </c>
      <c r="I845">
        <v>0.15</v>
      </c>
      <c r="J845">
        <v>0.15</v>
      </c>
      <c r="K845">
        <v>1</v>
      </c>
      <c r="L845">
        <v>275</v>
      </c>
      <c r="M845">
        <v>0.05</v>
      </c>
      <c r="N845">
        <v>411</v>
      </c>
      <c r="O845">
        <v>0.15</v>
      </c>
      <c r="P845">
        <v>0</v>
      </c>
      <c r="Q845">
        <v>0</v>
      </c>
      <c r="R845">
        <v>0</v>
      </c>
      <c r="S845">
        <v>0</v>
      </c>
      <c r="T845">
        <v>0.55589999999999995</v>
      </c>
      <c r="U845">
        <v>-1.1000000000000001E-3</v>
      </c>
      <c r="V845">
        <v>0</v>
      </c>
      <c r="W845">
        <v>-9.4200000000000006E-2</v>
      </c>
      <c r="X845">
        <v>2.3900000000000001E-2</v>
      </c>
      <c r="Y845">
        <v>-5.9999999999999995E-4</v>
      </c>
      <c r="Z845">
        <v>75</v>
      </c>
      <c r="AA845">
        <v>0.05</v>
      </c>
      <c r="AB845">
        <v>185</v>
      </c>
      <c r="AC845">
        <v>0.15</v>
      </c>
      <c r="AD845">
        <v>0</v>
      </c>
      <c r="AE845">
        <v>0</v>
      </c>
      <c r="AF845">
        <v>0.15</v>
      </c>
      <c r="AG845">
        <v>107</v>
      </c>
      <c r="AH845">
        <v>0</v>
      </c>
    </row>
    <row r="846" spans="1:34" x14ac:dyDescent="0.35">
      <c r="A846" t="s">
        <v>34</v>
      </c>
      <c r="B846" s="1">
        <v>46146.65625</v>
      </c>
      <c r="C846" t="s">
        <v>34</v>
      </c>
      <c r="D846" s="1">
        <v>46149.625</v>
      </c>
      <c r="E846">
        <v>6200</v>
      </c>
      <c r="F846" t="s">
        <v>36</v>
      </c>
      <c r="G846">
        <v>0.15</v>
      </c>
      <c r="H846">
        <v>0.15</v>
      </c>
      <c r="I846">
        <v>0.09</v>
      </c>
      <c r="J846">
        <v>0.1</v>
      </c>
      <c r="K846">
        <v>22</v>
      </c>
      <c r="L846">
        <v>354</v>
      </c>
      <c r="M846">
        <v>0.05</v>
      </c>
      <c r="N846">
        <v>455</v>
      </c>
      <c r="O846">
        <v>0.15</v>
      </c>
      <c r="P846">
        <v>0</v>
      </c>
      <c r="Q846">
        <v>0</v>
      </c>
      <c r="R846">
        <v>0</v>
      </c>
      <c r="S846">
        <v>0</v>
      </c>
      <c r="T846">
        <v>0.54239999999999999</v>
      </c>
      <c r="U846">
        <v>-1.1000000000000001E-3</v>
      </c>
      <c r="V846">
        <v>0</v>
      </c>
      <c r="W846">
        <v>-9.4200000000000006E-2</v>
      </c>
      <c r="X846">
        <v>2.4500000000000001E-2</v>
      </c>
      <c r="Y846">
        <v>-5.9999999999999995E-4</v>
      </c>
      <c r="Z846">
        <v>135</v>
      </c>
      <c r="AA846">
        <v>0.05</v>
      </c>
      <c r="AB846">
        <v>185</v>
      </c>
      <c r="AC846">
        <v>0.15</v>
      </c>
      <c r="AD846">
        <v>0</v>
      </c>
      <c r="AE846">
        <v>0</v>
      </c>
      <c r="AF846">
        <v>0.10639999999999999</v>
      </c>
      <c r="AG846">
        <v>408</v>
      </c>
      <c r="AH846">
        <v>0</v>
      </c>
    </row>
    <row r="847" spans="1:34" x14ac:dyDescent="0.35">
      <c r="A847" t="s">
        <v>34</v>
      </c>
      <c r="B847" s="1">
        <v>46146.65625</v>
      </c>
      <c r="C847" t="s">
        <v>34</v>
      </c>
      <c r="D847" s="1">
        <v>46149.625</v>
      </c>
      <c r="E847">
        <v>6225</v>
      </c>
      <c r="F847" t="s">
        <v>36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265</v>
      </c>
      <c r="M847">
        <v>0.05</v>
      </c>
      <c r="N847">
        <v>537</v>
      </c>
      <c r="O847">
        <v>0.15</v>
      </c>
      <c r="P847">
        <v>0</v>
      </c>
      <c r="Q847">
        <v>0</v>
      </c>
      <c r="R847">
        <v>0</v>
      </c>
      <c r="S847">
        <v>0</v>
      </c>
      <c r="T847">
        <v>0.52900000000000003</v>
      </c>
      <c r="U847">
        <v>-1.1000000000000001E-3</v>
      </c>
      <c r="V847">
        <v>0</v>
      </c>
      <c r="W847">
        <v>-9.4100000000000003E-2</v>
      </c>
      <c r="X847">
        <v>2.5000000000000001E-2</v>
      </c>
      <c r="Y847">
        <v>-5.9999999999999995E-4</v>
      </c>
      <c r="Z847">
        <v>140</v>
      </c>
      <c r="AA847">
        <v>0.05</v>
      </c>
      <c r="AB847">
        <v>182</v>
      </c>
      <c r="AC847">
        <v>0.15</v>
      </c>
      <c r="AD847">
        <v>0</v>
      </c>
      <c r="AE847">
        <v>0</v>
      </c>
      <c r="AF847">
        <v>0</v>
      </c>
      <c r="AG847">
        <v>163</v>
      </c>
      <c r="AH847">
        <v>0</v>
      </c>
    </row>
    <row r="848" spans="1:34" x14ac:dyDescent="0.35">
      <c r="A848" t="s">
        <v>34</v>
      </c>
      <c r="B848" s="1">
        <v>46146.65625</v>
      </c>
      <c r="C848" t="s">
        <v>34</v>
      </c>
      <c r="D848" s="1">
        <v>46149.625</v>
      </c>
      <c r="E848">
        <v>6250</v>
      </c>
      <c r="F848" t="s">
        <v>36</v>
      </c>
      <c r="G848">
        <v>0.2</v>
      </c>
      <c r="H848">
        <v>0.2</v>
      </c>
      <c r="I848">
        <v>0.2</v>
      </c>
      <c r="J848">
        <v>0.2</v>
      </c>
      <c r="K848">
        <v>505</v>
      </c>
      <c r="L848">
        <v>461</v>
      </c>
      <c r="M848">
        <v>0.05</v>
      </c>
      <c r="N848">
        <v>560</v>
      </c>
      <c r="O848">
        <v>0.15</v>
      </c>
      <c r="P848">
        <v>0</v>
      </c>
      <c r="Q848">
        <v>0</v>
      </c>
      <c r="R848">
        <v>0</v>
      </c>
      <c r="S848">
        <v>0</v>
      </c>
      <c r="T848">
        <v>0.51549999999999996</v>
      </c>
      <c r="U848">
        <v>-1.1000000000000001E-3</v>
      </c>
      <c r="V848">
        <v>0</v>
      </c>
      <c r="W848">
        <v>-9.4100000000000003E-2</v>
      </c>
      <c r="X848">
        <v>2.5600000000000001E-2</v>
      </c>
      <c r="Y848">
        <v>-6.9999999999999999E-4</v>
      </c>
      <c r="Z848">
        <v>143</v>
      </c>
      <c r="AA848">
        <v>0.05</v>
      </c>
      <c r="AB848">
        <v>144</v>
      </c>
      <c r="AC848">
        <v>0.15</v>
      </c>
      <c r="AD848">
        <v>0</v>
      </c>
      <c r="AE848">
        <v>0</v>
      </c>
      <c r="AF848">
        <v>0.2</v>
      </c>
      <c r="AG848">
        <v>312</v>
      </c>
      <c r="AH848">
        <v>0</v>
      </c>
    </row>
    <row r="849" spans="1:34" x14ac:dyDescent="0.35">
      <c r="A849" t="s">
        <v>34</v>
      </c>
      <c r="B849" s="1">
        <v>46146.65625</v>
      </c>
      <c r="C849" t="s">
        <v>34</v>
      </c>
      <c r="D849" s="1">
        <v>46149.625</v>
      </c>
      <c r="E849">
        <v>6275</v>
      </c>
      <c r="F849" t="s">
        <v>36</v>
      </c>
      <c r="G849">
        <v>0.15</v>
      </c>
      <c r="H849">
        <v>0.15</v>
      </c>
      <c r="I849">
        <v>0.15</v>
      </c>
      <c r="J849">
        <v>0.15</v>
      </c>
      <c r="K849">
        <v>1</v>
      </c>
      <c r="L849">
        <v>334</v>
      </c>
      <c r="M849">
        <v>0.05</v>
      </c>
      <c r="N849">
        <v>310</v>
      </c>
      <c r="O849">
        <v>0.15</v>
      </c>
      <c r="P849">
        <v>0</v>
      </c>
      <c r="Q849">
        <v>0</v>
      </c>
      <c r="R849">
        <v>0</v>
      </c>
      <c r="S849">
        <v>0</v>
      </c>
      <c r="T849">
        <v>0.50209999999999999</v>
      </c>
      <c r="U849">
        <v>-1.1999999999999999E-3</v>
      </c>
      <c r="V849">
        <v>0</v>
      </c>
      <c r="W849">
        <v>-9.4E-2</v>
      </c>
      <c r="X849">
        <v>2.63E-2</v>
      </c>
      <c r="Y849">
        <v>-6.9999999999999999E-4</v>
      </c>
      <c r="Z849">
        <v>137</v>
      </c>
      <c r="AA849">
        <v>0.05</v>
      </c>
      <c r="AB849">
        <v>186</v>
      </c>
      <c r="AC849">
        <v>0.2</v>
      </c>
      <c r="AD849">
        <v>0</v>
      </c>
      <c r="AE849">
        <v>0</v>
      </c>
      <c r="AF849">
        <v>0.15</v>
      </c>
      <c r="AG849">
        <v>160</v>
      </c>
      <c r="AH849">
        <v>0</v>
      </c>
    </row>
    <row r="850" spans="1:34" x14ac:dyDescent="0.35">
      <c r="A850" t="s">
        <v>34</v>
      </c>
      <c r="B850" s="1">
        <v>46146.65625</v>
      </c>
      <c r="C850" t="s">
        <v>34</v>
      </c>
      <c r="D850" s="1">
        <v>46149.625</v>
      </c>
      <c r="E850">
        <v>6300</v>
      </c>
      <c r="F850" t="s">
        <v>36</v>
      </c>
      <c r="G850">
        <v>0.15</v>
      </c>
      <c r="H850">
        <v>0.15</v>
      </c>
      <c r="I850">
        <v>0.1</v>
      </c>
      <c r="J850">
        <v>0.1</v>
      </c>
      <c r="K850">
        <v>253</v>
      </c>
      <c r="L850">
        <v>91</v>
      </c>
      <c r="M850">
        <v>0.1</v>
      </c>
      <c r="N850">
        <v>224</v>
      </c>
      <c r="O850">
        <v>0.15</v>
      </c>
      <c r="P850">
        <v>0</v>
      </c>
      <c r="Q850">
        <v>0</v>
      </c>
      <c r="R850">
        <v>0</v>
      </c>
      <c r="S850">
        <v>0</v>
      </c>
      <c r="T850">
        <v>0.49809999999999999</v>
      </c>
      <c r="U850">
        <v>-1.4E-3</v>
      </c>
      <c r="V850">
        <v>0</v>
      </c>
      <c r="W850">
        <v>-0.1168</v>
      </c>
      <c r="X850">
        <v>3.1800000000000002E-2</v>
      </c>
      <c r="Y850">
        <v>-8.0000000000000004E-4</v>
      </c>
      <c r="Z850">
        <v>19</v>
      </c>
      <c r="AA850">
        <v>0.1</v>
      </c>
      <c r="AB850">
        <v>186</v>
      </c>
      <c r="AC850">
        <v>0.2</v>
      </c>
      <c r="AD850">
        <v>0</v>
      </c>
      <c r="AE850">
        <v>0</v>
      </c>
      <c r="AF850">
        <v>0.14979999999999999</v>
      </c>
      <c r="AG850">
        <v>425</v>
      </c>
      <c r="AH850">
        <v>0</v>
      </c>
    </row>
    <row r="851" spans="1:34" x14ac:dyDescent="0.35">
      <c r="A851" t="s">
        <v>34</v>
      </c>
      <c r="B851" s="1">
        <v>46146.65625</v>
      </c>
      <c r="C851" t="s">
        <v>34</v>
      </c>
      <c r="D851" s="1">
        <v>46149.625</v>
      </c>
      <c r="E851">
        <v>6325</v>
      </c>
      <c r="F851" t="s">
        <v>36</v>
      </c>
      <c r="G851">
        <v>0.2</v>
      </c>
      <c r="H851">
        <v>0.2</v>
      </c>
      <c r="I851">
        <v>0.15</v>
      </c>
      <c r="J851">
        <v>0.15</v>
      </c>
      <c r="K851">
        <v>251</v>
      </c>
      <c r="L851">
        <v>112</v>
      </c>
      <c r="M851">
        <v>0.1</v>
      </c>
      <c r="N851">
        <v>145</v>
      </c>
      <c r="O851">
        <v>0.15</v>
      </c>
      <c r="P851">
        <v>0</v>
      </c>
      <c r="Q851">
        <v>0</v>
      </c>
      <c r="R851">
        <v>0</v>
      </c>
      <c r="S851">
        <v>0</v>
      </c>
      <c r="T851">
        <v>0.48459999999999998</v>
      </c>
      <c r="U851">
        <v>-1.5E-3</v>
      </c>
      <c r="V851">
        <v>0</v>
      </c>
      <c r="W851">
        <v>-0.1167</v>
      </c>
      <c r="X851">
        <v>3.2599999999999997E-2</v>
      </c>
      <c r="Y851">
        <v>-8.0000000000000004E-4</v>
      </c>
      <c r="Z851">
        <v>166</v>
      </c>
      <c r="AA851">
        <v>0.05</v>
      </c>
      <c r="AB851">
        <v>180</v>
      </c>
      <c r="AC851">
        <v>0.2</v>
      </c>
      <c r="AD851">
        <v>0</v>
      </c>
      <c r="AE851">
        <v>0</v>
      </c>
      <c r="AF851">
        <v>0.1502</v>
      </c>
      <c r="AG851">
        <v>107</v>
      </c>
      <c r="AH851">
        <v>0</v>
      </c>
    </row>
    <row r="852" spans="1:34" x14ac:dyDescent="0.35">
      <c r="A852" t="s">
        <v>34</v>
      </c>
      <c r="B852" s="1">
        <v>46146.65625</v>
      </c>
      <c r="C852" t="s">
        <v>34</v>
      </c>
      <c r="D852" s="1">
        <v>46149.625</v>
      </c>
      <c r="E852">
        <v>6350</v>
      </c>
      <c r="F852" t="s">
        <v>36</v>
      </c>
      <c r="G852">
        <v>0.15</v>
      </c>
      <c r="H852">
        <v>0.15</v>
      </c>
      <c r="I852">
        <v>0.15</v>
      </c>
      <c r="J852">
        <v>0.15</v>
      </c>
      <c r="K852">
        <v>6</v>
      </c>
      <c r="L852">
        <v>113</v>
      </c>
      <c r="M852">
        <v>0.1</v>
      </c>
      <c r="N852">
        <v>438</v>
      </c>
      <c r="O852">
        <v>0.2</v>
      </c>
      <c r="P852">
        <v>0</v>
      </c>
      <c r="Q852">
        <v>0</v>
      </c>
      <c r="R852">
        <v>0</v>
      </c>
      <c r="S852">
        <v>0</v>
      </c>
      <c r="T852">
        <v>0.47870000000000001</v>
      </c>
      <c r="U852">
        <v>-1.8E-3</v>
      </c>
      <c r="V852">
        <v>0</v>
      </c>
      <c r="W852">
        <v>-0.13930000000000001</v>
      </c>
      <c r="X852">
        <v>3.8399999999999997E-2</v>
      </c>
      <c r="Y852">
        <v>-1E-3</v>
      </c>
      <c r="Z852">
        <v>189</v>
      </c>
      <c r="AA852">
        <v>0.05</v>
      </c>
      <c r="AB852">
        <v>179</v>
      </c>
      <c r="AC852">
        <v>0.2</v>
      </c>
      <c r="AD852">
        <v>0</v>
      </c>
      <c r="AE852">
        <v>0</v>
      </c>
      <c r="AF852">
        <v>0.15</v>
      </c>
      <c r="AG852">
        <v>158</v>
      </c>
      <c r="AH852">
        <v>0</v>
      </c>
    </row>
    <row r="853" spans="1:34" x14ac:dyDescent="0.35">
      <c r="A853" t="s">
        <v>34</v>
      </c>
      <c r="B853" s="1">
        <v>46146.65625</v>
      </c>
      <c r="C853" t="s">
        <v>34</v>
      </c>
      <c r="D853" s="1">
        <v>46149.625</v>
      </c>
      <c r="E853">
        <v>6375</v>
      </c>
      <c r="F853" t="s">
        <v>36</v>
      </c>
      <c r="G853">
        <v>0.2</v>
      </c>
      <c r="H853">
        <v>0.2</v>
      </c>
      <c r="I853">
        <v>0.15</v>
      </c>
      <c r="J853">
        <v>0.15</v>
      </c>
      <c r="K853">
        <v>2</v>
      </c>
      <c r="L853">
        <v>317</v>
      </c>
      <c r="M853">
        <v>0.1</v>
      </c>
      <c r="N853">
        <v>496</v>
      </c>
      <c r="O853">
        <v>0.2</v>
      </c>
      <c r="P853">
        <v>0</v>
      </c>
      <c r="Q853">
        <v>0</v>
      </c>
      <c r="R853">
        <v>0</v>
      </c>
      <c r="S853">
        <v>0</v>
      </c>
      <c r="T853">
        <v>0.46500000000000002</v>
      </c>
      <c r="U853">
        <v>-1.8E-3</v>
      </c>
      <c r="V853">
        <v>0</v>
      </c>
      <c r="W853">
        <v>-0.13919999999999999</v>
      </c>
      <c r="X853">
        <v>3.95E-2</v>
      </c>
      <c r="Y853">
        <v>-1E-3</v>
      </c>
      <c r="Z853">
        <v>36</v>
      </c>
      <c r="AA853">
        <v>0.1</v>
      </c>
      <c r="AB853">
        <v>181</v>
      </c>
      <c r="AC853">
        <v>0.2</v>
      </c>
      <c r="AD853">
        <v>0</v>
      </c>
      <c r="AE853">
        <v>0</v>
      </c>
      <c r="AF853">
        <v>0.17499999999999999</v>
      </c>
      <c r="AG853">
        <v>149</v>
      </c>
      <c r="AH853">
        <v>0</v>
      </c>
    </row>
    <row r="854" spans="1:34" x14ac:dyDescent="0.35">
      <c r="A854" t="s">
        <v>34</v>
      </c>
      <c r="B854" s="1">
        <v>46146.65625</v>
      </c>
      <c r="C854" t="s">
        <v>34</v>
      </c>
      <c r="D854" s="1">
        <v>46149.625</v>
      </c>
      <c r="E854">
        <v>6400</v>
      </c>
      <c r="F854" t="s">
        <v>36</v>
      </c>
      <c r="G854">
        <v>0.15</v>
      </c>
      <c r="H854">
        <v>0.25</v>
      </c>
      <c r="I854">
        <v>0.15</v>
      </c>
      <c r="J854">
        <v>0.25</v>
      </c>
      <c r="K854">
        <v>151</v>
      </c>
      <c r="L854">
        <v>1</v>
      </c>
      <c r="M854">
        <v>0.15</v>
      </c>
      <c r="N854">
        <v>524</v>
      </c>
      <c r="O854">
        <v>0.2</v>
      </c>
      <c r="P854">
        <v>0</v>
      </c>
      <c r="Q854">
        <v>0</v>
      </c>
      <c r="R854">
        <v>0</v>
      </c>
      <c r="S854">
        <v>0</v>
      </c>
      <c r="T854">
        <v>0.4577</v>
      </c>
      <c r="U854">
        <v>-2.0999999999999999E-3</v>
      </c>
      <c r="V854">
        <v>0</v>
      </c>
      <c r="W854">
        <v>-0.1615</v>
      </c>
      <c r="X854">
        <v>4.5499999999999999E-2</v>
      </c>
      <c r="Y854">
        <v>-1.1999999999999999E-3</v>
      </c>
      <c r="Z854">
        <v>37</v>
      </c>
      <c r="AA854">
        <v>0.1</v>
      </c>
      <c r="AB854">
        <v>170</v>
      </c>
      <c r="AC854">
        <v>0.2</v>
      </c>
      <c r="AD854">
        <v>0</v>
      </c>
      <c r="AE854">
        <v>0</v>
      </c>
      <c r="AF854">
        <v>0.24929999999999999</v>
      </c>
      <c r="AG854">
        <v>981</v>
      </c>
      <c r="AH854">
        <v>0</v>
      </c>
    </row>
    <row r="855" spans="1:34" x14ac:dyDescent="0.35">
      <c r="A855" t="s">
        <v>34</v>
      </c>
      <c r="B855" s="1">
        <v>46146.65625</v>
      </c>
      <c r="C855" t="s">
        <v>34</v>
      </c>
      <c r="D855" s="1">
        <v>46149.625</v>
      </c>
      <c r="E855">
        <v>6425</v>
      </c>
      <c r="F855" t="s">
        <v>36</v>
      </c>
      <c r="G855">
        <v>0.2</v>
      </c>
      <c r="H855">
        <v>0.2</v>
      </c>
      <c r="I855">
        <v>0.2</v>
      </c>
      <c r="J855">
        <v>0.2</v>
      </c>
      <c r="K855">
        <v>2</v>
      </c>
      <c r="L855">
        <v>287</v>
      </c>
      <c r="M855">
        <v>0.1</v>
      </c>
      <c r="N855">
        <v>331</v>
      </c>
      <c r="O855">
        <v>0.2</v>
      </c>
      <c r="P855">
        <v>0</v>
      </c>
      <c r="Q855">
        <v>0</v>
      </c>
      <c r="R855">
        <v>0</v>
      </c>
      <c r="S855">
        <v>0</v>
      </c>
      <c r="T855">
        <v>0.43769999999999998</v>
      </c>
      <c r="U855">
        <v>-1.9E-3</v>
      </c>
      <c r="V855">
        <v>0</v>
      </c>
      <c r="W855">
        <v>-0.1389</v>
      </c>
      <c r="X855">
        <v>4.1799999999999997E-2</v>
      </c>
      <c r="Y855">
        <v>-1.1000000000000001E-3</v>
      </c>
      <c r="Z855">
        <v>38</v>
      </c>
      <c r="AA855">
        <v>0.1</v>
      </c>
      <c r="AB855">
        <v>107</v>
      </c>
      <c r="AC855">
        <v>0.2</v>
      </c>
      <c r="AD855">
        <v>0</v>
      </c>
      <c r="AE855">
        <v>0</v>
      </c>
      <c r="AF855">
        <v>0.2</v>
      </c>
      <c r="AG855">
        <v>182</v>
      </c>
      <c r="AH855">
        <v>0</v>
      </c>
    </row>
    <row r="856" spans="1:34" x14ac:dyDescent="0.35">
      <c r="A856" t="s">
        <v>34</v>
      </c>
      <c r="B856" s="1">
        <v>46146.65625</v>
      </c>
      <c r="C856" t="s">
        <v>34</v>
      </c>
      <c r="D856" s="1">
        <v>46149.625</v>
      </c>
      <c r="E856">
        <v>6450</v>
      </c>
      <c r="F856" t="s">
        <v>36</v>
      </c>
      <c r="G856">
        <v>0.2</v>
      </c>
      <c r="H856">
        <v>0.25</v>
      </c>
      <c r="I856">
        <v>0.2</v>
      </c>
      <c r="J856">
        <v>0.25</v>
      </c>
      <c r="K856">
        <v>103</v>
      </c>
      <c r="L856">
        <v>133</v>
      </c>
      <c r="M856">
        <v>0.15</v>
      </c>
      <c r="N856">
        <v>212</v>
      </c>
      <c r="O856">
        <v>0.2</v>
      </c>
      <c r="P856">
        <v>0</v>
      </c>
      <c r="Q856">
        <v>0</v>
      </c>
      <c r="R856">
        <v>0</v>
      </c>
      <c r="S856">
        <v>0</v>
      </c>
      <c r="T856">
        <v>0.43009999999999998</v>
      </c>
      <c r="U856">
        <v>-2.2000000000000001E-3</v>
      </c>
      <c r="V856">
        <v>0</v>
      </c>
      <c r="W856">
        <v>-0.16109999999999999</v>
      </c>
      <c r="X856">
        <v>4.8099999999999997E-2</v>
      </c>
      <c r="Y856">
        <v>-1.2999999999999999E-3</v>
      </c>
      <c r="Z856">
        <v>93</v>
      </c>
      <c r="AA856">
        <v>0.1</v>
      </c>
      <c r="AB856">
        <v>108</v>
      </c>
      <c r="AC856">
        <v>0.2</v>
      </c>
      <c r="AD856">
        <v>0</v>
      </c>
      <c r="AE856">
        <v>0</v>
      </c>
      <c r="AF856">
        <v>0.2495</v>
      </c>
      <c r="AG856">
        <v>569</v>
      </c>
      <c r="AH856">
        <v>0</v>
      </c>
    </row>
    <row r="857" spans="1:34" x14ac:dyDescent="0.35">
      <c r="A857" t="s">
        <v>34</v>
      </c>
      <c r="B857" s="1">
        <v>46146.65625</v>
      </c>
      <c r="C857" t="s">
        <v>34</v>
      </c>
      <c r="D857" s="1">
        <v>46149.625</v>
      </c>
      <c r="E857">
        <v>6460</v>
      </c>
      <c r="F857" t="s">
        <v>36</v>
      </c>
      <c r="G857">
        <v>0.25</v>
      </c>
      <c r="H857">
        <v>0.25</v>
      </c>
      <c r="I857">
        <v>0.25</v>
      </c>
      <c r="J857">
        <v>0.25</v>
      </c>
      <c r="K857">
        <v>50</v>
      </c>
      <c r="L857">
        <v>44</v>
      </c>
      <c r="M857">
        <v>0.15</v>
      </c>
      <c r="N857">
        <v>143</v>
      </c>
      <c r="O857">
        <v>0.2</v>
      </c>
      <c r="P857">
        <v>0</v>
      </c>
      <c r="Q857">
        <v>0</v>
      </c>
      <c r="R857">
        <v>0</v>
      </c>
      <c r="S857">
        <v>0</v>
      </c>
      <c r="T857">
        <v>0.42430000000000001</v>
      </c>
      <c r="U857">
        <v>-2.3E-3</v>
      </c>
      <c r="V857">
        <v>0</v>
      </c>
      <c r="W857">
        <v>-0.16109999999999999</v>
      </c>
      <c r="X857">
        <v>4.87E-2</v>
      </c>
      <c r="Y857">
        <v>-1.2999999999999999E-3</v>
      </c>
      <c r="Z857">
        <v>143</v>
      </c>
      <c r="AA857">
        <v>0.1</v>
      </c>
      <c r="AB857">
        <v>163</v>
      </c>
      <c r="AC857">
        <v>0.25</v>
      </c>
      <c r="AD857">
        <v>0</v>
      </c>
      <c r="AE857">
        <v>0</v>
      </c>
      <c r="AF857">
        <v>0.25</v>
      </c>
      <c r="AG857">
        <v>177</v>
      </c>
      <c r="AH857">
        <v>0</v>
      </c>
    </row>
    <row r="858" spans="1:34" x14ac:dyDescent="0.35">
      <c r="A858" t="s">
        <v>34</v>
      </c>
      <c r="B858" s="1">
        <v>46146.65625</v>
      </c>
      <c r="C858" t="s">
        <v>34</v>
      </c>
      <c r="D858" s="1">
        <v>46149.625</v>
      </c>
      <c r="E858">
        <v>6470</v>
      </c>
      <c r="F858" t="s">
        <v>36</v>
      </c>
      <c r="G858">
        <v>0.25</v>
      </c>
      <c r="H858">
        <v>0.25</v>
      </c>
      <c r="I858">
        <v>0.25</v>
      </c>
      <c r="J858">
        <v>0.25</v>
      </c>
      <c r="K858">
        <v>50</v>
      </c>
      <c r="L858">
        <v>95</v>
      </c>
      <c r="M858">
        <v>0.15</v>
      </c>
      <c r="N858">
        <v>92</v>
      </c>
      <c r="O858">
        <v>0.2</v>
      </c>
      <c r="P858">
        <v>0</v>
      </c>
      <c r="Q858">
        <v>0</v>
      </c>
      <c r="R858">
        <v>0</v>
      </c>
      <c r="S858">
        <v>0</v>
      </c>
      <c r="T858">
        <v>0.41889999999999999</v>
      </c>
      <c r="U858">
        <v>-2.3E-3</v>
      </c>
      <c r="V858">
        <v>0</v>
      </c>
      <c r="W858">
        <v>-0.161</v>
      </c>
      <c r="X858">
        <v>4.9299999999999997E-2</v>
      </c>
      <c r="Y858">
        <v>-1.2999999999999999E-3</v>
      </c>
      <c r="Z858">
        <v>143</v>
      </c>
      <c r="AA858">
        <v>0.1</v>
      </c>
      <c r="AB858">
        <v>160</v>
      </c>
      <c r="AC858">
        <v>0.25</v>
      </c>
      <c r="AD858">
        <v>0</v>
      </c>
      <c r="AE858">
        <v>0</v>
      </c>
      <c r="AF858">
        <v>0.25</v>
      </c>
      <c r="AG858">
        <v>9</v>
      </c>
      <c r="AH858">
        <v>0</v>
      </c>
    </row>
    <row r="859" spans="1:34" x14ac:dyDescent="0.35">
      <c r="A859" t="s">
        <v>34</v>
      </c>
      <c r="B859" s="1">
        <v>46146.65625</v>
      </c>
      <c r="C859" t="s">
        <v>34</v>
      </c>
      <c r="D859" s="1">
        <v>46149.625</v>
      </c>
      <c r="E859">
        <v>6475</v>
      </c>
      <c r="F859" t="s">
        <v>36</v>
      </c>
      <c r="G859">
        <v>0.2</v>
      </c>
      <c r="H859">
        <v>0.31</v>
      </c>
      <c r="I859">
        <v>0.2</v>
      </c>
      <c r="J859">
        <v>0.24</v>
      </c>
      <c r="K859">
        <v>154</v>
      </c>
      <c r="L859">
        <v>135</v>
      </c>
      <c r="M859">
        <v>0.15</v>
      </c>
      <c r="N859">
        <v>509</v>
      </c>
      <c r="O859">
        <v>0.25</v>
      </c>
      <c r="P859">
        <v>0</v>
      </c>
      <c r="Q859">
        <v>0</v>
      </c>
      <c r="R859">
        <v>0</v>
      </c>
      <c r="S859">
        <v>0</v>
      </c>
      <c r="T859">
        <v>0.42159999999999997</v>
      </c>
      <c r="U859">
        <v>-2.5999999999999999E-3</v>
      </c>
      <c r="V859">
        <v>0</v>
      </c>
      <c r="W859">
        <v>-0.1832</v>
      </c>
      <c r="X859">
        <v>5.4600000000000003E-2</v>
      </c>
      <c r="Y859">
        <v>-1.5E-3</v>
      </c>
      <c r="Z859">
        <v>157</v>
      </c>
      <c r="AA859">
        <v>0.1</v>
      </c>
      <c r="AB859">
        <v>179</v>
      </c>
      <c r="AC859">
        <v>0.25</v>
      </c>
      <c r="AD859">
        <v>0</v>
      </c>
      <c r="AE859">
        <v>0</v>
      </c>
      <c r="AF859">
        <v>0.2984</v>
      </c>
      <c r="AG859">
        <v>106</v>
      </c>
      <c r="AH859">
        <v>0</v>
      </c>
    </row>
    <row r="860" spans="1:34" x14ac:dyDescent="0.35">
      <c r="A860" t="s">
        <v>34</v>
      </c>
      <c r="B860" s="1">
        <v>46146.65625</v>
      </c>
      <c r="C860" t="s">
        <v>34</v>
      </c>
      <c r="D860" s="1">
        <v>46149.625</v>
      </c>
      <c r="E860">
        <v>6480</v>
      </c>
      <c r="F860" t="s">
        <v>36</v>
      </c>
      <c r="G860">
        <v>0.2</v>
      </c>
      <c r="H860">
        <v>0.2</v>
      </c>
      <c r="I860">
        <v>0.2</v>
      </c>
      <c r="J860">
        <v>0.2</v>
      </c>
      <c r="K860">
        <v>1</v>
      </c>
      <c r="L860">
        <v>97</v>
      </c>
      <c r="M860">
        <v>0.15</v>
      </c>
      <c r="N860">
        <v>494</v>
      </c>
      <c r="O860">
        <v>0.25</v>
      </c>
      <c r="P860">
        <v>0</v>
      </c>
      <c r="Q860">
        <v>0</v>
      </c>
      <c r="R860">
        <v>0</v>
      </c>
      <c r="S860">
        <v>0</v>
      </c>
      <c r="T860">
        <v>0.41880000000000001</v>
      </c>
      <c r="U860">
        <v>-2.5999999999999999E-3</v>
      </c>
      <c r="V860">
        <v>0</v>
      </c>
      <c r="W860">
        <v>-0.18310000000000001</v>
      </c>
      <c r="X860">
        <v>5.4899999999999997E-2</v>
      </c>
      <c r="Y860">
        <v>-1.5E-3</v>
      </c>
      <c r="Z860">
        <v>146</v>
      </c>
      <c r="AA860">
        <v>0.1</v>
      </c>
      <c r="AB860">
        <v>159</v>
      </c>
      <c r="AC860">
        <v>0.25</v>
      </c>
      <c r="AD860">
        <v>0</v>
      </c>
      <c r="AE860">
        <v>0</v>
      </c>
      <c r="AF860">
        <v>0.2</v>
      </c>
      <c r="AG860">
        <v>11</v>
      </c>
      <c r="AH860">
        <v>0</v>
      </c>
    </row>
    <row r="861" spans="1:34" x14ac:dyDescent="0.35">
      <c r="A861" t="s">
        <v>34</v>
      </c>
      <c r="B861" s="1">
        <v>46146.65625</v>
      </c>
      <c r="C861" t="s">
        <v>34</v>
      </c>
      <c r="D861" s="1">
        <v>46149.625</v>
      </c>
      <c r="E861">
        <v>6490</v>
      </c>
      <c r="F861" t="s">
        <v>36</v>
      </c>
      <c r="G861">
        <v>0.3</v>
      </c>
      <c r="H861">
        <v>0.3</v>
      </c>
      <c r="I861">
        <v>0.3</v>
      </c>
      <c r="J861">
        <v>0.3</v>
      </c>
      <c r="K861">
        <v>5</v>
      </c>
      <c r="L861">
        <v>98</v>
      </c>
      <c r="M861">
        <v>0.15</v>
      </c>
      <c r="N861">
        <v>478</v>
      </c>
      <c r="O861">
        <v>0.25</v>
      </c>
      <c r="P861">
        <v>0</v>
      </c>
      <c r="Q861">
        <v>0</v>
      </c>
      <c r="R861">
        <v>0</v>
      </c>
      <c r="S861">
        <v>0</v>
      </c>
      <c r="T861">
        <v>0.4133</v>
      </c>
      <c r="U861">
        <v>-2.5999999999999999E-3</v>
      </c>
      <c r="V861">
        <v>0</v>
      </c>
      <c r="W861">
        <v>-0.183</v>
      </c>
      <c r="X861">
        <v>5.5599999999999997E-2</v>
      </c>
      <c r="Y861">
        <v>-1.5E-3</v>
      </c>
      <c r="Z861">
        <v>143</v>
      </c>
      <c r="AA861">
        <v>0.1</v>
      </c>
      <c r="AB861">
        <v>158</v>
      </c>
      <c r="AC861">
        <v>0.25</v>
      </c>
      <c r="AD861">
        <v>0</v>
      </c>
      <c r="AE861">
        <v>0</v>
      </c>
      <c r="AF861">
        <v>0.3</v>
      </c>
      <c r="AG861">
        <v>242</v>
      </c>
      <c r="AH861">
        <v>0</v>
      </c>
    </row>
    <row r="862" spans="1:34" x14ac:dyDescent="0.35">
      <c r="A862" t="s">
        <v>34</v>
      </c>
      <c r="B862" s="1">
        <v>46146.65625</v>
      </c>
      <c r="C862" t="s">
        <v>34</v>
      </c>
      <c r="D862" s="1">
        <v>46149.625</v>
      </c>
      <c r="E862">
        <v>6500</v>
      </c>
      <c r="F862" t="s">
        <v>36</v>
      </c>
      <c r="G862">
        <v>0.25</v>
      </c>
      <c r="H862">
        <v>0.38</v>
      </c>
      <c r="I862">
        <v>0.25</v>
      </c>
      <c r="J862">
        <v>0.38</v>
      </c>
      <c r="K862">
        <v>11</v>
      </c>
      <c r="L862">
        <v>231</v>
      </c>
      <c r="M862">
        <v>0.15</v>
      </c>
      <c r="N862">
        <v>483</v>
      </c>
      <c r="O862">
        <v>0.25</v>
      </c>
      <c r="P862">
        <v>0</v>
      </c>
      <c r="Q862">
        <v>0</v>
      </c>
      <c r="R862">
        <v>0</v>
      </c>
      <c r="S862">
        <v>0</v>
      </c>
      <c r="T862">
        <v>0.40770000000000001</v>
      </c>
      <c r="U862">
        <v>-2.7000000000000001E-3</v>
      </c>
      <c r="V862">
        <v>0</v>
      </c>
      <c r="W862">
        <v>-0.18290000000000001</v>
      </c>
      <c r="X862">
        <v>5.6300000000000003E-2</v>
      </c>
      <c r="Y862">
        <v>-1.5E-3</v>
      </c>
      <c r="Z862">
        <v>154</v>
      </c>
      <c r="AA862">
        <v>0.1</v>
      </c>
      <c r="AB862">
        <v>167</v>
      </c>
      <c r="AC862">
        <v>0.25</v>
      </c>
      <c r="AD862">
        <v>0</v>
      </c>
      <c r="AE862">
        <v>0</v>
      </c>
      <c r="AF862">
        <v>0.29730000000000001</v>
      </c>
      <c r="AG862">
        <v>391</v>
      </c>
      <c r="AH862">
        <v>0</v>
      </c>
    </row>
    <row r="863" spans="1:34" x14ac:dyDescent="0.35">
      <c r="A863" t="s">
        <v>34</v>
      </c>
      <c r="B863" s="1">
        <v>46146.65625</v>
      </c>
      <c r="C863" t="s">
        <v>34</v>
      </c>
      <c r="D863" s="1">
        <v>46149.625</v>
      </c>
      <c r="E863">
        <v>6510</v>
      </c>
      <c r="F863" t="s">
        <v>36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354</v>
      </c>
      <c r="M863">
        <v>0.15</v>
      </c>
      <c r="N863">
        <v>315</v>
      </c>
      <c r="O863">
        <v>0.25</v>
      </c>
      <c r="P863">
        <v>0</v>
      </c>
      <c r="Q863">
        <v>0</v>
      </c>
      <c r="R863">
        <v>0</v>
      </c>
      <c r="S863">
        <v>0</v>
      </c>
      <c r="T863">
        <v>0.4022</v>
      </c>
      <c r="U863">
        <v>-2.7000000000000001E-3</v>
      </c>
      <c r="V863">
        <v>0</v>
      </c>
      <c r="W863">
        <v>-0.18290000000000001</v>
      </c>
      <c r="X863">
        <v>5.7000000000000002E-2</v>
      </c>
      <c r="Y863">
        <v>-1.5E-3</v>
      </c>
      <c r="Z863">
        <v>33</v>
      </c>
      <c r="AA863">
        <v>0.15</v>
      </c>
      <c r="AB863">
        <v>161</v>
      </c>
      <c r="AC863">
        <v>0.25</v>
      </c>
      <c r="AD863">
        <v>0</v>
      </c>
      <c r="AE863">
        <v>0</v>
      </c>
      <c r="AF863">
        <v>0</v>
      </c>
      <c r="AG863">
        <v>83</v>
      </c>
      <c r="AH863">
        <v>0</v>
      </c>
    </row>
    <row r="864" spans="1:34" x14ac:dyDescent="0.35">
      <c r="A864" t="s">
        <v>34</v>
      </c>
      <c r="B864" s="1">
        <v>46146.65625</v>
      </c>
      <c r="C864" t="s">
        <v>34</v>
      </c>
      <c r="D864" s="1">
        <v>46149.625</v>
      </c>
      <c r="E864">
        <v>6520</v>
      </c>
      <c r="F864" t="s">
        <v>36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252</v>
      </c>
      <c r="M864">
        <v>0.15</v>
      </c>
      <c r="N864">
        <v>313</v>
      </c>
      <c r="O864">
        <v>0.25</v>
      </c>
      <c r="P864">
        <v>0</v>
      </c>
      <c r="Q864">
        <v>0</v>
      </c>
      <c r="R864">
        <v>0</v>
      </c>
      <c r="S864">
        <v>0</v>
      </c>
      <c r="T864">
        <v>0.39660000000000001</v>
      </c>
      <c r="U864">
        <v>-2.7000000000000001E-3</v>
      </c>
      <c r="V864">
        <v>0</v>
      </c>
      <c r="W864">
        <v>-0.18279999999999999</v>
      </c>
      <c r="X864">
        <v>5.7700000000000001E-2</v>
      </c>
      <c r="Y864">
        <v>-1.6000000000000001E-3</v>
      </c>
      <c r="Z864">
        <v>34</v>
      </c>
      <c r="AA864">
        <v>0.15</v>
      </c>
      <c r="AB864">
        <v>161</v>
      </c>
      <c r="AC864">
        <v>0.25</v>
      </c>
      <c r="AD864">
        <v>0</v>
      </c>
      <c r="AE864">
        <v>0</v>
      </c>
      <c r="AF864">
        <v>0</v>
      </c>
      <c r="AG864">
        <v>20</v>
      </c>
      <c r="AH864">
        <v>0</v>
      </c>
    </row>
    <row r="865" spans="1:34" x14ac:dyDescent="0.35">
      <c r="A865" t="s">
        <v>34</v>
      </c>
      <c r="B865" s="1">
        <v>46146.65625</v>
      </c>
      <c r="C865" t="s">
        <v>34</v>
      </c>
      <c r="D865" s="1">
        <v>46149.625</v>
      </c>
      <c r="E865">
        <v>6525</v>
      </c>
      <c r="F865" t="s">
        <v>36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303</v>
      </c>
      <c r="M865">
        <v>0.15</v>
      </c>
      <c r="N865">
        <v>325</v>
      </c>
      <c r="O865">
        <v>0.25</v>
      </c>
      <c r="P865">
        <v>0</v>
      </c>
      <c r="Q865">
        <v>0</v>
      </c>
      <c r="R865">
        <v>0</v>
      </c>
      <c r="S865">
        <v>0</v>
      </c>
      <c r="T865">
        <v>0.39389999999999997</v>
      </c>
      <c r="U865">
        <v>-2.7000000000000001E-3</v>
      </c>
      <c r="V865">
        <v>0</v>
      </c>
      <c r="W865">
        <v>-0.1827</v>
      </c>
      <c r="X865">
        <v>5.8099999999999999E-2</v>
      </c>
      <c r="Y865">
        <v>-1.6000000000000001E-3</v>
      </c>
      <c r="Z865">
        <v>33</v>
      </c>
      <c r="AA865">
        <v>0.15</v>
      </c>
      <c r="AB865">
        <v>145</v>
      </c>
      <c r="AC865">
        <v>0.25</v>
      </c>
      <c r="AD865">
        <v>0</v>
      </c>
      <c r="AE865">
        <v>0</v>
      </c>
      <c r="AF865">
        <v>0</v>
      </c>
      <c r="AG865">
        <v>119</v>
      </c>
      <c r="AH865">
        <v>0</v>
      </c>
    </row>
    <row r="866" spans="1:34" x14ac:dyDescent="0.35">
      <c r="A866" t="s">
        <v>34</v>
      </c>
      <c r="B866" s="1">
        <v>46146.65625</v>
      </c>
      <c r="C866" t="s">
        <v>34</v>
      </c>
      <c r="D866" s="1">
        <v>46149.625</v>
      </c>
      <c r="E866">
        <v>6530</v>
      </c>
      <c r="F866" t="s">
        <v>36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458</v>
      </c>
      <c r="M866">
        <v>0.15</v>
      </c>
      <c r="N866">
        <v>310</v>
      </c>
      <c r="O866">
        <v>0.25</v>
      </c>
      <c r="P866">
        <v>0</v>
      </c>
      <c r="Q866">
        <v>0</v>
      </c>
      <c r="R866">
        <v>0</v>
      </c>
      <c r="S866">
        <v>0</v>
      </c>
      <c r="T866">
        <v>0.3911</v>
      </c>
      <c r="U866">
        <v>-2.8E-3</v>
      </c>
      <c r="V866">
        <v>0</v>
      </c>
      <c r="W866">
        <v>-0.1827</v>
      </c>
      <c r="X866">
        <v>5.8500000000000003E-2</v>
      </c>
      <c r="Y866">
        <v>-1.6000000000000001E-3</v>
      </c>
      <c r="Z866">
        <v>34</v>
      </c>
      <c r="AA866">
        <v>0.15</v>
      </c>
      <c r="AB866">
        <v>132</v>
      </c>
      <c r="AC866">
        <v>0.25</v>
      </c>
      <c r="AD866">
        <v>0</v>
      </c>
      <c r="AE866">
        <v>0</v>
      </c>
      <c r="AF866">
        <v>0</v>
      </c>
      <c r="AG866">
        <v>40</v>
      </c>
      <c r="AH866">
        <v>0</v>
      </c>
    </row>
    <row r="867" spans="1:34" x14ac:dyDescent="0.35">
      <c r="A867" t="s">
        <v>34</v>
      </c>
      <c r="B867" s="1">
        <v>46146.65625</v>
      </c>
      <c r="C867" t="s">
        <v>34</v>
      </c>
      <c r="D867" s="1">
        <v>46149.625</v>
      </c>
      <c r="E867">
        <v>6540</v>
      </c>
      <c r="F867" t="s">
        <v>36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354</v>
      </c>
      <c r="M867">
        <v>0.15</v>
      </c>
      <c r="N867">
        <v>227</v>
      </c>
      <c r="O867">
        <v>0.25</v>
      </c>
      <c r="P867">
        <v>0</v>
      </c>
      <c r="Q867">
        <v>0</v>
      </c>
      <c r="R867">
        <v>0</v>
      </c>
      <c r="S867">
        <v>0</v>
      </c>
      <c r="T867">
        <v>0.38529999999999998</v>
      </c>
      <c r="U867">
        <v>-2.8E-3</v>
      </c>
      <c r="V867">
        <v>0</v>
      </c>
      <c r="W867">
        <v>-0.18260000000000001</v>
      </c>
      <c r="X867">
        <v>5.9299999999999999E-2</v>
      </c>
      <c r="Y867">
        <v>-1.6000000000000001E-3</v>
      </c>
      <c r="Z867">
        <v>34</v>
      </c>
      <c r="AA867">
        <v>0.15</v>
      </c>
      <c r="AB867">
        <v>98</v>
      </c>
      <c r="AC867">
        <v>0.25</v>
      </c>
      <c r="AD867">
        <v>0</v>
      </c>
      <c r="AE867">
        <v>0</v>
      </c>
      <c r="AF867">
        <v>0</v>
      </c>
      <c r="AG867">
        <v>13</v>
      </c>
      <c r="AH867">
        <v>0</v>
      </c>
    </row>
    <row r="868" spans="1:34" x14ac:dyDescent="0.35">
      <c r="A868" t="s">
        <v>34</v>
      </c>
      <c r="B868" s="1">
        <v>46146.65625</v>
      </c>
      <c r="C868" t="s">
        <v>34</v>
      </c>
      <c r="D868" s="1">
        <v>46149.625</v>
      </c>
      <c r="E868">
        <v>6550</v>
      </c>
      <c r="F868" t="s">
        <v>36</v>
      </c>
      <c r="G868">
        <v>0.25</v>
      </c>
      <c r="H868">
        <v>0.25</v>
      </c>
      <c r="I868">
        <v>0.2</v>
      </c>
      <c r="J868">
        <v>0.2</v>
      </c>
      <c r="K868">
        <v>4</v>
      </c>
      <c r="L868">
        <v>35</v>
      </c>
      <c r="M868">
        <v>0.2</v>
      </c>
      <c r="N868">
        <v>179</v>
      </c>
      <c r="O868">
        <v>0.25</v>
      </c>
      <c r="P868">
        <v>0</v>
      </c>
      <c r="Q868">
        <v>0</v>
      </c>
      <c r="R868">
        <v>0</v>
      </c>
      <c r="S868">
        <v>0</v>
      </c>
      <c r="T868">
        <v>0.37980000000000003</v>
      </c>
      <c r="U868">
        <v>-2.8E-3</v>
      </c>
      <c r="V868">
        <v>0</v>
      </c>
      <c r="W868">
        <v>-0.1825</v>
      </c>
      <c r="X868">
        <v>6.0100000000000001E-2</v>
      </c>
      <c r="Y868">
        <v>-1.6000000000000001E-3</v>
      </c>
      <c r="Z868">
        <v>34</v>
      </c>
      <c r="AA868">
        <v>0.15</v>
      </c>
      <c r="AB868">
        <v>139</v>
      </c>
      <c r="AC868">
        <v>0.25</v>
      </c>
      <c r="AD868">
        <v>0</v>
      </c>
      <c r="AE868">
        <v>0</v>
      </c>
      <c r="AF868">
        <v>0.21249999999999999</v>
      </c>
      <c r="AG868">
        <v>1038</v>
      </c>
      <c r="AH868">
        <v>0</v>
      </c>
    </row>
    <row r="869" spans="1:34" x14ac:dyDescent="0.35">
      <c r="A869" t="s">
        <v>34</v>
      </c>
      <c r="B869" s="1">
        <v>46146.65625</v>
      </c>
      <c r="C869" t="s">
        <v>34</v>
      </c>
      <c r="D869" s="1">
        <v>46149.625</v>
      </c>
      <c r="E869">
        <v>6560</v>
      </c>
      <c r="F869" t="s">
        <v>36</v>
      </c>
      <c r="G869">
        <v>0.2</v>
      </c>
      <c r="H869">
        <v>0.2</v>
      </c>
      <c r="I869">
        <v>0.2</v>
      </c>
      <c r="J869">
        <v>0.2</v>
      </c>
      <c r="K869">
        <v>4</v>
      </c>
      <c r="L869">
        <v>38</v>
      </c>
      <c r="M869">
        <v>0.2</v>
      </c>
      <c r="N869">
        <v>100</v>
      </c>
      <c r="O869">
        <v>0.25</v>
      </c>
      <c r="P869">
        <v>0</v>
      </c>
      <c r="Q869">
        <v>0</v>
      </c>
      <c r="R869">
        <v>0</v>
      </c>
      <c r="S869">
        <v>0</v>
      </c>
      <c r="T869">
        <v>0.37859999999999999</v>
      </c>
      <c r="U869">
        <v>-3.2000000000000002E-3</v>
      </c>
      <c r="V869">
        <v>0</v>
      </c>
      <c r="W869">
        <v>-0.20419999999999999</v>
      </c>
      <c r="X869">
        <v>6.6299999999999998E-2</v>
      </c>
      <c r="Y869">
        <v>-1.8E-3</v>
      </c>
      <c r="Z869">
        <v>35</v>
      </c>
      <c r="AA869">
        <v>0.15</v>
      </c>
      <c r="AB869">
        <v>123</v>
      </c>
      <c r="AC869">
        <v>0.25</v>
      </c>
      <c r="AD869">
        <v>0</v>
      </c>
      <c r="AE869">
        <v>0</v>
      </c>
      <c r="AF869">
        <v>0.2</v>
      </c>
      <c r="AG869">
        <v>67</v>
      </c>
      <c r="AH869">
        <v>0</v>
      </c>
    </row>
    <row r="870" spans="1:34" x14ac:dyDescent="0.35">
      <c r="A870" t="s">
        <v>34</v>
      </c>
      <c r="B870" s="1">
        <v>46146.65625</v>
      </c>
      <c r="C870" t="s">
        <v>34</v>
      </c>
      <c r="D870" s="1">
        <v>46149.625</v>
      </c>
      <c r="E870">
        <v>6570</v>
      </c>
      <c r="F870" t="s">
        <v>36</v>
      </c>
      <c r="G870">
        <v>0.25</v>
      </c>
      <c r="H870">
        <v>0.25</v>
      </c>
      <c r="I870">
        <v>0.2</v>
      </c>
      <c r="J870">
        <v>0.2</v>
      </c>
      <c r="K870">
        <v>53</v>
      </c>
      <c r="L870">
        <v>95</v>
      </c>
      <c r="M870">
        <v>0.2</v>
      </c>
      <c r="N870">
        <v>82</v>
      </c>
      <c r="O870">
        <v>0.25</v>
      </c>
      <c r="P870">
        <v>0</v>
      </c>
      <c r="Q870">
        <v>0</v>
      </c>
      <c r="R870">
        <v>0</v>
      </c>
      <c r="S870">
        <v>0</v>
      </c>
      <c r="T870">
        <v>0.373</v>
      </c>
      <c r="U870">
        <v>-3.2000000000000002E-3</v>
      </c>
      <c r="V870">
        <v>0</v>
      </c>
      <c r="W870">
        <v>-0.2041</v>
      </c>
      <c r="X870">
        <v>6.7199999999999996E-2</v>
      </c>
      <c r="Y870">
        <v>-1.8E-3</v>
      </c>
      <c r="Z870">
        <v>65</v>
      </c>
      <c r="AA870">
        <v>0.15</v>
      </c>
      <c r="AB870">
        <v>98</v>
      </c>
      <c r="AC870">
        <v>0.25</v>
      </c>
      <c r="AD870">
        <v>0</v>
      </c>
      <c r="AE870">
        <v>0</v>
      </c>
      <c r="AF870">
        <v>0.2462</v>
      </c>
      <c r="AG870">
        <v>149</v>
      </c>
      <c r="AH870">
        <v>0</v>
      </c>
    </row>
    <row r="871" spans="1:34" x14ac:dyDescent="0.35">
      <c r="A871" t="s">
        <v>34</v>
      </c>
      <c r="B871" s="1">
        <v>46146.65625</v>
      </c>
      <c r="C871" t="s">
        <v>34</v>
      </c>
      <c r="D871" s="1">
        <v>46149.625</v>
      </c>
      <c r="E871">
        <v>6575</v>
      </c>
      <c r="F871" t="s">
        <v>36</v>
      </c>
      <c r="G871">
        <v>0.2</v>
      </c>
      <c r="H871">
        <v>0.2</v>
      </c>
      <c r="I871">
        <v>0.2</v>
      </c>
      <c r="J871">
        <v>0.2</v>
      </c>
      <c r="K871">
        <v>1</v>
      </c>
      <c r="L871">
        <v>110</v>
      </c>
      <c r="M871">
        <v>0.2</v>
      </c>
      <c r="N871">
        <v>67</v>
      </c>
      <c r="O871">
        <v>0.25</v>
      </c>
      <c r="P871">
        <v>0</v>
      </c>
      <c r="Q871">
        <v>0</v>
      </c>
      <c r="R871">
        <v>0</v>
      </c>
      <c r="S871">
        <v>0</v>
      </c>
      <c r="T871">
        <v>0.37019999999999997</v>
      </c>
      <c r="U871">
        <v>-3.2000000000000002E-3</v>
      </c>
      <c r="V871">
        <v>0</v>
      </c>
      <c r="W871">
        <v>-0.20399999999999999</v>
      </c>
      <c r="X871">
        <v>6.7699999999999996E-2</v>
      </c>
      <c r="Y871">
        <v>-1.9E-3</v>
      </c>
      <c r="Z871">
        <v>120</v>
      </c>
      <c r="AA871">
        <v>0.15</v>
      </c>
      <c r="AB871">
        <v>109</v>
      </c>
      <c r="AC871">
        <v>0.25</v>
      </c>
      <c r="AD871">
        <v>0</v>
      </c>
      <c r="AE871">
        <v>0</v>
      </c>
      <c r="AF871">
        <v>0.2</v>
      </c>
      <c r="AG871">
        <v>55</v>
      </c>
      <c r="AH871">
        <v>0</v>
      </c>
    </row>
    <row r="872" spans="1:34" x14ac:dyDescent="0.35">
      <c r="A872" t="s">
        <v>34</v>
      </c>
      <c r="B872" s="1">
        <v>46146.65625</v>
      </c>
      <c r="C872" t="s">
        <v>34</v>
      </c>
      <c r="D872" s="1">
        <v>46149.625</v>
      </c>
      <c r="E872">
        <v>6580</v>
      </c>
      <c r="F872" t="s">
        <v>36</v>
      </c>
      <c r="G872">
        <v>0.25</v>
      </c>
      <c r="H872">
        <v>0.25</v>
      </c>
      <c r="I872">
        <v>0.25</v>
      </c>
      <c r="J872">
        <v>0.25</v>
      </c>
      <c r="K872">
        <v>20</v>
      </c>
      <c r="L872">
        <v>121</v>
      </c>
      <c r="M872">
        <v>0.2</v>
      </c>
      <c r="N872">
        <v>19</v>
      </c>
      <c r="O872">
        <v>0.25</v>
      </c>
      <c r="P872">
        <v>0</v>
      </c>
      <c r="Q872">
        <v>0</v>
      </c>
      <c r="R872">
        <v>0</v>
      </c>
      <c r="S872">
        <v>0</v>
      </c>
      <c r="T872">
        <v>0.36749999999999999</v>
      </c>
      <c r="U872">
        <v>-3.3E-3</v>
      </c>
      <c r="V872">
        <v>0</v>
      </c>
      <c r="W872">
        <v>-0.20399999999999999</v>
      </c>
      <c r="X872">
        <v>6.8199999999999997E-2</v>
      </c>
      <c r="Y872">
        <v>-1.9E-3</v>
      </c>
      <c r="Z872">
        <v>90</v>
      </c>
      <c r="AA872">
        <v>0.15</v>
      </c>
      <c r="AB872">
        <v>68</v>
      </c>
      <c r="AC872">
        <v>0.25</v>
      </c>
      <c r="AD872">
        <v>0</v>
      </c>
      <c r="AE872">
        <v>0</v>
      </c>
      <c r="AF872">
        <v>0.25</v>
      </c>
      <c r="AG872">
        <v>25</v>
      </c>
      <c r="AH872">
        <v>0</v>
      </c>
    </row>
    <row r="873" spans="1:34" x14ac:dyDescent="0.35">
      <c r="A873" t="s">
        <v>34</v>
      </c>
      <c r="B873" s="1">
        <v>46146.65625</v>
      </c>
      <c r="C873" t="s">
        <v>34</v>
      </c>
      <c r="D873" s="1">
        <v>46149.625</v>
      </c>
      <c r="E873">
        <v>6590</v>
      </c>
      <c r="F873" t="s">
        <v>36</v>
      </c>
      <c r="G873">
        <v>0.2</v>
      </c>
      <c r="H873">
        <v>0.2</v>
      </c>
      <c r="I873">
        <v>0.2</v>
      </c>
      <c r="J873">
        <v>0.2</v>
      </c>
      <c r="K873">
        <v>1</v>
      </c>
      <c r="L873">
        <v>341</v>
      </c>
      <c r="M873">
        <v>0.2</v>
      </c>
      <c r="N873">
        <v>315</v>
      </c>
      <c r="O873">
        <v>0.3</v>
      </c>
      <c r="P873">
        <v>0</v>
      </c>
      <c r="Q873">
        <v>0</v>
      </c>
      <c r="R873">
        <v>0</v>
      </c>
      <c r="S873">
        <v>0</v>
      </c>
      <c r="T873">
        <v>0.36159999999999998</v>
      </c>
      <c r="U873">
        <v>-3.3E-3</v>
      </c>
      <c r="V873">
        <v>0</v>
      </c>
      <c r="W873">
        <v>-0.2039</v>
      </c>
      <c r="X873">
        <v>6.9199999999999998E-2</v>
      </c>
      <c r="Y873">
        <v>-1.9E-3</v>
      </c>
      <c r="Z873">
        <v>138</v>
      </c>
      <c r="AA873">
        <v>0.15</v>
      </c>
      <c r="AB873">
        <v>160</v>
      </c>
      <c r="AC873">
        <v>0.3</v>
      </c>
      <c r="AD873">
        <v>0</v>
      </c>
      <c r="AE873">
        <v>0</v>
      </c>
      <c r="AF873">
        <v>0.2</v>
      </c>
      <c r="AG873">
        <v>104</v>
      </c>
      <c r="AH873">
        <v>0</v>
      </c>
    </row>
    <row r="874" spans="1:34" x14ac:dyDescent="0.35">
      <c r="A874" t="s">
        <v>34</v>
      </c>
      <c r="B874" s="1">
        <v>46146.65625</v>
      </c>
      <c r="C874" t="s">
        <v>34</v>
      </c>
      <c r="D874" s="1">
        <v>46149.625</v>
      </c>
      <c r="E874">
        <v>6600</v>
      </c>
      <c r="F874" t="s">
        <v>36</v>
      </c>
      <c r="G874">
        <v>0.25</v>
      </c>
      <c r="H874">
        <v>0.3</v>
      </c>
      <c r="I874">
        <v>0.25</v>
      </c>
      <c r="J874">
        <v>0.25</v>
      </c>
      <c r="K874">
        <v>8</v>
      </c>
      <c r="L874">
        <v>326</v>
      </c>
      <c r="M874">
        <v>0.2</v>
      </c>
      <c r="N874">
        <v>3</v>
      </c>
      <c r="O874">
        <v>0.25</v>
      </c>
      <c r="P874">
        <v>0</v>
      </c>
      <c r="Q874">
        <v>0</v>
      </c>
      <c r="R874">
        <v>0</v>
      </c>
      <c r="S874">
        <v>0</v>
      </c>
      <c r="T874">
        <v>0.35639999999999999</v>
      </c>
      <c r="U874">
        <v>-3.3E-3</v>
      </c>
      <c r="V874">
        <v>0</v>
      </c>
      <c r="W874">
        <v>-0.20369999999999999</v>
      </c>
      <c r="X874">
        <v>7.0099999999999996E-2</v>
      </c>
      <c r="Y874">
        <v>-1.9E-3</v>
      </c>
      <c r="Z874">
        <v>168</v>
      </c>
      <c r="AA874">
        <v>0.15</v>
      </c>
      <c r="AB874">
        <v>163</v>
      </c>
      <c r="AC874">
        <v>0.3</v>
      </c>
      <c r="AD874">
        <v>0</v>
      </c>
      <c r="AE874">
        <v>0</v>
      </c>
      <c r="AF874">
        <v>0.25629999999999997</v>
      </c>
      <c r="AG874">
        <v>267</v>
      </c>
      <c r="AH874">
        <v>0</v>
      </c>
    </row>
    <row r="875" spans="1:34" x14ac:dyDescent="0.35">
      <c r="A875" t="s">
        <v>34</v>
      </c>
      <c r="B875" s="1">
        <v>46146.65625</v>
      </c>
      <c r="C875" t="s">
        <v>34</v>
      </c>
      <c r="D875" s="1">
        <v>46149.625</v>
      </c>
      <c r="E875">
        <v>6610</v>
      </c>
      <c r="F875" t="s">
        <v>36</v>
      </c>
      <c r="G875">
        <v>0.25</v>
      </c>
      <c r="H875">
        <v>0.25</v>
      </c>
      <c r="I875">
        <v>0.2</v>
      </c>
      <c r="J875">
        <v>0.2</v>
      </c>
      <c r="K875">
        <v>5</v>
      </c>
      <c r="L875">
        <v>336</v>
      </c>
      <c r="M875">
        <v>0.2</v>
      </c>
      <c r="N875">
        <v>271</v>
      </c>
      <c r="O875">
        <v>0.3</v>
      </c>
      <c r="P875">
        <v>0</v>
      </c>
      <c r="Q875">
        <v>0</v>
      </c>
      <c r="R875">
        <v>0</v>
      </c>
      <c r="S875">
        <v>0</v>
      </c>
      <c r="T875">
        <v>0.35460000000000003</v>
      </c>
      <c r="U875">
        <v>-3.7000000000000002E-3</v>
      </c>
      <c r="V875">
        <v>1E-4</v>
      </c>
      <c r="W875">
        <v>-0.22539999999999999</v>
      </c>
      <c r="X875">
        <v>7.6600000000000001E-2</v>
      </c>
      <c r="Y875">
        <v>-2.0999999999999999E-3</v>
      </c>
      <c r="Z875">
        <v>150</v>
      </c>
      <c r="AA875">
        <v>0.15</v>
      </c>
      <c r="AB875">
        <v>132</v>
      </c>
      <c r="AC875">
        <v>0.3</v>
      </c>
      <c r="AD875">
        <v>0</v>
      </c>
      <c r="AE875">
        <v>0</v>
      </c>
      <c r="AF875">
        <v>0.24</v>
      </c>
      <c r="AG875">
        <v>103</v>
      </c>
      <c r="AH875">
        <v>0</v>
      </c>
    </row>
    <row r="876" spans="1:34" x14ac:dyDescent="0.35">
      <c r="A876" t="s">
        <v>34</v>
      </c>
      <c r="B876" s="1">
        <v>46146.65625</v>
      </c>
      <c r="C876" t="s">
        <v>34</v>
      </c>
      <c r="D876" s="1">
        <v>46149.625</v>
      </c>
      <c r="E876">
        <v>6620</v>
      </c>
      <c r="F876" t="s">
        <v>36</v>
      </c>
      <c r="G876">
        <v>0.25</v>
      </c>
      <c r="H876">
        <v>0.25</v>
      </c>
      <c r="I876">
        <v>0.25</v>
      </c>
      <c r="J876">
        <v>0.25</v>
      </c>
      <c r="K876">
        <v>3</v>
      </c>
      <c r="L876">
        <v>33</v>
      </c>
      <c r="M876">
        <v>0.25</v>
      </c>
      <c r="N876">
        <v>166</v>
      </c>
      <c r="O876">
        <v>0.3</v>
      </c>
      <c r="P876">
        <v>0</v>
      </c>
      <c r="Q876">
        <v>0</v>
      </c>
      <c r="R876">
        <v>0</v>
      </c>
      <c r="S876">
        <v>0</v>
      </c>
      <c r="T876">
        <v>0.34899999999999998</v>
      </c>
      <c r="U876">
        <v>-3.8E-3</v>
      </c>
      <c r="V876">
        <v>1E-4</v>
      </c>
      <c r="W876">
        <v>-0.22520000000000001</v>
      </c>
      <c r="X876">
        <v>7.7700000000000005E-2</v>
      </c>
      <c r="Y876">
        <v>-2.2000000000000001E-3</v>
      </c>
      <c r="Z876">
        <v>30</v>
      </c>
      <c r="AA876">
        <v>0.2</v>
      </c>
      <c r="AB876">
        <v>132</v>
      </c>
      <c r="AC876">
        <v>0.3</v>
      </c>
      <c r="AD876">
        <v>0</v>
      </c>
      <c r="AE876">
        <v>0</v>
      </c>
      <c r="AF876">
        <v>0.25</v>
      </c>
      <c r="AG876">
        <v>19</v>
      </c>
      <c r="AH876">
        <v>0</v>
      </c>
    </row>
    <row r="877" spans="1:34" x14ac:dyDescent="0.35">
      <c r="A877" t="s">
        <v>34</v>
      </c>
      <c r="B877" s="1">
        <v>46146.65625</v>
      </c>
      <c r="C877" t="s">
        <v>34</v>
      </c>
      <c r="D877" s="1">
        <v>46149.625</v>
      </c>
      <c r="E877">
        <v>6625</v>
      </c>
      <c r="F877" t="s">
        <v>36</v>
      </c>
      <c r="G877">
        <v>0.25</v>
      </c>
      <c r="H877">
        <v>0.25</v>
      </c>
      <c r="I877">
        <v>0.25</v>
      </c>
      <c r="J877">
        <v>0.25</v>
      </c>
      <c r="K877">
        <v>3</v>
      </c>
      <c r="L877">
        <v>36</v>
      </c>
      <c r="M877">
        <v>0.25</v>
      </c>
      <c r="N877">
        <v>122</v>
      </c>
      <c r="O877">
        <v>0.3</v>
      </c>
      <c r="P877">
        <v>0</v>
      </c>
      <c r="Q877">
        <v>0</v>
      </c>
      <c r="R877">
        <v>0</v>
      </c>
      <c r="S877">
        <v>0</v>
      </c>
      <c r="T877">
        <v>0.34939999999999999</v>
      </c>
      <c r="U877">
        <v>-4.1000000000000003E-3</v>
      </c>
      <c r="V877">
        <v>1E-4</v>
      </c>
      <c r="W877">
        <v>-0.24660000000000001</v>
      </c>
      <c r="X877">
        <v>8.3599999999999994E-2</v>
      </c>
      <c r="Y877">
        <v>-2.3999999999999998E-3</v>
      </c>
      <c r="Z877">
        <v>31</v>
      </c>
      <c r="AA877">
        <v>0.2</v>
      </c>
      <c r="AB877">
        <v>109</v>
      </c>
      <c r="AC877">
        <v>0.3</v>
      </c>
      <c r="AD877">
        <v>0</v>
      </c>
      <c r="AE877">
        <v>0</v>
      </c>
      <c r="AF877">
        <v>0.25</v>
      </c>
      <c r="AG877">
        <v>135</v>
      </c>
      <c r="AH877">
        <v>0</v>
      </c>
    </row>
    <row r="878" spans="1:34" x14ac:dyDescent="0.35">
      <c r="A878" t="s">
        <v>34</v>
      </c>
      <c r="B878" s="1">
        <v>46146.65625</v>
      </c>
      <c r="C878" t="s">
        <v>34</v>
      </c>
      <c r="D878" s="1">
        <v>46149.625</v>
      </c>
      <c r="E878">
        <v>6630</v>
      </c>
      <c r="F878" t="s">
        <v>36</v>
      </c>
      <c r="G878">
        <v>0.3</v>
      </c>
      <c r="H878">
        <v>0.3</v>
      </c>
      <c r="I878">
        <v>0.3</v>
      </c>
      <c r="J878">
        <v>0.3</v>
      </c>
      <c r="K878">
        <v>1</v>
      </c>
      <c r="L878">
        <v>37</v>
      </c>
      <c r="M878">
        <v>0.25</v>
      </c>
      <c r="N878">
        <v>88</v>
      </c>
      <c r="O878">
        <v>0.3</v>
      </c>
      <c r="P878">
        <v>0</v>
      </c>
      <c r="Q878">
        <v>0</v>
      </c>
      <c r="R878">
        <v>0</v>
      </c>
      <c r="S878">
        <v>0</v>
      </c>
      <c r="T878">
        <v>0.34660000000000002</v>
      </c>
      <c r="U878">
        <v>-4.1000000000000003E-3</v>
      </c>
      <c r="V878">
        <v>1E-4</v>
      </c>
      <c r="W878">
        <v>-0.2465</v>
      </c>
      <c r="X878">
        <v>8.43E-2</v>
      </c>
      <c r="Y878">
        <v>-2.3999999999999998E-3</v>
      </c>
      <c r="Z878">
        <v>31</v>
      </c>
      <c r="AA878">
        <v>0.2</v>
      </c>
      <c r="AB878">
        <v>98</v>
      </c>
      <c r="AC878">
        <v>0.3</v>
      </c>
      <c r="AD878">
        <v>0</v>
      </c>
      <c r="AE878">
        <v>0</v>
      </c>
      <c r="AF878">
        <v>0.3</v>
      </c>
      <c r="AG878">
        <v>58</v>
      </c>
      <c r="AH878">
        <v>0</v>
      </c>
    </row>
    <row r="879" spans="1:34" x14ac:dyDescent="0.35">
      <c r="A879" t="s">
        <v>34</v>
      </c>
      <c r="B879" s="1">
        <v>46146.65625</v>
      </c>
      <c r="C879" t="s">
        <v>34</v>
      </c>
      <c r="D879" s="1">
        <v>46149.625</v>
      </c>
      <c r="E879">
        <v>6640</v>
      </c>
      <c r="F879" t="s">
        <v>36</v>
      </c>
      <c r="G879">
        <v>0.25</v>
      </c>
      <c r="H879">
        <v>0.3</v>
      </c>
      <c r="I879">
        <v>0.25</v>
      </c>
      <c r="J879">
        <v>0.3</v>
      </c>
      <c r="K879">
        <v>7</v>
      </c>
      <c r="L879">
        <v>114</v>
      </c>
      <c r="M879">
        <v>0.25</v>
      </c>
      <c r="N879">
        <v>37</v>
      </c>
      <c r="O879">
        <v>0.3</v>
      </c>
      <c r="P879">
        <v>0</v>
      </c>
      <c r="Q879">
        <v>0</v>
      </c>
      <c r="R879">
        <v>0</v>
      </c>
      <c r="S879">
        <v>0</v>
      </c>
      <c r="T879">
        <v>0.34100000000000003</v>
      </c>
      <c r="U879">
        <v>-4.1999999999999997E-3</v>
      </c>
      <c r="V879">
        <v>1E-4</v>
      </c>
      <c r="W879">
        <v>-0.24629999999999999</v>
      </c>
      <c r="X879">
        <v>8.5500000000000007E-2</v>
      </c>
      <c r="Y879">
        <v>-2.3999999999999998E-3</v>
      </c>
      <c r="Z879">
        <v>61</v>
      </c>
      <c r="AA879">
        <v>0.2</v>
      </c>
      <c r="AB879">
        <v>97</v>
      </c>
      <c r="AC879">
        <v>0.3</v>
      </c>
      <c r="AD879">
        <v>0</v>
      </c>
      <c r="AE879">
        <v>0</v>
      </c>
      <c r="AF879">
        <v>0.29289999999999999</v>
      </c>
      <c r="AG879">
        <v>22</v>
      </c>
      <c r="AH879">
        <v>0</v>
      </c>
    </row>
    <row r="880" spans="1:34" x14ac:dyDescent="0.35">
      <c r="A880" t="s">
        <v>34</v>
      </c>
      <c r="B880" s="1">
        <v>46146.65625</v>
      </c>
      <c r="C880" t="s">
        <v>34</v>
      </c>
      <c r="D880" s="1">
        <v>46149.625</v>
      </c>
      <c r="E880">
        <v>6650</v>
      </c>
      <c r="F880" t="s">
        <v>36</v>
      </c>
      <c r="G880">
        <v>0.3</v>
      </c>
      <c r="H880">
        <v>0.5</v>
      </c>
      <c r="I880">
        <v>0.3</v>
      </c>
      <c r="J880">
        <v>0.44</v>
      </c>
      <c r="K880">
        <v>18</v>
      </c>
      <c r="L880">
        <v>302</v>
      </c>
      <c r="M880">
        <v>0.25</v>
      </c>
      <c r="N880">
        <v>1</v>
      </c>
      <c r="O880">
        <v>0.3</v>
      </c>
      <c r="P880">
        <v>0</v>
      </c>
      <c r="Q880">
        <v>0</v>
      </c>
      <c r="R880">
        <v>0</v>
      </c>
      <c r="S880">
        <v>0</v>
      </c>
      <c r="T880">
        <v>0.33500000000000002</v>
      </c>
      <c r="U880">
        <v>-4.3E-3</v>
      </c>
      <c r="V880">
        <v>1E-4</v>
      </c>
      <c r="W880">
        <v>-0.24610000000000001</v>
      </c>
      <c r="X880">
        <v>8.6900000000000005E-2</v>
      </c>
      <c r="Y880">
        <v>-2.3999999999999998E-3</v>
      </c>
      <c r="Z880">
        <v>116</v>
      </c>
      <c r="AA880">
        <v>0.2</v>
      </c>
      <c r="AB880">
        <v>78</v>
      </c>
      <c r="AC880">
        <v>0.3</v>
      </c>
      <c r="AD880">
        <v>0</v>
      </c>
      <c r="AE880">
        <v>0</v>
      </c>
      <c r="AF880">
        <v>0.34389999999999998</v>
      </c>
      <c r="AG880">
        <v>241</v>
      </c>
      <c r="AH880">
        <v>0</v>
      </c>
    </row>
    <row r="881" spans="1:34" x14ac:dyDescent="0.35">
      <c r="A881" t="s">
        <v>34</v>
      </c>
      <c r="B881" s="1">
        <v>46146.65625</v>
      </c>
      <c r="C881" t="s">
        <v>34</v>
      </c>
      <c r="D881" s="1">
        <v>46149.625</v>
      </c>
      <c r="E881">
        <v>6660</v>
      </c>
      <c r="F881" t="s">
        <v>36</v>
      </c>
      <c r="G881">
        <v>0.75</v>
      </c>
      <c r="H881">
        <v>0.75</v>
      </c>
      <c r="I881">
        <v>0.3</v>
      </c>
      <c r="J881">
        <v>0.3</v>
      </c>
      <c r="K881">
        <v>6</v>
      </c>
      <c r="L881">
        <v>316</v>
      </c>
      <c r="M881">
        <v>0.25</v>
      </c>
      <c r="N881">
        <v>225</v>
      </c>
      <c r="O881">
        <v>0.35</v>
      </c>
      <c r="P881">
        <v>0</v>
      </c>
      <c r="Q881">
        <v>0</v>
      </c>
      <c r="R881">
        <v>0</v>
      </c>
      <c r="S881">
        <v>0</v>
      </c>
      <c r="T881">
        <v>0.3296</v>
      </c>
      <c r="U881">
        <v>-4.3E-3</v>
      </c>
      <c r="V881">
        <v>1E-4</v>
      </c>
      <c r="W881">
        <v>-0.246</v>
      </c>
      <c r="X881">
        <v>8.8200000000000001E-2</v>
      </c>
      <c r="Y881">
        <v>-2.5000000000000001E-3</v>
      </c>
      <c r="Z881">
        <v>149</v>
      </c>
      <c r="AA881">
        <v>0.2</v>
      </c>
      <c r="AB881">
        <v>149</v>
      </c>
      <c r="AC881">
        <v>0.35</v>
      </c>
      <c r="AD881">
        <v>0</v>
      </c>
      <c r="AE881">
        <v>0</v>
      </c>
      <c r="AF881">
        <v>0.6</v>
      </c>
      <c r="AG881">
        <v>82</v>
      </c>
      <c r="AH881">
        <v>0</v>
      </c>
    </row>
    <row r="882" spans="1:34" x14ac:dyDescent="0.35">
      <c r="A882" t="s">
        <v>34</v>
      </c>
      <c r="B882" s="1">
        <v>46146.65625</v>
      </c>
      <c r="C882" t="s">
        <v>34</v>
      </c>
      <c r="D882" s="1">
        <v>46149.625</v>
      </c>
      <c r="E882">
        <v>6670</v>
      </c>
      <c r="F882" t="s">
        <v>36</v>
      </c>
      <c r="G882">
        <v>0.3</v>
      </c>
      <c r="H882">
        <v>0.3</v>
      </c>
      <c r="I882">
        <v>0.3</v>
      </c>
      <c r="J882">
        <v>0.3</v>
      </c>
      <c r="K882">
        <v>4</v>
      </c>
      <c r="L882">
        <v>31</v>
      </c>
      <c r="M882">
        <v>0.3</v>
      </c>
      <c r="N882">
        <v>155</v>
      </c>
      <c r="O882">
        <v>0.35</v>
      </c>
      <c r="P882">
        <v>0</v>
      </c>
      <c r="Q882">
        <v>0</v>
      </c>
      <c r="R882">
        <v>0</v>
      </c>
      <c r="S882">
        <v>0</v>
      </c>
      <c r="T882">
        <v>0.32700000000000001</v>
      </c>
      <c r="U882">
        <v>-4.7000000000000002E-3</v>
      </c>
      <c r="V882">
        <v>1E-4</v>
      </c>
      <c r="W882">
        <v>-0.2671</v>
      </c>
      <c r="X882">
        <v>9.5100000000000004E-2</v>
      </c>
      <c r="Y882">
        <v>-2.7000000000000001E-3</v>
      </c>
      <c r="Z882">
        <v>146</v>
      </c>
      <c r="AA882">
        <v>0.2</v>
      </c>
      <c r="AB882">
        <v>154</v>
      </c>
      <c r="AC882">
        <v>0.35</v>
      </c>
      <c r="AD882">
        <v>0</v>
      </c>
      <c r="AE882">
        <v>0</v>
      </c>
      <c r="AF882">
        <v>0.3</v>
      </c>
      <c r="AG882">
        <v>76</v>
      </c>
      <c r="AH882">
        <v>0</v>
      </c>
    </row>
    <row r="883" spans="1:34" x14ac:dyDescent="0.35">
      <c r="A883" t="s">
        <v>34</v>
      </c>
      <c r="B883" s="1">
        <v>46146.65625</v>
      </c>
      <c r="C883" t="s">
        <v>34</v>
      </c>
      <c r="D883" s="1">
        <v>46149.625</v>
      </c>
      <c r="E883">
        <v>6675</v>
      </c>
      <c r="F883" t="s">
        <v>36</v>
      </c>
      <c r="G883">
        <v>0.4</v>
      </c>
      <c r="H883">
        <v>0.4</v>
      </c>
      <c r="I883">
        <v>0.4</v>
      </c>
      <c r="J883">
        <v>0.4</v>
      </c>
      <c r="K883">
        <v>15</v>
      </c>
      <c r="L883">
        <v>35</v>
      </c>
      <c r="M883">
        <v>0.3</v>
      </c>
      <c r="N883">
        <v>89</v>
      </c>
      <c r="O883">
        <v>0.35</v>
      </c>
      <c r="P883">
        <v>0</v>
      </c>
      <c r="Q883">
        <v>0</v>
      </c>
      <c r="R883">
        <v>0</v>
      </c>
      <c r="S883">
        <v>0</v>
      </c>
      <c r="T883">
        <v>0.32679999999999998</v>
      </c>
      <c r="U883">
        <v>-5.1000000000000004E-3</v>
      </c>
      <c r="V883">
        <v>1E-4</v>
      </c>
      <c r="W883">
        <v>-0.28810000000000002</v>
      </c>
      <c r="X883">
        <v>0.10150000000000001</v>
      </c>
      <c r="Y883">
        <v>-2.8999999999999998E-3</v>
      </c>
      <c r="Z883">
        <v>163</v>
      </c>
      <c r="AA883">
        <v>0.2</v>
      </c>
      <c r="AB883">
        <v>155</v>
      </c>
      <c r="AC883">
        <v>0.35</v>
      </c>
      <c r="AD883">
        <v>0</v>
      </c>
      <c r="AE883">
        <v>0</v>
      </c>
      <c r="AF883">
        <v>0.4</v>
      </c>
      <c r="AG883">
        <v>144</v>
      </c>
      <c r="AH883">
        <v>0</v>
      </c>
    </row>
    <row r="884" spans="1:34" x14ac:dyDescent="0.35">
      <c r="A884" t="s">
        <v>34</v>
      </c>
      <c r="B884" s="1">
        <v>46146.65625</v>
      </c>
      <c r="C884" t="s">
        <v>34</v>
      </c>
      <c r="D884" s="1">
        <v>46149.625</v>
      </c>
      <c r="E884">
        <v>6680</v>
      </c>
      <c r="F884" t="s">
        <v>36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36</v>
      </c>
      <c r="M884">
        <v>0.3</v>
      </c>
      <c r="N884">
        <v>73</v>
      </c>
      <c r="O884">
        <v>0.35</v>
      </c>
      <c r="P884">
        <v>0</v>
      </c>
      <c r="Q884">
        <v>0</v>
      </c>
      <c r="R884">
        <v>0</v>
      </c>
      <c r="S884">
        <v>0</v>
      </c>
      <c r="T884">
        <v>0.32400000000000001</v>
      </c>
      <c r="U884">
        <v>-5.1000000000000004E-3</v>
      </c>
      <c r="V884">
        <v>1E-4</v>
      </c>
      <c r="W884">
        <v>-0.28799999999999998</v>
      </c>
      <c r="X884">
        <v>0.1023</v>
      </c>
      <c r="Y884">
        <v>-2.8999999999999998E-3</v>
      </c>
      <c r="Z884">
        <v>146</v>
      </c>
      <c r="AA884">
        <v>0.2</v>
      </c>
      <c r="AB884">
        <v>129</v>
      </c>
      <c r="AC884">
        <v>0.35</v>
      </c>
      <c r="AD884">
        <v>0</v>
      </c>
      <c r="AE884">
        <v>0</v>
      </c>
      <c r="AF884">
        <v>0</v>
      </c>
      <c r="AG884">
        <v>32</v>
      </c>
      <c r="AH884">
        <v>0</v>
      </c>
    </row>
    <row r="885" spans="1:34" x14ac:dyDescent="0.35">
      <c r="A885" t="s">
        <v>34</v>
      </c>
      <c r="B885" s="1">
        <v>46146.65625</v>
      </c>
      <c r="C885" t="s">
        <v>34</v>
      </c>
      <c r="D885" s="1">
        <v>46149.625</v>
      </c>
      <c r="E885">
        <v>6690</v>
      </c>
      <c r="F885" t="s">
        <v>36</v>
      </c>
      <c r="G885">
        <v>0.37</v>
      </c>
      <c r="H885">
        <v>0.75</v>
      </c>
      <c r="I885">
        <v>0.35</v>
      </c>
      <c r="J885">
        <v>0.35</v>
      </c>
      <c r="K885">
        <v>30</v>
      </c>
      <c r="L885">
        <v>182</v>
      </c>
      <c r="M885">
        <v>0.3</v>
      </c>
      <c r="N885">
        <v>270</v>
      </c>
      <c r="O885">
        <v>0.4</v>
      </c>
      <c r="P885">
        <v>0</v>
      </c>
      <c r="Q885">
        <v>0</v>
      </c>
      <c r="R885">
        <v>0</v>
      </c>
      <c r="S885">
        <v>0</v>
      </c>
      <c r="T885">
        <v>0.31790000000000002</v>
      </c>
      <c r="U885">
        <v>-5.1999999999999998E-3</v>
      </c>
      <c r="V885">
        <v>1E-4</v>
      </c>
      <c r="W885">
        <v>-0.28770000000000001</v>
      </c>
      <c r="X885">
        <v>0.104</v>
      </c>
      <c r="Y885">
        <v>-3.0000000000000001E-3</v>
      </c>
      <c r="Z885">
        <v>58</v>
      </c>
      <c r="AA885">
        <v>0.25</v>
      </c>
      <c r="AB885">
        <v>96</v>
      </c>
      <c r="AC885">
        <v>0.35</v>
      </c>
      <c r="AD885">
        <v>0</v>
      </c>
      <c r="AE885">
        <v>0</v>
      </c>
      <c r="AF885">
        <v>0.40670000000000001</v>
      </c>
      <c r="AG885">
        <v>122</v>
      </c>
      <c r="AH885">
        <v>0</v>
      </c>
    </row>
    <row r="886" spans="1:34" x14ac:dyDescent="0.35">
      <c r="A886" t="s">
        <v>34</v>
      </c>
      <c r="B886" s="1">
        <v>46146.65625</v>
      </c>
      <c r="C886" t="s">
        <v>34</v>
      </c>
      <c r="D886" s="1">
        <v>46149.625</v>
      </c>
      <c r="E886">
        <v>6700</v>
      </c>
      <c r="F886" t="s">
        <v>36</v>
      </c>
      <c r="G886">
        <v>0.39</v>
      </c>
      <c r="H886">
        <v>0.75</v>
      </c>
      <c r="I886">
        <v>0.35</v>
      </c>
      <c r="J886">
        <v>0.35</v>
      </c>
      <c r="K886">
        <v>54</v>
      </c>
      <c r="L886">
        <v>347</v>
      </c>
      <c r="M886">
        <v>0.3</v>
      </c>
      <c r="N886">
        <v>253</v>
      </c>
      <c r="O886">
        <v>0.4</v>
      </c>
      <c r="P886">
        <v>0</v>
      </c>
      <c r="Q886">
        <v>0</v>
      </c>
      <c r="R886">
        <v>0</v>
      </c>
      <c r="S886">
        <v>0</v>
      </c>
      <c r="T886">
        <v>0.3125</v>
      </c>
      <c r="U886">
        <v>-5.3E-3</v>
      </c>
      <c r="V886">
        <v>1E-4</v>
      </c>
      <c r="W886">
        <v>-0.28749999999999998</v>
      </c>
      <c r="X886">
        <v>0.1057</v>
      </c>
      <c r="Y886">
        <v>-3.0000000000000001E-3</v>
      </c>
      <c r="Z886">
        <v>111</v>
      </c>
      <c r="AA886">
        <v>0.25</v>
      </c>
      <c r="AB886">
        <v>76</v>
      </c>
      <c r="AC886">
        <v>0.35</v>
      </c>
      <c r="AD886">
        <v>0</v>
      </c>
      <c r="AE886">
        <v>0</v>
      </c>
      <c r="AF886">
        <v>0.42170000000000002</v>
      </c>
      <c r="AG886">
        <v>2486</v>
      </c>
      <c r="AH886">
        <v>0</v>
      </c>
    </row>
    <row r="887" spans="1:34" x14ac:dyDescent="0.35">
      <c r="A887" t="s">
        <v>34</v>
      </c>
      <c r="B887" s="1">
        <v>46146.65625</v>
      </c>
      <c r="C887" t="s">
        <v>34</v>
      </c>
      <c r="D887" s="1">
        <v>46149.625</v>
      </c>
      <c r="E887">
        <v>6710</v>
      </c>
      <c r="F887" t="s">
        <v>36</v>
      </c>
      <c r="G887">
        <v>0.4</v>
      </c>
      <c r="H887">
        <v>0.45</v>
      </c>
      <c r="I887">
        <v>0.4</v>
      </c>
      <c r="J887">
        <v>0.45</v>
      </c>
      <c r="K887">
        <v>6</v>
      </c>
      <c r="L887">
        <v>33</v>
      </c>
      <c r="M887">
        <v>0.35</v>
      </c>
      <c r="N887">
        <v>84</v>
      </c>
      <c r="O887">
        <v>0.4</v>
      </c>
      <c r="P887">
        <v>0</v>
      </c>
      <c r="Q887">
        <v>0</v>
      </c>
      <c r="R887">
        <v>0</v>
      </c>
      <c r="S887">
        <v>0</v>
      </c>
      <c r="T887">
        <v>0.31159999999999999</v>
      </c>
      <c r="U887">
        <v>-6.0000000000000001E-3</v>
      </c>
      <c r="V887">
        <v>1E-4</v>
      </c>
      <c r="W887">
        <v>-0.32900000000000001</v>
      </c>
      <c r="X887">
        <v>0.11849999999999999</v>
      </c>
      <c r="Y887">
        <v>-3.5000000000000001E-3</v>
      </c>
      <c r="Z887">
        <v>142</v>
      </c>
      <c r="AA887">
        <v>0.25</v>
      </c>
      <c r="AB887">
        <v>154</v>
      </c>
      <c r="AC887">
        <v>0.4</v>
      </c>
      <c r="AD887">
        <v>0</v>
      </c>
      <c r="AE887">
        <v>0</v>
      </c>
      <c r="AF887">
        <v>0.41670000000000001</v>
      </c>
      <c r="AG887">
        <v>85</v>
      </c>
      <c r="AH887">
        <v>0</v>
      </c>
    </row>
    <row r="888" spans="1:34" x14ac:dyDescent="0.35">
      <c r="A888" t="s">
        <v>34</v>
      </c>
      <c r="B888" s="1">
        <v>46146.65625</v>
      </c>
      <c r="C888" t="s">
        <v>34</v>
      </c>
      <c r="D888" s="1">
        <v>46149.625</v>
      </c>
      <c r="E888">
        <v>6720</v>
      </c>
      <c r="F888" t="s">
        <v>36</v>
      </c>
      <c r="G888">
        <v>0.4</v>
      </c>
      <c r="H888">
        <v>0.45</v>
      </c>
      <c r="I888">
        <v>0.4</v>
      </c>
      <c r="J888">
        <v>0.4</v>
      </c>
      <c r="K888">
        <v>7</v>
      </c>
      <c r="L888">
        <v>145</v>
      </c>
      <c r="M888">
        <v>0.35</v>
      </c>
      <c r="N888">
        <v>291</v>
      </c>
      <c r="O888">
        <v>0.45</v>
      </c>
      <c r="P888">
        <v>0</v>
      </c>
      <c r="Q888">
        <v>0</v>
      </c>
      <c r="R888">
        <v>0</v>
      </c>
      <c r="S888">
        <v>0</v>
      </c>
      <c r="T888">
        <v>0.30570000000000003</v>
      </c>
      <c r="U888">
        <v>-6.1000000000000004E-3</v>
      </c>
      <c r="V888">
        <v>1E-4</v>
      </c>
      <c r="W888">
        <v>-0.3286</v>
      </c>
      <c r="X888">
        <v>0.1205</v>
      </c>
      <c r="Y888">
        <v>-3.5000000000000001E-3</v>
      </c>
      <c r="Z888">
        <v>146</v>
      </c>
      <c r="AA888">
        <v>0.25</v>
      </c>
      <c r="AB888">
        <v>144</v>
      </c>
      <c r="AC888">
        <v>0.4</v>
      </c>
      <c r="AD888">
        <v>0</v>
      </c>
      <c r="AE888">
        <v>0</v>
      </c>
      <c r="AF888">
        <v>0.40710000000000002</v>
      </c>
      <c r="AG888">
        <v>333</v>
      </c>
      <c r="AH888">
        <v>0</v>
      </c>
    </row>
    <row r="889" spans="1:34" x14ac:dyDescent="0.35">
      <c r="A889" t="s">
        <v>34</v>
      </c>
      <c r="B889" s="1">
        <v>46146.65625</v>
      </c>
      <c r="C889" t="s">
        <v>34</v>
      </c>
      <c r="D889" s="1">
        <v>46149.625</v>
      </c>
      <c r="E889">
        <v>6725</v>
      </c>
      <c r="F889" t="s">
        <v>36</v>
      </c>
      <c r="G889">
        <v>0.85</v>
      </c>
      <c r="H889">
        <v>0.85</v>
      </c>
      <c r="I889">
        <v>0.4</v>
      </c>
      <c r="J889">
        <v>0.4</v>
      </c>
      <c r="K889">
        <v>5</v>
      </c>
      <c r="L889">
        <v>388</v>
      </c>
      <c r="M889">
        <v>0.35</v>
      </c>
      <c r="N889">
        <v>227</v>
      </c>
      <c r="O889">
        <v>0.45</v>
      </c>
      <c r="P889">
        <v>0</v>
      </c>
      <c r="Q889">
        <v>0</v>
      </c>
      <c r="R889">
        <v>0</v>
      </c>
      <c r="S889">
        <v>0</v>
      </c>
      <c r="T889">
        <v>0.30280000000000001</v>
      </c>
      <c r="U889">
        <v>-6.1999999999999998E-3</v>
      </c>
      <c r="V889">
        <v>1E-4</v>
      </c>
      <c r="W889">
        <v>-0.3286</v>
      </c>
      <c r="X889">
        <v>0.1215</v>
      </c>
      <c r="Y889">
        <v>-3.5999999999999999E-3</v>
      </c>
      <c r="Z889">
        <v>156</v>
      </c>
      <c r="AA889">
        <v>0.25</v>
      </c>
      <c r="AB889">
        <v>153</v>
      </c>
      <c r="AC889">
        <v>0.4</v>
      </c>
      <c r="AD889">
        <v>0</v>
      </c>
      <c r="AE889">
        <v>0</v>
      </c>
      <c r="AF889">
        <v>0.57399999999999995</v>
      </c>
      <c r="AG889">
        <v>303</v>
      </c>
      <c r="AH889">
        <v>0</v>
      </c>
    </row>
    <row r="890" spans="1:34" x14ac:dyDescent="0.35">
      <c r="A890" t="s">
        <v>34</v>
      </c>
      <c r="B890" s="1">
        <v>46146.65625</v>
      </c>
      <c r="C890" t="s">
        <v>34</v>
      </c>
      <c r="D890" s="1">
        <v>46149.625</v>
      </c>
      <c r="E890">
        <v>6730</v>
      </c>
      <c r="F890" t="s">
        <v>36</v>
      </c>
      <c r="G890">
        <v>0.5</v>
      </c>
      <c r="H890">
        <v>0.5</v>
      </c>
      <c r="I890">
        <v>0.4</v>
      </c>
      <c r="J890">
        <v>0.4</v>
      </c>
      <c r="K890">
        <v>2</v>
      </c>
      <c r="L890">
        <v>307</v>
      </c>
      <c r="M890">
        <v>0.35</v>
      </c>
      <c r="N890">
        <v>200</v>
      </c>
      <c r="O890">
        <v>0.45</v>
      </c>
      <c r="P890">
        <v>0</v>
      </c>
      <c r="Q890">
        <v>0</v>
      </c>
      <c r="R890">
        <v>0</v>
      </c>
      <c r="S890">
        <v>0</v>
      </c>
      <c r="T890">
        <v>0.30230000000000001</v>
      </c>
      <c r="U890">
        <v>-6.4999999999999997E-3</v>
      </c>
      <c r="V890">
        <v>1E-4</v>
      </c>
      <c r="W890">
        <v>-0.34910000000000002</v>
      </c>
      <c r="X890">
        <v>0.12790000000000001</v>
      </c>
      <c r="Y890">
        <v>-3.8E-3</v>
      </c>
      <c r="Z890">
        <v>146</v>
      </c>
      <c r="AA890">
        <v>0.25</v>
      </c>
      <c r="AB890">
        <v>93</v>
      </c>
      <c r="AC890">
        <v>0.4</v>
      </c>
      <c r="AD890">
        <v>0</v>
      </c>
      <c r="AE890">
        <v>0</v>
      </c>
      <c r="AF890">
        <v>0.45</v>
      </c>
      <c r="AG890">
        <v>423</v>
      </c>
      <c r="AH890">
        <v>0</v>
      </c>
    </row>
    <row r="891" spans="1:34" x14ac:dyDescent="0.35">
      <c r="A891" t="s">
        <v>34</v>
      </c>
      <c r="B891" s="1">
        <v>46146.65625</v>
      </c>
      <c r="C891" t="s">
        <v>34</v>
      </c>
      <c r="D891" s="1">
        <v>46149.625</v>
      </c>
      <c r="E891">
        <v>6740</v>
      </c>
      <c r="F891" t="s">
        <v>36</v>
      </c>
      <c r="G891">
        <v>0.5</v>
      </c>
      <c r="H891">
        <v>0.5</v>
      </c>
      <c r="I891">
        <v>0.35</v>
      </c>
      <c r="J891">
        <v>0.35</v>
      </c>
      <c r="K891">
        <v>5</v>
      </c>
      <c r="L891">
        <v>33</v>
      </c>
      <c r="M891">
        <v>0.4</v>
      </c>
      <c r="N891">
        <v>46</v>
      </c>
      <c r="O891">
        <v>0.45</v>
      </c>
      <c r="P891">
        <v>0</v>
      </c>
      <c r="Q891">
        <v>0</v>
      </c>
      <c r="R891">
        <v>0</v>
      </c>
      <c r="S891">
        <v>0</v>
      </c>
      <c r="T891">
        <v>0.29830000000000001</v>
      </c>
      <c r="U891">
        <v>-7.0000000000000001E-3</v>
      </c>
      <c r="V891">
        <v>1E-4</v>
      </c>
      <c r="W891">
        <v>-0.36909999999999998</v>
      </c>
      <c r="X891">
        <v>0.1356</v>
      </c>
      <c r="Y891">
        <v>-4.0000000000000001E-3</v>
      </c>
      <c r="Z891">
        <v>80</v>
      </c>
      <c r="AA891">
        <v>0.3</v>
      </c>
      <c r="AB891">
        <v>143</v>
      </c>
      <c r="AC891">
        <v>0.45</v>
      </c>
      <c r="AD891">
        <v>0</v>
      </c>
      <c r="AE891">
        <v>0</v>
      </c>
      <c r="AF891">
        <v>0.45</v>
      </c>
      <c r="AG891">
        <v>108</v>
      </c>
      <c r="AH891">
        <v>0</v>
      </c>
    </row>
    <row r="892" spans="1:34" x14ac:dyDescent="0.35">
      <c r="A892" t="s">
        <v>34</v>
      </c>
      <c r="B892" s="1">
        <v>46146.65625</v>
      </c>
      <c r="C892" t="s">
        <v>34</v>
      </c>
      <c r="D892" s="1">
        <v>46149.625</v>
      </c>
      <c r="E892">
        <v>6750</v>
      </c>
      <c r="F892" t="s">
        <v>36</v>
      </c>
      <c r="G892">
        <v>0.49</v>
      </c>
      <c r="H892">
        <v>1.88</v>
      </c>
      <c r="I892">
        <v>0.4</v>
      </c>
      <c r="J892">
        <v>0.45</v>
      </c>
      <c r="K892">
        <v>1592</v>
      </c>
      <c r="L892">
        <v>299</v>
      </c>
      <c r="M892">
        <v>0.4</v>
      </c>
      <c r="N892">
        <v>246</v>
      </c>
      <c r="O892">
        <v>0.5</v>
      </c>
      <c r="P892">
        <v>0</v>
      </c>
      <c r="Q892">
        <v>0</v>
      </c>
      <c r="R892">
        <v>0</v>
      </c>
      <c r="S892">
        <v>0</v>
      </c>
      <c r="T892">
        <v>0.2944</v>
      </c>
      <c r="U892">
        <v>-7.4000000000000003E-3</v>
      </c>
      <c r="V892">
        <v>1E-4</v>
      </c>
      <c r="W892">
        <v>-0.38929999999999998</v>
      </c>
      <c r="X892">
        <v>0.1434</v>
      </c>
      <c r="Y892">
        <v>-4.3E-3</v>
      </c>
      <c r="Z892">
        <v>153</v>
      </c>
      <c r="AA892">
        <v>0.3</v>
      </c>
      <c r="AB892">
        <v>150</v>
      </c>
      <c r="AC892">
        <v>0.45</v>
      </c>
      <c r="AD892">
        <v>0</v>
      </c>
      <c r="AE892">
        <v>0</v>
      </c>
      <c r="AF892">
        <v>0.57210000000000005</v>
      </c>
      <c r="AG892">
        <v>1689</v>
      </c>
      <c r="AH892">
        <v>0</v>
      </c>
    </row>
    <row r="893" spans="1:34" x14ac:dyDescent="0.35">
      <c r="A893" t="s">
        <v>34</v>
      </c>
      <c r="B893" s="1">
        <v>46146.65625</v>
      </c>
      <c r="C893" t="s">
        <v>34</v>
      </c>
      <c r="D893" s="1">
        <v>46149.625</v>
      </c>
      <c r="E893">
        <v>6760</v>
      </c>
      <c r="F893" t="s">
        <v>36</v>
      </c>
      <c r="G893">
        <v>0.45</v>
      </c>
      <c r="H893">
        <v>0.95</v>
      </c>
      <c r="I893">
        <v>0.45</v>
      </c>
      <c r="J893">
        <v>0.55000000000000004</v>
      </c>
      <c r="K893">
        <v>6</v>
      </c>
      <c r="L893">
        <v>27</v>
      </c>
      <c r="M893">
        <v>0.45</v>
      </c>
      <c r="N893">
        <v>51</v>
      </c>
      <c r="O893">
        <v>0.5</v>
      </c>
      <c r="P893">
        <v>0</v>
      </c>
      <c r="Q893">
        <v>0</v>
      </c>
      <c r="R893">
        <v>0</v>
      </c>
      <c r="S893">
        <v>0</v>
      </c>
      <c r="T893">
        <v>0.2903</v>
      </c>
      <c r="U893">
        <v>-7.9000000000000008E-3</v>
      </c>
      <c r="V893">
        <v>1E-4</v>
      </c>
      <c r="W893">
        <v>-0.40899999999999997</v>
      </c>
      <c r="X893">
        <v>0.15140000000000001</v>
      </c>
      <c r="Y893">
        <v>-4.5999999999999999E-3</v>
      </c>
      <c r="Z893">
        <v>141</v>
      </c>
      <c r="AA893">
        <v>0.3</v>
      </c>
      <c r="AB893">
        <v>90</v>
      </c>
      <c r="AC893">
        <v>0.45</v>
      </c>
      <c r="AD893">
        <v>0</v>
      </c>
      <c r="AE893">
        <v>0</v>
      </c>
      <c r="AF893">
        <v>0.60670000000000002</v>
      </c>
      <c r="AG893">
        <v>100</v>
      </c>
      <c r="AH893">
        <v>0</v>
      </c>
    </row>
    <row r="894" spans="1:34" x14ac:dyDescent="0.35">
      <c r="A894" t="s">
        <v>34</v>
      </c>
      <c r="B894" s="1">
        <v>46146.65625</v>
      </c>
      <c r="C894" t="s">
        <v>34</v>
      </c>
      <c r="D894" s="1">
        <v>46149.625</v>
      </c>
      <c r="E894">
        <v>6770</v>
      </c>
      <c r="F894" t="s">
        <v>36</v>
      </c>
      <c r="G894">
        <v>0.5</v>
      </c>
      <c r="H894">
        <v>0.6</v>
      </c>
      <c r="I894">
        <v>0.45</v>
      </c>
      <c r="J894">
        <v>0.45</v>
      </c>
      <c r="K894">
        <v>7</v>
      </c>
      <c r="L894">
        <v>246</v>
      </c>
      <c r="M894">
        <v>0.45</v>
      </c>
      <c r="N894">
        <v>181</v>
      </c>
      <c r="O894">
        <v>0.55000000000000004</v>
      </c>
      <c r="P894">
        <v>0</v>
      </c>
      <c r="Q894">
        <v>0</v>
      </c>
      <c r="R894">
        <v>0</v>
      </c>
      <c r="S894">
        <v>0</v>
      </c>
      <c r="T894">
        <v>0.28599999999999998</v>
      </c>
      <c r="U894">
        <v>-8.3999999999999995E-3</v>
      </c>
      <c r="V894">
        <v>1E-4</v>
      </c>
      <c r="W894">
        <v>-0.42880000000000001</v>
      </c>
      <c r="X894">
        <v>0.15959999999999999</v>
      </c>
      <c r="Y894">
        <v>-4.7999999999999996E-3</v>
      </c>
      <c r="Z894">
        <v>144</v>
      </c>
      <c r="AA894">
        <v>0.35</v>
      </c>
      <c r="AB894">
        <v>143</v>
      </c>
      <c r="AC894">
        <v>0.5</v>
      </c>
      <c r="AD894">
        <v>0</v>
      </c>
      <c r="AE894">
        <v>0</v>
      </c>
      <c r="AF894">
        <v>0.5</v>
      </c>
      <c r="AG894">
        <v>309</v>
      </c>
      <c r="AH894">
        <v>0</v>
      </c>
    </row>
    <row r="895" spans="1:34" x14ac:dyDescent="0.35">
      <c r="A895" t="s">
        <v>34</v>
      </c>
      <c r="B895" s="1">
        <v>46146.65625</v>
      </c>
      <c r="C895" t="s">
        <v>34</v>
      </c>
      <c r="D895" s="1">
        <v>46149.625</v>
      </c>
      <c r="E895">
        <v>6775</v>
      </c>
      <c r="F895" t="s">
        <v>36</v>
      </c>
      <c r="G895">
        <v>0.91</v>
      </c>
      <c r="H895">
        <v>0.91</v>
      </c>
      <c r="I895">
        <v>0.37</v>
      </c>
      <c r="J895">
        <v>0.37</v>
      </c>
      <c r="K895">
        <v>54</v>
      </c>
      <c r="L895">
        <v>28</v>
      </c>
      <c r="M895">
        <v>0.5</v>
      </c>
      <c r="N895">
        <v>85</v>
      </c>
      <c r="O895">
        <v>0.55000000000000004</v>
      </c>
      <c r="P895">
        <v>0</v>
      </c>
      <c r="Q895">
        <v>0</v>
      </c>
      <c r="R895">
        <v>0</v>
      </c>
      <c r="S895">
        <v>0</v>
      </c>
      <c r="T895">
        <v>0.28320000000000001</v>
      </c>
      <c r="U895">
        <v>-8.5000000000000006E-3</v>
      </c>
      <c r="V895">
        <v>1E-4</v>
      </c>
      <c r="W895">
        <v>-0.42849999999999999</v>
      </c>
      <c r="X895">
        <v>0.161</v>
      </c>
      <c r="Y895">
        <v>-4.8999999999999998E-3</v>
      </c>
      <c r="Z895">
        <v>147</v>
      </c>
      <c r="AA895">
        <v>0.35</v>
      </c>
      <c r="AB895">
        <v>154</v>
      </c>
      <c r="AC895">
        <v>0.5</v>
      </c>
      <c r="AD895">
        <v>0</v>
      </c>
      <c r="AE895">
        <v>0</v>
      </c>
      <c r="AF895">
        <v>0.49909999999999999</v>
      </c>
      <c r="AG895">
        <v>235</v>
      </c>
      <c r="AH895">
        <v>0</v>
      </c>
    </row>
    <row r="896" spans="1:34" x14ac:dyDescent="0.35">
      <c r="A896" t="s">
        <v>34</v>
      </c>
      <c r="B896" s="1">
        <v>46146.65625</v>
      </c>
      <c r="C896" t="s">
        <v>34</v>
      </c>
      <c r="D896" s="1">
        <v>46149.625</v>
      </c>
      <c r="E896">
        <v>6780</v>
      </c>
      <c r="F896" t="s">
        <v>36</v>
      </c>
      <c r="G896">
        <v>0.5</v>
      </c>
      <c r="H896">
        <v>0.97</v>
      </c>
      <c r="I896">
        <v>0.4</v>
      </c>
      <c r="J896">
        <v>0.4</v>
      </c>
      <c r="K896">
        <v>78</v>
      </c>
      <c r="L896">
        <v>32</v>
      </c>
      <c r="M896">
        <v>0.5</v>
      </c>
      <c r="N896">
        <v>13</v>
      </c>
      <c r="O896">
        <v>0.55000000000000004</v>
      </c>
      <c r="P896">
        <v>0</v>
      </c>
      <c r="Q896">
        <v>0</v>
      </c>
      <c r="R896">
        <v>0</v>
      </c>
      <c r="S896">
        <v>0</v>
      </c>
      <c r="T896">
        <v>0.28189999999999998</v>
      </c>
      <c r="U896">
        <v>-8.8999999999999999E-3</v>
      </c>
      <c r="V896">
        <v>1E-4</v>
      </c>
      <c r="W896">
        <v>-0.44829999999999998</v>
      </c>
      <c r="X896">
        <v>0.1678</v>
      </c>
      <c r="Y896">
        <v>-5.1000000000000004E-3</v>
      </c>
      <c r="Z896">
        <v>138</v>
      </c>
      <c r="AA896">
        <v>0.35</v>
      </c>
      <c r="AB896">
        <v>135</v>
      </c>
      <c r="AC896">
        <v>0.5</v>
      </c>
      <c r="AD896">
        <v>0</v>
      </c>
      <c r="AE896">
        <v>0</v>
      </c>
      <c r="AF896">
        <v>0.46879999999999999</v>
      </c>
      <c r="AG896">
        <v>109</v>
      </c>
      <c r="AH896">
        <v>0</v>
      </c>
    </row>
    <row r="897" spans="1:34" x14ac:dyDescent="0.35">
      <c r="A897" t="s">
        <v>34</v>
      </c>
      <c r="B897" s="1">
        <v>46146.65625</v>
      </c>
      <c r="C897" t="s">
        <v>34</v>
      </c>
      <c r="D897" s="1">
        <v>46149.625</v>
      </c>
      <c r="E897">
        <v>6785</v>
      </c>
      <c r="F897" t="s">
        <v>36</v>
      </c>
      <c r="G897">
        <v>0.65</v>
      </c>
      <c r="H897">
        <v>0.65</v>
      </c>
      <c r="I897">
        <v>0.4</v>
      </c>
      <c r="J897">
        <v>0.45</v>
      </c>
      <c r="K897">
        <v>41</v>
      </c>
      <c r="L897">
        <v>183</v>
      </c>
      <c r="M897">
        <v>0.5</v>
      </c>
      <c r="N897">
        <v>226</v>
      </c>
      <c r="O897">
        <v>0.6</v>
      </c>
      <c r="P897">
        <v>0</v>
      </c>
      <c r="Q897">
        <v>0</v>
      </c>
      <c r="R897">
        <v>0</v>
      </c>
      <c r="S897">
        <v>0</v>
      </c>
      <c r="T897">
        <v>0.28029999999999999</v>
      </c>
      <c r="U897">
        <v>-9.2999999999999992E-3</v>
      </c>
      <c r="V897">
        <v>1E-4</v>
      </c>
      <c r="W897">
        <v>-0.46789999999999998</v>
      </c>
      <c r="X897">
        <v>0.17480000000000001</v>
      </c>
      <c r="Y897">
        <v>-5.4000000000000003E-3</v>
      </c>
      <c r="Z897">
        <v>138</v>
      </c>
      <c r="AA897">
        <v>0.35</v>
      </c>
      <c r="AB897">
        <v>55</v>
      </c>
      <c r="AC897">
        <v>0.5</v>
      </c>
      <c r="AD897">
        <v>0</v>
      </c>
      <c r="AE897">
        <v>0</v>
      </c>
      <c r="AF897">
        <v>0.4415</v>
      </c>
      <c r="AG897">
        <v>2</v>
      </c>
      <c r="AH897">
        <v>0</v>
      </c>
    </row>
    <row r="898" spans="1:34" x14ac:dyDescent="0.35">
      <c r="A898" t="s">
        <v>34</v>
      </c>
      <c r="B898" s="1">
        <v>46146.65625</v>
      </c>
      <c r="C898" t="s">
        <v>34</v>
      </c>
      <c r="D898" s="1">
        <v>46149.625</v>
      </c>
      <c r="E898">
        <v>6790</v>
      </c>
      <c r="F898" t="s">
        <v>36</v>
      </c>
      <c r="G898">
        <v>0.65</v>
      </c>
      <c r="H898">
        <v>1.1200000000000001</v>
      </c>
      <c r="I898">
        <v>0.55000000000000004</v>
      </c>
      <c r="J898">
        <v>0.55000000000000004</v>
      </c>
      <c r="K898">
        <v>30</v>
      </c>
      <c r="L898">
        <v>27</v>
      </c>
      <c r="M898">
        <v>0.55000000000000004</v>
      </c>
      <c r="N898">
        <v>110</v>
      </c>
      <c r="O898">
        <v>0.6</v>
      </c>
      <c r="P898">
        <v>0</v>
      </c>
      <c r="Q898">
        <v>0</v>
      </c>
      <c r="R898">
        <v>0</v>
      </c>
      <c r="S898">
        <v>0</v>
      </c>
      <c r="T898">
        <v>0.27739999999999998</v>
      </c>
      <c r="U898">
        <v>-9.4000000000000004E-3</v>
      </c>
      <c r="V898">
        <v>1E-4</v>
      </c>
      <c r="W898">
        <v>-0.46750000000000003</v>
      </c>
      <c r="X898">
        <v>0.1764</v>
      </c>
      <c r="Y898">
        <v>-5.4000000000000003E-3</v>
      </c>
      <c r="Z898">
        <v>115</v>
      </c>
      <c r="AA898">
        <v>0.4</v>
      </c>
      <c r="AB898">
        <v>134</v>
      </c>
      <c r="AC898">
        <v>0.55000000000000004</v>
      </c>
      <c r="AD898">
        <v>0</v>
      </c>
      <c r="AE898">
        <v>0</v>
      </c>
      <c r="AF898">
        <v>0.9093</v>
      </c>
      <c r="AG898">
        <v>2954</v>
      </c>
      <c r="AH898">
        <v>0</v>
      </c>
    </row>
    <row r="899" spans="1:34" x14ac:dyDescent="0.35">
      <c r="A899" t="s">
        <v>34</v>
      </c>
      <c r="B899" s="1">
        <v>46146.65625</v>
      </c>
      <c r="C899" t="s">
        <v>34</v>
      </c>
      <c r="D899" s="1">
        <v>46149.625</v>
      </c>
      <c r="E899">
        <v>6795</v>
      </c>
      <c r="F899" t="s">
        <v>36</v>
      </c>
      <c r="G899">
        <v>0.7</v>
      </c>
      <c r="H899">
        <v>0.7</v>
      </c>
      <c r="I899">
        <v>0.7</v>
      </c>
      <c r="J899">
        <v>0.7</v>
      </c>
      <c r="K899">
        <v>1</v>
      </c>
      <c r="L899">
        <v>33</v>
      </c>
      <c r="M899">
        <v>0.55000000000000004</v>
      </c>
      <c r="N899">
        <v>258</v>
      </c>
      <c r="O899">
        <v>0.65</v>
      </c>
      <c r="P899">
        <v>0</v>
      </c>
      <c r="Q899">
        <v>0</v>
      </c>
      <c r="R899">
        <v>0</v>
      </c>
      <c r="S899">
        <v>0</v>
      </c>
      <c r="T899">
        <v>0.27729999999999999</v>
      </c>
      <c r="U899">
        <v>-1.0200000000000001E-2</v>
      </c>
      <c r="V899">
        <v>2.0000000000000001E-4</v>
      </c>
      <c r="W899">
        <v>-0.50680000000000003</v>
      </c>
      <c r="X899">
        <v>0.18840000000000001</v>
      </c>
      <c r="Y899">
        <v>-5.8999999999999999E-3</v>
      </c>
      <c r="Z899">
        <v>111</v>
      </c>
      <c r="AA899">
        <v>0.4</v>
      </c>
      <c r="AB899">
        <v>131</v>
      </c>
      <c r="AC899">
        <v>0.55000000000000004</v>
      </c>
      <c r="AD899">
        <v>0</v>
      </c>
      <c r="AE899">
        <v>0</v>
      </c>
      <c r="AF899">
        <v>0.7</v>
      </c>
      <c r="AG899">
        <v>2</v>
      </c>
      <c r="AH899">
        <v>0</v>
      </c>
    </row>
    <row r="900" spans="1:34" x14ac:dyDescent="0.35">
      <c r="A900" t="s">
        <v>34</v>
      </c>
      <c r="B900" s="1">
        <v>46146.65625</v>
      </c>
      <c r="C900" t="s">
        <v>34</v>
      </c>
      <c r="D900" s="1">
        <v>46149.625</v>
      </c>
      <c r="E900">
        <v>6800</v>
      </c>
      <c r="F900" t="s">
        <v>36</v>
      </c>
      <c r="G900">
        <v>0.68</v>
      </c>
      <c r="H900">
        <v>1.38</v>
      </c>
      <c r="I900">
        <v>0.46</v>
      </c>
      <c r="J900">
        <v>0.46</v>
      </c>
      <c r="K900">
        <v>1747</v>
      </c>
      <c r="L900">
        <v>274</v>
      </c>
      <c r="M900">
        <v>0.55000000000000004</v>
      </c>
      <c r="N900">
        <v>244</v>
      </c>
      <c r="O900">
        <v>0.65</v>
      </c>
      <c r="P900">
        <v>0</v>
      </c>
      <c r="Q900">
        <v>0</v>
      </c>
      <c r="R900">
        <v>0</v>
      </c>
      <c r="S900">
        <v>0</v>
      </c>
      <c r="T900">
        <v>0.2742</v>
      </c>
      <c r="U900">
        <v>-1.03E-2</v>
      </c>
      <c r="V900">
        <v>2.0000000000000001E-4</v>
      </c>
      <c r="W900">
        <v>-0.50629999999999997</v>
      </c>
      <c r="X900">
        <v>0.1903</v>
      </c>
      <c r="Y900">
        <v>-5.8999999999999999E-3</v>
      </c>
      <c r="Z900">
        <v>120</v>
      </c>
      <c r="AA900">
        <v>0.4</v>
      </c>
      <c r="AB900">
        <v>126</v>
      </c>
      <c r="AC900">
        <v>0.55000000000000004</v>
      </c>
      <c r="AD900">
        <v>0</v>
      </c>
      <c r="AE900">
        <v>0</v>
      </c>
      <c r="AF900">
        <v>0.65249999999999997</v>
      </c>
      <c r="AG900">
        <v>2454</v>
      </c>
      <c r="AH900">
        <v>0</v>
      </c>
    </row>
    <row r="901" spans="1:34" x14ac:dyDescent="0.35">
      <c r="A901" t="s">
        <v>34</v>
      </c>
      <c r="B901" s="1">
        <v>46146.65625</v>
      </c>
      <c r="C901" t="s">
        <v>34</v>
      </c>
      <c r="D901" s="1">
        <v>46149.625</v>
      </c>
      <c r="E901">
        <v>6805</v>
      </c>
      <c r="F901" t="s">
        <v>36</v>
      </c>
      <c r="G901">
        <v>0.7</v>
      </c>
      <c r="H901">
        <v>1.22</v>
      </c>
      <c r="I901">
        <v>0.7</v>
      </c>
      <c r="J901">
        <v>0.75</v>
      </c>
      <c r="K901">
        <v>9</v>
      </c>
      <c r="L901">
        <v>28</v>
      </c>
      <c r="M901">
        <v>0.6</v>
      </c>
      <c r="N901">
        <v>45</v>
      </c>
      <c r="O901">
        <v>0.65</v>
      </c>
      <c r="P901">
        <v>0</v>
      </c>
      <c r="Q901">
        <v>0</v>
      </c>
      <c r="R901">
        <v>0</v>
      </c>
      <c r="S901">
        <v>0</v>
      </c>
      <c r="T901">
        <v>0.27260000000000001</v>
      </c>
      <c r="U901">
        <v>-1.0699999999999999E-2</v>
      </c>
      <c r="V901">
        <v>2.0000000000000001E-4</v>
      </c>
      <c r="W901">
        <v>-0.52549999999999997</v>
      </c>
      <c r="X901">
        <v>0.1971</v>
      </c>
      <c r="Y901">
        <v>-6.1999999999999998E-3</v>
      </c>
      <c r="Z901">
        <v>113</v>
      </c>
      <c r="AA901">
        <v>0.4</v>
      </c>
      <c r="AB901">
        <v>121</v>
      </c>
      <c r="AC901">
        <v>0.6</v>
      </c>
      <c r="AD901">
        <v>0</v>
      </c>
      <c r="AE901">
        <v>0</v>
      </c>
      <c r="AF901">
        <v>0.92330000000000001</v>
      </c>
      <c r="AG901">
        <v>1</v>
      </c>
      <c r="AH901">
        <v>0</v>
      </c>
    </row>
    <row r="902" spans="1:34" x14ac:dyDescent="0.35">
      <c r="A902" t="s">
        <v>34</v>
      </c>
      <c r="B902" s="1">
        <v>46146.65625</v>
      </c>
      <c r="C902" t="s">
        <v>34</v>
      </c>
      <c r="D902" s="1">
        <v>46149.625</v>
      </c>
      <c r="E902">
        <v>6810</v>
      </c>
      <c r="F902" t="s">
        <v>36</v>
      </c>
      <c r="G902">
        <v>0.72</v>
      </c>
      <c r="H902">
        <v>1.22</v>
      </c>
      <c r="I902">
        <v>0.5</v>
      </c>
      <c r="J902">
        <v>0.5</v>
      </c>
      <c r="K902">
        <v>22</v>
      </c>
      <c r="L902">
        <v>77</v>
      </c>
      <c r="M902">
        <v>0.6</v>
      </c>
      <c r="N902">
        <v>252</v>
      </c>
      <c r="O902">
        <v>0.7</v>
      </c>
      <c r="P902">
        <v>0</v>
      </c>
      <c r="Q902">
        <v>0</v>
      </c>
      <c r="R902">
        <v>0</v>
      </c>
      <c r="S902">
        <v>0</v>
      </c>
      <c r="T902">
        <v>0.2707</v>
      </c>
      <c r="U902">
        <v>-1.11E-2</v>
      </c>
      <c r="V902">
        <v>2.0000000000000001E-4</v>
      </c>
      <c r="W902">
        <v>-0.54469999999999996</v>
      </c>
      <c r="X902">
        <v>0.20419999999999999</v>
      </c>
      <c r="Y902">
        <v>-6.4999999999999997E-3</v>
      </c>
      <c r="Z902">
        <v>113</v>
      </c>
      <c r="AA902">
        <v>0.45</v>
      </c>
      <c r="AB902">
        <v>117</v>
      </c>
      <c r="AC902">
        <v>0.6</v>
      </c>
      <c r="AD902">
        <v>0</v>
      </c>
      <c r="AE902">
        <v>0</v>
      </c>
      <c r="AF902">
        <v>1.0405</v>
      </c>
      <c r="AG902">
        <v>143</v>
      </c>
      <c r="AH902">
        <v>0</v>
      </c>
    </row>
    <row r="903" spans="1:34" x14ac:dyDescent="0.35">
      <c r="A903" t="s">
        <v>34</v>
      </c>
      <c r="B903" s="1">
        <v>46146.65625</v>
      </c>
      <c r="C903" t="s">
        <v>34</v>
      </c>
      <c r="D903" s="1">
        <v>46149.625</v>
      </c>
      <c r="E903">
        <v>6815</v>
      </c>
      <c r="F903" t="s">
        <v>36</v>
      </c>
      <c r="G903">
        <v>0.65</v>
      </c>
      <c r="H903">
        <v>1.27</v>
      </c>
      <c r="I903">
        <v>0.65</v>
      </c>
      <c r="J903">
        <v>0.65</v>
      </c>
      <c r="K903">
        <v>19</v>
      </c>
      <c r="L903">
        <v>26</v>
      </c>
      <c r="M903">
        <v>0.65</v>
      </c>
      <c r="N903">
        <v>78</v>
      </c>
      <c r="O903">
        <v>0.7</v>
      </c>
      <c r="P903">
        <v>0</v>
      </c>
      <c r="Q903">
        <v>0</v>
      </c>
      <c r="R903">
        <v>0</v>
      </c>
      <c r="S903">
        <v>0</v>
      </c>
      <c r="T903">
        <v>0.2676</v>
      </c>
      <c r="U903">
        <v>-1.1299999999999999E-2</v>
      </c>
      <c r="V903">
        <v>2.0000000000000001E-4</v>
      </c>
      <c r="W903">
        <v>-0.54420000000000002</v>
      </c>
      <c r="X903">
        <v>0.20619999999999999</v>
      </c>
      <c r="Y903">
        <v>-6.4999999999999997E-3</v>
      </c>
      <c r="Z903">
        <v>111</v>
      </c>
      <c r="AA903">
        <v>0.45</v>
      </c>
      <c r="AB903">
        <v>85</v>
      </c>
      <c r="AC903">
        <v>0.6</v>
      </c>
      <c r="AD903">
        <v>0</v>
      </c>
      <c r="AE903">
        <v>0</v>
      </c>
      <c r="AF903">
        <v>0.91469999999999996</v>
      </c>
      <c r="AG903">
        <v>1</v>
      </c>
      <c r="AH903">
        <v>0</v>
      </c>
    </row>
    <row r="904" spans="1:34" x14ac:dyDescent="0.35">
      <c r="A904" t="s">
        <v>34</v>
      </c>
      <c r="B904" s="1">
        <v>46146.65625</v>
      </c>
      <c r="C904" t="s">
        <v>34</v>
      </c>
      <c r="D904" s="1">
        <v>46149.625</v>
      </c>
      <c r="E904">
        <v>6820</v>
      </c>
      <c r="F904" t="s">
        <v>36</v>
      </c>
      <c r="G904">
        <v>0.66</v>
      </c>
      <c r="H904">
        <v>2.4300000000000002</v>
      </c>
      <c r="I904">
        <v>0.6</v>
      </c>
      <c r="J904">
        <v>0.6</v>
      </c>
      <c r="K904">
        <v>83</v>
      </c>
      <c r="L904">
        <v>67</v>
      </c>
      <c r="M904">
        <v>0.65</v>
      </c>
      <c r="N904">
        <v>278</v>
      </c>
      <c r="O904">
        <v>0.75</v>
      </c>
      <c r="P904">
        <v>0</v>
      </c>
      <c r="Q904">
        <v>0</v>
      </c>
      <c r="R904">
        <v>0</v>
      </c>
      <c r="S904">
        <v>0</v>
      </c>
      <c r="T904">
        <v>0.26729999999999998</v>
      </c>
      <c r="U904">
        <v>-1.2E-2</v>
      </c>
      <c r="V904">
        <v>2.0000000000000001E-4</v>
      </c>
      <c r="W904">
        <v>-0.58250000000000002</v>
      </c>
      <c r="X904">
        <v>0.21820000000000001</v>
      </c>
      <c r="Y904">
        <v>-7.0000000000000001E-3</v>
      </c>
      <c r="Z904">
        <v>26</v>
      </c>
      <c r="AA904">
        <v>0.5</v>
      </c>
      <c r="AB904">
        <v>119</v>
      </c>
      <c r="AC904">
        <v>0.65</v>
      </c>
      <c r="AD904">
        <v>0</v>
      </c>
      <c r="AE904">
        <v>0</v>
      </c>
      <c r="AF904">
        <v>2.0331000000000001</v>
      </c>
      <c r="AG904">
        <v>128</v>
      </c>
      <c r="AH904">
        <v>0</v>
      </c>
    </row>
    <row r="905" spans="1:34" x14ac:dyDescent="0.35">
      <c r="A905" t="s">
        <v>34</v>
      </c>
      <c r="B905" s="1">
        <v>46146.65625</v>
      </c>
      <c r="C905" t="s">
        <v>34</v>
      </c>
      <c r="D905" s="1">
        <v>46149.625</v>
      </c>
      <c r="E905">
        <v>6825</v>
      </c>
      <c r="F905" t="s">
        <v>36</v>
      </c>
      <c r="G905">
        <v>0.72</v>
      </c>
      <c r="H905">
        <v>3.48</v>
      </c>
      <c r="I905">
        <v>0.55000000000000004</v>
      </c>
      <c r="J905">
        <v>0.55000000000000004</v>
      </c>
      <c r="K905">
        <v>17</v>
      </c>
      <c r="L905">
        <v>25</v>
      </c>
      <c r="M905">
        <v>0.7</v>
      </c>
      <c r="N905">
        <v>104</v>
      </c>
      <c r="O905">
        <v>0.75</v>
      </c>
      <c r="P905">
        <v>0</v>
      </c>
      <c r="Q905">
        <v>0</v>
      </c>
      <c r="R905">
        <v>0</v>
      </c>
      <c r="S905">
        <v>0</v>
      </c>
      <c r="T905">
        <v>0.26400000000000001</v>
      </c>
      <c r="U905">
        <v>-1.2200000000000001E-2</v>
      </c>
      <c r="V905">
        <v>2.0000000000000001E-4</v>
      </c>
      <c r="W905">
        <v>-0.58189999999999997</v>
      </c>
      <c r="X905">
        <v>0.2205</v>
      </c>
      <c r="Y905">
        <v>-7.1000000000000004E-3</v>
      </c>
      <c r="Z905">
        <v>109</v>
      </c>
      <c r="AA905">
        <v>0.5</v>
      </c>
      <c r="AB905">
        <v>114</v>
      </c>
      <c r="AC905">
        <v>0.65</v>
      </c>
      <c r="AD905">
        <v>0</v>
      </c>
      <c r="AE905">
        <v>0</v>
      </c>
      <c r="AF905">
        <v>1.4664999999999999</v>
      </c>
      <c r="AG905">
        <v>236</v>
      </c>
      <c r="AH905">
        <v>0</v>
      </c>
    </row>
    <row r="906" spans="1:34" x14ac:dyDescent="0.35">
      <c r="A906" t="s">
        <v>34</v>
      </c>
      <c r="B906" s="1">
        <v>46146.65625</v>
      </c>
      <c r="C906" t="s">
        <v>34</v>
      </c>
      <c r="D906" s="1">
        <v>46149.625</v>
      </c>
      <c r="E906">
        <v>6830</v>
      </c>
      <c r="F906" t="s">
        <v>36</v>
      </c>
      <c r="G906">
        <v>0.9</v>
      </c>
      <c r="H906">
        <v>1.31</v>
      </c>
      <c r="I906">
        <v>0.6</v>
      </c>
      <c r="J906">
        <v>0.6</v>
      </c>
      <c r="K906">
        <v>29</v>
      </c>
      <c r="L906">
        <v>103</v>
      </c>
      <c r="M906">
        <v>0.7</v>
      </c>
      <c r="N906">
        <v>208</v>
      </c>
      <c r="O906">
        <v>0.8</v>
      </c>
      <c r="P906">
        <v>0</v>
      </c>
      <c r="Q906">
        <v>0</v>
      </c>
      <c r="R906">
        <v>0</v>
      </c>
      <c r="S906">
        <v>0</v>
      </c>
      <c r="T906">
        <v>0.2621</v>
      </c>
      <c r="U906">
        <v>-1.26E-2</v>
      </c>
      <c r="V906">
        <v>2.0000000000000001E-4</v>
      </c>
      <c r="W906">
        <v>-0.60060000000000002</v>
      </c>
      <c r="X906">
        <v>0.22770000000000001</v>
      </c>
      <c r="Y906">
        <v>-7.3000000000000001E-3</v>
      </c>
      <c r="Z906">
        <v>1</v>
      </c>
      <c r="AA906">
        <v>0.55000000000000004</v>
      </c>
      <c r="AB906">
        <v>49</v>
      </c>
      <c r="AC906">
        <v>0.65</v>
      </c>
      <c r="AD906">
        <v>0</v>
      </c>
      <c r="AE906">
        <v>0</v>
      </c>
      <c r="AF906">
        <v>0.93899999999999995</v>
      </c>
      <c r="AG906">
        <v>537</v>
      </c>
      <c r="AH906">
        <v>0</v>
      </c>
    </row>
    <row r="907" spans="1:34" x14ac:dyDescent="0.35">
      <c r="A907" t="s">
        <v>34</v>
      </c>
      <c r="B907" s="1">
        <v>46146.65625</v>
      </c>
      <c r="C907" t="s">
        <v>34</v>
      </c>
      <c r="D907" s="1">
        <v>46149.625</v>
      </c>
      <c r="E907">
        <v>6835</v>
      </c>
      <c r="F907" t="s">
        <v>36</v>
      </c>
      <c r="G907">
        <v>0.88</v>
      </c>
      <c r="H907">
        <v>1.75</v>
      </c>
      <c r="I907">
        <v>0.6</v>
      </c>
      <c r="J907">
        <v>0.6</v>
      </c>
      <c r="K907">
        <v>173</v>
      </c>
      <c r="L907">
        <v>25</v>
      </c>
      <c r="M907">
        <v>0.75</v>
      </c>
      <c r="N907">
        <v>66</v>
      </c>
      <c r="O907">
        <v>0.8</v>
      </c>
      <c r="P907">
        <v>0</v>
      </c>
      <c r="Q907">
        <v>0</v>
      </c>
      <c r="R907">
        <v>0</v>
      </c>
      <c r="S907">
        <v>0</v>
      </c>
      <c r="T907">
        <v>0.26140000000000002</v>
      </c>
      <c r="U907">
        <v>-1.34E-2</v>
      </c>
      <c r="V907">
        <v>2.0000000000000001E-4</v>
      </c>
      <c r="W907">
        <v>-0.63819999999999999</v>
      </c>
      <c r="X907">
        <v>0.24</v>
      </c>
      <c r="Y907">
        <v>-7.7999999999999996E-3</v>
      </c>
      <c r="Z907">
        <v>75</v>
      </c>
      <c r="AA907">
        <v>0.55000000000000004</v>
      </c>
      <c r="AB907">
        <v>106</v>
      </c>
      <c r="AC907">
        <v>0.7</v>
      </c>
      <c r="AD907">
        <v>0</v>
      </c>
      <c r="AE907">
        <v>0</v>
      </c>
      <c r="AF907">
        <v>1.2642</v>
      </c>
      <c r="AG907">
        <v>151</v>
      </c>
      <c r="AH907">
        <v>0</v>
      </c>
    </row>
    <row r="908" spans="1:34" x14ac:dyDescent="0.35">
      <c r="A908" t="s">
        <v>34</v>
      </c>
      <c r="B908" s="1">
        <v>46146.65625</v>
      </c>
      <c r="C908" t="s">
        <v>34</v>
      </c>
      <c r="D908" s="1">
        <v>46149.625</v>
      </c>
      <c r="E908">
        <v>6840</v>
      </c>
      <c r="F908" t="s">
        <v>36</v>
      </c>
      <c r="G908">
        <v>0.7</v>
      </c>
      <c r="H908">
        <v>0.95</v>
      </c>
      <c r="I908">
        <v>0.65</v>
      </c>
      <c r="J908">
        <v>0.65</v>
      </c>
      <c r="K908">
        <v>10</v>
      </c>
      <c r="L908">
        <v>102</v>
      </c>
      <c r="M908">
        <v>0.75</v>
      </c>
      <c r="N908">
        <v>104</v>
      </c>
      <c r="O908">
        <v>0.85</v>
      </c>
      <c r="P908">
        <v>0</v>
      </c>
      <c r="Q908">
        <v>0</v>
      </c>
      <c r="R908">
        <v>0</v>
      </c>
      <c r="S908">
        <v>0</v>
      </c>
      <c r="T908">
        <v>0.25940000000000002</v>
      </c>
      <c r="U908">
        <v>-1.3899999999999999E-2</v>
      </c>
      <c r="V908">
        <v>2.0000000000000001E-4</v>
      </c>
      <c r="W908">
        <v>-0.65659999999999996</v>
      </c>
      <c r="X908">
        <v>0.2475</v>
      </c>
      <c r="Y908">
        <v>-8.0999999999999996E-3</v>
      </c>
      <c r="Z908">
        <v>101</v>
      </c>
      <c r="AA908">
        <v>0.55000000000000004</v>
      </c>
      <c r="AB908">
        <v>49</v>
      </c>
      <c r="AC908">
        <v>0.7</v>
      </c>
      <c r="AD908">
        <v>0</v>
      </c>
      <c r="AE908">
        <v>0</v>
      </c>
      <c r="AF908">
        <v>0.74199999999999999</v>
      </c>
      <c r="AG908">
        <v>76</v>
      </c>
      <c r="AH908">
        <v>0</v>
      </c>
    </row>
    <row r="909" spans="1:34" x14ac:dyDescent="0.35">
      <c r="A909" t="s">
        <v>34</v>
      </c>
      <c r="B909" s="1">
        <v>46146.65625</v>
      </c>
      <c r="C909" t="s">
        <v>34</v>
      </c>
      <c r="D909" s="1">
        <v>46149.625</v>
      </c>
      <c r="E909">
        <v>6845</v>
      </c>
      <c r="F909" t="s">
        <v>36</v>
      </c>
      <c r="G909">
        <v>0.93</v>
      </c>
      <c r="H909">
        <v>2</v>
      </c>
      <c r="I909">
        <v>0.65</v>
      </c>
      <c r="J909">
        <v>0.65</v>
      </c>
      <c r="K909">
        <v>56</v>
      </c>
      <c r="L909">
        <v>29</v>
      </c>
      <c r="M909">
        <v>0.8</v>
      </c>
      <c r="N909">
        <v>272</v>
      </c>
      <c r="O909">
        <v>0.9</v>
      </c>
      <c r="P909">
        <v>0</v>
      </c>
      <c r="Q909">
        <v>0</v>
      </c>
      <c r="R909">
        <v>0</v>
      </c>
      <c r="S909">
        <v>0</v>
      </c>
      <c r="T909">
        <v>0.25840000000000002</v>
      </c>
      <c r="U909">
        <v>-1.47E-2</v>
      </c>
      <c r="V909">
        <v>2.0000000000000001E-4</v>
      </c>
      <c r="W909">
        <v>-0.69359999999999999</v>
      </c>
      <c r="X909">
        <v>0.25979999999999998</v>
      </c>
      <c r="Y909">
        <v>-8.6E-3</v>
      </c>
      <c r="Z909">
        <v>46</v>
      </c>
      <c r="AA909">
        <v>0.6</v>
      </c>
      <c r="AB909">
        <v>104</v>
      </c>
      <c r="AC909">
        <v>0.75</v>
      </c>
      <c r="AD909">
        <v>0</v>
      </c>
      <c r="AE909">
        <v>0</v>
      </c>
      <c r="AF909">
        <v>0.81679999999999997</v>
      </c>
      <c r="AG909">
        <v>93</v>
      </c>
      <c r="AH909">
        <v>0</v>
      </c>
    </row>
    <row r="910" spans="1:34" x14ac:dyDescent="0.35">
      <c r="A910" t="s">
        <v>34</v>
      </c>
      <c r="B910" s="1">
        <v>46146.65625</v>
      </c>
      <c r="C910" t="s">
        <v>34</v>
      </c>
      <c r="D910" s="1">
        <v>46149.625</v>
      </c>
      <c r="E910">
        <v>6850</v>
      </c>
      <c r="F910" t="s">
        <v>36</v>
      </c>
      <c r="G910">
        <v>0.97</v>
      </c>
      <c r="H910">
        <v>3.95</v>
      </c>
      <c r="I910">
        <v>0.7</v>
      </c>
      <c r="J910">
        <v>0.7</v>
      </c>
      <c r="K910">
        <v>206</v>
      </c>
      <c r="L910">
        <v>24</v>
      </c>
      <c r="M910">
        <v>0.85</v>
      </c>
      <c r="N910">
        <v>76</v>
      </c>
      <c r="O910">
        <v>0.9</v>
      </c>
      <c r="P910">
        <v>0</v>
      </c>
      <c r="Q910">
        <v>0</v>
      </c>
      <c r="R910">
        <v>0</v>
      </c>
      <c r="S910">
        <v>0</v>
      </c>
      <c r="T910">
        <v>0.255</v>
      </c>
      <c r="U910">
        <v>-1.49E-2</v>
      </c>
      <c r="V910">
        <v>2.0000000000000001E-4</v>
      </c>
      <c r="W910">
        <v>-0.69279999999999997</v>
      </c>
      <c r="X910">
        <v>0.26269999999999999</v>
      </c>
      <c r="Y910">
        <v>-8.6999999999999994E-3</v>
      </c>
      <c r="Z910">
        <v>107</v>
      </c>
      <c r="AA910">
        <v>0.6</v>
      </c>
      <c r="AB910">
        <v>49</v>
      </c>
      <c r="AC910">
        <v>0.75</v>
      </c>
      <c r="AD910">
        <v>0</v>
      </c>
      <c r="AE910">
        <v>0</v>
      </c>
      <c r="AF910">
        <v>1.6131</v>
      </c>
      <c r="AG910">
        <v>419</v>
      </c>
      <c r="AH910">
        <v>0</v>
      </c>
    </row>
    <row r="911" spans="1:34" x14ac:dyDescent="0.35">
      <c r="A911" t="s">
        <v>34</v>
      </c>
      <c r="B911" s="1">
        <v>46146.65625</v>
      </c>
      <c r="C911" t="s">
        <v>34</v>
      </c>
      <c r="D911" s="1">
        <v>46149.625</v>
      </c>
      <c r="E911">
        <v>6855</v>
      </c>
      <c r="F911" t="s">
        <v>36</v>
      </c>
      <c r="G911">
        <v>0.85</v>
      </c>
      <c r="H911">
        <v>1.9</v>
      </c>
      <c r="I911">
        <v>0.85</v>
      </c>
      <c r="J911">
        <v>1.05</v>
      </c>
      <c r="K911">
        <v>24</v>
      </c>
      <c r="L911">
        <v>98</v>
      </c>
      <c r="M911">
        <v>0.85</v>
      </c>
      <c r="N911">
        <v>98</v>
      </c>
      <c r="O911">
        <v>0.95</v>
      </c>
      <c r="P911">
        <v>0</v>
      </c>
      <c r="Q911">
        <v>0</v>
      </c>
      <c r="R911">
        <v>0</v>
      </c>
      <c r="S911">
        <v>0</v>
      </c>
      <c r="T911">
        <v>0.25380000000000003</v>
      </c>
      <c r="U911">
        <v>-1.5800000000000002E-2</v>
      </c>
      <c r="V911">
        <v>2.0000000000000001E-4</v>
      </c>
      <c r="W911">
        <v>-0.72929999999999995</v>
      </c>
      <c r="X911">
        <v>0.27500000000000002</v>
      </c>
      <c r="Y911">
        <v>-9.1999999999999998E-3</v>
      </c>
      <c r="Z911">
        <v>72</v>
      </c>
      <c r="AA911">
        <v>0.65</v>
      </c>
      <c r="AB911">
        <v>76</v>
      </c>
      <c r="AC911">
        <v>0.8</v>
      </c>
      <c r="AD911">
        <v>0</v>
      </c>
      <c r="AE911">
        <v>0</v>
      </c>
      <c r="AF911">
        <v>0.98960000000000004</v>
      </c>
      <c r="AG911">
        <v>166</v>
      </c>
      <c r="AH911">
        <v>0</v>
      </c>
    </row>
    <row r="912" spans="1:34" x14ac:dyDescent="0.35">
      <c r="A912" t="s">
        <v>34</v>
      </c>
      <c r="B912" s="1">
        <v>46146.65625</v>
      </c>
      <c r="C912" t="s">
        <v>34</v>
      </c>
      <c r="D912" s="1">
        <v>46149.625</v>
      </c>
      <c r="E912">
        <v>6860</v>
      </c>
      <c r="F912" t="s">
        <v>36</v>
      </c>
      <c r="G912">
        <v>0.9</v>
      </c>
      <c r="H912">
        <v>2</v>
      </c>
      <c r="I912">
        <v>0.9</v>
      </c>
      <c r="J912">
        <v>1.1000000000000001</v>
      </c>
      <c r="K912">
        <v>16</v>
      </c>
      <c r="L912">
        <v>28</v>
      </c>
      <c r="M912">
        <v>0.9</v>
      </c>
      <c r="N912">
        <v>169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0.25159999999999999</v>
      </c>
      <c r="U912">
        <v>-1.6299999999999999E-2</v>
      </c>
      <c r="V912">
        <v>2.0000000000000001E-4</v>
      </c>
      <c r="W912">
        <v>-0.747</v>
      </c>
      <c r="X912">
        <v>0.28260000000000002</v>
      </c>
      <c r="Y912">
        <v>-9.4999999999999998E-3</v>
      </c>
      <c r="Z912">
        <v>26</v>
      </c>
      <c r="AA912">
        <v>0.7</v>
      </c>
      <c r="AB912">
        <v>23</v>
      </c>
      <c r="AC912">
        <v>0.8</v>
      </c>
      <c r="AD912">
        <v>0</v>
      </c>
      <c r="AE912">
        <v>0</v>
      </c>
      <c r="AF912">
        <v>1.6294</v>
      </c>
      <c r="AG912">
        <v>167</v>
      </c>
      <c r="AH912">
        <v>0</v>
      </c>
    </row>
    <row r="913" spans="1:34" x14ac:dyDescent="0.35">
      <c r="A913" t="s">
        <v>34</v>
      </c>
      <c r="B913" s="1">
        <v>46146.65625</v>
      </c>
      <c r="C913" t="s">
        <v>34</v>
      </c>
      <c r="D913" s="1">
        <v>46149.625</v>
      </c>
      <c r="E913">
        <v>6865</v>
      </c>
      <c r="F913" t="s">
        <v>36</v>
      </c>
      <c r="G913">
        <v>0.95</v>
      </c>
      <c r="H913">
        <v>1.95</v>
      </c>
      <c r="I913">
        <v>0.85</v>
      </c>
      <c r="J913">
        <v>0.95</v>
      </c>
      <c r="K913">
        <v>63</v>
      </c>
      <c r="L913">
        <v>29</v>
      </c>
      <c r="M913">
        <v>0.95</v>
      </c>
      <c r="N913">
        <v>193</v>
      </c>
      <c r="O913">
        <v>1.05</v>
      </c>
      <c r="P913">
        <v>0</v>
      </c>
      <c r="Q913">
        <v>0</v>
      </c>
      <c r="R913">
        <v>0</v>
      </c>
      <c r="S913">
        <v>0</v>
      </c>
      <c r="T913">
        <v>0.25019999999999998</v>
      </c>
      <c r="U913">
        <v>-1.7100000000000001E-2</v>
      </c>
      <c r="V913">
        <v>2.9999999999999997E-4</v>
      </c>
      <c r="W913">
        <v>-0.78300000000000003</v>
      </c>
      <c r="X913">
        <v>0.2949</v>
      </c>
      <c r="Y913">
        <v>-0.01</v>
      </c>
      <c r="Z913">
        <v>71</v>
      </c>
      <c r="AA913">
        <v>0.7</v>
      </c>
      <c r="AB913">
        <v>48</v>
      </c>
      <c r="AC913">
        <v>0.85</v>
      </c>
      <c r="AD913">
        <v>0</v>
      </c>
      <c r="AE913">
        <v>0</v>
      </c>
      <c r="AF913">
        <v>1.1940999999999999</v>
      </c>
      <c r="AG913">
        <v>102</v>
      </c>
      <c r="AH913">
        <v>0</v>
      </c>
    </row>
    <row r="914" spans="1:34" x14ac:dyDescent="0.35">
      <c r="A914" t="s">
        <v>34</v>
      </c>
      <c r="B914" s="1">
        <v>46146.65625</v>
      </c>
      <c r="C914" t="s">
        <v>34</v>
      </c>
      <c r="D914" s="1">
        <v>46149.625</v>
      </c>
      <c r="E914">
        <v>6870</v>
      </c>
      <c r="F914" t="s">
        <v>36</v>
      </c>
      <c r="G914">
        <v>1</v>
      </c>
      <c r="H914">
        <v>2.7</v>
      </c>
      <c r="I914">
        <v>0.79</v>
      </c>
      <c r="J914">
        <v>0.9</v>
      </c>
      <c r="K914">
        <v>221</v>
      </c>
      <c r="L914">
        <v>23</v>
      </c>
      <c r="M914">
        <v>1</v>
      </c>
      <c r="N914">
        <v>35</v>
      </c>
      <c r="O914">
        <v>1.05</v>
      </c>
      <c r="P914">
        <v>0</v>
      </c>
      <c r="Q914">
        <v>0</v>
      </c>
      <c r="R914">
        <v>0</v>
      </c>
      <c r="S914">
        <v>0</v>
      </c>
      <c r="T914">
        <v>0.24890000000000001</v>
      </c>
      <c r="U914">
        <v>-1.7999999999999999E-2</v>
      </c>
      <c r="V914">
        <v>2.9999999999999997E-4</v>
      </c>
      <c r="W914">
        <v>-0.81859999999999999</v>
      </c>
      <c r="X914">
        <v>0.30709999999999998</v>
      </c>
      <c r="Y914">
        <v>-1.0500000000000001E-2</v>
      </c>
      <c r="Z914">
        <v>47</v>
      </c>
      <c r="AA914">
        <v>0.75</v>
      </c>
      <c r="AB914">
        <v>76</v>
      </c>
      <c r="AC914">
        <v>0.9</v>
      </c>
      <c r="AD914">
        <v>0</v>
      </c>
      <c r="AE914">
        <v>0</v>
      </c>
      <c r="AF914">
        <v>1.0418000000000001</v>
      </c>
      <c r="AG914">
        <v>278</v>
      </c>
      <c r="AH914">
        <v>0</v>
      </c>
    </row>
    <row r="915" spans="1:34" x14ac:dyDescent="0.35">
      <c r="A915" t="s">
        <v>34</v>
      </c>
      <c r="B915" s="1">
        <v>46146.65625</v>
      </c>
      <c r="C915" t="s">
        <v>34</v>
      </c>
      <c r="D915" s="1">
        <v>46149.625</v>
      </c>
      <c r="E915">
        <v>6875</v>
      </c>
      <c r="F915" t="s">
        <v>36</v>
      </c>
      <c r="G915">
        <v>1.18</v>
      </c>
      <c r="H915">
        <v>2.35</v>
      </c>
      <c r="I915">
        <v>0.8</v>
      </c>
      <c r="J915">
        <v>0.8</v>
      </c>
      <c r="K915">
        <v>41</v>
      </c>
      <c r="L915">
        <v>22</v>
      </c>
      <c r="M915">
        <v>1.05</v>
      </c>
      <c r="N915">
        <v>50</v>
      </c>
      <c r="O915">
        <v>1.1000000000000001</v>
      </c>
      <c r="P915">
        <v>0</v>
      </c>
      <c r="Q915">
        <v>0</v>
      </c>
      <c r="R915">
        <v>0</v>
      </c>
      <c r="S915">
        <v>0</v>
      </c>
      <c r="T915">
        <v>0.24629999999999999</v>
      </c>
      <c r="U915">
        <v>-1.8499999999999999E-2</v>
      </c>
      <c r="V915">
        <v>2.9999999999999997E-4</v>
      </c>
      <c r="W915">
        <v>-0.83560000000000001</v>
      </c>
      <c r="X915">
        <v>0.31509999999999999</v>
      </c>
      <c r="Y915">
        <v>-1.0800000000000001E-2</v>
      </c>
      <c r="Z915">
        <v>27</v>
      </c>
      <c r="AA915">
        <v>0.8</v>
      </c>
      <c r="AB915">
        <v>104</v>
      </c>
      <c r="AC915">
        <v>0.95</v>
      </c>
      <c r="AD915">
        <v>0</v>
      </c>
      <c r="AE915">
        <v>0</v>
      </c>
      <c r="AF915">
        <v>1.2463</v>
      </c>
      <c r="AG915">
        <v>381</v>
      </c>
      <c r="AH915">
        <v>0</v>
      </c>
    </row>
    <row r="916" spans="1:34" x14ac:dyDescent="0.35">
      <c r="A916" t="s">
        <v>34</v>
      </c>
      <c r="B916" s="1">
        <v>46146.65625</v>
      </c>
      <c r="C916" t="s">
        <v>34</v>
      </c>
      <c r="D916" s="1">
        <v>46149.625</v>
      </c>
      <c r="E916">
        <v>6880</v>
      </c>
      <c r="F916" t="s">
        <v>36</v>
      </c>
      <c r="G916">
        <v>1.27</v>
      </c>
      <c r="H916">
        <v>2.3199999999999998</v>
      </c>
      <c r="I916">
        <v>0.9</v>
      </c>
      <c r="J916">
        <v>1</v>
      </c>
      <c r="K916">
        <v>126</v>
      </c>
      <c r="L916">
        <v>21</v>
      </c>
      <c r="M916">
        <v>1.1000000000000001</v>
      </c>
      <c r="N916">
        <v>54</v>
      </c>
      <c r="O916">
        <v>1.1499999999999999</v>
      </c>
      <c r="P916">
        <v>0</v>
      </c>
      <c r="Q916">
        <v>0</v>
      </c>
      <c r="R916">
        <v>0</v>
      </c>
      <c r="S916">
        <v>0</v>
      </c>
      <c r="T916">
        <v>0.2447</v>
      </c>
      <c r="U916">
        <v>-1.9400000000000001E-2</v>
      </c>
      <c r="V916">
        <v>2.9999999999999997E-4</v>
      </c>
      <c r="W916">
        <v>-0.87060000000000004</v>
      </c>
      <c r="X916">
        <v>0.32769999999999999</v>
      </c>
      <c r="Y916">
        <v>-1.1299999999999999E-2</v>
      </c>
      <c r="Z916">
        <v>1</v>
      </c>
      <c r="AA916">
        <v>0.85</v>
      </c>
      <c r="AB916">
        <v>22</v>
      </c>
      <c r="AC916">
        <v>0.95</v>
      </c>
      <c r="AD916">
        <v>0</v>
      </c>
      <c r="AE916">
        <v>0</v>
      </c>
      <c r="AF916">
        <v>1.3536999999999999</v>
      </c>
      <c r="AG916">
        <v>2114</v>
      </c>
      <c r="AH916">
        <v>0</v>
      </c>
    </row>
    <row r="917" spans="1:34" x14ac:dyDescent="0.35">
      <c r="A917" t="s">
        <v>34</v>
      </c>
      <c r="B917" s="1">
        <v>46146.65625</v>
      </c>
      <c r="C917" t="s">
        <v>34</v>
      </c>
      <c r="D917" s="1">
        <v>46149.625</v>
      </c>
      <c r="E917">
        <v>6885</v>
      </c>
      <c r="F917" t="s">
        <v>36</v>
      </c>
      <c r="G917">
        <v>1.31</v>
      </c>
      <c r="H917">
        <v>2.5</v>
      </c>
      <c r="I917">
        <v>1.01</v>
      </c>
      <c r="J917">
        <v>1.35</v>
      </c>
      <c r="K917">
        <v>10</v>
      </c>
      <c r="L917">
        <v>21</v>
      </c>
      <c r="M917">
        <v>1.1499999999999999</v>
      </c>
      <c r="N917">
        <v>42</v>
      </c>
      <c r="O917">
        <v>1.2</v>
      </c>
      <c r="P917">
        <v>0</v>
      </c>
      <c r="Q917">
        <v>0</v>
      </c>
      <c r="R917">
        <v>0</v>
      </c>
      <c r="S917">
        <v>0</v>
      </c>
      <c r="T917">
        <v>0.24299999999999999</v>
      </c>
      <c r="U917">
        <v>-2.0299999999999999E-2</v>
      </c>
      <c r="V917">
        <v>2.9999999999999997E-4</v>
      </c>
      <c r="W917">
        <v>-0.90529999999999999</v>
      </c>
      <c r="X917">
        <v>0.34039999999999998</v>
      </c>
      <c r="Y917">
        <v>-1.18E-2</v>
      </c>
      <c r="Z917">
        <v>93</v>
      </c>
      <c r="AA917">
        <v>0.85</v>
      </c>
      <c r="AB917">
        <v>22</v>
      </c>
      <c r="AC917">
        <v>1</v>
      </c>
      <c r="AD917">
        <v>0</v>
      </c>
      <c r="AE917">
        <v>0</v>
      </c>
      <c r="AF917">
        <v>1.63</v>
      </c>
      <c r="AG917">
        <v>2466</v>
      </c>
      <c r="AH917">
        <v>0</v>
      </c>
    </row>
    <row r="918" spans="1:34" x14ac:dyDescent="0.35">
      <c r="A918" t="s">
        <v>34</v>
      </c>
      <c r="B918" s="1">
        <v>46146.65625</v>
      </c>
      <c r="C918" t="s">
        <v>34</v>
      </c>
      <c r="D918" s="1">
        <v>46149.625</v>
      </c>
      <c r="E918">
        <v>6890</v>
      </c>
      <c r="F918" t="s">
        <v>36</v>
      </c>
      <c r="G918">
        <v>0.94</v>
      </c>
      <c r="H918">
        <v>2.65</v>
      </c>
      <c r="I918">
        <v>0.9</v>
      </c>
      <c r="J918">
        <v>0.9</v>
      </c>
      <c r="K918">
        <v>132</v>
      </c>
      <c r="L918">
        <v>22</v>
      </c>
      <c r="M918">
        <v>1.2</v>
      </c>
      <c r="N918">
        <v>189</v>
      </c>
      <c r="O918">
        <v>1.3</v>
      </c>
      <c r="P918">
        <v>0</v>
      </c>
      <c r="Q918">
        <v>0</v>
      </c>
      <c r="R918">
        <v>0</v>
      </c>
      <c r="S918">
        <v>0</v>
      </c>
      <c r="T918">
        <v>0.24279999999999999</v>
      </c>
      <c r="U918">
        <v>-2.1899999999999999E-2</v>
      </c>
      <c r="V918">
        <v>2.9999999999999997E-4</v>
      </c>
      <c r="W918">
        <v>-0.97499999999999998</v>
      </c>
      <c r="X918">
        <v>0.36199999999999999</v>
      </c>
      <c r="Y918">
        <v>-1.2699999999999999E-2</v>
      </c>
      <c r="Z918">
        <v>70</v>
      </c>
      <c r="AA918">
        <v>0.9</v>
      </c>
      <c r="AB918">
        <v>42</v>
      </c>
      <c r="AC918">
        <v>1.05</v>
      </c>
      <c r="AD918">
        <v>0</v>
      </c>
      <c r="AE918">
        <v>0</v>
      </c>
      <c r="AF918">
        <v>1.1841999999999999</v>
      </c>
      <c r="AG918">
        <v>269</v>
      </c>
      <c r="AH918">
        <v>0</v>
      </c>
    </row>
    <row r="919" spans="1:34" x14ac:dyDescent="0.35">
      <c r="A919" t="s">
        <v>34</v>
      </c>
      <c r="B919" s="1">
        <v>46146.65625</v>
      </c>
      <c r="C919" t="s">
        <v>34</v>
      </c>
      <c r="D919" s="1">
        <v>46149.625</v>
      </c>
      <c r="E919">
        <v>6895</v>
      </c>
      <c r="F919" t="s">
        <v>36</v>
      </c>
      <c r="G919">
        <v>1.1000000000000001</v>
      </c>
      <c r="H919">
        <v>2.85</v>
      </c>
      <c r="I919">
        <v>1.1000000000000001</v>
      </c>
      <c r="J919">
        <v>1.2</v>
      </c>
      <c r="K919">
        <v>44</v>
      </c>
      <c r="L919">
        <v>20</v>
      </c>
      <c r="M919">
        <v>1.25</v>
      </c>
      <c r="N919">
        <v>148</v>
      </c>
      <c r="O919">
        <v>1.35</v>
      </c>
      <c r="P919">
        <v>0</v>
      </c>
      <c r="Q919">
        <v>0</v>
      </c>
      <c r="R919">
        <v>0</v>
      </c>
      <c r="S919">
        <v>0</v>
      </c>
      <c r="T919">
        <v>0.24110000000000001</v>
      </c>
      <c r="U919">
        <v>-2.2800000000000001E-2</v>
      </c>
      <c r="V919">
        <v>2.9999999999999997E-4</v>
      </c>
      <c r="W919">
        <v>-1.0086999999999999</v>
      </c>
      <c r="X919">
        <v>0.37459999999999999</v>
      </c>
      <c r="Y919">
        <v>-1.3299999999999999E-2</v>
      </c>
      <c r="Z919">
        <v>70</v>
      </c>
      <c r="AA919">
        <v>0.95</v>
      </c>
      <c r="AB919">
        <v>21</v>
      </c>
      <c r="AC919">
        <v>1.1000000000000001</v>
      </c>
      <c r="AD919">
        <v>0</v>
      </c>
      <c r="AE919">
        <v>0</v>
      </c>
      <c r="AF919">
        <v>2.0844999999999998</v>
      </c>
      <c r="AG919">
        <v>39</v>
      </c>
      <c r="AH919">
        <v>0</v>
      </c>
    </row>
    <row r="920" spans="1:34" x14ac:dyDescent="0.35">
      <c r="A920" t="s">
        <v>34</v>
      </c>
      <c r="B920" s="1">
        <v>46146.65625</v>
      </c>
      <c r="C920" t="s">
        <v>34</v>
      </c>
      <c r="D920" s="1">
        <v>46149.625</v>
      </c>
      <c r="E920">
        <v>6900</v>
      </c>
      <c r="F920" t="s">
        <v>36</v>
      </c>
      <c r="G920">
        <v>1.42</v>
      </c>
      <c r="H920">
        <v>2.75</v>
      </c>
      <c r="I920">
        <v>1</v>
      </c>
      <c r="J920">
        <v>1.1000000000000001</v>
      </c>
      <c r="K920">
        <v>903</v>
      </c>
      <c r="L920">
        <v>80</v>
      </c>
      <c r="M920">
        <v>1.3</v>
      </c>
      <c r="N920">
        <v>108</v>
      </c>
      <c r="O920">
        <v>1.4</v>
      </c>
      <c r="P920">
        <v>0</v>
      </c>
      <c r="Q920">
        <v>0</v>
      </c>
      <c r="R920">
        <v>0</v>
      </c>
      <c r="S920">
        <v>0</v>
      </c>
      <c r="T920">
        <v>0.2389</v>
      </c>
      <c r="U920">
        <v>-2.3699999999999999E-2</v>
      </c>
      <c r="V920">
        <v>4.0000000000000002E-4</v>
      </c>
      <c r="W920">
        <v>-1.0418000000000001</v>
      </c>
      <c r="X920">
        <v>0.3876</v>
      </c>
      <c r="Y920">
        <v>-1.38E-2</v>
      </c>
      <c r="Z920">
        <v>96</v>
      </c>
      <c r="AA920">
        <v>1</v>
      </c>
      <c r="AB920">
        <v>20</v>
      </c>
      <c r="AC920">
        <v>1.1499999999999999</v>
      </c>
      <c r="AD920">
        <v>0</v>
      </c>
      <c r="AE920">
        <v>0</v>
      </c>
      <c r="AF920">
        <v>2.1194000000000002</v>
      </c>
      <c r="AG920">
        <v>398</v>
      </c>
      <c r="AH920">
        <v>0</v>
      </c>
    </row>
    <row r="921" spans="1:34" x14ac:dyDescent="0.35">
      <c r="A921" t="s">
        <v>34</v>
      </c>
      <c r="B921" s="1">
        <v>46146.65625</v>
      </c>
      <c r="C921" t="s">
        <v>34</v>
      </c>
      <c r="D921" s="1">
        <v>46149.625</v>
      </c>
      <c r="E921">
        <v>6905</v>
      </c>
      <c r="F921" t="s">
        <v>36</v>
      </c>
      <c r="G921">
        <v>1.1499999999999999</v>
      </c>
      <c r="H921">
        <v>3.01</v>
      </c>
      <c r="I921">
        <v>1.1499999999999999</v>
      </c>
      <c r="J921">
        <v>1.2</v>
      </c>
      <c r="K921">
        <v>38</v>
      </c>
      <c r="L921">
        <v>12</v>
      </c>
      <c r="M921">
        <v>1.4</v>
      </c>
      <c r="N921">
        <v>31</v>
      </c>
      <c r="O921">
        <v>1.45</v>
      </c>
      <c r="P921">
        <v>0</v>
      </c>
      <c r="Q921">
        <v>0</v>
      </c>
      <c r="R921">
        <v>0</v>
      </c>
      <c r="S921">
        <v>0</v>
      </c>
      <c r="T921">
        <v>0.23680000000000001</v>
      </c>
      <c r="U921">
        <v>-2.47E-2</v>
      </c>
      <c r="V921">
        <v>4.0000000000000002E-4</v>
      </c>
      <c r="W921">
        <v>-1.0746</v>
      </c>
      <c r="X921">
        <v>0.40050000000000002</v>
      </c>
      <c r="Y921">
        <v>-1.44E-2</v>
      </c>
      <c r="Z921">
        <v>1</v>
      </c>
      <c r="AA921">
        <v>1.1000000000000001</v>
      </c>
      <c r="AB921">
        <v>83</v>
      </c>
      <c r="AC921">
        <v>1.25</v>
      </c>
      <c r="AD921">
        <v>0</v>
      </c>
      <c r="AE921">
        <v>0</v>
      </c>
      <c r="AF921">
        <v>2.1446999999999998</v>
      </c>
      <c r="AG921">
        <v>124</v>
      </c>
      <c r="AH921">
        <v>0</v>
      </c>
    </row>
    <row r="922" spans="1:34" x14ac:dyDescent="0.35">
      <c r="A922" t="s">
        <v>34</v>
      </c>
      <c r="B922" s="1">
        <v>46146.65625</v>
      </c>
      <c r="C922" t="s">
        <v>34</v>
      </c>
      <c r="D922" s="1">
        <v>46149.625</v>
      </c>
      <c r="E922">
        <v>6910</v>
      </c>
      <c r="F922" t="s">
        <v>36</v>
      </c>
      <c r="G922">
        <v>1.37</v>
      </c>
      <c r="H922">
        <v>2.5</v>
      </c>
      <c r="I922">
        <v>1.05</v>
      </c>
      <c r="J922">
        <v>1.2</v>
      </c>
      <c r="K922">
        <v>53</v>
      </c>
      <c r="L922">
        <v>11</v>
      </c>
      <c r="M922">
        <v>1.45</v>
      </c>
      <c r="N922">
        <v>120</v>
      </c>
      <c r="O922">
        <v>1.55</v>
      </c>
      <c r="P922">
        <v>0</v>
      </c>
      <c r="Q922">
        <v>0</v>
      </c>
      <c r="R922">
        <v>0</v>
      </c>
      <c r="S922">
        <v>0</v>
      </c>
      <c r="T922">
        <v>0.23619999999999999</v>
      </c>
      <c r="U922">
        <v>-2.63E-2</v>
      </c>
      <c r="V922">
        <v>4.0000000000000002E-4</v>
      </c>
      <c r="W922">
        <v>-1.1414</v>
      </c>
      <c r="X922">
        <v>0.42120000000000002</v>
      </c>
      <c r="Y922">
        <v>-1.54E-2</v>
      </c>
      <c r="Z922">
        <v>22</v>
      </c>
      <c r="AA922">
        <v>1.1499999999999999</v>
      </c>
      <c r="AB922">
        <v>58</v>
      </c>
      <c r="AC922">
        <v>1.3</v>
      </c>
      <c r="AD922">
        <v>0</v>
      </c>
      <c r="AE922">
        <v>0</v>
      </c>
      <c r="AF922">
        <v>1.5419</v>
      </c>
      <c r="AG922">
        <v>301</v>
      </c>
      <c r="AH922">
        <v>0</v>
      </c>
    </row>
    <row r="923" spans="1:34" x14ac:dyDescent="0.35">
      <c r="A923" t="s">
        <v>34</v>
      </c>
      <c r="B923" s="1">
        <v>46146.65625</v>
      </c>
      <c r="C923" t="s">
        <v>34</v>
      </c>
      <c r="D923" s="1">
        <v>46149.625</v>
      </c>
      <c r="E923">
        <v>6915</v>
      </c>
      <c r="F923" t="s">
        <v>36</v>
      </c>
      <c r="G923">
        <v>1.1299999999999999</v>
      </c>
      <c r="H923">
        <v>2.78</v>
      </c>
      <c r="I923">
        <v>1.1299999999999999</v>
      </c>
      <c r="J923">
        <v>1.25</v>
      </c>
      <c r="K923">
        <v>17</v>
      </c>
      <c r="L923">
        <v>11</v>
      </c>
      <c r="M923">
        <v>1.55</v>
      </c>
      <c r="N923">
        <v>35</v>
      </c>
      <c r="O923">
        <v>1.6</v>
      </c>
      <c r="P923">
        <v>0</v>
      </c>
      <c r="Q923">
        <v>0</v>
      </c>
      <c r="R923">
        <v>0</v>
      </c>
      <c r="S923">
        <v>0</v>
      </c>
      <c r="T923">
        <v>0.23380000000000001</v>
      </c>
      <c r="U923">
        <v>-2.7300000000000001E-2</v>
      </c>
      <c r="V923">
        <v>4.0000000000000002E-4</v>
      </c>
      <c r="W923">
        <v>-1.1731</v>
      </c>
      <c r="X923">
        <v>0.43440000000000001</v>
      </c>
      <c r="Y923">
        <v>-1.5900000000000001E-2</v>
      </c>
      <c r="Z923">
        <v>47</v>
      </c>
      <c r="AA923">
        <v>1.2</v>
      </c>
      <c r="AB923">
        <v>25</v>
      </c>
      <c r="AC923">
        <v>1.35</v>
      </c>
      <c r="AD923">
        <v>0</v>
      </c>
      <c r="AE923">
        <v>0</v>
      </c>
      <c r="AF923">
        <v>1.3753</v>
      </c>
      <c r="AG923">
        <v>179</v>
      </c>
      <c r="AH923">
        <v>0</v>
      </c>
    </row>
    <row r="924" spans="1:34" x14ac:dyDescent="0.35">
      <c r="A924" t="s">
        <v>34</v>
      </c>
      <c r="B924" s="1">
        <v>46146.65625</v>
      </c>
      <c r="C924" t="s">
        <v>34</v>
      </c>
      <c r="D924" s="1">
        <v>46149.625</v>
      </c>
      <c r="E924">
        <v>6920</v>
      </c>
      <c r="F924" t="s">
        <v>36</v>
      </c>
      <c r="G924">
        <v>1.56</v>
      </c>
      <c r="H924">
        <v>3.57</v>
      </c>
      <c r="I924">
        <v>1.5</v>
      </c>
      <c r="J924">
        <v>1.6</v>
      </c>
      <c r="K924">
        <v>14</v>
      </c>
      <c r="L924">
        <v>75</v>
      </c>
      <c r="M924">
        <v>1.6</v>
      </c>
      <c r="N924">
        <v>150</v>
      </c>
      <c r="O924">
        <v>1.7</v>
      </c>
      <c r="P924">
        <v>0</v>
      </c>
      <c r="Q924">
        <v>0</v>
      </c>
      <c r="R924">
        <v>0</v>
      </c>
      <c r="S924">
        <v>0</v>
      </c>
      <c r="T924">
        <v>0.23300000000000001</v>
      </c>
      <c r="U924">
        <v>-2.8899999999999999E-2</v>
      </c>
      <c r="V924">
        <v>4.0000000000000002E-4</v>
      </c>
      <c r="W924">
        <v>-1.2383</v>
      </c>
      <c r="X924">
        <v>0.45500000000000002</v>
      </c>
      <c r="Y924">
        <v>-1.6899999999999998E-2</v>
      </c>
      <c r="Z924">
        <v>1</v>
      </c>
      <c r="AA924">
        <v>1.3</v>
      </c>
      <c r="AB924">
        <v>57</v>
      </c>
      <c r="AC924">
        <v>1.45</v>
      </c>
      <c r="AD924">
        <v>0</v>
      </c>
      <c r="AE924">
        <v>0</v>
      </c>
      <c r="AF924">
        <v>2.3243</v>
      </c>
      <c r="AG924">
        <v>1049</v>
      </c>
      <c r="AH924">
        <v>0</v>
      </c>
    </row>
    <row r="925" spans="1:34" x14ac:dyDescent="0.35">
      <c r="A925" t="s">
        <v>34</v>
      </c>
      <c r="B925" s="1">
        <v>46146.65625</v>
      </c>
      <c r="C925" t="s">
        <v>34</v>
      </c>
      <c r="D925" s="1">
        <v>46149.625</v>
      </c>
      <c r="E925">
        <v>6925</v>
      </c>
      <c r="F925" t="s">
        <v>36</v>
      </c>
      <c r="G925">
        <v>1.8</v>
      </c>
      <c r="H925">
        <v>3.41</v>
      </c>
      <c r="I925">
        <v>1.24</v>
      </c>
      <c r="J925">
        <v>1.38</v>
      </c>
      <c r="K925">
        <v>337</v>
      </c>
      <c r="L925">
        <v>26</v>
      </c>
      <c r="M925">
        <v>1.7</v>
      </c>
      <c r="N925">
        <v>167</v>
      </c>
      <c r="O925">
        <v>1.8</v>
      </c>
      <c r="P925">
        <v>0</v>
      </c>
      <c r="Q925">
        <v>0</v>
      </c>
      <c r="R925">
        <v>0</v>
      </c>
      <c r="S925">
        <v>0</v>
      </c>
      <c r="T925">
        <v>0.23100000000000001</v>
      </c>
      <c r="U925">
        <v>-3.0200000000000001E-2</v>
      </c>
      <c r="V925">
        <v>5.0000000000000001E-4</v>
      </c>
      <c r="W925">
        <v>-1.2857000000000001</v>
      </c>
      <c r="X925">
        <v>0.47249999999999998</v>
      </c>
      <c r="Y925">
        <v>-1.77E-2</v>
      </c>
      <c r="Z925">
        <v>47</v>
      </c>
      <c r="AA925">
        <v>1.35</v>
      </c>
      <c r="AB925">
        <v>24</v>
      </c>
      <c r="AC925">
        <v>1.5</v>
      </c>
      <c r="AD925">
        <v>0</v>
      </c>
      <c r="AE925">
        <v>0</v>
      </c>
      <c r="AF925">
        <v>1.9946999999999999</v>
      </c>
      <c r="AG925">
        <v>2472</v>
      </c>
      <c r="AH925">
        <v>0</v>
      </c>
    </row>
    <row r="926" spans="1:34" x14ac:dyDescent="0.35">
      <c r="A926" t="s">
        <v>34</v>
      </c>
      <c r="B926" s="1">
        <v>46146.65625</v>
      </c>
      <c r="C926" t="s">
        <v>34</v>
      </c>
      <c r="D926" s="1">
        <v>46149.625</v>
      </c>
      <c r="E926">
        <v>6930</v>
      </c>
      <c r="F926" t="s">
        <v>36</v>
      </c>
      <c r="G926">
        <v>1.7</v>
      </c>
      <c r="H926">
        <v>3.4</v>
      </c>
      <c r="I926">
        <v>1.3</v>
      </c>
      <c r="J926">
        <v>1.8</v>
      </c>
      <c r="K926">
        <v>11</v>
      </c>
      <c r="L926">
        <v>16</v>
      </c>
      <c r="M926">
        <v>1.8</v>
      </c>
      <c r="N926">
        <v>135</v>
      </c>
      <c r="O926">
        <v>1.9</v>
      </c>
      <c r="P926">
        <v>0</v>
      </c>
      <c r="Q926">
        <v>0</v>
      </c>
      <c r="R926">
        <v>0</v>
      </c>
      <c r="S926">
        <v>0</v>
      </c>
      <c r="T926">
        <v>0.2298</v>
      </c>
      <c r="U926">
        <v>-3.1899999999999998E-2</v>
      </c>
      <c r="V926">
        <v>5.0000000000000001E-4</v>
      </c>
      <c r="W926">
        <v>-1.349</v>
      </c>
      <c r="X926">
        <v>0.49349999999999999</v>
      </c>
      <c r="Y926">
        <v>-1.8599999999999998E-2</v>
      </c>
      <c r="Z926">
        <v>1</v>
      </c>
      <c r="AA926">
        <v>1.45</v>
      </c>
      <c r="AB926">
        <v>56</v>
      </c>
      <c r="AC926">
        <v>1.6</v>
      </c>
      <c r="AD926">
        <v>0</v>
      </c>
      <c r="AE926">
        <v>0</v>
      </c>
      <c r="AF926">
        <v>2.1682000000000001</v>
      </c>
      <c r="AG926">
        <v>178</v>
      </c>
      <c r="AH926">
        <v>0</v>
      </c>
    </row>
    <row r="927" spans="1:34" x14ac:dyDescent="0.35">
      <c r="A927" t="s">
        <v>34</v>
      </c>
      <c r="B927" s="1">
        <v>46146.65625</v>
      </c>
      <c r="C927" t="s">
        <v>34</v>
      </c>
      <c r="D927" s="1">
        <v>46149.625</v>
      </c>
      <c r="E927">
        <v>6935</v>
      </c>
      <c r="F927" t="s">
        <v>36</v>
      </c>
      <c r="G927">
        <v>1.96</v>
      </c>
      <c r="H927">
        <v>4.7699999999999996</v>
      </c>
      <c r="I927">
        <v>1.55</v>
      </c>
      <c r="J927">
        <v>1.7</v>
      </c>
      <c r="K927">
        <v>74</v>
      </c>
      <c r="L927">
        <v>11</v>
      </c>
      <c r="M927">
        <v>1.9</v>
      </c>
      <c r="N927">
        <v>7</v>
      </c>
      <c r="O927">
        <v>1.95</v>
      </c>
      <c r="P927">
        <v>0</v>
      </c>
      <c r="Q927">
        <v>0</v>
      </c>
      <c r="R927">
        <v>0</v>
      </c>
      <c r="S927">
        <v>0</v>
      </c>
      <c r="T927">
        <v>0.22770000000000001</v>
      </c>
      <c r="U927">
        <v>-3.3300000000000003E-2</v>
      </c>
      <c r="V927">
        <v>5.0000000000000001E-4</v>
      </c>
      <c r="W927">
        <v>-1.3948</v>
      </c>
      <c r="X927">
        <v>0.51119999999999999</v>
      </c>
      <c r="Y927">
        <v>-1.95E-2</v>
      </c>
      <c r="Z927">
        <v>60</v>
      </c>
      <c r="AA927">
        <v>1.5</v>
      </c>
      <c r="AB927">
        <v>55</v>
      </c>
      <c r="AC927">
        <v>1.7</v>
      </c>
      <c r="AD927">
        <v>0</v>
      </c>
      <c r="AE927">
        <v>0</v>
      </c>
      <c r="AF927">
        <v>3.4523000000000001</v>
      </c>
      <c r="AG927">
        <v>190</v>
      </c>
      <c r="AH927">
        <v>0</v>
      </c>
    </row>
    <row r="928" spans="1:34" x14ac:dyDescent="0.35">
      <c r="A928" t="s">
        <v>34</v>
      </c>
      <c r="B928" s="1">
        <v>46146.65625</v>
      </c>
      <c r="C928" t="s">
        <v>34</v>
      </c>
      <c r="D928" s="1">
        <v>46149.625</v>
      </c>
      <c r="E928">
        <v>6940</v>
      </c>
      <c r="F928" t="s">
        <v>36</v>
      </c>
      <c r="G928">
        <v>1.95</v>
      </c>
      <c r="H928">
        <v>5.3</v>
      </c>
      <c r="I928">
        <v>1.25</v>
      </c>
      <c r="J928">
        <v>1.75</v>
      </c>
      <c r="K928">
        <v>71</v>
      </c>
      <c r="L928">
        <v>11</v>
      </c>
      <c r="M928">
        <v>2</v>
      </c>
      <c r="N928">
        <v>1</v>
      </c>
      <c r="O928">
        <v>2.0499999999999998</v>
      </c>
      <c r="P928">
        <v>0</v>
      </c>
      <c r="Q928">
        <v>0</v>
      </c>
      <c r="R928">
        <v>0</v>
      </c>
      <c r="S928">
        <v>0</v>
      </c>
      <c r="T928">
        <v>0.2263</v>
      </c>
      <c r="U928">
        <v>-3.5000000000000003E-2</v>
      </c>
      <c r="V928">
        <v>5.0000000000000001E-4</v>
      </c>
      <c r="W928">
        <v>-1.4561999999999999</v>
      </c>
      <c r="X928">
        <v>0.53220000000000001</v>
      </c>
      <c r="Y928">
        <v>-2.0500000000000001E-2</v>
      </c>
      <c r="Z928">
        <v>60</v>
      </c>
      <c r="AA928">
        <v>1.6</v>
      </c>
      <c r="AB928">
        <v>55</v>
      </c>
      <c r="AC928">
        <v>1.8</v>
      </c>
      <c r="AD928">
        <v>0</v>
      </c>
      <c r="AE928">
        <v>0</v>
      </c>
      <c r="AF928">
        <v>2.5251999999999999</v>
      </c>
      <c r="AG928">
        <v>255</v>
      </c>
      <c r="AH928">
        <v>0</v>
      </c>
    </row>
    <row r="929" spans="1:34" x14ac:dyDescent="0.35">
      <c r="A929" t="s">
        <v>34</v>
      </c>
      <c r="B929" s="1">
        <v>46146.65625</v>
      </c>
      <c r="C929" t="s">
        <v>34</v>
      </c>
      <c r="D929" s="1">
        <v>46149.625</v>
      </c>
      <c r="E929">
        <v>6945</v>
      </c>
      <c r="F929" t="s">
        <v>36</v>
      </c>
      <c r="G929">
        <v>2.2200000000000002</v>
      </c>
      <c r="H929">
        <v>4.4000000000000004</v>
      </c>
      <c r="I929">
        <v>2.0499999999999998</v>
      </c>
      <c r="J929">
        <v>2.12</v>
      </c>
      <c r="K929">
        <v>88</v>
      </c>
      <c r="L929">
        <v>16</v>
      </c>
      <c r="M929">
        <v>2.1</v>
      </c>
      <c r="N929">
        <v>101</v>
      </c>
      <c r="O929">
        <v>2.2000000000000002</v>
      </c>
      <c r="P929">
        <v>0</v>
      </c>
      <c r="Q929">
        <v>0</v>
      </c>
      <c r="R929">
        <v>0</v>
      </c>
      <c r="S929">
        <v>0</v>
      </c>
      <c r="T929">
        <v>0.22500000000000001</v>
      </c>
      <c r="U929">
        <v>-3.7100000000000001E-2</v>
      </c>
      <c r="V929">
        <v>5.9999999999999995E-4</v>
      </c>
      <c r="W929">
        <v>-1.5323</v>
      </c>
      <c r="X929">
        <v>0.55720000000000003</v>
      </c>
      <c r="Y929">
        <v>-2.1700000000000001E-2</v>
      </c>
      <c r="Z929">
        <v>58</v>
      </c>
      <c r="AA929">
        <v>1.7</v>
      </c>
      <c r="AB929">
        <v>54</v>
      </c>
      <c r="AC929">
        <v>1.9</v>
      </c>
      <c r="AD929">
        <v>0</v>
      </c>
      <c r="AE929">
        <v>0</v>
      </c>
      <c r="AF929">
        <v>3.4963000000000002</v>
      </c>
      <c r="AG929">
        <v>95</v>
      </c>
      <c r="AH929">
        <v>0</v>
      </c>
    </row>
    <row r="930" spans="1:34" x14ac:dyDescent="0.35">
      <c r="A930" t="s">
        <v>34</v>
      </c>
      <c r="B930" s="1">
        <v>46146.65625</v>
      </c>
      <c r="C930" t="s">
        <v>34</v>
      </c>
      <c r="D930" s="1">
        <v>46149.625</v>
      </c>
      <c r="E930">
        <v>6950</v>
      </c>
      <c r="F930" t="s">
        <v>36</v>
      </c>
      <c r="G930">
        <v>1.85</v>
      </c>
      <c r="H930">
        <v>5.8</v>
      </c>
      <c r="I930">
        <v>1.6</v>
      </c>
      <c r="J930">
        <v>1.83</v>
      </c>
      <c r="K930">
        <v>102</v>
      </c>
      <c r="L930">
        <v>85</v>
      </c>
      <c r="M930">
        <v>2.2000000000000002</v>
      </c>
      <c r="N930">
        <v>136</v>
      </c>
      <c r="O930">
        <v>2.35</v>
      </c>
      <c r="P930">
        <v>0</v>
      </c>
      <c r="Q930">
        <v>0</v>
      </c>
      <c r="R930">
        <v>0</v>
      </c>
      <c r="S930">
        <v>0</v>
      </c>
      <c r="T930">
        <v>0.2238</v>
      </c>
      <c r="U930">
        <v>-3.9100000000000003E-2</v>
      </c>
      <c r="V930">
        <v>5.9999999999999995E-4</v>
      </c>
      <c r="W930">
        <v>-1.6071</v>
      </c>
      <c r="X930">
        <v>0.58130000000000004</v>
      </c>
      <c r="Y930">
        <v>-2.29E-2</v>
      </c>
      <c r="Z930">
        <v>78</v>
      </c>
      <c r="AA930">
        <v>1.8</v>
      </c>
      <c r="AB930">
        <v>83</v>
      </c>
      <c r="AC930">
        <v>2.0499999999999998</v>
      </c>
      <c r="AD930">
        <v>0</v>
      </c>
      <c r="AE930">
        <v>0</v>
      </c>
      <c r="AF930">
        <v>2.851</v>
      </c>
      <c r="AG930">
        <v>223</v>
      </c>
      <c r="AH930">
        <v>0</v>
      </c>
    </row>
    <row r="931" spans="1:34" x14ac:dyDescent="0.35">
      <c r="A931" t="s">
        <v>34</v>
      </c>
      <c r="B931" s="1">
        <v>46146.65625</v>
      </c>
      <c r="C931" t="s">
        <v>34</v>
      </c>
      <c r="D931" s="1">
        <v>46149.625</v>
      </c>
      <c r="E931">
        <v>6955</v>
      </c>
      <c r="F931" t="s">
        <v>36</v>
      </c>
      <c r="G931">
        <v>2.2999999999999998</v>
      </c>
      <c r="H931">
        <v>5.32</v>
      </c>
      <c r="I931">
        <v>1.62</v>
      </c>
      <c r="J931">
        <v>1.98</v>
      </c>
      <c r="K931">
        <v>68</v>
      </c>
      <c r="L931">
        <v>24</v>
      </c>
      <c r="M931">
        <v>2.35</v>
      </c>
      <c r="N931">
        <v>97</v>
      </c>
      <c r="O931">
        <v>2.4500000000000002</v>
      </c>
      <c r="P931">
        <v>0</v>
      </c>
      <c r="Q931">
        <v>0</v>
      </c>
      <c r="R931">
        <v>0</v>
      </c>
      <c r="S931">
        <v>0</v>
      </c>
      <c r="T931">
        <v>0.22239999999999999</v>
      </c>
      <c r="U931">
        <v>-4.1200000000000001E-2</v>
      </c>
      <c r="V931">
        <v>5.9999999999999995E-4</v>
      </c>
      <c r="W931">
        <v>-1.6802999999999999</v>
      </c>
      <c r="X931">
        <v>0.60550000000000004</v>
      </c>
      <c r="Y931">
        <v>-2.4199999999999999E-2</v>
      </c>
      <c r="Z931">
        <v>70</v>
      </c>
      <c r="AA931">
        <v>1.95</v>
      </c>
      <c r="AB931">
        <v>17</v>
      </c>
      <c r="AC931">
        <v>2.1</v>
      </c>
      <c r="AD931">
        <v>0</v>
      </c>
      <c r="AE931">
        <v>0</v>
      </c>
      <c r="AF931">
        <v>2.5554000000000001</v>
      </c>
      <c r="AG931">
        <v>94</v>
      </c>
      <c r="AH931">
        <v>0</v>
      </c>
    </row>
    <row r="932" spans="1:34" x14ac:dyDescent="0.35">
      <c r="A932" t="s">
        <v>34</v>
      </c>
      <c r="B932" s="1">
        <v>46146.65625</v>
      </c>
      <c r="C932" t="s">
        <v>34</v>
      </c>
      <c r="D932" s="1">
        <v>46149.625</v>
      </c>
      <c r="E932">
        <v>6960</v>
      </c>
      <c r="F932" t="s">
        <v>36</v>
      </c>
      <c r="G932">
        <v>1.7</v>
      </c>
      <c r="H932">
        <v>8.27</v>
      </c>
      <c r="I932">
        <v>1.7</v>
      </c>
      <c r="J932">
        <v>2.15</v>
      </c>
      <c r="K932">
        <v>284</v>
      </c>
      <c r="L932">
        <v>85</v>
      </c>
      <c r="M932">
        <v>2.4500000000000002</v>
      </c>
      <c r="N932">
        <v>97</v>
      </c>
      <c r="O932">
        <v>2.6</v>
      </c>
      <c r="P932">
        <v>0</v>
      </c>
      <c r="Q932">
        <v>0</v>
      </c>
      <c r="R932">
        <v>0</v>
      </c>
      <c r="S932">
        <v>0</v>
      </c>
      <c r="T932">
        <v>0.22120000000000001</v>
      </c>
      <c r="U932">
        <v>-4.36E-2</v>
      </c>
      <c r="V932">
        <v>5.9999999999999995E-4</v>
      </c>
      <c r="W932">
        <v>-1.7676000000000001</v>
      </c>
      <c r="X932">
        <v>0.63319999999999999</v>
      </c>
      <c r="Y932">
        <v>-2.5600000000000001E-2</v>
      </c>
      <c r="Z932">
        <v>75</v>
      </c>
      <c r="AA932">
        <v>2.0499999999999998</v>
      </c>
      <c r="AB932">
        <v>40</v>
      </c>
      <c r="AC932">
        <v>2.25</v>
      </c>
      <c r="AD932">
        <v>0</v>
      </c>
      <c r="AE932">
        <v>0</v>
      </c>
      <c r="AF932">
        <v>6.8932000000000002</v>
      </c>
      <c r="AG932">
        <v>292</v>
      </c>
      <c r="AH932">
        <v>0</v>
      </c>
    </row>
    <row r="933" spans="1:34" x14ac:dyDescent="0.35">
      <c r="A933" t="s">
        <v>34</v>
      </c>
      <c r="B933" s="1">
        <v>46146.65625</v>
      </c>
      <c r="C933" t="s">
        <v>34</v>
      </c>
      <c r="D933" s="1">
        <v>46149.625</v>
      </c>
      <c r="E933">
        <v>6965</v>
      </c>
      <c r="F933" t="s">
        <v>36</v>
      </c>
      <c r="G933">
        <v>1.68</v>
      </c>
      <c r="H933">
        <v>5.3</v>
      </c>
      <c r="I933">
        <v>1.68</v>
      </c>
      <c r="J933">
        <v>2.2999999999999998</v>
      </c>
      <c r="K933">
        <v>57</v>
      </c>
      <c r="L933">
        <v>86</v>
      </c>
      <c r="M933">
        <v>2.6</v>
      </c>
      <c r="N933">
        <v>96</v>
      </c>
      <c r="O933">
        <v>2.75</v>
      </c>
      <c r="P933">
        <v>0</v>
      </c>
      <c r="Q933">
        <v>0</v>
      </c>
      <c r="R933">
        <v>0</v>
      </c>
      <c r="S933">
        <v>0</v>
      </c>
      <c r="T933">
        <v>0.2198</v>
      </c>
      <c r="U933">
        <v>-4.6100000000000002E-2</v>
      </c>
      <c r="V933">
        <v>6.9999999999999999E-4</v>
      </c>
      <c r="W933">
        <v>-1.8528</v>
      </c>
      <c r="X933">
        <v>0.66139999999999999</v>
      </c>
      <c r="Y933">
        <v>-2.7E-2</v>
      </c>
      <c r="Z933">
        <v>75</v>
      </c>
      <c r="AA933">
        <v>2.2000000000000002</v>
      </c>
      <c r="AB933">
        <v>70</v>
      </c>
      <c r="AC933">
        <v>2.4</v>
      </c>
      <c r="AD933">
        <v>0</v>
      </c>
      <c r="AE933">
        <v>0</v>
      </c>
      <c r="AF933">
        <v>3.4443999999999999</v>
      </c>
      <c r="AG933">
        <v>87</v>
      </c>
      <c r="AH933">
        <v>0</v>
      </c>
    </row>
    <row r="934" spans="1:34" x14ac:dyDescent="0.35">
      <c r="A934" t="s">
        <v>34</v>
      </c>
      <c r="B934" s="1">
        <v>46146.65625</v>
      </c>
      <c r="C934" t="s">
        <v>34</v>
      </c>
      <c r="D934" s="1">
        <v>46149.625</v>
      </c>
      <c r="E934">
        <v>6970</v>
      </c>
      <c r="F934" t="s">
        <v>36</v>
      </c>
      <c r="G934">
        <v>2.15</v>
      </c>
      <c r="H934">
        <v>6.22</v>
      </c>
      <c r="I934">
        <v>1.81</v>
      </c>
      <c r="J934">
        <v>2.2999999999999998</v>
      </c>
      <c r="K934">
        <v>69</v>
      </c>
      <c r="L934">
        <v>78</v>
      </c>
      <c r="M934">
        <v>2.75</v>
      </c>
      <c r="N934">
        <v>95</v>
      </c>
      <c r="O934">
        <v>2.9</v>
      </c>
      <c r="P934">
        <v>0</v>
      </c>
      <c r="Q934">
        <v>0</v>
      </c>
      <c r="R934">
        <v>0</v>
      </c>
      <c r="S934">
        <v>0</v>
      </c>
      <c r="T934">
        <v>0.2185</v>
      </c>
      <c r="U934">
        <v>-4.8500000000000001E-2</v>
      </c>
      <c r="V934">
        <v>6.9999999999999999E-4</v>
      </c>
      <c r="W934">
        <v>-1.9366000000000001</v>
      </c>
      <c r="X934">
        <v>0.68889999999999996</v>
      </c>
      <c r="Y934">
        <v>-2.8500000000000001E-2</v>
      </c>
      <c r="Z934">
        <v>66</v>
      </c>
      <c r="AA934">
        <v>2.35</v>
      </c>
      <c r="AB934">
        <v>70</v>
      </c>
      <c r="AC934">
        <v>2.5499999999999998</v>
      </c>
      <c r="AD934">
        <v>0</v>
      </c>
      <c r="AE934">
        <v>0</v>
      </c>
      <c r="AF934">
        <v>3.6078000000000001</v>
      </c>
      <c r="AG934">
        <v>133</v>
      </c>
      <c r="AH934">
        <v>0</v>
      </c>
    </row>
    <row r="935" spans="1:34" x14ac:dyDescent="0.35">
      <c r="A935" t="s">
        <v>34</v>
      </c>
      <c r="B935" s="1">
        <v>46146.65625</v>
      </c>
      <c r="C935" t="s">
        <v>34</v>
      </c>
      <c r="D935" s="1">
        <v>46149.625</v>
      </c>
      <c r="E935">
        <v>6975</v>
      </c>
      <c r="F935" t="s">
        <v>36</v>
      </c>
      <c r="G935">
        <v>2.8</v>
      </c>
      <c r="H935">
        <v>6.26</v>
      </c>
      <c r="I935">
        <v>1.85</v>
      </c>
      <c r="J935">
        <v>2.6</v>
      </c>
      <c r="K935">
        <v>123</v>
      </c>
      <c r="L935">
        <v>9</v>
      </c>
      <c r="M935">
        <v>2.95</v>
      </c>
      <c r="N935">
        <v>176</v>
      </c>
      <c r="O935">
        <v>3.1</v>
      </c>
      <c r="P935">
        <v>0</v>
      </c>
      <c r="Q935">
        <v>0</v>
      </c>
      <c r="R935">
        <v>0</v>
      </c>
      <c r="S935">
        <v>0</v>
      </c>
      <c r="T935">
        <v>0.21729999999999999</v>
      </c>
      <c r="U935">
        <v>-5.1299999999999998E-2</v>
      </c>
      <c r="V935">
        <v>6.9999999999999999E-4</v>
      </c>
      <c r="W935">
        <v>-2.0327999999999999</v>
      </c>
      <c r="X935">
        <v>0.7198</v>
      </c>
      <c r="Y935">
        <v>-3.0099999999999998E-2</v>
      </c>
      <c r="Z935">
        <v>67</v>
      </c>
      <c r="AA935">
        <v>2.5</v>
      </c>
      <c r="AB935">
        <v>89</v>
      </c>
      <c r="AC935">
        <v>2.7</v>
      </c>
      <c r="AD935">
        <v>0</v>
      </c>
      <c r="AE935">
        <v>0</v>
      </c>
      <c r="AF935">
        <v>2.9380000000000002</v>
      </c>
      <c r="AG935">
        <v>358</v>
      </c>
      <c r="AH935">
        <v>0</v>
      </c>
    </row>
    <row r="936" spans="1:34" x14ac:dyDescent="0.35">
      <c r="A936" t="s">
        <v>34</v>
      </c>
      <c r="B936" s="1">
        <v>46146.65625</v>
      </c>
      <c r="C936" t="s">
        <v>34</v>
      </c>
      <c r="D936" s="1">
        <v>46149.625</v>
      </c>
      <c r="E936">
        <v>6980</v>
      </c>
      <c r="F936" t="s">
        <v>36</v>
      </c>
      <c r="G936">
        <v>3.2</v>
      </c>
      <c r="H936">
        <v>7.23</v>
      </c>
      <c r="I936">
        <v>1.87</v>
      </c>
      <c r="J936">
        <v>2.77</v>
      </c>
      <c r="K936">
        <v>182</v>
      </c>
      <c r="L936">
        <v>28</v>
      </c>
      <c r="M936">
        <v>3.1</v>
      </c>
      <c r="N936">
        <v>140</v>
      </c>
      <c r="O936">
        <v>3.3</v>
      </c>
      <c r="P936">
        <v>0</v>
      </c>
      <c r="Q936">
        <v>0</v>
      </c>
      <c r="R936">
        <v>0</v>
      </c>
      <c r="S936">
        <v>0</v>
      </c>
      <c r="T936">
        <v>0.21560000000000001</v>
      </c>
      <c r="U936">
        <v>-5.3900000000000003E-2</v>
      </c>
      <c r="V936">
        <v>8.0000000000000004E-4</v>
      </c>
      <c r="W936">
        <v>-2.1126999999999998</v>
      </c>
      <c r="X936">
        <v>0.74729999999999996</v>
      </c>
      <c r="Y936">
        <v>-3.1699999999999999E-2</v>
      </c>
      <c r="Z936">
        <v>67</v>
      </c>
      <c r="AA936">
        <v>2.65</v>
      </c>
      <c r="AB936">
        <v>40</v>
      </c>
      <c r="AC936">
        <v>2.85</v>
      </c>
      <c r="AD936">
        <v>0</v>
      </c>
      <c r="AE936">
        <v>0</v>
      </c>
      <c r="AF936">
        <v>3.9382000000000001</v>
      </c>
      <c r="AG936">
        <v>317</v>
      </c>
      <c r="AH936">
        <v>0</v>
      </c>
    </row>
    <row r="937" spans="1:34" x14ac:dyDescent="0.35">
      <c r="A937" t="s">
        <v>34</v>
      </c>
      <c r="B937" s="1">
        <v>46146.65625</v>
      </c>
      <c r="C937" t="s">
        <v>34</v>
      </c>
      <c r="D937" s="1">
        <v>46149.625</v>
      </c>
      <c r="E937">
        <v>6985</v>
      </c>
      <c r="F937" t="s">
        <v>36</v>
      </c>
      <c r="G937">
        <v>3.2</v>
      </c>
      <c r="H937">
        <v>6.97</v>
      </c>
      <c r="I937">
        <v>2.1</v>
      </c>
      <c r="J937">
        <v>2.8</v>
      </c>
      <c r="K937">
        <v>80</v>
      </c>
      <c r="L937">
        <v>27</v>
      </c>
      <c r="M937">
        <v>3.3</v>
      </c>
      <c r="N937">
        <v>17</v>
      </c>
      <c r="O937">
        <v>3.4</v>
      </c>
      <c r="P937">
        <v>0</v>
      </c>
      <c r="Q937">
        <v>0</v>
      </c>
      <c r="R937">
        <v>0</v>
      </c>
      <c r="S937">
        <v>0</v>
      </c>
      <c r="T937">
        <v>0.21360000000000001</v>
      </c>
      <c r="U937">
        <v>-5.6500000000000002E-2</v>
      </c>
      <c r="V937">
        <v>8.0000000000000004E-4</v>
      </c>
      <c r="W937">
        <v>-2.1901000000000002</v>
      </c>
      <c r="X937">
        <v>0.77500000000000002</v>
      </c>
      <c r="Y937">
        <v>-3.32E-2</v>
      </c>
      <c r="Z937">
        <v>24</v>
      </c>
      <c r="AA937">
        <v>2.85</v>
      </c>
      <c r="AB937">
        <v>14</v>
      </c>
      <c r="AC937">
        <v>3</v>
      </c>
      <c r="AD937">
        <v>0</v>
      </c>
      <c r="AE937">
        <v>0</v>
      </c>
      <c r="AF937">
        <v>4.7115999999999998</v>
      </c>
      <c r="AG937">
        <v>240</v>
      </c>
      <c r="AH937">
        <v>0</v>
      </c>
    </row>
    <row r="938" spans="1:34" x14ac:dyDescent="0.35">
      <c r="A938" t="s">
        <v>34</v>
      </c>
      <c r="B938" s="1">
        <v>46146.65625</v>
      </c>
      <c r="C938" t="s">
        <v>34</v>
      </c>
      <c r="D938" s="1">
        <v>46149.625</v>
      </c>
      <c r="E938">
        <v>6990</v>
      </c>
      <c r="F938" t="s">
        <v>36</v>
      </c>
      <c r="G938">
        <v>3.55</v>
      </c>
      <c r="H938">
        <v>7.3</v>
      </c>
      <c r="I938">
        <v>2.0499999999999998</v>
      </c>
      <c r="J938">
        <v>3.1</v>
      </c>
      <c r="K938">
        <v>96</v>
      </c>
      <c r="L938">
        <v>19</v>
      </c>
      <c r="M938">
        <v>3.5</v>
      </c>
      <c r="N938">
        <v>16</v>
      </c>
      <c r="O938">
        <v>3.6</v>
      </c>
      <c r="P938">
        <v>0</v>
      </c>
      <c r="Q938">
        <v>0</v>
      </c>
      <c r="R938">
        <v>0</v>
      </c>
      <c r="S938">
        <v>0</v>
      </c>
      <c r="T938">
        <v>0.21229999999999999</v>
      </c>
      <c r="U938">
        <v>-5.9700000000000003E-2</v>
      </c>
      <c r="V938">
        <v>8.9999999999999998E-4</v>
      </c>
      <c r="W938">
        <v>-2.294</v>
      </c>
      <c r="X938">
        <v>0.80789999999999995</v>
      </c>
      <c r="Y938">
        <v>-3.5099999999999999E-2</v>
      </c>
      <c r="Z938">
        <v>58</v>
      </c>
      <c r="AA938">
        <v>3</v>
      </c>
      <c r="AB938">
        <v>18</v>
      </c>
      <c r="AC938">
        <v>3.2</v>
      </c>
      <c r="AD938">
        <v>0</v>
      </c>
      <c r="AE938">
        <v>0</v>
      </c>
      <c r="AF938">
        <v>4.6543999999999999</v>
      </c>
      <c r="AG938">
        <v>263</v>
      </c>
      <c r="AH938">
        <v>0</v>
      </c>
    </row>
    <row r="939" spans="1:34" x14ac:dyDescent="0.35">
      <c r="A939" t="s">
        <v>34</v>
      </c>
      <c r="B939" s="1">
        <v>46146.65625</v>
      </c>
      <c r="C939" t="s">
        <v>34</v>
      </c>
      <c r="D939" s="1">
        <v>46149.625</v>
      </c>
      <c r="E939">
        <v>6995</v>
      </c>
      <c r="F939" t="s">
        <v>36</v>
      </c>
      <c r="G939">
        <v>3.28</v>
      </c>
      <c r="H939">
        <v>7</v>
      </c>
      <c r="I939">
        <v>2.7</v>
      </c>
      <c r="J939">
        <v>3.2</v>
      </c>
      <c r="K939">
        <v>46</v>
      </c>
      <c r="L939">
        <v>24</v>
      </c>
      <c r="M939">
        <v>3.7</v>
      </c>
      <c r="N939">
        <v>111</v>
      </c>
      <c r="O939">
        <v>3.9</v>
      </c>
      <c r="P939">
        <v>0</v>
      </c>
      <c r="Q939">
        <v>0</v>
      </c>
      <c r="R939">
        <v>0</v>
      </c>
      <c r="S939">
        <v>0</v>
      </c>
      <c r="T939">
        <v>0.2114</v>
      </c>
      <c r="U939">
        <v>-6.3399999999999998E-2</v>
      </c>
      <c r="V939">
        <v>8.9999999999999998E-4</v>
      </c>
      <c r="W939">
        <v>-2.4224999999999999</v>
      </c>
      <c r="X939">
        <v>0.84630000000000005</v>
      </c>
      <c r="Y939">
        <v>-3.73E-2</v>
      </c>
      <c r="Z939">
        <v>57</v>
      </c>
      <c r="AA939">
        <v>3.2</v>
      </c>
      <c r="AB939">
        <v>17</v>
      </c>
      <c r="AC939">
        <v>3.4</v>
      </c>
      <c r="AD939">
        <v>0</v>
      </c>
      <c r="AE939">
        <v>0</v>
      </c>
      <c r="AF939">
        <v>4.1063000000000001</v>
      </c>
      <c r="AG939">
        <v>182</v>
      </c>
      <c r="AH939">
        <v>0</v>
      </c>
    </row>
    <row r="940" spans="1:34" x14ac:dyDescent="0.35">
      <c r="A940" t="s">
        <v>34</v>
      </c>
      <c r="B940" s="1">
        <v>46146.65625</v>
      </c>
      <c r="C940" t="s">
        <v>34</v>
      </c>
      <c r="D940" s="1">
        <v>46149.625</v>
      </c>
      <c r="E940">
        <v>7000</v>
      </c>
      <c r="F940" t="s">
        <v>36</v>
      </c>
      <c r="G940">
        <v>3.55</v>
      </c>
      <c r="H940">
        <v>11.27</v>
      </c>
      <c r="I940">
        <v>2.25</v>
      </c>
      <c r="J940">
        <v>3.52</v>
      </c>
      <c r="K940">
        <v>1330</v>
      </c>
      <c r="L940">
        <v>58</v>
      </c>
      <c r="M940">
        <v>3.9</v>
      </c>
      <c r="N940">
        <v>89</v>
      </c>
      <c r="O940">
        <v>4.0999999999999996</v>
      </c>
      <c r="P940">
        <v>0</v>
      </c>
      <c r="Q940">
        <v>0</v>
      </c>
      <c r="R940">
        <v>0</v>
      </c>
      <c r="S940">
        <v>0</v>
      </c>
      <c r="T940">
        <v>0.2104</v>
      </c>
      <c r="U940">
        <v>-6.7299999999999999E-2</v>
      </c>
      <c r="V940">
        <v>8.9999999999999998E-4</v>
      </c>
      <c r="W940">
        <v>-2.5474000000000001</v>
      </c>
      <c r="X940">
        <v>0.88449999999999995</v>
      </c>
      <c r="Y940">
        <v>-3.9600000000000003E-2</v>
      </c>
      <c r="Z940">
        <v>70</v>
      </c>
      <c r="AA940">
        <v>3.4</v>
      </c>
      <c r="AB940">
        <v>69</v>
      </c>
      <c r="AC940">
        <v>3.7</v>
      </c>
      <c r="AD940">
        <v>0</v>
      </c>
      <c r="AE940">
        <v>0</v>
      </c>
      <c r="AF940">
        <v>6.625</v>
      </c>
      <c r="AG940">
        <v>704</v>
      </c>
      <c r="AH940">
        <v>0</v>
      </c>
    </row>
    <row r="941" spans="1:34" x14ac:dyDescent="0.35">
      <c r="A941" t="s">
        <v>34</v>
      </c>
      <c r="B941" s="1">
        <v>46146.65625</v>
      </c>
      <c r="C941" t="s">
        <v>34</v>
      </c>
      <c r="D941" s="1">
        <v>46149.625</v>
      </c>
      <c r="E941">
        <v>7005</v>
      </c>
      <c r="F941" t="s">
        <v>36</v>
      </c>
      <c r="G941">
        <v>2.73</v>
      </c>
      <c r="H941">
        <v>7.72</v>
      </c>
      <c r="I941">
        <v>2.2999999999999998</v>
      </c>
      <c r="J941">
        <v>3.4</v>
      </c>
      <c r="K941">
        <v>704</v>
      </c>
      <c r="L941">
        <v>73</v>
      </c>
      <c r="M941">
        <v>4.0999999999999996</v>
      </c>
      <c r="N941">
        <v>63</v>
      </c>
      <c r="O941">
        <v>4.3</v>
      </c>
      <c r="P941">
        <v>0</v>
      </c>
      <c r="Q941">
        <v>0</v>
      </c>
      <c r="R941">
        <v>0</v>
      </c>
      <c r="S941">
        <v>0</v>
      </c>
      <c r="T941">
        <v>0.20860000000000001</v>
      </c>
      <c r="U941">
        <v>-7.0599999999999996E-2</v>
      </c>
      <c r="V941">
        <v>1E-3</v>
      </c>
      <c r="W941">
        <v>-2.6421999999999999</v>
      </c>
      <c r="X941">
        <v>0.91749999999999998</v>
      </c>
      <c r="Y941">
        <v>-4.1599999999999998E-2</v>
      </c>
      <c r="Z941">
        <v>58</v>
      </c>
      <c r="AA941">
        <v>3.6</v>
      </c>
      <c r="AB941">
        <v>56</v>
      </c>
      <c r="AC941">
        <v>3.9</v>
      </c>
      <c r="AD941">
        <v>0</v>
      </c>
      <c r="AE941">
        <v>0</v>
      </c>
      <c r="AF941">
        <v>3.8624000000000001</v>
      </c>
      <c r="AG941">
        <v>251</v>
      </c>
      <c r="AH941">
        <v>0</v>
      </c>
    </row>
    <row r="942" spans="1:34" x14ac:dyDescent="0.35">
      <c r="A942" t="s">
        <v>34</v>
      </c>
      <c r="B942" s="1">
        <v>46146.65625</v>
      </c>
      <c r="C942" t="s">
        <v>34</v>
      </c>
      <c r="D942" s="1">
        <v>46149.625</v>
      </c>
      <c r="E942">
        <v>7010</v>
      </c>
      <c r="F942" t="s">
        <v>36</v>
      </c>
      <c r="G942">
        <v>4</v>
      </c>
      <c r="H942">
        <v>8.5299999999999994</v>
      </c>
      <c r="I942">
        <v>2.5099999999999998</v>
      </c>
      <c r="J942">
        <v>3.7</v>
      </c>
      <c r="K942">
        <v>750</v>
      </c>
      <c r="L942">
        <v>12</v>
      </c>
      <c r="M942">
        <v>4.4000000000000004</v>
      </c>
      <c r="N942">
        <v>70</v>
      </c>
      <c r="O942">
        <v>4.5999999999999996</v>
      </c>
      <c r="P942">
        <v>0</v>
      </c>
      <c r="Q942">
        <v>0</v>
      </c>
      <c r="R942">
        <v>0</v>
      </c>
      <c r="S942">
        <v>0</v>
      </c>
      <c r="T942">
        <v>0.20780000000000001</v>
      </c>
      <c r="U942">
        <v>-7.4999999999999997E-2</v>
      </c>
      <c r="V942">
        <v>1E-3</v>
      </c>
      <c r="W942">
        <v>-2.7860999999999998</v>
      </c>
      <c r="X942">
        <v>0.96030000000000004</v>
      </c>
      <c r="Y942">
        <v>-4.4200000000000003E-2</v>
      </c>
      <c r="Z942">
        <v>42</v>
      </c>
      <c r="AA942">
        <v>3.9</v>
      </c>
      <c r="AB942">
        <v>24</v>
      </c>
      <c r="AC942">
        <v>4.0999999999999996</v>
      </c>
      <c r="AD942">
        <v>0</v>
      </c>
      <c r="AE942">
        <v>0</v>
      </c>
      <c r="AF942">
        <v>4.0822000000000003</v>
      </c>
      <c r="AG942">
        <v>299</v>
      </c>
      <c r="AH942">
        <v>0</v>
      </c>
    </row>
    <row r="943" spans="1:34" x14ac:dyDescent="0.35">
      <c r="A943" t="s">
        <v>34</v>
      </c>
      <c r="B943" s="1">
        <v>46146.65625</v>
      </c>
      <c r="C943" t="s">
        <v>34</v>
      </c>
      <c r="D943" s="1">
        <v>46149.625</v>
      </c>
      <c r="E943">
        <v>7015</v>
      </c>
      <c r="F943" t="s">
        <v>36</v>
      </c>
      <c r="G943">
        <v>4.05</v>
      </c>
      <c r="H943">
        <v>8.7200000000000006</v>
      </c>
      <c r="I943">
        <v>3.3</v>
      </c>
      <c r="J943">
        <v>4.03</v>
      </c>
      <c r="K943">
        <v>736</v>
      </c>
      <c r="L943">
        <v>79</v>
      </c>
      <c r="M943">
        <v>4.5999999999999996</v>
      </c>
      <c r="N943">
        <v>70</v>
      </c>
      <c r="O943">
        <v>4.9000000000000004</v>
      </c>
      <c r="P943">
        <v>0</v>
      </c>
      <c r="Q943">
        <v>0</v>
      </c>
      <c r="R943">
        <v>0</v>
      </c>
      <c r="S943">
        <v>0</v>
      </c>
      <c r="T943">
        <v>0.20580000000000001</v>
      </c>
      <c r="U943">
        <v>-7.8399999999999997E-2</v>
      </c>
      <c r="V943">
        <v>1.1000000000000001E-3</v>
      </c>
      <c r="W943">
        <v>-2.8748999999999998</v>
      </c>
      <c r="X943">
        <v>0.99260000000000004</v>
      </c>
      <c r="Y943">
        <v>-4.6300000000000001E-2</v>
      </c>
      <c r="Z943">
        <v>57</v>
      </c>
      <c r="AA943">
        <v>4.0999999999999996</v>
      </c>
      <c r="AB943">
        <v>55</v>
      </c>
      <c r="AC943">
        <v>4.4000000000000004</v>
      </c>
      <c r="AD943">
        <v>0</v>
      </c>
      <c r="AE943">
        <v>0</v>
      </c>
      <c r="AF943">
        <v>4.3918999999999997</v>
      </c>
      <c r="AG943">
        <v>259</v>
      </c>
      <c r="AH943">
        <v>0</v>
      </c>
    </row>
    <row r="944" spans="1:34" x14ac:dyDescent="0.35">
      <c r="A944" t="s">
        <v>34</v>
      </c>
      <c r="B944" s="1">
        <v>46146.65625</v>
      </c>
      <c r="C944" t="s">
        <v>34</v>
      </c>
      <c r="D944" s="1">
        <v>46149.625</v>
      </c>
      <c r="E944">
        <v>7020</v>
      </c>
      <c r="F944" t="s">
        <v>36</v>
      </c>
      <c r="G944">
        <v>3.6</v>
      </c>
      <c r="H944">
        <v>7.4</v>
      </c>
      <c r="I944">
        <v>2.77</v>
      </c>
      <c r="J944">
        <v>4.99</v>
      </c>
      <c r="K944">
        <v>202</v>
      </c>
      <c r="L944">
        <v>80</v>
      </c>
      <c r="M944">
        <v>4.9000000000000004</v>
      </c>
      <c r="N944">
        <v>34</v>
      </c>
      <c r="O944">
        <v>5.0999999999999996</v>
      </c>
      <c r="P944">
        <v>0</v>
      </c>
      <c r="Q944">
        <v>0</v>
      </c>
      <c r="R944">
        <v>0</v>
      </c>
      <c r="S944">
        <v>0</v>
      </c>
      <c r="T944">
        <v>0.20480000000000001</v>
      </c>
      <c r="U944">
        <v>-8.2900000000000001E-2</v>
      </c>
      <c r="V944">
        <v>1.1000000000000001E-3</v>
      </c>
      <c r="W944">
        <v>-3.0110999999999999</v>
      </c>
      <c r="X944">
        <v>1.0331999999999999</v>
      </c>
      <c r="Y944">
        <v>-4.8899999999999999E-2</v>
      </c>
      <c r="Z944">
        <v>44</v>
      </c>
      <c r="AA944">
        <v>4.4000000000000004</v>
      </c>
      <c r="AB944">
        <v>53</v>
      </c>
      <c r="AC944">
        <v>4.7</v>
      </c>
      <c r="AD944">
        <v>0</v>
      </c>
      <c r="AE944">
        <v>0</v>
      </c>
      <c r="AF944">
        <v>5.3437000000000001</v>
      </c>
      <c r="AG944">
        <v>236</v>
      </c>
      <c r="AH944">
        <v>0</v>
      </c>
    </row>
    <row r="945" spans="1:34" x14ac:dyDescent="0.35">
      <c r="A945" t="s">
        <v>34</v>
      </c>
      <c r="B945" s="1">
        <v>46146.65625</v>
      </c>
      <c r="C945" t="s">
        <v>34</v>
      </c>
      <c r="D945" s="1">
        <v>46149.625</v>
      </c>
      <c r="E945">
        <v>7025</v>
      </c>
      <c r="F945" t="s">
        <v>36</v>
      </c>
      <c r="G945">
        <v>4.05</v>
      </c>
      <c r="H945">
        <v>8.49</v>
      </c>
      <c r="I945">
        <v>2.96</v>
      </c>
      <c r="J945">
        <v>4.8</v>
      </c>
      <c r="K945">
        <v>96</v>
      </c>
      <c r="L945">
        <v>90</v>
      </c>
      <c r="M945">
        <v>5.2</v>
      </c>
      <c r="N945">
        <v>45</v>
      </c>
      <c r="O945">
        <v>5.4</v>
      </c>
      <c r="P945">
        <v>0</v>
      </c>
      <c r="Q945">
        <v>0</v>
      </c>
      <c r="R945">
        <v>0</v>
      </c>
      <c r="S945">
        <v>0</v>
      </c>
      <c r="T945">
        <v>0.20330000000000001</v>
      </c>
      <c r="U945">
        <v>-8.7599999999999997E-2</v>
      </c>
      <c r="V945">
        <v>1.1999999999999999E-3</v>
      </c>
      <c r="W945">
        <v>-3.1414</v>
      </c>
      <c r="X945">
        <v>1.0747</v>
      </c>
      <c r="Y945">
        <v>-5.1700000000000003E-2</v>
      </c>
      <c r="Z945">
        <v>52</v>
      </c>
      <c r="AA945">
        <v>4.7</v>
      </c>
      <c r="AB945">
        <v>23</v>
      </c>
      <c r="AC945">
        <v>4.9000000000000004</v>
      </c>
      <c r="AD945">
        <v>0</v>
      </c>
      <c r="AE945">
        <v>0</v>
      </c>
      <c r="AF945">
        <v>4.6478999999999999</v>
      </c>
      <c r="AG945">
        <v>189</v>
      </c>
      <c r="AH945">
        <v>0</v>
      </c>
    </row>
    <row r="946" spans="1:34" x14ac:dyDescent="0.35">
      <c r="A946" t="s">
        <v>34</v>
      </c>
      <c r="B946" s="1">
        <v>46146.65625</v>
      </c>
      <c r="C946" t="s">
        <v>34</v>
      </c>
      <c r="D946" s="1">
        <v>46149.625</v>
      </c>
      <c r="E946">
        <v>7030</v>
      </c>
      <c r="F946" t="s">
        <v>36</v>
      </c>
      <c r="G946">
        <v>4.22</v>
      </c>
      <c r="H946">
        <v>8.76</v>
      </c>
      <c r="I946">
        <v>3.02</v>
      </c>
      <c r="J946">
        <v>5.18</v>
      </c>
      <c r="K946">
        <v>198</v>
      </c>
      <c r="L946">
        <v>17</v>
      </c>
      <c r="M946">
        <v>5.6</v>
      </c>
      <c r="N946">
        <v>58</v>
      </c>
      <c r="O946">
        <v>5.8</v>
      </c>
      <c r="P946">
        <v>0</v>
      </c>
      <c r="Q946">
        <v>0</v>
      </c>
      <c r="R946">
        <v>0</v>
      </c>
      <c r="S946">
        <v>0</v>
      </c>
      <c r="T946">
        <v>0.20180000000000001</v>
      </c>
      <c r="U946">
        <v>-9.2200000000000004E-2</v>
      </c>
      <c r="V946">
        <v>1.2999999999999999E-3</v>
      </c>
      <c r="W946">
        <v>-3.2677</v>
      </c>
      <c r="X946">
        <v>1.1156999999999999</v>
      </c>
      <c r="Y946">
        <v>-5.4399999999999997E-2</v>
      </c>
      <c r="Z946">
        <v>44</v>
      </c>
      <c r="AA946">
        <v>5</v>
      </c>
      <c r="AB946">
        <v>54</v>
      </c>
      <c r="AC946">
        <v>5.3</v>
      </c>
      <c r="AD946">
        <v>0</v>
      </c>
      <c r="AE946">
        <v>0</v>
      </c>
      <c r="AF946">
        <v>3.8138999999999998</v>
      </c>
      <c r="AG946">
        <v>155</v>
      </c>
      <c r="AH946">
        <v>0</v>
      </c>
    </row>
    <row r="947" spans="1:34" x14ac:dyDescent="0.35">
      <c r="A947" t="s">
        <v>34</v>
      </c>
      <c r="B947" s="1">
        <v>46146.65625</v>
      </c>
      <c r="C947" t="s">
        <v>34</v>
      </c>
      <c r="D947" s="1">
        <v>46149.625</v>
      </c>
      <c r="E947">
        <v>7035</v>
      </c>
      <c r="F947" t="s">
        <v>36</v>
      </c>
      <c r="G947">
        <v>4.47</v>
      </c>
      <c r="H947">
        <v>9.6999999999999993</v>
      </c>
      <c r="I947">
        <v>3.4</v>
      </c>
      <c r="J947">
        <v>6.07</v>
      </c>
      <c r="K947">
        <v>539</v>
      </c>
      <c r="L947">
        <v>71</v>
      </c>
      <c r="M947">
        <v>5.9</v>
      </c>
      <c r="N947">
        <v>67</v>
      </c>
      <c r="O947">
        <v>6.1</v>
      </c>
      <c r="P947">
        <v>0</v>
      </c>
      <c r="Q947">
        <v>0</v>
      </c>
      <c r="R947">
        <v>0</v>
      </c>
      <c r="S947">
        <v>0</v>
      </c>
      <c r="T947">
        <v>0.20100000000000001</v>
      </c>
      <c r="U947">
        <v>-9.7900000000000001E-2</v>
      </c>
      <c r="V947">
        <v>1.2999999999999999E-3</v>
      </c>
      <c r="W947">
        <v>-3.4358</v>
      </c>
      <c r="X947">
        <v>1.165</v>
      </c>
      <c r="Y947">
        <v>-5.7799999999999997E-2</v>
      </c>
      <c r="Z947">
        <v>18</v>
      </c>
      <c r="AA947">
        <v>5.4</v>
      </c>
      <c r="AB947">
        <v>51</v>
      </c>
      <c r="AC947">
        <v>5.6</v>
      </c>
      <c r="AD947">
        <v>0</v>
      </c>
      <c r="AE947">
        <v>0</v>
      </c>
      <c r="AF947">
        <v>6.2140000000000004</v>
      </c>
      <c r="AG947">
        <v>486</v>
      </c>
      <c r="AH947">
        <v>0</v>
      </c>
    </row>
    <row r="948" spans="1:34" x14ac:dyDescent="0.35">
      <c r="A948" t="s">
        <v>34</v>
      </c>
      <c r="B948" s="1">
        <v>46146.65625</v>
      </c>
      <c r="C948" t="s">
        <v>34</v>
      </c>
      <c r="D948" s="1">
        <v>46149.625</v>
      </c>
      <c r="E948">
        <v>7040</v>
      </c>
      <c r="F948" t="s">
        <v>36</v>
      </c>
      <c r="G948">
        <v>5.33</v>
      </c>
      <c r="H948">
        <v>10.25</v>
      </c>
      <c r="I948">
        <v>3.22</v>
      </c>
      <c r="J948">
        <v>5.8</v>
      </c>
      <c r="K948">
        <v>1155</v>
      </c>
      <c r="L948">
        <v>38</v>
      </c>
      <c r="M948">
        <v>6.3</v>
      </c>
      <c r="N948">
        <v>62</v>
      </c>
      <c r="O948">
        <v>6.5</v>
      </c>
      <c r="P948">
        <v>0</v>
      </c>
      <c r="Q948">
        <v>0</v>
      </c>
      <c r="R948">
        <v>0</v>
      </c>
      <c r="S948">
        <v>0</v>
      </c>
      <c r="T948">
        <v>0.19919999999999999</v>
      </c>
      <c r="U948">
        <v>-0.1027</v>
      </c>
      <c r="V948">
        <v>1.4E-3</v>
      </c>
      <c r="W948">
        <v>-3.5520999999999998</v>
      </c>
      <c r="X948">
        <v>1.2056</v>
      </c>
      <c r="Y948">
        <v>-6.0699999999999997E-2</v>
      </c>
      <c r="Z948">
        <v>35</v>
      </c>
      <c r="AA948">
        <v>5.7</v>
      </c>
      <c r="AB948">
        <v>22</v>
      </c>
      <c r="AC948">
        <v>5.9</v>
      </c>
      <c r="AD948">
        <v>0</v>
      </c>
      <c r="AE948">
        <v>0</v>
      </c>
      <c r="AF948">
        <v>5.3868</v>
      </c>
      <c r="AG948">
        <v>243</v>
      </c>
      <c r="AH948">
        <v>0</v>
      </c>
    </row>
    <row r="949" spans="1:34" x14ac:dyDescent="0.35">
      <c r="A949" t="s">
        <v>34</v>
      </c>
      <c r="B949" s="1">
        <v>46146.65625</v>
      </c>
      <c r="C949" t="s">
        <v>34</v>
      </c>
      <c r="D949" s="1">
        <v>46149.625</v>
      </c>
      <c r="E949">
        <v>7045</v>
      </c>
      <c r="F949" t="s">
        <v>36</v>
      </c>
      <c r="G949">
        <v>4.49</v>
      </c>
      <c r="H949">
        <v>13.05</v>
      </c>
      <c r="I949">
        <v>3.72</v>
      </c>
      <c r="J949">
        <v>6.4</v>
      </c>
      <c r="K949">
        <v>66</v>
      </c>
      <c r="L949">
        <v>72</v>
      </c>
      <c r="M949">
        <v>6.6</v>
      </c>
      <c r="N949">
        <v>28</v>
      </c>
      <c r="O949">
        <v>6.8</v>
      </c>
      <c r="P949">
        <v>0</v>
      </c>
      <c r="Q949">
        <v>0</v>
      </c>
      <c r="R949">
        <v>0</v>
      </c>
      <c r="S949">
        <v>0</v>
      </c>
      <c r="T949">
        <v>0.19800000000000001</v>
      </c>
      <c r="U949">
        <v>-0.1085</v>
      </c>
      <c r="V949">
        <v>1.4E-3</v>
      </c>
      <c r="W949">
        <v>-3.7075999999999998</v>
      </c>
      <c r="X949">
        <v>1.2531000000000001</v>
      </c>
      <c r="Y949">
        <v>-6.4199999999999993E-2</v>
      </c>
      <c r="Z949">
        <v>22</v>
      </c>
      <c r="AA949">
        <v>6.1</v>
      </c>
      <c r="AB949">
        <v>37</v>
      </c>
      <c r="AC949">
        <v>6.3</v>
      </c>
      <c r="AD949">
        <v>0</v>
      </c>
      <c r="AE949">
        <v>0</v>
      </c>
      <c r="AF949">
        <v>5.4260999999999999</v>
      </c>
      <c r="AG949">
        <v>175</v>
      </c>
      <c r="AH949">
        <v>0</v>
      </c>
    </row>
    <row r="950" spans="1:34" x14ac:dyDescent="0.35">
      <c r="A950" t="s">
        <v>34</v>
      </c>
      <c r="B950" s="1">
        <v>46146.65625</v>
      </c>
      <c r="C950" t="s">
        <v>34</v>
      </c>
      <c r="D950" s="1">
        <v>46149.625</v>
      </c>
      <c r="E950">
        <v>7050</v>
      </c>
      <c r="F950" t="s">
        <v>36</v>
      </c>
      <c r="G950">
        <v>6.13</v>
      </c>
      <c r="H950">
        <v>13.65</v>
      </c>
      <c r="I950">
        <v>3.68</v>
      </c>
      <c r="J950">
        <v>6.5</v>
      </c>
      <c r="K950">
        <v>953</v>
      </c>
      <c r="L950">
        <v>84</v>
      </c>
      <c r="M950">
        <v>7</v>
      </c>
      <c r="N950">
        <v>72</v>
      </c>
      <c r="O950">
        <v>7.3</v>
      </c>
      <c r="P950">
        <v>0</v>
      </c>
      <c r="Q950">
        <v>0</v>
      </c>
      <c r="R950">
        <v>0</v>
      </c>
      <c r="S950">
        <v>0</v>
      </c>
      <c r="T950">
        <v>0.1966</v>
      </c>
      <c r="U950">
        <v>-0.1144</v>
      </c>
      <c r="V950">
        <v>1.5E-3</v>
      </c>
      <c r="W950">
        <v>-3.8565</v>
      </c>
      <c r="X950">
        <v>1.2995000000000001</v>
      </c>
      <c r="Y950">
        <v>-6.7799999999999999E-2</v>
      </c>
      <c r="Z950">
        <v>16</v>
      </c>
      <c r="AA950">
        <v>6.5</v>
      </c>
      <c r="AB950">
        <v>45</v>
      </c>
      <c r="AC950">
        <v>6.7</v>
      </c>
      <c r="AD950">
        <v>0</v>
      </c>
      <c r="AE950">
        <v>0</v>
      </c>
      <c r="AF950">
        <v>6.6045999999999996</v>
      </c>
      <c r="AG950">
        <v>812</v>
      </c>
      <c r="AH950">
        <v>0</v>
      </c>
    </row>
    <row r="951" spans="1:34" x14ac:dyDescent="0.35">
      <c r="A951" t="s">
        <v>34</v>
      </c>
      <c r="B951" s="1">
        <v>46146.65625</v>
      </c>
      <c r="C951" t="s">
        <v>34</v>
      </c>
      <c r="D951" s="1">
        <v>46149.625</v>
      </c>
      <c r="E951">
        <v>7055</v>
      </c>
      <c r="F951" t="s">
        <v>36</v>
      </c>
      <c r="G951">
        <v>4.9000000000000004</v>
      </c>
      <c r="H951">
        <v>13.65</v>
      </c>
      <c r="I951">
        <v>4.08</v>
      </c>
      <c r="J951">
        <v>7.06</v>
      </c>
      <c r="K951">
        <v>1266</v>
      </c>
      <c r="L951">
        <v>35</v>
      </c>
      <c r="M951">
        <v>7.5</v>
      </c>
      <c r="N951">
        <v>57</v>
      </c>
      <c r="O951">
        <v>7.7</v>
      </c>
      <c r="P951">
        <v>0</v>
      </c>
      <c r="Q951">
        <v>0</v>
      </c>
      <c r="R951">
        <v>0</v>
      </c>
      <c r="S951">
        <v>0</v>
      </c>
      <c r="T951">
        <v>0.19539999999999999</v>
      </c>
      <c r="U951">
        <v>-0.12089999999999999</v>
      </c>
      <c r="V951">
        <v>1.6000000000000001E-3</v>
      </c>
      <c r="W951">
        <v>-4.0197000000000003</v>
      </c>
      <c r="X951">
        <v>1.3488</v>
      </c>
      <c r="Y951">
        <v>-7.1599999999999997E-2</v>
      </c>
      <c r="Z951">
        <v>28</v>
      </c>
      <c r="AA951">
        <v>6.9</v>
      </c>
      <c r="AB951">
        <v>41</v>
      </c>
      <c r="AC951">
        <v>7.1</v>
      </c>
      <c r="AD951">
        <v>0</v>
      </c>
      <c r="AE951">
        <v>0</v>
      </c>
      <c r="AF951">
        <v>7.5225999999999997</v>
      </c>
      <c r="AG951">
        <v>134</v>
      </c>
      <c r="AH951">
        <v>0</v>
      </c>
    </row>
    <row r="952" spans="1:34" x14ac:dyDescent="0.35">
      <c r="A952" t="s">
        <v>34</v>
      </c>
      <c r="B952" s="1">
        <v>46146.65625</v>
      </c>
      <c r="C952" t="s">
        <v>34</v>
      </c>
      <c r="D952" s="1">
        <v>46149.625</v>
      </c>
      <c r="E952">
        <v>7060</v>
      </c>
      <c r="F952" t="s">
        <v>36</v>
      </c>
      <c r="G952">
        <v>6.63</v>
      </c>
      <c r="H952">
        <v>14.07</v>
      </c>
      <c r="I952">
        <v>4.12</v>
      </c>
      <c r="J952">
        <v>8.01</v>
      </c>
      <c r="K952">
        <v>111</v>
      </c>
      <c r="L952">
        <v>56</v>
      </c>
      <c r="M952">
        <v>7.9</v>
      </c>
      <c r="N952">
        <v>25</v>
      </c>
      <c r="O952">
        <v>8.1</v>
      </c>
      <c r="P952">
        <v>0</v>
      </c>
      <c r="Q952">
        <v>0</v>
      </c>
      <c r="R952">
        <v>0</v>
      </c>
      <c r="S952">
        <v>0</v>
      </c>
      <c r="T952">
        <v>0.1943</v>
      </c>
      <c r="U952">
        <v>-0.1273</v>
      </c>
      <c r="V952">
        <v>1.6000000000000001E-3</v>
      </c>
      <c r="W952">
        <v>-4.1767000000000003</v>
      </c>
      <c r="X952">
        <v>1.3968</v>
      </c>
      <c r="Y952">
        <v>-7.5300000000000006E-2</v>
      </c>
      <c r="Z952">
        <v>34</v>
      </c>
      <c r="AA952">
        <v>7.3</v>
      </c>
      <c r="AB952">
        <v>37</v>
      </c>
      <c r="AC952">
        <v>7.6</v>
      </c>
      <c r="AD952">
        <v>0</v>
      </c>
      <c r="AE952">
        <v>0</v>
      </c>
      <c r="AF952">
        <v>7.6718000000000002</v>
      </c>
      <c r="AG952">
        <v>204</v>
      </c>
      <c r="AH952">
        <v>0</v>
      </c>
    </row>
    <row r="953" spans="1:34" x14ac:dyDescent="0.35">
      <c r="A953" t="s">
        <v>34</v>
      </c>
      <c r="B953" s="1">
        <v>46146.65625</v>
      </c>
      <c r="C953" t="s">
        <v>34</v>
      </c>
      <c r="D953" s="1">
        <v>46149.625</v>
      </c>
      <c r="E953">
        <v>7065</v>
      </c>
      <c r="F953" t="s">
        <v>36</v>
      </c>
      <c r="G953">
        <v>7.47</v>
      </c>
      <c r="H953">
        <v>15</v>
      </c>
      <c r="I953">
        <v>4.4000000000000004</v>
      </c>
      <c r="J953">
        <v>8.6199999999999992</v>
      </c>
      <c r="K953">
        <v>228</v>
      </c>
      <c r="L953">
        <v>55</v>
      </c>
      <c r="M953">
        <v>8.4</v>
      </c>
      <c r="N953">
        <v>29</v>
      </c>
      <c r="O953">
        <v>8.6</v>
      </c>
      <c r="P953">
        <v>0</v>
      </c>
      <c r="Q953">
        <v>0</v>
      </c>
      <c r="R953">
        <v>0</v>
      </c>
      <c r="S953">
        <v>0</v>
      </c>
      <c r="T953">
        <v>0.19289999999999999</v>
      </c>
      <c r="U953">
        <v>-0.13450000000000001</v>
      </c>
      <c r="V953">
        <v>1.6999999999999999E-3</v>
      </c>
      <c r="W953">
        <v>-4.3428000000000004</v>
      </c>
      <c r="X953">
        <v>1.4496</v>
      </c>
      <c r="Y953">
        <v>-7.9600000000000004E-2</v>
      </c>
      <c r="Z953">
        <v>27</v>
      </c>
      <c r="AA953">
        <v>7.8</v>
      </c>
      <c r="AB953">
        <v>20</v>
      </c>
      <c r="AC953">
        <v>8</v>
      </c>
      <c r="AD953">
        <v>0</v>
      </c>
      <c r="AE953">
        <v>0</v>
      </c>
      <c r="AF953">
        <v>7.2262000000000004</v>
      </c>
      <c r="AG953">
        <v>114</v>
      </c>
      <c r="AH953">
        <v>0</v>
      </c>
    </row>
    <row r="954" spans="1:34" x14ac:dyDescent="0.35">
      <c r="A954" t="s">
        <v>34</v>
      </c>
      <c r="B954" s="1">
        <v>46146.65625</v>
      </c>
      <c r="C954" t="s">
        <v>34</v>
      </c>
      <c r="D954" s="1">
        <v>46149.625</v>
      </c>
      <c r="E954">
        <v>7070</v>
      </c>
      <c r="F954" t="s">
        <v>36</v>
      </c>
      <c r="G954">
        <v>7.46</v>
      </c>
      <c r="H954">
        <v>15.42</v>
      </c>
      <c r="I954">
        <v>4.62</v>
      </c>
      <c r="J954">
        <v>8.5</v>
      </c>
      <c r="K954">
        <v>510</v>
      </c>
      <c r="L954">
        <v>57</v>
      </c>
      <c r="M954">
        <v>8.9</v>
      </c>
      <c r="N954">
        <v>28</v>
      </c>
      <c r="O954">
        <v>9.1</v>
      </c>
      <c r="P954">
        <v>0</v>
      </c>
      <c r="Q954">
        <v>0</v>
      </c>
      <c r="R954">
        <v>0</v>
      </c>
      <c r="S954">
        <v>0</v>
      </c>
      <c r="T954">
        <v>0.1915</v>
      </c>
      <c r="U954">
        <v>-0.1416</v>
      </c>
      <c r="V954">
        <v>1.8E-3</v>
      </c>
      <c r="W954">
        <v>-4.5015999999999998</v>
      </c>
      <c r="X954">
        <v>1.5004</v>
      </c>
      <c r="Y954">
        <v>-8.4000000000000005E-2</v>
      </c>
      <c r="Z954">
        <v>26</v>
      </c>
      <c r="AA954">
        <v>8.3000000000000007</v>
      </c>
      <c r="AB954">
        <v>14</v>
      </c>
      <c r="AC954">
        <v>8.5</v>
      </c>
      <c r="AD954">
        <v>0</v>
      </c>
      <c r="AE954">
        <v>0</v>
      </c>
      <c r="AF954">
        <v>7.1071</v>
      </c>
      <c r="AG954">
        <v>726</v>
      </c>
      <c r="AH954">
        <v>0</v>
      </c>
    </row>
    <row r="955" spans="1:34" x14ac:dyDescent="0.35">
      <c r="A955" t="s">
        <v>34</v>
      </c>
      <c r="B955" s="1">
        <v>46146.65625</v>
      </c>
      <c r="C955" t="s">
        <v>34</v>
      </c>
      <c r="D955" s="1">
        <v>46149.625</v>
      </c>
      <c r="E955">
        <v>7075</v>
      </c>
      <c r="F955" t="s">
        <v>36</v>
      </c>
      <c r="G955">
        <v>7.79</v>
      </c>
      <c r="H955">
        <v>16.63</v>
      </c>
      <c r="I955">
        <v>4.8499999999999996</v>
      </c>
      <c r="J955">
        <v>9.9499999999999993</v>
      </c>
      <c r="K955">
        <v>448</v>
      </c>
      <c r="L955">
        <v>19</v>
      </c>
      <c r="M955">
        <v>9.5</v>
      </c>
      <c r="N955">
        <v>63</v>
      </c>
      <c r="O955">
        <v>9.6999999999999993</v>
      </c>
      <c r="P955">
        <v>0</v>
      </c>
      <c r="Q955">
        <v>0</v>
      </c>
      <c r="R955">
        <v>0</v>
      </c>
      <c r="S955">
        <v>0</v>
      </c>
      <c r="T955">
        <v>0.1898</v>
      </c>
      <c r="U955">
        <v>-0.1489</v>
      </c>
      <c r="V955">
        <v>1.9E-3</v>
      </c>
      <c r="W955">
        <v>-4.6513</v>
      </c>
      <c r="X955">
        <v>1.5498000000000001</v>
      </c>
      <c r="Y955">
        <v>-8.8400000000000006E-2</v>
      </c>
      <c r="Z955">
        <v>38</v>
      </c>
      <c r="AA955">
        <v>8.8000000000000007</v>
      </c>
      <c r="AB955">
        <v>40</v>
      </c>
      <c r="AC955">
        <v>9.1</v>
      </c>
      <c r="AD955">
        <v>0</v>
      </c>
      <c r="AE955">
        <v>0</v>
      </c>
      <c r="AF955">
        <v>6.7362000000000002</v>
      </c>
      <c r="AG955">
        <v>611</v>
      </c>
      <c r="AH955">
        <v>0</v>
      </c>
    </row>
    <row r="956" spans="1:34" x14ac:dyDescent="0.35">
      <c r="A956" t="s">
        <v>34</v>
      </c>
      <c r="B956" s="1">
        <v>46146.65625</v>
      </c>
      <c r="C956" t="s">
        <v>34</v>
      </c>
      <c r="D956" s="1">
        <v>46149.625</v>
      </c>
      <c r="E956">
        <v>7080</v>
      </c>
      <c r="F956" t="s">
        <v>36</v>
      </c>
      <c r="G956">
        <v>8.85</v>
      </c>
      <c r="H956">
        <v>17.22</v>
      </c>
      <c r="I956">
        <v>4.92</v>
      </c>
      <c r="J956">
        <v>9.6999999999999993</v>
      </c>
      <c r="K956">
        <v>802</v>
      </c>
      <c r="L956">
        <v>49</v>
      </c>
      <c r="M956">
        <v>10</v>
      </c>
      <c r="N956">
        <v>26</v>
      </c>
      <c r="O956">
        <v>10.199999999999999</v>
      </c>
      <c r="P956">
        <v>0</v>
      </c>
      <c r="Q956">
        <v>0</v>
      </c>
      <c r="R956">
        <v>0</v>
      </c>
      <c r="S956">
        <v>0</v>
      </c>
      <c r="T956">
        <v>0.18870000000000001</v>
      </c>
      <c r="U956">
        <v>-0.15709999999999999</v>
      </c>
      <c r="V956">
        <v>1.9E-3</v>
      </c>
      <c r="W956">
        <v>-4.8282999999999996</v>
      </c>
      <c r="X956">
        <v>1.6032999999999999</v>
      </c>
      <c r="Y956">
        <v>-9.3200000000000005E-2</v>
      </c>
      <c r="Z956">
        <v>14</v>
      </c>
      <c r="AA956">
        <v>9.4</v>
      </c>
      <c r="AB956">
        <v>27</v>
      </c>
      <c r="AC956">
        <v>9.6</v>
      </c>
      <c r="AD956">
        <v>0</v>
      </c>
      <c r="AE956">
        <v>0</v>
      </c>
      <c r="AF956">
        <v>8.3392999999999997</v>
      </c>
      <c r="AG956">
        <v>423</v>
      </c>
      <c r="AH956">
        <v>0</v>
      </c>
    </row>
    <row r="957" spans="1:34" x14ac:dyDescent="0.35">
      <c r="A957" t="s">
        <v>34</v>
      </c>
      <c r="B957" s="1">
        <v>46146.65625</v>
      </c>
      <c r="C957" t="s">
        <v>34</v>
      </c>
      <c r="D957" s="1">
        <v>46149.625</v>
      </c>
      <c r="E957">
        <v>7085</v>
      </c>
      <c r="F957" t="s">
        <v>36</v>
      </c>
      <c r="G957">
        <v>8.1</v>
      </c>
      <c r="H957">
        <v>18.2</v>
      </c>
      <c r="I957">
        <v>5.32</v>
      </c>
      <c r="J957">
        <v>10.76</v>
      </c>
      <c r="K957">
        <v>60</v>
      </c>
      <c r="L957">
        <v>44</v>
      </c>
      <c r="M957">
        <v>10.6</v>
      </c>
      <c r="N957">
        <v>24</v>
      </c>
      <c r="O957">
        <v>10.8</v>
      </c>
      <c r="P957">
        <v>0</v>
      </c>
      <c r="Q957">
        <v>0</v>
      </c>
      <c r="R957">
        <v>0</v>
      </c>
      <c r="S957">
        <v>0</v>
      </c>
      <c r="T957">
        <v>0.18729999999999999</v>
      </c>
      <c r="U957">
        <v>-0.16539999999999999</v>
      </c>
      <c r="V957">
        <v>2E-3</v>
      </c>
      <c r="W957">
        <v>-4.9947999999999997</v>
      </c>
      <c r="X957">
        <v>1.6557999999999999</v>
      </c>
      <c r="Y957">
        <v>-9.8100000000000007E-2</v>
      </c>
      <c r="Z957">
        <v>37</v>
      </c>
      <c r="AA957">
        <v>9.9</v>
      </c>
      <c r="AB957">
        <v>29</v>
      </c>
      <c r="AC957">
        <v>10.199999999999999</v>
      </c>
      <c r="AD957">
        <v>0</v>
      </c>
      <c r="AE957">
        <v>0</v>
      </c>
      <c r="AF957">
        <v>10.249700000000001</v>
      </c>
      <c r="AG957">
        <v>92</v>
      </c>
      <c r="AH957">
        <v>0</v>
      </c>
    </row>
    <row r="958" spans="1:34" x14ac:dyDescent="0.35">
      <c r="A958" t="s">
        <v>34</v>
      </c>
      <c r="B958" s="1">
        <v>46146.65625</v>
      </c>
      <c r="C958" t="s">
        <v>34</v>
      </c>
      <c r="D958" s="1">
        <v>46149.625</v>
      </c>
      <c r="E958">
        <v>7090</v>
      </c>
      <c r="F958" t="s">
        <v>36</v>
      </c>
      <c r="G958">
        <v>8.67</v>
      </c>
      <c r="H958">
        <v>18.89</v>
      </c>
      <c r="I958">
        <v>5.67</v>
      </c>
      <c r="J958">
        <v>9.8000000000000007</v>
      </c>
      <c r="K958">
        <v>1260</v>
      </c>
      <c r="L958">
        <v>57</v>
      </c>
      <c r="M958">
        <v>11.2</v>
      </c>
      <c r="N958">
        <v>4</v>
      </c>
      <c r="O958">
        <v>11.4</v>
      </c>
      <c r="P958">
        <v>0</v>
      </c>
      <c r="Q958">
        <v>0</v>
      </c>
      <c r="R958">
        <v>0</v>
      </c>
      <c r="S958">
        <v>0</v>
      </c>
      <c r="T958">
        <v>0.1857</v>
      </c>
      <c r="U958">
        <v>-0.17380000000000001</v>
      </c>
      <c r="V958">
        <v>2.0999999999999999E-3</v>
      </c>
      <c r="W958">
        <v>-5.1494999999999997</v>
      </c>
      <c r="X958">
        <v>1.7081999999999999</v>
      </c>
      <c r="Y958">
        <v>-0.1032</v>
      </c>
      <c r="Z958">
        <v>24</v>
      </c>
      <c r="AA958">
        <v>10.6</v>
      </c>
      <c r="AB958">
        <v>12</v>
      </c>
      <c r="AC958">
        <v>10.8</v>
      </c>
      <c r="AD958">
        <v>0</v>
      </c>
      <c r="AE958">
        <v>0</v>
      </c>
      <c r="AF958">
        <v>10.510199999999999</v>
      </c>
      <c r="AG958">
        <v>218</v>
      </c>
      <c r="AH958">
        <v>0</v>
      </c>
    </row>
    <row r="959" spans="1:34" x14ac:dyDescent="0.35">
      <c r="A959" t="s">
        <v>34</v>
      </c>
      <c r="B959" s="1">
        <v>46146.65625</v>
      </c>
      <c r="C959" t="s">
        <v>34</v>
      </c>
      <c r="D959" s="1">
        <v>46149.625</v>
      </c>
      <c r="E959">
        <v>7095</v>
      </c>
      <c r="F959" t="s">
        <v>36</v>
      </c>
      <c r="G959">
        <v>9.19</v>
      </c>
      <c r="H959">
        <v>20.2</v>
      </c>
      <c r="I959">
        <v>6.27</v>
      </c>
      <c r="J959">
        <v>11.59</v>
      </c>
      <c r="K959">
        <v>272</v>
      </c>
      <c r="L959">
        <v>25</v>
      </c>
      <c r="M959">
        <v>11.9</v>
      </c>
      <c r="N959">
        <v>23</v>
      </c>
      <c r="O959">
        <v>12.1</v>
      </c>
      <c r="P959">
        <v>0</v>
      </c>
      <c r="Q959">
        <v>0</v>
      </c>
      <c r="R959">
        <v>0</v>
      </c>
      <c r="S959">
        <v>0</v>
      </c>
      <c r="T959">
        <v>0.1845</v>
      </c>
      <c r="U959">
        <v>-0.18310000000000001</v>
      </c>
      <c r="V959">
        <v>2.2000000000000001E-3</v>
      </c>
      <c r="W959">
        <v>-5.3266</v>
      </c>
      <c r="X959">
        <v>1.764</v>
      </c>
      <c r="Y959">
        <v>-0.10879999999999999</v>
      </c>
      <c r="Z959">
        <v>28</v>
      </c>
      <c r="AA959">
        <v>11.2</v>
      </c>
      <c r="AB959">
        <v>27</v>
      </c>
      <c r="AC959">
        <v>11.5</v>
      </c>
      <c r="AD959">
        <v>0</v>
      </c>
      <c r="AE959">
        <v>0</v>
      </c>
      <c r="AF959">
        <v>13.812200000000001</v>
      </c>
      <c r="AG959">
        <v>256</v>
      </c>
      <c r="AH959">
        <v>0</v>
      </c>
    </row>
    <row r="960" spans="1:34" x14ac:dyDescent="0.35">
      <c r="A960" t="s">
        <v>34</v>
      </c>
      <c r="B960" s="1">
        <v>46146.65625</v>
      </c>
      <c r="C960" t="s">
        <v>34</v>
      </c>
      <c r="D960" s="1">
        <v>46149.625</v>
      </c>
      <c r="E960">
        <v>7100</v>
      </c>
      <c r="F960" t="s">
        <v>36</v>
      </c>
      <c r="G960">
        <v>10.1</v>
      </c>
      <c r="H960">
        <v>20.8</v>
      </c>
      <c r="I960">
        <v>6.13</v>
      </c>
      <c r="J960">
        <v>12</v>
      </c>
      <c r="K960">
        <v>808</v>
      </c>
      <c r="L960">
        <v>32</v>
      </c>
      <c r="M960">
        <v>12.6</v>
      </c>
      <c r="N960">
        <v>30</v>
      </c>
      <c r="O960">
        <v>12.8</v>
      </c>
      <c r="P960">
        <v>0</v>
      </c>
      <c r="Q960">
        <v>0</v>
      </c>
      <c r="R960">
        <v>0</v>
      </c>
      <c r="S960">
        <v>0</v>
      </c>
      <c r="T960">
        <v>0.183</v>
      </c>
      <c r="U960">
        <v>-0.19259999999999999</v>
      </c>
      <c r="V960">
        <v>2.3E-3</v>
      </c>
      <c r="W960">
        <v>-5.4901</v>
      </c>
      <c r="X960">
        <v>1.8177000000000001</v>
      </c>
      <c r="Y960">
        <v>-0.11459999999999999</v>
      </c>
      <c r="Z960">
        <v>36</v>
      </c>
      <c r="AA960">
        <v>11.9</v>
      </c>
      <c r="AB960">
        <v>33</v>
      </c>
      <c r="AC960">
        <v>12.2</v>
      </c>
      <c r="AD960">
        <v>0</v>
      </c>
      <c r="AE960">
        <v>0</v>
      </c>
      <c r="AF960">
        <v>12.283300000000001</v>
      </c>
      <c r="AG960">
        <v>779</v>
      </c>
      <c r="AH960">
        <v>0</v>
      </c>
    </row>
    <row r="961" spans="1:34" x14ac:dyDescent="0.35">
      <c r="A961" t="s">
        <v>34</v>
      </c>
      <c r="B961" s="1">
        <v>46146.65625</v>
      </c>
      <c r="C961" t="s">
        <v>34</v>
      </c>
      <c r="D961" s="1">
        <v>46149.625</v>
      </c>
      <c r="E961">
        <v>7105</v>
      </c>
      <c r="F961" t="s">
        <v>36</v>
      </c>
      <c r="G961">
        <v>10.96</v>
      </c>
      <c r="H961">
        <v>19.27</v>
      </c>
      <c r="I961">
        <v>6.6</v>
      </c>
      <c r="J961">
        <v>12.1</v>
      </c>
      <c r="K961">
        <v>169</v>
      </c>
      <c r="L961">
        <v>38</v>
      </c>
      <c r="M961">
        <v>13.3</v>
      </c>
      <c r="N961">
        <v>4</v>
      </c>
      <c r="O961">
        <v>13.5</v>
      </c>
      <c r="P961">
        <v>0</v>
      </c>
      <c r="Q961">
        <v>0</v>
      </c>
      <c r="R961">
        <v>0</v>
      </c>
      <c r="S961">
        <v>0</v>
      </c>
      <c r="T961">
        <v>0.18129999999999999</v>
      </c>
      <c r="U961">
        <v>-0.20219999999999999</v>
      </c>
      <c r="V961">
        <v>2.3999999999999998E-3</v>
      </c>
      <c r="W961">
        <v>-5.6403999999999996</v>
      </c>
      <c r="X961">
        <v>1.8694</v>
      </c>
      <c r="Y961">
        <v>-0.1203</v>
      </c>
      <c r="Z961">
        <v>12</v>
      </c>
      <c r="AA961">
        <v>12.7</v>
      </c>
      <c r="AB961">
        <v>11</v>
      </c>
      <c r="AC961">
        <v>12.9</v>
      </c>
      <c r="AD961">
        <v>0</v>
      </c>
      <c r="AE961">
        <v>0</v>
      </c>
      <c r="AF961">
        <v>12.7864</v>
      </c>
      <c r="AG961">
        <v>118</v>
      </c>
      <c r="AH961">
        <v>0</v>
      </c>
    </row>
    <row r="962" spans="1:34" x14ac:dyDescent="0.35">
      <c r="A962" t="s">
        <v>34</v>
      </c>
      <c r="B962" s="1">
        <v>46146.65625</v>
      </c>
      <c r="C962" t="s">
        <v>34</v>
      </c>
      <c r="D962" s="1">
        <v>46149.625</v>
      </c>
      <c r="E962">
        <v>7110</v>
      </c>
      <c r="F962" t="s">
        <v>36</v>
      </c>
      <c r="G962">
        <v>10.72</v>
      </c>
      <c r="H962">
        <v>22.98</v>
      </c>
      <c r="I962">
        <v>6.92</v>
      </c>
      <c r="J962">
        <v>13.9</v>
      </c>
      <c r="K962">
        <v>176</v>
      </c>
      <c r="L962">
        <v>21</v>
      </c>
      <c r="M962">
        <v>14.1</v>
      </c>
      <c r="N962">
        <v>9</v>
      </c>
      <c r="O962">
        <v>14.3</v>
      </c>
      <c r="P962">
        <v>0</v>
      </c>
      <c r="Q962">
        <v>0</v>
      </c>
      <c r="R962">
        <v>0</v>
      </c>
      <c r="S962">
        <v>0</v>
      </c>
      <c r="T962">
        <v>0.1797</v>
      </c>
      <c r="U962">
        <v>-0.21240000000000001</v>
      </c>
      <c r="V962">
        <v>2.5000000000000001E-3</v>
      </c>
      <c r="W962">
        <v>-5.7915999999999999</v>
      </c>
      <c r="X962">
        <v>1.9218999999999999</v>
      </c>
      <c r="Y962">
        <v>-0.1263</v>
      </c>
      <c r="Z962">
        <v>28</v>
      </c>
      <c r="AA962">
        <v>13.4</v>
      </c>
      <c r="AB962">
        <v>22</v>
      </c>
      <c r="AC962">
        <v>13.7</v>
      </c>
      <c r="AD962">
        <v>0</v>
      </c>
      <c r="AE962">
        <v>0</v>
      </c>
      <c r="AF962">
        <v>10.533899999999999</v>
      </c>
      <c r="AG962">
        <v>176</v>
      </c>
      <c r="AH962">
        <v>0</v>
      </c>
    </row>
    <row r="963" spans="1:34" x14ac:dyDescent="0.35">
      <c r="A963" t="s">
        <v>34</v>
      </c>
      <c r="B963" s="1">
        <v>46146.65625</v>
      </c>
      <c r="C963" t="s">
        <v>34</v>
      </c>
      <c r="D963" s="1">
        <v>46149.625</v>
      </c>
      <c r="E963">
        <v>7115</v>
      </c>
      <c r="F963" t="s">
        <v>36</v>
      </c>
      <c r="G963">
        <v>10.64</v>
      </c>
      <c r="H963">
        <v>21.66</v>
      </c>
      <c r="I963">
        <v>7.25</v>
      </c>
      <c r="J963">
        <v>13.6</v>
      </c>
      <c r="K963">
        <v>78</v>
      </c>
      <c r="L963">
        <v>28</v>
      </c>
      <c r="M963">
        <v>14.9</v>
      </c>
      <c r="N963">
        <v>4</v>
      </c>
      <c r="O963">
        <v>15.1</v>
      </c>
      <c r="P963">
        <v>0</v>
      </c>
      <c r="Q963">
        <v>0</v>
      </c>
      <c r="R963">
        <v>0</v>
      </c>
      <c r="S963">
        <v>0</v>
      </c>
      <c r="T963">
        <v>0.17829999999999999</v>
      </c>
      <c r="U963">
        <v>-0.2233</v>
      </c>
      <c r="V963">
        <v>2.5999999999999999E-3</v>
      </c>
      <c r="W963">
        <v>-5.9576000000000002</v>
      </c>
      <c r="X963">
        <v>1.9766999999999999</v>
      </c>
      <c r="Y963">
        <v>-0.13289999999999999</v>
      </c>
      <c r="Z963">
        <v>17</v>
      </c>
      <c r="AA963">
        <v>14.3</v>
      </c>
      <c r="AB963">
        <v>11</v>
      </c>
      <c r="AC963">
        <v>14.5</v>
      </c>
      <c r="AD963">
        <v>0</v>
      </c>
      <c r="AE963">
        <v>0</v>
      </c>
      <c r="AF963">
        <v>14.104200000000001</v>
      </c>
      <c r="AG963">
        <v>186</v>
      </c>
      <c r="AH963">
        <v>0</v>
      </c>
    </row>
    <row r="964" spans="1:34" x14ac:dyDescent="0.35">
      <c r="A964" t="s">
        <v>34</v>
      </c>
      <c r="B964" s="1">
        <v>46146.65625</v>
      </c>
      <c r="C964" t="s">
        <v>34</v>
      </c>
      <c r="D964" s="1">
        <v>46149.625</v>
      </c>
      <c r="E964">
        <v>7120</v>
      </c>
      <c r="F964" t="s">
        <v>36</v>
      </c>
      <c r="G964">
        <v>13</v>
      </c>
      <c r="H964">
        <v>25</v>
      </c>
      <c r="I964">
        <v>7.58</v>
      </c>
      <c r="J964">
        <v>15.6</v>
      </c>
      <c r="K964">
        <v>413</v>
      </c>
      <c r="L964">
        <v>20</v>
      </c>
      <c r="M964">
        <v>15.8</v>
      </c>
      <c r="N964">
        <v>19</v>
      </c>
      <c r="O964">
        <v>16</v>
      </c>
      <c r="P964">
        <v>0</v>
      </c>
      <c r="Q964">
        <v>0</v>
      </c>
      <c r="R964">
        <v>0</v>
      </c>
      <c r="S964">
        <v>0</v>
      </c>
      <c r="T964">
        <v>0.17649999999999999</v>
      </c>
      <c r="U964">
        <v>-0.23419999999999999</v>
      </c>
      <c r="V964">
        <v>2.5999999999999999E-3</v>
      </c>
      <c r="W964">
        <v>-6.0925000000000002</v>
      </c>
      <c r="X964">
        <v>2.0287999999999999</v>
      </c>
      <c r="Y964">
        <v>-0.13950000000000001</v>
      </c>
      <c r="Z964">
        <v>25</v>
      </c>
      <c r="AA964">
        <v>15.1</v>
      </c>
      <c r="AB964">
        <v>21</v>
      </c>
      <c r="AC964">
        <v>15.4</v>
      </c>
      <c r="AD964">
        <v>0</v>
      </c>
      <c r="AE964">
        <v>0</v>
      </c>
      <c r="AF964">
        <v>14.6671</v>
      </c>
      <c r="AG964">
        <v>275</v>
      </c>
      <c r="AH964">
        <v>0</v>
      </c>
    </row>
    <row r="965" spans="1:34" x14ac:dyDescent="0.35">
      <c r="A965" t="s">
        <v>34</v>
      </c>
      <c r="B965" s="1">
        <v>46146.65625</v>
      </c>
      <c r="C965" t="s">
        <v>34</v>
      </c>
      <c r="D965" s="1">
        <v>46149.625</v>
      </c>
      <c r="E965">
        <v>7125</v>
      </c>
      <c r="F965" t="s">
        <v>36</v>
      </c>
      <c r="G965">
        <v>13.71</v>
      </c>
      <c r="H965">
        <v>31.73</v>
      </c>
      <c r="I965">
        <v>8.0299999999999994</v>
      </c>
      <c r="J965">
        <v>16.55</v>
      </c>
      <c r="K965">
        <v>1327</v>
      </c>
      <c r="L965">
        <v>20</v>
      </c>
      <c r="M965">
        <v>16.7</v>
      </c>
      <c r="N965">
        <v>27</v>
      </c>
      <c r="O965">
        <v>16.899999999999999</v>
      </c>
      <c r="P965">
        <v>0</v>
      </c>
      <c r="Q965">
        <v>0</v>
      </c>
      <c r="R965">
        <v>0</v>
      </c>
      <c r="S965">
        <v>0</v>
      </c>
      <c r="T965">
        <v>0.1749</v>
      </c>
      <c r="U965">
        <v>-0.24579999999999999</v>
      </c>
      <c r="V965">
        <v>2.7000000000000001E-3</v>
      </c>
      <c r="W965">
        <v>-6.2381000000000002</v>
      </c>
      <c r="X965">
        <v>2.0813000000000001</v>
      </c>
      <c r="Y965">
        <v>-0.14649999999999999</v>
      </c>
      <c r="Z965">
        <v>47</v>
      </c>
      <c r="AA965">
        <v>16</v>
      </c>
      <c r="AB965">
        <v>15</v>
      </c>
      <c r="AC965">
        <v>16.3</v>
      </c>
      <c r="AD965">
        <v>0</v>
      </c>
      <c r="AE965">
        <v>0</v>
      </c>
      <c r="AF965">
        <v>17.111499999999999</v>
      </c>
      <c r="AG965">
        <v>135</v>
      </c>
      <c r="AH965">
        <v>0</v>
      </c>
    </row>
    <row r="966" spans="1:34" x14ac:dyDescent="0.35">
      <c r="A966" t="s">
        <v>34</v>
      </c>
      <c r="B966" s="1">
        <v>46146.65625</v>
      </c>
      <c r="C966" t="s">
        <v>34</v>
      </c>
      <c r="D966" s="1">
        <v>46149.625</v>
      </c>
      <c r="E966">
        <v>7130</v>
      </c>
      <c r="F966" t="s">
        <v>36</v>
      </c>
      <c r="G966">
        <v>13.88</v>
      </c>
      <c r="H966">
        <v>27.4</v>
      </c>
      <c r="I966">
        <v>8.58</v>
      </c>
      <c r="J966">
        <v>17.68</v>
      </c>
      <c r="K966">
        <v>487</v>
      </c>
      <c r="L966">
        <v>25</v>
      </c>
      <c r="M966">
        <v>17.600000000000001</v>
      </c>
      <c r="N966">
        <v>4</v>
      </c>
      <c r="O966">
        <v>17.8</v>
      </c>
      <c r="P966">
        <v>0</v>
      </c>
      <c r="Q966">
        <v>0</v>
      </c>
      <c r="R966">
        <v>0</v>
      </c>
      <c r="S966">
        <v>0</v>
      </c>
      <c r="T966">
        <v>0.1736</v>
      </c>
      <c r="U966">
        <v>-0.25829999999999997</v>
      </c>
      <c r="V966">
        <v>2.8E-3</v>
      </c>
      <c r="W966">
        <v>-6.3917000000000002</v>
      </c>
      <c r="X966">
        <v>2.1335000000000002</v>
      </c>
      <c r="Y966">
        <v>-0.154</v>
      </c>
      <c r="Z966">
        <v>23</v>
      </c>
      <c r="AA966">
        <v>17</v>
      </c>
      <c r="AB966">
        <v>17</v>
      </c>
      <c r="AC966">
        <v>17.3</v>
      </c>
      <c r="AD966">
        <v>0</v>
      </c>
      <c r="AE966">
        <v>0</v>
      </c>
      <c r="AF966">
        <v>17.5471</v>
      </c>
      <c r="AG966">
        <v>187</v>
      </c>
      <c r="AH966">
        <v>0</v>
      </c>
    </row>
    <row r="967" spans="1:34" x14ac:dyDescent="0.35">
      <c r="A967" t="s">
        <v>34</v>
      </c>
      <c r="B967" s="1">
        <v>46146.65625</v>
      </c>
      <c r="C967" t="s">
        <v>34</v>
      </c>
      <c r="D967" s="1">
        <v>46149.625</v>
      </c>
      <c r="E967">
        <v>7135</v>
      </c>
      <c r="F967" t="s">
        <v>36</v>
      </c>
      <c r="G967">
        <v>16.2</v>
      </c>
      <c r="H967">
        <v>24.35</v>
      </c>
      <c r="I967">
        <v>9.02</v>
      </c>
      <c r="J967">
        <v>18.12</v>
      </c>
      <c r="K967">
        <v>150</v>
      </c>
      <c r="L967">
        <v>25</v>
      </c>
      <c r="M967">
        <v>18.600000000000001</v>
      </c>
      <c r="N967">
        <v>3</v>
      </c>
      <c r="O967">
        <v>18.8</v>
      </c>
      <c r="P967">
        <v>0</v>
      </c>
      <c r="Q967">
        <v>0</v>
      </c>
      <c r="R967">
        <v>0</v>
      </c>
      <c r="S967">
        <v>0</v>
      </c>
      <c r="T967">
        <v>0.17180000000000001</v>
      </c>
      <c r="U967">
        <v>-0.2707</v>
      </c>
      <c r="V967">
        <v>2.8999999999999998E-3</v>
      </c>
      <c r="W967">
        <v>-6.5125000000000002</v>
      </c>
      <c r="X967">
        <v>2.1825999999999999</v>
      </c>
      <c r="Y967">
        <v>-0.1613</v>
      </c>
      <c r="Z967">
        <v>11</v>
      </c>
      <c r="AA967">
        <v>18.100000000000001</v>
      </c>
      <c r="AB967">
        <v>10</v>
      </c>
      <c r="AC967">
        <v>18.3</v>
      </c>
      <c r="AD967">
        <v>0</v>
      </c>
      <c r="AE967">
        <v>0</v>
      </c>
      <c r="AF967">
        <v>17.854299999999999</v>
      </c>
      <c r="AG967">
        <v>115</v>
      </c>
      <c r="AH967">
        <v>0</v>
      </c>
    </row>
    <row r="968" spans="1:34" x14ac:dyDescent="0.35">
      <c r="A968" t="s">
        <v>34</v>
      </c>
      <c r="B968" s="1">
        <v>46146.65625</v>
      </c>
      <c r="C968" t="s">
        <v>34</v>
      </c>
      <c r="D968" s="1">
        <v>46149.625</v>
      </c>
      <c r="E968">
        <v>7140</v>
      </c>
      <c r="F968" t="s">
        <v>36</v>
      </c>
      <c r="G968">
        <v>15.89</v>
      </c>
      <c r="H968">
        <v>27</v>
      </c>
      <c r="I968">
        <v>9.69</v>
      </c>
      <c r="J968">
        <v>19.72</v>
      </c>
      <c r="K968">
        <v>168</v>
      </c>
      <c r="L968">
        <v>19</v>
      </c>
      <c r="M968">
        <v>19.7</v>
      </c>
      <c r="N968">
        <v>17</v>
      </c>
      <c r="O968">
        <v>19.899999999999999</v>
      </c>
      <c r="P968">
        <v>0</v>
      </c>
      <c r="Q968">
        <v>0</v>
      </c>
      <c r="R968">
        <v>0</v>
      </c>
      <c r="S968">
        <v>0</v>
      </c>
      <c r="T968">
        <v>0.1701</v>
      </c>
      <c r="U968">
        <v>-0.28389999999999999</v>
      </c>
      <c r="V968">
        <v>3.0000000000000001E-3</v>
      </c>
      <c r="W968">
        <v>-6.6380999999999997</v>
      </c>
      <c r="X968">
        <v>2.2322000000000002</v>
      </c>
      <c r="Y968">
        <v>-0.16930000000000001</v>
      </c>
      <c r="Z968">
        <v>22</v>
      </c>
      <c r="AA968">
        <v>19.100000000000001</v>
      </c>
      <c r="AB968">
        <v>10</v>
      </c>
      <c r="AC968">
        <v>19.399999999999999</v>
      </c>
      <c r="AD968">
        <v>0</v>
      </c>
      <c r="AE968">
        <v>0</v>
      </c>
      <c r="AF968">
        <v>16.962199999999999</v>
      </c>
      <c r="AG968">
        <v>258</v>
      </c>
      <c r="AH968">
        <v>0</v>
      </c>
    </row>
    <row r="969" spans="1:34" x14ac:dyDescent="0.35">
      <c r="A969" t="s">
        <v>34</v>
      </c>
      <c r="B969" s="1">
        <v>46146.65625</v>
      </c>
      <c r="C969" t="s">
        <v>34</v>
      </c>
      <c r="D969" s="1">
        <v>46149.625</v>
      </c>
      <c r="E969">
        <v>7145</v>
      </c>
      <c r="F969" t="s">
        <v>36</v>
      </c>
      <c r="G969">
        <v>16.809999999999999</v>
      </c>
      <c r="H969">
        <v>37</v>
      </c>
      <c r="I969">
        <v>10.07</v>
      </c>
      <c r="J969">
        <v>20.9</v>
      </c>
      <c r="K969">
        <v>232</v>
      </c>
      <c r="L969">
        <v>15</v>
      </c>
      <c r="M969">
        <v>20.8</v>
      </c>
      <c r="N969">
        <v>17</v>
      </c>
      <c r="O969">
        <v>21</v>
      </c>
      <c r="P969">
        <v>0</v>
      </c>
      <c r="Q969">
        <v>0</v>
      </c>
      <c r="R969">
        <v>0</v>
      </c>
      <c r="S969">
        <v>0</v>
      </c>
      <c r="T969">
        <v>0.16850000000000001</v>
      </c>
      <c r="U969">
        <v>-0.29759999999999998</v>
      </c>
      <c r="V969">
        <v>3.0999999999999999E-3</v>
      </c>
      <c r="W969">
        <v>-6.7530000000000001</v>
      </c>
      <c r="X969">
        <v>2.2805</v>
      </c>
      <c r="Y969">
        <v>-0.17760000000000001</v>
      </c>
      <c r="Z969">
        <v>17</v>
      </c>
      <c r="AA969">
        <v>20.3</v>
      </c>
      <c r="AB969">
        <v>24</v>
      </c>
      <c r="AC969">
        <v>20.6</v>
      </c>
      <c r="AD969">
        <v>0</v>
      </c>
      <c r="AE969">
        <v>0</v>
      </c>
      <c r="AF969">
        <v>20.597799999999999</v>
      </c>
      <c r="AG969">
        <v>151</v>
      </c>
      <c r="AH969">
        <v>0</v>
      </c>
    </row>
    <row r="970" spans="1:34" x14ac:dyDescent="0.35">
      <c r="A970" t="s">
        <v>34</v>
      </c>
      <c r="B970" s="1">
        <v>46146.65625</v>
      </c>
      <c r="C970" t="s">
        <v>34</v>
      </c>
      <c r="D970" s="1">
        <v>46149.625</v>
      </c>
      <c r="E970">
        <v>7150</v>
      </c>
      <c r="F970" t="s">
        <v>36</v>
      </c>
      <c r="G970">
        <v>17.73</v>
      </c>
      <c r="H970">
        <v>33.299999999999997</v>
      </c>
      <c r="I970">
        <v>10.8</v>
      </c>
      <c r="J970">
        <v>22.12</v>
      </c>
      <c r="K970">
        <v>269</v>
      </c>
      <c r="L970">
        <v>18</v>
      </c>
      <c r="M970">
        <v>21.9</v>
      </c>
      <c r="N970">
        <v>49</v>
      </c>
      <c r="O970">
        <v>22.2</v>
      </c>
      <c r="P970">
        <v>0</v>
      </c>
      <c r="Q970">
        <v>0</v>
      </c>
      <c r="R970">
        <v>0</v>
      </c>
      <c r="S970">
        <v>0</v>
      </c>
      <c r="T970">
        <v>0.16669999999999999</v>
      </c>
      <c r="U970">
        <v>-0.31180000000000002</v>
      </c>
      <c r="V970">
        <v>3.2000000000000002E-3</v>
      </c>
      <c r="W970">
        <v>-6.8562000000000003</v>
      </c>
      <c r="X970">
        <v>2.3262</v>
      </c>
      <c r="Y970">
        <v>-0.1862</v>
      </c>
      <c r="Z970">
        <v>17</v>
      </c>
      <c r="AA970">
        <v>21.5</v>
      </c>
      <c r="AB970">
        <v>28</v>
      </c>
      <c r="AC970">
        <v>21.8</v>
      </c>
      <c r="AD970">
        <v>0</v>
      </c>
      <c r="AE970">
        <v>0</v>
      </c>
      <c r="AF970">
        <v>21.665099999999999</v>
      </c>
      <c r="AG970">
        <v>3683</v>
      </c>
      <c r="AH970">
        <v>0</v>
      </c>
    </row>
    <row r="971" spans="1:34" x14ac:dyDescent="0.35">
      <c r="A971" t="s">
        <v>34</v>
      </c>
      <c r="B971" s="1">
        <v>46146.65625</v>
      </c>
      <c r="C971" t="s">
        <v>34</v>
      </c>
      <c r="D971" s="1">
        <v>46149.625</v>
      </c>
      <c r="E971">
        <v>7155</v>
      </c>
      <c r="F971" t="s">
        <v>36</v>
      </c>
      <c r="G971">
        <v>18.97</v>
      </c>
      <c r="H971">
        <v>35.869999999999997</v>
      </c>
      <c r="I971">
        <v>11.37</v>
      </c>
      <c r="J971">
        <v>22.6</v>
      </c>
      <c r="K971">
        <v>196</v>
      </c>
      <c r="L971">
        <v>18</v>
      </c>
      <c r="M971">
        <v>23.1</v>
      </c>
      <c r="N971">
        <v>16</v>
      </c>
      <c r="O971">
        <v>23.4</v>
      </c>
      <c r="P971">
        <v>0</v>
      </c>
      <c r="Q971">
        <v>0</v>
      </c>
      <c r="R971">
        <v>0</v>
      </c>
      <c r="S971">
        <v>0</v>
      </c>
      <c r="T971">
        <v>0.16489999999999999</v>
      </c>
      <c r="U971">
        <v>-0.32650000000000001</v>
      </c>
      <c r="V971">
        <v>3.3E-3</v>
      </c>
      <c r="W971">
        <v>-6.9461000000000004</v>
      </c>
      <c r="X971">
        <v>2.3692000000000002</v>
      </c>
      <c r="Y971">
        <v>-0.19489999999999999</v>
      </c>
      <c r="Z971">
        <v>22</v>
      </c>
      <c r="AA971">
        <v>22.7</v>
      </c>
      <c r="AB971">
        <v>9</v>
      </c>
      <c r="AC971">
        <v>23</v>
      </c>
      <c r="AD971">
        <v>0</v>
      </c>
      <c r="AE971">
        <v>0</v>
      </c>
      <c r="AF971">
        <v>20.553100000000001</v>
      </c>
      <c r="AG971">
        <v>87</v>
      </c>
      <c r="AH971">
        <v>0</v>
      </c>
    </row>
    <row r="972" spans="1:34" x14ac:dyDescent="0.35">
      <c r="A972" t="s">
        <v>34</v>
      </c>
      <c r="B972" s="1">
        <v>46146.65625</v>
      </c>
      <c r="C972" t="s">
        <v>34</v>
      </c>
      <c r="D972" s="1">
        <v>46149.625</v>
      </c>
      <c r="E972">
        <v>7160</v>
      </c>
      <c r="F972" t="s">
        <v>36</v>
      </c>
      <c r="G972">
        <v>20.67</v>
      </c>
      <c r="H972">
        <v>36.700000000000003</v>
      </c>
      <c r="I972">
        <v>12</v>
      </c>
      <c r="J972">
        <v>22.69</v>
      </c>
      <c r="K972">
        <v>1344</v>
      </c>
      <c r="L972">
        <v>17</v>
      </c>
      <c r="M972">
        <v>24.4</v>
      </c>
      <c r="N972">
        <v>40</v>
      </c>
      <c r="O972">
        <v>24.7</v>
      </c>
      <c r="P972">
        <v>0</v>
      </c>
      <c r="Q972">
        <v>0</v>
      </c>
      <c r="R972">
        <v>0</v>
      </c>
      <c r="S972">
        <v>0</v>
      </c>
      <c r="T972">
        <v>0.16309999999999999</v>
      </c>
      <c r="U972">
        <v>-0.3417</v>
      </c>
      <c r="V972">
        <v>3.3999999999999998E-3</v>
      </c>
      <c r="W972">
        <v>-7.0213000000000001</v>
      </c>
      <c r="X972">
        <v>2.4102000000000001</v>
      </c>
      <c r="Y972">
        <v>-0.20399999999999999</v>
      </c>
      <c r="Z972">
        <v>11</v>
      </c>
      <c r="AA972">
        <v>24.1</v>
      </c>
      <c r="AB972">
        <v>24</v>
      </c>
      <c r="AC972">
        <v>24.4</v>
      </c>
      <c r="AD972">
        <v>0</v>
      </c>
      <c r="AE972">
        <v>0</v>
      </c>
      <c r="AF972">
        <v>24.341999999999999</v>
      </c>
      <c r="AG972">
        <v>236</v>
      </c>
      <c r="AH972">
        <v>0</v>
      </c>
    </row>
    <row r="973" spans="1:34" x14ac:dyDescent="0.35">
      <c r="A973" t="s">
        <v>34</v>
      </c>
      <c r="B973" s="1">
        <v>46146.65625</v>
      </c>
      <c r="C973" t="s">
        <v>34</v>
      </c>
      <c r="D973" s="1">
        <v>46149.625</v>
      </c>
      <c r="E973">
        <v>7165</v>
      </c>
      <c r="F973" t="s">
        <v>36</v>
      </c>
      <c r="G973">
        <v>18.21</v>
      </c>
      <c r="H973">
        <v>40.4</v>
      </c>
      <c r="I973">
        <v>13.39</v>
      </c>
      <c r="J973">
        <v>26.15</v>
      </c>
      <c r="K973">
        <v>266</v>
      </c>
      <c r="L973">
        <v>16</v>
      </c>
      <c r="M973">
        <v>25.7</v>
      </c>
      <c r="N973">
        <v>14</v>
      </c>
      <c r="O973">
        <v>26</v>
      </c>
      <c r="P973">
        <v>0</v>
      </c>
      <c r="Q973">
        <v>0</v>
      </c>
      <c r="R973">
        <v>0</v>
      </c>
      <c r="S973">
        <v>0</v>
      </c>
      <c r="T973">
        <v>0.1613</v>
      </c>
      <c r="U973">
        <v>-0.35770000000000002</v>
      </c>
      <c r="V973">
        <v>3.5000000000000001E-3</v>
      </c>
      <c r="W973">
        <v>-7.09</v>
      </c>
      <c r="X973">
        <v>2.4493</v>
      </c>
      <c r="Y973">
        <v>-0.21379999999999999</v>
      </c>
      <c r="Z973">
        <v>11</v>
      </c>
      <c r="AA973">
        <v>25.5</v>
      </c>
      <c r="AB973">
        <v>24</v>
      </c>
      <c r="AC973">
        <v>25.8</v>
      </c>
      <c r="AD973">
        <v>0</v>
      </c>
      <c r="AE973">
        <v>0</v>
      </c>
      <c r="AF973">
        <v>31.133199999999999</v>
      </c>
      <c r="AG973">
        <v>169</v>
      </c>
      <c r="AH973">
        <v>0</v>
      </c>
    </row>
    <row r="974" spans="1:34" x14ac:dyDescent="0.35">
      <c r="A974" t="s">
        <v>34</v>
      </c>
      <c r="B974" s="1">
        <v>46146.65625</v>
      </c>
      <c r="C974" t="s">
        <v>34</v>
      </c>
      <c r="D974" s="1">
        <v>46149.625</v>
      </c>
      <c r="E974">
        <v>7170</v>
      </c>
      <c r="F974" t="s">
        <v>36</v>
      </c>
      <c r="G974">
        <v>22.4</v>
      </c>
      <c r="H974">
        <v>38.700000000000003</v>
      </c>
      <c r="I974">
        <v>14.1</v>
      </c>
      <c r="J974">
        <v>26.95</v>
      </c>
      <c r="K974">
        <v>372</v>
      </c>
      <c r="L974">
        <v>18</v>
      </c>
      <c r="M974">
        <v>27.1</v>
      </c>
      <c r="N974">
        <v>14</v>
      </c>
      <c r="O974">
        <v>27.4</v>
      </c>
      <c r="P974">
        <v>0</v>
      </c>
      <c r="Q974">
        <v>0</v>
      </c>
      <c r="R974">
        <v>0</v>
      </c>
      <c r="S974">
        <v>0</v>
      </c>
      <c r="T974">
        <v>0.1595</v>
      </c>
      <c r="U974">
        <v>-0.37419999999999998</v>
      </c>
      <c r="V974">
        <v>3.5999999999999999E-3</v>
      </c>
      <c r="W974">
        <v>-7.1393000000000004</v>
      </c>
      <c r="X974">
        <v>2.4849000000000001</v>
      </c>
      <c r="Y974">
        <v>-0.2238</v>
      </c>
      <c r="Z974">
        <v>21</v>
      </c>
      <c r="AA974">
        <v>26.9</v>
      </c>
      <c r="AB974">
        <v>8</v>
      </c>
      <c r="AC974">
        <v>27.2</v>
      </c>
      <c r="AD974">
        <v>0</v>
      </c>
      <c r="AE974">
        <v>0</v>
      </c>
      <c r="AF974">
        <v>26.484100000000002</v>
      </c>
      <c r="AG974">
        <v>309</v>
      </c>
      <c r="AH974">
        <v>0</v>
      </c>
    </row>
    <row r="975" spans="1:34" x14ac:dyDescent="0.35">
      <c r="A975" t="s">
        <v>34</v>
      </c>
      <c r="B975" s="1">
        <v>46146.65625</v>
      </c>
      <c r="C975" t="s">
        <v>34</v>
      </c>
      <c r="D975" s="1">
        <v>46149.625</v>
      </c>
      <c r="E975">
        <v>7175</v>
      </c>
      <c r="F975" t="s">
        <v>36</v>
      </c>
      <c r="G975">
        <v>21.6</v>
      </c>
      <c r="H975">
        <v>43.9</v>
      </c>
      <c r="I975">
        <v>14.36</v>
      </c>
      <c r="J975">
        <v>29.3</v>
      </c>
      <c r="K975">
        <v>277</v>
      </c>
      <c r="L975">
        <v>15</v>
      </c>
      <c r="M975">
        <v>28.6</v>
      </c>
      <c r="N975">
        <v>19</v>
      </c>
      <c r="O975">
        <v>28.9</v>
      </c>
      <c r="P975">
        <v>0</v>
      </c>
      <c r="Q975">
        <v>0</v>
      </c>
      <c r="R975">
        <v>0</v>
      </c>
      <c r="S975">
        <v>0</v>
      </c>
      <c r="T975">
        <v>0.15770000000000001</v>
      </c>
      <c r="U975">
        <v>-0.39129999999999998</v>
      </c>
      <c r="V975">
        <v>3.7000000000000002E-3</v>
      </c>
      <c r="W975">
        <v>-7.1779000000000002</v>
      </c>
      <c r="X975">
        <v>2.5165999999999999</v>
      </c>
      <c r="Y975">
        <v>-0.23400000000000001</v>
      </c>
      <c r="Z975">
        <v>10</v>
      </c>
      <c r="AA975">
        <v>28.5</v>
      </c>
      <c r="AB975">
        <v>17</v>
      </c>
      <c r="AC975">
        <v>28.8</v>
      </c>
      <c r="AD975">
        <v>0</v>
      </c>
      <c r="AE975">
        <v>0</v>
      </c>
      <c r="AF975">
        <v>26.6768</v>
      </c>
      <c r="AG975">
        <v>187</v>
      </c>
      <c r="AH975">
        <v>0</v>
      </c>
    </row>
    <row r="976" spans="1:34" x14ac:dyDescent="0.35">
      <c r="A976" t="s">
        <v>34</v>
      </c>
      <c r="B976" s="1">
        <v>46146.65625</v>
      </c>
      <c r="C976" t="s">
        <v>34</v>
      </c>
      <c r="D976" s="1">
        <v>46149.625</v>
      </c>
      <c r="E976">
        <v>7180</v>
      </c>
      <c r="F976" t="s">
        <v>36</v>
      </c>
      <c r="G976">
        <v>24.88</v>
      </c>
      <c r="H976">
        <v>45.8</v>
      </c>
      <c r="I976">
        <v>15.2</v>
      </c>
      <c r="J976">
        <v>31.06</v>
      </c>
      <c r="K976">
        <v>430</v>
      </c>
      <c r="L976">
        <v>14</v>
      </c>
      <c r="M976">
        <v>30.2</v>
      </c>
      <c r="N976">
        <v>7</v>
      </c>
      <c r="O976">
        <v>30.4</v>
      </c>
      <c r="P976">
        <v>0</v>
      </c>
      <c r="Q976">
        <v>0</v>
      </c>
      <c r="R976">
        <v>0</v>
      </c>
      <c r="S976">
        <v>0</v>
      </c>
      <c r="T976">
        <v>0.15590000000000001</v>
      </c>
      <c r="U976">
        <v>-0.40899999999999997</v>
      </c>
      <c r="V976">
        <v>3.8E-3</v>
      </c>
      <c r="W976">
        <v>-7.1938000000000004</v>
      </c>
      <c r="X976">
        <v>2.5442999999999998</v>
      </c>
      <c r="Y976">
        <v>-0.24460000000000001</v>
      </c>
      <c r="Z976">
        <v>10</v>
      </c>
      <c r="AA976">
        <v>30.1</v>
      </c>
      <c r="AB976">
        <v>17</v>
      </c>
      <c r="AC976">
        <v>30.4</v>
      </c>
      <c r="AD976">
        <v>0</v>
      </c>
      <c r="AE976">
        <v>0</v>
      </c>
      <c r="AF976">
        <v>35.237299999999998</v>
      </c>
      <c r="AG976">
        <v>152</v>
      </c>
      <c r="AH976">
        <v>0</v>
      </c>
    </row>
    <row r="977" spans="1:34" x14ac:dyDescent="0.35">
      <c r="A977" t="s">
        <v>34</v>
      </c>
      <c r="B977" s="1">
        <v>46146.65625</v>
      </c>
      <c r="C977" t="s">
        <v>34</v>
      </c>
      <c r="D977" s="1">
        <v>46149.625</v>
      </c>
      <c r="E977">
        <v>7185</v>
      </c>
      <c r="F977" t="s">
        <v>36</v>
      </c>
      <c r="G977">
        <v>23.03</v>
      </c>
      <c r="H977">
        <v>47.08</v>
      </c>
      <c r="I977">
        <v>16.2</v>
      </c>
      <c r="J977">
        <v>33</v>
      </c>
      <c r="K977">
        <v>315</v>
      </c>
      <c r="L977">
        <v>13</v>
      </c>
      <c r="M977">
        <v>31.8</v>
      </c>
      <c r="N977">
        <v>13</v>
      </c>
      <c r="O977">
        <v>32.1</v>
      </c>
      <c r="P977">
        <v>0</v>
      </c>
      <c r="Q977">
        <v>0</v>
      </c>
      <c r="R977">
        <v>0</v>
      </c>
      <c r="S977">
        <v>0</v>
      </c>
      <c r="T977">
        <v>0.154</v>
      </c>
      <c r="U977">
        <v>-0.42730000000000001</v>
      </c>
      <c r="V977">
        <v>3.8999999999999998E-3</v>
      </c>
      <c r="W977">
        <v>-7.1948999999999996</v>
      </c>
      <c r="X977">
        <v>2.5682</v>
      </c>
      <c r="Y977">
        <v>-0.25569999999999998</v>
      </c>
      <c r="Z977">
        <v>15</v>
      </c>
      <c r="AA977">
        <v>31.8</v>
      </c>
      <c r="AB977">
        <v>7</v>
      </c>
      <c r="AC977">
        <v>32.1</v>
      </c>
      <c r="AD977">
        <v>0</v>
      </c>
      <c r="AE977">
        <v>0</v>
      </c>
      <c r="AF977">
        <v>36.890300000000003</v>
      </c>
      <c r="AG977">
        <v>41</v>
      </c>
      <c r="AH977">
        <v>0</v>
      </c>
    </row>
    <row r="978" spans="1:34" x14ac:dyDescent="0.35">
      <c r="A978" t="s">
        <v>34</v>
      </c>
      <c r="B978" s="1">
        <v>46146.65625</v>
      </c>
      <c r="C978" t="s">
        <v>34</v>
      </c>
      <c r="D978" s="1">
        <v>46149.625</v>
      </c>
      <c r="E978">
        <v>7190</v>
      </c>
      <c r="F978" t="s">
        <v>36</v>
      </c>
      <c r="G978">
        <v>27.34</v>
      </c>
      <c r="H978">
        <v>49.28</v>
      </c>
      <c r="I978">
        <v>17.29</v>
      </c>
      <c r="J978">
        <v>33.4</v>
      </c>
      <c r="K978">
        <v>322</v>
      </c>
      <c r="L978">
        <v>16</v>
      </c>
      <c r="M978">
        <v>33.5</v>
      </c>
      <c r="N978">
        <v>7</v>
      </c>
      <c r="O978">
        <v>33.799999999999997</v>
      </c>
      <c r="P978">
        <v>0</v>
      </c>
      <c r="Q978">
        <v>0</v>
      </c>
      <c r="R978">
        <v>0</v>
      </c>
      <c r="S978">
        <v>0</v>
      </c>
      <c r="T978">
        <v>0.15210000000000001</v>
      </c>
      <c r="U978">
        <v>-0.4461</v>
      </c>
      <c r="V978">
        <v>4.0000000000000001E-3</v>
      </c>
      <c r="W978">
        <v>-7.1688999999999998</v>
      </c>
      <c r="X978">
        <v>2.5870000000000002</v>
      </c>
      <c r="Y978">
        <v>-0.26719999999999999</v>
      </c>
      <c r="Z978">
        <v>11</v>
      </c>
      <c r="AA978">
        <v>33.6</v>
      </c>
      <c r="AB978">
        <v>7</v>
      </c>
      <c r="AC978">
        <v>33.9</v>
      </c>
      <c r="AD978">
        <v>0</v>
      </c>
      <c r="AE978">
        <v>0</v>
      </c>
      <c r="AF978">
        <v>34.783799999999999</v>
      </c>
      <c r="AG978">
        <v>215</v>
      </c>
      <c r="AH978">
        <v>0</v>
      </c>
    </row>
    <row r="979" spans="1:34" x14ac:dyDescent="0.35">
      <c r="A979" t="s">
        <v>34</v>
      </c>
      <c r="B979" s="1">
        <v>46146.65625</v>
      </c>
      <c r="C979" t="s">
        <v>34</v>
      </c>
      <c r="D979" s="1">
        <v>46149.625</v>
      </c>
      <c r="E979">
        <v>7195</v>
      </c>
      <c r="F979" t="s">
        <v>36</v>
      </c>
      <c r="G979">
        <v>29.3</v>
      </c>
      <c r="H979">
        <v>53.02</v>
      </c>
      <c r="I979">
        <v>18.29</v>
      </c>
      <c r="J979">
        <v>35.380000000000003</v>
      </c>
      <c r="K979">
        <v>579</v>
      </c>
      <c r="L979">
        <v>16</v>
      </c>
      <c r="M979">
        <v>35.299999999999997</v>
      </c>
      <c r="N979">
        <v>6</v>
      </c>
      <c r="O979">
        <v>35.6</v>
      </c>
      <c r="P979">
        <v>0</v>
      </c>
      <c r="Q979">
        <v>0</v>
      </c>
      <c r="R979">
        <v>0</v>
      </c>
      <c r="S979">
        <v>0</v>
      </c>
      <c r="T979">
        <v>0.15010000000000001</v>
      </c>
      <c r="U979">
        <v>-0.46560000000000001</v>
      </c>
      <c r="V979">
        <v>4.0000000000000001E-3</v>
      </c>
      <c r="W979">
        <v>-7.1241000000000003</v>
      </c>
      <c r="X979">
        <v>2.6002999999999998</v>
      </c>
      <c r="Y979">
        <v>-0.27879999999999999</v>
      </c>
      <c r="Z979">
        <v>9</v>
      </c>
      <c r="AA979">
        <v>35.5</v>
      </c>
      <c r="AB979">
        <v>15</v>
      </c>
      <c r="AC979">
        <v>35.799999999999997</v>
      </c>
      <c r="AD979">
        <v>0</v>
      </c>
      <c r="AE979">
        <v>0</v>
      </c>
      <c r="AF979">
        <v>38.063699999999997</v>
      </c>
      <c r="AG979">
        <v>122</v>
      </c>
      <c r="AH979">
        <v>0</v>
      </c>
    </row>
    <row r="980" spans="1:34" x14ac:dyDescent="0.35">
      <c r="A980" t="s">
        <v>34</v>
      </c>
      <c r="B980" s="1">
        <v>46146.65625</v>
      </c>
      <c r="C980" t="s">
        <v>34</v>
      </c>
      <c r="D980" s="1">
        <v>46149.625</v>
      </c>
      <c r="E980">
        <v>7200</v>
      </c>
      <c r="F980" t="s">
        <v>36</v>
      </c>
      <c r="G980">
        <v>29.48</v>
      </c>
      <c r="H980">
        <v>56.34</v>
      </c>
      <c r="I980">
        <v>19.27</v>
      </c>
      <c r="J980">
        <v>37.44</v>
      </c>
      <c r="K980">
        <v>720</v>
      </c>
      <c r="L980">
        <v>10</v>
      </c>
      <c r="M980">
        <v>37.299999999999997</v>
      </c>
      <c r="N980">
        <v>17</v>
      </c>
      <c r="O980">
        <v>37.6</v>
      </c>
      <c r="P980">
        <v>0</v>
      </c>
      <c r="Q980">
        <v>0</v>
      </c>
      <c r="R980">
        <v>0</v>
      </c>
      <c r="S980">
        <v>0</v>
      </c>
      <c r="T980">
        <v>0.1482</v>
      </c>
      <c r="U980">
        <v>-0.48559999999999998</v>
      </c>
      <c r="V980">
        <v>4.1000000000000003E-3</v>
      </c>
      <c r="W980">
        <v>-7.0586000000000002</v>
      </c>
      <c r="X980">
        <v>2.6080000000000001</v>
      </c>
      <c r="Y980">
        <v>-0.2908</v>
      </c>
      <c r="Z980">
        <v>8</v>
      </c>
      <c r="AA980">
        <v>37.5</v>
      </c>
      <c r="AB980">
        <v>18</v>
      </c>
      <c r="AC980">
        <v>37.799999999999997</v>
      </c>
      <c r="AD980">
        <v>0</v>
      </c>
      <c r="AE980">
        <v>0</v>
      </c>
      <c r="AF980">
        <v>36.000900000000001</v>
      </c>
      <c r="AG980">
        <v>530</v>
      </c>
      <c r="AH980">
        <v>0</v>
      </c>
    </row>
    <row r="981" spans="1:34" x14ac:dyDescent="0.35">
      <c r="A981" t="s">
        <v>34</v>
      </c>
      <c r="B981" s="1">
        <v>46146.65625</v>
      </c>
      <c r="C981" t="s">
        <v>34</v>
      </c>
      <c r="D981" s="1">
        <v>46149.625</v>
      </c>
      <c r="E981">
        <v>7205</v>
      </c>
      <c r="F981" t="s">
        <v>36</v>
      </c>
      <c r="G981">
        <v>31.05</v>
      </c>
      <c r="H981">
        <v>49.3</v>
      </c>
      <c r="I981">
        <v>23.47</v>
      </c>
      <c r="J981">
        <v>39.5</v>
      </c>
      <c r="K981">
        <v>114</v>
      </c>
      <c r="L981">
        <v>12</v>
      </c>
      <c r="M981">
        <v>39.299999999999997</v>
      </c>
      <c r="N981">
        <v>8</v>
      </c>
      <c r="O981">
        <v>39.6</v>
      </c>
      <c r="P981">
        <v>0</v>
      </c>
      <c r="Q981">
        <v>0</v>
      </c>
      <c r="R981">
        <v>0</v>
      </c>
      <c r="S981">
        <v>0</v>
      </c>
      <c r="T981">
        <v>0.1462</v>
      </c>
      <c r="U981">
        <v>-0.50619999999999998</v>
      </c>
      <c r="V981">
        <v>4.1999999999999997E-3</v>
      </c>
      <c r="W981">
        <v>-6.9701000000000004</v>
      </c>
      <c r="X981">
        <v>2.6093000000000002</v>
      </c>
      <c r="Y981">
        <v>-0.3034</v>
      </c>
      <c r="Z981">
        <v>9</v>
      </c>
      <c r="AA981">
        <v>39.6</v>
      </c>
      <c r="AB981">
        <v>7</v>
      </c>
      <c r="AC981">
        <v>39.9</v>
      </c>
      <c r="AD981">
        <v>0</v>
      </c>
      <c r="AE981">
        <v>0</v>
      </c>
      <c r="AF981">
        <v>39.190600000000003</v>
      </c>
      <c r="AG981">
        <v>129</v>
      </c>
      <c r="AH981">
        <v>0</v>
      </c>
    </row>
    <row r="982" spans="1:34" x14ac:dyDescent="0.35">
      <c r="A982" t="s">
        <v>34</v>
      </c>
      <c r="B982" s="1">
        <v>46146.65625</v>
      </c>
      <c r="C982" t="s">
        <v>34</v>
      </c>
      <c r="D982" s="1">
        <v>46149.625</v>
      </c>
      <c r="E982">
        <v>7210</v>
      </c>
      <c r="F982" t="s">
        <v>36</v>
      </c>
      <c r="G982">
        <v>34.090000000000003</v>
      </c>
      <c r="H982">
        <v>61.76</v>
      </c>
      <c r="I982">
        <v>24.07</v>
      </c>
      <c r="J982">
        <v>41.73</v>
      </c>
      <c r="K982">
        <v>111</v>
      </c>
      <c r="L982">
        <v>12</v>
      </c>
      <c r="M982">
        <v>41.4</v>
      </c>
      <c r="N982">
        <v>6</v>
      </c>
      <c r="O982">
        <v>41.7</v>
      </c>
      <c r="P982">
        <v>0</v>
      </c>
      <c r="Q982">
        <v>0</v>
      </c>
      <c r="R982">
        <v>0</v>
      </c>
      <c r="S982">
        <v>0</v>
      </c>
      <c r="T982">
        <v>0.14449999999999999</v>
      </c>
      <c r="U982">
        <v>-0.5272</v>
      </c>
      <c r="V982">
        <v>4.1999999999999997E-3</v>
      </c>
      <c r="W982">
        <v>-6.8659999999999997</v>
      </c>
      <c r="X982">
        <v>2.6038999999999999</v>
      </c>
      <c r="Y982">
        <v>-0.31609999999999999</v>
      </c>
      <c r="Z982">
        <v>8</v>
      </c>
      <c r="AA982">
        <v>41.8</v>
      </c>
      <c r="AB982">
        <v>7</v>
      </c>
      <c r="AC982">
        <v>42.1</v>
      </c>
      <c r="AD982">
        <v>0</v>
      </c>
      <c r="AE982">
        <v>0</v>
      </c>
      <c r="AF982">
        <v>39.723100000000002</v>
      </c>
      <c r="AG982">
        <v>167</v>
      </c>
      <c r="AH982">
        <v>0</v>
      </c>
    </row>
    <row r="983" spans="1:34" x14ac:dyDescent="0.35">
      <c r="A983" t="s">
        <v>34</v>
      </c>
      <c r="B983" s="1">
        <v>46146.65625</v>
      </c>
      <c r="C983" t="s">
        <v>34</v>
      </c>
      <c r="D983" s="1">
        <v>46149.625</v>
      </c>
      <c r="E983">
        <v>7215</v>
      </c>
      <c r="F983" t="s">
        <v>36</v>
      </c>
      <c r="G983">
        <v>36.33</v>
      </c>
      <c r="H983">
        <v>64.36</v>
      </c>
      <c r="I983">
        <v>23.74</v>
      </c>
      <c r="J983">
        <v>44.9</v>
      </c>
      <c r="K983">
        <v>150</v>
      </c>
      <c r="L983">
        <v>12</v>
      </c>
      <c r="M983">
        <v>43.6</v>
      </c>
      <c r="N983">
        <v>6</v>
      </c>
      <c r="O983">
        <v>43.9</v>
      </c>
      <c r="P983">
        <v>0</v>
      </c>
      <c r="Q983">
        <v>0</v>
      </c>
      <c r="R983">
        <v>0</v>
      </c>
      <c r="S983">
        <v>0</v>
      </c>
      <c r="T983">
        <v>0.14269999999999999</v>
      </c>
      <c r="U983">
        <v>-0.54869999999999997</v>
      </c>
      <c r="V983">
        <v>4.1999999999999997E-3</v>
      </c>
      <c r="W983">
        <v>-6.7366999999999999</v>
      </c>
      <c r="X983">
        <v>2.5914000000000001</v>
      </c>
      <c r="Y983">
        <v>-0.32890000000000003</v>
      </c>
      <c r="Z983">
        <v>8</v>
      </c>
      <c r="AA983">
        <v>44.1</v>
      </c>
      <c r="AB983">
        <v>7</v>
      </c>
      <c r="AC983">
        <v>44.4</v>
      </c>
      <c r="AD983">
        <v>0</v>
      </c>
      <c r="AE983">
        <v>0</v>
      </c>
      <c r="AF983">
        <v>38.220199999999998</v>
      </c>
      <c r="AG983">
        <v>111</v>
      </c>
      <c r="AH983">
        <v>0</v>
      </c>
    </row>
    <row r="984" spans="1:34" x14ac:dyDescent="0.35">
      <c r="A984" t="s">
        <v>34</v>
      </c>
      <c r="B984" s="1">
        <v>46146.65625</v>
      </c>
      <c r="C984" t="s">
        <v>34</v>
      </c>
      <c r="D984" s="1">
        <v>46149.625</v>
      </c>
      <c r="E984">
        <v>7220</v>
      </c>
      <c r="F984" t="s">
        <v>36</v>
      </c>
      <c r="G984">
        <v>38.1</v>
      </c>
      <c r="H984">
        <v>67.790000000000006</v>
      </c>
      <c r="I984">
        <v>24.77</v>
      </c>
      <c r="J984">
        <v>46.83</v>
      </c>
      <c r="K984">
        <v>335</v>
      </c>
      <c r="L984">
        <v>11</v>
      </c>
      <c r="M984">
        <v>46</v>
      </c>
      <c r="N984">
        <v>6</v>
      </c>
      <c r="O984">
        <v>46.3</v>
      </c>
      <c r="P984">
        <v>0</v>
      </c>
      <c r="Q984">
        <v>0</v>
      </c>
      <c r="R984">
        <v>0</v>
      </c>
      <c r="S984">
        <v>0</v>
      </c>
      <c r="T984">
        <v>0.14069999999999999</v>
      </c>
      <c r="U984">
        <v>-0.57079999999999997</v>
      </c>
      <c r="V984">
        <v>4.3E-3</v>
      </c>
      <c r="W984">
        <v>-6.5712999999999999</v>
      </c>
      <c r="X984">
        <v>2.5708000000000002</v>
      </c>
      <c r="Y984">
        <v>-0.34239999999999998</v>
      </c>
      <c r="Z984">
        <v>7</v>
      </c>
      <c r="AA984">
        <v>46.5</v>
      </c>
      <c r="AB984">
        <v>6</v>
      </c>
      <c r="AC984">
        <v>46.8</v>
      </c>
      <c r="AD984">
        <v>0</v>
      </c>
      <c r="AE984">
        <v>0</v>
      </c>
      <c r="AF984">
        <v>36.738199999999999</v>
      </c>
      <c r="AG984">
        <v>73</v>
      </c>
      <c r="AH984">
        <v>0</v>
      </c>
    </row>
    <row r="985" spans="1:34" x14ac:dyDescent="0.35">
      <c r="A985" t="s">
        <v>34</v>
      </c>
      <c r="B985" s="1">
        <v>46146.65625</v>
      </c>
      <c r="C985" t="s">
        <v>34</v>
      </c>
      <c r="D985" s="1">
        <v>46149.625</v>
      </c>
      <c r="E985">
        <v>7225</v>
      </c>
      <c r="F985" t="s">
        <v>36</v>
      </c>
      <c r="G985">
        <v>38.58</v>
      </c>
      <c r="H985">
        <v>59.9</v>
      </c>
      <c r="I985">
        <v>26.4</v>
      </c>
      <c r="J985">
        <v>49.37</v>
      </c>
      <c r="K985">
        <v>414</v>
      </c>
      <c r="L985">
        <v>10</v>
      </c>
      <c r="M985">
        <v>48.5</v>
      </c>
      <c r="N985">
        <v>8</v>
      </c>
      <c r="O985">
        <v>48.8</v>
      </c>
      <c r="P985">
        <v>0</v>
      </c>
      <c r="Q985">
        <v>0</v>
      </c>
      <c r="R985">
        <v>0</v>
      </c>
      <c r="S985">
        <v>0</v>
      </c>
      <c r="T985">
        <v>0.1389</v>
      </c>
      <c r="U985">
        <v>-0.59299999999999997</v>
      </c>
      <c r="V985">
        <v>4.3E-3</v>
      </c>
      <c r="W985">
        <v>-6.3967999999999998</v>
      </c>
      <c r="X985">
        <v>2.5424000000000002</v>
      </c>
      <c r="Y985">
        <v>-0.35589999999999999</v>
      </c>
      <c r="Z985">
        <v>7</v>
      </c>
      <c r="AA985">
        <v>49.1</v>
      </c>
      <c r="AB985">
        <v>6</v>
      </c>
      <c r="AC985">
        <v>49.4</v>
      </c>
      <c r="AD985">
        <v>0</v>
      </c>
      <c r="AE985">
        <v>0</v>
      </c>
      <c r="AF985">
        <v>41.746000000000002</v>
      </c>
      <c r="AG985">
        <v>124</v>
      </c>
      <c r="AH985">
        <v>0</v>
      </c>
    </row>
    <row r="986" spans="1:34" x14ac:dyDescent="0.35">
      <c r="A986" t="s">
        <v>34</v>
      </c>
      <c r="B986" s="1">
        <v>46146.65625</v>
      </c>
      <c r="C986" t="s">
        <v>34</v>
      </c>
      <c r="D986" s="1">
        <v>46149.625</v>
      </c>
      <c r="E986">
        <v>7230</v>
      </c>
      <c r="F986" t="s">
        <v>36</v>
      </c>
      <c r="G986">
        <v>40.229999999999997</v>
      </c>
      <c r="H986">
        <v>61.95</v>
      </c>
      <c r="I986">
        <v>28.02</v>
      </c>
      <c r="J986">
        <v>52.69</v>
      </c>
      <c r="K986">
        <v>256</v>
      </c>
      <c r="L986">
        <v>2</v>
      </c>
      <c r="M986">
        <v>51.1</v>
      </c>
      <c r="N986">
        <v>7</v>
      </c>
      <c r="O986">
        <v>51.4</v>
      </c>
      <c r="P986">
        <v>0</v>
      </c>
      <c r="Q986">
        <v>0</v>
      </c>
      <c r="R986">
        <v>0</v>
      </c>
      <c r="S986">
        <v>0</v>
      </c>
      <c r="T986">
        <v>0.13719999999999999</v>
      </c>
      <c r="U986">
        <v>-0.61539999999999995</v>
      </c>
      <c r="V986">
        <v>4.1999999999999997E-3</v>
      </c>
      <c r="W986">
        <v>-6.1947000000000001</v>
      </c>
      <c r="X986">
        <v>2.5062000000000002</v>
      </c>
      <c r="Y986">
        <v>-0.36930000000000002</v>
      </c>
      <c r="Z986">
        <v>6</v>
      </c>
      <c r="AA986">
        <v>51.7</v>
      </c>
      <c r="AB986">
        <v>5</v>
      </c>
      <c r="AC986">
        <v>52</v>
      </c>
      <c r="AD986">
        <v>0</v>
      </c>
      <c r="AE986">
        <v>0</v>
      </c>
      <c r="AF986">
        <v>37.863300000000002</v>
      </c>
      <c r="AG986">
        <v>95</v>
      </c>
      <c r="AH986">
        <v>0</v>
      </c>
    </row>
    <row r="987" spans="1:34" x14ac:dyDescent="0.35">
      <c r="A987" t="s">
        <v>34</v>
      </c>
      <c r="B987" s="1">
        <v>46146.65625</v>
      </c>
      <c r="C987" t="s">
        <v>34</v>
      </c>
      <c r="D987" s="1">
        <v>46149.625</v>
      </c>
      <c r="E987">
        <v>7235</v>
      </c>
      <c r="F987" t="s">
        <v>36</v>
      </c>
      <c r="G987">
        <v>42.9</v>
      </c>
      <c r="H987">
        <v>65</v>
      </c>
      <c r="I987">
        <v>29.7</v>
      </c>
      <c r="J987">
        <v>55.89</v>
      </c>
      <c r="K987">
        <v>212</v>
      </c>
      <c r="L987">
        <v>6</v>
      </c>
      <c r="M987">
        <v>53.8</v>
      </c>
      <c r="N987">
        <v>6</v>
      </c>
      <c r="O987">
        <v>54.1</v>
      </c>
      <c r="P987">
        <v>0</v>
      </c>
      <c r="Q987">
        <v>0</v>
      </c>
      <c r="R987">
        <v>0</v>
      </c>
      <c r="S987">
        <v>0</v>
      </c>
      <c r="T987">
        <v>0.1353</v>
      </c>
      <c r="U987">
        <v>-0.63819999999999999</v>
      </c>
      <c r="V987">
        <v>4.1999999999999997E-3</v>
      </c>
      <c r="W987">
        <v>-5.9649999999999999</v>
      </c>
      <c r="X987">
        <v>2.4607000000000001</v>
      </c>
      <c r="Y987">
        <v>-0.3831</v>
      </c>
      <c r="Z987">
        <v>6</v>
      </c>
      <c r="AA987">
        <v>54.5</v>
      </c>
      <c r="AB987">
        <v>5</v>
      </c>
      <c r="AC987">
        <v>54.8</v>
      </c>
      <c r="AD987">
        <v>0</v>
      </c>
      <c r="AE987">
        <v>0</v>
      </c>
      <c r="AF987">
        <v>42.572200000000002</v>
      </c>
      <c r="AG987">
        <v>67</v>
      </c>
      <c r="AH987">
        <v>0</v>
      </c>
    </row>
    <row r="988" spans="1:34" x14ac:dyDescent="0.35">
      <c r="A988" t="s">
        <v>34</v>
      </c>
      <c r="B988" s="1">
        <v>46146.65625</v>
      </c>
      <c r="C988" t="s">
        <v>34</v>
      </c>
      <c r="D988" s="1">
        <v>46149.625</v>
      </c>
      <c r="E988">
        <v>7240</v>
      </c>
      <c r="F988" t="s">
        <v>36</v>
      </c>
      <c r="G988">
        <v>45.35</v>
      </c>
      <c r="H988">
        <v>72.7</v>
      </c>
      <c r="I988">
        <v>31.6</v>
      </c>
      <c r="J988">
        <v>57.12</v>
      </c>
      <c r="K988">
        <v>242</v>
      </c>
      <c r="L988">
        <v>5</v>
      </c>
      <c r="M988">
        <v>56.7</v>
      </c>
      <c r="N988">
        <v>3</v>
      </c>
      <c r="O988">
        <v>56.9</v>
      </c>
      <c r="P988">
        <v>0</v>
      </c>
      <c r="Q988">
        <v>0</v>
      </c>
      <c r="R988">
        <v>0</v>
      </c>
      <c r="S988">
        <v>0</v>
      </c>
      <c r="T988">
        <v>0.13339999999999999</v>
      </c>
      <c r="U988">
        <v>-0.66120000000000001</v>
      </c>
      <c r="V988">
        <v>4.1999999999999997E-3</v>
      </c>
      <c r="W988">
        <v>-5.7065000000000001</v>
      </c>
      <c r="X988">
        <v>2.4056999999999999</v>
      </c>
      <c r="Y988">
        <v>-0.39710000000000001</v>
      </c>
      <c r="Z988">
        <v>5</v>
      </c>
      <c r="AA988">
        <v>57.4</v>
      </c>
      <c r="AB988">
        <v>3</v>
      </c>
      <c r="AC988">
        <v>57.7</v>
      </c>
      <c r="AD988">
        <v>0</v>
      </c>
      <c r="AE988">
        <v>0</v>
      </c>
      <c r="AF988">
        <v>37.333300000000001</v>
      </c>
      <c r="AG988">
        <v>268</v>
      </c>
      <c r="AH988">
        <v>0</v>
      </c>
    </row>
    <row r="989" spans="1:34" x14ac:dyDescent="0.35">
      <c r="A989" t="s">
        <v>34</v>
      </c>
      <c r="B989" s="1">
        <v>46146.65625</v>
      </c>
      <c r="C989" t="s">
        <v>34</v>
      </c>
      <c r="D989" s="1">
        <v>46149.625</v>
      </c>
      <c r="E989">
        <v>7245</v>
      </c>
      <c r="F989" t="s">
        <v>36</v>
      </c>
      <c r="G989">
        <v>33.9</v>
      </c>
      <c r="H989">
        <v>76.64</v>
      </c>
      <c r="I989">
        <v>33.9</v>
      </c>
      <c r="J989">
        <v>60.07</v>
      </c>
      <c r="K989">
        <v>13</v>
      </c>
      <c r="L989">
        <v>3</v>
      </c>
      <c r="M989">
        <v>59.6</v>
      </c>
      <c r="N989">
        <v>2</v>
      </c>
      <c r="O989">
        <v>59.9</v>
      </c>
      <c r="P989">
        <v>0</v>
      </c>
      <c r="Q989">
        <v>0</v>
      </c>
      <c r="R989">
        <v>0</v>
      </c>
      <c r="S989">
        <v>0</v>
      </c>
      <c r="T989">
        <v>0.13170000000000001</v>
      </c>
      <c r="U989">
        <v>-0.68379999999999996</v>
      </c>
      <c r="V989">
        <v>4.1000000000000003E-3</v>
      </c>
      <c r="W989">
        <v>-5.4432999999999998</v>
      </c>
      <c r="X989">
        <v>2.3441000000000001</v>
      </c>
      <c r="Y989">
        <v>-0.41070000000000001</v>
      </c>
      <c r="Z989">
        <v>15</v>
      </c>
      <c r="AA989">
        <v>59.9</v>
      </c>
      <c r="AB989">
        <v>15</v>
      </c>
      <c r="AC989">
        <v>61.2</v>
      </c>
      <c r="AD989">
        <v>0</v>
      </c>
      <c r="AE989">
        <v>0</v>
      </c>
      <c r="AF989">
        <v>60.8446</v>
      </c>
      <c r="AG989">
        <v>221</v>
      </c>
      <c r="AH989">
        <v>0</v>
      </c>
    </row>
    <row r="990" spans="1:34" x14ac:dyDescent="0.35">
      <c r="A990" t="s">
        <v>34</v>
      </c>
      <c r="B990" s="1">
        <v>46146.65625</v>
      </c>
      <c r="C990" t="s">
        <v>34</v>
      </c>
      <c r="D990" s="1">
        <v>46149.625</v>
      </c>
      <c r="E990">
        <v>7250</v>
      </c>
      <c r="F990" t="s">
        <v>36</v>
      </c>
      <c r="G990">
        <v>52.22</v>
      </c>
      <c r="H990">
        <v>75.819999999999993</v>
      </c>
      <c r="I990">
        <v>36.08</v>
      </c>
      <c r="J990">
        <v>64.510000000000005</v>
      </c>
      <c r="K990">
        <v>192</v>
      </c>
      <c r="L990">
        <v>20</v>
      </c>
      <c r="M990">
        <v>62.1</v>
      </c>
      <c r="N990">
        <v>1</v>
      </c>
      <c r="O990">
        <v>63.2</v>
      </c>
      <c r="P990">
        <v>0</v>
      </c>
      <c r="Q990">
        <v>0</v>
      </c>
      <c r="R990">
        <v>0</v>
      </c>
      <c r="S990">
        <v>0</v>
      </c>
      <c r="T990">
        <v>0.1295</v>
      </c>
      <c r="U990">
        <v>-0.70709999999999995</v>
      </c>
      <c r="V990">
        <v>4.0000000000000001E-3</v>
      </c>
      <c r="W990">
        <v>-5.1313000000000004</v>
      </c>
      <c r="X990">
        <v>2.2704</v>
      </c>
      <c r="Y990">
        <v>-0.4249</v>
      </c>
      <c r="Z990">
        <v>15</v>
      </c>
      <c r="AA990">
        <v>63</v>
      </c>
      <c r="AB990">
        <v>15</v>
      </c>
      <c r="AC990">
        <v>64.400000000000006</v>
      </c>
      <c r="AD990">
        <v>0</v>
      </c>
      <c r="AE990">
        <v>0</v>
      </c>
      <c r="AF990">
        <v>47.432499999999997</v>
      </c>
      <c r="AG990">
        <v>118</v>
      </c>
      <c r="AH990">
        <v>0</v>
      </c>
    </row>
    <row r="991" spans="1:34" x14ac:dyDescent="0.35">
      <c r="A991" t="s">
        <v>34</v>
      </c>
      <c r="B991" s="1">
        <v>46146.65625</v>
      </c>
      <c r="C991" t="s">
        <v>34</v>
      </c>
      <c r="D991" s="1">
        <v>46149.625</v>
      </c>
      <c r="E991">
        <v>7255</v>
      </c>
      <c r="F991" t="s">
        <v>36</v>
      </c>
      <c r="G991">
        <v>47.55</v>
      </c>
      <c r="H991">
        <v>81.7</v>
      </c>
      <c r="I991">
        <v>38.369999999999997</v>
      </c>
      <c r="J991">
        <v>81.7</v>
      </c>
      <c r="K991">
        <v>27</v>
      </c>
      <c r="L991">
        <v>21</v>
      </c>
      <c r="M991">
        <v>65.3</v>
      </c>
      <c r="N991">
        <v>1</v>
      </c>
      <c r="O991">
        <v>66.400000000000006</v>
      </c>
      <c r="P991">
        <v>0</v>
      </c>
      <c r="Q991">
        <v>0</v>
      </c>
      <c r="R991">
        <v>0</v>
      </c>
      <c r="S991">
        <v>0</v>
      </c>
      <c r="T991">
        <v>0.12790000000000001</v>
      </c>
      <c r="U991">
        <v>-0.72940000000000005</v>
      </c>
      <c r="V991">
        <v>3.8999999999999998E-3</v>
      </c>
      <c r="W991">
        <v>-4.8304</v>
      </c>
      <c r="X991">
        <v>2.1901000000000002</v>
      </c>
      <c r="Y991">
        <v>-0.4385</v>
      </c>
      <c r="Z991">
        <v>15</v>
      </c>
      <c r="AA991">
        <v>66.3</v>
      </c>
      <c r="AB991">
        <v>15</v>
      </c>
      <c r="AC991">
        <v>67.7</v>
      </c>
      <c r="AD991">
        <v>0</v>
      </c>
      <c r="AE991">
        <v>0</v>
      </c>
      <c r="AF991">
        <v>47.332999999999998</v>
      </c>
      <c r="AG991">
        <v>57</v>
      </c>
      <c r="AH991">
        <v>0</v>
      </c>
    </row>
    <row r="992" spans="1:34" x14ac:dyDescent="0.35">
      <c r="A992" t="s">
        <v>34</v>
      </c>
      <c r="B992" s="1">
        <v>46146.65625</v>
      </c>
      <c r="C992" t="s">
        <v>34</v>
      </c>
      <c r="D992" s="1">
        <v>46149.625</v>
      </c>
      <c r="E992">
        <v>7260</v>
      </c>
      <c r="F992" t="s">
        <v>36</v>
      </c>
      <c r="G992">
        <v>51.7</v>
      </c>
      <c r="H992">
        <v>72.349999999999994</v>
      </c>
      <c r="I992">
        <v>40.61</v>
      </c>
      <c r="J992">
        <v>71.33</v>
      </c>
      <c r="K992">
        <v>41</v>
      </c>
      <c r="L992">
        <v>21</v>
      </c>
      <c r="M992">
        <v>68.7</v>
      </c>
      <c r="N992">
        <v>1</v>
      </c>
      <c r="O992">
        <v>69.8</v>
      </c>
      <c r="P992">
        <v>0</v>
      </c>
      <c r="Q992">
        <v>0</v>
      </c>
      <c r="R992">
        <v>0</v>
      </c>
      <c r="S992">
        <v>0</v>
      </c>
      <c r="T992">
        <v>0.1263</v>
      </c>
      <c r="U992">
        <v>-0.75119999999999998</v>
      </c>
      <c r="V992">
        <v>3.8E-3</v>
      </c>
      <c r="W992">
        <v>-4.5225999999999997</v>
      </c>
      <c r="X992">
        <v>2.1040999999999999</v>
      </c>
      <c r="Y992">
        <v>-0.4516</v>
      </c>
      <c r="Z992">
        <v>15</v>
      </c>
      <c r="AA992">
        <v>69.7</v>
      </c>
      <c r="AB992">
        <v>15</v>
      </c>
      <c r="AC992">
        <v>71.2</v>
      </c>
      <c r="AD992">
        <v>0</v>
      </c>
      <c r="AE992">
        <v>0</v>
      </c>
      <c r="AF992">
        <v>55.8202</v>
      </c>
      <c r="AG992">
        <v>66</v>
      </c>
      <c r="AH992">
        <v>0</v>
      </c>
    </row>
    <row r="993" spans="1:34" x14ac:dyDescent="0.35">
      <c r="A993" t="s">
        <v>34</v>
      </c>
      <c r="B993" s="1">
        <v>46146.65625</v>
      </c>
      <c r="C993" t="s">
        <v>34</v>
      </c>
      <c r="D993" s="1">
        <v>46149.625</v>
      </c>
      <c r="E993">
        <v>7265</v>
      </c>
      <c r="F993" t="s">
        <v>36</v>
      </c>
      <c r="G993">
        <v>60.3</v>
      </c>
      <c r="H993">
        <v>74.84</v>
      </c>
      <c r="I993">
        <v>46.23</v>
      </c>
      <c r="J993">
        <v>74.84</v>
      </c>
      <c r="K993">
        <v>22</v>
      </c>
      <c r="L993">
        <v>2</v>
      </c>
      <c r="M993">
        <v>71.599999999999994</v>
      </c>
      <c r="N993">
        <v>3</v>
      </c>
      <c r="O993">
        <v>76.3</v>
      </c>
      <c r="P993">
        <v>0</v>
      </c>
      <c r="Q993">
        <v>0</v>
      </c>
      <c r="R993">
        <v>0</v>
      </c>
      <c r="S993">
        <v>0</v>
      </c>
      <c r="T993">
        <v>0.13089999999999999</v>
      </c>
      <c r="U993">
        <v>-0.76160000000000005</v>
      </c>
      <c r="V993">
        <v>3.5999999999999999E-3</v>
      </c>
      <c r="W993">
        <v>-4.556</v>
      </c>
      <c r="X993">
        <v>2.0577999999999999</v>
      </c>
      <c r="Y993">
        <v>-0.4582</v>
      </c>
      <c r="Z993">
        <v>3</v>
      </c>
      <c r="AA993">
        <v>72.7</v>
      </c>
      <c r="AB993">
        <v>3</v>
      </c>
      <c r="AC993">
        <v>75.400000000000006</v>
      </c>
      <c r="AD993">
        <v>0</v>
      </c>
      <c r="AE993">
        <v>0</v>
      </c>
      <c r="AF993">
        <v>67.401799999999994</v>
      </c>
      <c r="AG993">
        <v>54</v>
      </c>
      <c r="AH993">
        <v>0</v>
      </c>
    </row>
    <row r="994" spans="1:34" x14ac:dyDescent="0.35">
      <c r="A994" t="s">
        <v>34</v>
      </c>
      <c r="B994" s="1">
        <v>46146.65625</v>
      </c>
      <c r="C994" t="s">
        <v>34</v>
      </c>
      <c r="D994" s="1">
        <v>46149.625</v>
      </c>
      <c r="E994">
        <v>7270</v>
      </c>
      <c r="F994" t="s">
        <v>36</v>
      </c>
      <c r="G994">
        <v>57.03</v>
      </c>
      <c r="H994">
        <v>87.05</v>
      </c>
      <c r="I994">
        <v>50</v>
      </c>
      <c r="J994">
        <v>77.180000000000007</v>
      </c>
      <c r="K994">
        <v>36</v>
      </c>
      <c r="L994">
        <v>3</v>
      </c>
      <c r="M994">
        <v>74.900000000000006</v>
      </c>
      <c r="N994">
        <v>3</v>
      </c>
      <c r="O994">
        <v>80</v>
      </c>
      <c r="P994">
        <v>0</v>
      </c>
      <c r="Q994">
        <v>0</v>
      </c>
      <c r="R994">
        <v>0</v>
      </c>
      <c r="S994">
        <v>0</v>
      </c>
      <c r="T994">
        <v>0.12909999999999999</v>
      </c>
      <c r="U994">
        <v>-0.78220000000000001</v>
      </c>
      <c r="V994">
        <v>3.5000000000000001E-3</v>
      </c>
      <c r="W994">
        <v>-4.2180999999999997</v>
      </c>
      <c r="X994">
        <v>1.9615</v>
      </c>
      <c r="Y994">
        <v>-0.4708</v>
      </c>
      <c r="Z994">
        <v>2</v>
      </c>
      <c r="AA994">
        <v>74.2</v>
      </c>
      <c r="AB994">
        <v>4</v>
      </c>
      <c r="AC994">
        <v>83.6</v>
      </c>
      <c r="AD994">
        <v>0</v>
      </c>
      <c r="AE994">
        <v>0</v>
      </c>
      <c r="AF994">
        <v>74.950599999999994</v>
      </c>
      <c r="AG994">
        <v>33</v>
      </c>
      <c r="AH994">
        <v>0</v>
      </c>
    </row>
    <row r="995" spans="1:34" x14ac:dyDescent="0.35">
      <c r="A995" t="s">
        <v>34</v>
      </c>
      <c r="B995" s="1">
        <v>46146.65625</v>
      </c>
      <c r="C995" t="s">
        <v>34</v>
      </c>
      <c r="D995" s="1">
        <v>46149.625</v>
      </c>
      <c r="E995">
        <v>7275</v>
      </c>
      <c r="F995" t="s">
        <v>36</v>
      </c>
      <c r="G995">
        <v>60.15</v>
      </c>
      <c r="H995">
        <v>101.06</v>
      </c>
      <c r="I995">
        <v>60.15</v>
      </c>
      <c r="J995">
        <v>81.16</v>
      </c>
      <c r="K995">
        <v>6</v>
      </c>
      <c r="L995">
        <v>1</v>
      </c>
      <c r="M995">
        <v>76.7</v>
      </c>
      <c r="N995">
        <v>1</v>
      </c>
      <c r="O995">
        <v>83.6</v>
      </c>
      <c r="P995">
        <v>0</v>
      </c>
      <c r="Q995">
        <v>0</v>
      </c>
      <c r="R995">
        <v>0</v>
      </c>
      <c r="S995">
        <v>0</v>
      </c>
      <c r="T995">
        <v>0.12189999999999999</v>
      </c>
      <c r="U995">
        <v>-0.81299999999999994</v>
      </c>
      <c r="V995">
        <v>3.3999999999999998E-3</v>
      </c>
      <c r="W995">
        <v>-3.5562</v>
      </c>
      <c r="X995">
        <v>1.8044</v>
      </c>
      <c r="Y995">
        <v>-0.48920000000000002</v>
      </c>
      <c r="Z995">
        <v>2</v>
      </c>
      <c r="AA995">
        <v>78</v>
      </c>
      <c r="AB995">
        <v>1</v>
      </c>
      <c r="AC995">
        <v>87.4</v>
      </c>
      <c r="AD995">
        <v>0</v>
      </c>
      <c r="AE995">
        <v>0</v>
      </c>
      <c r="AF995">
        <v>77.563299999999998</v>
      </c>
      <c r="AG995">
        <v>35</v>
      </c>
      <c r="AH995">
        <v>0</v>
      </c>
    </row>
    <row r="996" spans="1:34" x14ac:dyDescent="0.35">
      <c r="A996" t="s">
        <v>34</v>
      </c>
      <c r="B996" s="1">
        <v>46146.65625</v>
      </c>
      <c r="C996" t="s">
        <v>34</v>
      </c>
      <c r="D996" s="1">
        <v>46149.625</v>
      </c>
      <c r="E996">
        <v>7280</v>
      </c>
      <c r="F996" t="s">
        <v>36</v>
      </c>
      <c r="G996">
        <v>87.49</v>
      </c>
      <c r="H996">
        <v>87.49</v>
      </c>
      <c r="I996">
        <v>82.69</v>
      </c>
      <c r="J996">
        <v>82.69</v>
      </c>
      <c r="K996">
        <v>4</v>
      </c>
      <c r="L996">
        <v>3</v>
      </c>
      <c r="M996">
        <v>82.5</v>
      </c>
      <c r="N996">
        <v>1</v>
      </c>
      <c r="O996">
        <v>87.5</v>
      </c>
      <c r="P996">
        <v>0</v>
      </c>
      <c r="Q996">
        <v>0</v>
      </c>
      <c r="R996">
        <v>0</v>
      </c>
      <c r="S996">
        <v>0</v>
      </c>
      <c r="T996">
        <v>0.12620000000000001</v>
      </c>
      <c r="U996">
        <v>-0.82069999999999999</v>
      </c>
      <c r="V996">
        <v>3.2000000000000002E-3</v>
      </c>
      <c r="W996">
        <v>-3.5655000000000001</v>
      </c>
      <c r="X996">
        <v>1.7588999999999999</v>
      </c>
      <c r="Y996">
        <v>-0.49419999999999997</v>
      </c>
      <c r="Z996">
        <v>2</v>
      </c>
      <c r="AA996">
        <v>81.8</v>
      </c>
      <c r="AB996">
        <v>4</v>
      </c>
      <c r="AC996">
        <v>91.4</v>
      </c>
      <c r="AD996">
        <v>0</v>
      </c>
      <c r="AE996">
        <v>0</v>
      </c>
      <c r="AF996">
        <v>86.29</v>
      </c>
      <c r="AG996">
        <v>25</v>
      </c>
      <c r="AH996">
        <v>0</v>
      </c>
    </row>
    <row r="997" spans="1:34" x14ac:dyDescent="0.35">
      <c r="A997" t="s">
        <v>34</v>
      </c>
      <c r="B997" s="1">
        <v>46146.65625</v>
      </c>
      <c r="C997" t="s">
        <v>34</v>
      </c>
      <c r="D997" s="1">
        <v>46149.625</v>
      </c>
      <c r="E997">
        <v>7285</v>
      </c>
      <c r="F997" t="s">
        <v>36</v>
      </c>
      <c r="G997">
        <v>73.39</v>
      </c>
      <c r="H997">
        <v>106.08</v>
      </c>
      <c r="I997">
        <v>73.39</v>
      </c>
      <c r="J997">
        <v>89.42</v>
      </c>
      <c r="K997">
        <v>13</v>
      </c>
      <c r="L997">
        <v>3</v>
      </c>
      <c r="M997">
        <v>86.5</v>
      </c>
      <c r="N997">
        <v>2</v>
      </c>
      <c r="O997">
        <v>91.4</v>
      </c>
      <c r="P997">
        <v>0</v>
      </c>
      <c r="Q997">
        <v>0</v>
      </c>
      <c r="R997">
        <v>0</v>
      </c>
      <c r="S997">
        <v>0</v>
      </c>
      <c r="T997">
        <v>0.1249</v>
      </c>
      <c r="U997">
        <v>-0.83840000000000003</v>
      </c>
      <c r="V997">
        <v>3.0000000000000001E-3</v>
      </c>
      <c r="W997">
        <v>-3.2484999999999999</v>
      </c>
      <c r="X997">
        <v>1.6523000000000001</v>
      </c>
      <c r="Y997">
        <v>-0.50490000000000002</v>
      </c>
      <c r="Z997">
        <v>2</v>
      </c>
      <c r="AA997">
        <v>85.8</v>
      </c>
      <c r="AB997">
        <v>4</v>
      </c>
      <c r="AC997">
        <v>95.5</v>
      </c>
      <c r="AD997">
        <v>0</v>
      </c>
      <c r="AE997">
        <v>0</v>
      </c>
      <c r="AF997">
        <v>101.00230000000001</v>
      </c>
      <c r="AG997">
        <v>20</v>
      </c>
      <c r="AH997">
        <v>0</v>
      </c>
    </row>
    <row r="998" spans="1:34" x14ac:dyDescent="0.35">
      <c r="A998" t="s">
        <v>34</v>
      </c>
      <c r="B998" s="1">
        <v>46146.65625</v>
      </c>
      <c r="C998" t="s">
        <v>34</v>
      </c>
      <c r="D998" s="1">
        <v>46149.625</v>
      </c>
      <c r="E998">
        <v>7290</v>
      </c>
      <c r="F998" t="s">
        <v>36</v>
      </c>
      <c r="G998">
        <v>70.11</v>
      </c>
      <c r="H998">
        <v>110.28</v>
      </c>
      <c r="I998">
        <v>70.11</v>
      </c>
      <c r="J998">
        <v>93.52</v>
      </c>
      <c r="K998">
        <v>15</v>
      </c>
      <c r="L998">
        <v>3</v>
      </c>
      <c r="M998">
        <v>90.4</v>
      </c>
      <c r="N998">
        <v>3</v>
      </c>
      <c r="O998">
        <v>95.4</v>
      </c>
      <c r="P998">
        <v>0</v>
      </c>
      <c r="Q998">
        <v>0</v>
      </c>
      <c r="R998">
        <v>0</v>
      </c>
      <c r="S998">
        <v>0</v>
      </c>
      <c r="T998">
        <v>0.123</v>
      </c>
      <c r="U998">
        <v>-0.85619999999999996</v>
      </c>
      <c r="V998">
        <v>2.8E-3</v>
      </c>
      <c r="W998">
        <v>-2.9087000000000001</v>
      </c>
      <c r="X998">
        <v>1.5385</v>
      </c>
      <c r="Y998">
        <v>-0.51580000000000004</v>
      </c>
      <c r="Z998">
        <v>2</v>
      </c>
      <c r="AA998">
        <v>90</v>
      </c>
      <c r="AB998">
        <v>4</v>
      </c>
      <c r="AC998">
        <v>99.7</v>
      </c>
      <c r="AD998">
        <v>0</v>
      </c>
      <c r="AE998">
        <v>0</v>
      </c>
      <c r="AF998">
        <v>103.09529999999999</v>
      </c>
      <c r="AG998">
        <v>36</v>
      </c>
      <c r="AH998">
        <v>0</v>
      </c>
    </row>
    <row r="999" spans="1:34" x14ac:dyDescent="0.35">
      <c r="A999" t="s">
        <v>34</v>
      </c>
      <c r="B999" s="1">
        <v>46146.65625</v>
      </c>
      <c r="C999" t="s">
        <v>34</v>
      </c>
      <c r="D999" s="1">
        <v>46149.625</v>
      </c>
      <c r="E999">
        <v>7295</v>
      </c>
      <c r="F999" t="s">
        <v>36</v>
      </c>
      <c r="G999">
        <v>95.08</v>
      </c>
      <c r="H999">
        <v>95.08</v>
      </c>
      <c r="I999">
        <v>95.08</v>
      </c>
      <c r="J999">
        <v>95.08</v>
      </c>
      <c r="K999">
        <v>10</v>
      </c>
      <c r="L999">
        <v>3</v>
      </c>
      <c r="M999">
        <v>94.6</v>
      </c>
      <c r="N999">
        <v>2</v>
      </c>
      <c r="O999">
        <v>99.6</v>
      </c>
      <c r="P999">
        <v>0</v>
      </c>
      <c r="Q999">
        <v>0</v>
      </c>
      <c r="R999">
        <v>0</v>
      </c>
      <c r="S999">
        <v>0</v>
      </c>
      <c r="T999">
        <v>0.12189999999999999</v>
      </c>
      <c r="U999">
        <v>-0.872</v>
      </c>
      <c r="V999">
        <v>2.5999999999999999E-3</v>
      </c>
      <c r="W999">
        <v>-2.6118999999999999</v>
      </c>
      <c r="X999">
        <v>1.4281999999999999</v>
      </c>
      <c r="Y999">
        <v>-0.52549999999999997</v>
      </c>
      <c r="Z999">
        <v>2</v>
      </c>
      <c r="AA999">
        <v>94.2</v>
      </c>
      <c r="AB999">
        <v>4</v>
      </c>
      <c r="AC999">
        <v>104</v>
      </c>
      <c r="AD999">
        <v>0</v>
      </c>
      <c r="AE999">
        <v>0</v>
      </c>
      <c r="AF999">
        <v>95.08</v>
      </c>
      <c r="AG999">
        <v>18</v>
      </c>
      <c r="AH999">
        <v>0</v>
      </c>
    </row>
    <row r="1000" spans="1:34" x14ac:dyDescent="0.35">
      <c r="A1000" t="s">
        <v>34</v>
      </c>
      <c r="B1000" s="1">
        <v>46146.65625</v>
      </c>
      <c r="C1000" t="s">
        <v>34</v>
      </c>
      <c r="D1000" s="1">
        <v>46149.625</v>
      </c>
      <c r="E1000">
        <v>7300</v>
      </c>
      <c r="F1000" t="s">
        <v>36</v>
      </c>
      <c r="G1000">
        <v>85.72</v>
      </c>
      <c r="H1000">
        <v>105.4</v>
      </c>
      <c r="I1000">
        <v>66.02</v>
      </c>
      <c r="J1000">
        <v>99.61</v>
      </c>
      <c r="K1000">
        <v>32</v>
      </c>
      <c r="L1000">
        <v>3</v>
      </c>
      <c r="M1000">
        <v>98.9</v>
      </c>
      <c r="N1000">
        <v>1</v>
      </c>
      <c r="O1000">
        <v>104</v>
      </c>
      <c r="P1000">
        <v>0</v>
      </c>
      <c r="Q1000">
        <v>0</v>
      </c>
      <c r="R1000">
        <v>0</v>
      </c>
      <c r="S1000">
        <v>0</v>
      </c>
      <c r="T1000">
        <v>0.12139999999999999</v>
      </c>
      <c r="U1000">
        <v>-0.88529999999999998</v>
      </c>
      <c r="V1000">
        <v>2.3999999999999998E-3</v>
      </c>
      <c r="W1000">
        <v>-2.3650000000000002</v>
      </c>
      <c r="X1000">
        <v>1.3291999999999999</v>
      </c>
      <c r="Y1000">
        <v>-0.53369999999999995</v>
      </c>
      <c r="Z1000">
        <v>1</v>
      </c>
      <c r="AA1000">
        <v>98.5</v>
      </c>
      <c r="AB1000">
        <v>5</v>
      </c>
      <c r="AC1000">
        <v>108.4</v>
      </c>
      <c r="AD1000">
        <v>0</v>
      </c>
      <c r="AE1000">
        <v>0</v>
      </c>
      <c r="AF1000">
        <v>89.670299999999997</v>
      </c>
      <c r="AG1000">
        <v>33</v>
      </c>
      <c r="AH1000">
        <v>0</v>
      </c>
    </row>
    <row r="1001" spans="1:34" x14ac:dyDescent="0.35">
      <c r="A1001" t="s">
        <v>34</v>
      </c>
      <c r="B1001" s="1">
        <v>46146.65625</v>
      </c>
      <c r="C1001" t="s">
        <v>34</v>
      </c>
      <c r="D1001" s="1">
        <v>46149.625</v>
      </c>
      <c r="E1001">
        <v>7305</v>
      </c>
      <c r="F1001" t="s">
        <v>36</v>
      </c>
      <c r="G1001">
        <v>89.77</v>
      </c>
      <c r="H1001">
        <v>89.77</v>
      </c>
      <c r="I1001">
        <v>89.77</v>
      </c>
      <c r="J1001">
        <v>89.77</v>
      </c>
      <c r="K1001">
        <v>10</v>
      </c>
      <c r="L1001">
        <v>1</v>
      </c>
      <c r="M1001">
        <v>101.8</v>
      </c>
      <c r="N1001">
        <v>3</v>
      </c>
      <c r="O1001">
        <v>109.7</v>
      </c>
      <c r="P1001">
        <v>0</v>
      </c>
      <c r="Q1001">
        <v>0</v>
      </c>
      <c r="R1001">
        <v>0</v>
      </c>
      <c r="S1001">
        <v>0</v>
      </c>
      <c r="T1001">
        <v>0.12180000000000001</v>
      </c>
      <c r="U1001">
        <v>-0.89559999999999995</v>
      </c>
      <c r="V1001">
        <v>2.3E-3</v>
      </c>
      <c r="W1001">
        <v>-2.1833</v>
      </c>
      <c r="X1001">
        <v>1.2484999999999999</v>
      </c>
      <c r="Y1001">
        <v>-0.54010000000000002</v>
      </c>
      <c r="Z1001">
        <v>2</v>
      </c>
      <c r="AA1001">
        <v>101</v>
      </c>
      <c r="AB1001">
        <v>1</v>
      </c>
      <c r="AC1001">
        <v>115.2</v>
      </c>
      <c r="AD1001">
        <v>0</v>
      </c>
      <c r="AE1001">
        <v>0</v>
      </c>
      <c r="AF1001">
        <v>89.77</v>
      </c>
      <c r="AG1001">
        <v>10</v>
      </c>
      <c r="AH1001">
        <v>0</v>
      </c>
    </row>
    <row r="1002" spans="1:34" x14ac:dyDescent="0.35">
      <c r="A1002" t="s">
        <v>34</v>
      </c>
      <c r="B1002" s="1">
        <v>46146.65625</v>
      </c>
      <c r="C1002" t="s">
        <v>34</v>
      </c>
      <c r="D1002" s="1">
        <v>46149.625</v>
      </c>
      <c r="E1002">
        <v>7310</v>
      </c>
      <c r="F1002" t="s">
        <v>36</v>
      </c>
      <c r="G1002">
        <v>85.46</v>
      </c>
      <c r="H1002">
        <v>106.09</v>
      </c>
      <c r="I1002">
        <v>85.46</v>
      </c>
      <c r="J1002">
        <v>106.09</v>
      </c>
      <c r="K1002">
        <v>2</v>
      </c>
      <c r="L1002">
        <v>2</v>
      </c>
      <c r="M1002">
        <v>106.1</v>
      </c>
      <c r="N1002">
        <v>1</v>
      </c>
      <c r="O1002">
        <v>113.7</v>
      </c>
      <c r="P1002">
        <v>0</v>
      </c>
      <c r="Q1002">
        <v>0</v>
      </c>
      <c r="R1002">
        <v>0</v>
      </c>
      <c r="S1002">
        <v>0</v>
      </c>
      <c r="T1002">
        <v>0.11840000000000001</v>
      </c>
      <c r="U1002">
        <v>-0.91259999999999997</v>
      </c>
      <c r="V1002">
        <v>2E-3</v>
      </c>
      <c r="W1002">
        <v>-1.8064</v>
      </c>
      <c r="X1002">
        <v>1.1067</v>
      </c>
      <c r="Y1002">
        <v>-0.55049999999999999</v>
      </c>
      <c r="Z1002">
        <v>2</v>
      </c>
      <c r="AA1002">
        <v>104.6</v>
      </c>
      <c r="AB1002">
        <v>1</v>
      </c>
      <c r="AC1002">
        <v>120.4</v>
      </c>
      <c r="AD1002">
        <v>0</v>
      </c>
      <c r="AE1002">
        <v>0</v>
      </c>
      <c r="AF1002">
        <v>95.775000000000006</v>
      </c>
      <c r="AG1002">
        <v>2</v>
      </c>
      <c r="AH1002">
        <v>0</v>
      </c>
    </row>
    <row r="1003" spans="1:34" x14ac:dyDescent="0.35">
      <c r="A1003" t="s">
        <v>34</v>
      </c>
      <c r="B1003" s="1">
        <v>46146.65625</v>
      </c>
      <c r="C1003" t="s">
        <v>34</v>
      </c>
      <c r="D1003" s="1">
        <v>46149.625</v>
      </c>
      <c r="E1003">
        <v>7315</v>
      </c>
      <c r="F1003" t="s">
        <v>36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108.1</v>
      </c>
      <c r="N1003">
        <v>2</v>
      </c>
      <c r="O1003">
        <v>120.2</v>
      </c>
      <c r="P1003">
        <v>0</v>
      </c>
      <c r="Q1003">
        <v>0</v>
      </c>
      <c r="R1003">
        <v>0</v>
      </c>
      <c r="S1003">
        <v>0</v>
      </c>
      <c r="T1003">
        <v>0.1118</v>
      </c>
      <c r="U1003">
        <v>-0.93420000000000003</v>
      </c>
      <c r="V1003">
        <v>1.6999999999999999E-3</v>
      </c>
      <c r="W1003">
        <v>-1.3056000000000001</v>
      </c>
      <c r="X1003">
        <v>0.90910000000000002</v>
      </c>
      <c r="Y1003">
        <v>-0.56359999999999999</v>
      </c>
      <c r="Z1003">
        <v>4</v>
      </c>
      <c r="AA1003">
        <v>109.1</v>
      </c>
      <c r="AB1003">
        <v>1</v>
      </c>
      <c r="AC1003">
        <v>124.2</v>
      </c>
      <c r="AD1003">
        <v>0</v>
      </c>
      <c r="AE1003">
        <v>0</v>
      </c>
      <c r="AF1003">
        <v>0</v>
      </c>
      <c r="AG1003">
        <v>2</v>
      </c>
      <c r="AH1003">
        <v>0</v>
      </c>
    </row>
    <row r="1004" spans="1:34" x14ac:dyDescent="0.35">
      <c r="A1004" t="s">
        <v>34</v>
      </c>
      <c r="B1004" s="1">
        <v>46146.65625</v>
      </c>
      <c r="C1004" t="s">
        <v>34</v>
      </c>
      <c r="D1004" s="1">
        <v>46149.625</v>
      </c>
      <c r="E1004">
        <v>7320</v>
      </c>
      <c r="F1004" t="s">
        <v>36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112.7</v>
      </c>
      <c r="N1004">
        <v>2</v>
      </c>
      <c r="O1004">
        <v>124.9</v>
      </c>
      <c r="P1004">
        <v>0</v>
      </c>
      <c r="Q1004">
        <v>0</v>
      </c>
      <c r="R1004">
        <v>0</v>
      </c>
      <c r="S1004">
        <v>0</v>
      </c>
      <c r="T1004">
        <v>0.1111</v>
      </c>
      <c r="U1004">
        <v>-0.94350000000000001</v>
      </c>
      <c r="V1004">
        <v>1.6000000000000001E-3</v>
      </c>
      <c r="W1004">
        <v>-1.1198999999999999</v>
      </c>
      <c r="X1004">
        <v>0.81459999999999999</v>
      </c>
      <c r="Y1004">
        <v>-0.56940000000000002</v>
      </c>
      <c r="Z1004">
        <v>4</v>
      </c>
      <c r="AA1004">
        <v>113.8</v>
      </c>
      <c r="AB1004">
        <v>1</v>
      </c>
      <c r="AC1004">
        <v>128.9</v>
      </c>
      <c r="AD1004">
        <v>0</v>
      </c>
      <c r="AE1004">
        <v>0</v>
      </c>
      <c r="AF1004">
        <v>0</v>
      </c>
      <c r="AG1004">
        <v>8</v>
      </c>
      <c r="AH1004">
        <v>0</v>
      </c>
    </row>
    <row r="1005" spans="1:34" x14ac:dyDescent="0.35">
      <c r="A1005" t="s">
        <v>34</v>
      </c>
      <c r="B1005" s="1">
        <v>46146.65625</v>
      </c>
      <c r="C1005" t="s">
        <v>34</v>
      </c>
      <c r="D1005" s="1">
        <v>46149.625</v>
      </c>
      <c r="E1005">
        <v>7325</v>
      </c>
      <c r="F1005" t="s">
        <v>36</v>
      </c>
      <c r="G1005">
        <v>85.83</v>
      </c>
      <c r="H1005">
        <v>129.88999999999999</v>
      </c>
      <c r="I1005">
        <v>85.83</v>
      </c>
      <c r="J1005">
        <v>129.88999999999999</v>
      </c>
      <c r="K1005">
        <v>8</v>
      </c>
      <c r="L1005">
        <v>1</v>
      </c>
      <c r="M1005">
        <v>117.4</v>
      </c>
      <c r="N1005">
        <v>2</v>
      </c>
      <c r="O1005">
        <v>129.5</v>
      </c>
      <c r="P1005">
        <v>0</v>
      </c>
      <c r="Q1005">
        <v>0</v>
      </c>
      <c r="R1005">
        <v>0</v>
      </c>
      <c r="S1005">
        <v>0</v>
      </c>
      <c r="T1005">
        <v>0.1096</v>
      </c>
      <c r="U1005">
        <v>-0.95299999999999996</v>
      </c>
      <c r="V1005">
        <v>1.4E-3</v>
      </c>
      <c r="W1005">
        <v>-0.92190000000000005</v>
      </c>
      <c r="X1005">
        <v>0.71240000000000003</v>
      </c>
      <c r="Y1005">
        <v>-0.57540000000000002</v>
      </c>
      <c r="Z1005">
        <v>4</v>
      </c>
      <c r="AA1005">
        <v>118.5</v>
      </c>
      <c r="AB1005">
        <v>1</v>
      </c>
      <c r="AC1005">
        <v>133.6</v>
      </c>
      <c r="AD1005">
        <v>0</v>
      </c>
      <c r="AE1005">
        <v>0</v>
      </c>
      <c r="AF1005">
        <v>102.5625</v>
      </c>
      <c r="AG1005">
        <v>0</v>
      </c>
      <c r="AH1005">
        <v>0</v>
      </c>
    </row>
    <row r="1006" spans="1:34" x14ac:dyDescent="0.35">
      <c r="A1006" t="s">
        <v>34</v>
      </c>
      <c r="B1006" s="1">
        <v>46146.65625</v>
      </c>
      <c r="C1006" t="s">
        <v>34</v>
      </c>
      <c r="D1006" s="1">
        <v>46149.625</v>
      </c>
      <c r="E1006">
        <v>7330</v>
      </c>
      <c r="F1006" t="s">
        <v>36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122.1</v>
      </c>
      <c r="N1006">
        <v>2</v>
      </c>
      <c r="O1006">
        <v>134.30000000000001</v>
      </c>
      <c r="P1006">
        <v>0</v>
      </c>
      <c r="Q1006">
        <v>0</v>
      </c>
      <c r="R1006">
        <v>0</v>
      </c>
      <c r="S1006">
        <v>0</v>
      </c>
      <c r="T1006">
        <v>0.1089</v>
      </c>
      <c r="U1006">
        <v>-0.96040000000000003</v>
      </c>
      <c r="V1006">
        <v>1.1999999999999999E-3</v>
      </c>
      <c r="W1006">
        <v>-0.77339999999999998</v>
      </c>
      <c r="X1006">
        <v>0.62829999999999997</v>
      </c>
      <c r="Y1006">
        <v>-0.57999999999999996</v>
      </c>
      <c r="Z1006">
        <v>4</v>
      </c>
      <c r="AA1006">
        <v>123.3</v>
      </c>
      <c r="AB1006">
        <v>1</v>
      </c>
      <c r="AC1006">
        <v>138</v>
      </c>
      <c r="AD1006">
        <v>0</v>
      </c>
      <c r="AE1006">
        <v>0</v>
      </c>
      <c r="AF1006">
        <v>0</v>
      </c>
      <c r="AG1006">
        <v>2</v>
      </c>
      <c r="AH1006">
        <v>0</v>
      </c>
    </row>
    <row r="1007" spans="1:34" x14ac:dyDescent="0.35">
      <c r="A1007" t="s">
        <v>34</v>
      </c>
      <c r="B1007" s="1">
        <v>46146.65625</v>
      </c>
      <c r="C1007" t="s">
        <v>34</v>
      </c>
      <c r="D1007" s="1">
        <v>46149.625</v>
      </c>
      <c r="E1007">
        <v>7335</v>
      </c>
      <c r="F1007" t="s">
        <v>36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126.9</v>
      </c>
      <c r="N1007">
        <v>2</v>
      </c>
      <c r="O1007">
        <v>139.1</v>
      </c>
      <c r="P1007">
        <v>0</v>
      </c>
      <c r="Q1007">
        <v>0</v>
      </c>
      <c r="R1007">
        <v>0</v>
      </c>
      <c r="S1007">
        <v>0</v>
      </c>
      <c r="T1007">
        <v>0.1133</v>
      </c>
      <c r="U1007">
        <v>-0.95979999999999999</v>
      </c>
      <c r="V1007">
        <v>1.1999999999999999E-3</v>
      </c>
      <c r="W1007">
        <v>-0.81520000000000004</v>
      </c>
      <c r="X1007">
        <v>0.63139999999999996</v>
      </c>
      <c r="Y1007">
        <v>-0.58009999999999995</v>
      </c>
      <c r="Z1007">
        <v>4</v>
      </c>
      <c r="AA1007">
        <v>128.1</v>
      </c>
      <c r="AB1007">
        <v>1</v>
      </c>
      <c r="AC1007">
        <v>143.1</v>
      </c>
      <c r="AD1007">
        <v>0</v>
      </c>
      <c r="AE1007">
        <v>0</v>
      </c>
      <c r="AF1007">
        <v>0</v>
      </c>
      <c r="AG1007">
        <v>0</v>
      </c>
      <c r="AH1007">
        <v>0</v>
      </c>
    </row>
    <row r="1008" spans="1:34" x14ac:dyDescent="0.35">
      <c r="A1008" t="s">
        <v>34</v>
      </c>
      <c r="B1008" s="1">
        <v>46146.65625</v>
      </c>
      <c r="C1008" t="s">
        <v>34</v>
      </c>
      <c r="D1008" s="1">
        <v>46149.625</v>
      </c>
      <c r="E1008">
        <v>7340</v>
      </c>
      <c r="F1008" t="s">
        <v>36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1</v>
      </c>
      <c r="M1008">
        <v>131.69999999999999</v>
      </c>
      <c r="N1008">
        <v>2</v>
      </c>
      <c r="O1008">
        <v>143.9</v>
      </c>
      <c r="P1008">
        <v>0</v>
      </c>
      <c r="Q1008">
        <v>0</v>
      </c>
      <c r="R1008">
        <v>0</v>
      </c>
      <c r="S1008">
        <v>0</v>
      </c>
      <c r="T1008">
        <v>0.1091</v>
      </c>
      <c r="U1008">
        <v>-0.97050000000000003</v>
      </c>
      <c r="V1008">
        <v>8.9999999999999998E-4</v>
      </c>
      <c r="W1008">
        <v>-0.57299999999999995</v>
      </c>
      <c r="X1008">
        <v>0.502</v>
      </c>
      <c r="Y1008">
        <v>-0.5867</v>
      </c>
      <c r="Z1008">
        <v>4</v>
      </c>
      <c r="AA1008">
        <v>133</v>
      </c>
      <c r="AB1008">
        <v>1</v>
      </c>
      <c r="AC1008">
        <v>147.9</v>
      </c>
      <c r="AD1008">
        <v>0</v>
      </c>
      <c r="AE1008">
        <v>0</v>
      </c>
      <c r="AF1008">
        <v>0</v>
      </c>
      <c r="AG1008">
        <v>0</v>
      </c>
      <c r="AH1008">
        <v>0</v>
      </c>
    </row>
    <row r="1009" spans="1:34" x14ac:dyDescent="0.35">
      <c r="A1009" t="s">
        <v>34</v>
      </c>
      <c r="B1009" s="1">
        <v>46146.65625</v>
      </c>
      <c r="C1009" t="s">
        <v>34</v>
      </c>
      <c r="D1009" s="1">
        <v>46149.625</v>
      </c>
      <c r="E1009">
        <v>7345</v>
      </c>
      <c r="F1009" t="s">
        <v>36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135.69999999999999</v>
      </c>
      <c r="N1009">
        <v>2</v>
      </c>
      <c r="O1009">
        <v>148.80000000000001</v>
      </c>
      <c r="P1009">
        <v>0</v>
      </c>
      <c r="Q1009">
        <v>0</v>
      </c>
      <c r="R1009">
        <v>0</v>
      </c>
      <c r="S1009">
        <v>0</v>
      </c>
      <c r="T1009">
        <v>0.1014</v>
      </c>
      <c r="U1009">
        <v>-0.98240000000000005</v>
      </c>
      <c r="V1009">
        <v>6.9999999999999999E-4</v>
      </c>
      <c r="W1009">
        <v>-0.30880000000000002</v>
      </c>
      <c r="X1009">
        <v>0.34139999999999998</v>
      </c>
      <c r="Y1009">
        <v>-0.59389999999999998</v>
      </c>
      <c r="Z1009">
        <v>1</v>
      </c>
      <c r="AA1009">
        <v>137.9</v>
      </c>
      <c r="AB1009">
        <v>2</v>
      </c>
      <c r="AC1009">
        <v>152.80000000000001</v>
      </c>
      <c r="AD1009">
        <v>0</v>
      </c>
      <c r="AE1009">
        <v>0</v>
      </c>
      <c r="AF1009">
        <v>0</v>
      </c>
      <c r="AG1009">
        <v>0</v>
      </c>
      <c r="AH1009">
        <v>0</v>
      </c>
    </row>
    <row r="1010" spans="1:34" x14ac:dyDescent="0.35">
      <c r="A1010" t="s">
        <v>34</v>
      </c>
      <c r="B1010" s="1">
        <v>46146.65625</v>
      </c>
      <c r="C1010" t="s">
        <v>34</v>
      </c>
      <c r="D1010" s="1">
        <v>46149.625</v>
      </c>
      <c r="E1010">
        <v>7350</v>
      </c>
      <c r="F1010" t="s">
        <v>36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141.4</v>
      </c>
      <c r="N1010">
        <v>2</v>
      </c>
      <c r="O1010">
        <v>154</v>
      </c>
      <c r="P1010">
        <v>0</v>
      </c>
      <c r="Q1010">
        <v>0</v>
      </c>
      <c r="R1010">
        <v>0</v>
      </c>
      <c r="S1010">
        <v>0</v>
      </c>
      <c r="T1010">
        <v>8.1900000000000001E-2</v>
      </c>
      <c r="U1010">
        <v>-0.99670000000000003</v>
      </c>
      <c r="V1010">
        <v>2.0000000000000001E-4</v>
      </c>
      <c r="W1010">
        <v>-2.86E-2</v>
      </c>
      <c r="X1010">
        <v>9.5299999999999996E-2</v>
      </c>
      <c r="Y1010">
        <v>-0.60270000000000001</v>
      </c>
      <c r="Z1010">
        <v>1</v>
      </c>
      <c r="AA1010">
        <v>142.80000000000001</v>
      </c>
      <c r="AB1010">
        <v>2</v>
      </c>
      <c r="AC1010">
        <v>156.80000000000001</v>
      </c>
      <c r="AD1010">
        <v>0</v>
      </c>
      <c r="AE1010">
        <v>0</v>
      </c>
      <c r="AF1010">
        <v>0</v>
      </c>
      <c r="AG1010">
        <v>1</v>
      </c>
      <c r="AH1010">
        <v>0</v>
      </c>
    </row>
    <row r="1011" spans="1:34" x14ac:dyDescent="0.35">
      <c r="A1011" t="s">
        <v>34</v>
      </c>
      <c r="B1011" s="1">
        <v>46146.65625</v>
      </c>
      <c r="C1011" t="s">
        <v>34</v>
      </c>
      <c r="D1011" s="1">
        <v>46149.625</v>
      </c>
      <c r="E1011">
        <v>7355</v>
      </c>
      <c r="F1011" t="s">
        <v>36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1</v>
      </c>
      <c r="M1011">
        <v>146.6</v>
      </c>
      <c r="N1011">
        <v>2</v>
      </c>
      <c r="O1011">
        <v>158.9</v>
      </c>
      <c r="P1011">
        <v>0</v>
      </c>
      <c r="Q1011">
        <v>0</v>
      </c>
      <c r="R1011">
        <v>0</v>
      </c>
      <c r="S1011">
        <v>0</v>
      </c>
      <c r="T1011">
        <v>0.182</v>
      </c>
      <c r="U1011">
        <v>-0.89559999999999995</v>
      </c>
      <c r="V1011">
        <v>1.5E-3</v>
      </c>
      <c r="W1011">
        <v>-3.2576999999999998</v>
      </c>
      <c r="X1011">
        <v>1.224</v>
      </c>
      <c r="Y1011">
        <v>-0.54420000000000002</v>
      </c>
      <c r="Z1011">
        <v>3</v>
      </c>
      <c r="AA1011">
        <v>147.69999999999999</v>
      </c>
      <c r="AB1011">
        <v>1</v>
      </c>
      <c r="AC1011">
        <v>162.5</v>
      </c>
      <c r="AD1011">
        <v>0</v>
      </c>
      <c r="AE1011">
        <v>0</v>
      </c>
      <c r="AF1011">
        <v>0</v>
      </c>
      <c r="AG1011">
        <v>0</v>
      </c>
      <c r="AH1011">
        <v>0</v>
      </c>
    </row>
    <row r="1012" spans="1:34" x14ac:dyDescent="0.35">
      <c r="A1012" t="s">
        <v>34</v>
      </c>
      <c r="B1012" s="1">
        <v>46146.65625</v>
      </c>
      <c r="C1012" t="s">
        <v>34</v>
      </c>
      <c r="D1012" s="1">
        <v>46149.625</v>
      </c>
      <c r="E1012">
        <v>7360</v>
      </c>
      <c r="F1012" t="s">
        <v>36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1</v>
      </c>
      <c r="M1012">
        <v>150.6</v>
      </c>
      <c r="N1012">
        <v>2</v>
      </c>
      <c r="O1012">
        <v>163.80000000000001</v>
      </c>
      <c r="P1012">
        <v>0</v>
      </c>
      <c r="Q1012">
        <v>0</v>
      </c>
      <c r="R1012">
        <v>0</v>
      </c>
      <c r="S1012">
        <v>0</v>
      </c>
      <c r="T1012">
        <v>0.18709999999999999</v>
      </c>
      <c r="U1012">
        <v>-0.8962</v>
      </c>
      <c r="V1012">
        <v>1.5E-3</v>
      </c>
      <c r="W1012">
        <v>-3.3325999999999998</v>
      </c>
      <c r="X1012">
        <v>1.218</v>
      </c>
      <c r="Y1012">
        <v>-0.54490000000000005</v>
      </c>
      <c r="Z1012">
        <v>3</v>
      </c>
      <c r="AA1012">
        <v>152.6</v>
      </c>
      <c r="AB1012">
        <v>3</v>
      </c>
      <c r="AC1012">
        <v>168.6</v>
      </c>
      <c r="AD1012">
        <v>0</v>
      </c>
      <c r="AE1012">
        <v>0</v>
      </c>
      <c r="AF1012">
        <v>0</v>
      </c>
      <c r="AG1012">
        <v>4</v>
      </c>
      <c r="AH1012">
        <v>0</v>
      </c>
    </row>
    <row r="1013" spans="1:34" x14ac:dyDescent="0.35">
      <c r="A1013" t="s">
        <v>34</v>
      </c>
      <c r="B1013" s="1">
        <v>46146.65625</v>
      </c>
      <c r="C1013" t="s">
        <v>34</v>
      </c>
      <c r="D1013" s="1">
        <v>46149.625</v>
      </c>
      <c r="E1013">
        <v>7365</v>
      </c>
      <c r="F1013" t="s">
        <v>36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156.19999999999999</v>
      </c>
      <c r="N1013">
        <v>2</v>
      </c>
      <c r="O1013">
        <v>168.7</v>
      </c>
      <c r="P1013">
        <v>0</v>
      </c>
      <c r="Q1013">
        <v>0</v>
      </c>
      <c r="R1013">
        <v>0</v>
      </c>
      <c r="S1013">
        <v>0</v>
      </c>
      <c r="T1013">
        <v>0.1888</v>
      </c>
      <c r="U1013">
        <v>-0.90149999999999997</v>
      </c>
      <c r="V1013">
        <v>1.4E-3</v>
      </c>
      <c r="W1013">
        <v>-3.206</v>
      </c>
      <c r="X1013">
        <v>1.1729000000000001</v>
      </c>
      <c r="Y1013">
        <v>-0.5484</v>
      </c>
      <c r="Z1013">
        <v>3</v>
      </c>
      <c r="AA1013">
        <v>157.6</v>
      </c>
      <c r="AB1013">
        <v>1</v>
      </c>
      <c r="AC1013">
        <v>172.4</v>
      </c>
      <c r="AD1013">
        <v>0</v>
      </c>
      <c r="AE1013">
        <v>0</v>
      </c>
      <c r="AF1013">
        <v>0</v>
      </c>
      <c r="AG1013">
        <v>0</v>
      </c>
      <c r="AH1013">
        <v>0</v>
      </c>
    </row>
    <row r="1014" spans="1:34" x14ac:dyDescent="0.35">
      <c r="A1014" t="s">
        <v>34</v>
      </c>
      <c r="B1014" s="1">
        <v>46146.65625</v>
      </c>
      <c r="C1014" t="s">
        <v>34</v>
      </c>
      <c r="D1014" s="1">
        <v>46149.625</v>
      </c>
      <c r="E1014">
        <v>7370</v>
      </c>
      <c r="F1014" t="s">
        <v>36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1</v>
      </c>
      <c r="M1014">
        <v>160.4</v>
      </c>
      <c r="N1014">
        <v>2</v>
      </c>
      <c r="O1014">
        <v>173.7</v>
      </c>
      <c r="P1014">
        <v>0</v>
      </c>
      <c r="Q1014">
        <v>0</v>
      </c>
      <c r="R1014">
        <v>0</v>
      </c>
      <c r="S1014">
        <v>0</v>
      </c>
      <c r="T1014">
        <v>0.1973</v>
      </c>
      <c r="U1014">
        <v>-0.89739999999999998</v>
      </c>
      <c r="V1014">
        <v>1.4E-3</v>
      </c>
      <c r="W1014">
        <v>-3.4782000000000002</v>
      </c>
      <c r="X1014">
        <v>1.2056</v>
      </c>
      <c r="Y1014">
        <v>-0.54630000000000001</v>
      </c>
      <c r="Z1014">
        <v>3</v>
      </c>
      <c r="AA1014">
        <v>162.5</v>
      </c>
      <c r="AB1014">
        <v>1</v>
      </c>
      <c r="AC1014">
        <v>177.3</v>
      </c>
      <c r="AD1014">
        <v>0</v>
      </c>
      <c r="AE1014">
        <v>0</v>
      </c>
      <c r="AF1014">
        <v>0</v>
      </c>
      <c r="AG1014">
        <v>1</v>
      </c>
      <c r="AH1014">
        <v>0</v>
      </c>
    </row>
    <row r="1015" spans="1:34" x14ac:dyDescent="0.35">
      <c r="A1015" t="s">
        <v>34</v>
      </c>
      <c r="B1015" s="1">
        <v>46146.65625</v>
      </c>
      <c r="C1015" t="s">
        <v>34</v>
      </c>
      <c r="D1015" s="1">
        <v>46149.625</v>
      </c>
      <c r="E1015">
        <v>7375</v>
      </c>
      <c r="F1015" t="s">
        <v>36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166.1</v>
      </c>
      <c r="N1015">
        <v>2</v>
      </c>
      <c r="O1015">
        <v>178.7</v>
      </c>
      <c r="P1015">
        <v>0</v>
      </c>
      <c r="Q1015">
        <v>0</v>
      </c>
      <c r="R1015">
        <v>0</v>
      </c>
      <c r="S1015">
        <v>0</v>
      </c>
      <c r="T1015">
        <v>0.11899999999999999</v>
      </c>
      <c r="U1015">
        <v>-0.98499999999999999</v>
      </c>
      <c r="V1015">
        <v>5.0000000000000001E-4</v>
      </c>
      <c r="W1015">
        <v>-0.30309999999999998</v>
      </c>
      <c r="X1015">
        <v>0.2913</v>
      </c>
      <c r="Y1015">
        <v>-0.59770000000000001</v>
      </c>
      <c r="Z1015">
        <v>3</v>
      </c>
      <c r="AA1015">
        <v>167.5</v>
      </c>
      <c r="AB1015">
        <v>1</v>
      </c>
      <c r="AC1015">
        <v>182.1</v>
      </c>
      <c r="AD1015">
        <v>0</v>
      </c>
      <c r="AE1015">
        <v>0</v>
      </c>
      <c r="AF1015">
        <v>0</v>
      </c>
      <c r="AG1015">
        <v>0</v>
      </c>
      <c r="AH1015">
        <v>0</v>
      </c>
    </row>
    <row r="1016" spans="1:34" x14ac:dyDescent="0.35">
      <c r="A1016" t="s">
        <v>34</v>
      </c>
      <c r="B1016" s="1">
        <v>46146.65625</v>
      </c>
      <c r="C1016" t="s">
        <v>34</v>
      </c>
      <c r="D1016" s="1">
        <v>46149.625</v>
      </c>
      <c r="E1016">
        <v>7380</v>
      </c>
      <c r="F1016" t="s">
        <v>36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1</v>
      </c>
      <c r="M1016">
        <v>171.4</v>
      </c>
      <c r="N1016">
        <v>2</v>
      </c>
      <c r="O1016">
        <v>183.6</v>
      </c>
      <c r="P1016">
        <v>0</v>
      </c>
      <c r="Q1016">
        <v>0</v>
      </c>
      <c r="R1016">
        <v>0</v>
      </c>
      <c r="S1016">
        <v>0</v>
      </c>
      <c r="T1016">
        <v>0.20039999999999999</v>
      </c>
      <c r="U1016">
        <v>-0.90749999999999997</v>
      </c>
      <c r="V1016">
        <v>1.2999999999999999E-3</v>
      </c>
      <c r="W1016">
        <v>-3.2130000000000001</v>
      </c>
      <c r="X1016">
        <v>1.1186</v>
      </c>
      <c r="Y1016">
        <v>-0.55310000000000004</v>
      </c>
      <c r="Z1016">
        <v>3</v>
      </c>
      <c r="AA1016">
        <v>172.5</v>
      </c>
      <c r="AB1016">
        <v>1</v>
      </c>
      <c r="AC1016">
        <v>187.3</v>
      </c>
      <c r="AD1016">
        <v>0</v>
      </c>
      <c r="AE1016">
        <v>0</v>
      </c>
      <c r="AF1016">
        <v>0</v>
      </c>
      <c r="AG1016">
        <v>0</v>
      </c>
      <c r="AH1016">
        <v>0</v>
      </c>
    </row>
    <row r="1017" spans="1:34" x14ac:dyDescent="0.35">
      <c r="A1017" t="s">
        <v>34</v>
      </c>
      <c r="B1017" s="1">
        <v>46146.65625</v>
      </c>
      <c r="C1017" t="s">
        <v>34</v>
      </c>
      <c r="D1017" s="1">
        <v>46149.625</v>
      </c>
      <c r="E1017">
        <v>7385</v>
      </c>
      <c r="F1017" t="s">
        <v>36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1</v>
      </c>
      <c r="M1017">
        <v>175.2</v>
      </c>
      <c r="N1017">
        <v>2</v>
      </c>
      <c r="O1017">
        <v>188.6</v>
      </c>
      <c r="P1017">
        <v>0</v>
      </c>
      <c r="Q1017">
        <v>0</v>
      </c>
      <c r="R1017">
        <v>0</v>
      </c>
      <c r="S1017">
        <v>0</v>
      </c>
      <c r="T1017">
        <v>0.21210000000000001</v>
      </c>
      <c r="U1017">
        <v>-0.89970000000000006</v>
      </c>
      <c r="V1017">
        <v>1.2999999999999999E-3</v>
      </c>
      <c r="W1017">
        <v>-3.6602000000000001</v>
      </c>
      <c r="X1017">
        <v>1.1828000000000001</v>
      </c>
      <c r="Y1017">
        <v>-0.54890000000000005</v>
      </c>
      <c r="Z1017">
        <v>3</v>
      </c>
      <c r="AA1017">
        <v>177.4</v>
      </c>
      <c r="AB1017">
        <v>1</v>
      </c>
      <c r="AC1017">
        <v>192</v>
      </c>
      <c r="AD1017">
        <v>0</v>
      </c>
      <c r="AE1017">
        <v>0</v>
      </c>
      <c r="AF1017">
        <v>0</v>
      </c>
      <c r="AG1017">
        <v>0</v>
      </c>
      <c r="AH1017">
        <v>0</v>
      </c>
    </row>
    <row r="1018" spans="1:34" x14ac:dyDescent="0.35">
      <c r="A1018" t="s">
        <v>34</v>
      </c>
      <c r="B1018" s="1">
        <v>46146.65625</v>
      </c>
      <c r="C1018" t="s">
        <v>34</v>
      </c>
      <c r="D1018" s="1">
        <v>46149.625</v>
      </c>
      <c r="E1018">
        <v>7390</v>
      </c>
      <c r="F1018" t="s">
        <v>36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181.3</v>
      </c>
      <c r="N1018">
        <v>2</v>
      </c>
      <c r="O1018">
        <v>193.6</v>
      </c>
      <c r="P1018">
        <v>0</v>
      </c>
      <c r="Q1018">
        <v>0</v>
      </c>
      <c r="R1018">
        <v>0</v>
      </c>
      <c r="S1018">
        <v>0</v>
      </c>
      <c r="T1018">
        <v>0.1036</v>
      </c>
      <c r="U1018">
        <v>-0.99670000000000003</v>
      </c>
      <c r="V1018">
        <v>1E-4</v>
      </c>
      <c r="W1018">
        <v>-3.6299999999999999E-2</v>
      </c>
      <c r="X1018">
        <v>8.7599999999999997E-2</v>
      </c>
      <c r="Y1018">
        <v>-0.60570000000000002</v>
      </c>
      <c r="Z1018">
        <v>3</v>
      </c>
      <c r="AA1018">
        <v>182.4</v>
      </c>
      <c r="AB1018">
        <v>1</v>
      </c>
      <c r="AC1018">
        <v>197.2</v>
      </c>
      <c r="AD1018">
        <v>0</v>
      </c>
      <c r="AE1018">
        <v>0</v>
      </c>
      <c r="AF1018">
        <v>0</v>
      </c>
      <c r="AG1018">
        <v>0</v>
      </c>
      <c r="AH1018">
        <v>0</v>
      </c>
    </row>
    <row r="1019" spans="1:34" x14ac:dyDescent="0.35">
      <c r="A1019" t="s">
        <v>34</v>
      </c>
      <c r="B1019" s="1">
        <v>46146.65625</v>
      </c>
      <c r="C1019" t="s">
        <v>34</v>
      </c>
      <c r="D1019" s="1">
        <v>46149.625</v>
      </c>
      <c r="E1019">
        <v>7395</v>
      </c>
      <c r="F1019" t="s">
        <v>36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1</v>
      </c>
      <c r="M1019">
        <v>185.9</v>
      </c>
      <c r="N1019">
        <v>2</v>
      </c>
      <c r="O1019">
        <v>198.6</v>
      </c>
      <c r="P1019">
        <v>0</v>
      </c>
      <c r="Q1019">
        <v>0</v>
      </c>
      <c r="R1019">
        <v>0</v>
      </c>
      <c r="S1019">
        <v>0</v>
      </c>
      <c r="T1019">
        <v>0.21659999999999999</v>
      </c>
      <c r="U1019">
        <v>-0.90720000000000001</v>
      </c>
      <c r="V1019">
        <v>1.1999999999999999E-3</v>
      </c>
      <c r="W1019">
        <v>-3.4824999999999999</v>
      </c>
      <c r="X1019">
        <v>1.1180000000000001</v>
      </c>
      <c r="Y1019">
        <v>-0.55420000000000003</v>
      </c>
      <c r="Z1019">
        <v>3</v>
      </c>
      <c r="AA1019">
        <v>187.4</v>
      </c>
      <c r="AB1019">
        <v>3</v>
      </c>
      <c r="AC1019">
        <v>203.4</v>
      </c>
      <c r="AD1019">
        <v>0</v>
      </c>
      <c r="AE1019">
        <v>0</v>
      </c>
      <c r="AF1019">
        <v>0</v>
      </c>
      <c r="AG1019">
        <v>0</v>
      </c>
      <c r="AH1019">
        <v>0</v>
      </c>
    </row>
    <row r="1020" spans="1:34" x14ac:dyDescent="0.35">
      <c r="A1020" t="s">
        <v>34</v>
      </c>
      <c r="B1020" s="1">
        <v>46146.65625</v>
      </c>
      <c r="C1020" t="s">
        <v>34</v>
      </c>
      <c r="D1020" s="1">
        <v>46149.625</v>
      </c>
      <c r="E1020">
        <v>7400</v>
      </c>
      <c r="F1020" t="s">
        <v>36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191</v>
      </c>
      <c r="N1020">
        <v>2</v>
      </c>
      <c r="O1020">
        <v>203.5</v>
      </c>
      <c r="P1020">
        <v>0</v>
      </c>
      <c r="Q1020">
        <v>0</v>
      </c>
      <c r="R1020">
        <v>0</v>
      </c>
      <c r="S1020">
        <v>0</v>
      </c>
      <c r="T1020">
        <v>0.21579999999999999</v>
      </c>
      <c r="U1020">
        <v>-0.91420000000000001</v>
      </c>
      <c r="V1020">
        <v>1.1000000000000001E-3</v>
      </c>
      <c r="W1020">
        <v>-3.2286000000000001</v>
      </c>
      <c r="X1020">
        <v>1.0572999999999999</v>
      </c>
      <c r="Y1020">
        <v>-0.55840000000000001</v>
      </c>
      <c r="Z1020">
        <v>3</v>
      </c>
      <c r="AA1020">
        <v>192.4</v>
      </c>
      <c r="AB1020">
        <v>1</v>
      </c>
      <c r="AC1020">
        <v>207.2</v>
      </c>
      <c r="AD1020">
        <v>0</v>
      </c>
      <c r="AE1020">
        <v>0</v>
      </c>
      <c r="AF1020">
        <v>0</v>
      </c>
      <c r="AG1020">
        <v>1</v>
      </c>
      <c r="AH1020">
        <v>0</v>
      </c>
    </row>
    <row r="1021" spans="1:34" x14ac:dyDescent="0.35">
      <c r="A1021" t="s">
        <v>34</v>
      </c>
      <c r="B1021" s="1">
        <v>46146.65625</v>
      </c>
      <c r="C1021" t="s">
        <v>34</v>
      </c>
      <c r="D1021" s="1">
        <v>46149.625</v>
      </c>
      <c r="E1021">
        <v>7405</v>
      </c>
      <c r="F1021" t="s">
        <v>36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1</v>
      </c>
      <c r="M1021">
        <v>195.3</v>
      </c>
      <c r="N1021">
        <v>2</v>
      </c>
      <c r="O1021">
        <v>208.5</v>
      </c>
      <c r="P1021">
        <v>0</v>
      </c>
      <c r="Q1021">
        <v>0</v>
      </c>
      <c r="R1021">
        <v>0</v>
      </c>
      <c r="S1021">
        <v>0</v>
      </c>
      <c r="T1021">
        <v>0.2235</v>
      </c>
      <c r="U1021">
        <v>-0.91139999999999999</v>
      </c>
      <c r="V1021">
        <v>1.1000000000000001E-3</v>
      </c>
      <c r="W1021">
        <v>-3.4441999999999999</v>
      </c>
      <c r="X1021">
        <v>1.0803</v>
      </c>
      <c r="Y1021">
        <v>-0.55720000000000003</v>
      </c>
      <c r="Z1021">
        <v>3</v>
      </c>
      <c r="AA1021">
        <v>197.4</v>
      </c>
      <c r="AB1021">
        <v>3</v>
      </c>
      <c r="AC1021">
        <v>213.4</v>
      </c>
      <c r="AD1021">
        <v>0</v>
      </c>
      <c r="AE1021">
        <v>0</v>
      </c>
      <c r="AF1021">
        <v>0</v>
      </c>
      <c r="AG1021">
        <v>0</v>
      </c>
      <c r="AH1021">
        <v>0</v>
      </c>
    </row>
    <row r="1022" spans="1:34" x14ac:dyDescent="0.35">
      <c r="A1022" t="s">
        <v>34</v>
      </c>
      <c r="B1022" s="1">
        <v>46146.65625</v>
      </c>
      <c r="C1022" t="s">
        <v>34</v>
      </c>
      <c r="D1022" s="1">
        <v>46149.625</v>
      </c>
      <c r="E1022">
        <v>7410</v>
      </c>
      <c r="F1022" t="s">
        <v>36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3</v>
      </c>
      <c r="M1022">
        <v>200.2</v>
      </c>
      <c r="N1022">
        <v>1</v>
      </c>
      <c r="O1022">
        <v>214.5</v>
      </c>
      <c r="P1022">
        <v>0</v>
      </c>
      <c r="Q1022">
        <v>0</v>
      </c>
      <c r="R1022">
        <v>0</v>
      </c>
      <c r="S1022">
        <v>0</v>
      </c>
      <c r="T1022">
        <v>0.1331</v>
      </c>
      <c r="U1022">
        <v>-0.99009999999999998</v>
      </c>
      <c r="V1022">
        <v>2.9999999999999997E-4</v>
      </c>
      <c r="W1022">
        <v>-0.21129999999999999</v>
      </c>
      <c r="X1022">
        <v>0.20380000000000001</v>
      </c>
      <c r="Y1022">
        <v>-0.60329999999999995</v>
      </c>
      <c r="Z1022">
        <v>3</v>
      </c>
      <c r="AA1022">
        <v>200.2</v>
      </c>
      <c r="AB1022">
        <v>1</v>
      </c>
      <c r="AC1022">
        <v>221.8</v>
      </c>
      <c r="AD1022">
        <v>0</v>
      </c>
      <c r="AE1022">
        <v>0</v>
      </c>
      <c r="AF1022">
        <v>0</v>
      </c>
      <c r="AG1022">
        <v>2</v>
      </c>
      <c r="AH1022">
        <v>0</v>
      </c>
    </row>
    <row r="1023" spans="1:34" x14ac:dyDescent="0.35">
      <c r="A1023" t="s">
        <v>34</v>
      </c>
      <c r="B1023" s="1">
        <v>46146.65625</v>
      </c>
      <c r="C1023" t="s">
        <v>34</v>
      </c>
      <c r="D1023" s="1">
        <v>46149.625</v>
      </c>
      <c r="E1023">
        <v>7415</v>
      </c>
      <c r="F1023" t="s">
        <v>36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1</v>
      </c>
      <c r="M1023">
        <v>206</v>
      </c>
      <c r="N1023">
        <v>1</v>
      </c>
      <c r="O1023">
        <v>218.5</v>
      </c>
      <c r="P1023">
        <v>0</v>
      </c>
      <c r="Q1023">
        <v>0</v>
      </c>
      <c r="R1023">
        <v>0</v>
      </c>
      <c r="S1023">
        <v>0</v>
      </c>
      <c r="T1023">
        <v>0.1575</v>
      </c>
      <c r="U1023">
        <v>-0.97760000000000002</v>
      </c>
      <c r="V1023">
        <v>5.0000000000000001E-4</v>
      </c>
      <c r="W1023">
        <v>-0.61890000000000001</v>
      </c>
      <c r="X1023">
        <v>0.3856</v>
      </c>
      <c r="Y1023">
        <v>-0.59670000000000001</v>
      </c>
      <c r="Z1023">
        <v>1</v>
      </c>
      <c r="AA1023">
        <v>204.8</v>
      </c>
      <c r="AB1023">
        <v>1</v>
      </c>
      <c r="AC1023">
        <v>226</v>
      </c>
      <c r="AD1023">
        <v>0</v>
      </c>
      <c r="AE1023">
        <v>0</v>
      </c>
      <c r="AF1023">
        <v>0</v>
      </c>
      <c r="AG1023">
        <v>0</v>
      </c>
      <c r="AH1023">
        <v>0</v>
      </c>
    </row>
    <row r="1024" spans="1:34" x14ac:dyDescent="0.35">
      <c r="A1024" t="s">
        <v>34</v>
      </c>
      <c r="B1024" s="1">
        <v>46146.65625</v>
      </c>
      <c r="C1024" t="s">
        <v>34</v>
      </c>
      <c r="D1024" s="1">
        <v>46149.625</v>
      </c>
      <c r="E1024">
        <v>7420</v>
      </c>
      <c r="F1024" t="s">
        <v>36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206.9</v>
      </c>
      <c r="N1024">
        <v>1</v>
      </c>
      <c r="O1024">
        <v>225.7</v>
      </c>
      <c r="P1024">
        <v>0</v>
      </c>
      <c r="Q1024">
        <v>0</v>
      </c>
      <c r="R1024">
        <v>0</v>
      </c>
      <c r="S1024">
        <v>0</v>
      </c>
      <c r="T1024">
        <v>0.26100000000000001</v>
      </c>
      <c r="U1024">
        <v>-0.89129999999999998</v>
      </c>
      <c r="V1024">
        <v>1.1000000000000001E-3</v>
      </c>
      <c r="W1024">
        <v>-4.8410000000000002</v>
      </c>
      <c r="X1024">
        <v>1.2445999999999999</v>
      </c>
      <c r="Y1024">
        <v>-0.54649999999999999</v>
      </c>
      <c r="Z1024">
        <v>1</v>
      </c>
      <c r="AA1024">
        <v>208.9</v>
      </c>
      <c r="AB1024">
        <v>1</v>
      </c>
      <c r="AC1024">
        <v>231.8</v>
      </c>
      <c r="AD1024">
        <v>0</v>
      </c>
      <c r="AE1024">
        <v>0</v>
      </c>
      <c r="AF1024">
        <v>0</v>
      </c>
      <c r="AG1024">
        <v>0</v>
      </c>
      <c r="AH1024">
        <v>0</v>
      </c>
    </row>
    <row r="1025" spans="1:34" x14ac:dyDescent="0.35">
      <c r="A1025" t="s">
        <v>34</v>
      </c>
      <c r="B1025" s="1">
        <v>46146.65625</v>
      </c>
      <c r="C1025" t="s">
        <v>34</v>
      </c>
      <c r="D1025" s="1">
        <v>46149.625</v>
      </c>
      <c r="E1025">
        <v>7425</v>
      </c>
      <c r="F1025" t="s">
        <v>36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211.6</v>
      </c>
      <c r="N1025">
        <v>1</v>
      </c>
      <c r="O1025">
        <v>231.7</v>
      </c>
      <c r="P1025">
        <v>0</v>
      </c>
      <c r="Q1025">
        <v>0</v>
      </c>
      <c r="R1025">
        <v>0</v>
      </c>
      <c r="S1025">
        <v>0</v>
      </c>
      <c r="T1025">
        <v>0.2752</v>
      </c>
      <c r="U1025">
        <v>-0.88360000000000005</v>
      </c>
      <c r="V1025">
        <v>1.1000000000000001E-3</v>
      </c>
      <c r="W1025">
        <v>-5.4191000000000003</v>
      </c>
      <c r="X1025">
        <v>1.3027</v>
      </c>
      <c r="Y1025">
        <v>-0.54239999999999999</v>
      </c>
      <c r="Z1025">
        <v>3</v>
      </c>
      <c r="AA1025">
        <v>213.3</v>
      </c>
      <c r="AB1025">
        <v>1</v>
      </c>
      <c r="AC1025">
        <v>232</v>
      </c>
      <c r="AD1025">
        <v>0</v>
      </c>
      <c r="AE1025">
        <v>0</v>
      </c>
      <c r="AF1025">
        <v>0</v>
      </c>
      <c r="AG1025">
        <v>0</v>
      </c>
      <c r="AH1025">
        <v>0</v>
      </c>
    </row>
    <row r="1026" spans="1:34" x14ac:dyDescent="0.35">
      <c r="A1026" t="s">
        <v>34</v>
      </c>
      <c r="B1026" s="1">
        <v>46146.65625</v>
      </c>
      <c r="C1026" t="s">
        <v>34</v>
      </c>
      <c r="D1026" s="1">
        <v>46149.625</v>
      </c>
      <c r="E1026">
        <v>7430</v>
      </c>
      <c r="F1026" t="s">
        <v>36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1</v>
      </c>
      <c r="M1026">
        <v>216.6</v>
      </c>
      <c r="N1026">
        <v>1</v>
      </c>
      <c r="O1026">
        <v>236.3</v>
      </c>
      <c r="P1026">
        <v>0</v>
      </c>
      <c r="Q1026">
        <v>0</v>
      </c>
      <c r="R1026">
        <v>0</v>
      </c>
      <c r="S1026">
        <v>0</v>
      </c>
      <c r="T1026">
        <v>0.27639999999999998</v>
      </c>
      <c r="U1026">
        <v>-0.88780000000000003</v>
      </c>
      <c r="V1026">
        <v>1.1000000000000001E-3</v>
      </c>
      <c r="W1026">
        <v>-5.2687999999999997</v>
      </c>
      <c r="X1026">
        <v>1.2701</v>
      </c>
      <c r="Y1026">
        <v>-0.54530000000000001</v>
      </c>
      <c r="Z1026">
        <v>1</v>
      </c>
      <c r="AA1026">
        <v>219.8</v>
      </c>
      <c r="AB1026">
        <v>1</v>
      </c>
      <c r="AC1026">
        <v>241.8</v>
      </c>
      <c r="AD1026">
        <v>0</v>
      </c>
      <c r="AE1026">
        <v>0</v>
      </c>
      <c r="AF1026">
        <v>0</v>
      </c>
      <c r="AG1026">
        <v>0</v>
      </c>
      <c r="AH1026">
        <v>0</v>
      </c>
    </row>
    <row r="1027" spans="1:34" x14ac:dyDescent="0.35">
      <c r="A1027" t="s">
        <v>34</v>
      </c>
      <c r="B1027" s="1">
        <v>46146.65625</v>
      </c>
      <c r="C1027" t="s">
        <v>34</v>
      </c>
      <c r="D1027" s="1">
        <v>46149.625</v>
      </c>
      <c r="E1027">
        <v>7435</v>
      </c>
      <c r="F1027" t="s">
        <v>36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1</v>
      </c>
      <c r="M1027">
        <v>221.6</v>
      </c>
      <c r="N1027">
        <v>1</v>
      </c>
      <c r="O1027">
        <v>241.3</v>
      </c>
      <c r="P1027">
        <v>0</v>
      </c>
      <c r="Q1027">
        <v>0</v>
      </c>
      <c r="R1027">
        <v>0</v>
      </c>
      <c r="S1027">
        <v>0</v>
      </c>
      <c r="T1027">
        <v>0.27639999999999998</v>
      </c>
      <c r="U1027">
        <v>-0.89329999999999998</v>
      </c>
      <c r="V1027">
        <v>1E-3</v>
      </c>
      <c r="W1027">
        <v>-5.04</v>
      </c>
      <c r="X1027">
        <v>1.2265999999999999</v>
      </c>
      <c r="Y1027">
        <v>-0.54920000000000002</v>
      </c>
      <c r="Z1027">
        <v>1</v>
      </c>
      <c r="AA1027">
        <v>224.8</v>
      </c>
      <c r="AB1027">
        <v>2</v>
      </c>
      <c r="AC1027">
        <v>247.3</v>
      </c>
      <c r="AD1027">
        <v>0</v>
      </c>
      <c r="AE1027">
        <v>0</v>
      </c>
      <c r="AF1027">
        <v>0</v>
      </c>
      <c r="AG1027">
        <v>0</v>
      </c>
      <c r="AH1027">
        <v>0</v>
      </c>
    </row>
    <row r="1028" spans="1:34" x14ac:dyDescent="0.35">
      <c r="A1028" t="s">
        <v>34</v>
      </c>
      <c r="B1028" s="1">
        <v>46146.65625</v>
      </c>
      <c r="C1028" t="s">
        <v>34</v>
      </c>
      <c r="D1028" s="1">
        <v>46149.625</v>
      </c>
      <c r="E1028">
        <v>7440</v>
      </c>
      <c r="F1028" t="s">
        <v>36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1</v>
      </c>
      <c r="M1028">
        <v>226.6</v>
      </c>
      <c r="N1028">
        <v>1</v>
      </c>
      <c r="O1028">
        <v>246.4</v>
      </c>
      <c r="P1028">
        <v>0</v>
      </c>
      <c r="Q1028">
        <v>0</v>
      </c>
      <c r="R1028">
        <v>0</v>
      </c>
      <c r="S1028">
        <v>0</v>
      </c>
      <c r="T1028">
        <v>0.2858</v>
      </c>
      <c r="U1028">
        <v>-0.88990000000000002</v>
      </c>
      <c r="V1028">
        <v>1E-3</v>
      </c>
      <c r="W1028">
        <v>-5.3601999999999999</v>
      </c>
      <c r="X1028">
        <v>1.2528999999999999</v>
      </c>
      <c r="Y1028">
        <v>-0.54720000000000002</v>
      </c>
      <c r="Z1028">
        <v>1</v>
      </c>
      <c r="AA1028">
        <v>229.8</v>
      </c>
      <c r="AB1028">
        <v>1</v>
      </c>
      <c r="AC1028">
        <v>251.4</v>
      </c>
      <c r="AD1028">
        <v>0</v>
      </c>
      <c r="AE1028">
        <v>0</v>
      </c>
      <c r="AF1028">
        <v>0</v>
      </c>
      <c r="AG1028">
        <v>0</v>
      </c>
      <c r="AH1028">
        <v>0</v>
      </c>
    </row>
    <row r="1029" spans="1:34" x14ac:dyDescent="0.35">
      <c r="A1029" t="s">
        <v>34</v>
      </c>
      <c r="B1029" s="1">
        <v>46146.65625</v>
      </c>
      <c r="C1029" t="s">
        <v>34</v>
      </c>
      <c r="D1029" s="1">
        <v>46149.625</v>
      </c>
      <c r="E1029">
        <v>7445</v>
      </c>
      <c r="F1029" t="s">
        <v>36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231.7</v>
      </c>
      <c r="N1029">
        <v>1</v>
      </c>
      <c r="O1029">
        <v>251.3</v>
      </c>
      <c r="P1029">
        <v>0</v>
      </c>
      <c r="Q1029">
        <v>0</v>
      </c>
      <c r="R1029">
        <v>0</v>
      </c>
      <c r="S1029">
        <v>0</v>
      </c>
      <c r="T1029">
        <v>0.28210000000000002</v>
      </c>
      <c r="U1029">
        <v>-0.89849999999999997</v>
      </c>
      <c r="V1029">
        <v>1E-3</v>
      </c>
      <c r="W1029">
        <v>-4.915</v>
      </c>
      <c r="X1029">
        <v>1.1818</v>
      </c>
      <c r="Y1029">
        <v>-0.55279999999999996</v>
      </c>
      <c r="Z1029">
        <v>1</v>
      </c>
      <c r="AA1029">
        <v>234.7</v>
      </c>
      <c r="AB1029">
        <v>3</v>
      </c>
      <c r="AC1029">
        <v>257.3</v>
      </c>
      <c r="AD1029">
        <v>0</v>
      </c>
      <c r="AE1029">
        <v>0</v>
      </c>
      <c r="AF1029">
        <v>0</v>
      </c>
      <c r="AG1029">
        <v>0</v>
      </c>
      <c r="AH1029">
        <v>0</v>
      </c>
    </row>
    <row r="1030" spans="1:34" x14ac:dyDescent="0.35">
      <c r="A1030" t="s">
        <v>34</v>
      </c>
      <c r="B1030" s="1">
        <v>46146.65625</v>
      </c>
      <c r="C1030" t="s">
        <v>34</v>
      </c>
      <c r="D1030" s="1">
        <v>46149.625</v>
      </c>
      <c r="E1030">
        <v>7450</v>
      </c>
      <c r="F1030" t="s">
        <v>36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1</v>
      </c>
      <c r="M1030">
        <v>237.6</v>
      </c>
      <c r="N1030">
        <v>1</v>
      </c>
      <c r="O1030">
        <v>256.60000000000002</v>
      </c>
      <c r="P1030">
        <v>0</v>
      </c>
      <c r="Q1030">
        <v>0</v>
      </c>
      <c r="R1030">
        <v>0</v>
      </c>
      <c r="S1030">
        <v>0</v>
      </c>
      <c r="T1030">
        <v>0.16</v>
      </c>
      <c r="U1030">
        <v>-0.98939999999999995</v>
      </c>
      <c r="V1030">
        <v>2.9999999999999997E-4</v>
      </c>
      <c r="W1030">
        <v>-0.27589999999999998</v>
      </c>
      <c r="X1030">
        <v>0.20949999999999999</v>
      </c>
      <c r="Y1030">
        <v>-0.60580000000000001</v>
      </c>
      <c r="Z1030">
        <v>3</v>
      </c>
      <c r="AA1030">
        <v>238.3</v>
      </c>
      <c r="AB1030">
        <v>1</v>
      </c>
      <c r="AC1030">
        <v>256.89999999999998</v>
      </c>
      <c r="AD1030">
        <v>0</v>
      </c>
      <c r="AE1030">
        <v>0</v>
      </c>
      <c r="AF1030">
        <v>0</v>
      </c>
      <c r="AG1030">
        <v>0</v>
      </c>
      <c r="AH1030">
        <v>0</v>
      </c>
    </row>
    <row r="1031" spans="1:34" x14ac:dyDescent="0.35">
      <c r="A1031" t="s">
        <v>34</v>
      </c>
      <c r="B1031" s="1">
        <v>46146.65625</v>
      </c>
      <c r="C1031" t="s">
        <v>34</v>
      </c>
      <c r="D1031" s="1">
        <v>46149.625</v>
      </c>
      <c r="E1031">
        <v>7460</v>
      </c>
      <c r="F1031" t="s">
        <v>36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1</v>
      </c>
      <c r="M1031">
        <v>246.7</v>
      </c>
      <c r="N1031">
        <v>1</v>
      </c>
      <c r="O1031">
        <v>267.2</v>
      </c>
      <c r="P1031">
        <v>0</v>
      </c>
      <c r="Q1031">
        <v>0</v>
      </c>
      <c r="R1031">
        <v>0</v>
      </c>
      <c r="S1031">
        <v>0</v>
      </c>
      <c r="T1031">
        <v>0.15540000000000001</v>
      </c>
      <c r="U1031">
        <v>-0.99319999999999997</v>
      </c>
      <c r="V1031">
        <v>2.0000000000000001E-4</v>
      </c>
      <c r="W1031">
        <v>-0.15690000000000001</v>
      </c>
      <c r="X1031">
        <v>0.14549999999999999</v>
      </c>
      <c r="Y1031">
        <v>-0.60880000000000001</v>
      </c>
      <c r="Z1031">
        <v>3</v>
      </c>
      <c r="AA1031">
        <v>248.3</v>
      </c>
      <c r="AB1031">
        <v>1</v>
      </c>
      <c r="AC1031">
        <v>267.2</v>
      </c>
      <c r="AD1031">
        <v>0</v>
      </c>
      <c r="AE1031">
        <v>0</v>
      </c>
      <c r="AF1031">
        <v>0</v>
      </c>
      <c r="AG1031">
        <v>0</v>
      </c>
      <c r="AH1031">
        <v>0</v>
      </c>
    </row>
    <row r="1032" spans="1:34" x14ac:dyDescent="0.35">
      <c r="A1032" t="s">
        <v>34</v>
      </c>
      <c r="B1032" s="1">
        <v>46146.65625</v>
      </c>
      <c r="C1032" t="s">
        <v>34</v>
      </c>
      <c r="D1032" s="1">
        <v>46149.625</v>
      </c>
      <c r="E1032">
        <v>7470</v>
      </c>
      <c r="F1032" t="s">
        <v>36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1</v>
      </c>
      <c r="M1032">
        <v>256.60000000000002</v>
      </c>
      <c r="N1032">
        <v>1</v>
      </c>
      <c r="O1032">
        <v>277.10000000000002</v>
      </c>
      <c r="P1032">
        <v>0</v>
      </c>
      <c r="Q1032">
        <v>0</v>
      </c>
      <c r="R1032">
        <v>0</v>
      </c>
      <c r="S1032">
        <v>0</v>
      </c>
      <c r="T1032">
        <v>0.15049999999999999</v>
      </c>
      <c r="U1032">
        <v>-0.99590000000000001</v>
      </c>
      <c r="V1032">
        <v>1E-4</v>
      </c>
      <c r="W1032">
        <v>-7.4499999999999997E-2</v>
      </c>
      <c r="X1032">
        <v>9.4700000000000006E-2</v>
      </c>
      <c r="Y1032">
        <v>-0.61109999999999998</v>
      </c>
      <c r="Z1032">
        <v>3</v>
      </c>
      <c r="AA1032">
        <v>258.3</v>
      </c>
      <c r="AB1032">
        <v>1</v>
      </c>
      <c r="AC1032">
        <v>277.10000000000002</v>
      </c>
      <c r="AD1032">
        <v>0</v>
      </c>
      <c r="AE1032">
        <v>0</v>
      </c>
      <c r="AF1032">
        <v>0</v>
      </c>
      <c r="AG1032">
        <v>0</v>
      </c>
      <c r="AH1032">
        <v>0</v>
      </c>
    </row>
    <row r="1033" spans="1:34" x14ac:dyDescent="0.35">
      <c r="A1033" t="s">
        <v>34</v>
      </c>
      <c r="B1033" s="1">
        <v>46146.65625</v>
      </c>
      <c r="C1033" t="s">
        <v>34</v>
      </c>
      <c r="D1033" s="1">
        <v>46149.625</v>
      </c>
      <c r="E1033">
        <v>7475</v>
      </c>
      <c r="F1033" t="s">
        <v>36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261.7</v>
      </c>
      <c r="N1033">
        <v>1</v>
      </c>
      <c r="O1033">
        <v>280.8</v>
      </c>
      <c r="P1033">
        <v>0</v>
      </c>
      <c r="Q1033">
        <v>0</v>
      </c>
      <c r="R1033">
        <v>0</v>
      </c>
      <c r="S1033">
        <v>0</v>
      </c>
      <c r="T1033">
        <v>0.30530000000000002</v>
      </c>
      <c r="U1033">
        <v>-0.90600000000000003</v>
      </c>
      <c r="V1033">
        <v>8.0000000000000004E-4</v>
      </c>
      <c r="W1033">
        <v>-4.9637000000000002</v>
      </c>
      <c r="X1033">
        <v>1.1166</v>
      </c>
      <c r="Y1033">
        <v>-0.55969999999999998</v>
      </c>
      <c r="Z1033">
        <v>1</v>
      </c>
      <c r="AA1033">
        <v>263.89999999999998</v>
      </c>
      <c r="AB1033">
        <v>1</v>
      </c>
      <c r="AC1033">
        <v>286.8</v>
      </c>
      <c r="AD1033">
        <v>0</v>
      </c>
      <c r="AE1033">
        <v>0</v>
      </c>
      <c r="AF1033">
        <v>0</v>
      </c>
      <c r="AG1033">
        <v>0</v>
      </c>
      <c r="AH1033">
        <v>0</v>
      </c>
    </row>
    <row r="1034" spans="1:34" x14ac:dyDescent="0.35">
      <c r="A1034" t="s">
        <v>34</v>
      </c>
      <c r="B1034" s="1">
        <v>46146.65625</v>
      </c>
      <c r="C1034" t="s">
        <v>34</v>
      </c>
      <c r="D1034" s="1">
        <v>46149.625</v>
      </c>
      <c r="E1034">
        <v>7480</v>
      </c>
      <c r="F1034" t="s">
        <v>36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266.7</v>
      </c>
      <c r="N1034">
        <v>1</v>
      </c>
      <c r="O1034">
        <v>286.60000000000002</v>
      </c>
      <c r="P1034">
        <v>0</v>
      </c>
      <c r="Q1034">
        <v>0</v>
      </c>
      <c r="R1034">
        <v>0</v>
      </c>
      <c r="S1034">
        <v>0</v>
      </c>
      <c r="T1034">
        <v>0.32119999999999999</v>
      </c>
      <c r="U1034">
        <v>-0.89800000000000002</v>
      </c>
      <c r="V1034">
        <v>8.0000000000000004E-4</v>
      </c>
      <c r="W1034">
        <v>-5.6230000000000002</v>
      </c>
      <c r="X1034">
        <v>1.1823999999999999</v>
      </c>
      <c r="Y1034">
        <v>-0.55510000000000004</v>
      </c>
      <c r="Z1034">
        <v>3</v>
      </c>
      <c r="AA1034">
        <v>268.3</v>
      </c>
      <c r="AB1034">
        <v>1</v>
      </c>
      <c r="AC1034">
        <v>287.10000000000002</v>
      </c>
      <c r="AD1034">
        <v>0</v>
      </c>
      <c r="AE1034">
        <v>0</v>
      </c>
      <c r="AF1034">
        <v>0</v>
      </c>
      <c r="AG1034">
        <v>0</v>
      </c>
      <c r="AH1034">
        <v>0</v>
      </c>
    </row>
    <row r="1035" spans="1:34" x14ac:dyDescent="0.35">
      <c r="A1035" t="s">
        <v>34</v>
      </c>
      <c r="B1035" s="1">
        <v>46146.65625</v>
      </c>
      <c r="C1035" t="s">
        <v>34</v>
      </c>
      <c r="D1035" s="1">
        <v>46149.625</v>
      </c>
      <c r="E1035">
        <v>7490</v>
      </c>
      <c r="F1035" t="s">
        <v>36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277.60000000000002</v>
      </c>
      <c r="N1035">
        <v>1</v>
      </c>
      <c r="O1035">
        <v>295.8</v>
      </c>
      <c r="P1035">
        <v>0</v>
      </c>
      <c r="Q1035">
        <v>0</v>
      </c>
      <c r="R1035">
        <v>0</v>
      </c>
      <c r="S1035">
        <v>0</v>
      </c>
      <c r="T1035">
        <v>0.31569999999999998</v>
      </c>
      <c r="U1035">
        <v>-0.9103</v>
      </c>
      <c r="V1035">
        <v>8.0000000000000004E-4</v>
      </c>
      <c r="W1035">
        <v>-4.9169</v>
      </c>
      <c r="X1035">
        <v>1.0785</v>
      </c>
      <c r="Y1035">
        <v>-0.56330000000000002</v>
      </c>
      <c r="Z1035">
        <v>1</v>
      </c>
      <c r="AA1035">
        <v>279</v>
      </c>
      <c r="AB1035">
        <v>1</v>
      </c>
      <c r="AC1035">
        <v>301.8</v>
      </c>
      <c r="AD1035">
        <v>0</v>
      </c>
      <c r="AE1035">
        <v>0</v>
      </c>
      <c r="AF1035">
        <v>0</v>
      </c>
      <c r="AG1035">
        <v>0</v>
      </c>
      <c r="AH1035">
        <v>0</v>
      </c>
    </row>
    <row r="1036" spans="1:34" x14ac:dyDescent="0.35">
      <c r="A1036" t="s">
        <v>34</v>
      </c>
      <c r="B1036" s="1">
        <v>46146.65625</v>
      </c>
      <c r="C1036" t="s">
        <v>34</v>
      </c>
      <c r="D1036" s="1">
        <v>46149.625</v>
      </c>
      <c r="E1036">
        <v>7500</v>
      </c>
      <c r="F1036" t="s">
        <v>36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286.60000000000002</v>
      </c>
      <c r="N1036">
        <v>1</v>
      </c>
      <c r="O1036">
        <v>306.60000000000002</v>
      </c>
      <c r="P1036">
        <v>0</v>
      </c>
      <c r="Q1036">
        <v>0</v>
      </c>
      <c r="R1036">
        <v>0</v>
      </c>
      <c r="S1036">
        <v>0</v>
      </c>
      <c r="T1036">
        <v>0.33779999999999999</v>
      </c>
      <c r="U1036">
        <v>-0.90200000000000002</v>
      </c>
      <c r="V1036">
        <v>8.0000000000000004E-4</v>
      </c>
      <c r="W1036">
        <v>-5.7003000000000004</v>
      </c>
      <c r="X1036">
        <v>1.147</v>
      </c>
      <c r="Y1036">
        <v>-0.55900000000000005</v>
      </c>
      <c r="Z1036">
        <v>1</v>
      </c>
      <c r="AA1036">
        <v>288.7</v>
      </c>
      <c r="AB1036">
        <v>1</v>
      </c>
      <c r="AC1036">
        <v>306.89999999999998</v>
      </c>
      <c r="AD1036">
        <v>0</v>
      </c>
      <c r="AE1036">
        <v>0</v>
      </c>
      <c r="AF1036">
        <v>0</v>
      </c>
      <c r="AG1036">
        <v>0</v>
      </c>
      <c r="AH1036">
        <v>0</v>
      </c>
    </row>
    <row r="1037" spans="1:34" x14ac:dyDescent="0.35">
      <c r="A1037" t="s">
        <v>34</v>
      </c>
      <c r="B1037" s="1">
        <v>46146.65625</v>
      </c>
      <c r="C1037" t="s">
        <v>34</v>
      </c>
      <c r="D1037" s="1">
        <v>46149.625</v>
      </c>
      <c r="E1037">
        <v>7510</v>
      </c>
      <c r="F1037" t="s">
        <v>36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296.7</v>
      </c>
      <c r="N1037">
        <v>1</v>
      </c>
      <c r="O1037">
        <v>316.39999999999998</v>
      </c>
      <c r="P1037">
        <v>0</v>
      </c>
      <c r="Q1037">
        <v>0</v>
      </c>
      <c r="R1037">
        <v>0</v>
      </c>
      <c r="S1037">
        <v>0</v>
      </c>
      <c r="T1037">
        <v>0.184</v>
      </c>
      <c r="U1037">
        <v>-0.99329999999999996</v>
      </c>
      <c r="V1037">
        <v>2.0000000000000001E-4</v>
      </c>
      <c r="W1037">
        <v>-0.1792</v>
      </c>
      <c r="X1037">
        <v>0.13819999999999999</v>
      </c>
      <c r="Y1037">
        <v>-0.6129</v>
      </c>
      <c r="Z1037">
        <v>1</v>
      </c>
      <c r="AA1037">
        <v>299.7</v>
      </c>
      <c r="AB1037">
        <v>2</v>
      </c>
      <c r="AC1037">
        <v>322.3</v>
      </c>
      <c r="AD1037">
        <v>0</v>
      </c>
      <c r="AE1037">
        <v>0</v>
      </c>
      <c r="AF1037">
        <v>0</v>
      </c>
      <c r="AG1037">
        <v>0</v>
      </c>
      <c r="AH1037">
        <v>0</v>
      </c>
    </row>
    <row r="1038" spans="1:34" x14ac:dyDescent="0.35">
      <c r="A1038" t="s">
        <v>34</v>
      </c>
      <c r="B1038" s="1">
        <v>46146.65625</v>
      </c>
      <c r="C1038" t="s">
        <v>34</v>
      </c>
      <c r="D1038" s="1">
        <v>46149.625</v>
      </c>
      <c r="E1038">
        <v>7520</v>
      </c>
      <c r="F1038" t="s">
        <v>36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306.60000000000002</v>
      </c>
      <c r="N1038">
        <v>1</v>
      </c>
      <c r="O1038">
        <v>326.39999999999998</v>
      </c>
      <c r="P1038">
        <v>0</v>
      </c>
      <c r="Q1038">
        <v>0</v>
      </c>
      <c r="R1038">
        <v>0</v>
      </c>
      <c r="S1038">
        <v>0</v>
      </c>
      <c r="T1038">
        <v>0.20019999999999999</v>
      </c>
      <c r="U1038">
        <v>-0.99050000000000005</v>
      </c>
      <c r="V1038">
        <v>2.0000000000000001E-4</v>
      </c>
      <c r="W1038">
        <v>-0.3034</v>
      </c>
      <c r="X1038">
        <v>0.18529999999999999</v>
      </c>
      <c r="Y1038">
        <v>-0.61199999999999999</v>
      </c>
      <c r="Z1038">
        <v>1</v>
      </c>
      <c r="AA1038">
        <v>309.7</v>
      </c>
      <c r="AB1038">
        <v>2</v>
      </c>
      <c r="AC1038">
        <v>332.2</v>
      </c>
      <c r="AD1038">
        <v>0</v>
      </c>
      <c r="AE1038">
        <v>0</v>
      </c>
      <c r="AF1038">
        <v>0</v>
      </c>
      <c r="AG1038">
        <v>0</v>
      </c>
      <c r="AH1038">
        <v>0</v>
      </c>
    </row>
    <row r="1039" spans="1:34" x14ac:dyDescent="0.35">
      <c r="A1039" t="s">
        <v>34</v>
      </c>
      <c r="B1039" s="1">
        <v>46146.65625</v>
      </c>
      <c r="C1039" t="s">
        <v>34</v>
      </c>
      <c r="D1039" s="1">
        <v>46149.625</v>
      </c>
      <c r="E1039">
        <v>7525</v>
      </c>
      <c r="F1039" t="s">
        <v>36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311.8</v>
      </c>
      <c r="N1039">
        <v>1</v>
      </c>
      <c r="O1039">
        <v>331.5</v>
      </c>
      <c r="P1039">
        <v>0</v>
      </c>
      <c r="Q1039">
        <v>0</v>
      </c>
      <c r="R1039">
        <v>0</v>
      </c>
      <c r="S1039">
        <v>0</v>
      </c>
      <c r="T1039">
        <v>0.35720000000000002</v>
      </c>
      <c r="U1039">
        <v>-0.90710000000000002</v>
      </c>
      <c r="V1039">
        <v>6.9999999999999999E-4</v>
      </c>
      <c r="W1039">
        <v>-5.7413999999999996</v>
      </c>
      <c r="X1039">
        <v>1.1022000000000001</v>
      </c>
      <c r="Y1039">
        <v>-0.56379999999999997</v>
      </c>
      <c r="Z1039">
        <v>3</v>
      </c>
      <c r="AA1039">
        <v>313.2</v>
      </c>
      <c r="AB1039">
        <v>1</v>
      </c>
      <c r="AC1039">
        <v>331.8</v>
      </c>
      <c r="AD1039">
        <v>0</v>
      </c>
      <c r="AE1039">
        <v>0</v>
      </c>
      <c r="AF1039">
        <v>0</v>
      </c>
      <c r="AG1039">
        <v>0</v>
      </c>
      <c r="AH1039">
        <v>0</v>
      </c>
    </row>
    <row r="1040" spans="1:34" x14ac:dyDescent="0.35">
      <c r="A1040" t="s">
        <v>34</v>
      </c>
      <c r="B1040" s="1">
        <v>46146.65625</v>
      </c>
      <c r="C1040" t="s">
        <v>34</v>
      </c>
      <c r="D1040" s="1">
        <v>46149.625</v>
      </c>
      <c r="E1040">
        <v>7550</v>
      </c>
      <c r="F1040" t="s">
        <v>36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337.5</v>
      </c>
      <c r="N1040">
        <v>1</v>
      </c>
      <c r="O1040">
        <v>355.7</v>
      </c>
      <c r="P1040">
        <v>0</v>
      </c>
      <c r="Q1040">
        <v>0</v>
      </c>
      <c r="R1040">
        <v>0</v>
      </c>
      <c r="S1040">
        <v>0</v>
      </c>
      <c r="T1040">
        <v>0.36399999999999999</v>
      </c>
      <c r="U1040">
        <v>-0.91920000000000002</v>
      </c>
      <c r="V1040">
        <v>5.9999999999999995E-4</v>
      </c>
      <c r="W1040">
        <v>-5.1418999999999997</v>
      </c>
      <c r="X1040">
        <v>0.99560000000000004</v>
      </c>
      <c r="Y1040">
        <v>-0.57310000000000005</v>
      </c>
      <c r="Z1040">
        <v>1</v>
      </c>
      <c r="AA1040">
        <v>338.9</v>
      </c>
      <c r="AB1040">
        <v>1</v>
      </c>
      <c r="AC1040">
        <v>361.4</v>
      </c>
      <c r="AD1040">
        <v>0</v>
      </c>
      <c r="AE1040">
        <v>0</v>
      </c>
      <c r="AF1040">
        <v>0</v>
      </c>
      <c r="AG1040">
        <v>0</v>
      </c>
      <c r="AH1040">
        <v>0</v>
      </c>
    </row>
    <row r="1041" spans="1:34" x14ac:dyDescent="0.35">
      <c r="A1041" t="s">
        <v>34</v>
      </c>
      <c r="B1041" s="1">
        <v>46146.65625</v>
      </c>
      <c r="C1041" t="s">
        <v>34</v>
      </c>
      <c r="D1041" s="1">
        <v>46149.625</v>
      </c>
      <c r="E1041">
        <v>7575</v>
      </c>
      <c r="F1041" t="s">
        <v>36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1</v>
      </c>
      <c r="M1041">
        <v>362.3</v>
      </c>
      <c r="N1041">
        <v>2</v>
      </c>
      <c r="O1041">
        <v>382.4</v>
      </c>
      <c r="P1041">
        <v>0</v>
      </c>
      <c r="Q1041">
        <v>0</v>
      </c>
      <c r="R1041">
        <v>0</v>
      </c>
      <c r="S1041">
        <v>0</v>
      </c>
      <c r="T1041">
        <v>0.2447</v>
      </c>
      <c r="U1041">
        <v>-0.98760000000000003</v>
      </c>
      <c r="V1041">
        <v>2.0000000000000001E-4</v>
      </c>
      <c r="W1041">
        <v>-0.50190000000000001</v>
      </c>
      <c r="X1041">
        <v>0.22550000000000001</v>
      </c>
      <c r="Y1041">
        <v>-0.61419999999999997</v>
      </c>
      <c r="Z1041">
        <v>3</v>
      </c>
      <c r="AA1041">
        <v>363.2</v>
      </c>
      <c r="AB1041">
        <v>1</v>
      </c>
      <c r="AC1041">
        <v>383</v>
      </c>
      <c r="AD1041">
        <v>0</v>
      </c>
      <c r="AE1041">
        <v>0</v>
      </c>
      <c r="AF1041">
        <v>0</v>
      </c>
      <c r="AG1041">
        <v>0</v>
      </c>
      <c r="AH1041">
        <v>0</v>
      </c>
    </row>
    <row r="1042" spans="1:34" x14ac:dyDescent="0.35">
      <c r="A1042" t="s">
        <v>34</v>
      </c>
      <c r="B1042" s="1">
        <v>46146.65625</v>
      </c>
      <c r="C1042" t="s">
        <v>34</v>
      </c>
      <c r="D1042" s="1">
        <v>46149.625</v>
      </c>
      <c r="E1042">
        <v>7600</v>
      </c>
      <c r="F1042" t="s">
        <v>36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386.4</v>
      </c>
      <c r="N1042">
        <v>1</v>
      </c>
      <c r="O1042">
        <v>407</v>
      </c>
      <c r="P1042">
        <v>0</v>
      </c>
      <c r="Q1042">
        <v>0</v>
      </c>
      <c r="R1042">
        <v>0</v>
      </c>
      <c r="S1042">
        <v>0</v>
      </c>
      <c r="T1042">
        <v>0.1739</v>
      </c>
      <c r="U1042">
        <v>-0.99960000000000004</v>
      </c>
      <c r="V1042">
        <v>0</v>
      </c>
      <c r="W1042">
        <v>0</v>
      </c>
      <c r="X1042">
        <v>1.09E-2</v>
      </c>
      <c r="Y1042">
        <v>-0.62290000000000001</v>
      </c>
      <c r="Z1042">
        <v>3</v>
      </c>
      <c r="AA1042">
        <v>388.2</v>
      </c>
      <c r="AB1042">
        <v>1</v>
      </c>
      <c r="AC1042">
        <v>407</v>
      </c>
      <c r="AD1042">
        <v>0</v>
      </c>
      <c r="AE1042">
        <v>0</v>
      </c>
      <c r="AF1042">
        <v>0</v>
      </c>
      <c r="AG1042">
        <v>0</v>
      </c>
      <c r="AH1042">
        <v>0</v>
      </c>
    </row>
    <row r="1043" spans="1:34" x14ac:dyDescent="0.35">
      <c r="A1043" t="s">
        <v>34</v>
      </c>
      <c r="B1043" s="1">
        <v>46146.65625</v>
      </c>
      <c r="C1043" t="s">
        <v>34</v>
      </c>
      <c r="D1043" s="1">
        <v>46149.625</v>
      </c>
      <c r="E1043">
        <v>7625</v>
      </c>
      <c r="F1043" t="s">
        <v>36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1</v>
      </c>
      <c r="M1043">
        <v>411.5</v>
      </c>
      <c r="N1043">
        <v>1</v>
      </c>
      <c r="O1043">
        <v>432.1</v>
      </c>
      <c r="P1043">
        <v>0</v>
      </c>
      <c r="Q1043">
        <v>0</v>
      </c>
      <c r="R1043">
        <v>0</v>
      </c>
      <c r="S1043">
        <v>0</v>
      </c>
      <c r="T1043">
        <v>0.22550000000000001</v>
      </c>
      <c r="U1043">
        <v>-0.99709999999999999</v>
      </c>
      <c r="V1043">
        <v>1E-4</v>
      </c>
      <c r="W1043">
        <v>-6.0699999999999997E-2</v>
      </c>
      <c r="X1043">
        <v>6.4799999999999996E-2</v>
      </c>
      <c r="Y1043">
        <v>-0.62329999999999997</v>
      </c>
      <c r="Z1043">
        <v>3</v>
      </c>
      <c r="AA1043">
        <v>413.2</v>
      </c>
      <c r="AB1043">
        <v>1</v>
      </c>
      <c r="AC1043">
        <v>432.1</v>
      </c>
      <c r="AD1043">
        <v>0</v>
      </c>
      <c r="AE1043">
        <v>0</v>
      </c>
      <c r="AF1043">
        <v>0</v>
      </c>
      <c r="AG1043">
        <v>0</v>
      </c>
      <c r="AH1043">
        <v>0</v>
      </c>
    </row>
    <row r="1044" spans="1:34" x14ac:dyDescent="0.35">
      <c r="A1044" t="s">
        <v>34</v>
      </c>
      <c r="B1044" s="1">
        <v>46146.65625</v>
      </c>
      <c r="C1044" t="s">
        <v>34</v>
      </c>
      <c r="D1044" s="1">
        <v>46149.625</v>
      </c>
      <c r="E1044">
        <v>7650</v>
      </c>
      <c r="F1044" t="s">
        <v>36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1</v>
      </c>
      <c r="M1044">
        <v>436.5</v>
      </c>
      <c r="N1044">
        <v>1</v>
      </c>
      <c r="O1044">
        <v>457</v>
      </c>
      <c r="P1044">
        <v>0</v>
      </c>
      <c r="Q1044">
        <v>0</v>
      </c>
      <c r="R1044">
        <v>0</v>
      </c>
      <c r="S1044">
        <v>0</v>
      </c>
      <c r="T1044">
        <v>0.2278</v>
      </c>
      <c r="U1044">
        <v>-0.99809999999999999</v>
      </c>
      <c r="V1044">
        <v>0</v>
      </c>
      <c r="W1044">
        <v>-2.0899999999999998E-2</v>
      </c>
      <c r="X1044">
        <v>4.5400000000000003E-2</v>
      </c>
      <c r="Y1044">
        <v>-0.62570000000000003</v>
      </c>
      <c r="Z1044">
        <v>3</v>
      </c>
      <c r="AA1044">
        <v>438.2</v>
      </c>
      <c r="AB1044">
        <v>1</v>
      </c>
      <c r="AC1044">
        <v>457</v>
      </c>
      <c r="AD1044">
        <v>0</v>
      </c>
      <c r="AE1044">
        <v>0</v>
      </c>
      <c r="AF1044">
        <v>0</v>
      </c>
      <c r="AG1044">
        <v>0</v>
      </c>
      <c r="AH1044">
        <v>0</v>
      </c>
    </row>
    <row r="1045" spans="1:34" x14ac:dyDescent="0.35">
      <c r="A1045" t="s">
        <v>34</v>
      </c>
      <c r="B1045" s="1">
        <v>46146.65625</v>
      </c>
      <c r="C1045" t="s">
        <v>34</v>
      </c>
      <c r="D1045" s="1">
        <v>46149.625</v>
      </c>
      <c r="E1045">
        <v>7675</v>
      </c>
      <c r="F1045" t="s">
        <v>36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461.4</v>
      </c>
      <c r="N1045">
        <v>1</v>
      </c>
      <c r="O1045">
        <v>481.2</v>
      </c>
      <c r="P1045">
        <v>0</v>
      </c>
      <c r="Q1045">
        <v>0</v>
      </c>
      <c r="R1045">
        <v>0</v>
      </c>
      <c r="S1045">
        <v>0</v>
      </c>
      <c r="T1045">
        <v>0.46989999999999998</v>
      </c>
      <c r="U1045">
        <v>-0.9274</v>
      </c>
      <c r="V1045">
        <v>5.0000000000000001E-4</v>
      </c>
      <c r="W1045">
        <v>-5.9946000000000002</v>
      </c>
      <c r="X1045">
        <v>0.91159999999999997</v>
      </c>
      <c r="Y1045">
        <v>-0.58699999999999997</v>
      </c>
      <c r="Z1045">
        <v>1</v>
      </c>
      <c r="AA1045">
        <v>464.7</v>
      </c>
      <c r="AB1045">
        <v>1</v>
      </c>
      <c r="AC1045">
        <v>486.7</v>
      </c>
      <c r="AD1045">
        <v>0</v>
      </c>
      <c r="AE1045">
        <v>0</v>
      </c>
      <c r="AF1045">
        <v>0</v>
      </c>
      <c r="AG1045">
        <v>0</v>
      </c>
      <c r="AH1045">
        <v>0</v>
      </c>
    </row>
    <row r="1046" spans="1:34" x14ac:dyDescent="0.35">
      <c r="A1046" t="s">
        <v>34</v>
      </c>
      <c r="B1046" s="1">
        <v>46146.65625</v>
      </c>
      <c r="C1046" t="s">
        <v>34</v>
      </c>
      <c r="D1046" s="1">
        <v>46149.625</v>
      </c>
      <c r="E1046">
        <v>7700</v>
      </c>
      <c r="F1046" t="s">
        <v>36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1</v>
      </c>
      <c r="M1046">
        <v>486.5</v>
      </c>
      <c r="N1046">
        <v>1</v>
      </c>
      <c r="O1046">
        <v>506.6</v>
      </c>
      <c r="P1046">
        <v>0</v>
      </c>
      <c r="Q1046">
        <v>0</v>
      </c>
      <c r="R1046">
        <v>0</v>
      </c>
      <c r="S1046">
        <v>0</v>
      </c>
      <c r="T1046">
        <v>0.4929</v>
      </c>
      <c r="U1046">
        <v>-0.92769999999999997</v>
      </c>
      <c r="V1046">
        <v>4.0000000000000002E-4</v>
      </c>
      <c r="W1046">
        <v>-6.2607999999999997</v>
      </c>
      <c r="X1046">
        <v>0.90759999999999996</v>
      </c>
      <c r="Y1046">
        <v>-0.58909999999999996</v>
      </c>
      <c r="Z1046">
        <v>3</v>
      </c>
      <c r="AA1046">
        <v>488.2</v>
      </c>
      <c r="AB1046">
        <v>1</v>
      </c>
      <c r="AC1046">
        <v>507.2</v>
      </c>
      <c r="AD1046">
        <v>0</v>
      </c>
      <c r="AE1046">
        <v>0</v>
      </c>
      <c r="AF1046">
        <v>0</v>
      </c>
      <c r="AG1046">
        <v>0</v>
      </c>
      <c r="AH1046">
        <v>0</v>
      </c>
    </row>
    <row r="1047" spans="1:34" x14ac:dyDescent="0.35">
      <c r="A1047" t="s">
        <v>34</v>
      </c>
      <c r="B1047" s="1">
        <v>46146.65625</v>
      </c>
      <c r="C1047" t="s">
        <v>34</v>
      </c>
      <c r="D1047" s="1">
        <v>46149.625</v>
      </c>
      <c r="E1047">
        <v>7725</v>
      </c>
      <c r="F1047" t="s">
        <v>36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511.6</v>
      </c>
      <c r="N1047">
        <v>1</v>
      </c>
      <c r="O1047">
        <v>531</v>
      </c>
      <c r="P1047">
        <v>0</v>
      </c>
      <c r="Q1047">
        <v>0</v>
      </c>
      <c r="R1047">
        <v>0</v>
      </c>
      <c r="S1047">
        <v>0</v>
      </c>
      <c r="T1047">
        <v>0.49619999999999997</v>
      </c>
      <c r="U1047">
        <v>-0.93600000000000005</v>
      </c>
      <c r="V1047">
        <v>4.0000000000000002E-4</v>
      </c>
      <c r="W1047">
        <v>-5.6063000000000001</v>
      </c>
      <c r="X1047">
        <v>0.82720000000000005</v>
      </c>
      <c r="Y1047">
        <v>-0.59599999999999997</v>
      </c>
      <c r="Z1047">
        <v>1</v>
      </c>
      <c r="AA1047">
        <v>514.20000000000005</v>
      </c>
      <c r="AB1047">
        <v>2</v>
      </c>
      <c r="AC1047">
        <v>537.1</v>
      </c>
      <c r="AD1047">
        <v>0</v>
      </c>
      <c r="AE1047">
        <v>0</v>
      </c>
      <c r="AF1047">
        <v>0</v>
      </c>
      <c r="AG1047">
        <v>0</v>
      </c>
      <c r="AH1047">
        <v>0</v>
      </c>
    </row>
    <row r="1048" spans="1:34" x14ac:dyDescent="0.35">
      <c r="A1048" t="s">
        <v>34</v>
      </c>
      <c r="B1048" s="1">
        <v>46146.65625</v>
      </c>
      <c r="C1048" t="s">
        <v>34</v>
      </c>
      <c r="D1048" s="1">
        <v>46149.625</v>
      </c>
      <c r="E1048">
        <v>7800</v>
      </c>
      <c r="F1048" t="s">
        <v>36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586.9</v>
      </c>
      <c r="N1048">
        <v>1</v>
      </c>
      <c r="O1048">
        <v>605.6</v>
      </c>
      <c r="P1048">
        <v>0</v>
      </c>
      <c r="Q1048">
        <v>0</v>
      </c>
      <c r="R1048">
        <v>0</v>
      </c>
      <c r="S1048">
        <v>0</v>
      </c>
      <c r="T1048">
        <v>0.54549999999999998</v>
      </c>
      <c r="U1048">
        <v>-0.94230000000000003</v>
      </c>
      <c r="V1048">
        <v>2.9999999999999997E-4</v>
      </c>
      <c r="W1048">
        <v>-5.5743999999999998</v>
      </c>
      <c r="X1048">
        <v>0.76239999999999997</v>
      </c>
      <c r="Y1048">
        <v>-0.60529999999999995</v>
      </c>
      <c r="Z1048">
        <v>1</v>
      </c>
      <c r="AA1048">
        <v>588.9</v>
      </c>
      <c r="AB1048">
        <v>1</v>
      </c>
      <c r="AC1048">
        <v>611.6</v>
      </c>
      <c r="AD1048">
        <v>0</v>
      </c>
      <c r="AE1048">
        <v>0</v>
      </c>
      <c r="AF1048">
        <v>0</v>
      </c>
      <c r="AG1048">
        <v>0</v>
      </c>
      <c r="AH1048">
        <v>0</v>
      </c>
    </row>
    <row r="1049" spans="1:34" x14ac:dyDescent="0.35">
      <c r="A1049" t="s">
        <v>34</v>
      </c>
      <c r="B1049" s="1">
        <v>46146.65625</v>
      </c>
      <c r="C1049" t="s">
        <v>34</v>
      </c>
      <c r="D1049" s="1">
        <v>46149.625</v>
      </c>
      <c r="E1049">
        <v>7900</v>
      </c>
      <c r="F1049" t="s">
        <v>36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686.4</v>
      </c>
      <c r="N1049">
        <v>1</v>
      </c>
      <c r="O1049">
        <v>705.6</v>
      </c>
      <c r="P1049">
        <v>0</v>
      </c>
      <c r="Q1049">
        <v>0</v>
      </c>
      <c r="R1049">
        <v>0</v>
      </c>
      <c r="S1049">
        <v>0</v>
      </c>
      <c r="T1049">
        <v>0.61360000000000003</v>
      </c>
      <c r="U1049">
        <v>-0.94750000000000001</v>
      </c>
      <c r="V1049">
        <v>2.9999999999999997E-4</v>
      </c>
      <c r="W1049">
        <v>-5.7092999999999998</v>
      </c>
      <c r="X1049">
        <v>0.70520000000000005</v>
      </c>
      <c r="Y1049">
        <v>-0.6159</v>
      </c>
      <c r="Z1049">
        <v>1</v>
      </c>
      <c r="AA1049">
        <v>688.8</v>
      </c>
      <c r="AB1049">
        <v>1</v>
      </c>
      <c r="AC1049">
        <v>711.6</v>
      </c>
      <c r="AD1049">
        <v>0</v>
      </c>
      <c r="AE1049">
        <v>0</v>
      </c>
      <c r="AF1049">
        <v>0</v>
      </c>
      <c r="AG1049">
        <v>0</v>
      </c>
      <c r="AH1049">
        <v>0</v>
      </c>
    </row>
    <row r="1050" spans="1:34" x14ac:dyDescent="0.35">
      <c r="A1050" t="s">
        <v>34</v>
      </c>
      <c r="B1050" s="1">
        <v>46146.65625</v>
      </c>
      <c r="C1050" t="s">
        <v>34</v>
      </c>
      <c r="D1050" s="1">
        <v>46149.625</v>
      </c>
      <c r="E1050">
        <v>8000</v>
      </c>
      <c r="F1050" t="s">
        <v>36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1</v>
      </c>
      <c r="M1050">
        <v>786.4</v>
      </c>
      <c r="N1050">
        <v>1</v>
      </c>
      <c r="O1050">
        <v>806.4</v>
      </c>
      <c r="P1050">
        <v>0</v>
      </c>
      <c r="Q1050">
        <v>0</v>
      </c>
      <c r="R1050">
        <v>0</v>
      </c>
      <c r="S1050">
        <v>0</v>
      </c>
      <c r="T1050">
        <v>0.6996</v>
      </c>
      <c r="U1050">
        <v>-0.94630000000000003</v>
      </c>
      <c r="V1050">
        <v>2.0000000000000001E-4</v>
      </c>
      <c r="W1050">
        <v>-6.6398000000000001</v>
      </c>
      <c r="X1050">
        <v>0.71509999999999996</v>
      </c>
      <c r="Y1050">
        <v>-0.62239999999999995</v>
      </c>
      <c r="Z1050">
        <v>1</v>
      </c>
      <c r="AA1050">
        <v>789.6</v>
      </c>
      <c r="AB1050">
        <v>1</v>
      </c>
      <c r="AC1050">
        <v>811.6</v>
      </c>
      <c r="AD1050">
        <v>0</v>
      </c>
      <c r="AE1050">
        <v>0</v>
      </c>
      <c r="AF1050">
        <v>0</v>
      </c>
      <c r="AG1050">
        <v>0</v>
      </c>
      <c r="AH1050">
        <v>0</v>
      </c>
    </row>
    <row r="1051" spans="1:34" x14ac:dyDescent="0.35">
      <c r="A1051" t="s">
        <v>34</v>
      </c>
      <c r="B1051" s="1">
        <v>46146.65625</v>
      </c>
      <c r="C1051" t="s">
        <v>34</v>
      </c>
      <c r="D1051" s="1">
        <v>46149.625</v>
      </c>
      <c r="E1051">
        <v>8200</v>
      </c>
      <c r="F1051" t="s">
        <v>36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986.6</v>
      </c>
      <c r="N1051">
        <v>1</v>
      </c>
      <c r="O1051">
        <v>1006.4</v>
      </c>
      <c r="P1051">
        <v>0</v>
      </c>
      <c r="Q1051">
        <v>0</v>
      </c>
      <c r="R1051">
        <v>0</v>
      </c>
      <c r="S1051">
        <v>0</v>
      </c>
      <c r="T1051">
        <v>0.39879999999999999</v>
      </c>
      <c r="U1051">
        <v>-0.99980000000000002</v>
      </c>
      <c r="V1051">
        <v>0</v>
      </c>
      <c r="W1051">
        <v>0</v>
      </c>
      <c r="X1051">
        <v>4.8999999999999998E-3</v>
      </c>
      <c r="Y1051">
        <v>-0.66769999999999996</v>
      </c>
      <c r="Z1051">
        <v>1</v>
      </c>
      <c r="AA1051">
        <v>988.2</v>
      </c>
      <c r="AB1051">
        <v>1</v>
      </c>
      <c r="AC1051">
        <v>1006.8</v>
      </c>
      <c r="AD1051">
        <v>0</v>
      </c>
      <c r="AE1051">
        <v>0</v>
      </c>
      <c r="AF1051">
        <v>0</v>
      </c>
      <c r="AG1051">
        <v>2</v>
      </c>
      <c r="AH1051">
        <v>0</v>
      </c>
    </row>
    <row r="1052" spans="1:34" x14ac:dyDescent="0.35">
      <c r="A1052" t="s">
        <v>34</v>
      </c>
      <c r="B1052" s="1">
        <v>46146.65625</v>
      </c>
      <c r="C1052" t="s">
        <v>34</v>
      </c>
      <c r="D1052" s="1">
        <v>46149.625</v>
      </c>
      <c r="E1052">
        <v>8400</v>
      </c>
      <c r="F1052" t="s">
        <v>36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1</v>
      </c>
      <c r="M1052">
        <v>1186.4000000000001</v>
      </c>
      <c r="N1052">
        <v>1</v>
      </c>
      <c r="O1052">
        <v>1205.8</v>
      </c>
      <c r="P1052">
        <v>0</v>
      </c>
      <c r="Q1052">
        <v>0</v>
      </c>
      <c r="R1052">
        <v>0</v>
      </c>
      <c r="S1052">
        <v>0</v>
      </c>
      <c r="T1052">
        <v>0.94030000000000002</v>
      </c>
      <c r="U1052">
        <v>-0.9597</v>
      </c>
      <c r="V1052">
        <v>1E-4</v>
      </c>
      <c r="W1052">
        <v>-6.6680999999999999</v>
      </c>
      <c r="X1052">
        <v>0.56499999999999995</v>
      </c>
      <c r="Y1052">
        <v>-0.66</v>
      </c>
      <c r="Z1052">
        <v>1</v>
      </c>
      <c r="AA1052">
        <v>1189.3</v>
      </c>
      <c r="AB1052">
        <v>1</v>
      </c>
      <c r="AC1052">
        <v>1211.4000000000001</v>
      </c>
      <c r="AD1052">
        <v>0</v>
      </c>
      <c r="AE1052">
        <v>0</v>
      </c>
      <c r="AF1052">
        <v>0</v>
      </c>
      <c r="AG1052">
        <v>0</v>
      </c>
      <c r="AH1052">
        <v>0</v>
      </c>
    </row>
    <row r="1053" spans="1:34" x14ac:dyDescent="0.35">
      <c r="A1053" t="s">
        <v>34</v>
      </c>
      <c r="B1053" s="1">
        <v>46146.65625</v>
      </c>
      <c r="C1053" t="s">
        <v>34</v>
      </c>
      <c r="D1053" s="1">
        <v>46149.625</v>
      </c>
      <c r="E1053">
        <v>8600</v>
      </c>
      <c r="F1053" t="s">
        <v>36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1</v>
      </c>
      <c r="M1053">
        <v>1386.1</v>
      </c>
      <c r="N1053">
        <v>1</v>
      </c>
      <c r="O1053">
        <v>1406.7</v>
      </c>
      <c r="P1053">
        <v>0</v>
      </c>
      <c r="Q1053">
        <v>0</v>
      </c>
      <c r="R1053">
        <v>0</v>
      </c>
      <c r="S1053">
        <v>0</v>
      </c>
      <c r="T1053">
        <v>0.58750000000000002</v>
      </c>
      <c r="U1053">
        <v>-0.99950000000000006</v>
      </c>
      <c r="V1053">
        <v>0</v>
      </c>
      <c r="W1053">
        <v>0</v>
      </c>
      <c r="X1053">
        <v>1.17E-2</v>
      </c>
      <c r="Y1053">
        <v>-0.69730000000000003</v>
      </c>
      <c r="Z1053">
        <v>1</v>
      </c>
      <c r="AA1053">
        <v>1387.9</v>
      </c>
      <c r="AB1053">
        <v>1</v>
      </c>
      <c r="AC1053">
        <v>1406.7</v>
      </c>
      <c r="AD1053">
        <v>0</v>
      </c>
      <c r="AE1053">
        <v>0</v>
      </c>
      <c r="AF1053">
        <v>0</v>
      </c>
      <c r="AG1053">
        <v>0</v>
      </c>
      <c r="AH1053">
        <v>0</v>
      </c>
    </row>
    <row r="1054" spans="1:34" x14ac:dyDescent="0.35">
      <c r="A1054" t="s">
        <v>34</v>
      </c>
      <c r="B1054" s="1">
        <v>46146.65625</v>
      </c>
      <c r="C1054" t="s">
        <v>34</v>
      </c>
      <c r="D1054" s="1">
        <v>46149.625</v>
      </c>
      <c r="E1054">
        <v>8800</v>
      </c>
      <c r="F1054" t="s">
        <v>36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1586.4</v>
      </c>
      <c r="N1054">
        <v>1</v>
      </c>
      <c r="O1054">
        <v>1606.9</v>
      </c>
      <c r="P1054">
        <v>0</v>
      </c>
      <c r="Q1054">
        <v>0</v>
      </c>
      <c r="R1054">
        <v>0</v>
      </c>
      <c r="S1054">
        <v>0</v>
      </c>
      <c r="T1054">
        <v>0.77800000000000002</v>
      </c>
      <c r="U1054">
        <v>-0.99739999999999995</v>
      </c>
      <c r="V1054">
        <v>0</v>
      </c>
      <c r="W1054">
        <v>-0.15540000000000001</v>
      </c>
      <c r="X1054">
        <v>5.2900000000000003E-2</v>
      </c>
      <c r="Y1054">
        <v>-0.71099999999999997</v>
      </c>
      <c r="Z1054">
        <v>3</v>
      </c>
      <c r="AA1054">
        <v>1587.8</v>
      </c>
      <c r="AB1054">
        <v>1</v>
      </c>
      <c r="AC1054">
        <v>1606.9</v>
      </c>
      <c r="AD1054">
        <v>0</v>
      </c>
      <c r="AE1054">
        <v>0</v>
      </c>
      <c r="AF1054">
        <v>0</v>
      </c>
      <c r="AG1054">
        <v>0</v>
      </c>
      <c r="AH1054">
        <v>0</v>
      </c>
    </row>
    <row r="1055" spans="1:34" x14ac:dyDescent="0.35">
      <c r="A1055" t="s">
        <v>34</v>
      </c>
      <c r="B1055" s="1">
        <v>46146.65625</v>
      </c>
      <c r="C1055" t="s">
        <v>34</v>
      </c>
      <c r="D1055" s="1">
        <v>46149.625</v>
      </c>
      <c r="E1055">
        <v>9000</v>
      </c>
      <c r="F1055" t="s">
        <v>36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1786.2</v>
      </c>
      <c r="N1055">
        <v>1</v>
      </c>
      <c r="O1055">
        <v>1806.1</v>
      </c>
      <c r="P1055">
        <v>0</v>
      </c>
      <c r="Q1055">
        <v>0</v>
      </c>
      <c r="R1055">
        <v>0</v>
      </c>
      <c r="S1055">
        <v>0</v>
      </c>
      <c r="T1055">
        <v>1.2819</v>
      </c>
      <c r="U1055">
        <v>-0.96750000000000003</v>
      </c>
      <c r="V1055">
        <v>1E-4</v>
      </c>
      <c r="W1055">
        <v>-7.2568999999999999</v>
      </c>
      <c r="X1055">
        <v>0.4718</v>
      </c>
      <c r="Y1055">
        <v>-0.70930000000000004</v>
      </c>
      <c r="Z1055">
        <v>3</v>
      </c>
      <c r="AA1055">
        <v>1787.7</v>
      </c>
      <c r="AB1055">
        <v>1</v>
      </c>
      <c r="AC1055">
        <v>1806.3</v>
      </c>
      <c r="AD1055">
        <v>0</v>
      </c>
      <c r="AE1055">
        <v>0</v>
      </c>
      <c r="AF1055">
        <v>0</v>
      </c>
      <c r="AG1055">
        <v>0</v>
      </c>
      <c r="AH1055">
        <v>0</v>
      </c>
    </row>
    <row r="1056" spans="1:34" x14ac:dyDescent="0.35">
      <c r="A1056" t="s">
        <v>34</v>
      </c>
      <c r="B1056" s="1">
        <v>46146.65625</v>
      </c>
      <c r="C1056" t="s">
        <v>34</v>
      </c>
      <c r="D1056" s="1">
        <v>46149.625</v>
      </c>
      <c r="E1056">
        <v>9200</v>
      </c>
      <c r="F1056" t="s">
        <v>36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1986.3</v>
      </c>
      <c r="N1056">
        <v>1</v>
      </c>
      <c r="O1056">
        <v>2006</v>
      </c>
      <c r="P1056">
        <v>0</v>
      </c>
      <c r="Q1056">
        <v>0</v>
      </c>
      <c r="R1056">
        <v>0</v>
      </c>
      <c r="S1056">
        <v>0</v>
      </c>
      <c r="T1056">
        <v>1.3836999999999999</v>
      </c>
      <c r="U1056">
        <v>-0.96960000000000002</v>
      </c>
      <c r="V1056">
        <v>1E-4</v>
      </c>
      <c r="W1056">
        <v>-7.2945000000000002</v>
      </c>
      <c r="X1056">
        <v>0.44619999999999999</v>
      </c>
      <c r="Y1056">
        <v>-0.72540000000000004</v>
      </c>
      <c r="Z1056">
        <v>1</v>
      </c>
      <c r="AA1056">
        <v>1987.7</v>
      </c>
      <c r="AB1056">
        <v>1</v>
      </c>
      <c r="AC1056">
        <v>2006.5</v>
      </c>
      <c r="AD1056">
        <v>0</v>
      </c>
      <c r="AE1056">
        <v>0</v>
      </c>
      <c r="AF1056">
        <v>0</v>
      </c>
      <c r="AG1056">
        <v>0</v>
      </c>
      <c r="AH1056">
        <v>0</v>
      </c>
    </row>
    <row r="1057" spans="1:34" x14ac:dyDescent="0.35">
      <c r="A1057" t="s">
        <v>34</v>
      </c>
      <c r="B1057" s="1">
        <v>46146.65625</v>
      </c>
      <c r="C1057" t="s">
        <v>34</v>
      </c>
      <c r="D1057" s="1">
        <v>46149.625</v>
      </c>
      <c r="E1057">
        <v>9400</v>
      </c>
      <c r="F1057" t="s">
        <v>36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2186.1999999999998</v>
      </c>
      <c r="N1057">
        <v>1</v>
      </c>
      <c r="O1057">
        <v>2205.5</v>
      </c>
      <c r="P1057">
        <v>0</v>
      </c>
      <c r="Q1057">
        <v>0</v>
      </c>
      <c r="R1057">
        <v>0</v>
      </c>
      <c r="S1057">
        <v>0</v>
      </c>
      <c r="T1057">
        <v>1.4548000000000001</v>
      </c>
      <c r="U1057">
        <v>-0.97370000000000001</v>
      </c>
      <c r="V1057">
        <v>1E-4</v>
      </c>
      <c r="W1057">
        <v>-6.5532000000000004</v>
      </c>
      <c r="X1057">
        <v>0.39350000000000002</v>
      </c>
      <c r="Y1057">
        <v>-0.74299999999999999</v>
      </c>
      <c r="Z1057">
        <v>1</v>
      </c>
      <c r="AA1057">
        <v>2189</v>
      </c>
      <c r="AB1057">
        <v>2</v>
      </c>
      <c r="AC1057">
        <v>2211.6</v>
      </c>
      <c r="AD1057">
        <v>0</v>
      </c>
      <c r="AE1057">
        <v>0</v>
      </c>
      <c r="AF1057">
        <v>0</v>
      </c>
      <c r="AG1057">
        <v>0</v>
      </c>
      <c r="AH1057">
        <v>0</v>
      </c>
    </row>
    <row r="1058" spans="1:34" x14ac:dyDescent="0.35">
      <c r="A1058" t="s">
        <v>34</v>
      </c>
      <c r="B1058" s="1">
        <v>46146.65625</v>
      </c>
      <c r="C1058" t="s">
        <v>34</v>
      </c>
      <c r="D1058" s="1">
        <v>46150.625</v>
      </c>
      <c r="E1058">
        <v>1400</v>
      </c>
      <c r="F1058" t="s">
        <v>35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930</v>
      </c>
      <c r="O1058">
        <v>0.05</v>
      </c>
      <c r="P1058">
        <v>0</v>
      </c>
      <c r="Q1058">
        <v>0</v>
      </c>
      <c r="R1058">
        <v>0</v>
      </c>
      <c r="S1058">
        <v>0</v>
      </c>
      <c r="T1058">
        <v>4.1725000000000003</v>
      </c>
      <c r="U1058">
        <v>0</v>
      </c>
      <c r="V1058">
        <v>0</v>
      </c>
      <c r="W1058">
        <v>-2.3199999999999998E-2</v>
      </c>
      <c r="X1058">
        <v>1.1000000000000001E-3</v>
      </c>
      <c r="Y1058">
        <v>0</v>
      </c>
      <c r="Z1058">
        <v>0</v>
      </c>
      <c r="AA1058">
        <v>0</v>
      </c>
      <c r="AB1058">
        <v>128</v>
      </c>
      <c r="AC1058">
        <v>0.05</v>
      </c>
      <c r="AD1058">
        <v>0</v>
      </c>
      <c r="AE1058">
        <v>0</v>
      </c>
      <c r="AF1058">
        <v>0</v>
      </c>
      <c r="AG1058">
        <v>0</v>
      </c>
      <c r="AH1058">
        <v>0</v>
      </c>
    </row>
    <row r="1059" spans="1:34" x14ac:dyDescent="0.35">
      <c r="A1059" t="s">
        <v>34</v>
      </c>
      <c r="B1059" s="1">
        <v>46146.65625</v>
      </c>
      <c r="C1059" t="s">
        <v>34</v>
      </c>
      <c r="D1059" s="1">
        <v>46150.625</v>
      </c>
      <c r="E1059">
        <v>1600</v>
      </c>
      <c r="F1059" t="s">
        <v>35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929</v>
      </c>
      <c r="O1059">
        <v>0.05</v>
      </c>
      <c r="P1059">
        <v>0</v>
      </c>
      <c r="Q1059">
        <v>0</v>
      </c>
      <c r="R1059">
        <v>0</v>
      </c>
      <c r="S1059">
        <v>0</v>
      </c>
      <c r="T1059">
        <v>3.8357000000000001</v>
      </c>
      <c r="U1059">
        <v>0</v>
      </c>
      <c r="V1059">
        <v>0</v>
      </c>
      <c r="W1059">
        <v>-2.3199999999999998E-2</v>
      </c>
      <c r="X1059">
        <v>1.1999999999999999E-3</v>
      </c>
      <c r="Y1059">
        <v>0</v>
      </c>
      <c r="Z1059">
        <v>0</v>
      </c>
      <c r="AA1059">
        <v>0</v>
      </c>
      <c r="AB1059">
        <v>128</v>
      </c>
      <c r="AC1059">
        <v>0.05</v>
      </c>
      <c r="AD1059">
        <v>0</v>
      </c>
      <c r="AE1059">
        <v>0</v>
      </c>
      <c r="AF1059">
        <v>0</v>
      </c>
      <c r="AG1059">
        <v>0</v>
      </c>
      <c r="AH1059">
        <v>0</v>
      </c>
    </row>
    <row r="1060" spans="1:34" x14ac:dyDescent="0.35">
      <c r="A1060" t="s">
        <v>34</v>
      </c>
      <c r="B1060" s="1">
        <v>46146.65625</v>
      </c>
      <c r="C1060" t="s">
        <v>34</v>
      </c>
      <c r="D1060" s="1">
        <v>46150.625</v>
      </c>
      <c r="E1060">
        <v>1800</v>
      </c>
      <c r="F1060" t="s">
        <v>35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983</v>
      </c>
      <c r="O1060">
        <v>0.05</v>
      </c>
      <c r="P1060">
        <v>0</v>
      </c>
      <c r="Q1060">
        <v>0</v>
      </c>
      <c r="R1060">
        <v>0</v>
      </c>
      <c r="S1060">
        <v>0</v>
      </c>
      <c r="T1060">
        <v>3.5398000000000001</v>
      </c>
      <c r="U1060">
        <v>0</v>
      </c>
      <c r="V1060">
        <v>0</v>
      </c>
      <c r="W1060">
        <v>-2.3199999999999998E-2</v>
      </c>
      <c r="X1060">
        <v>1.1999999999999999E-3</v>
      </c>
      <c r="Y1060">
        <v>0</v>
      </c>
      <c r="Z1060">
        <v>0</v>
      </c>
      <c r="AA1060">
        <v>0</v>
      </c>
      <c r="AB1060">
        <v>128</v>
      </c>
      <c r="AC1060">
        <v>0.05</v>
      </c>
      <c r="AD1060">
        <v>0</v>
      </c>
      <c r="AE1060">
        <v>0</v>
      </c>
      <c r="AF1060">
        <v>0</v>
      </c>
      <c r="AG1060">
        <v>0</v>
      </c>
      <c r="AH1060">
        <v>0</v>
      </c>
    </row>
    <row r="1061" spans="1:34" x14ac:dyDescent="0.35">
      <c r="A1061" t="s">
        <v>34</v>
      </c>
      <c r="B1061" s="1">
        <v>46146.65625</v>
      </c>
      <c r="C1061" t="s">
        <v>34</v>
      </c>
      <c r="D1061" s="1">
        <v>46150.625</v>
      </c>
      <c r="E1061">
        <v>2000</v>
      </c>
      <c r="F1061" t="s">
        <v>35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1097</v>
      </c>
      <c r="O1061">
        <v>0.05</v>
      </c>
      <c r="P1061">
        <v>0</v>
      </c>
      <c r="Q1061">
        <v>0</v>
      </c>
      <c r="R1061">
        <v>0</v>
      </c>
      <c r="S1061">
        <v>0</v>
      </c>
      <c r="T1061">
        <v>3.2753999999999999</v>
      </c>
      <c r="U1061">
        <v>-1E-4</v>
      </c>
      <c r="V1061">
        <v>0</v>
      </c>
      <c r="W1061">
        <v>-2.3199999999999998E-2</v>
      </c>
      <c r="X1061">
        <v>1.2999999999999999E-3</v>
      </c>
      <c r="Y1061">
        <v>0</v>
      </c>
      <c r="Z1061">
        <v>0</v>
      </c>
      <c r="AA1061">
        <v>0</v>
      </c>
      <c r="AB1061">
        <v>248</v>
      </c>
      <c r="AC1061">
        <v>0.05</v>
      </c>
      <c r="AD1061">
        <v>0</v>
      </c>
      <c r="AE1061">
        <v>0</v>
      </c>
      <c r="AF1061">
        <v>0</v>
      </c>
      <c r="AG1061">
        <v>1</v>
      </c>
      <c r="AH1061">
        <v>0</v>
      </c>
    </row>
    <row r="1062" spans="1:34" x14ac:dyDescent="0.35">
      <c r="A1062" t="s">
        <v>34</v>
      </c>
      <c r="B1062" s="1">
        <v>46146.65625</v>
      </c>
      <c r="C1062" t="s">
        <v>34</v>
      </c>
      <c r="D1062" s="1">
        <v>46150.625</v>
      </c>
      <c r="E1062">
        <v>2200</v>
      </c>
      <c r="F1062" t="s">
        <v>35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1096</v>
      </c>
      <c r="O1062">
        <v>0.05</v>
      </c>
      <c r="P1062">
        <v>0</v>
      </c>
      <c r="Q1062">
        <v>0</v>
      </c>
      <c r="R1062">
        <v>0</v>
      </c>
      <c r="S1062">
        <v>0</v>
      </c>
      <c r="T1062">
        <v>3.0364</v>
      </c>
      <c r="U1062">
        <v>-1E-4</v>
      </c>
      <c r="V1062">
        <v>0</v>
      </c>
      <c r="W1062">
        <v>-2.3099999999999999E-2</v>
      </c>
      <c r="X1062">
        <v>1.5E-3</v>
      </c>
      <c r="Y1062">
        <v>0</v>
      </c>
      <c r="Z1062">
        <v>0</v>
      </c>
      <c r="AA1062">
        <v>0</v>
      </c>
      <c r="AB1062">
        <v>248</v>
      </c>
      <c r="AC1062">
        <v>0.05</v>
      </c>
      <c r="AD1062">
        <v>0</v>
      </c>
      <c r="AE1062">
        <v>0</v>
      </c>
      <c r="AF1062">
        <v>0</v>
      </c>
      <c r="AG1062">
        <v>9</v>
      </c>
      <c r="AH1062">
        <v>0</v>
      </c>
    </row>
    <row r="1063" spans="1:34" x14ac:dyDescent="0.35">
      <c r="A1063" t="s">
        <v>34</v>
      </c>
      <c r="B1063" s="1">
        <v>46146.65625</v>
      </c>
      <c r="C1063" t="s">
        <v>34</v>
      </c>
      <c r="D1063" s="1">
        <v>46150.625</v>
      </c>
      <c r="E1063">
        <v>2400</v>
      </c>
      <c r="F1063" t="s">
        <v>35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1095</v>
      </c>
      <c r="O1063">
        <v>0.05</v>
      </c>
      <c r="P1063">
        <v>0</v>
      </c>
      <c r="Q1063">
        <v>0</v>
      </c>
      <c r="R1063">
        <v>0</v>
      </c>
      <c r="S1063">
        <v>0</v>
      </c>
      <c r="T1063">
        <v>2.8184999999999998</v>
      </c>
      <c r="U1063">
        <v>-1E-4</v>
      </c>
      <c r="V1063">
        <v>0</v>
      </c>
      <c r="W1063">
        <v>-2.3099999999999999E-2</v>
      </c>
      <c r="X1063">
        <v>1.6000000000000001E-3</v>
      </c>
      <c r="Y1063">
        <v>0</v>
      </c>
      <c r="Z1063">
        <v>0</v>
      </c>
      <c r="AA1063">
        <v>0</v>
      </c>
      <c r="AB1063">
        <v>248</v>
      </c>
      <c r="AC1063">
        <v>0.05</v>
      </c>
      <c r="AD1063">
        <v>0</v>
      </c>
      <c r="AE1063">
        <v>0</v>
      </c>
      <c r="AF1063">
        <v>0</v>
      </c>
      <c r="AG1063">
        <v>11</v>
      </c>
      <c r="AH1063">
        <v>0</v>
      </c>
    </row>
    <row r="1064" spans="1:34" x14ac:dyDescent="0.35">
      <c r="A1064" t="s">
        <v>34</v>
      </c>
      <c r="B1064" s="1">
        <v>46146.65625</v>
      </c>
      <c r="C1064" t="s">
        <v>34</v>
      </c>
      <c r="D1064" s="1">
        <v>46150.625</v>
      </c>
      <c r="E1064">
        <v>2600</v>
      </c>
      <c r="F1064" t="s">
        <v>35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1093</v>
      </c>
      <c r="O1064">
        <v>0.05</v>
      </c>
      <c r="P1064">
        <v>0</v>
      </c>
      <c r="Q1064">
        <v>0</v>
      </c>
      <c r="R1064">
        <v>0</v>
      </c>
      <c r="S1064">
        <v>0</v>
      </c>
      <c r="T1064">
        <v>2.6187</v>
      </c>
      <c r="U1064">
        <v>-1E-4</v>
      </c>
      <c r="V1064">
        <v>0</v>
      </c>
      <c r="W1064">
        <v>-2.3099999999999999E-2</v>
      </c>
      <c r="X1064">
        <v>1.6999999999999999E-3</v>
      </c>
      <c r="Y1064">
        <v>0</v>
      </c>
      <c r="Z1064">
        <v>0</v>
      </c>
      <c r="AA1064">
        <v>0</v>
      </c>
      <c r="AB1064">
        <v>247</v>
      </c>
      <c r="AC1064">
        <v>0.05</v>
      </c>
      <c r="AD1064">
        <v>0</v>
      </c>
      <c r="AE1064">
        <v>0</v>
      </c>
      <c r="AF1064">
        <v>0</v>
      </c>
      <c r="AG1064">
        <v>2</v>
      </c>
      <c r="AH1064">
        <v>0</v>
      </c>
    </row>
    <row r="1065" spans="1:34" x14ac:dyDescent="0.35">
      <c r="A1065" t="s">
        <v>34</v>
      </c>
      <c r="B1065" s="1">
        <v>46146.65625</v>
      </c>
      <c r="C1065" t="s">
        <v>34</v>
      </c>
      <c r="D1065" s="1">
        <v>46150.625</v>
      </c>
      <c r="E1065">
        <v>2800</v>
      </c>
      <c r="F1065" t="s">
        <v>35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1085</v>
      </c>
      <c r="O1065">
        <v>0.05</v>
      </c>
      <c r="P1065">
        <v>0</v>
      </c>
      <c r="Q1065">
        <v>0</v>
      </c>
      <c r="R1065">
        <v>0</v>
      </c>
      <c r="S1065">
        <v>0</v>
      </c>
      <c r="T1065">
        <v>2.4333</v>
      </c>
      <c r="U1065">
        <v>-1E-4</v>
      </c>
      <c r="V1065">
        <v>0</v>
      </c>
      <c r="W1065">
        <v>-2.3099999999999999E-2</v>
      </c>
      <c r="X1065">
        <v>1.8E-3</v>
      </c>
      <c r="Y1065">
        <v>-1E-4</v>
      </c>
      <c r="Z1065">
        <v>0</v>
      </c>
      <c r="AA1065">
        <v>0</v>
      </c>
      <c r="AB1065">
        <v>247</v>
      </c>
      <c r="AC1065">
        <v>0.05</v>
      </c>
      <c r="AD1065">
        <v>0</v>
      </c>
      <c r="AE1065">
        <v>0</v>
      </c>
      <c r="AF1065">
        <v>0</v>
      </c>
      <c r="AG1065">
        <v>96</v>
      </c>
      <c r="AH1065">
        <v>0</v>
      </c>
    </row>
    <row r="1066" spans="1:34" x14ac:dyDescent="0.35">
      <c r="A1066" t="s">
        <v>34</v>
      </c>
      <c r="B1066" s="1">
        <v>46146.65625</v>
      </c>
      <c r="C1066" t="s">
        <v>34</v>
      </c>
      <c r="D1066" s="1">
        <v>46150.625</v>
      </c>
      <c r="E1066">
        <v>3000</v>
      </c>
      <c r="F1066" t="s">
        <v>35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1112</v>
      </c>
      <c r="O1066">
        <v>0.05</v>
      </c>
      <c r="P1066">
        <v>0</v>
      </c>
      <c r="Q1066">
        <v>0</v>
      </c>
      <c r="R1066">
        <v>0</v>
      </c>
      <c r="S1066">
        <v>0</v>
      </c>
      <c r="T1066">
        <v>2.2610000000000001</v>
      </c>
      <c r="U1066">
        <v>-1E-4</v>
      </c>
      <c r="V1066">
        <v>0</v>
      </c>
      <c r="W1066">
        <v>-2.3099999999999999E-2</v>
      </c>
      <c r="X1066">
        <v>1.9E-3</v>
      </c>
      <c r="Y1066">
        <v>-1E-4</v>
      </c>
      <c r="Z1066">
        <v>0</v>
      </c>
      <c r="AA1066">
        <v>0</v>
      </c>
      <c r="AB1066">
        <v>282</v>
      </c>
      <c r="AC1066">
        <v>0.05</v>
      </c>
      <c r="AD1066">
        <v>0</v>
      </c>
      <c r="AE1066">
        <v>0</v>
      </c>
      <c r="AF1066">
        <v>0</v>
      </c>
      <c r="AG1066">
        <v>66</v>
      </c>
      <c r="AH1066">
        <v>0</v>
      </c>
    </row>
    <row r="1067" spans="1:34" x14ac:dyDescent="0.35">
      <c r="A1067" t="s">
        <v>34</v>
      </c>
      <c r="B1067" s="1">
        <v>46146.65625</v>
      </c>
      <c r="C1067" t="s">
        <v>34</v>
      </c>
      <c r="D1067" s="1">
        <v>46150.625</v>
      </c>
      <c r="E1067">
        <v>3200</v>
      </c>
      <c r="F1067" t="s">
        <v>35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1102</v>
      </c>
      <c r="O1067">
        <v>0.05</v>
      </c>
      <c r="P1067">
        <v>0</v>
      </c>
      <c r="Q1067">
        <v>0</v>
      </c>
      <c r="R1067">
        <v>0</v>
      </c>
      <c r="S1067">
        <v>0</v>
      </c>
      <c r="T1067">
        <v>2.0998000000000001</v>
      </c>
      <c r="U1067">
        <v>-1E-4</v>
      </c>
      <c r="V1067">
        <v>0</v>
      </c>
      <c r="W1067">
        <v>-2.3099999999999999E-2</v>
      </c>
      <c r="X1067">
        <v>2.0999999999999999E-3</v>
      </c>
      <c r="Y1067">
        <v>-1E-4</v>
      </c>
      <c r="Z1067">
        <v>0</v>
      </c>
      <c r="AA1067">
        <v>0</v>
      </c>
      <c r="AB1067">
        <v>282</v>
      </c>
      <c r="AC1067">
        <v>0.05</v>
      </c>
      <c r="AD1067">
        <v>0</v>
      </c>
      <c r="AE1067">
        <v>0</v>
      </c>
      <c r="AF1067">
        <v>0</v>
      </c>
      <c r="AG1067">
        <v>201</v>
      </c>
      <c r="AH1067">
        <v>0</v>
      </c>
    </row>
    <row r="1068" spans="1:34" x14ac:dyDescent="0.35">
      <c r="A1068" t="s">
        <v>34</v>
      </c>
      <c r="B1068" s="1">
        <v>46146.65625</v>
      </c>
      <c r="C1068" t="s">
        <v>34</v>
      </c>
      <c r="D1068" s="1">
        <v>46150.625</v>
      </c>
      <c r="E1068">
        <v>3400</v>
      </c>
      <c r="F1068" t="s">
        <v>35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1091</v>
      </c>
      <c r="O1068">
        <v>0.05</v>
      </c>
      <c r="P1068">
        <v>0</v>
      </c>
      <c r="Q1068">
        <v>0</v>
      </c>
      <c r="R1068">
        <v>0</v>
      </c>
      <c r="S1068">
        <v>0</v>
      </c>
      <c r="T1068">
        <v>1.9482999999999999</v>
      </c>
      <c r="U1068">
        <v>-1E-4</v>
      </c>
      <c r="V1068">
        <v>0</v>
      </c>
      <c r="W1068">
        <v>-2.3E-2</v>
      </c>
      <c r="X1068">
        <v>2.2000000000000001E-3</v>
      </c>
      <c r="Y1068">
        <v>-1E-4</v>
      </c>
      <c r="Z1068">
        <v>0</v>
      </c>
      <c r="AA1068">
        <v>0</v>
      </c>
      <c r="AB1068">
        <v>281</v>
      </c>
      <c r="AC1068">
        <v>0.05</v>
      </c>
      <c r="AD1068">
        <v>0</v>
      </c>
      <c r="AE1068">
        <v>0</v>
      </c>
      <c r="AF1068">
        <v>0</v>
      </c>
      <c r="AG1068">
        <v>101</v>
      </c>
      <c r="AH1068">
        <v>0</v>
      </c>
    </row>
    <row r="1069" spans="1:34" x14ac:dyDescent="0.35">
      <c r="A1069" t="s">
        <v>34</v>
      </c>
      <c r="B1069" s="1">
        <v>46146.65625</v>
      </c>
      <c r="C1069" t="s">
        <v>34</v>
      </c>
      <c r="D1069" s="1">
        <v>46150.625</v>
      </c>
      <c r="E1069">
        <v>3600</v>
      </c>
      <c r="F1069" t="s">
        <v>36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1078</v>
      </c>
      <c r="O1069">
        <v>0.05</v>
      </c>
      <c r="P1069">
        <v>0</v>
      </c>
      <c r="Q1069">
        <v>0</v>
      </c>
      <c r="R1069">
        <v>0</v>
      </c>
      <c r="S1069">
        <v>0</v>
      </c>
      <c r="T1069">
        <v>1.8052999999999999</v>
      </c>
      <c r="U1069">
        <v>-1E-4</v>
      </c>
      <c r="V1069">
        <v>0</v>
      </c>
      <c r="W1069">
        <v>-2.3E-2</v>
      </c>
      <c r="X1069">
        <v>2.3999999999999998E-3</v>
      </c>
      <c r="Y1069">
        <v>-1E-4</v>
      </c>
      <c r="Z1069">
        <v>0</v>
      </c>
      <c r="AA1069">
        <v>0</v>
      </c>
      <c r="AB1069">
        <v>279</v>
      </c>
      <c r="AC1069">
        <v>0.05</v>
      </c>
      <c r="AD1069">
        <v>0</v>
      </c>
      <c r="AE1069">
        <v>0</v>
      </c>
      <c r="AF1069">
        <v>0</v>
      </c>
      <c r="AG1069">
        <v>168</v>
      </c>
      <c r="AH1069">
        <v>0</v>
      </c>
    </row>
    <row r="1070" spans="1:34" x14ac:dyDescent="0.35">
      <c r="A1070" t="s">
        <v>34</v>
      </c>
      <c r="B1070" s="1">
        <v>46146.65625</v>
      </c>
      <c r="C1070" t="s">
        <v>34</v>
      </c>
      <c r="D1070" s="1">
        <v>46150.625</v>
      </c>
      <c r="E1070">
        <v>3800</v>
      </c>
      <c r="F1070" t="s">
        <v>36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1059</v>
      </c>
      <c r="O1070">
        <v>0.05</v>
      </c>
      <c r="P1070">
        <v>0</v>
      </c>
      <c r="Q1070">
        <v>0</v>
      </c>
      <c r="R1070">
        <v>0</v>
      </c>
      <c r="S1070">
        <v>0</v>
      </c>
      <c r="T1070">
        <v>1.67</v>
      </c>
      <c r="U1070">
        <v>-1E-4</v>
      </c>
      <c r="V1070">
        <v>0</v>
      </c>
      <c r="W1070">
        <v>-2.3E-2</v>
      </c>
      <c r="X1070">
        <v>2.5999999999999999E-3</v>
      </c>
      <c r="Y1070">
        <v>-1E-4</v>
      </c>
      <c r="Z1070">
        <v>0</v>
      </c>
      <c r="AA1070">
        <v>0</v>
      </c>
      <c r="AB1070">
        <v>278</v>
      </c>
      <c r="AC1070">
        <v>0.05</v>
      </c>
      <c r="AD1070">
        <v>0</v>
      </c>
      <c r="AE1070">
        <v>0</v>
      </c>
      <c r="AF1070">
        <v>0</v>
      </c>
      <c r="AG1070">
        <v>432</v>
      </c>
      <c r="AH1070">
        <v>0</v>
      </c>
    </row>
    <row r="1071" spans="1:34" x14ac:dyDescent="0.35">
      <c r="A1071" t="s">
        <v>34</v>
      </c>
      <c r="B1071" s="1">
        <v>46146.65625</v>
      </c>
      <c r="C1071" t="s">
        <v>34</v>
      </c>
      <c r="D1071" s="1">
        <v>46150.625</v>
      </c>
      <c r="E1071">
        <v>4000</v>
      </c>
      <c r="F1071" t="s">
        <v>36</v>
      </c>
      <c r="G1071">
        <v>0.05</v>
      </c>
      <c r="H1071">
        <v>0.05</v>
      </c>
      <c r="I1071">
        <v>0.05</v>
      </c>
      <c r="J1071">
        <v>0.05</v>
      </c>
      <c r="K1071">
        <v>1</v>
      </c>
      <c r="L1071">
        <v>0</v>
      </c>
      <c r="M1071">
        <v>0</v>
      </c>
      <c r="N1071">
        <v>1041</v>
      </c>
      <c r="O1071">
        <v>0.05</v>
      </c>
      <c r="P1071">
        <v>0</v>
      </c>
      <c r="Q1071">
        <v>0</v>
      </c>
      <c r="R1071">
        <v>0</v>
      </c>
      <c r="S1071">
        <v>0</v>
      </c>
      <c r="T1071">
        <v>1.5412999999999999</v>
      </c>
      <c r="U1071">
        <v>-1E-4</v>
      </c>
      <c r="V1071">
        <v>0</v>
      </c>
      <c r="W1071">
        <v>-2.3E-2</v>
      </c>
      <c r="X1071">
        <v>2.8E-3</v>
      </c>
      <c r="Y1071">
        <v>-1E-4</v>
      </c>
      <c r="Z1071">
        <v>0</v>
      </c>
      <c r="AA1071">
        <v>0</v>
      </c>
      <c r="AB1071">
        <v>270</v>
      </c>
      <c r="AC1071">
        <v>0.05</v>
      </c>
      <c r="AD1071">
        <v>0</v>
      </c>
      <c r="AE1071">
        <v>0</v>
      </c>
      <c r="AF1071">
        <v>0.05</v>
      </c>
      <c r="AG1071">
        <v>396</v>
      </c>
      <c r="AH1071">
        <v>0</v>
      </c>
    </row>
    <row r="1072" spans="1:34" x14ac:dyDescent="0.35">
      <c r="A1072" t="s">
        <v>34</v>
      </c>
      <c r="B1072" s="1">
        <v>46146.65625</v>
      </c>
      <c r="C1072" t="s">
        <v>34</v>
      </c>
      <c r="D1072" s="1">
        <v>46150.625</v>
      </c>
      <c r="E1072">
        <v>4200</v>
      </c>
      <c r="F1072" t="s">
        <v>36</v>
      </c>
      <c r="G1072">
        <v>0.05</v>
      </c>
      <c r="H1072">
        <v>0.05</v>
      </c>
      <c r="I1072">
        <v>0.05</v>
      </c>
      <c r="J1072">
        <v>0.05</v>
      </c>
      <c r="K1072">
        <v>2</v>
      </c>
      <c r="L1072">
        <v>0</v>
      </c>
      <c r="M1072">
        <v>0</v>
      </c>
      <c r="N1072">
        <v>1194</v>
      </c>
      <c r="O1072">
        <v>0.05</v>
      </c>
      <c r="P1072">
        <v>0</v>
      </c>
      <c r="Q1072">
        <v>0</v>
      </c>
      <c r="R1072">
        <v>0</v>
      </c>
      <c r="S1072">
        <v>0</v>
      </c>
      <c r="T1072">
        <v>1.4188000000000001</v>
      </c>
      <c r="U1072">
        <v>-1E-4</v>
      </c>
      <c r="V1072">
        <v>0</v>
      </c>
      <c r="W1072">
        <v>-2.29E-2</v>
      </c>
      <c r="X1072">
        <v>3.0000000000000001E-3</v>
      </c>
      <c r="Y1072">
        <v>-1E-4</v>
      </c>
      <c r="Z1072">
        <v>0</v>
      </c>
      <c r="AA1072">
        <v>0</v>
      </c>
      <c r="AB1072">
        <v>846</v>
      </c>
      <c r="AC1072">
        <v>0.05</v>
      </c>
      <c r="AD1072">
        <v>0</v>
      </c>
      <c r="AE1072">
        <v>0</v>
      </c>
      <c r="AF1072">
        <v>0.05</v>
      </c>
      <c r="AG1072">
        <v>2428</v>
      </c>
      <c r="AH1072">
        <v>0</v>
      </c>
    </row>
    <row r="1073" spans="1:34" x14ac:dyDescent="0.35">
      <c r="A1073" t="s">
        <v>34</v>
      </c>
      <c r="B1073" s="1">
        <v>46146.65625</v>
      </c>
      <c r="C1073" t="s">
        <v>34</v>
      </c>
      <c r="D1073" s="1">
        <v>46150.625</v>
      </c>
      <c r="E1073">
        <v>4400</v>
      </c>
      <c r="F1073" t="s">
        <v>36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1137</v>
      </c>
      <c r="O1073">
        <v>0.05</v>
      </c>
      <c r="P1073">
        <v>0</v>
      </c>
      <c r="Q1073">
        <v>0</v>
      </c>
      <c r="R1073">
        <v>0</v>
      </c>
      <c r="S1073">
        <v>0</v>
      </c>
      <c r="T1073">
        <v>1.3018000000000001</v>
      </c>
      <c r="U1073">
        <v>-1E-4</v>
      </c>
      <c r="V1073">
        <v>0</v>
      </c>
      <c r="W1073">
        <v>-2.29E-2</v>
      </c>
      <c r="X1073">
        <v>3.3E-3</v>
      </c>
      <c r="Y1073">
        <v>-1E-4</v>
      </c>
      <c r="Z1073">
        <v>0</v>
      </c>
      <c r="AA1073">
        <v>0</v>
      </c>
      <c r="AB1073">
        <v>249</v>
      </c>
      <c r="AC1073">
        <v>0.05</v>
      </c>
      <c r="AD1073">
        <v>0</v>
      </c>
      <c r="AE1073">
        <v>0</v>
      </c>
      <c r="AF1073">
        <v>0</v>
      </c>
      <c r="AG1073">
        <v>1266</v>
      </c>
      <c r="AH1073">
        <v>0</v>
      </c>
    </row>
    <row r="1074" spans="1:34" x14ac:dyDescent="0.35">
      <c r="A1074" t="s">
        <v>34</v>
      </c>
      <c r="B1074" s="1">
        <v>46146.65625</v>
      </c>
      <c r="C1074" t="s">
        <v>34</v>
      </c>
      <c r="D1074" s="1">
        <v>46150.625</v>
      </c>
      <c r="E1074">
        <v>4600</v>
      </c>
      <c r="F1074" t="s">
        <v>36</v>
      </c>
      <c r="G1074">
        <v>0.05</v>
      </c>
      <c r="H1074">
        <v>0.05</v>
      </c>
      <c r="I1074">
        <v>0.05</v>
      </c>
      <c r="J1074">
        <v>0.05</v>
      </c>
      <c r="K1074">
        <v>2</v>
      </c>
      <c r="L1074">
        <v>0</v>
      </c>
      <c r="M1074">
        <v>0</v>
      </c>
      <c r="N1074">
        <v>1170</v>
      </c>
      <c r="O1074">
        <v>0.05</v>
      </c>
      <c r="P1074">
        <v>0</v>
      </c>
      <c r="Q1074">
        <v>0</v>
      </c>
      <c r="R1074">
        <v>0</v>
      </c>
      <c r="S1074">
        <v>0</v>
      </c>
      <c r="T1074">
        <v>1.1896</v>
      </c>
      <c r="U1074">
        <v>-1E-4</v>
      </c>
      <c r="V1074">
        <v>0</v>
      </c>
      <c r="W1074">
        <v>-2.29E-2</v>
      </c>
      <c r="X1074">
        <v>3.5999999999999999E-3</v>
      </c>
      <c r="Y1074">
        <v>-1E-4</v>
      </c>
      <c r="Z1074">
        <v>0</v>
      </c>
      <c r="AA1074">
        <v>0</v>
      </c>
      <c r="AB1074">
        <v>827</v>
      </c>
      <c r="AC1074">
        <v>0.05</v>
      </c>
      <c r="AD1074">
        <v>0</v>
      </c>
      <c r="AE1074">
        <v>0</v>
      </c>
      <c r="AF1074">
        <v>0.05</v>
      </c>
      <c r="AG1074">
        <v>516</v>
      </c>
      <c r="AH1074">
        <v>0</v>
      </c>
    </row>
    <row r="1075" spans="1:34" x14ac:dyDescent="0.35">
      <c r="A1075" t="s">
        <v>34</v>
      </c>
      <c r="B1075" s="1">
        <v>46146.65625</v>
      </c>
      <c r="C1075" t="s">
        <v>34</v>
      </c>
      <c r="D1075" s="1">
        <v>46150.625</v>
      </c>
      <c r="E1075">
        <v>4800</v>
      </c>
      <c r="F1075" t="s">
        <v>36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462</v>
      </c>
      <c r="O1075">
        <v>0.05</v>
      </c>
      <c r="P1075">
        <v>0</v>
      </c>
      <c r="Q1075">
        <v>0</v>
      </c>
      <c r="R1075">
        <v>0</v>
      </c>
      <c r="S1075">
        <v>0</v>
      </c>
      <c r="T1075">
        <v>1.0821000000000001</v>
      </c>
      <c r="U1075">
        <v>-1E-4</v>
      </c>
      <c r="V1075">
        <v>0</v>
      </c>
      <c r="W1075">
        <v>-2.29E-2</v>
      </c>
      <c r="X1075">
        <v>3.8999999999999998E-3</v>
      </c>
      <c r="Y1075">
        <v>-1E-4</v>
      </c>
      <c r="Z1075">
        <v>0</v>
      </c>
      <c r="AA1075">
        <v>0</v>
      </c>
      <c r="AB1075">
        <v>189</v>
      </c>
      <c r="AC1075">
        <v>0.05</v>
      </c>
      <c r="AD1075">
        <v>0</v>
      </c>
      <c r="AE1075">
        <v>0</v>
      </c>
      <c r="AF1075">
        <v>0</v>
      </c>
      <c r="AG1075">
        <v>984</v>
      </c>
      <c r="AH1075">
        <v>0</v>
      </c>
    </row>
    <row r="1076" spans="1:34" x14ac:dyDescent="0.35">
      <c r="A1076" t="s">
        <v>34</v>
      </c>
      <c r="B1076" s="1">
        <v>46146.65625</v>
      </c>
      <c r="C1076" t="s">
        <v>34</v>
      </c>
      <c r="D1076" s="1">
        <v>46150.625</v>
      </c>
      <c r="E1076">
        <v>4900</v>
      </c>
      <c r="F1076" t="s">
        <v>36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417</v>
      </c>
      <c r="O1076">
        <v>0.05</v>
      </c>
      <c r="P1076">
        <v>0</v>
      </c>
      <c r="Q1076">
        <v>0</v>
      </c>
      <c r="R1076">
        <v>0</v>
      </c>
      <c r="S1076">
        <v>0</v>
      </c>
      <c r="T1076">
        <v>1.0298</v>
      </c>
      <c r="U1076">
        <v>-1E-4</v>
      </c>
      <c r="V1076">
        <v>0</v>
      </c>
      <c r="W1076">
        <v>-2.2800000000000001E-2</v>
      </c>
      <c r="X1076">
        <v>4.1000000000000003E-3</v>
      </c>
      <c r="Y1076">
        <v>-1E-4</v>
      </c>
      <c r="Z1076">
        <v>0</v>
      </c>
      <c r="AA1076">
        <v>0</v>
      </c>
      <c r="AB1076">
        <v>102</v>
      </c>
      <c r="AC1076">
        <v>0.05</v>
      </c>
      <c r="AD1076">
        <v>0</v>
      </c>
      <c r="AE1076">
        <v>0</v>
      </c>
      <c r="AF1076">
        <v>0</v>
      </c>
      <c r="AG1076">
        <v>4092</v>
      </c>
      <c r="AH1076">
        <v>0</v>
      </c>
    </row>
    <row r="1077" spans="1:34" x14ac:dyDescent="0.35">
      <c r="A1077" t="s">
        <v>34</v>
      </c>
      <c r="B1077" s="1">
        <v>46146.65625</v>
      </c>
      <c r="C1077" t="s">
        <v>34</v>
      </c>
      <c r="D1077" s="1">
        <v>46150.625</v>
      </c>
      <c r="E1077">
        <v>4950</v>
      </c>
      <c r="F1077" t="s">
        <v>36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403</v>
      </c>
      <c r="O1077">
        <v>0.05</v>
      </c>
      <c r="P1077">
        <v>0</v>
      </c>
      <c r="Q1077">
        <v>0</v>
      </c>
      <c r="R1077">
        <v>0</v>
      </c>
      <c r="S1077">
        <v>0</v>
      </c>
      <c r="T1077">
        <v>1.004</v>
      </c>
      <c r="U1077">
        <v>-2.0000000000000001E-4</v>
      </c>
      <c r="V1077">
        <v>0</v>
      </c>
      <c r="W1077">
        <v>-2.2800000000000001E-2</v>
      </c>
      <c r="X1077">
        <v>4.1999999999999997E-3</v>
      </c>
      <c r="Y1077">
        <v>-1E-4</v>
      </c>
      <c r="Z1077">
        <v>0</v>
      </c>
      <c r="AA1077">
        <v>0</v>
      </c>
      <c r="AB1077">
        <v>98</v>
      </c>
      <c r="AC1077">
        <v>0.05</v>
      </c>
      <c r="AD1077">
        <v>0</v>
      </c>
      <c r="AE1077">
        <v>0</v>
      </c>
      <c r="AF1077">
        <v>0</v>
      </c>
      <c r="AG1077">
        <v>39617</v>
      </c>
      <c r="AH1077">
        <v>0</v>
      </c>
    </row>
    <row r="1078" spans="1:34" x14ac:dyDescent="0.35">
      <c r="A1078" t="s">
        <v>34</v>
      </c>
      <c r="B1078" s="1">
        <v>46146.65625</v>
      </c>
      <c r="C1078" t="s">
        <v>34</v>
      </c>
      <c r="D1078" s="1">
        <v>46150.625</v>
      </c>
      <c r="E1078">
        <v>5000</v>
      </c>
      <c r="F1078" t="s">
        <v>36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2943</v>
      </c>
      <c r="O1078">
        <v>0.05</v>
      </c>
      <c r="P1078">
        <v>0</v>
      </c>
      <c r="Q1078">
        <v>0</v>
      </c>
      <c r="R1078">
        <v>0</v>
      </c>
      <c r="S1078">
        <v>0</v>
      </c>
      <c r="T1078">
        <v>0.97809999999999997</v>
      </c>
      <c r="U1078">
        <v>-2.0000000000000001E-4</v>
      </c>
      <c r="V1078">
        <v>0</v>
      </c>
      <c r="W1078">
        <v>-2.2800000000000001E-2</v>
      </c>
      <c r="X1078">
        <v>4.3E-3</v>
      </c>
      <c r="Y1078">
        <v>-1E-4</v>
      </c>
      <c r="Z1078">
        <v>0</v>
      </c>
      <c r="AA1078">
        <v>0</v>
      </c>
      <c r="AB1078">
        <v>2675</v>
      </c>
      <c r="AC1078">
        <v>0.05</v>
      </c>
      <c r="AD1078">
        <v>0</v>
      </c>
      <c r="AE1078">
        <v>0</v>
      </c>
      <c r="AF1078">
        <v>0</v>
      </c>
      <c r="AG1078">
        <v>7347</v>
      </c>
      <c r="AH1078">
        <v>0</v>
      </c>
    </row>
    <row r="1079" spans="1:34" x14ac:dyDescent="0.35">
      <c r="A1079" t="s">
        <v>34</v>
      </c>
      <c r="B1079" s="1">
        <v>46146.65625</v>
      </c>
      <c r="C1079" t="s">
        <v>34</v>
      </c>
      <c r="D1079" s="1">
        <v>46150.625</v>
      </c>
      <c r="E1079">
        <v>5050</v>
      </c>
      <c r="F1079" t="s">
        <v>36</v>
      </c>
      <c r="G1079">
        <v>0.05</v>
      </c>
      <c r="H1079">
        <v>0.05</v>
      </c>
      <c r="I1079">
        <v>0.02</v>
      </c>
      <c r="J1079">
        <v>0.02</v>
      </c>
      <c r="K1079">
        <v>8</v>
      </c>
      <c r="L1079">
        <v>0</v>
      </c>
      <c r="M1079">
        <v>0</v>
      </c>
      <c r="N1079">
        <v>355</v>
      </c>
      <c r="O1079">
        <v>0.05</v>
      </c>
      <c r="P1079">
        <v>0</v>
      </c>
      <c r="Q1079">
        <v>0</v>
      </c>
      <c r="R1079">
        <v>0</v>
      </c>
      <c r="S1079">
        <v>0</v>
      </c>
      <c r="T1079">
        <v>0.95320000000000005</v>
      </c>
      <c r="U1079">
        <v>-2.0000000000000001E-4</v>
      </c>
      <c r="V1079">
        <v>0</v>
      </c>
      <c r="W1079">
        <v>-2.2800000000000001E-2</v>
      </c>
      <c r="X1079">
        <v>4.4000000000000003E-3</v>
      </c>
      <c r="Y1079">
        <v>-1E-4</v>
      </c>
      <c r="Z1079">
        <v>0</v>
      </c>
      <c r="AA1079">
        <v>0</v>
      </c>
      <c r="AB1079">
        <v>100</v>
      </c>
      <c r="AC1079">
        <v>0.05</v>
      </c>
      <c r="AD1079">
        <v>0</v>
      </c>
      <c r="AE1079">
        <v>0</v>
      </c>
      <c r="AF1079">
        <v>3.1300000000000001E-2</v>
      </c>
      <c r="AG1079">
        <v>40352</v>
      </c>
      <c r="AH1079">
        <v>0</v>
      </c>
    </row>
    <row r="1080" spans="1:34" x14ac:dyDescent="0.35">
      <c r="A1080" t="s">
        <v>34</v>
      </c>
      <c r="B1080" s="1">
        <v>46146.65625</v>
      </c>
      <c r="C1080" t="s">
        <v>34</v>
      </c>
      <c r="D1080" s="1">
        <v>46150.625</v>
      </c>
      <c r="E1080">
        <v>5100</v>
      </c>
      <c r="F1080" t="s">
        <v>36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324</v>
      </c>
      <c r="O1080">
        <v>0.05</v>
      </c>
      <c r="P1080">
        <v>0</v>
      </c>
      <c r="Q1080">
        <v>0</v>
      </c>
      <c r="R1080">
        <v>0</v>
      </c>
      <c r="S1080">
        <v>0</v>
      </c>
      <c r="T1080">
        <v>0.92810000000000004</v>
      </c>
      <c r="U1080">
        <v>-2.0000000000000001E-4</v>
      </c>
      <c r="V1080">
        <v>0</v>
      </c>
      <c r="W1080">
        <v>-2.2800000000000001E-2</v>
      </c>
      <c r="X1080">
        <v>4.5999999999999999E-3</v>
      </c>
      <c r="Y1080">
        <v>-1E-4</v>
      </c>
      <c r="Z1080">
        <v>0</v>
      </c>
      <c r="AA1080">
        <v>0</v>
      </c>
      <c r="AB1080">
        <v>85</v>
      </c>
      <c r="AC1080">
        <v>0.05</v>
      </c>
      <c r="AD1080">
        <v>0</v>
      </c>
      <c r="AE1080">
        <v>0</v>
      </c>
      <c r="AF1080">
        <v>0</v>
      </c>
      <c r="AG1080">
        <v>4575</v>
      </c>
      <c r="AH1080">
        <v>0</v>
      </c>
    </row>
    <row r="1081" spans="1:34" x14ac:dyDescent="0.35">
      <c r="A1081" t="s">
        <v>34</v>
      </c>
      <c r="B1081" s="1">
        <v>46146.65625</v>
      </c>
      <c r="C1081" t="s">
        <v>34</v>
      </c>
      <c r="D1081" s="1">
        <v>46150.625</v>
      </c>
      <c r="E1081">
        <v>5150</v>
      </c>
      <c r="F1081" t="s">
        <v>36</v>
      </c>
      <c r="G1081">
        <v>7.0000000000000007E-2</v>
      </c>
      <c r="H1081">
        <v>7.0000000000000007E-2</v>
      </c>
      <c r="I1081">
        <v>7.0000000000000007E-2</v>
      </c>
      <c r="J1081">
        <v>7.0000000000000007E-2</v>
      </c>
      <c r="K1081">
        <v>5</v>
      </c>
      <c r="L1081">
        <v>0</v>
      </c>
      <c r="M1081">
        <v>0</v>
      </c>
      <c r="N1081">
        <v>303</v>
      </c>
      <c r="O1081">
        <v>0.05</v>
      </c>
      <c r="P1081">
        <v>0</v>
      </c>
      <c r="Q1081">
        <v>0</v>
      </c>
      <c r="R1081">
        <v>0</v>
      </c>
      <c r="S1081">
        <v>0</v>
      </c>
      <c r="T1081">
        <v>0.9032</v>
      </c>
      <c r="U1081">
        <v>-2.0000000000000001E-4</v>
      </c>
      <c r="V1081">
        <v>0</v>
      </c>
      <c r="W1081">
        <v>-2.2800000000000001E-2</v>
      </c>
      <c r="X1081">
        <v>4.7000000000000002E-3</v>
      </c>
      <c r="Y1081">
        <v>-1E-4</v>
      </c>
      <c r="Z1081">
        <v>0</v>
      </c>
      <c r="AA1081">
        <v>0</v>
      </c>
      <c r="AB1081">
        <v>82</v>
      </c>
      <c r="AC1081">
        <v>0.05</v>
      </c>
      <c r="AD1081">
        <v>0</v>
      </c>
      <c r="AE1081">
        <v>0</v>
      </c>
      <c r="AF1081">
        <v>7.0000000000000007E-2</v>
      </c>
      <c r="AG1081">
        <v>2203</v>
      </c>
      <c r="AH1081">
        <v>0</v>
      </c>
    </row>
    <row r="1082" spans="1:34" x14ac:dyDescent="0.35">
      <c r="A1082" t="s">
        <v>34</v>
      </c>
      <c r="B1082" s="1">
        <v>46146.65625</v>
      </c>
      <c r="C1082" t="s">
        <v>34</v>
      </c>
      <c r="D1082" s="1">
        <v>46150.625</v>
      </c>
      <c r="E1082">
        <v>5200</v>
      </c>
      <c r="F1082" t="s">
        <v>36</v>
      </c>
      <c r="G1082">
        <v>0.05</v>
      </c>
      <c r="H1082">
        <v>0.05</v>
      </c>
      <c r="I1082">
        <v>0.05</v>
      </c>
      <c r="J1082">
        <v>0.05</v>
      </c>
      <c r="K1082">
        <v>61</v>
      </c>
      <c r="L1082">
        <v>0</v>
      </c>
      <c r="M1082">
        <v>0</v>
      </c>
      <c r="N1082">
        <v>1797</v>
      </c>
      <c r="O1082">
        <v>0.05</v>
      </c>
      <c r="P1082">
        <v>0</v>
      </c>
      <c r="Q1082">
        <v>0</v>
      </c>
      <c r="R1082">
        <v>0</v>
      </c>
      <c r="S1082">
        <v>0</v>
      </c>
      <c r="T1082">
        <v>0.87860000000000005</v>
      </c>
      <c r="U1082">
        <v>-2.0000000000000001E-4</v>
      </c>
      <c r="V1082">
        <v>0</v>
      </c>
      <c r="W1082">
        <v>-2.2800000000000001E-2</v>
      </c>
      <c r="X1082">
        <v>4.7999999999999996E-3</v>
      </c>
      <c r="Y1082">
        <v>-1E-4</v>
      </c>
      <c r="Z1082">
        <v>0</v>
      </c>
      <c r="AA1082">
        <v>0</v>
      </c>
      <c r="AB1082">
        <v>1621</v>
      </c>
      <c r="AC1082">
        <v>0.05</v>
      </c>
      <c r="AD1082">
        <v>0</v>
      </c>
      <c r="AE1082">
        <v>0</v>
      </c>
      <c r="AF1082">
        <v>0.05</v>
      </c>
      <c r="AG1082">
        <v>1761</v>
      </c>
      <c r="AH1082">
        <v>0</v>
      </c>
    </row>
    <row r="1083" spans="1:34" x14ac:dyDescent="0.35">
      <c r="A1083" t="s">
        <v>34</v>
      </c>
      <c r="B1083" s="1">
        <v>46146.65625</v>
      </c>
      <c r="C1083" t="s">
        <v>34</v>
      </c>
      <c r="D1083" s="1">
        <v>46150.625</v>
      </c>
      <c r="E1083">
        <v>5250</v>
      </c>
      <c r="F1083" t="s">
        <v>36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437</v>
      </c>
      <c r="O1083">
        <v>0.05</v>
      </c>
      <c r="P1083">
        <v>0</v>
      </c>
      <c r="Q1083">
        <v>0</v>
      </c>
      <c r="R1083">
        <v>0</v>
      </c>
      <c r="S1083">
        <v>0</v>
      </c>
      <c r="T1083">
        <v>0.85409999999999997</v>
      </c>
      <c r="U1083">
        <v>-2.0000000000000001E-4</v>
      </c>
      <c r="V1083">
        <v>0</v>
      </c>
      <c r="W1083">
        <v>-2.2800000000000001E-2</v>
      </c>
      <c r="X1083">
        <v>4.8999999999999998E-3</v>
      </c>
      <c r="Y1083">
        <v>-1E-4</v>
      </c>
      <c r="Z1083">
        <v>0</v>
      </c>
      <c r="AA1083">
        <v>0</v>
      </c>
      <c r="AB1083">
        <v>75</v>
      </c>
      <c r="AC1083">
        <v>0.05</v>
      </c>
      <c r="AD1083">
        <v>0</v>
      </c>
      <c r="AE1083">
        <v>0</v>
      </c>
      <c r="AF1083">
        <v>0</v>
      </c>
      <c r="AG1083">
        <v>320</v>
      </c>
      <c r="AH1083">
        <v>0</v>
      </c>
    </row>
    <row r="1084" spans="1:34" x14ac:dyDescent="0.35">
      <c r="A1084" t="s">
        <v>34</v>
      </c>
      <c r="B1084" s="1">
        <v>46146.65625</v>
      </c>
      <c r="C1084" t="s">
        <v>34</v>
      </c>
      <c r="D1084" s="1">
        <v>46150.625</v>
      </c>
      <c r="E1084">
        <v>5300</v>
      </c>
      <c r="F1084" t="s">
        <v>36</v>
      </c>
      <c r="G1084">
        <v>0.05</v>
      </c>
      <c r="H1084">
        <v>0.05</v>
      </c>
      <c r="I1084">
        <v>0.05</v>
      </c>
      <c r="J1084">
        <v>0.05</v>
      </c>
      <c r="K1084">
        <v>10</v>
      </c>
      <c r="L1084">
        <v>0</v>
      </c>
      <c r="M1084">
        <v>0</v>
      </c>
      <c r="N1084">
        <v>1642</v>
      </c>
      <c r="O1084">
        <v>0.05</v>
      </c>
      <c r="P1084">
        <v>0</v>
      </c>
      <c r="Q1084">
        <v>0</v>
      </c>
      <c r="R1084">
        <v>0</v>
      </c>
      <c r="S1084">
        <v>0</v>
      </c>
      <c r="T1084">
        <v>0.82989999999999997</v>
      </c>
      <c r="U1084">
        <v>-2.0000000000000001E-4</v>
      </c>
      <c r="V1084">
        <v>0</v>
      </c>
      <c r="W1084">
        <v>-2.2700000000000001E-2</v>
      </c>
      <c r="X1084">
        <v>5.1000000000000004E-3</v>
      </c>
      <c r="Y1084">
        <v>-1E-4</v>
      </c>
      <c r="Z1084">
        <v>0</v>
      </c>
      <c r="AA1084">
        <v>0</v>
      </c>
      <c r="AB1084">
        <v>1303</v>
      </c>
      <c r="AC1084">
        <v>0.05</v>
      </c>
      <c r="AD1084">
        <v>0</v>
      </c>
      <c r="AE1084">
        <v>0</v>
      </c>
      <c r="AF1084">
        <v>0.05</v>
      </c>
      <c r="AG1084">
        <v>3877</v>
      </c>
      <c r="AH1084">
        <v>0</v>
      </c>
    </row>
    <row r="1085" spans="1:34" x14ac:dyDescent="0.35">
      <c r="A1085" t="s">
        <v>34</v>
      </c>
      <c r="B1085" s="1">
        <v>46146.65625</v>
      </c>
      <c r="C1085" t="s">
        <v>34</v>
      </c>
      <c r="D1085" s="1">
        <v>46150.625</v>
      </c>
      <c r="E1085">
        <v>5350</v>
      </c>
      <c r="F1085" t="s">
        <v>36</v>
      </c>
      <c r="G1085">
        <v>0.05</v>
      </c>
      <c r="H1085">
        <v>0.05</v>
      </c>
      <c r="I1085">
        <v>0.05</v>
      </c>
      <c r="J1085">
        <v>0.05</v>
      </c>
      <c r="K1085">
        <v>117</v>
      </c>
      <c r="L1085">
        <v>0</v>
      </c>
      <c r="M1085">
        <v>0</v>
      </c>
      <c r="N1085">
        <v>758</v>
      </c>
      <c r="O1085">
        <v>0.05</v>
      </c>
      <c r="P1085">
        <v>0</v>
      </c>
      <c r="Q1085">
        <v>0</v>
      </c>
      <c r="R1085">
        <v>0</v>
      </c>
      <c r="S1085">
        <v>0</v>
      </c>
      <c r="T1085">
        <v>0.80579999999999996</v>
      </c>
      <c r="U1085">
        <v>-2.0000000000000001E-4</v>
      </c>
      <c r="V1085">
        <v>0</v>
      </c>
      <c r="W1085">
        <v>-2.2700000000000001E-2</v>
      </c>
      <c r="X1085">
        <v>5.1999999999999998E-3</v>
      </c>
      <c r="Y1085">
        <v>-1E-4</v>
      </c>
      <c r="Z1085">
        <v>0</v>
      </c>
      <c r="AA1085">
        <v>0</v>
      </c>
      <c r="AB1085">
        <v>633</v>
      </c>
      <c r="AC1085">
        <v>0.05</v>
      </c>
      <c r="AD1085">
        <v>0</v>
      </c>
      <c r="AE1085">
        <v>0</v>
      </c>
      <c r="AF1085">
        <v>0.05</v>
      </c>
      <c r="AG1085">
        <v>3846</v>
      </c>
      <c r="AH1085">
        <v>0</v>
      </c>
    </row>
    <row r="1086" spans="1:34" x14ac:dyDescent="0.35">
      <c r="A1086" t="s">
        <v>34</v>
      </c>
      <c r="B1086" s="1">
        <v>46146.65625</v>
      </c>
      <c r="C1086" t="s">
        <v>34</v>
      </c>
      <c r="D1086" s="1">
        <v>46150.625</v>
      </c>
      <c r="E1086">
        <v>5400</v>
      </c>
      <c r="F1086" t="s">
        <v>36</v>
      </c>
      <c r="G1086">
        <v>0.05</v>
      </c>
      <c r="H1086">
        <v>0.05</v>
      </c>
      <c r="I1086">
        <v>0.05</v>
      </c>
      <c r="J1086">
        <v>0.05</v>
      </c>
      <c r="K1086">
        <v>626</v>
      </c>
      <c r="L1086">
        <v>0</v>
      </c>
      <c r="M1086">
        <v>0</v>
      </c>
      <c r="N1086">
        <v>649</v>
      </c>
      <c r="O1086">
        <v>0.05</v>
      </c>
      <c r="P1086">
        <v>0</v>
      </c>
      <c r="Q1086">
        <v>0</v>
      </c>
      <c r="R1086">
        <v>0</v>
      </c>
      <c r="S1086">
        <v>0</v>
      </c>
      <c r="T1086">
        <v>0.78200000000000003</v>
      </c>
      <c r="U1086">
        <v>-2.0000000000000001E-4</v>
      </c>
      <c r="V1086">
        <v>0</v>
      </c>
      <c r="W1086">
        <v>-2.2700000000000001E-2</v>
      </c>
      <c r="X1086">
        <v>5.4000000000000003E-3</v>
      </c>
      <c r="Y1086">
        <v>-1E-4</v>
      </c>
      <c r="Z1086">
        <v>0</v>
      </c>
      <c r="AA1086">
        <v>0</v>
      </c>
      <c r="AB1086">
        <v>530</v>
      </c>
      <c r="AC1086">
        <v>0.05</v>
      </c>
      <c r="AD1086">
        <v>0</v>
      </c>
      <c r="AE1086">
        <v>0</v>
      </c>
      <c r="AF1086">
        <v>0.05</v>
      </c>
      <c r="AG1086">
        <v>1460</v>
      </c>
      <c r="AH1086">
        <v>0</v>
      </c>
    </row>
    <row r="1087" spans="1:34" x14ac:dyDescent="0.35">
      <c r="A1087" t="s">
        <v>34</v>
      </c>
      <c r="B1087" s="1">
        <v>46146.65625</v>
      </c>
      <c r="C1087" t="s">
        <v>34</v>
      </c>
      <c r="D1087" s="1">
        <v>46150.625</v>
      </c>
      <c r="E1087">
        <v>5450</v>
      </c>
      <c r="F1087" t="s">
        <v>36</v>
      </c>
      <c r="G1087">
        <v>0.05</v>
      </c>
      <c r="H1087">
        <v>0.05</v>
      </c>
      <c r="I1087">
        <v>0.05</v>
      </c>
      <c r="J1087">
        <v>0.05</v>
      </c>
      <c r="K1087">
        <v>104</v>
      </c>
      <c r="L1087">
        <v>0</v>
      </c>
      <c r="M1087">
        <v>0</v>
      </c>
      <c r="N1087">
        <v>61</v>
      </c>
      <c r="O1087">
        <v>0.05</v>
      </c>
      <c r="P1087">
        <v>0</v>
      </c>
      <c r="Q1087">
        <v>0</v>
      </c>
      <c r="R1087">
        <v>0</v>
      </c>
      <c r="S1087">
        <v>0</v>
      </c>
      <c r="T1087">
        <v>0.75829999999999997</v>
      </c>
      <c r="U1087">
        <v>-2.0000000000000001E-4</v>
      </c>
      <c r="V1087">
        <v>0</v>
      </c>
      <c r="W1087">
        <v>-2.2700000000000001E-2</v>
      </c>
      <c r="X1087">
        <v>5.4999999999999997E-3</v>
      </c>
      <c r="Y1087">
        <v>-1E-4</v>
      </c>
      <c r="Z1087">
        <v>0</v>
      </c>
      <c r="AA1087">
        <v>0</v>
      </c>
      <c r="AB1087">
        <v>264</v>
      </c>
      <c r="AC1087">
        <v>0.1</v>
      </c>
      <c r="AD1087">
        <v>0</v>
      </c>
      <c r="AE1087">
        <v>0</v>
      </c>
      <c r="AF1087">
        <v>0.05</v>
      </c>
      <c r="AG1087">
        <v>1055</v>
      </c>
      <c r="AH1087">
        <v>0</v>
      </c>
    </row>
    <row r="1088" spans="1:34" x14ac:dyDescent="0.35">
      <c r="A1088" t="s">
        <v>34</v>
      </c>
      <c r="B1088" s="1">
        <v>46146.65625</v>
      </c>
      <c r="C1088" t="s">
        <v>34</v>
      </c>
      <c r="D1088" s="1">
        <v>46150.625</v>
      </c>
      <c r="E1088">
        <v>5475</v>
      </c>
      <c r="F1088" t="s">
        <v>36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59</v>
      </c>
      <c r="O1088">
        <v>0.05</v>
      </c>
      <c r="P1088">
        <v>0</v>
      </c>
      <c r="Q1088">
        <v>0</v>
      </c>
      <c r="R1088">
        <v>0</v>
      </c>
      <c r="S1088">
        <v>0</v>
      </c>
      <c r="T1088">
        <v>0.74660000000000004</v>
      </c>
      <c r="U1088">
        <v>-2.0000000000000001E-4</v>
      </c>
      <c r="V1088">
        <v>0</v>
      </c>
      <c r="W1088">
        <v>-2.2700000000000001E-2</v>
      </c>
      <c r="X1088">
        <v>5.5999999999999999E-3</v>
      </c>
      <c r="Y1088">
        <v>-1E-4</v>
      </c>
      <c r="Z1088">
        <v>0</v>
      </c>
      <c r="AA1088">
        <v>0</v>
      </c>
      <c r="AB1088">
        <v>255</v>
      </c>
      <c r="AC1088">
        <v>0.1</v>
      </c>
      <c r="AD1088">
        <v>0</v>
      </c>
      <c r="AE1088">
        <v>0</v>
      </c>
      <c r="AF1088">
        <v>0</v>
      </c>
      <c r="AG1088">
        <v>66</v>
      </c>
      <c r="AH1088">
        <v>0</v>
      </c>
    </row>
    <row r="1089" spans="1:34" x14ac:dyDescent="0.35">
      <c r="A1089" t="s">
        <v>34</v>
      </c>
      <c r="B1089" s="1">
        <v>46146.65625</v>
      </c>
      <c r="C1089" t="s">
        <v>34</v>
      </c>
      <c r="D1089" s="1">
        <v>46150.625</v>
      </c>
      <c r="E1089">
        <v>5500</v>
      </c>
      <c r="F1089" t="s">
        <v>36</v>
      </c>
      <c r="G1089">
        <v>7.0000000000000007E-2</v>
      </c>
      <c r="H1089">
        <v>7.0000000000000007E-2</v>
      </c>
      <c r="I1089">
        <v>0.05</v>
      </c>
      <c r="J1089">
        <v>0.05</v>
      </c>
      <c r="K1089">
        <v>629</v>
      </c>
      <c r="L1089">
        <v>0</v>
      </c>
      <c r="M1089">
        <v>0</v>
      </c>
      <c r="N1089">
        <v>808</v>
      </c>
      <c r="O1089">
        <v>0.05</v>
      </c>
      <c r="P1089">
        <v>0</v>
      </c>
      <c r="Q1089">
        <v>0</v>
      </c>
      <c r="R1089">
        <v>0</v>
      </c>
      <c r="S1089">
        <v>0</v>
      </c>
      <c r="T1089">
        <v>0.7349</v>
      </c>
      <c r="U1089">
        <v>-2.0000000000000001E-4</v>
      </c>
      <c r="V1089">
        <v>0</v>
      </c>
      <c r="W1089">
        <v>-2.2700000000000001E-2</v>
      </c>
      <c r="X1089">
        <v>5.7000000000000002E-3</v>
      </c>
      <c r="Y1089">
        <v>-2.0000000000000001E-4</v>
      </c>
      <c r="Z1089">
        <v>0</v>
      </c>
      <c r="AA1089">
        <v>0</v>
      </c>
      <c r="AB1089">
        <v>750</v>
      </c>
      <c r="AC1089">
        <v>0.05</v>
      </c>
      <c r="AD1089">
        <v>0</v>
      </c>
      <c r="AE1089">
        <v>0</v>
      </c>
      <c r="AF1089">
        <v>5.0200000000000002E-2</v>
      </c>
      <c r="AG1089">
        <v>1008</v>
      </c>
      <c r="AH1089">
        <v>0</v>
      </c>
    </row>
    <row r="1090" spans="1:34" x14ac:dyDescent="0.35">
      <c r="A1090" t="s">
        <v>34</v>
      </c>
      <c r="B1090" s="1">
        <v>46146.65625</v>
      </c>
      <c r="C1090" t="s">
        <v>34</v>
      </c>
      <c r="D1090" s="1">
        <v>46150.625</v>
      </c>
      <c r="E1090">
        <v>5525</v>
      </c>
      <c r="F1090" t="s">
        <v>36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55</v>
      </c>
      <c r="O1090">
        <v>0.05</v>
      </c>
      <c r="P1090">
        <v>0</v>
      </c>
      <c r="Q1090">
        <v>0</v>
      </c>
      <c r="R1090">
        <v>0</v>
      </c>
      <c r="S1090">
        <v>0</v>
      </c>
      <c r="T1090">
        <v>0.72319999999999995</v>
      </c>
      <c r="U1090">
        <v>-2.0000000000000001E-4</v>
      </c>
      <c r="V1090">
        <v>0</v>
      </c>
      <c r="W1090">
        <v>-2.2700000000000001E-2</v>
      </c>
      <c r="X1090">
        <v>5.7999999999999996E-3</v>
      </c>
      <c r="Y1090">
        <v>-2.0000000000000001E-4</v>
      </c>
      <c r="Z1090">
        <v>0</v>
      </c>
      <c r="AA1090">
        <v>0</v>
      </c>
      <c r="AB1090">
        <v>173</v>
      </c>
      <c r="AC1090">
        <v>0.1</v>
      </c>
      <c r="AD1090">
        <v>0</v>
      </c>
      <c r="AE1090">
        <v>0</v>
      </c>
      <c r="AF1090">
        <v>0</v>
      </c>
      <c r="AG1090">
        <v>126</v>
      </c>
      <c r="AH1090">
        <v>0</v>
      </c>
    </row>
    <row r="1091" spans="1:34" x14ac:dyDescent="0.35">
      <c r="A1091" t="s">
        <v>34</v>
      </c>
      <c r="B1091" s="1">
        <v>46146.65625</v>
      </c>
      <c r="C1091" t="s">
        <v>34</v>
      </c>
      <c r="D1091" s="1">
        <v>46150.625</v>
      </c>
      <c r="E1091">
        <v>5550</v>
      </c>
      <c r="F1091" t="s">
        <v>36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53</v>
      </c>
      <c r="O1091">
        <v>0.05</v>
      </c>
      <c r="P1091">
        <v>0</v>
      </c>
      <c r="Q1091">
        <v>0</v>
      </c>
      <c r="R1091">
        <v>0</v>
      </c>
      <c r="S1091">
        <v>0</v>
      </c>
      <c r="T1091">
        <v>0.71160000000000001</v>
      </c>
      <c r="U1091">
        <v>-2.0000000000000001E-4</v>
      </c>
      <c r="V1091">
        <v>0</v>
      </c>
      <c r="W1091">
        <v>-2.2700000000000001E-2</v>
      </c>
      <c r="X1091">
        <v>5.8999999999999999E-3</v>
      </c>
      <c r="Y1091">
        <v>-2.0000000000000001E-4</v>
      </c>
      <c r="Z1091">
        <v>0</v>
      </c>
      <c r="AA1091">
        <v>0</v>
      </c>
      <c r="AB1091">
        <v>167</v>
      </c>
      <c r="AC1091">
        <v>0.1</v>
      </c>
      <c r="AD1091">
        <v>0</v>
      </c>
      <c r="AE1091">
        <v>0</v>
      </c>
      <c r="AF1091">
        <v>0</v>
      </c>
      <c r="AG1091">
        <v>354</v>
      </c>
      <c r="AH1091">
        <v>0</v>
      </c>
    </row>
    <row r="1092" spans="1:34" x14ac:dyDescent="0.35">
      <c r="A1092" t="s">
        <v>34</v>
      </c>
      <c r="B1092" s="1">
        <v>46146.65625</v>
      </c>
      <c r="C1092" t="s">
        <v>34</v>
      </c>
      <c r="D1092" s="1">
        <v>46150.625</v>
      </c>
      <c r="E1092">
        <v>5575</v>
      </c>
      <c r="F1092" t="s">
        <v>36</v>
      </c>
      <c r="G1092">
        <v>0.05</v>
      </c>
      <c r="H1092">
        <v>0.05</v>
      </c>
      <c r="I1092">
        <v>0.05</v>
      </c>
      <c r="J1092">
        <v>0.05</v>
      </c>
      <c r="K1092">
        <v>11</v>
      </c>
      <c r="L1092">
        <v>0</v>
      </c>
      <c r="M1092">
        <v>0</v>
      </c>
      <c r="N1092">
        <v>51</v>
      </c>
      <c r="O1092">
        <v>0.05</v>
      </c>
      <c r="P1092">
        <v>0</v>
      </c>
      <c r="Q1092">
        <v>0</v>
      </c>
      <c r="R1092">
        <v>0</v>
      </c>
      <c r="S1092">
        <v>0</v>
      </c>
      <c r="T1092">
        <v>0.7</v>
      </c>
      <c r="U1092">
        <v>-2.0000000000000001E-4</v>
      </c>
      <c r="V1092">
        <v>0</v>
      </c>
      <c r="W1092">
        <v>-2.2700000000000001E-2</v>
      </c>
      <c r="X1092">
        <v>6.0000000000000001E-3</v>
      </c>
      <c r="Y1092">
        <v>-2.0000000000000001E-4</v>
      </c>
      <c r="Z1092">
        <v>0</v>
      </c>
      <c r="AA1092">
        <v>0</v>
      </c>
      <c r="AB1092">
        <v>168</v>
      </c>
      <c r="AC1092">
        <v>0.1</v>
      </c>
      <c r="AD1092">
        <v>0</v>
      </c>
      <c r="AE1092">
        <v>0</v>
      </c>
      <c r="AF1092">
        <v>0.05</v>
      </c>
      <c r="AG1092">
        <v>318</v>
      </c>
      <c r="AH1092">
        <v>0</v>
      </c>
    </row>
    <row r="1093" spans="1:34" x14ac:dyDescent="0.35">
      <c r="A1093" t="s">
        <v>34</v>
      </c>
      <c r="B1093" s="1">
        <v>46146.65625</v>
      </c>
      <c r="C1093" t="s">
        <v>34</v>
      </c>
      <c r="D1093" s="1">
        <v>46150.625</v>
      </c>
      <c r="E1093">
        <v>5600</v>
      </c>
      <c r="F1093" t="s">
        <v>36</v>
      </c>
      <c r="G1093">
        <v>0.05</v>
      </c>
      <c r="H1093">
        <v>0.05</v>
      </c>
      <c r="I1093">
        <v>0.05</v>
      </c>
      <c r="J1093">
        <v>0.05</v>
      </c>
      <c r="K1093">
        <v>2640</v>
      </c>
      <c r="L1093">
        <v>0</v>
      </c>
      <c r="M1093">
        <v>0</v>
      </c>
      <c r="N1093">
        <v>750</v>
      </c>
      <c r="O1093">
        <v>0.05</v>
      </c>
      <c r="P1093">
        <v>0</v>
      </c>
      <c r="Q1093">
        <v>0</v>
      </c>
      <c r="R1093">
        <v>0</v>
      </c>
      <c r="S1093">
        <v>0</v>
      </c>
      <c r="T1093">
        <v>0.6885</v>
      </c>
      <c r="U1093">
        <v>-2.0000000000000001E-4</v>
      </c>
      <c r="V1093">
        <v>0</v>
      </c>
      <c r="W1093">
        <v>-2.2599999999999999E-2</v>
      </c>
      <c r="X1093">
        <v>6.1000000000000004E-3</v>
      </c>
      <c r="Y1093">
        <v>-2.0000000000000001E-4</v>
      </c>
      <c r="Z1093">
        <v>0</v>
      </c>
      <c r="AA1093">
        <v>0</v>
      </c>
      <c r="AB1093">
        <v>160</v>
      </c>
      <c r="AC1093">
        <v>0.1</v>
      </c>
      <c r="AD1093">
        <v>0</v>
      </c>
      <c r="AE1093">
        <v>0</v>
      </c>
      <c r="AF1093">
        <v>0.05</v>
      </c>
      <c r="AG1093">
        <v>2300</v>
      </c>
      <c r="AH1093">
        <v>0</v>
      </c>
    </row>
    <row r="1094" spans="1:34" x14ac:dyDescent="0.35">
      <c r="A1094" t="s">
        <v>34</v>
      </c>
      <c r="B1094" s="1">
        <v>46146.65625</v>
      </c>
      <c r="C1094" t="s">
        <v>34</v>
      </c>
      <c r="D1094" s="1">
        <v>46150.625</v>
      </c>
      <c r="E1094">
        <v>5625</v>
      </c>
      <c r="F1094" t="s">
        <v>36</v>
      </c>
      <c r="G1094">
        <v>0.05</v>
      </c>
      <c r="H1094">
        <v>0.05</v>
      </c>
      <c r="I1094">
        <v>0.05</v>
      </c>
      <c r="J1094">
        <v>0.05</v>
      </c>
      <c r="K1094">
        <v>51</v>
      </c>
      <c r="L1094">
        <v>0</v>
      </c>
      <c r="M1094">
        <v>0</v>
      </c>
      <c r="N1094">
        <v>435</v>
      </c>
      <c r="O1094">
        <v>0.1</v>
      </c>
      <c r="P1094">
        <v>0</v>
      </c>
      <c r="Q1094">
        <v>0</v>
      </c>
      <c r="R1094">
        <v>0</v>
      </c>
      <c r="S1094">
        <v>0</v>
      </c>
      <c r="T1094">
        <v>0.70940000000000003</v>
      </c>
      <c r="U1094">
        <v>-4.0000000000000002E-4</v>
      </c>
      <c r="V1094">
        <v>0</v>
      </c>
      <c r="W1094">
        <v>-4.4400000000000002E-2</v>
      </c>
      <c r="X1094">
        <v>1.0699999999999999E-2</v>
      </c>
      <c r="Y1094">
        <v>-2.9999999999999997E-4</v>
      </c>
      <c r="Z1094">
        <v>0</v>
      </c>
      <c r="AA1094">
        <v>0</v>
      </c>
      <c r="AB1094">
        <v>158</v>
      </c>
      <c r="AC1094">
        <v>0.1</v>
      </c>
      <c r="AD1094">
        <v>0</v>
      </c>
      <c r="AE1094">
        <v>0</v>
      </c>
      <c r="AF1094">
        <v>0.05</v>
      </c>
      <c r="AG1094">
        <v>885</v>
      </c>
      <c r="AH1094">
        <v>0</v>
      </c>
    </row>
    <row r="1095" spans="1:34" x14ac:dyDescent="0.35">
      <c r="A1095" t="s">
        <v>34</v>
      </c>
      <c r="B1095" s="1">
        <v>46146.65625</v>
      </c>
      <c r="C1095" t="s">
        <v>34</v>
      </c>
      <c r="D1095" s="1">
        <v>46150.625</v>
      </c>
      <c r="E1095">
        <v>5650</v>
      </c>
      <c r="F1095" t="s">
        <v>36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457</v>
      </c>
      <c r="O1095">
        <v>0.1</v>
      </c>
      <c r="P1095">
        <v>0</v>
      </c>
      <c r="Q1095">
        <v>0</v>
      </c>
      <c r="R1095">
        <v>0</v>
      </c>
      <c r="S1095">
        <v>0</v>
      </c>
      <c r="T1095">
        <v>0.69779999999999998</v>
      </c>
      <c r="U1095">
        <v>-4.0000000000000002E-4</v>
      </c>
      <c r="V1095">
        <v>0</v>
      </c>
      <c r="W1095">
        <v>-4.4400000000000002E-2</v>
      </c>
      <c r="X1095">
        <v>1.09E-2</v>
      </c>
      <c r="Y1095">
        <v>-2.9999999999999997E-4</v>
      </c>
      <c r="Z1095">
        <v>0</v>
      </c>
      <c r="AA1095">
        <v>0</v>
      </c>
      <c r="AB1095">
        <v>157</v>
      </c>
      <c r="AC1095">
        <v>0.1</v>
      </c>
      <c r="AD1095">
        <v>0</v>
      </c>
      <c r="AE1095">
        <v>0</v>
      </c>
      <c r="AF1095">
        <v>0</v>
      </c>
      <c r="AG1095">
        <v>1172</v>
      </c>
      <c r="AH1095">
        <v>0</v>
      </c>
    </row>
    <row r="1096" spans="1:34" x14ac:dyDescent="0.35">
      <c r="A1096" t="s">
        <v>34</v>
      </c>
      <c r="B1096" s="1">
        <v>46146.65625</v>
      </c>
      <c r="C1096" t="s">
        <v>34</v>
      </c>
      <c r="D1096" s="1">
        <v>46150.625</v>
      </c>
      <c r="E1096">
        <v>5675</v>
      </c>
      <c r="F1096" t="s">
        <v>36</v>
      </c>
      <c r="G1096">
        <v>0.05</v>
      </c>
      <c r="H1096">
        <v>0.05</v>
      </c>
      <c r="I1096">
        <v>0.05</v>
      </c>
      <c r="J1096">
        <v>0.05</v>
      </c>
      <c r="K1096">
        <v>40</v>
      </c>
      <c r="L1096">
        <v>0</v>
      </c>
      <c r="M1096">
        <v>0</v>
      </c>
      <c r="N1096">
        <v>435</v>
      </c>
      <c r="O1096">
        <v>0.1</v>
      </c>
      <c r="P1096">
        <v>0</v>
      </c>
      <c r="Q1096">
        <v>0</v>
      </c>
      <c r="R1096">
        <v>0</v>
      </c>
      <c r="S1096">
        <v>0</v>
      </c>
      <c r="T1096">
        <v>0.6855</v>
      </c>
      <c r="U1096">
        <v>-4.0000000000000002E-4</v>
      </c>
      <c r="V1096">
        <v>0</v>
      </c>
      <c r="W1096">
        <v>-4.4400000000000002E-2</v>
      </c>
      <c r="X1096">
        <v>1.11E-2</v>
      </c>
      <c r="Y1096">
        <v>-2.9999999999999997E-4</v>
      </c>
      <c r="Z1096">
        <v>0</v>
      </c>
      <c r="AA1096">
        <v>0</v>
      </c>
      <c r="AB1096">
        <v>156</v>
      </c>
      <c r="AC1096">
        <v>0.1</v>
      </c>
      <c r="AD1096">
        <v>0</v>
      </c>
      <c r="AE1096">
        <v>0</v>
      </c>
      <c r="AF1096">
        <v>0.05</v>
      </c>
      <c r="AG1096">
        <v>367</v>
      </c>
      <c r="AH1096">
        <v>0</v>
      </c>
    </row>
    <row r="1097" spans="1:34" x14ac:dyDescent="0.35">
      <c r="A1097" t="s">
        <v>34</v>
      </c>
      <c r="B1097" s="1">
        <v>46146.65625</v>
      </c>
      <c r="C1097" t="s">
        <v>34</v>
      </c>
      <c r="D1097" s="1">
        <v>46150.625</v>
      </c>
      <c r="E1097">
        <v>5700</v>
      </c>
      <c r="F1097" t="s">
        <v>36</v>
      </c>
      <c r="G1097">
        <v>0.1</v>
      </c>
      <c r="H1097">
        <v>0.1</v>
      </c>
      <c r="I1097">
        <v>0.05</v>
      </c>
      <c r="J1097">
        <v>0.05</v>
      </c>
      <c r="K1097">
        <v>440</v>
      </c>
      <c r="L1097">
        <v>0</v>
      </c>
      <c r="M1097">
        <v>0</v>
      </c>
      <c r="N1097">
        <v>414</v>
      </c>
      <c r="O1097">
        <v>0.1</v>
      </c>
      <c r="P1097">
        <v>0</v>
      </c>
      <c r="Q1097">
        <v>0</v>
      </c>
      <c r="R1097">
        <v>0</v>
      </c>
      <c r="S1097">
        <v>0</v>
      </c>
      <c r="T1097">
        <v>0.67410000000000003</v>
      </c>
      <c r="U1097">
        <v>-4.0000000000000002E-4</v>
      </c>
      <c r="V1097">
        <v>0</v>
      </c>
      <c r="W1097">
        <v>-4.4400000000000002E-2</v>
      </c>
      <c r="X1097">
        <v>1.1299999999999999E-2</v>
      </c>
      <c r="Y1097">
        <v>-2.9999999999999997E-4</v>
      </c>
      <c r="Z1097">
        <v>0</v>
      </c>
      <c r="AA1097">
        <v>0</v>
      </c>
      <c r="AB1097">
        <v>157</v>
      </c>
      <c r="AC1097">
        <v>0.1</v>
      </c>
      <c r="AD1097">
        <v>0</v>
      </c>
      <c r="AE1097">
        <v>0</v>
      </c>
      <c r="AF1097">
        <v>6.1400000000000003E-2</v>
      </c>
      <c r="AG1097">
        <v>1751</v>
      </c>
      <c r="AH1097">
        <v>0</v>
      </c>
    </row>
    <row r="1098" spans="1:34" x14ac:dyDescent="0.35">
      <c r="A1098" t="s">
        <v>34</v>
      </c>
      <c r="B1098" s="1">
        <v>46146.65625</v>
      </c>
      <c r="C1098" t="s">
        <v>34</v>
      </c>
      <c r="D1098" s="1">
        <v>46150.625</v>
      </c>
      <c r="E1098">
        <v>5725</v>
      </c>
      <c r="F1098" t="s">
        <v>36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390</v>
      </c>
      <c r="O1098">
        <v>0.1</v>
      </c>
      <c r="P1098">
        <v>0</v>
      </c>
      <c r="Q1098">
        <v>0</v>
      </c>
      <c r="R1098">
        <v>0</v>
      </c>
      <c r="S1098">
        <v>0</v>
      </c>
      <c r="T1098">
        <v>0.66220000000000001</v>
      </c>
      <c r="U1098">
        <v>-4.0000000000000002E-4</v>
      </c>
      <c r="V1098">
        <v>0</v>
      </c>
      <c r="W1098">
        <v>-4.4299999999999999E-2</v>
      </c>
      <c r="X1098">
        <v>1.15E-2</v>
      </c>
      <c r="Y1098">
        <v>-2.9999999999999997E-4</v>
      </c>
      <c r="Z1098">
        <v>0</v>
      </c>
      <c r="AA1098">
        <v>0</v>
      </c>
      <c r="AB1098">
        <v>158</v>
      </c>
      <c r="AC1098">
        <v>0.1</v>
      </c>
      <c r="AD1098">
        <v>0</v>
      </c>
      <c r="AE1098">
        <v>0</v>
      </c>
      <c r="AF1098">
        <v>0</v>
      </c>
      <c r="AG1098">
        <v>148</v>
      </c>
      <c r="AH1098">
        <v>0</v>
      </c>
    </row>
    <row r="1099" spans="1:34" x14ac:dyDescent="0.35">
      <c r="A1099" t="s">
        <v>34</v>
      </c>
      <c r="B1099" s="1">
        <v>46146.65625</v>
      </c>
      <c r="C1099" t="s">
        <v>34</v>
      </c>
      <c r="D1099" s="1">
        <v>46150.625</v>
      </c>
      <c r="E1099">
        <v>5750</v>
      </c>
      <c r="F1099" t="s">
        <v>36</v>
      </c>
      <c r="G1099">
        <v>0.1</v>
      </c>
      <c r="H1099">
        <v>0.1</v>
      </c>
      <c r="I1099">
        <v>0.05</v>
      </c>
      <c r="J1099">
        <v>0.05</v>
      </c>
      <c r="K1099">
        <v>9</v>
      </c>
      <c r="L1099">
        <v>0</v>
      </c>
      <c r="M1099">
        <v>0</v>
      </c>
      <c r="N1099">
        <v>366</v>
      </c>
      <c r="O1099">
        <v>0.1</v>
      </c>
      <c r="P1099">
        <v>0</v>
      </c>
      <c r="Q1099">
        <v>0</v>
      </c>
      <c r="R1099">
        <v>0</v>
      </c>
      <c r="S1099">
        <v>0</v>
      </c>
      <c r="T1099">
        <v>0.65049999999999997</v>
      </c>
      <c r="U1099">
        <v>-4.0000000000000002E-4</v>
      </c>
      <c r="V1099">
        <v>0</v>
      </c>
      <c r="W1099">
        <v>-4.4299999999999999E-2</v>
      </c>
      <c r="X1099">
        <v>1.17E-2</v>
      </c>
      <c r="Y1099">
        <v>-2.9999999999999997E-4</v>
      </c>
      <c r="Z1099">
        <v>0</v>
      </c>
      <c r="AA1099">
        <v>0</v>
      </c>
      <c r="AB1099">
        <v>157</v>
      </c>
      <c r="AC1099">
        <v>0.1</v>
      </c>
      <c r="AD1099">
        <v>0</v>
      </c>
      <c r="AE1099">
        <v>0</v>
      </c>
      <c r="AF1099">
        <v>7.7799999999999994E-2</v>
      </c>
      <c r="AG1099">
        <v>363</v>
      </c>
      <c r="AH1099">
        <v>0</v>
      </c>
    </row>
    <row r="1100" spans="1:34" x14ac:dyDescent="0.35">
      <c r="A1100" t="s">
        <v>34</v>
      </c>
      <c r="B1100" s="1">
        <v>46146.65625</v>
      </c>
      <c r="C1100" t="s">
        <v>34</v>
      </c>
      <c r="D1100" s="1">
        <v>46150.625</v>
      </c>
      <c r="E1100">
        <v>5775</v>
      </c>
      <c r="F1100" t="s">
        <v>36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343</v>
      </c>
      <c r="O1100">
        <v>0.1</v>
      </c>
      <c r="P1100">
        <v>0</v>
      </c>
      <c r="Q1100">
        <v>0</v>
      </c>
      <c r="R1100">
        <v>0</v>
      </c>
      <c r="S1100">
        <v>0</v>
      </c>
      <c r="T1100">
        <v>0.63829999999999998</v>
      </c>
      <c r="U1100">
        <v>-4.0000000000000002E-4</v>
      </c>
      <c r="V1100">
        <v>0</v>
      </c>
      <c r="W1100">
        <v>-4.4299999999999999E-2</v>
      </c>
      <c r="X1100">
        <v>1.1900000000000001E-2</v>
      </c>
      <c r="Y1100">
        <v>-2.9999999999999997E-4</v>
      </c>
      <c r="Z1100">
        <v>0</v>
      </c>
      <c r="AA1100">
        <v>0</v>
      </c>
      <c r="AB1100">
        <v>47</v>
      </c>
      <c r="AC1100">
        <v>0.1</v>
      </c>
      <c r="AD1100">
        <v>0</v>
      </c>
      <c r="AE1100">
        <v>0</v>
      </c>
      <c r="AF1100">
        <v>0</v>
      </c>
      <c r="AG1100">
        <v>218</v>
      </c>
      <c r="AH1100">
        <v>0</v>
      </c>
    </row>
    <row r="1101" spans="1:34" x14ac:dyDescent="0.35">
      <c r="A1101" t="s">
        <v>34</v>
      </c>
      <c r="B1101" s="1">
        <v>46146.65625</v>
      </c>
      <c r="C1101" t="s">
        <v>34</v>
      </c>
      <c r="D1101" s="1">
        <v>46150.625</v>
      </c>
      <c r="E1101">
        <v>5800</v>
      </c>
      <c r="F1101" t="s">
        <v>36</v>
      </c>
      <c r="G1101">
        <v>0.09</v>
      </c>
      <c r="H1101">
        <v>0.1</v>
      </c>
      <c r="I1101">
        <v>0.05</v>
      </c>
      <c r="J1101">
        <v>0.1</v>
      </c>
      <c r="K1101">
        <v>97</v>
      </c>
      <c r="L1101">
        <v>25</v>
      </c>
      <c r="M1101">
        <v>0.05</v>
      </c>
      <c r="N1101">
        <v>328</v>
      </c>
      <c r="O1101">
        <v>0.1</v>
      </c>
      <c r="P1101">
        <v>0</v>
      </c>
      <c r="Q1101">
        <v>0</v>
      </c>
      <c r="R1101">
        <v>0</v>
      </c>
      <c r="S1101">
        <v>0</v>
      </c>
      <c r="T1101">
        <v>0.64610000000000001</v>
      </c>
      <c r="U1101">
        <v>-5.9999999999999995E-4</v>
      </c>
      <c r="V1101">
        <v>0</v>
      </c>
      <c r="W1101">
        <v>-6.5500000000000003E-2</v>
      </c>
      <c r="X1101">
        <v>1.66E-2</v>
      </c>
      <c r="Y1101">
        <v>-5.0000000000000001E-4</v>
      </c>
      <c r="Z1101">
        <v>25</v>
      </c>
      <c r="AA1101">
        <v>0.05</v>
      </c>
      <c r="AB1101">
        <v>45</v>
      </c>
      <c r="AC1101">
        <v>0.1</v>
      </c>
      <c r="AD1101">
        <v>0</v>
      </c>
      <c r="AE1101">
        <v>0</v>
      </c>
      <c r="AF1101">
        <v>9.2999999999999999E-2</v>
      </c>
      <c r="AG1101">
        <v>3630</v>
      </c>
      <c r="AH1101">
        <v>0</v>
      </c>
    </row>
    <row r="1102" spans="1:34" x14ac:dyDescent="0.35">
      <c r="A1102" t="s">
        <v>34</v>
      </c>
      <c r="B1102" s="1">
        <v>46146.65625</v>
      </c>
      <c r="C1102" t="s">
        <v>34</v>
      </c>
      <c r="D1102" s="1">
        <v>46150.625</v>
      </c>
      <c r="E1102">
        <v>5825</v>
      </c>
      <c r="F1102" t="s">
        <v>36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442</v>
      </c>
      <c r="O1102">
        <v>0.1</v>
      </c>
      <c r="P1102">
        <v>0</v>
      </c>
      <c r="Q1102">
        <v>0</v>
      </c>
      <c r="R1102">
        <v>0</v>
      </c>
      <c r="S1102">
        <v>0</v>
      </c>
      <c r="T1102">
        <v>0.61529999999999996</v>
      </c>
      <c r="U1102">
        <v>-4.0000000000000002E-4</v>
      </c>
      <c r="V1102">
        <v>0</v>
      </c>
      <c r="W1102">
        <v>-4.4200000000000003E-2</v>
      </c>
      <c r="X1102">
        <v>1.23E-2</v>
      </c>
      <c r="Y1102">
        <v>-2.9999999999999997E-4</v>
      </c>
      <c r="Z1102">
        <v>0</v>
      </c>
      <c r="AA1102">
        <v>0</v>
      </c>
      <c r="AB1102">
        <v>316</v>
      </c>
      <c r="AC1102">
        <v>0.15</v>
      </c>
      <c r="AD1102">
        <v>0</v>
      </c>
      <c r="AE1102">
        <v>0</v>
      </c>
      <c r="AF1102">
        <v>0</v>
      </c>
      <c r="AG1102">
        <v>471</v>
      </c>
      <c r="AH1102">
        <v>0</v>
      </c>
    </row>
    <row r="1103" spans="1:34" x14ac:dyDescent="0.35">
      <c r="A1103" t="s">
        <v>34</v>
      </c>
      <c r="B1103" s="1">
        <v>46146.65625</v>
      </c>
      <c r="C1103" t="s">
        <v>34</v>
      </c>
      <c r="D1103" s="1">
        <v>46150.625</v>
      </c>
      <c r="E1103">
        <v>5850</v>
      </c>
      <c r="F1103" t="s">
        <v>36</v>
      </c>
      <c r="G1103">
        <v>0.08</v>
      </c>
      <c r="H1103">
        <v>0.1</v>
      </c>
      <c r="I1103">
        <v>0.06</v>
      </c>
      <c r="J1103">
        <v>0.1</v>
      </c>
      <c r="K1103">
        <v>40</v>
      </c>
      <c r="L1103">
        <v>0</v>
      </c>
      <c r="M1103">
        <v>0</v>
      </c>
      <c r="N1103">
        <v>221</v>
      </c>
      <c r="O1103">
        <v>0.1</v>
      </c>
      <c r="P1103">
        <v>0</v>
      </c>
      <c r="Q1103">
        <v>0</v>
      </c>
      <c r="R1103">
        <v>0</v>
      </c>
      <c r="S1103">
        <v>0</v>
      </c>
      <c r="T1103">
        <v>0.60360000000000003</v>
      </c>
      <c r="U1103">
        <v>-5.0000000000000001E-4</v>
      </c>
      <c r="V1103">
        <v>0</v>
      </c>
      <c r="W1103">
        <v>-4.4200000000000003E-2</v>
      </c>
      <c r="X1103">
        <v>1.2500000000000001E-2</v>
      </c>
      <c r="Y1103">
        <v>-2.9999999999999997E-4</v>
      </c>
      <c r="Z1103">
        <v>0</v>
      </c>
      <c r="AA1103">
        <v>0</v>
      </c>
      <c r="AB1103">
        <v>282</v>
      </c>
      <c r="AC1103">
        <v>0.15</v>
      </c>
      <c r="AD1103">
        <v>0</v>
      </c>
      <c r="AE1103">
        <v>0</v>
      </c>
      <c r="AF1103">
        <v>8.5999999999999993E-2</v>
      </c>
      <c r="AG1103">
        <v>598</v>
      </c>
      <c r="AH1103">
        <v>0</v>
      </c>
    </row>
    <row r="1104" spans="1:34" x14ac:dyDescent="0.35">
      <c r="A1104" t="s">
        <v>34</v>
      </c>
      <c r="B1104" s="1">
        <v>46146.65625</v>
      </c>
      <c r="C1104" t="s">
        <v>34</v>
      </c>
      <c r="D1104" s="1">
        <v>46150.625</v>
      </c>
      <c r="E1104">
        <v>5875</v>
      </c>
      <c r="F1104" t="s">
        <v>36</v>
      </c>
      <c r="G1104">
        <v>0.1</v>
      </c>
      <c r="H1104">
        <v>0.1</v>
      </c>
      <c r="I1104">
        <v>0.1</v>
      </c>
      <c r="J1104">
        <v>0.1</v>
      </c>
      <c r="K1104">
        <v>10</v>
      </c>
      <c r="L1104">
        <v>238</v>
      </c>
      <c r="M1104">
        <v>0.05</v>
      </c>
      <c r="N1104">
        <v>243</v>
      </c>
      <c r="O1104">
        <v>0.1</v>
      </c>
      <c r="P1104">
        <v>0</v>
      </c>
      <c r="Q1104">
        <v>0</v>
      </c>
      <c r="R1104">
        <v>0</v>
      </c>
      <c r="S1104">
        <v>0</v>
      </c>
      <c r="T1104">
        <v>0.61029999999999995</v>
      </c>
      <c r="U1104">
        <v>-6.9999999999999999E-4</v>
      </c>
      <c r="V1104">
        <v>0</v>
      </c>
      <c r="W1104">
        <v>-6.54E-2</v>
      </c>
      <c r="X1104">
        <v>1.7500000000000002E-2</v>
      </c>
      <c r="Y1104">
        <v>-5.0000000000000001E-4</v>
      </c>
      <c r="Z1104">
        <v>0</v>
      </c>
      <c r="AA1104">
        <v>0</v>
      </c>
      <c r="AB1104">
        <v>209</v>
      </c>
      <c r="AC1104">
        <v>0.15</v>
      </c>
      <c r="AD1104">
        <v>0</v>
      </c>
      <c r="AE1104">
        <v>0</v>
      </c>
      <c r="AF1104">
        <v>0.1</v>
      </c>
      <c r="AG1104">
        <v>79</v>
      </c>
      <c r="AH1104">
        <v>0</v>
      </c>
    </row>
    <row r="1105" spans="1:34" x14ac:dyDescent="0.35">
      <c r="A1105" t="s">
        <v>34</v>
      </c>
      <c r="B1105" s="1">
        <v>46146.65625</v>
      </c>
      <c r="C1105" t="s">
        <v>34</v>
      </c>
      <c r="D1105" s="1">
        <v>46150.625</v>
      </c>
      <c r="E1105">
        <v>5900</v>
      </c>
      <c r="F1105" t="s">
        <v>36</v>
      </c>
      <c r="G1105">
        <v>0.15</v>
      </c>
      <c r="H1105">
        <v>0.15</v>
      </c>
      <c r="I1105">
        <v>0.05</v>
      </c>
      <c r="J1105">
        <v>0.1</v>
      </c>
      <c r="K1105">
        <v>1516</v>
      </c>
      <c r="L1105">
        <v>319</v>
      </c>
      <c r="M1105">
        <v>0.05</v>
      </c>
      <c r="N1105">
        <v>229</v>
      </c>
      <c r="O1105">
        <v>0.1</v>
      </c>
      <c r="P1105">
        <v>0</v>
      </c>
      <c r="Q1105">
        <v>0</v>
      </c>
      <c r="R1105">
        <v>0</v>
      </c>
      <c r="S1105">
        <v>0</v>
      </c>
      <c r="T1105">
        <v>0.59809999999999997</v>
      </c>
      <c r="U1105">
        <v>-6.9999999999999999E-4</v>
      </c>
      <c r="V1105">
        <v>0</v>
      </c>
      <c r="W1105">
        <v>-6.5299999999999997E-2</v>
      </c>
      <c r="X1105">
        <v>1.78E-2</v>
      </c>
      <c r="Y1105">
        <v>-5.0000000000000001E-4</v>
      </c>
      <c r="Z1105">
        <v>128</v>
      </c>
      <c r="AA1105">
        <v>0.05</v>
      </c>
      <c r="AB1105">
        <v>407</v>
      </c>
      <c r="AC1105">
        <v>0.15</v>
      </c>
      <c r="AD1105">
        <v>0</v>
      </c>
      <c r="AE1105">
        <v>0</v>
      </c>
      <c r="AF1105">
        <v>0.14580000000000001</v>
      </c>
      <c r="AG1105">
        <v>14442</v>
      </c>
      <c r="AH1105">
        <v>0</v>
      </c>
    </row>
    <row r="1106" spans="1:34" x14ac:dyDescent="0.35">
      <c r="A1106" t="s">
        <v>34</v>
      </c>
      <c r="B1106" s="1">
        <v>46146.65625</v>
      </c>
      <c r="C1106" t="s">
        <v>34</v>
      </c>
      <c r="D1106" s="1">
        <v>46150.625</v>
      </c>
      <c r="E1106">
        <v>5925</v>
      </c>
      <c r="F1106" t="s">
        <v>36</v>
      </c>
      <c r="G1106">
        <v>0.11</v>
      </c>
      <c r="H1106">
        <v>0.11</v>
      </c>
      <c r="I1106">
        <v>0.05</v>
      </c>
      <c r="J1106">
        <v>0.1</v>
      </c>
      <c r="K1106">
        <v>12</v>
      </c>
      <c r="L1106">
        <v>277</v>
      </c>
      <c r="M1106">
        <v>0.05</v>
      </c>
      <c r="N1106">
        <v>190</v>
      </c>
      <c r="O1106">
        <v>0.1</v>
      </c>
      <c r="P1106">
        <v>0</v>
      </c>
      <c r="Q1106">
        <v>0</v>
      </c>
      <c r="R1106">
        <v>0</v>
      </c>
      <c r="S1106">
        <v>0</v>
      </c>
      <c r="T1106">
        <v>0.58620000000000005</v>
      </c>
      <c r="U1106">
        <v>-6.9999999999999999E-4</v>
      </c>
      <c r="V1106">
        <v>0</v>
      </c>
      <c r="W1106">
        <v>-6.5299999999999997E-2</v>
      </c>
      <c r="X1106">
        <v>1.8200000000000001E-2</v>
      </c>
      <c r="Y1106">
        <v>-5.0000000000000001E-4</v>
      </c>
      <c r="Z1106">
        <v>85</v>
      </c>
      <c r="AA1106">
        <v>0.05</v>
      </c>
      <c r="AB1106">
        <v>199</v>
      </c>
      <c r="AC1106">
        <v>0.15</v>
      </c>
      <c r="AD1106">
        <v>0</v>
      </c>
      <c r="AE1106">
        <v>0</v>
      </c>
      <c r="AF1106">
        <v>0.1042</v>
      </c>
      <c r="AG1106">
        <v>148</v>
      </c>
      <c r="AH1106">
        <v>0</v>
      </c>
    </row>
    <row r="1107" spans="1:34" x14ac:dyDescent="0.35">
      <c r="A1107" t="s">
        <v>34</v>
      </c>
      <c r="B1107" s="1">
        <v>46146.65625</v>
      </c>
      <c r="C1107" t="s">
        <v>34</v>
      </c>
      <c r="D1107" s="1">
        <v>46150.625</v>
      </c>
      <c r="E1107">
        <v>5950</v>
      </c>
      <c r="F1107" t="s">
        <v>36</v>
      </c>
      <c r="G1107">
        <v>0.15</v>
      </c>
      <c r="H1107">
        <v>0.15</v>
      </c>
      <c r="I1107">
        <v>0.15</v>
      </c>
      <c r="J1107">
        <v>0.15</v>
      </c>
      <c r="K1107">
        <v>1</v>
      </c>
      <c r="L1107">
        <v>274</v>
      </c>
      <c r="M1107">
        <v>0.05</v>
      </c>
      <c r="N1107">
        <v>536</v>
      </c>
      <c r="O1107">
        <v>0.15</v>
      </c>
      <c r="P1107">
        <v>0</v>
      </c>
      <c r="Q1107">
        <v>0</v>
      </c>
      <c r="R1107">
        <v>0</v>
      </c>
      <c r="S1107">
        <v>0</v>
      </c>
      <c r="T1107">
        <v>0.58789999999999998</v>
      </c>
      <c r="U1107">
        <v>-8.9999999999999998E-4</v>
      </c>
      <c r="V1107">
        <v>0</v>
      </c>
      <c r="W1107">
        <v>-8.5999999999999993E-2</v>
      </c>
      <c r="X1107">
        <v>2.3099999999999999E-2</v>
      </c>
      <c r="Y1107">
        <v>-6.9999999999999999E-4</v>
      </c>
      <c r="Z1107">
        <v>129</v>
      </c>
      <c r="AA1107">
        <v>0.05</v>
      </c>
      <c r="AB1107">
        <v>194</v>
      </c>
      <c r="AC1107">
        <v>0.15</v>
      </c>
      <c r="AD1107">
        <v>0</v>
      </c>
      <c r="AE1107">
        <v>0</v>
      </c>
      <c r="AF1107">
        <v>0.15</v>
      </c>
      <c r="AG1107">
        <v>855</v>
      </c>
      <c r="AH1107">
        <v>0</v>
      </c>
    </row>
    <row r="1108" spans="1:34" x14ac:dyDescent="0.35">
      <c r="A1108" t="s">
        <v>34</v>
      </c>
      <c r="B1108" s="1">
        <v>46146.65625</v>
      </c>
      <c r="C1108" t="s">
        <v>34</v>
      </c>
      <c r="D1108" s="1">
        <v>46150.625</v>
      </c>
      <c r="E1108">
        <v>5970</v>
      </c>
      <c r="F1108" t="s">
        <v>36</v>
      </c>
      <c r="G1108">
        <v>0.1</v>
      </c>
      <c r="H1108">
        <v>0.15</v>
      </c>
      <c r="I1108">
        <v>0.1</v>
      </c>
      <c r="J1108">
        <v>0.15</v>
      </c>
      <c r="K1108">
        <v>2</v>
      </c>
      <c r="L1108">
        <v>360</v>
      </c>
      <c r="M1108">
        <v>0.05</v>
      </c>
      <c r="N1108">
        <v>454</v>
      </c>
      <c r="O1108">
        <v>0.15</v>
      </c>
      <c r="P1108">
        <v>0</v>
      </c>
      <c r="Q1108">
        <v>0</v>
      </c>
      <c r="R1108">
        <v>0</v>
      </c>
      <c r="S1108">
        <v>0</v>
      </c>
      <c r="T1108">
        <v>0.57850000000000001</v>
      </c>
      <c r="U1108">
        <v>-8.9999999999999998E-4</v>
      </c>
      <c r="V1108">
        <v>0</v>
      </c>
      <c r="W1108">
        <v>-8.5999999999999993E-2</v>
      </c>
      <c r="X1108">
        <v>2.35E-2</v>
      </c>
      <c r="Y1108">
        <v>-6.9999999999999999E-4</v>
      </c>
      <c r="Z1108">
        <v>165</v>
      </c>
      <c r="AA1108">
        <v>0.05</v>
      </c>
      <c r="AB1108">
        <v>143</v>
      </c>
      <c r="AC1108">
        <v>0.15</v>
      </c>
      <c r="AD1108">
        <v>0</v>
      </c>
      <c r="AE1108">
        <v>0</v>
      </c>
      <c r="AF1108">
        <v>0.125</v>
      </c>
      <c r="AG1108">
        <v>191</v>
      </c>
      <c r="AH1108">
        <v>0</v>
      </c>
    </row>
    <row r="1109" spans="1:34" x14ac:dyDescent="0.35">
      <c r="A1109" t="s">
        <v>34</v>
      </c>
      <c r="B1109" s="1">
        <v>46146.65625</v>
      </c>
      <c r="C1109" t="s">
        <v>34</v>
      </c>
      <c r="D1109" s="1">
        <v>46150.625</v>
      </c>
      <c r="E1109">
        <v>5975</v>
      </c>
      <c r="F1109" t="s">
        <v>36</v>
      </c>
      <c r="G1109">
        <v>0.15</v>
      </c>
      <c r="H1109">
        <v>0.15</v>
      </c>
      <c r="I1109">
        <v>0.1</v>
      </c>
      <c r="J1109">
        <v>0.1</v>
      </c>
      <c r="K1109">
        <v>42</v>
      </c>
      <c r="L1109">
        <v>382</v>
      </c>
      <c r="M1109">
        <v>0.05</v>
      </c>
      <c r="N1109">
        <v>469</v>
      </c>
      <c r="O1109">
        <v>0.15</v>
      </c>
      <c r="P1109">
        <v>0</v>
      </c>
      <c r="Q1109">
        <v>0</v>
      </c>
      <c r="R1109">
        <v>0</v>
      </c>
      <c r="S1109">
        <v>0</v>
      </c>
      <c r="T1109">
        <v>0.57609999999999995</v>
      </c>
      <c r="U1109">
        <v>-8.9999999999999998E-4</v>
      </c>
      <c r="V1109">
        <v>0</v>
      </c>
      <c r="W1109">
        <v>-8.5900000000000004E-2</v>
      </c>
      <c r="X1109">
        <v>2.3599999999999999E-2</v>
      </c>
      <c r="Y1109">
        <v>-6.9999999999999999E-4</v>
      </c>
      <c r="Z1109">
        <v>181</v>
      </c>
      <c r="AA1109">
        <v>0.05</v>
      </c>
      <c r="AB1109">
        <v>159</v>
      </c>
      <c r="AC1109">
        <v>0.15</v>
      </c>
      <c r="AD1109">
        <v>0</v>
      </c>
      <c r="AE1109">
        <v>0</v>
      </c>
      <c r="AF1109">
        <v>0.1036</v>
      </c>
      <c r="AG1109">
        <v>114</v>
      </c>
      <c r="AH1109">
        <v>0</v>
      </c>
    </row>
    <row r="1110" spans="1:34" x14ac:dyDescent="0.35">
      <c r="A1110" t="s">
        <v>34</v>
      </c>
      <c r="B1110" s="1">
        <v>46146.65625</v>
      </c>
      <c r="C1110" t="s">
        <v>34</v>
      </c>
      <c r="D1110" s="1">
        <v>46150.625</v>
      </c>
      <c r="E1110">
        <v>5980</v>
      </c>
      <c r="F1110" t="s">
        <v>36</v>
      </c>
      <c r="G1110">
        <v>0.15</v>
      </c>
      <c r="H1110">
        <v>0.15</v>
      </c>
      <c r="I1110">
        <v>0.15</v>
      </c>
      <c r="J1110">
        <v>0.15</v>
      </c>
      <c r="K1110">
        <v>2</v>
      </c>
      <c r="L1110">
        <v>357</v>
      </c>
      <c r="M1110">
        <v>0.05</v>
      </c>
      <c r="N1110">
        <v>439</v>
      </c>
      <c r="O1110">
        <v>0.15</v>
      </c>
      <c r="P1110">
        <v>0</v>
      </c>
      <c r="Q1110">
        <v>0</v>
      </c>
      <c r="R1110">
        <v>0</v>
      </c>
      <c r="S1110">
        <v>0</v>
      </c>
      <c r="T1110">
        <v>0.57320000000000004</v>
      </c>
      <c r="U1110">
        <v>-8.9999999999999998E-4</v>
      </c>
      <c r="V1110">
        <v>0</v>
      </c>
      <c r="W1110">
        <v>-8.5900000000000004E-2</v>
      </c>
      <c r="X1110">
        <v>2.3699999999999999E-2</v>
      </c>
      <c r="Y1110">
        <v>-6.9999999999999999E-4</v>
      </c>
      <c r="Z1110">
        <v>163</v>
      </c>
      <c r="AA1110">
        <v>0.05</v>
      </c>
      <c r="AB1110">
        <v>142</v>
      </c>
      <c r="AC1110">
        <v>0.15</v>
      </c>
      <c r="AD1110">
        <v>0</v>
      </c>
      <c r="AE1110">
        <v>0</v>
      </c>
      <c r="AF1110">
        <v>0.15</v>
      </c>
      <c r="AG1110">
        <v>136</v>
      </c>
      <c r="AH1110">
        <v>0</v>
      </c>
    </row>
    <row r="1111" spans="1:34" x14ac:dyDescent="0.35">
      <c r="A1111" t="s">
        <v>34</v>
      </c>
      <c r="B1111" s="1">
        <v>46146.65625</v>
      </c>
      <c r="C1111" t="s">
        <v>34</v>
      </c>
      <c r="D1111" s="1">
        <v>46150.625</v>
      </c>
      <c r="E1111">
        <v>5990</v>
      </c>
      <c r="F1111" t="s">
        <v>36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355</v>
      </c>
      <c r="M1111">
        <v>0.05</v>
      </c>
      <c r="N1111">
        <v>424</v>
      </c>
      <c r="O1111">
        <v>0.15</v>
      </c>
      <c r="P1111">
        <v>0</v>
      </c>
      <c r="Q1111">
        <v>0</v>
      </c>
      <c r="R1111">
        <v>0</v>
      </c>
      <c r="S1111">
        <v>0</v>
      </c>
      <c r="T1111">
        <v>0.56840000000000002</v>
      </c>
      <c r="U1111">
        <v>-8.9999999999999998E-4</v>
      </c>
      <c r="V1111">
        <v>0</v>
      </c>
      <c r="W1111">
        <v>-8.5900000000000004E-2</v>
      </c>
      <c r="X1111">
        <v>2.3900000000000001E-2</v>
      </c>
      <c r="Y1111">
        <v>-6.9999999999999999E-4</v>
      </c>
      <c r="Z1111">
        <v>162</v>
      </c>
      <c r="AA1111">
        <v>0.05</v>
      </c>
      <c r="AB1111">
        <v>141</v>
      </c>
      <c r="AC1111">
        <v>0.15</v>
      </c>
      <c r="AD1111">
        <v>0</v>
      </c>
      <c r="AE1111">
        <v>0</v>
      </c>
      <c r="AF1111">
        <v>0</v>
      </c>
      <c r="AG1111">
        <v>131</v>
      </c>
      <c r="AH1111">
        <v>0</v>
      </c>
    </row>
    <row r="1112" spans="1:34" x14ac:dyDescent="0.35">
      <c r="A1112" t="s">
        <v>34</v>
      </c>
      <c r="B1112" s="1">
        <v>46146.65625</v>
      </c>
      <c r="C1112" t="s">
        <v>34</v>
      </c>
      <c r="D1112" s="1">
        <v>46150.625</v>
      </c>
      <c r="E1112">
        <v>6000</v>
      </c>
      <c r="F1112" t="s">
        <v>36</v>
      </c>
      <c r="G1112">
        <v>0.11</v>
      </c>
      <c r="H1112">
        <v>0.15</v>
      </c>
      <c r="I1112">
        <v>0.1</v>
      </c>
      <c r="J1112">
        <v>0.1</v>
      </c>
      <c r="K1112">
        <v>505</v>
      </c>
      <c r="L1112">
        <v>405</v>
      </c>
      <c r="M1112">
        <v>0.05</v>
      </c>
      <c r="N1112">
        <v>413</v>
      </c>
      <c r="O1112">
        <v>0.15</v>
      </c>
      <c r="P1112">
        <v>0</v>
      </c>
      <c r="Q1112">
        <v>0</v>
      </c>
      <c r="R1112">
        <v>0</v>
      </c>
      <c r="S1112">
        <v>0</v>
      </c>
      <c r="T1112">
        <v>0.56420000000000003</v>
      </c>
      <c r="U1112">
        <v>-8.9999999999999998E-4</v>
      </c>
      <c r="V1112">
        <v>0</v>
      </c>
      <c r="W1112">
        <v>-8.5900000000000004E-2</v>
      </c>
      <c r="X1112">
        <v>2.41E-2</v>
      </c>
      <c r="Y1112">
        <v>-6.9999999999999999E-4</v>
      </c>
      <c r="Z1112">
        <v>177</v>
      </c>
      <c r="AA1112">
        <v>0.05</v>
      </c>
      <c r="AB1112">
        <v>155</v>
      </c>
      <c r="AC1112">
        <v>0.15</v>
      </c>
      <c r="AD1112">
        <v>0</v>
      </c>
      <c r="AE1112">
        <v>0</v>
      </c>
      <c r="AF1112">
        <v>0.10009999999999999</v>
      </c>
      <c r="AG1112">
        <v>4950</v>
      </c>
      <c r="AH1112">
        <v>0</v>
      </c>
    </row>
    <row r="1113" spans="1:34" x14ac:dyDescent="0.35">
      <c r="A1113" t="s">
        <v>34</v>
      </c>
      <c r="B1113" s="1">
        <v>46146.65625</v>
      </c>
      <c r="C1113" t="s">
        <v>34</v>
      </c>
      <c r="D1113" s="1">
        <v>46150.625</v>
      </c>
      <c r="E1113">
        <v>6010</v>
      </c>
      <c r="F1113" t="s">
        <v>36</v>
      </c>
      <c r="G1113">
        <v>0.1</v>
      </c>
      <c r="H1113">
        <v>0.1</v>
      </c>
      <c r="I1113">
        <v>0.1</v>
      </c>
      <c r="J1113">
        <v>0.1</v>
      </c>
      <c r="K1113">
        <v>1</v>
      </c>
      <c r="L1113">
        <v>351</v>
      </c>
      <c r="M1113">
        <v>0.05</v>
      </c>
      <c r="N1113">
        <v>351</v>
      </c>
      <c r="O1113">
        <v>0.15</v>
      </c>
      <c r="P1113">
        <v>0</v>
      </c>
      <c r="Q1113">
        <v>0</v>
      </c>
      <c r="R1113">
        <v>0</v>
      </c>
      <c r="S1113">
        <v>0</v>
      </c>
      <c r="T1113">
        <v>0.55889999999999995</v>
      </c>
      <c r="U1113">
        <v>-8.9999999999999998E-4</v>
      </c>
      <c r="V1113">
        <v>0</v>
      </c>
      <c r="W1113">
        <v>-8.5900000000000004E-2</v>
      </c>
      <c r="X1113">
        <v>2.4299999999999999E-2</v>
      </c>
      <c r="Y1113">
        <v>-6.9999999999999999E-4</v>
      </c>
      <c r="Z1113">
        <v>161</v>
      </c>
      <c r="AA1113">
        <v>0.05</v>
      </c>
      <c r="AB1113">
        <v>137</v>
      </c>
      <c r="AC1113">
        <v>0.15</v>
      </c>
      <c r="AD1113">
        <v>0</v>
      </c>
      <c r="AE1113">
        <v>0</v>
      </c>
      <c r="AF1113">
        <v>0.1</v>
      </c>
      <c r="AG1113">
        <v>34</v>
      </c>
      <c r="AH1113">
        <v>0</v>
      </c>
    </row>
    <row r="1114" spans="1:34" x14ac:dyDescent="0.35">
      <c r="A1114" t="s">
        <v>34</v>
      </c>
      <c r="B1114" s="1">
        <v>46146.65625</v>
      </c>
      <c r="C1114" t="s">
        <v>34</v>
      </c>
      <c r="D1114" s="1">
        <v>46150.625</v>
      </c>
      <c r="E1114">
        <v>6020</v>
      </c>
      <c r="F1114" t="s">
        <v>36</v>
      </c>
      <c r="G1114">
        <v>0.13</v>
      </c>
      <c r="H1114">
        <v>0.13</v>
      </c>
      <c r="I1114">
        <v>0.13</v>
      </c>
      <c r="J1114">
        <v>0.13</v>
      </c>
      <c r="K1114">
        <v>1</v>
      </c>
      <c r="L1114">
        <v>354</v>
      </c>
      <c r="M1114">
        <v>0.05</v>
      </c>
      <c r="N1114">
        <v>323</v>
      </c>
      <c r="O1114">
        <v>0.15</v>
      </c>
      <c r="P1114">
        <v>0</v>
      </c>
      <c r="Q1114">
        <v>0</v>
      </c>
      <c r="R1114">
        <v>0</v>
      </c>
      <c r="S1114">
        <v>0</v>
      </c>
      <c r="T1114">
        <v>0.55410000000000004</v>
      </c>
      <c r="U1114">
        <v>-8.9999999999999998E-4</v>
      </c>
      <c r="V1114">
        <v>0</v>
      </c>
      <c r="W1114">
        <v>-8.5800000000000001E-2</v>
      </c>
      <c r="X1114">
        <v>2.4500000000000001E-2</v>
      </c>
      <c r="Y1114">
        <v>-6.9999999999999999E-4</v>
      </c>
      <c r="Z1114">
        <v>212</v>
      </c>
      <c r="AA1114">
        <v>0.05</v>
      </c>
      <c r="AB1114">
        <v>134</v>
      </c>
      <c r="AC1114">
        <v>0.15</v>
      </c>
      <c r="AD1114">
        <v>0</v>
      </c>
      <c r="AE1114">
        <v>0</v>
      </c>
      <c r="AF1114">
        <v>0.13</v>
      </c>
      <c r="AG1114">
        <v>156</v>
      </c>
      <c r="AH1114">
        <v>0</v>
      </c>
    </row>
    <row r="1115" spans="1:34" x14ac:dyDescent="0.35">
      <c r="A1115" t="s">
        <v>34</v>
      </c>
      <c r="B1115" s="1">
        <v>46146.65625</v>
      </c>
      <c r="C1115" t="s">
        <v>34</v>
      </c>
      <c r="D1115" s="1">
        <v>46150.625</v>
      </c>
      <c r="E1115">
        <v>6025</v>
      </c>
      <c r="F1115" t="s">
        <v>36</v>
      </c>
      <c r="G1115">
        <v>0.18</v>
      </c>
      <c r="H1115">
        <v>0.18</v>
      </c>
      <c r="I1115">
        <v>0.18</v>
      </c>
      <c r="J1115">
        <v>0.18</v>
      </c>
      <c r="K1115">
        <v>1</v>
      </c>
      <c r="L1115">
        <v>380</v>
      </c>
      <c r="M1115">
        <v>0.05</v>
      </c>
      <c r="N1115">
        <v>337</v>
      </c>
      <c r="O1115">
        <v>0.15</v>
      </c>
      <c r="P1115">
        <v>0</v>
      </c>
      <c r="Q1115">
        <v>0</v>
      </c>
      <c r="R1115">
        <v>0</v>
      </c>
      <c r="S1115">
        <v>0</v>
      </c>
      <c r="T1115">
        <v>0.55169999999999997</v>
      </c>
      <c r="U1115">
        <v>-8.9999999999999998E-4</v>
      </c>
      <c r="V1115">
        <v>0</v>
      </c>
      <c r="W1115">
        <v>-8.5800000000000001E-2</v>
      </c>
      <c r="X1115">
        <v>2.46E-2</v>
      </c>
      <c r="Y1115">
        <v>-6.9999999999999999E-4</v>
      </c>
      <c r="Z1115">
        <v>226</v>
      </c>
      <c r="AA1115">
        <v>0.05</v>
      </c>
      <c r="AB1115">
        <v>149</v>
      </c>
      <c r="AC1115">
        <v>0.15</v>
      </c>
      <c r="AD1115">
        <v>0</v>
      </c>
      <c r="AE1115">
        <v>0</v>
      </c>
      <c r="AF1115">
        <v>0.18</v>
      </c>
      <c r="AG1115">
        <v>364</v>
      </c>
      <c r="AH1115">
        <v>0</v>
      </c>
    </row>
    <row r="1116" spans="1:34" x14ac:dyDescent="0.35">
      <c r="A1116" t="s">
        <v>34</v>
      </c>
      <c r="B1116" s="1">
        <v>46146.65625</v>
      </c>
      <c r="C1116" t="s">
        <v>34</v>
      </c>
      <c r="D1116" s="1">
        <v>46150.625</v>
      </c>
      <c r="E1116">
        <v>6030</v>
      </c>
      <c r="F1116" t="s">
        <v>36</v>
      </c>
      <c r="G1116">
        <v>0.2</v>
      </c>
      <c r="H1116">
        <v>0.2</v>
      </c>
      <c r="I1116">
        <v>0.2</v>
      </c>
      <c r="J1116">
        <v>0.2</v>
      </c>
      <c r="K1116">
        <v>1</v>
      </c>
      <c r="L1116">
        <v>394</v>
      </c>
      <c r="M1116">
        <v>0.05</v>
      </c>
      <c r="N1116">
        <v>306</v>
      </c>
      <c r="O1116">
        <v>0.15</v>
      </c>
      <c r="P1116">
        <v>0</v>
      </c>
      <c r="Q1116">
        <v>0</v>
      </c>
      <c r="R1116">
        <v>0</v>
      </c>
      <c r="S1116">
        <v>0</v>
      </c>
      <c r="T1116">
        <v>0.54979999999999996</v>
      </c>
      <c r="U1116">
        <v>-8.9999999999999998E-4</v>
      </c>
      <c r="V1116">
        <v>0</v>
      </c>
      <c r="W1116">
        <v>-8.5800000000000001E-2</v>
      </c>
      <c r="X1116">
        <v>2.46E-2</v>
      </c>
      <c r="Y1116">
        <v>-6.9999999999999999E-4</v>
      </c>
      <c r="Z1116">
        <v>210</v>
      </c>
      <c r="AA1116">
        <v>0.05</v>
      </c>
      <c r="AB1116">
        <v>133</v>
      </c>
      <c r="AC1116">
        <v>0.15</v>
      </c>
      <c r="AD1116">
        <v>0</v>
      </c>
      <c r="AE1116">
        <v>0</v>
      </c>
      <c r="AF1116">
        <v>0.2</v>
      </c>
      <c r="AG1116">
        <v>116</v>
      </c>
      <c r="AH1116">
        <v>0</v>
      </c>
    </row>
    <row r="1117" spans="1:34" x14ac:dyDescent="0.35">
      <c r="A1117" t="s">
        <v>34</v>
      </c>
      <c r="B1117" s="1">
        <v>46146.65625</v>
      </c>
      <c r="C1117" t="s">
        <v>34</v>
      </c>
      <c r="D1117" s="1">
        <v>46150.625</v>
      </c>
      <c r="E1117">
        <v>6040</v>
      </c>
      <c r="F1117" t="s">
        <v>36</v>
      </c>
      <c r="G1117">
        <v>0.2</v>
      </c>
      <c r="H1117">
        <v>0.2</v>
      </c>
      <c r="I1117">
        <v>0.2</v>
      </c>
      <c r="J1117">
        <v>0.2</v>
      </c>
      <c r="K1117">
        <v>10</v>
      </c>
      <c r="L1117">
        <v>558</v>
      </c>
      <c r="M1117">
        <v>0.05</v>
      </c>
      <c r="N1117">
        <v>292</v>
      </c>
      <c r="O1117">
        <v>0.15</v>
      </c>
      <c r="P1117">
        <v>0</v>
      </c>
      <c r="Q1117">
        <v>0</v>
      </c>
      <c r="R1117">
        <v>0</v>
      </c>
      <c r="S1117">
        <v>0</v>
      </c>
      <c r="T1117">
        <v>0.54510000000000003</v>
      </c>
      <c r="U1117">
        <v>-8.9999999999999998E-4</v>
      </c>
      <c r="V1117">
        <v>0</v>
      </c>
      <c r="W1117">
        <v>-8.5800000000000001E-2</v>
      </c>
      <c r="X1117">
        <v>2.4799999999999999E-2</v>
      </c>
      <c r="Y1117">
        <v>-6.9999999999999999E-4</v>
      </c>
      <c r="Z1117">
        <v>211</v>
      </c>
      <c r="AA1117">
        <v>0.05</v>
      </c>
      <c r="AB1117">
        <v>132</v>
      </c>
      <c r="AC1117">
        <v>0.15</v>
      </c>
      <c r="AD1117">
        <v>0</v>
      </c>
      <c r="AE1117">
        <v>0</v>
      </c>
      <c r="AF1117">
        <v>0.2</v>
      </c>
      <c r="AG1117">
        <v>143</v>
      </c>
      <c r="AH1117">
        <v>0</v>
      </c>
    </row>
    <row r="1118" spans="1:34" x14ac:dyDescent="0.35">
      <c r="A1118" t="s">
        <v>34</v>
      </c>
      <c r="B1118" s="1">
        <v>46146.65625</v>
      </c>
      <c r="C1118" t="s">
        <v>34</v>
      </c>
      <c r="D1118" s="1">
        <v>46150.625</v>
      </c>
      <c r="E1118">
        <v>6050</v>
      </c>
      <c r="F1118" t="s">
        <v>36</v>
      </c>
      <c r="G1118">
        <v>0.1</v>
      </c>
      <c r="H1118">
        <v>0.1</v>
      </c>
      <c r="I1118">
        <v>0.1</v>
      </c>
      <c r="J1118">
        <v>0.1</v>
      </c>
      <c r="K1118">
        <v>17</v>
      </c>
      <c r="L1118">
        <v>459</v>
      </c>
      <c r="M1118">
        <v>0.05</v>
      </c>
      <c r="N1118">
        <v>545</v>
      </c>
      <c r="O1118">
        <v>0.15</v>
      </c>
      <c r="P1118">
        <v>0</v>
      </c>
      <c r="Q1118">
        <v>0</v>
      </c>
      <c r="R1118">
        <v>0</v>
      </c>
      <c r="S1118">
        <v>0</v>
      </c>
      <c r="T1118">
        <v>0.53990000000000005</v>
      </c>
      <c r="U1118">
        <v>-1E-3</v>
      </c>
      <c r="V1118">
        <v>0</v>
      </c>
      <c r="W1118">
        <v>-8.5699999999999998E-2</v>
      </c>
      <c r="X1118">
        <v>2.5100000000000001E-2</v>
      </c>
      <c r="Y1118">
        <v>-6.9999999999999999E-4</v>
      </c>
      <c r="Z1118">
        <v>224</v>
      </c>
      <c r="AA1118">
        <v>0.05</v>
      </c>
      <c r="AB1118">
        <v>145</v>
      </c>
      <c r="AC1118">
        <v>0.15</v>
      </c>
      <c r="AD1118">
        <v>0</v>
      </c>
      <c r="AE1118">
        <v>0</v>
      </c>
      <c r="AF1118">
        <v>0.1</v>
      </c>
      <c r="AG1118">
        <v>1404</v>
      </c>
      <c r="AH1118">
        <v>0</v>
      </c>
    </row>
    <row r="1119" spans="1:34" x14ac:dyDescent="0.35">
      <c r="A1119" t="s">
        <v>34</v>
      </c>
      <c r="B1119" s="1">
        <v>46146.65625</v>
      </c>
      <c r="C1119" t="s">
        <v>34</v>
      </c>
      <c r="D1119" s="1">
        <v>46150.625</v>
      </c>
      <c r="E1119">
        <v>6060</v>
      </c>
      <c r="F1119" t="s">
        <v>36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424</v>
      </c>
      <c r="M1119">
        <v>0.05</v>
      </c>
      <c r="N1119">
        <v>488</v>
      </c>
      <c r="O1119">
        <v>0.15</v>
      </c>
      <c r="P1119">
        <v>0</v>
      </c>
      <c r="Q1119">
        <v>0</v>
      </c>
      <c r="R1119">
        <v>0</v>
      </c>
      <c r="S1119">
        <v>0</v>
      </c>
      <c r="T1119">
        <v>0.53510000000000002</v>
      </c>
      <c r="U1119">
        <v>-1E-3</v>
      </c>
      <c r="V1119">
        <v>0</v>
      </c>
      <c r="W1119">
        <v>-8.5699999999999998E-2</v>
      </c>
      <c r="X1119">
        <v>2.53E-2</v>
      </c>
      <c r="Y1119">
        <v>-6.9999999999999999E-4</v>
      </c>
      <c r="Z1119">
        <v>207</v>
      </c>
      <c r="AA1119">
        <v>0.05</v>
      </c>
      <c r="AB1119">
        <v>42</v>
      </c>
      <c r="AC1119">
        <v>0.15</v>
      </c>
      <c r="AD1119">
        <v>0</v>
      </c>
      <c r="AE1119">
        <v>0</v>
      </c>
      <c r="AF1119">
        <v>0</v>
      </c>
      <c r="AG1119">
        <v>40</v>
      </c>
      <c r="AH1119">
        <v>0</v>
      </c>
    </row>
    <row r="1120" spans="1:34" x14ac:dyDescent="0.35">
      <c r="A1120" t="s">
        <v>34</v>
      </c>
      <c r="B1120" s="1">
        <v>46146.65625</v>
      </c>
      <c r="C1120" t="s">
        <v>34</v>
      </c>
      <c r="D1120" s="1">
        <v>46150.625</v>
      </c>
      <c r="E1120">
        <v>6070</v>
      </c>
      <c r="F1120" t="s">
        <v>36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433</v>
      </c>
      <c r="M1120">
        <v>0.05</v>
      </c>
      <c r="N1120">
        <v>473</v>
      </c>
      <c r="O1120">
        <v>0.15</v>
      </c>
      <c r="P1120">
        <v>0</v>
      </c>
      <c r="Q1120">
        <v>0</v>
      </c>
      <c r="R1120">
        <v>0</v>
      </c>
      <c r="S1120">
        <v>0</v>
      </c>
      <c r="T1120">
        <v>0.53080000000000005</v>
      </c>
      <c r="U1120">
        <v>-1E-3</v>
      </c>
      <c r="V1120">
        <v>0</v>
      </c>
      <c r="W1120">
        <v>-8.5699999999999998E-2</v>
      </c>
      <c r="X1120">
        <v>2.5499999999999998E-2</v>
      </c>
      <c r="Y1120">
        <v>-6.9999999999999999E-4</v>
      </c>
      <c r="Z1120">
        <v>206</v>
      </c>
      <c r="AA1120">
        <v>0.05</v>
      </c>
      <c r="AB1120">
        <v>41</v>
      </c>
      <c r="AC1120">
        <v>0.15</v>
      </c>
      <c r="AD1120">
        <v>0</v>
      </c>
      <c r="AE1120">
        <v>0</v>
      </c>
      <c r="AF1120">
        <v>0</v>
      </c>
      <c r="AG1120">
        <v>206</v>
      </c>
      <c r="AH1120">
        <v>0</v>
      </c>
    </row>
    <row r="1121" spans="1:34" x14ac:dyDescent="0.35">
      <c r="A1121" t="s">
        <v>34</v>
      </c>
      <c r="B1121" s="1">
        <v>46146.65625</v>
      </c>
      <c r="C1121" t="s">
        <v>34</v>
      </c>
      <c r="D1121" s="1">
        <v>46150.625</v>
      </c>
      <c r="E1121">
        <v>6075</v>
      </c>
      <c r="F1121" t="s">
        <v>36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485</v>
      </c>
      <c r="M1121">
        <v>0.05</v>
      </c>
      <c r="N1121">
        <v>502</v>
      </c>
      <c r="O1121">
        <v>0.15</v>
      </c>
      <c r="P1121">
        <v>0</v>
      </c>
      <c r="Q1121">
        <v>0</v>
      </c>
      <c r="R1121">
        <v>0</v>
      </c>
      <c r="S1121">
        <v>0</v>
      </c>
      <c r="T1121">
        <v>0.52849999999999997</v>
      </c>
      <c r="U1121">
        <v>-1E-3</v>
      </c>
      <c r="V1121">
        <v>0</v>
      </c>
      <c r="W1121">
        <v>-8.5699999999999998E-2</v>
      </c>
      <c r="X1121">
        <v>2.5600000000000001E-2</v>
      </c>
      <c r="Y1121">
        <v>-6.9999999999999999E-4</v>
      </c>
      <c r="Z1121">
        <v>223</v>
      </c>
      <c r="AA1121">
        <v>0.05</v>
      </c>
      <c r="AB1121">
        <v>41</v>
      </c>
      <c r="AC1121">
        <v>0.15</v>
      </c>
      <c r="AD1121">
        <v>0</v>
      </c>
      <c r="AE1121">
        <v>0</v>
      </c>
      <c r="AF1121">
        <v>0</v>
      </c>
      <c r="AG1121">
        <v>2713</v>
      </c>
      <c r="AH1121">
        <v>0</v>
      </c>
    </row>
    <row r="1122" spans="1:34" x14ac:dyDescent="0.35">
      <c r="A1122" t="s">
        <v>34</v>
      </c>
      <c r="B1122" s="1">
        <v>46146.65625</v>
      </c>
      <c r="C1122" t="s">
        <v>34</v>
      </c>
      <c r="D1122" s="1">
        <v>46150.625</v>
      </c>
      <c r="E1122">
        <v>6080</v>
      </c>
      <c r="F1122" t="s">
        <v>36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445</v>
      </c>
      <c r="M1122">
        <v>0.05</v>
      </c>
      <c r="N1122">
        <v>450</v>
      </c>
      <c r="O1122">
        <v>0.15</v>
      </c>
      <c r="P1122">
        <v>0</v>
      </c>
      <c r="Q1122">
        <v>0</v>
      </c>
      <c r="R1122">
        <v>0</v>
      </c>
      <c r="S1122">
        <v>0</v>
      </c>
      <c r="T1122">
        <v>0.52610000000000001</v>
      </c>
      <c r="U1122">
        <v>-1E-3</v>
      </c>
      <c r="V1122">
        <v>0</v>
      </c>
      <c r="W1122">
        <v>-8.5699999999999998E-2</v>
      </c>
      <c r="X1122">
        <v>2.5700000000000001E-2</v>
      </c>
      <c r="Y1122">
        <v>-6.9999999999999999E-4</v>
      </c>
      <c r="Z1122">
        <v>207</v>
      </c>
      <c r="AA1122">
        <v>0.05</v>
      </c>
      <c r="AB1122">
        <v>257</v>
      </c>
      <c r="AC1122">
        <v>0.2</v>
      </c>
      <c r="AD1122">
        <v>0</v>
      </c>
      <c r="AE1122">
        <v>0</v>
      </c>
      <c r="AF1122">
        <v>0</v>
      </c>
      <c r="AG1122">
        <v>90</v>
      </c>
      <c r="AH1122">
        <v>0</v>
      </c>
    </row>
    <row r="1123" spans="1:34" x14ac:dyDescent="0.35">
      <c r="A1123" t="s">
        <v>34</v>
      </c>
      <c r="B1123" s="1">
        <v>46146.65625</v>
      </c>
      <c r="C1123" t="s">
        <v>34</v>
      </c>
      <c r="D1123" s="1">
        <v>46150.625</v>
      </c>
      <c r="E1123">
        <v>6090</v>
      </c>
      <c r="F1123" t="s">
        <v>36</v>
      </c>
      <c r="G1123">
        <v>0.15</v>
      </c>
      <c r="H1123">
        <v>0.15</v>
      </c>
      <c r="I1123">
        <v>0.15</v>
      </c>
      <c r="J1123">
        <v>0.15</v>
      </c>
      <c r="K1123">
        <v>2</v>
      </c>
      <c r="L1123">
        <v>459</v>
      </c>
      <c r="M1123">
        <v>0.05</v>
      </c>
      <c r="N1123">
        <v>253</v>
      </c>
      <c r="O1123">
        <v>0.15</v>
      </c>
      <c r="P1123">
        <v>0</v>
      </c>
      <c r="Q1123">
        <v>0</v>
      </c>
      <c r="R1123">
        <v>0</v>
      </c>
      <c r="S1123">
        <v>0</v>
      </c>
      <c r="T1123">
        <v>0.52139999999999997</v>
      </c>
      <c r="U1123">
        <v>-1E-3</v>
      </c>
      <c r="V1123">
        <v>0</v>
      </c>
      <c r="W1123">
        <v>-8.5599999999999996E-2</v>
      </c>
      <c r="X1123">
        <v>2.5899999999999999E-2</v>
      </c>
      <c r="Y1123">
        <v>-6.9999999999999999E-4</v>
      </c>
      <c r="Z1123">
        <v>217</v>
      </c>
      <c r="AA1123">
        <v>0.05</v>
      </c>
      <c r="AB1123">
        <v>260</v>
      </c>
      <c r="AC1123">
        <v>0.2</v>
      </c>
      <c r="AD1123">
        <v>0</v>
      </c>
      <c r="AE1123">
        <v>0</v>
      </c>
      <c r="AF1123">
        <v>0.15</v>
      </c>
      <c r="AG1123">
        <v>337</v>
      </c>
      <c r="AH1123">
        <v>0</v>
      </c>
    </row>
    <row r="1124" spans="1:34" x14ac:dyDescent="0.35">
      <c r="A1124" t="s">
        <v>34</v>
      </c>
      <c r="B1124" s="1">
        <v>46146.65625</v>
      </c>
      <c r="C1124" t="s">
        <v>34</v>
      </c>
      <c r="D1124" s="1">
        <v>46150.625</v>
      </c>
      <c r="E1124">
        <v>6100</v>
      </c>
      <c r="F1124" t="s">
        <v>36</v>
      </c>
      <c r="G1124">
        <v>0.11</v>
      </c>
      <c r="H1124">
        <v>0.15</v>
      </c>
      <c r="I1124">
        <v>7.0000000000000007E-2</v>
      </c>
      <c r="J1124">
        <v>0.12</v>
      </c>
      <c r="K1124">
        <v>26</v>
      </c>
      <c r="L1124">
        <v>530</v>
      </c>
      <c r="M1124">
        <v>0.05</v>
      </c>
      <c r="N1124">
        <v>291</v>
      </c>
      <c r="O1124">
        <v>0.15</v>
      </c>
      <c r="P1124">
        <v>0</v>
      </c>
      <c r="Q1124">
        <v>0</v>
      </c>
      <c r="R1124">
        <v>0</v>
      </c>
      <c r="S1124">
        <v>0</v>
      </c>
      <c r="T1124">
        <v>0.51670000000000005</v>
      </c>
      <c r="U1124">
        <v>-1E-3</v>
      </c>
      <c r="V1124">
        <v>0</v>
      </c>
      <c r="W1124">
        <v>-8.5599999999999996E-2</v>
      </c>
      <c r="X1124">
        <v>2.6100000000000002E-2</v>
      </c>
      <c r="Y1124">
        <v>-8.0000000000000004E-4</v>
      </c>
      <c r="Z1124">
        <v>254</v>
      </c>
      <c r="AA1124">
        <v>0.05</v>
      </c>
      <c r="AB1124">
        <v>215</v>
      </c>
      <c r="AC1124">
        <v>0.2</v>
      </c>
      <c r="AD1124">
        <v>0</v>
      </c>
      <c r="AE1124">
        <v>0</v>
      </c>
      <c r="AF1124">
        <v>0.1227</v>
      </c>
      <c r="AG1124">
        <v>1419</v>
      </c>
      <c r="AH1124">
        <v>0</v>
      </c>
    </row>
    <row r="1125" spans="1:34" x14ac:dyDescent="0.35">
      <c r="A1125" t="s">
        <v>34</v>
      </c>
      <c r="B1125" s="1">
        <v>46146.65625</v>
      </c>
      <c r="C1125" t="s">
        <v>34</v>
      </c>
      <c r="D1125" s="1">
        <v>46150.625</v>
      </c>
      <c r="E1125">
        <v>6110</v>
      </c>
      <c r="F1125" t="s">
        <v>36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82</v>
      </c>
      <c r="M1125">
        <v>0.1</v>
      </c>
      <c r="N1125">
        <v>126</v>
      </c>
      <c r="O1125">
        <v>0.15</v>
      </c>
      <c r="P1125">
        <v>0</v>
      </c>
      <c r="Q1125">
        <v>0</v>
      </c>
      <c r="R1125">
        <v>0</v>
      </c>
      <c r="S1125">
        <v>0</v>
      </c>
      <c r="T1125">
        <v>0.52100000000000002</v>
      </c>
      <c r="U1125">
        <v>-1.1999999999999999E-3</v>
      </c>
      <c r="V1125">
        <v>0</v>
      </c>
      <c r="W1125">
        <v>-0.10589999999999999</v>
      </c>
      <c r="X1125">
        <v>3.1199999999999999E-2</v>
      </c>
      <c r="Y1125">
        <v>-8.9999999999999998E-4</v>
      </c>
      <c r="Z1125">
        <v>218</v>
      </c>
      <c r="AA1125">
        <v>0.05</v>
      </c>
      <c r="AB1125">
        <v>1</v>
      </c>
      <c r="AC1125">
        <v>0.15</v>
      </c>
      <c r="AD1125">
        <v>0</v>
      </c>
      <c r="AE1125">
        <v>0</v>
      </c>
      <c r="AF1125">
        <v>0</v>
      </c>
      <c r="AG1125">
        <v>139</v>
      </c>
      <c r="AH1125">
        <v>0</v>
      </c>
    </row>
    <row r="1126" spans="1:34" x14ac:dyDescent="0.35">
      <c r="A1126" t="s">
        <v>34</v>
      </c>
      <c r="B1126" s="1">
        <v>46146.65625</v>
      </c>
      <c r="C1126" t="s">
        <v>34</v>
      </c>
      <c r="D1126" s="1">
        <v>46150.625</v>
      </c>
      <c r="E1126">
        <v>6120</v>
      </c>
      <c r="F1126" t="s">
        <v>36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156</v>
      </c>
      <c r="M1126">
        <v>0.1</v>
      </c>
      <c r="N1126">
        <v>91</v>
      </c>
      <c r="O1126">
        <v>0.15</v>
      </c>
      <c r="P1126">
        <v>0</v>
      </c>
      <c r="Q1126">
        <v>0</v>
      </c>
      <c r="R1126">
        <v>0</v>
      </c>
      <c r="S1126">
        <v>0</v>
      </c>
      <c r="T1126">
        <v>0.51639999999999997</v>
      </c>
      <c r="U1126">
        <v>-1.1999999999999999E-3</v>
      </c>
      <c r="V1126">
        <v>0</v>
      </c>
      <c r="W1126">
        <v>-0.10580000000000001</v>
      </c>
      <c r="X1126">
        <v>3.15E-2</v>
      </c>
      <c r="Y1126">
        <v>-8.9999999999999998E-4</v>
      </c>
      <c r="Z1126">
        <v>218</v>
      </c>
      <c r="AA1126">
        <v>0.05</v>
      </c>
      <c r="AB1126">
        <v>199</v>
      </c>
      <c r="AC1126">
        <v>0.2</v>
      </c>
      <c r="AD1126">
        <v>0</v>
      </c>
      <c r="AE1126">
        <v>0</v>
      </c>
      <c r="AF1126">
        <v>0</v>
      </c>
      <c r="AG1126">
        <v>31</v>
      </c>
      <c r="AH1126">
        <v>0</v>
      </c>
    </row>
    <row r="1127" spans="1:34" x14ac:dyDescent="0.35">
      <c r="A1127" t="s">
        <v>34</v>
      </c>
      <c r="B1127" s="1">
        <v>46146.65625</v>
      </c>
      <c r="C1127" t="s">
        <v>34</v>
      </c>
      <c r="D1127" s="1">
        <v>46150.625</v>
      </c>
      <c r="E1127">
        <v>6125</v>
      </c>
      <c r="F1127" t="s">
        <v>36</v>
      </c>
      <c r="G1127">
        <v>0.12</v>
      </c>
      <c r="H1127">
        <v>0.2</v>
      </c>
      <c r="I1127">
        <v>0.12</v>
      </c>
      <c r="J1127">
        <v>0.2</v>
      </c>
      <c r="K1127">
        <v>3</v>
      </c>
      <c r="L1127">
        <v>175</v>
      </c>
      <c r="M1127">
        <v>0.1</v>
      </c>
      <c r="N1127">
        <v>84</v>
      </c>
      <c r="O1127">
        <v>0.15</v>
      </c>
      <c r="P1127">
        <v>0</v>
      </c>
      <c r="Q1127">
        <v>0</v>
      </c>
      <c r="R1127">
        <v>0</v>
      </c>
      <c r="S1127">
        <v>0</v>
      </c>
      <c r="T1127">
        <v>0.51380000000000003</v>
      </c>
      <c r="U1127">
        <v>-1.1999999999999999E-3</v>
      </c>
      <c r="V1127">
        <v>0</v>
      </c>
      <c r="W1127">
        <v>-0.10580000000000001</v>
      </c>
      <c r="X1127">
        <v>3.1600000000000003E-2</v>
      </c>
      <c r="Y1127">
        <v>-8.9999999999999998E-4</v>
      </c>
      <c r="Z1127">
        <v>229</v>
      </c>
      <c r="AA1127">
        <v>0.05</v>
      </c>
      <c r="AB1127">
        <v>208</v>
      </c>
      <c r="AC1127">
        <v>0.2</v>
      </c>
      <c r="AD1127">
        <v>0</v>
      </c>
      <c r="AE1127">
        <v>0</v>
      </c>
      <c r="AF1127">
        <v>0.15670000000000001</v>
      </c>
      <c r="AG1127">
        <v>307</v>
      </c>
      <c r="AH1127">
        <v>0</v>
      </c>
    </row>
    <row r="1128" spans="1:34" x14ac:dyDescent="0.35">
      <c r="A1128" t="s">
        <v>34</v>
      </c>
      <c r="B1128" s="1">
        <v>46146.65625</v>
      </c>
      <c r="C1128" t="s">
        <v>34</v>
      </c>
      <c r="D1128" s="1">
        <v>46150.625</v>
      </c>
      <c r="E1128">
        <v>6130</v>
      </c>
      <c r="F1128" t="s">
        <v>36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152</v>
      </c>
      <c r="M1128">
        <v>0.1</v>
      </c>
      <c r="N1128">
        <v>76</v>
      </c>
      <c r="O1128">
        <v>0.15</v>
      </c>
      <c r="P1128">
        <v>0</v>
      </c>
      <c r="Q1128">
        <v>0</v>
      </c>
      <c r="R1128">
        <v>0</v>
      </c>
      <c r="S1128">
        <v>0</v>
      </c>
      <c r="T1128">
        <v>0.51139999999999997</v>
      </c>
      <c r="U1128">
        <v>-1.1999999999999999E-3</v>
      </c>
      <c r="V1128">
        <v>0</v>
      </c>
      <c r="W1128">
        <v>-0.10580000000000001</v>
      </c>
      <c r="X1128">
        <v>3.1800000000000002E-2</v>
      </c>
      <c r="Y1128">
        <v>-8.9999999999999998E-4</v>
      </c>
      <c r="Z1128">
        <v>217</v>
      </c>
      <c r="AA1128">
        <v>0.05</v>
      </c>
      <c r="AB1128">
        <v>195</v>
      </c>
      <c r="AC1128">
        <v>0.2</v>
      </c>
      <c r="AD1128">
        <v>0</v>
      </c>
      <c r="AE1128">
        <v>0</v>
      </c>
      <c r="AF1128">
        <v>0</v>
      </c>
      <c r="AG1128">
        <v>47</v>
      </c>
      <c r="AH1128">
        <v>0</v>
      </c>
    </row>
    <row r="1129" spans="1:34" x14ac:dyDescent="0.35">
      <c r="A1129" t="s">
        <v>34</v>
      </c>
      <c r="B1129" s="1">
        <v>46146.65625</v>
      </c>
      <c r="C1129" t="s">
        <v>34</v>
      </c>
      <c r="D1129" s="1">
        <v>46150.625</v>
      </c>
      <c r="E1129">
        <v>6140</v>
      </c>
      <c r="F1129" t="s">
        <v>36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148</v>
      </c>
      <c r="M1129">
        <v>0.1</v>
      </c>
      <c r="N1129">
        <v>42</v>
      </c>
      <c r="O1129">
        <v>0.15</v>
      </c>
      <c r="P1129">
        <v>0</v>
      </c>
      <c r="Q1129">
        <v>0</v>
      </c>
      <c r="R1129">
        <v>0</v>
      </c>
      <c r="S1129">
        <v>0</v>
      </c>
      <c r="T1129">
        <v>0.5071</v>
      </c>
      <c r="U1129">
        <v>-1.1999999999999999E-3</v>
      </c>
      <c r="V1129">
        <v>0</v>
      </c>
      <c r="W1129">
        <v>-0.10580000000000001</v>
      </c>
      <c r="X1129">
        <v>3.2000000000000001E-2</v>
      </c>
      <c r="Y1129">
        <v>-8.9999999999999998E-4</v>
      </c>
      <c r="Z1129">
        <v>215</v>
      </c>
      <c r="AA1129">
        <v>0.05</v>
      </c>
      <c r="AB1129">
        <v>192</v>
      </c>
      <c r="AC1129">
        <v>0.2</v>
      </c>
      <c r="AD1129">
        <v>0</v>
      </c>
      <c r="AE1129">
        <v>0</v>
      </c>
      <c r="AF1129">
        <v>0</v>
      </c>
      <c r="AG1129">
        <v>366</v>
      </c>
      <c r="AH1129">
        <v>0</v>
      </c>
    </row>
    <row r="1130" spans="1:34" x14ac:dyDescent="0.35">
      <c r="A1130" t="s">
        <v>34</v>
      </c>
      <c r="B1130" s="1">
        <v>46146.65625</v>
      </c>
      <c r="C1130" t="s">
        <v>34</v>
      </c>
      <c r="D1130" s="1">
        <v>46150.625</v>
      </c>
      <c r="E1130">
        <v>6150</v>
      </c>
      <c r="F1130" t="s">
        <v>36</v>
      </c>
      <c r="G1130">
        <v>0.1</v>
      </c>
      <c r="H1130">
        <v>0.2</v>
      </c>
      <c r="I1130">
        <v>0.1</v>
      </c>
      <c r="J1130">
        <v>0.15</v>
      </c>
      <c r="K1130">
        <v>8</v>
      </c>
      <c r="L1130">
        <v>238</v>
      </c>
      <c r="M1130">
        <v>0.1</v>
      </c>
      <c r="N1130">
        <v>1</v>
      </c>
      <c r="O1130">
        <v>0.15</v>
      </c>
      <c r="P1130">
        <v>0</v>
      </c>
      <c r="Q1130">
        <v>0</v>
      </c>
      <c r="R1130">
        <v>0</v>
      </c>
      <c r="S1130">
        <v>0</v>
      </c>
      <c r="T1130">
        <v>0.50190000000000001</v>
      </c>
      <c r="U1130">
        <v>-1.2999999999999999E-3</v>
      </c>
      <c r="V1130">
        <v>0</v>
      </c>
      <c r="W1130">
        <v>-0.1057</v>
      </c>
      <c r="X1130">
        <v>3.2300000000000002E-2</v>
      </c>
      <c r="Y1130">
        <v>-1E-3</v>
      </c>
      <c r="Z1130">
        <v>227</v>
      </c>
      <c r="AA1130">
        <v>0.05</v>
      </c>
      <c r="AB1130">
        <v>1</v>
      </c>
      <c r="AC1130">
        <v>0.15</v>
      </c>
      <c r="AD1130">
        <v>0</v>
      </c>
      <c r="AE1130">
        <v>0</v>
      </c>
      <c r="AF1130">
        <v>0.14879999999999999</v>
      </c>
      <c r="AG1130">
        <v>1394</v>
      </c>
      <c r="AH1130">
        <v>0</v>
      </c>
    </row>
    <row r="1131" spans="1:34" x14ac:dyDescent="0.35">
      <c r="A1131" t="s">
        <v>34</v>
      </c>
      <c r="B1131" s="1">
        <v>46146.65625</v>
      </c>
      <c r="C1131" t="s">
        <v>34</v>
      </c>
      <c r="D1131" s="1">
        <v>46150.625</v>
      </c>
      <c r="E1131">
        <v>6160</v>
      </c>
      <c r="F1131" t="s">
        <v>36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310</v>
      </c>
      <c r="M1131">
        <v>0.1</v>
      </c>
      <c r="N1131">
        <v>432</v>
      </c>
      <c r="O1131">
        <v>0.2</v>
      </c>
      <c r="P1131">
        <v>0</v>
      </c>
      <c r="Q1131">
        <v>0</v>
      </c>
      <c r="R1131">
        <v>0</v>
      </c>
      <c r="S1131">
        <v>0</v>
      </c>
      <c r="T1131">
        <v>0.505</v>
      </c>
      <c r="U1131">
        <v>-1.5E-3</v>
      </c>
      <c r="V1131">
        <v>0</v>
      </c>
      <c r="W1131">
        <v>-0.12570000000000001</v>
      </c>
      <c r="X1131">
        <v>3.7400000000000003E-2</v>
      </c>
      <c r="Y1131">
        <v>-1.1000000000000001E-3</v>
      </c>
      <c r="Z1131">
        <v>297</v>
      </c>
      <c r="AA1131">
        <v>0.05</v>
      </c>
      <c r="AB1131">
        <v>127</v>
      </c>
      <c r="AC1131">
        <v>0.2</v>
      </c>
      <c r="AD1131">
        <v>0</v>
      </c>
      <c r="AE1131">
        <v>0</v>
      </c>
      <c r="AF1131">
        <v>0</v>
      </c>
      <c r="AG1131">
        <v>165</v>
      </c>
      <c r="AH1131">
        <v>0</v>
      </c>
    </row>
    <row r="1132" spans="1:34" x14ac:dyDescent="0.35">
      <c r="A1132" t="s">
        <v>34</v>
      </c>
      <c r="B1132" s="1">
        <v>46146.65625</v>
      </c>
      <c r="C1132" t="s">
        <v>34</v>
      </c>
      <c r="D1132" s="1">
        <v>46150.625</v>
      </c>
      <c r="E1132">
        <v>6170</v>
      </c>
      <c r="F1132" t="s">
        <v>36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310</v>
      </c>
      <c r="M1132">
        <v>0.1</v>
      </c>
      <c r="N1132">
        <v>411</v>
      </c>
      <c r="O1132">
        <v>0.2</v>
      </c>
      <c r="P1132">
        <v>0</v>
      </c>
      <c r="Q1132">
        <v>0</v>
      </c>
      <c r="R1132">
        <v>0</v>
      </c>
      <c r="S1132">
        <v>0</v>
      </c>
      <c r="T1132">
        <v>0.50009999999999999</v>
      </c>
      <c r="U1132">
        <v>-1.5E-3</v>
      </c>
      <c r="V1132">
        <v>0</v>
      </c>
      <c r="W1132">
        <v>-0.12570000000000001</v>
      </c>
      <c r="X1132">
        <v>3.7699999999999997E-2</v>
      </c>
      <c r="Y1132">
        <v>-1.1000000000000001E-3</v>
      </c>
      <c r="Z1132">
        <v>84</v>
      </c>
      <c r="AA1132">
        <v>0.1</v>
      </c>
      <c r="AB1132">
        <v>126</v>
      </c>
      <c r="AC1132">
        <v>0.2</v>
      </c>
      <c r="AD1132">
        <v>0</v>
      </c>
      <c r="AE1132">
        <v>0</v>
      </c>
      <c r="AF1132">
        <v>0</v>
      </c>
      <c r="AG1132">
        <v>76</v>
      </c>
      <c r="AH1132">
        <v>0</v>
      </c>
    </row>
    <row r="1133" spans="1:34" x14ac:dyDescent="0.35">
      <c r="A1133" t="s">
        <v>34</v>
      </c>
      <c r="B1133" s="1">
        <v>46146.65625</v>
      </c>
      <c r="C1133" t="s">
        <v>34</v>
      </c>
      <c r="D1133" s="1">
        <v>46150.625</v>
      </c>
      <c r="E1133">
        <v>6175</v>
      </c>
      <c r="F1133" t="s">
        <v>36</v>
      </c>
      <c r="G1133">
        <v>0.17</v>
      </c>
      <c r="H1133">
        <v>0.17</v>
      </c>
      <c r="I1133">
        <v>0.17</v>
      </c>
      <c r="J1133">
        <v>0.17</v>
      </c>
      <c r="K1133">
        <v>1</v>
      </c>
      <c r="L1133">
        <v>353</v>
      </c>
      <c r="M1133">
        <v>0.1</v>
      </c>
      <c r="N1133">
        <v>442</v>
      </c>
      <c r="O1133">
        <v>0.2</v>
      </c>
      <c r="P1133">
        <v>0</v>
      </c>
      <c r="Q1133">
        <v>0</v>
      </c>
      <c r="R1133">
        <v>0</v>
      </c>
      <c r="S1133">
        <v>0</v>
      </c>
      <c r="T1133">
        <v>0.49769999999999998</v>
      </c>
      <c r="U1133">
        <v>-1.5E-3</v>
      </c>
      <c r="V1133">
        <v>0</v>
      </c>
      <c r="W1133">
        <v>-0.12570000000000001</v>
      </c>
      <c r="X1133">
        <v>3.7900000000000003E-2</v>
      </c>
      <c r="Y1133">
        <v>-1.1000000000000001E-3</v>
      </c>
      <c r="Z1133">
        <v>149</v>
      </c>
      <c r="AA1133">
        <v>0.1</v>
      </c>
      <c r="AB1133">
        <v>137</v>
      </c>
      <c r="AC1133">
        <v>0.2</v>
      </c>
      <c r="AD1133">
        <v>0</v>
      </c>
      <c r="AE1133">
        <v>0</v>
      </c>
      <c r="AF1133">
        <v>0.17</v>
      </c>
      <c r="AG1133">
        <v>1110</v>
      </c>
      <c r="AH1133">
        <v>0</v>
      </c>
    </row>
    <row r="1134" spans="1:34" x14ac:dyDescent="0.35">
      <c r="A1134" t="s">
        <v>34</v>
      </c>
      <c r="B1134" s="1">
        <v>46146.65625</v>
      </c>
      <c r="C1134" t="s">
        <v>34</v>
      </c>
      <c r="D1134" s="1">
        <v>46150.625</v>
      </c>
      <c r="E1134">
        <v>6180</v>
      </c>
      <c r="F1134" t="s">
        <v>36</v>
      </c>
      <c r="G1134">
        <v>0.2</v>
      </c>
      <c r="H1134">
        <v>0.2</v>
      </c>
      <c r="I1134">
        <v>0.2</v>
      </c>
      <c r="J1134">
        <v>0.2</v>
      </c>
      <c r="K1134">
        <v>1</v>
      </c>
      <c r="L1134">
        <v>310</v>
      </c>
      <c r="M1134">
        <v>0.1</v>
      </c>
      <c r="N1134">
        <v>358</v>
      </c>
      <c r="O1134">
        <v>0.2</v>
      </c>
      <c r="P1134">
        <v>0</v>
      </c>
      <c r="Q1134">
        <v>0</v>
      </c>
      <c r="R1134">
        <v>0</v>
      </c>
      <c r="S1134">
        <v>0</v>
      </c>
      <c r="T1134">
        <v>0.49530000000000002</v>
      </c>
      <c r="U1134">
        <v>-1.5E-3</v>
      </c>
      <c r="V1134">
        <v>0</v>
      </c>
      <c r="W1134">
        <v>-0.12559999999999999</v>
      </c>
      <c r="X1134">
        <v>3.7999999999999999E-2</v>
      </c>
      <c r="Y1134">
        <v>-1.1000000000000001E-3</v>
      </c>
      <c r="Z1134">
        <v>84</v>
      </c>
      <c r="AA1134">
        <v>0.1</v>
      </c>
      <c r="AB1134">
        <v>125</v>
      </c>
      <c r="AC1134">
        <v>0.2</v>
      </c>
      <c r="AD1134">
        <v>0</v>
      </c>
      <c r="AE1134">
        <v>0</v>
      </c>
      <c r="AF1134">
        <v>0.2</v>
      </c>
      <c r="AG1134">
        <v>112</v>
      </c>
      <c r="AH1134">
        <v>0</v>
      </c>
    </row>
    <row r="1135" spans="1:34" x14ac:dyDescent="0.35">
      <c r="A1135" t="s">
        <v>34</v>
      </c>
      <c r="B1135" s="1">
        <v>46146.65625</v>
      </c>
      <c r="C1135" t="s">
        <v>34</v>
      </c>
      <c r="D1135" s="1">
        <v>46150.625</v>
      </c>
      <c r="E1135">
        <v>6190</v>
      </c>
      <c r="F1135" t="s">
        <v>36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339</v>
      </c>
      <c r="M1135">
        <v>0.1</v>
      </c>
      <c r="N1135">
        <v>480</v>
      </c>
      <c r="O1135">
        <v>0.2</v>
      </c>
      <c r="P1135">
        <v>0</v>
      </c>
      <c r="Q1135">
        <v>0</v>
      </c>
      <c r="R1135">
        <v>0</v>
      </c>
      <c r="S1135">
        <v>0</v>
      </c>
      <c r="T1135">
        <v>0.49049999999999999</v>
      </c>
      <c r="U1135">
        <v>-1.5E-3</v>
      </c>
      <c r="V1135">
        <v>0</v>
      </c>
      <c r="W1135">
        <v>-0.12559999999999999</v>
      </c>
      <c r="X1135">
        <v>3.8399999999999997E-2</v>
      </c>
      <c r="Y1135">
        <v>-1.1000000000000001E-3</v>
      </c>
      <c r="Z1135">
        <v>134</v>
      </c>
      <c r="AA1135">
        <v>0.1</v>
      </c>
      <c r="AB1135">
        <v>122</v>
      </c>
      <c r="AC1135">
        <v>0.2</v>
      </c>
      <c r="AD1135">
        <v>0</v>
      </c>
      <c r="AE1135">
        <v>0</v>
      </c>
      <c r="AF1135">
        <v>0</v>
      </c>
      <c r="AG1135">
        <v>102</v>
      </c>
      <c r="AH1135">
        <v>0</v>
      </c>
    </row>
    <row r="1136" spans="1:34" x14ac:dyDescent="0.35">
      <c r="A1136" t="s">
        <v>34</v>
      </c>
      <c r="B1136" s="1">
        <v>46146.65625</v>
      </c>
      <c r="C1136" t="s">
        <v>34</v>
      </c>
      <c r="D1136" s="1">
        <v>46150.625</v>
      </c>
      <c r="E1136">
        <v>6200</v>
      </c>
      <c r="F1136" t="s">
        <v>36</v>
      </c>
      <c r="G1136">
        <v>0.3</v>
      </c>
      <c r="H1136">
        <v>0.3</v>
      </c>
      <c r="I1136">
        <v>0.3</v>
      </c>
      <c r="J1136">
        <v>0.3</v>
      </c>
      <c r="K1136">
        <v>1</v>
      </c>
      <c r="L1136">
        <v>562</v>
      </c>
      <c r="M1136">
        <v>0.1</v>
      </c>
      <c r="N1136">
        <v>545</v>
      </c>
      <c r="O1136">
        <v>0.2</v>
      </c>
      <c r="P1136">
        <v>0</v>
      </c>
      <c r="Q1136">
        <v>0</v>
      </c>
      <c r="R1136">
        <v>0</v>
      </c>
      <c r="S1136">
        <v>0</v>
      </c>
      <c r="T1136">
        <v>0.4859</v>
      </c>
      <c r="U1136">
        <v>-1.5E-3</v>
      </c>
      <c r="V1136">
        <v>0</v>
      </c>
      <c r="W1136">
        <v>-0.1255</v>
      </c>
      <c r="X1136">
        <v>3.8699999999999998E-2</v>
      </c>
      <c r="Y1136">
        <v>-1.1999999999999999E-3</v>
      </c>
      <c r="Z1136">
        <v>176</v>
      </c>
      <c r="AA1136">
        <v>0.1</v>
      </c>
      <c r="AB1136">
        <v>134</v>
      </c>
      <c r="AC1136">
        <v>0.2</v>
      </c>
      <c r="AD1136">
        <v>0</v>
      </c>
      <c r="AE1136">
        <v>0</v>
      </c>
      <c r="AF1136">
        <v>0.3</v>
      </c>
      <c r="AG1136">
        <v>1445</v>
      </c>
      <c r="AH1136">
        <v>0</v>
      </c>
    </row>
    <row r="1137" spans="1:34" x14ac:dyDescent="0.35">
      <c r="A1137" t="s">
        <v>34</v>
      </c>
      <c r="B1137" s="1">
        <v>46146.65625</v>
      </c>
      <c r="C1137" t="s">
        <v>34</v>
      </c>
      <c r="D1137" s="1">
        <v>46150.625</v>
      </c>
      <c r="E1137">
        <v>6210</v>
      </c>
      <c r="F1137" t="s">
        <v>36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387</v>
      </c>
      <c r="M1137">
        <v>0.1</v>
      </c>
      <c r="N1137">
        <v>457</v>
      </c>
      <c r="O1137">
        <v>0.2</v>
      </c>
      <c r="P1137">
        <v>0</v>
      </c>
      <c r="Q1137">
        <v>0</v>
      </c>
      <c r="R1137">
        <v>0</v>
      </c>
      <c r="S1137">
        <v>0</v>
      </c>
      <c r="T1137">
        <v>0.48130000000000001</v>
      </c>
      <c r="U1137">
        <v>-1.5E-3</v>
      </c>
      <c r="V1137">
        <v>0</v>
      </c>
      <c r="W1137">
        <v>-0.1255</v>
      </c>
      <c r="X1137">
        <v>3.9100000000000003E-2</v>
      </c>
      <c r="Y1137">
        <v>-1.1999999999999999E-3</v>
      </c>
      <c r="Z1137">
        <v>163</v>
      </c>
      <c r="AA1137">
        <v>0.1</v>
      </c>
      <c r="AB1137">
        <v>70</v>
      </c>
      <c r="AC1137">
        <v>0.2</v>
      </c>
      <c r="AD1137">
        <v>0</v>
      </c>
      <c r="AE1137">
        <v>0</v>
      </c>
      <c r="AF1137">
        <v>0</v>
      </c>
      <c r="AG1137">
        <v>227</v>
      </c>
      <c r="AH1137">
        <v>0</v>
      </c>
    </row>
    <row r="1138" spans="1:34" x14ac:dyDescent="0.35">
      <c r="A1138" t="s">
        <v>34</v>
      </c>
      <c r="B1138" s="1">
        <v>46146.65625</v>
      </c>
      <c r="C1138" t="s">
        <v>34</v>
      </c>
      <c r="D1138" s="1">
        <v>46150.625</v>
      </c>
      <c r="E1138">
        <v>6220</v>
      </c>
      <c r="F1138" t="s">
        <v>36</v>
      </c>
      <c r="G1138">
        <v>0.25</v>
      </c>
      <c r="H1138">
        <v>0.25</v>
      </c>
      <c r="I1138">
        <v>0.25</v>
      </c>
      <c r="J1138">
        <v>0.25</v>
      </c>
      <c r="K1138">
        <v>1</v>
      </c>
      <c r="L1138">
        <v>414</v>
      </c>
      <c r="M1138">
        <v>0.1</v>
      </c>
      <c r="N1138">
        <v>173</v>
      </c>
      <c r="O1138">
        <v>0.2</v>
      </c>
      <c r="P1138">
        <v>0</v>
      </c>
      <c r="Q1138">
        <v>0</v>
      </c>
      <c r="R1138">
        <v>0</v>
      </c>
      <c r="S1138">
        <v>0</v>
      </c>
      <c r="T1138">
        <v>0.47649999999999998</v>
      </c>
      <c r="U1138">
        <v>-1.6000000000000001E-3</v>
      </c>
      <c r="V1138">
        <v>0</v>
      </c>
      <c r="W1138">
        <v>-0.12540000000000001</v>
      </c>
      <c r="X1138">
        <v>3.95E-2</v>
      </c>
      <c r="Y1138">
        <v>-1.1999999999999999E-3</v>
      </c>
      <c r="Z1138">
        <v>208</v>
      </c>
      <c r="AA1138">
        <v>0.1</v>
      </c>
      <c r="AB1138">
        <v>69</v>
      </c>
      <c r="AC1138">
        <v>0.2</v>
      </c>
      <c r="AD1138">
        <v>0</v>
      </c>
      <c r="AE1138">
        <v>0</v>
      </c>
      <c r="AF1138">
        <v>0.25</v>
      </c>
      <c r="AG1138">
        <v>105</v>
      </c>
      <c r="AH1138">
        <v>0</v>
      </c>
    </row>
    <row r="1139" spans="1:34" x14ac:dyDescent="0.35">
      <c r="A1139" t="s">
        <v>34</v>
      </c>
      <c r="B1139" s="1">
        <v>46146.65625</v>
      </c>
      <c r="C1139" t="s">
        <v>34</v>
      </c>
      <c r="D1139" s="1">
        <v>46150.625</v>
      </c>
      <c r="E1139">
        <v>6225</v>
      </c>
      <c r="F1139" t="s">
        <v>36</v>
      </c>
      <c r="G1139">
        <v>0.15</v>
      </c>
      <c r="H1139">
        <v>0.16</v>
      </c>
      <c r="I1139">
        <v>0.15</v>
      </c>
      <c r="J1139">
        <v>0.16</v>
      </c>
      <c r="K1139">
        <v>7</v>
      </c>
      <c r="L1139">
        <v>631</v>
      </c>
      <c r="M1139">
        <v>0.1</v>
      </c>
      <c r="N1139">
        <v>241</v>
      </c>
      <c r="O1139">
        <v>0.2</v>
      </c>
      <c r="P1139">
        <v>0</v>
      </c>
      <c r="Q1139">
        <v>0</v>
      </c>
      <c r="R1139">
        <v>0</v>
      </c>
      <c r="S1139">
        <v>0</v>
      </c>
      <c r="T1139">
        <v>0.47410000000000002</v>
      </c>
      <c r="U1139">
        <v>-1.6000000000000001E-3</v>
      </c>
      <c r="V1139">
        <v>0</v>
      </c>
      <c r="W1139">
        <v>-0.12540000000000001</v>
      </c>
      <c r="X1139">
        <v>3.9600000000000003E-2</v>
      </c>
      <c r="Y1139">
        <v>-1.1999999999999999E-3</v>
      </c>
      <c r="Z1139">
        <v>227</v>
      </c>
      <c r="AA1139">
        <v>0.1</v>
      </c>
      <c r="AB1139">
        <v>39</v>
      </c>
      <c r="AC1139">
        <v>0.2</v>
      </c>
      <c r="AD1139">
        <v>0</v>
      </c>
      <c r="AE1139">
        <v>0</v>
      </c>
      <c r="AF1139">
        <v>0.15859999999999999</v>
      </c>
      <c r="AG1139">
        <v>164</v>
      </c>
      <c r="AH1139">
        <v>0</v>
      </c>
    </row>
    <row r="1140" spans="1:34" x14ac:dyDescent="0.35">
      <c r="A1140" t="s">
        <v>34</v>
      </c>
      <c r="B1140" s="1">
        <v>46146.65625</v>
      </c>
      <c r="C1140" t="s">
        <v>34</v>
      </c>
      <c r="D1140" s="1">
        <v>46150.625</v>
      </c>
      <c r="E1140">
        <v>6230</v>
      </c>
      <c r="F1140" t="s">
        <v>36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424</v>
      </c>
      <c r="M1140">
        <v>0.1</v>
      </c>
      <c r="N1140">
        <v>129</v>
      </c>
      <c r="O1140">
        <v>0.2</v>
      </c>
      <c r="P1140">
        <v>0</v>
      </c>
      <c r="Q1140">
        <v>0</v>
      </c>
      <c r="R1140">
        <v>0</v>
      </c>
      <c r="S1140">
        <v>0</v>
      </c>
      <c r="T1140">
        <v>0.4718</v>
      </c>
      <c r="U1140">
        <v>-1.6000000000000001E-3</v>
      </c>
      <c r="V1140">
        <v>0</v>
      </c>
      <c r="W1140">
        <v>-0.12529999999999999</v>
      </c>
      <c r="X1140">
        <v>3.9800000000000002E-2</v>
      </c>
      <c r="Y1140">
        <v>-1.1999999999999999E-3</v>
      </c>
      <c r="Z1140">
        <v>206</v>
      </c>
      <c r="AA1140">
        <v>0.1</v>
      </c>
      <c r="AB1140">
        <v>1</v>
      </c>
      <c r="AC1140">
        <v>0.2</v>
      </c>
      <c r="AD1140">
        <v>0</v>
      </c>
      <c r="AE1140">
        <v>0</v>
      </c>
      <c r="AF1140">
        <v>0</v>
      </c>
      <c r="AG1140">
        <v>48</v>
      </c>
      <c r="AH1140">
        <v>0</v>
      </c>
    </row>
    <row r="1141" spans="1:34" x14ac:dyDescent="0.35">
      <c r="A1141" t="s">
        <v>34</v>
      </c>
      <c r="B1141" s="1">
        <v>46146.65625</v>
      </c>
      <c r="C1141" t="s">
        <v>34</v>
      </c>
      <c r="D1141" s="1">
        <v>46150.625</v>
      </c>
      <c r="E1141">
        <v>6240</v>
      </c>
      <c r="F1141" t="s">
        <v>36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74</v>
      </c>
      <c r="M1141">
        <v>0.15</v>
      </c>
      <c r="N1141">
        <v>97</v>
      </c>
      <c r="O1141">
        <v>0.2</v>
      </c>
      <c r="P1141">
        <v>0</v>
      </c>
      <c r="Q1141">
        <v>0</v>
      </c>
      <c r="R1141">
        <v>0</v>
      </c>
      <c r="S1141">
        <v>0</v>
      </c>
      <c r="T1141">
        <v>0.47339999999999999</v>
      </c>
      <c r="U1141">
        <v>-1.8E-3</v>
      </c>
      <c r="V1141">
        <v>0</v>
      </c>
      <c r="W1141">
        <v>-0.14499999999999999</v>
      </c>
      <c r="X1141">
        <v>4.5199999999999997E-2</v>
      </c>
      <c r="Y1141">
        <v>-1.4E-3</v>
      </c>
      <c r="Z1141">
        <v>205</v>
      </c>
      <c r="AA1141">
        <v>0.1</v>
      </c>
      <c r="AB1141">
        <v>1</v>
      </c>
      <c r="AC1141">
        <v>0.2</v>
      </c>
      <c r="AD1141">
        <v>0</v>
      </c>
      <c r="AE1141">
        <v>0</v>
      </c>
      <c r="AF1141">
        <v>0</v>
      </c>
      <c r="AG1141">
        <v>66</v>
      </c>
      <c r="AH1141">
        <v>0</v>
      </c>
    </row>
    <row r="1142" spans="1:34" x14ac:dyDescent="0.35">
      <c r="A1142" t="s">
        <v>34</v>
      </c>
      <c r="B1142" s="1">
        <v>46146.65625</v>
      </c>
      <c r="C1142" t="s">
        <v>34</v>
      </c>
      <c r="D1142" s="1">
        <v>46150.625</v>
      </c>
      <c r="E1142">
        <v>6250</v>
      </c>
      <c r="F1142" t="s">
        <v>36</v>
      </c>
      <c r="G1142">
        <v>0.19</v>
      </c>
      <c r="H1142">
        <v>0.2</v>
      </c>
      <c r="I1142">
        <v>0.15</v>
      </c>
      <c r="J1142">
        <v>0.16</v>
      </c>
      <c r="K1142">
        <v>360</v>
      </c>
      <c r="L1142">
        <v>140</v>
      </c>
      <c r="M1142">
        <v>0.15</v>
      </c>
      <c r="N1142">
        <v>103</v>
      </c>
      <c r="O1142">
        <v>0.2</v>
      </c>
      <c r="P1142">
        <v>0</v>
      </c>
      <c r="Q1142">
        <v>0</v>
      </c>
      <c r="R1142">
        <v>0</v>
      </c>
      <c r="S1142">
        <v>0</v>
      </c>
      <c r="T1142">
        <v>0.46850000000000003</v>
      </c>
      <c r="U1142">
        <v>-1.8E-3</v>
      </c>
      <c r="V1142">
        <v>0</v>
      </c>
      <c r="W1142">
        <v>-0.14499999999999999</v>
      </c>
      <c r="X1142">
        <v>4.5600000000000002E-2</v>
      </c>
      <c r="Y1142">
        <v>-1.4E-3</v>
      </c>
      <c r="Z1142">
        <v>220</v>
      </c>
      <c r="AA1142">
        <v>0.1</v>
      </c>
      <c r="AB1142">
        <v>197</v>
      </c>
      <c r="AC1142">
        <v>0.25</v>
      </c>
      <c r="AD1142">
        <v>0</v>
      </c>
      <c r="AE1142">
        <v>0</v>
      </c>
      <c r="AF1142">
        <v>0.18149999999999999</v>
      </c>
      <c r="AG1142">
        <v>1727</v>
      </c>
      <c r="AH1142">
        <v>0</v>
      </c>
    </row>
    <row r="1143" spans="1:34" x14ac:dyDescent="0.35">
      <c r="A1143" t="s">
        <v>34</v>
      </c>
      <c r="B1143" s="1">
        <v>46146.65625</v>
      </c>
      <c r="C1143" t="s">
        <v>34</v>
      </c>
      <c r="D1143" s="1">
        <v>46150.625</v>
      </c>
      <c r="E1143">
        <v>6260</v>
      </c>
      <c r="F1143" t="s">
        <v>36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137</v>
      </c>
      <c r="M1143">
        <v>0.15</v>
      </c>
      <c r="N1143">
        <v>454</v>
      </c>
      <c r="O1143">
        <v>0.25</v>
      </c>
      <c r="P1143">
        <v>0</v>
      </c>
      <c r="Q1143">
        <v>0</v>
      </c>
      <c r="R1143">
        <v>0</v>
      </c>
      <c r="S1143">
        <v>0</v>
      </c>
      <c r="T1143">
        <v>0.46379999999999999</v>
      </c>
      <c r="U1143">
        <v>-1.8E-3</v>
      </c>
      <c r="V1143">
        <v>0</v>
      </c>
      <c r="W1143">
        <v>-0.1449</v>
      </c>
      <c r="X1143">
        <v>4.5999999999999999E-2</v>
      </c>
      <c r="Y1143">
        <v>-1.4E-3</v>
      </c>
      <c r="Z1143">
        <v>196</v>
      </c>
      <c r="AA1143">
        <v>0.1</v>
      </c>
      <c r="AB1143">
        <v>182</v>
      </c>
      <c r="AC1143">
        <v>0.25</v>
      </c>
      <c r="AD1143">
        <v>0</v>
      </c>
      <c r="AE1143">
        <v>0</v>
      </c>
      <c r="AF1143">
        <v>0</v>
      </c>
      <c r="AG1143">
        <v>63</v>
      </c>
      <c r="AH1143">
        <v>0</v>
      </c>
    </row>
    <row r="1144" spans="1:34" x14ac:dyDescent="0.35">
      <c r="A1144" t="s">
        <v>34</v>
      </c>
      <c r="B1144" s="1">
        <v>46146.65625</v>
      </c>
      <c r="C1144" t="s">
        <v>34</v>
      </c>
      <c r="D1144" s="1">
        <v>46150.625</v>
      </c>
      <c r="E1144">
        <v>6270</v>
      </c>
      <c r="F1144" t="s">
        <v>36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191</v>
      </c>
      <c r="M1144">
        <v>0.15</v>
      </c>
      <c r="N1144">
        <v>428</v>
      </c>
      <c r="O1144">
        <v>0.25</v>
      </c>
      <c r="P1144">
        <v>0</v>
      </c>
      <c r="Q1144">
        <v>0</v>
      </c>
      <c r="R1144">
        <v>0</v>
      </c>
      <c r="S1144">
        <v>0</v>
      </c>
      <c r="T1144">
        <v>0.46439999999999998</v>
      </c>
      <c r="U1144">
        <v>-2.0999999999999999E-3</v>
      </c>
      <c r="V1144">
        <v>0</v>
      </c>
      <c r="W1144">
        <v>-0.1643</v>
      </c>
      <c r="X1144">
        <v>5.1299999999999998E-2</v>
      </c>
      <c r="Y1144">
        <v>-1.6000000000000001E-3</v>
      </c>
      <c r="Z1144">
        <v>197</v>
      </c>
      <c r="AA1144">
        <v>0.1</v>
      </c>
      <c r="AB1144">
        <v>161</v>
      </c>
      <c r="AC1144">
        <v>0.25</v>
      </c>
      <c r="AD1144">
        <v>0</v>
      </c>
      <c r="AE1144">
        <v>0</v>
      </c>
      <c r="AF1144">
        <v>0</v>
      </c>
      <c r="AG1144">
        <v>91</v>
      </c>
      <c r="AH1144">
        <v>0</v>
      </c>
    </row>
    <row r="1145" spans="1:34" x14ac:dyDescent="0.35">
      <c r="A1145" t="s">
        <v>34</v>
      </c>
      <c r="B1145" s="1">
        <v>46146.65625</v>
      </c>
      <c r="C1145" t="s">
        <v>34</v>
      </c>
      <c r="D1145" s="1">
        <v>46150.625</v>
      </c>
      <c r="E1145">
        <v>6275</v>
      </c>
      <c r="F1145" t="s">
        <v>36</v>
      </c>
      <c r="G1145">
        <v>0.25</v>
      </c>
      <c r="H1145">
        <v>0.25</v>
      </c>
      <c r="I1145">
        <v>0.25</v>
      </c>
      <c r="J1145">
        <v>0.25</v>
      </c>
      <c r="K1145">
        <v>1</v>
      </c>
      <c r="L1145">
        <v>233</v>
      </c>
      <c r="M1145">
        <v>0.15</v>
      </c>
      <c r="N1145">
        <v>560</v>
      </c>
      <c r="O1145">
        <v>0.25</v>
      </c>
      <c r="P1145">
        <v>0</v>
      </c>
      <c r="Q1145">
        <v>0</v>
      </c>
      <c r="R1145">
        <v>0</v>
      </c>
      <c r="S1145">
        <v>0</v>
      </c>
      <c r="T1145">
        <v>0.46200000000000002</v>
      </c>
      <c r="U1145">
        <v>-2.0999999999999999E-3</v>
      </c>
      <c r="V1145">
        <v>0</v>
      </c>
      <c r="W1145">
        <v>-0.1643</v>
      </c>
      <c r="X1145">
        <v>5.1499999999999997E-2</v>
      </c>
      <c r="Y1145">
        <v>-1.6000000000000001E-3</v>
      </c>
      <c r="Z1145">
        <v>209</v>
      </c>
      <c r="AA1145">
        <v>0.1</v>
      </c>
      <c r="AB1145">
        <v>159</v>
      </c>
      <c r="AC1145">
        <v>0.25</v>
      </c>
      <c r="AD1145">
        <v>0</v>
      </c>
      <c r="AE1145">
        <v>0</v>
      </c>
      <c r="AF1145">
        <v>0.25</v>
      </c>
      <c r="AG1145">
        <v>876</v>
      </c>
      <c r="AH1145">
        <v>0</v>
      </c>
    </row>
    <row r="1146" spans="1:34" x14ac:dyDescent="0.35">
      <c r="A1146" t="s">
        <v>34</v>
      </c>
      <c r="B1146" s="1">
        <v>46146.65625</v>
      </c>
      <c r="C1146" t="s">
        <v>34</v>
      </c>
      <c r="D1146" s="1">
        <v>46150.625</v>
      </c>
      <c r="E1146">
        <v>6280</v>
      </c>
      <c r="F1146" t="s">
        <v>36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193</v>
      </c>
      <c r="M1146">
        <v>0.15</v>
      </c>
      <c r="N1146">
        <v>478</v>
      </c>
      <c r="O1146">
        <v>0.25</v>
      </c>
      <c r="P1146">
        <v>0</v>
      </c>
      <c r="Q1146">
        <v>0</v>
      </c>
      <c r="R1146">
        <v>0</v>
      </c>
      <c r="S1146">
        <v>0</v>
      </c>
      <c r="T1146">
        <v>0.45910000000000001</v>
      </c>
      <c r="U1146">
        <v>-2.0999999999999999E-3</v>
      </c>
      <c r="V1146">
        <v>0</v>
      </c>
      <c r="W1146">
        <v>-0.16420000000000001</v>
      </c>
      <c r="X1146">
        <v>5.1799999999999999E-2</v>
      </c>
      <c r="Y1146">
        <v>-1.6000000000000001E-3</v>
      </c>
      <c r="Z1146">
        <v>196</v>
      </c>
      <c r="AA1146">
        <v>0.1</v>
      </c>
      <c r="AB1146">
        <v>160</v>
      </c>
      <c r="AC1146">
        <v>0.25</v>
      </c>
      <c r="AD1146">
        <v>0</v>
      </c>
      <c r="AE1146">
        <v>0</v>
      </c>
      <c r="AF1146">
        <v>0</v>
      </c>
      <c r="AG1146">
        <v>37</v>
      </c>
      <c r="AH1146">
        <v>0</v>
      </c>
    </row>
    <row r="1147" spans="1:34" x14ac:dyDescent="0.35">
      <c r="A1147" t="s">
        <v>34</v>
      </c>
      <c r="B1147" s="1">
        <v>46146.65625</v>
      </c>
      <c r="C1147" t="s">
        <v>34</v>
      </c>
      <c r="D1147" s="1">
        <v>46150.625</v>
      </c>
      <c r="E1147">
        <v>6290</v>
      </c>
      <c r="F1147" t="s">
        <v>36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326</v>
      </c>
      <c r="M1147">
        <v>0.15</v>
      </c>
      <c r="N1147">
        <v>505</v>
      </c>
      <c r="O1147">
        <v>0.25</v>
      </c>
      <c r="P1147">
        <v>0</v>
      </c>
      <c r="Q1147">
        <v>0</v>
      </c>
      <c r="R1147">
        <v>0</v>
      </c>
      <c r="S1147">
        <v>0</v>
      </c>
      <c r="T1147">
        <v>0.45419999999999999</v>
      </c>
      <c r="U1147">
        <v>-2.0999999999999999E-3</v>
      </c>
      <c r="V1147">
        <v>0</v>
      </c>
      <c r="W1147">
        <v>-0.1641</v>
      </c>
      <c r="X1147">
        <v>5.2299999999999999E-2</v>
      </c>
      <c r="Y1147">
        <v>-1.6000000000000001E-3</v>
      </c>
      <c r="Z1147">
        <v>197</v>
      </c>
      <c r="AA1147">
        <v>0.1</v>
      </c>
      <c r="AB1147">
        <v>146</v>
      </c>
      <c r="AC1147">
        <v>0.25</v>
      </c>
      <c r="AD1147">
        <v>0</v>
      </c>
      <c r="AE1147">
        <v>0</v>
      </c>
      <c r="AF1147">
        <v>0</v>
      </c>
      <c r="AG1147">
        <v>204</v>
      </c>
      <c r="AH1147">
        <v>0</v>
      </c>
    </row>
    <row r="1148" spans="1:34" x14ac:dyDescent="0.35">
      <c r="A1148" t="s">
        <v>34</v>
      </c>
      <c r="B1148" s="1">
        <v>46146.65625</v>
      </c>
      <c r="C1148" t="s">
        <v>34</v>
      </c>
      <c r="D1148" s="1">
        <v>46150.625</v>
      </c>
      <c r="E1148">
        <v>6300</v>
      </c>
      <c r="F1148" t="s">
        <v>36</v>
      </c>
      <c r="G1148">
        <v>0.23</v>
      </c>
      <c r="H1148">
        <v>0.23</v>
      </c>
      <c r="I1148">
        <v>0.15</v>
      </c>
      <c r="J1148">
        <v>0.15</v>
      </c>
      <c r="K1148">
        <v>3</v>
      </c>
      <c r="L1148">
        <v>439</v>
      </c>
      <c r="M1148">
        <v>0.15</v>
      </c>
      <c r="N1148">
        <v>397</v>
      </c>
      <c r="O1148">
        <v>0.25</v>
      </c>
      <c r="P1148">
        <v>0</v>
      </c>
      <c r="Q1148">
        <v>0</v>
      </c>
      <c r="R1148">
        <v>0</v>
      </c>
      <c r="S1148">
        <v>0</v>
      </c>
      <c r="T1148">
        <v>0.44979999999999998</v>
      </c>
      <c r="U1148">
        <v>-2.0999999999999999E-3</v>
      </c>
      <c r="V1148">
        <v>0</v>
      </c>
      <c r="W1148">
        <v>-0.16400000000000001</v>
      </c>
      <c r="X1148">
        <v>5.28E-2</v>
      </c>
      <c r="Y1148">
        <v>-1.6000000000000001E-3</v>
      </c>
      <c r="Z1148">
        <v>134</v>
      </c>
      <c r="AA1148">
        <v>0.15</v>
      </c>
      <c r="AB1148">
        <v>130</v>
      </c>
      <c r="AC1148">
        <v>0.25</v>
      </c>
      <c r="AD1148">
        <v>0</v>
      </c>
      <c r="AE1148">
        <v>0</v>
      </c>
      <c r="AF1148">
        <v>0.2</v>
      </c>
      <c r="AG1148">
        <v>2155</v>
      </c>
      <c r="AH1148">
        <v>0</v>
      </c>
    </row>
    <row r="1149" spans="1:34" x14ac:dyDescent="0.35">
      <c r="A1149" t="s">
        <v>34</v>
      </c>
      <c r="B1149" s="1">
        <v>46146.65625</v>
      </c>
      <c r="C1149" t="s">
        <v>34</v>
      </c>
      <c r="D1149" s="1">
        <v>46150.625</v>
      </c>
      <c r="E1149">
        <v>6310</v>
      </c>
      <c r="F1149" t="s">
        <v>36</v>
      </c>
      <c r="G1149">
        <v>0.25</v>
      </c>
      <c r="H1149">
        <v>0.25</v>
      </c>
      <c r="I1149">
        <v>0.25</v>
      </c>
      <c r="J1149">
        <v>0.25</v>
      </c>
      <c r="K1149">
        <v>6</v>
      </c>
      <c r="L1149">
        <v>375</v>
      </c>
      <c r="M1149">
        <v>0.15</v>
      </c>
      <c r="N1149">
        <v>263</v>
      </c>
      <c r="O1149">
        <v>0.25</v>
      </c>
      <c r="P1149">
        <v>0</v>
      </c>
      <c r="Q1149">
        <v>0</v>
      </c>
      <c r="R1149">
        <v>0</v>
      </c>
      <c r="S1149">
        <v>0</v>
      </c>
      <c r="T1149">
        <v>0.44490000000000002</v>
      </c>
      <c r="U1149">
        <v>-2.2000000000000001E-3</v>
      </c>
      <c r="V1149">
        <v>0</v>
      </c>
      <c r="W1149">
        <v>-0.16389999999999999</v>
      </c>
      <c r="X1149">
        <v>5.33E-2</v>
      </c>
      <c r="Y1149">
        <v>-1.6000000000000001E-3</v>
      </c>
      <c r="Z1149">
        <v>76</v>
      </c>
      <c r="AA1149">
        <v>0.15</v>
      </c>
      <c r="AB1149">
        <v>118</v>
      </c>
      <c r="AC1149">
        <v>0.25</v>
      </c>
      <c r="AD1149">
        <v>0</v>
      </c>
      <c r="AE1149">
        <v>0</v>
      </c>
      <c r="AF1149">
        <v>0.25</v>
      </c>
      <c r="AG1149">
        <v>291</v>
      </c>
      <c r="AH1149">
        <v>0</v>
      </c>
    </row>
    <row r="1150" spans="1:34" x14ac:dyDescent="0.35">
      <c r="A1150" t="s">
        <v>34</v>
      </c>
      <c r="B1150" s="1">
        <v>46146.65625</v>
      </c>
      <c r="C1150" t="s">
        <v>34</v>
      </c>
      <c r="D1150" s="1">
        <v>46150.625</v>
      </c>
      <c r="E1150">
        <v>6320</v>
      </c>
      <c r="F1150" t="s">
        <v>36</v>
      </c>
      <c r="G1150">
        <v>0.25</v>
      </c>
      <c r="H1150">
        <v>0.25</v>
      </c>
      <c r="I1150">
        <v>0.25</v>
      </c>
      <c r="J1150">
        <v>0.25</v>
      </c>
      <c r="K1150">
        <v>3</v>
      </c>
      <c r="L1150">
        <v>20</v>
      </c>
      <c r="M1150">
        <v>0.2</v>
      </c>
      <c r="N1150">
        <v>117</v>
      </c>
      <c r="O1150">
        <v>0.25</v>
      </c>
      <c r="P1150">
        <v>0</v>
      </c>
      <c r="Q1150">
        <v>0</v>
      </c>
      <c r="R1150">
        <v>0</v>
      </c>
      <c r="S1150">
        <v>0</v>
      </c>
      <c r="T1150">
        <v>0.44479999999999997</v>
      </c>
      <c r="U1150">
        <v>-2.3999999999999998E-3</v>
      </c>
      <c r="V1150">
        <v>0</v>
      </c>
      <c r="W1150">
        <v>-0.18310000000000001</v>
      </c>
      <c r="X1150">
        <v>5.8599999999999999E-2</v>
      </c>
      <c r="Y1150">
        <v>-1.8E-3</v>
      </c>
      <c r="Z1150">
        <v>20</v>
      </c>
      <c r="AA1150">
        <v>0.2</v>
      </c>
      <c r="AB1150">
        <v>116</v>
      </c>
      <c r="AC1150">
        <v>0.25</v>
      </c>
      <c r="AD1150">
        <v>0</v>
      </c>
      <c r="AE1150">
        <v>0</v>
      </c>
      <c r="AF1150">
        <v>0.25</v>
      </c>
      <c r="AG1150">
        <v>216</v>
      </c>
      <c r="AH1150">
        <v>0</v>
      </c>
    </row>
    <row r="1151" spans="1:34" x14ac:dyDescent="0.35">
      <c r="A1151" t="s">
        <v>34</v>
      </c>
      <c r="B1151" s="1">
        <v>46146.65625</v>
      </c>
      <c r="C1151" t="s">
        <v>34</v>
      </c>
      <c r="D1151" s="1">
        <v>46150.625</v>
      </c>
      <c r="E1151">
        <v>6325</v>
      </c>
      <c r="F1151" t="s">
        <v>36</v>
      </c>
      <c r="G1151">
        <v>0.2</v>
      </c>
      <c r="H1151">
        <v>0.25</v>
      </c>
      <c r="I1151">
        <v>0.2</v>
      </c>
      <c r="J1151">
        <v>0.25</v>
      </c>
      <c r="K1151">
        <v>3</v>
      </c>
      <c r="L1151">
        <v>422</v>
      </c>
      <c r="M1151">
        <v>0.15</v>
      </c>
      <c r="N1151">
        <v>105</v>
      </c>
      <c r="O1151">
        <v>0.25</v>
      </c>
      <c r="P1151">
        <v>0</v>
      </c>
      <c r="Q1151">
        <v>0</v>
      </c>
      <c r="R1151">
        <v>0</v>
      </c>
      <c r="S1151">
        <v>0</v>
      </c>
      <c r="T1151">
        <v>0.43759999999999999</v>
      </c>
      <c r="U1151">
        <v>-2.2000000000000001E-3</v>
      </c>
      <c r="V1151">
        <v>0</v>
      </c>
      <c r="W1151">
        <v>-0.1638</v>
      </c>
      <c r="X1151">
        <v>5.4100000000000002E-2</v>
      </c>
      <c r="Y1151">
        <v>-1.6999999999999999E-3</v>
      </c>
      <c r="Z1151">
        <v>187</v>
      </c>
      <c r="AA1151">
        <v>0.15</v>
      </c>
      <c r="AB1151">
        <v>127</v>
      </c>
      <c r="AC1151">
        <v>0.25</v>
      </c>
      <c r="AD1151">
        <v>0</v>
      </c>
      <c r="AE1151">
        <v>0</v>
      </c>
      <c r="AF1151">
        <v>0.23330000000000001</v>
      </c>
      <c r="AG1151">
        <v>683</v>
      </c>
      <c r="AH1151">
        <v>0</v>
      </c>
    </row>
    <row r="1152" spans="1:34" x14ac:dyDescent="0.35">
      <c r="A1152" t="s">
        <v>34</v>
      </c>
      <c r="B1152" s="1">
        <v>46146.65625</v>
      </c>
      <c r="C1152" t="s">
        <v>34</v>
      </c>
      <c r="D1152" s="1">
        <v>46150.625</v>
      </c>
      <c r="E1152">
        <v>6330</v>
      </c>
      <c r="F1152" t="s">
        <v>36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43</v>
      </c>
      <c r="M1152">
        <v>0.2</v>
      </c>
      <c r="N1152">
        <v>85</v>
      </c>
      <c r="O1152">
        <v>0.25</v>
      </c>
      <c r="P1152">
        <v>0</v>
      </c>
      <c r="Q1152">
        <v>0</v>
      </c>
      <c r="R1152">
        <v>0</v>
      </c>
      <c r="S1152">
        <v>0</v>
      </c>
      <c r="T1152">
        <v>0.43990000000000001</v>
      </c>
      <c r="U1152">
        <v>-2.3999999999999998E-3</v>
      </c>
      <c r="V1152">
        <v>0</v>
      </c>
      <c r="W1152">
        <v>-0.183</v>
      </c>
      <c r="X1152">
        <v>5.9200000000000003E-2</v>
      </c>
      <c r="Y1152">
        <v>-1.8E-3</v>
      </c>
      <c r="Z1152">
        <v>188</v>
      </c>
      <c r="AA1152">
        <v>0.15</v>
      </c>
      <c r="AB1152">
        <v>216</v>
      </c>
      <c r="AC1152">
        <v>0.3</v>
      </c>
      <c r="AD1152">
        <v>0</v>
      </c>
      <c r="AE1152">
        <v>0</v>
      </c>
      <c r="AF1152">
        <v>0</v>
      </c>
      <c r="AG1152">
        <v>56</v>
      </c>
      <c r="AH1152">
        <v>0</v>
      </c>
    </row>
    <row r="1153" spans="1:34" x14ac:dyDescent="0.35">
      <c r="A1153" t="s">
        <v>34</v>
      </c>
      <c r="B1153" s="1">
        <v>46146.65625</v>
      </c>
      <c r="C1153" t="s">
        <v>34</v>
      </c>
      <c r="D1153" s="1">
        <v>46150.625</v>
      </c>
      <c r="E1153">
        <v>6340</v>
      </c>
      <c r="F1153" t="s">
        <v>36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124</v>
      </c>
      <c r="M1153">
        <v>0.2</v>
      </c>
      <c r="N1153">
        <v>430</v>
      </c>
      <c r="O1153">
        <v>0.3</v>
      </c>
      <c r="P1153">
        <v>0</v>
      </c>
      <c r="Q1153">
        <v>0</v>
      </c>
      <c r="R1153">
        <v>0</v>
      </c>
      <c r="S1153">
        <v>0</v>
      </c>
      <c r="T1153">
        <v>0.43459999999999999</v>
      </c>
      <c r="U1153">
        <v>-2.3999999999999998E-3</v>
      </c>
      <c r="V1153">
        <v>0</v>
      </c>
      <c r="W1153">
        <v>-0.18279999999999999</v>
      </c>
      <c r="X1153">
        <v>5.9900000000000002E-2</v>
      </c>
      <c r="Y1153">
        <v>-1.9E-3</v>
      </c>
      <c r="Z1153">
        <v>187</v>
      </c>
      <c r="AA1153">
        <v>0.15</v>
      </c>
      <c r="AB1153">
        <v>1</v>
      </c>
      <c r="AC1153">
        <v>0.25</v>
      </c>
      <c r="AD1153">
        <v>0</v>
      </c>
      <c r="AE1153">
        <v>0</v>
      </c>
      <c r="AF1153">
        <v>0</v>
      </c>
      <c r="AG1153">
        <v>88</v>
      </c>
      <c r="AH1153">
        <v>0</v>
      </c>
    </row>
    <row r="1154" spans="1:34" x14ac:dyDescent="0.35">
      <c r="A1154" t="s">
        <v>34</v>
      </c>
      <c r="B1154" s="1">
        <v>46146.65625</v>
      </c>
      <c r="C1154" t="s">
        <v>34</v>
      </c>
      <c r="D1154" s="1">
        <v>46150.625</v>
      </c>
      <c r="E1154">
        <v>6350</v>
      </c>
      <c r="F1154" t="s">
        <v>36</v>
      </c>
      <c r="G1154">
        <v>0.25</v>
      </c>
      <c r="H1154">
        <v>0.4</v>
      </c>
      <c r="I1154">
        <v>0.2</v>
      </c>
      <c r="J1154">
        <v>0.23</v>
      </c>
      <c r="K1154">
        <v>128</v>
      </c>
      <c r="L1154">
        <v>171</v>
      </c>
      <c r="M1154">
        <v>0.2</v>
      </c>
      <c r="N1154">
        <v>441</v>
      </c>
      <c r="O1154">
        <v>0.3</v>
      </c>
      <c r="P1154">
        <v>0</v>
      </c>
      <c r="Q1154">
        <v>0</v>
      </c>
      <c r="R1154">
        <v>0</v>
      </c>
      <c r="S1154">
        <v>0</v>
      </c>
      <c r="T1154">
        <v>0.43409999999999999</v>
      </c>
      <c r="U1154">
        <v>-2.7000000000000001E-3</v>
      </c>
      <c r="V1154">
        <v>0</v>
      </c>
      <c r="W1154">
        <v>-0.20180000000000001</v>
      </c>
      <c r="X1154">
        <v>6.5299999999999997E-2</v>
      </c>
      <c r="Y1154">
        <v>-2.0999999999999999E-3</v>
      </c>
      <c r="Z1154">
        <v>201</v>
      </c>
      <c r="AA1154">
        <v>0.15</v>
      </c>
      <c r="AB1154">
        <v>1</v>
      </c>
      <c r="AC1154">
        <v>0.25</v>
      </c>
      <c r="AD1154">
        <v>0</v>
      </c>
      <c r="AE1154">
        <v>0</v>
      </c>
      <c r="AF1154">
        <v>0.2462</v>
      </c>
      <c r="AG1154">
        <v>1591</v>
      </c>
      <c r="AH1154">
        <v>0</v>
      </c>
    </row>
    <row r="1155" spans="1:34" x14ac:dyDescent="0.35">
      <c r="A1155" t="s">
        <v>34</v>
      </c>
      <c r="B1155" s="1">
        <v>46146.65625</v>
      </c>
      <c r="C1155" t="s">
        <v>34</v>
      </c>
      <c r="D1155" s="1">
        <v>46150.625</v>
      </c>
      <c r="E1155">
        <v>6360</v>
      </c>
      <c r="F1155" t="s">
        <v>36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188</v>
      </c>
      <c r="M1155">
        <v>0.2</v>
      </c>
      <c r="N1155">
        <v>543</v>
      </c>
      <c r="O1155">
        <v>0.3</v>
      </c>
      <c r="P1155">
        <v>0</v>
      </c>
      <c r="Q1155">
        <v>0</v>
      </c>
      <c r="R1155">
        <v>0</v>
      </c>
      <c r="S1155">
        <v>0</v>
      </c>
      <c r="T1155">
        <v>0.42920000000000003</v>
      </c>
      <c r="U1155">
        <v>-2.7000000000000001E-3</v>
      </c>
      <c r="V1155">
        <v>0</v>
      </c>
      <c r="W1155">
        <v>-0.2016</v>
      </c>
      <c r="X1155">
        <v>6.6000000000000003E-2</v>
      </c>
      <c r="Y1155">
        <v>-2.0999999999999999E-3</v>
      </c>
      <c r="Z1155">
        <v>188</v>
      </c>
      <c r="AA1155">
        <v>0.15</v>
      </c>
      <c r="AB1155">
        <v>176</v>
      </c>
      <c r="AC1155">
        <v>0.3</v>
      </c>
      <c r="AD1155">
        <v>0</v>
      </c>
      <c r="AE1155">
        <v>0</v>
      </c>
      <c r="AF1155">
        <v>0</v>
      </c>
      <c r="AG1155">
        <v>27</v>
      </c>
      <c r="AH1155">
        <v>0</v>
      </c>
    </row>
    <row r="1156" spans="1:34" x14ac:dyDescent="0.35">
      <c r="A1156" t="s">
        <v>34</v>
      </c>
      <c r="B1156" s="1">
        <v>46146.65625</v>
      </c>
      <c r="C1156" t="s">
        <v>34</v>
      </c>
      <c r="D1156" s="1">
        <v>46150.625</v>
      </c>
      <c r="E1156">
        <v>6370</v>
      </c>
      <c r="F1156" t="s">
        <v>36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319</v>
      </c>
      <c r="M1156">
        <v>0.2</v>
      </c>
      <c r="N1156">
        <v>415</v>
      </c>
      <c r="O1156">
        <v>0.3</v>
      </c>
      <c r="P1156">
        <v>0</v>
      </c>
      <c r="Q1156">
        <v>0</v>
      </c>
      <c r="R1156">
        <v>0</v>
      </c>
      <c r="S1156">
        <v>0</v>
      </c>
      <c r="T1156">
        <v>0.42420000000000002</v>
      </c>
      <c r="U1156">
        <v>-2.8E-3</v>
      </c>
      <c r="V1156">
        <v>0</v>
      </c>
      <c r="W1156">
        <v>-0.20150000000000001</v>
      </c>
      <c r="X1156">
        <v>6.6699999999999995E-2</v>
      </c>
      <c r="Y1156">
        <v>-2.0999999999999999E-3</v>
      </c>
      <c r="Z1156">
        <v>188</v>
      </c>
      <c r="AA1156">
        <v>0.15</v>
      </c>
      <c r="AB1156">
        <v>157</v>
      </c>
      <c r="AC1156">
        <v>0.3</v>
      </c>
      <c r="AD1156">
        <v>0</v>
      </c>
      <c r="AE1156">
        <v>0</v>
      </c>
      <c r="AF1156">
        <v>0</v>
      </c>
      <c r="AG1156">
        <v>96</v>
      </c>
      <c r="AH1156">
        <v>0</v>
      </c>
    </row>
    <row r="1157" spans="1:34" x14ac:dyDescent="0.35">
      <c r="A1157" t="s">
        <v>34</v>
      </c>
      <c r="B1157" s="1">
        <v>46146.65625</v>
      </c>
      <c r="C1157" t="s">
        <v>34</v>
      </c>
      <c r="D1157" s="1">
        <v>46150.625</v>
      </c>
      <c r="E1157">
        <v>6375</v>
      </c>
      <c r="F1157" t="s">
        <v>36</v>
      </c>
      <c r="G1157">
        <v>0.24</v>
      </c>
      <c r="H1157">
        <v>0.35</v>
      </c>
      <c r="I1157">
        <v>0.24</v>
      </c>
      <c r="J1157">
        <v>0.28999999999999998</v>
      </c>
      <c r="K1157">
        <v>9</v>
      </c>
      <c r="L1157">
        <v>356</v>
      </c>
      <c r="M1157">
        <v>0.2</v>
      </c>
      <c r="N1157">
        <v>271</v>
      </c>
      <c r="O1157">
        <v>0.3</v>
      </c>
      <c r="P1157">
        <v>0</v>
      </c>
      <c r="Q1157">
        <v>0</v>
      </c>
      <c r="R1157">
        <v>0</v>
      </c>
      <c r="S1157">
        <v>0</v>
      </c>
      <c r="T1157">
        <v>0.42170000000000002</v>
      </c>
      <c r="U1157">
        <v>-2.8E-3</v>
      </c>
      <c r="V1157">
        <v>0</v>
      </c>
      <c r="W1157">
        <v>-0.2014</v>
      </c>
      <c r="X1157">
        <v>6.7100000000000007E-2</v>
      </c>
      <c r="Y1157">
        <v>-2.0999999999999999E-3</v>
      </c>
      <c r="Z1157">
        <v>202</v>
      </c>
      <c r="AA1157">
        <v>0.15</v>
      </c>
      <c r="AB1157">
        <v>156</v>
      </c>
      <c r="AC1157">
        <v>0.3</v>
      </c>
      <c r="AD1157">
        <v>0</v>
      </c>
      <c r="AE1157">
        <v>0</v>
      </c>
      <c r="AF1157">
        <v>0.25779999999999997</v>
      </c>
      <c r="AG1157">
        <v>364</v>
      </c>
      <c r="AH1157">
        <v>0</v>
      </c>
    </row>
    <row r="1158" spans="1:34" x14ac:dyDescent="0.35">
      <c r="A1158" t="s">
        <v>34</v>
      </c>
      <c r="B1158" s="1">
        <v>46146.65625</v>
      </c>
      <c r="C1158" t="s">
        <v>34</v>
      </c>
      <c r="D1158" s="1">
        <v>46150.625</v>
      </c>
      <c r="E1158">
        <v>6380</v>
      </c>
      <c r="F1158" t="s">
        <v>36</v>
      </c>
      <c r="G1158">
        <v>0.4</v>
      </c>
      <c r="H1158">
        <v>0.4</v>
      </c>
      <c r="I1158">
        <v>0.3</v>
      </c>
      <c r="J1158">
        <v>0.3</v>
      </c>
      <c r="K1158">
        <v>2</v>
      </c>
      <c r="L1158">
        <v>352</v>
      </c>
      <c r="M1158">
        <v>0.2</v>
      </c>
      <c r="N1158">
        <v>257</v>
      </c>
      <c r="O1158">
        <v>0.3</v>
      </c>
      <c r="P1158">
        <v>0</v>
      </c>
      <c r="Q1158">
        <v>0</v>
      </c>
      <c r="R1158">
        <v>0</v>
      </c>
      <c r="S1158">
        <v>0</v>
      </c>
      <c r="T1158">
        <v>0.41970000000000002</v>
      </c>
      <c r="U1158">
        <v>-2.8E-3</v>
      </c>
      <c r="V1158">
        <v>0</v>
      </c>
      <c r="W1158">
        <v>-0.2014</v>
      </c>
      <c r="X1158">
        <v>6.7400000000000002E-2</v>
      </c>
      <c r="Y1158">
        <v>-2.0999999999999999E-3</v>
      </c>
      <c r="Z1158">
        <v>189</v>
      </c>
      <c r="AA1158">
        <v>0.15</v>
      </c>
      <c r="AB1158">
        <v>144</v>
      </c>
      <c r="AC1158">
        <v>0.3</v>
      </c>
      <c r="AD1158">
        <v>0</v>
      </c>
      <c r="AE1158">
        <v>0</v>
      </c>
      <c r="AF1158">
        <v>0.35</v>
      </c>
      <c r="AG1158">
        <v>126</v>
      </c>
      <c r="AH1158">
        <v>0</v>
      </c>
    </row>
    <row r="1159" spans="1:34" x14ac:dyDescent="0.35">
      <c r="A1159" t="s">
        <v>34</v>
      </c>
      <c r="B1159" s="1">
        <v>46146.65625</v>
      </c>
      <c r="C1159" t="s">
        <v>34</v>
      </c>
      <c r="D1159" s="1">
        <v>46150.625</v>
      </c>
      <c r="E1159">
        <v>6390</v>
      </c>
      <c r="F1159" t="s">
        <v>36</v>
      </c>
      <c r="G1159">
        <v>0.27</v>
      </c>
      <c r="H1159">
        <v>0.3</v>
      </c>
      <c r="I1159">
        <v>0.27</v>
      </c>
      <c r="J1159">
        <v>0.3</v>
      </c>
      <c r="K1159">
        <v>4</v>
      </c>
      <c r="L1159">
        <v>376</v>
      </c>
      <c r="M1159">
        <v>0.2</v>
      </c>
      <c r="N1159">
        <v>115</v>
      </c>
      <c r="O1159">
        <v>0.3</v>
      </c>
      <c r="P1159">
        <v>0</v>
      </c>
      <c r="Q1159">
        <v>0</v>
      </c>
      <c r="R1159">
        <v>0</v>
      </c>
      <c r="S1159">
        <v>0</v>
      </c>
      <c r="T1159">
        <v>0.4148</v>
      </c>
      <c r="U1159">
        <v>-2.8E-3</v>
      </c>
      <c r="V1159">
        <v>0</v>
      </c>
      <c r="W1159">
        <v>-0.20119999999999999</v>
      </c>
      <c r="X1159">
        <v>6.8099999999999994E-2</v>
      </c>
      <c r="Y1159">
        <v>-2.0999999999999999E-3</v>
      </c>
      <c r="Z1159">
        <v>68</v>
      </c>
      <c r="AA1159">
        <v>0.2</v>
      </c>
      <c r="AB1159">
        <v>142</v>
      </c>
      <c r="AC1159">
        <v>0.3</v>
      </c>
      <c r="AD1159">
        <v>0</v>
      </c>
      <c r="AE1159">
        <v>0</v>
      </c>
      <c r="AF1159">
        <v>0.27750000000000002</v>
      </c>
      <c r="AG1159">
        <v>28</v>
      </c>
      <c r="AH1159">
        <v>0</v>
      </c>
    </row>
    <row r="1160" spans="1:34" x14ac:dyDescent="0.35">
      <c r="A1160" t="s">
        <v>34</v>
      </c>
      <c r="B1160" s="1">
        <v>46146.65625</v>
      </c>
      <c r="C1160" t="s">
        <v>34</v>
      </c>
      <c r="D1160" s="1">
        <v>46150.625</v>
      </c>
      <c r="E1160">
        <v>6400</v>
      </c>
      <c r="F1160" t="s">
        <v>36</v>
      </c>
      <c r="G1160">
        <v>0.25</v>
      </c>
      <c r="H1160">
        <v>0.3</v>
      </c>
      <c r="I1160">
        <v>0.25</v>
      </c>
      <c r="J1160">
        <v>0.3</v>
      </c>
      <c r="K1160">
        <v>112</v>
      </c>
      <c r="L1160">
        <v>58</v>
      </c>
      <c r="M1160">
        <v>0.25</v>
      </c>
      <c r="N1160">
        <v>84</v>
      </c>
      <c r="O1160">
        <v>0.3</v>
      </c>
      <c r="P1160">
        <v>0</v>
      </c>
      <c r="Q1160">
        <v>0</v>
      </c>
      <c r="R1160">
        <v>0</v>
      </c>
      <c r="S1160">
        <v>0</v>
      </c>
      <c r="T1160">
        <v>0.40989999999999999</v>
      </c>
      <c r="U1160">
        <v>-2.8E-3</v>
      </c>
      <c r="V1160">
        <v>0</v>
      </c>
      <c r="W1160">
        <v>-0.2011</v>
      </c>
      <c r="X1160">
        <v>6.8900000000000003E-2</v>
      </c>
      <c r="Y1160">
        <v>-2.2000000000000001E-3</v>
      </c>
      <c r="Z1160">
        <v>97</v>
      </c>
      <c r="AA1160">
        <v>0.2</v>
      </c>
      <c r="AB1160">
        <v>154</v>
      </c>
      <c r="AC1160">
        <v>0.3</v>
      </c>
      <c r="AD1160">
        <v>0</v>
      </c>
      <c r="AE1160">
        <v>0</v>
      </c>
      <c r="AF1160">
        <v>0.2545</v>
      </c>
      <c r="AG1160">
        <v>2316</v>
      </c>
      <c r="AH1160">
        <v>0</v>
      </c>
    </row>
    <row r="1161" spans="1:34" x14ac:dyDescent="0.35">
      <c r="A1161" t="s">
        <v>34</v>
      </c>
      <c r="B1161" s="1">
        <v>46146.65625</v>
      </c>
      <c r="C1161" t="s">
        <v>34</v>
      </c>
      <c r="D1161" s="1">
        <v>46150.625</v>
      </c>
      <c r="E1161">
        <v>6410</v>
      </c>
      <c r="F1161" t="s">
        <v>36</v>
      </c>
      <c r="G1161">
        <v>0.3</v>
      </c>
      <c r="H1161">
        <v>0.3</v>
      </c>
      <c r="I1161">
        <v>0.3</v>
      </c>
      <c r="J1161">
        <v>0.3</v>
      </c>
      <c r="K1161">
        <v>1</v>
      </c>
      <c r="L1161">
        <v>120</v>
      </c>
      <c r="M1161">
        <v>0.25</v>
      </c>
      <c r="N1161">
        <v>402</v>
      </c>
      <c r="O1161">
        <v>0.35</v>
      </c>
      <c r="P1161">
        <v>0</v>
      </c>
      <c r="Q1161">
        <v>0</v>
      </c>
      <c r="R1161">
        <v>0</v>
      </c>
      <c r="S1161">
        <v>0</v>
      </c>
      <c r="T1161">
        <v>0.41220000000000001</v>
      </c>
      <c r="U1161">
        <v>-3.3E-3</v>
      </c>
      <c r="V1161">
        <v>0</v>
      </c>
      <c r="W1161">
        <v>-0.2384</v>
      </c>
      <c r="X1161">
        <v>7.9500000000000001E-2</v>
      </c>
      <c r="Y1161">
        <v>-2.5999999999999999E-3</v>
      </c>
      <c r="Z1161">
        <v>98</v>
      </c>
      <c r="AA1161">
        <v>0.2</v>
      </c>
      <c r="AB1161">
        <v>175</v>
      </c>
      <c r="AC1161">
        <v>0.35</v>
      </c>
      <c r="AD1161">
        <v>0</v>
      </c>
      <c r="AE1161">
        <v>0</v>
      </c>
      <c r="AF1161">
        <v>0.3</v>
      </c>
      <c r="AG1161">
        <v>233</v>
      </c>
      <c r="AH1161">
        <v>0</v>
      </c>
    </row>
    <row r="1162" spans="1:34" x14ac:dyDescent="0.35">
      <c r="A1162" t="s">
        <v>34</v>
      </c>
      <c r="B1162" s="1">
        <v>46146.65625</v>
      </c>
      <c r="C1162" t="s">
        <v>34</v>
      </c>
      <c r="D1162" s="1">
        <v>46150.625</v>
      </c>
      <c r="E1162">
        <v>6420</v>
      </c>
      <c r="F1162" t="s">
        <v>36</v>
      </c>
      <c r="G1162">
        <v>0.3</v>
      </c>
      <c r="H1162">
        <v>0.3</v>
      </c>
      <c r="I1162">
        <v>0.3</v>
      </c>
      <c r="J1162">
        <v>0.3</v>
      </c>
      <c r="K1162">
        <v>2</v>
      </c>
      <c r="L1162">
        <v>135</v>
      </c>
      <c r="M1162">
        <v>0.25</v>
      </c>
      <c r="N1162">
        <v>503</v>
      </c>
      <c r="O1162">
        <v>0.35</v>
      </c>
      <c r="P1162">
        <v>0</v>
      </c>
      <c r="Q1162">
        <v>0</v>
      </c>
      <c r="R1162">
        <v>0</v>
      </c>
      <c r="S1162">
        <v>0</v>
      </c>
      <c r="T1162">
        <v>0.40689999999999998</v>
      </c>
      <c r="U1162">
        <v>-3.3999999999999998E-3</v>
      </c>
      <c r="V1162">
        <v>0</v>
      </c>
      <c r="W1162">
        <v>-0.2382</v>
      </c>
      <c r="X1162">
        <v>8.0399999999999999E-2</v>
      </c>
      <c r="Y1162">
        <v>-2.5999999999999999E-3</v>
      </c>
      <c r="Z1162">
        <v>182</v>
      </c>
      <c r="AA1162">
        <v>0.2</v>
      </c>
      <c r="AB1162">
        <v>177</v>
      </c>
      <c r="AC1162">
        <v>0.35</v>
      </c>
      <c r="AD1162">
        <v>0</v>
      </c>
      <c r="AE1162">
        <v>0</v>
      </c>
      <c r="AF1162">
        <v>0.3</v>
      </c>
      <c r="AG1162">
        <v>280</v>
      </c>
      <c r="AH1162">
        <v>0</v>
      </c>
    </row>
    <row r="1163" spans="1:34" x14ac:dyDescent="0.35">
      <c r="A1163" t="s">
        <v>34</v>
      </c>
      <c r="B1163" s="1">
        <v>46146.65625</v>
      </c>
      <c r="C1163" t="s">
        <v>34</v>
      </c>
      <c r="D1163" s="1">
        <v>46150.625</v>
      </c>
      <c r="E1163">
        <v>6425</v>
      </c>
      <c r="F1163" t="s">
        <v>36</v>
      </c>
      <c r="G1163">
        <v>0.25</v>
      </c>
      <c r="H1163">
        <v>0.5</v>
      </c>
      <c r="I1163">
        <v>0.25</v>
      </c>
      <c r="J1163">
        <v>0.5</v>
      </c>
      <c r="K1163">
        <v>5</v>
      </c>
      <c r="L1163">
        <v>199</v>
      </c>
      <c r="M1163">
        <v>0.25</v>
      </c>
      <c r="N1163">
        <v>537</v>
      </c>
      <c r="O1163">
        <v>0.35</v>
      </c>
      <c r="P1163">
        <v>0</v>
      </c>
      <c r="Q1163">
        <v>0</v>
      </c>
      <c r="R1163">
        <v>0</v>
      </c>
      <c r="S1163">
        <v>0</v>
      </c>
      <c r="T1163">
        <v>0.40460000000000002</v>
      </c>
      <c r="U1163">
        <v>-3.3999999999999998E-3</v>
      </c>
      <c r="V1163">
        <v>0</v>
      </c>
      <c r="W1163">
        <v>-0.23810000000000001</v>
      </c>
      <c r="X1163">
        <v>8.0799999999999997E-2</v>
      </c>
      <c r="Y1163">
        <v>-2.5999999999999999E-3</v>
      </c>
      <c r="Z1163">
        <v>194</v>
      </c>
      <c r="AA1163">
        <v>0.2</v>
      </c>
      <c r="AB1163">
        <v>187</v>
      </c>
      <c r="AC1163">
        <v>0.35</v>
      </c>
      <c r="AD1163">
        <v>0</v>
      </c>
      <c r="AE1163">
        <v>0</v>
      </c>
      <c r="AF1163">
        <v>0.3</v>
      </c>
      <c r="AG1163">
        <v>429</v>
      </c>
      <c r="AH1163">
        <v>0</v>
      </c>
    </row>
    <row r="1164" spans="1:34" x14ac:dyDescent="0.35">
      <c r="A1164" t="s">
        <v>34</v>
      </c>
      <c r="B1164" s="1">
        <v>46146.65625</v>
      </c>
      <c r="C1164" t="s">
        <v>34</v>
      </c>
      <c r="D1164" s="1">
        <v>46150.625</v>
      </c>
      <c r="E1164">
        <v>6430</v>
      </c>
      <c r="F1164" t="s">
        <v>36</v>
      </c>
      <c r="G1164">
        <v>0.3</v>
      </c>
      <c r="H1164">
        <v>0.3</v>
      </c>
      <c r="I1164">
        <v>0.3</v>
      </c>
      <c r="J1164">
        <v>0.3</v>
      </c>
      <c r="K1164">
        <v>1</v>
      </c>
      <c r="L1164">
        <v>183</v>
      </c>
      <c r="M1164">
        <v>0.25</v>
      </c>
      <c r="N1164">
        <v>493</v>
      </c>
      <c r="O1164">
        <v>0.35</v>
      </c>
      <c r="P1164">
        <v>0</v>
      </c>
      <c r="Q1164">
        <v>0</v>
      </c>
      <c r="R1164">
        <v>0</v>
      </c>
      <c r="S1164">
        <v>0</v>
      </c>
      <c r="T1164">
        <v>0.4022</v>
      </c>
      <c r="U1164">
        <v>-3.3999999999999998E-3</v>
      </c>
      <c r="V1164">
        <v>0</v>
      </c>
      <c r="W1164">
        <v>-0.23799999999999999</v>
      </c>
      <c r="X1164">
        <v>8.1299999999999997E-2</v>
      </c>
      <c r="Y1164">
        <v>-2.5999999999999999E-3</v>
      </c>
      <c r="Z1164">
        <v>182</v>
      </c>
      <c r="AA1164">
        <v>0.2</v>
      </c>
      <c r="AB1164">
        <v>173</v>
      </c>
      <c r="AC1164">
        <v>0.35</v>
      </c>
      <c r="AD1164">
        <v>0</v>
      </c>
      <c r="AE1164">
        <v>0</v>
      </c>
      <c r="AF1164">
        <v>0.3</v>
      </c>
      <c r="AG1164">
        <v>155</v>
      </c>
      <c r="AH1164">
        <v>0</v>
      </c>
    </row>
    <row r="1165" spans="1:34" x14ac:dyDescent="0.35">
      <c r="A1165" t="s">
        <v>34</v>
      </c>
      <c r="B1165" s="1">
        <v>46146.65625</v>
      </c>
      <c r="C1165" t="s">
        <v>34</v>
      </c>
      <c r="D1165" s="1">
        <v>46150.625</v>
      </c>
      <c r="E1165">
        <v>6440</v>
      </c>
      <c r="F1165" t="s">
        <v>36</v>
      </c>
      <c r="G1165">
        <v>0.3</v>
      </c>
      <c r="H1165">
        <v>0.3</v>
      </c>
      <c r="I1165">
        <v>0.3</v>
      </c>
      <c r="J1165">
        <v>0.3</v>
      </c>
      <c r="K1165">
        <v>1</v>
      </c>
      <c r="L1165">
        <v>373</v>
      </c>
      <c r="M1165">
        <v>0.25</v>
      </c>
      <c r="N1165">
        <v>234</v>
      </c>
      <c r="O1165">
        <v>0.35</v>
      </c>
      <c r="P1165">
        <v>0</v>
      </c>
      <c r="Q1165">
        <v>0</v>
      </c>
      <c r="R1165">
        <v>0</v>
      </c>
      <c r="S1165">
        <v>0</v>
      </c>
      <c r="T1165">
        <v>0.39689999999999998</v>
      </c>
      <c r="U1165">
        <v>-3.5000000000000001E-3</v>
      </c>
      <c r="V1165">
        <v>0</v>
      </c>
      <c r="W1165">
        <v>-0.23780000000000001</v>
      </c>
      <c r="X1165">
        <v>8.2299999999999998E-2</v>
      </c>
      <c r="Y1165">
        <v>-2.5999999999999999E-3</v>
      </c>
      <c r="Z1165">
        <v>182</v>
      </c>
      <c r="AA1165">
        <v>0.2</v>
      </c>
      <c r="AB1165">
        <v>156</v>
      </c>
      <c r="AC1165">
        <v>0.35</v>
      </c>
      <c r="AD1165">
        <v>0</v>
      </c>
      <c r="AE1165">
        <v>0</v>
      </c>
      <c r="AF1165">
        <v>0.3</v>
      </c>
      <c r="AG1165">
        <v>143</v>
      </c>
      <c r="AH1165">
        <v>0</v>
      </c>
    </row>
    <row r="1166" spans="1:34" x14ac:dyDescent="0.35">
      <c r="A1166" t="s">
        <v>34</v>
      </c>
      <c r="B1166" s="1">
        <v>46146.65625</v>
      </c>
      <c r="C1166" t="s">
        <v>34</v>
      </c>
      <c r="D1166" s="1">
        <v>46150.625</v>
      </c>
      <c r="E1166">
        <v>6450</v>
      </c>
      <c r="F1166" t="s">
        <v>36</v>
      </c>
      <c r="G1166">
        <v>0.25</v>
      </c>
      <c r="H1166">
        <v>0.45</v>
      </c>
      <c r="I1166">
        <v>0.25</v>
      </c>
      <c r="J1166">
        <v>0.3</v>
      </c>
      <c r="K1166">
        <v>32</v>
      </c>
      <c r="L1166">
        <v>399</v>
      </c>
      <c r="M1166">
        <v>0.25</v>
      </c>
      <c r="N1166">
        <v>176</v>
      </c>
      <c r="O1166">
        <v>0.35</v>
      </c>
      <c r="P1166">
        <v>0</v>
      </c>
      <c r="Q1166">
        <v>0</v>
      </c>
      <c r="R1166">
        <v>0</v>
      </c>
      <c r="S1166">
        <v>0</v>
      </c>
      <c r="T1166">
        <v>0.3921</v>
      </c>
      <c r="U1166">
        <v>-3.5000000000000001E-3</v>
      </c>
      <c r="V1166">
        <v>0</v>
      </c>
      <c r="W1166">
        <v>-0.23760000000000001</v>
      </c>
      <c r="X1166">
        <v>8.3199999999999996E-2</v>
      </c>
      <c r="Y1166">
        <v>-2.7000000000000001E-3</v>
      </c>
      <c r="Z1166">
        <v>196</v>
      </c>
      <c r="AA1166">
        <v>0.2</v>
      </c>
      <c r="AB1166">
        <v>154</v>
      </c>
      <c r="AC1166">
        <v>0.35</v>
      </c>
      <c r="AD1166">
        <v>0</v>
      </c>
      <c r="AE1166">
        <v>0</v>
      </c>
      <c r="AF1166">
        <v>0.41089999999999999</v>
      </c>
      <c r="AG1166">
        <v>1029</v>
      </c>
      <c r="AH1166">
        <v>0</v>
      </c>
    </row>
    <row r="1167" spans="1:34" x14ac:dyDescent="0.35">
      <c r="A1167" t="s">
        <v>34</v>
      </c>
      <c r="B1167" s="1">
        <v>46146.65625</v>
      </c>
      <c r="C1167" t="s">
        <v>34</v>
      </c>
      <c r="D1167" s="1">
        <v>46150.625</v>
      </c>
      <c r="E1167">
        <v>6460</v>
      </c>
      <c r="F1167" t="s">
        <v>36</v>
      </c>
      <c r="G1167">
        <v>0.45</v>
      </c>
      <c r="H1167">
        <v>0.5</v>
      </c>
      <c r="I1167">
        <v>0.3</v>
      </c>
      <c r="J1167">
        <v>0.3</v>
      </c>
      <c r="K1167">
        <v>11</v>
      </c>
      <c r="L1167">
        <v>35</v>
      </c>
      <c r="M1167">
        <v>0.3</v>
      </c>
      <c r="N1167">
        <v>76</v>
      </c>
      <c r="O1167">
        <v>0.35</v>
      </c>
      <c r="P1167">
        <v>0</v>
      </c>
      <c r="Q1167">
        <v>0</v>
      </c>
      <c r="R1167">
        <v>0</v>
      </c>
      <c r="S1167">
        <v>0</v>
      </c>
      <c r="T1167">
        <v>0.38740000000000002</v>
      </c>
      <c r="U1167">
        <v>-3.5000000000000001E-3</v>
      </c>
      <c r="V1167">
        <v>0</v>
      </c>
      <c r="W1167">
        <v>-0.2374</v>
      </c>
      <c r="X1167">
        <v>8.4099999999999994E-2</v>
      </c>
      <c r="Y1167">
        <v>-2.7000000000000001E-3</v>
      </c>
      <c r="Z1167">
        <v>184</v>
      </c>
      <c r="AA1167">
        <v>0.2</v>
      </c>
      <c r="AB1167">
        <v>140</v>
      </c>
      <c r="AC1167">
        <v>0.35</v>
      </c>
      <c r="AD1167">
        <v>0</v>
      </c>
      <c r="AE1167">
        <v>0</v>
      </c>
      <c r="AF1167">
        <v>0.40820000000000001</v>
      </c>
      <c r="AG1167">
        <v>117</v>
      </c>
      <c r="AH1167">
        <v>0</v>
      </c>
    </row>
    <row r="1168" spans="1:34" x14ac:dyDescent="0.35">
      <c r="A1168" t="s">
        <v>34</v>
      </c>
      <c r="B1168" s="1">
        <v>46146.65625</v>
      </c>
      <c r="C1168" t="s">
        <v>34</v>
      </c>
      <c r="D1168" s="1">
        <v>46150.625</v>
      </c>
      <c r="E1168">
        <v>6470</v>
      </c>
      <c r="F1168" t="s">
        <v>36</v>
      </c>
      <c r="G1168">
        <v>0.33</v>
      </c>
      <c r="H1168">
        <v>0.33</v>
      </c>
      <c r="I1168">
        <v>0.33</v>
      </c>
      <c r="J1168">
        <v>0.33</v>
      </c>
      <c r="K1168">
        <v>2</v>
      </c>
      <c r="L1168">
        <v>119</v>
      </c>
      <c r="M1168">
        <v>0.3</v>
      </c>
      <c r="N1168">
        <v>491</v>
      </c>
      <c r="O1168">
        <v>0.4</v>
      </c>
      <c r="P1168">
        <v>0</v>
      </c>
      <c r="Q1168">
        <v>0</v>
      </c>
      <c r="R1168">
        <v>0</v>
      </c>
      <c r="S1168">
        <v>0</v>
      </c>
      <c r="T1168">
        <v>0.38840000000000002</v>
      </c>
      <c r="U1168">
        <v>-4.1000000000000003E-3</v>
      </c>
      <c r="V1168">
        <v>0</v>
      </c>
      <c r="W1168">
        <v>-0.27389999999999998</v>
      </c>
      <c r="X1168">
        <v>9.4799999999999995E-2</v>
      </c>
      <c r="Y1168">
        <v>-3.0999999999999999E-3</v>
      </c>
      <c r="Z1168">
        <v>93</v>
      </c>
      <c r="AA1168">
        <v>0.25</v>
      </c>
      <c r="AB1168">
        <v>139</v>
      </c>
      <c r="AC1168">
        <v>0.35</v>
      </c>
      <c r="AD1168">
        <v>0</v>
      </c>
      <c r="AE1168">
        <v>0</v>
      </c>
      <c r="AF1168">
        <v>0.33</v>
      </c>
      <c r="AG1168">
        <v>516</v>
      </c>
      <c r="AH1168">
        <v>0</v>
      </c>
    </row>
    <row r="1169" spans="1:34" x14ac:dyDescent="0.35">
      <c r="A1169" t="s">
        <v>34</v>
      </c>
      <c r="B1169" s="1">
        <v>46146.65625</v>
      </c>
      <c r="C1169" t="s">
        <v>34</v>
      </c>
      <c r="D1169" s="1">
        <v>46150.625</v>
      </c>
      <c r="E1169">
        <v>6475</v>
      </c>
      <c r="F1169" t="s">
        <v>36</v>
      </c>
      <c r="G1169">
        <v>0.3</v>
      </c>
      <c r="H1169">
        <v>0.45</v>
      </c>
      <c r="I1169">
        <v>0.3</v>
      </c>
      <c r="J1169">
        <v>0.45</v>
      </c>
      <c r="K1169">
        <v>2</v>
      </c>
      <c r="L1169">
        <v>138</v>
      </c>
      <c r="M1169">
        <v>0.3</v>
      </c>
      <c r="N1169">
        <v>507</v>
      </c>
      <c r="O1169">
        <v>0.4</v>
      </c>
      <c r="P1169">
        <v>0</v>
      </c>
      <c r="Q1169">
        <v>0</v>
      </c>
      <c r="R1169">
        <v>0</v>
      </c>
      <c r="S1169">
        <v>0</v>
      </c>
      <c r="T1169">
        <v>0.38569999999999999</v>
      </c>
      <c r="U1169">
        <v>-4.1000000000000003E-3</v>
      </c>
      <c r="V1169">
        <v>0</v>
      </c>
      <c r="W1169">
        <v>-0.27379999999999999</v>
      </c>
      <c r="X1169">
        <v>9.5399999999999999E-2</v>
      </c>
      <c r="Y1169">
        <v>-3.0999999999999999E-3</v>
      </c>
      <c r="Z1169">
        <v>177</v>
      </c>
      <c r="AA1169">
        <v>0.25</v>
      </c>
      <c r="AB1169">
        <v>60</v>
      </c>
      <c r="AC1169">
        <v>0.35</v>
      </c>
      <c r="AD1169">
        <v>0</v>
      </c>
      <c r="AE1169">
        <v>0</v>
      </c>
      <c r="AF1169">
        <v>0.375</v>
      </c>
      <c r="AG1169">
        <v>587</v>
      </c>
      <c r="AH1169">
        <v>0</v>
      </c>
    </row>
    <row r="1170" spans="1:34" x14ac:dyDescent="0.35">
      <c r="A1170" t="s">
        <v>34</v>
      </c>
      <c r="B1170" s="1">
        <v>46146.65625</v>
      </c>
      <c r="C1170" t="s">
        <v>34</v>
      </c>
      <c r="D1170" s="1">
        <v>46150.625</v>
      </c>
      <c r="E1170">
        <v>6480</v>
      </c>
      <c r="F1170" t="s">
        <v>36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179</v>
      </c>
      <c r="M1170">
        <v>0.3</v>
      </c>
      <c r="N1170">
        <v>506</v>
      </c>
      <c r="O1170">
        <v>0.4</v>
      </c>
      <c r="P1170">
        <v>0</v>
      </c>
      <c r="Q1170">
        <v>0</v>
      </c>
      <c r="R1170">
        <v>0</v>
      </c>
      <c r="S1170">
        <v>0</v>
      </c>
      <c r="T1170">
        <v>0.38329999999999997</v>
      </c>
      <c r="U1170">
        <v>-4.1000000000000003E-3</v>
      </c>
      <c r="V1170">
        <v>0</v>
      </c>
      <c r="W1170">
        <v>-0.2737</v>
      </c>
      <c r="X1170">
        <v>9.5899999999999999E-2</v>
      </c>
      <c r="Y1170">
        <v>-3.0999999999999999E-3</v>
      </c>
      <c r="Z1170">
        <v>116</v>
      </c>
      <c r="AA1170">
        <v>0.25</v>
      </c>
      <c r="AB1170">
        <v>176</v>
      </c>
      <c r="AC1170">
        <v>0.4</v>
      </c>
      <c r="AD1170">
        <v>0</v>
      </c>
      <c r="AE1170">
        <v>0</v>
      </c>
      <c r="AF1170">
        <v>0</v>
      </c>
      <c r="AG1170">
        <v>641</v>
      </c>
      <c r="AH1170">
        <v>0</v>
      </c>
    </row>
    <row r="1171" spans="1:34" x14ac:dyDescent="0.35">
      <c r="A1171" t="s">
        <v>34</v>
      </c>
      <c r="B1171" s="1">
        <v>46146.65625</v>
      </c>
      <c r="C1171" t="s">
        <v>34</v>
      </c>
      <c r="D1171" s="1">
        <v>46150.625</v>
      </c>
      <c r="E1171">
        <v>6490</v>
      </c>
      <c r="F1171" t="s">
        <v>36</v>
      </c>
      <c r="G1171">
        <v>0.38</v>
      </c>
      <c r="H1171">
        <v>0.38</v>
      </c>
      <c r="I1171">
        <v>0.35</v>
      </c>
      <c r="J1171">
        <v>0.36</v>
      </c>
      <c r="K1171">
        <v>4</v>
      </c>
      <c r="L1171">
        <v>324</v>
      </c>
      <c r="M1171">
        <v>0.3</v>
      </c>
      <c r="N1171">
        <v>222</v>
      </c>
      <c r="O1171">
        <v>0.4</v>
      </c>
      <c r="P1171">
        <v>0</v>
      </c>
      <c r="Q1171">
        <v>0</v>
      </c>
      <c r="R1171">
        <v>0</v>
      </c>
      <c r="S1171">
        <v>0</v>
      </c>
      <c r="T1171">
        <v>0.37840000000000001</v>
      </c>
      <c r="U1171">
        <v>-4.1000000000000003E-3</v>
      </c>
      <c r="V1171">
        <v>0</v>
      </c>
      <c r="W1171">
        <v>-0.27339999999999998</v>
      </c>
      <c r="X1171">
        <v>9.7000000000000003E-2</v>
      </c>
      <c r="Y1171">
        <v>-3.2000000000000002E-3</v>
      </c>
      <c r="Z1171">
        <v>175</v>
      </c>
      <c r="AA1171">
        <v>0.25</v>
      </c>
      <c r="AB1171">
        <v>170</v>
      </c>
      <c r="AC1171">
        <v>0.4</v>
      </c>
      <c r="AD1171">
        <v>0</v>
      </c>
      <c r="AE1171">
        <v>0</v>
      </c>
      <c r="AF1171">
        <v>0.36749999999999999</v>
      </c>
      <c r="AG1171">
        <v>390</v>
      </c>
      <c r="AH1171">
        <v>0</v>
      </c>
    </row>
    <row r="1172" spans="1:34" x14ac:dyDescent="0.35">
      <c r="A1172" t="s">
        <v>34</v>
      </c>
      <c r="B1172" s="1">
        <v>46146.65625</v>
      </c>
      <c r="C1172" t="s">
        <v>34</v>
      </c>
      <c r="D1172" s="1">
        <v>46150.625</v>
      </c>
      <c r="E1172">
        <v>6500</v>
      </c>
      <c r="F1172" t="s">
        <v>36</v>
      </c>
      <c r="G1172">
        <v>0.4</v>
      </c>
      <c r="H1172">
        <v>0.65</v>
      </c>
      <c r="I1172">
        <v>0.3</v>
      </c>
      <c r="J1172">
        <v>0.35</v>
      </c>
      <c r="K1172">
        <v>345</v>
      </c>
      <c r="L1172">
        <v>404</v>
      </c>
      <c r="M1172">
        <v>0.3</v>
      </c>
      <c r="N1172">
        <v>169</v>
      </c>
      <c r="O1172">
        <v>0.4</v>
      </c>
      <c r="P1172">
        <v>0</v>
      </c>
      <c r="Q1172">
        <v>0</v>
      </c>
      <c r="R1172">
        <v>0</v>
      </c>
      <c r="S1172">
        <v>0</v>
      </c>
      <c r="T1172">
        <v>0.37319999999999998</v>
      </c>
      <c r="U1172">
        <v>-4.1999999999999997E-3</v>
      </c>
      <c r="V1172">
        <v>0</v>
      </c>
      <c r="W1172">
        <v>-0.27310000000000001</v>
      </c>
      <c r="X1172">
        <v>9.8199999999999996E-2</v>
      </c>
      <c r="Y1172">
        <v>-3.2000000000000002E-3</v>
      </c>
      <c r="Z1172">
        <v>189</v>
      </c>
      <c r="AA1172">
        <v>0.25</v>
      </c>
      <c r="AB1172">
        <v>153</v>
      </c>
      <c r="AC1172">
        <v>0.4</v>
      </c>
      <c r="AD1172">
        <v>0</v>
      </c>
      <c r="AE1172">
        <v>0</v>
      </c>
      <c r="AF1172">
        <v>0.57240000000000002</v>
      </c>
      <c r="AG1172">
        <v>2112</v>
      </c>
      <c r="AH1172">
        <v>0</v>
      </c>
    </row>
    <row r="1173" spans="1:34" x14ac:dyDescent="0.35">
      <c r="A1173" t="s">
        <v>34</v>
      </c>
      <c r="B1173" s="1">
        <v>46146.65625</v>
      </c>
      <c r="C1173" t="s">
        <v>34</v>
      </c>
      <c r="D1173" s="1">
        <v>46150.625</v>
      </c>
      <c r="E1173">
        <v>6510</v>
      </c>
      <c r="F1173" t="s">
        <v>36</v>
      </c>
      <c r="G1173">
        <v>0.35</v>
      </c>
      <c r="H1173">
        <v>0.5</v>
      </c>
      <c r="I1173">
        <v>0.32</v>
      </c>
      <c r="J1173">
        <v>0.32</v>
      </c>
      <c r="K1173">
        <v>33</v>
      </c>
      <c r="L1173">
        <v>34</v>
      </c>
      <c r="M1173">
        <v>0.35</v>
      </c>
      <c r="N1173">
        <v>65</v>
      </c>
      <c r="O1173">
        <v>0.4</v>
      </c>
      <c r="P1173">
        <v>0</v>
      </c>
      <c r="Q1173">
        <v>0</v>
      </c>
      <c r="R1173">
        <v>0</v>
      </c>
      <c r="S1173">
        <v>0</v>
      </c>
      <c r="T1173">
        <v>0.36840000000000001</v>
      </c>
      <c r="U1173">
        <v>-4.3E-3</v>
      </c>
      <c r="V1173">
        <v>0</v>
      </c>
      <c r="W1173">
        <v>-0.27289999999999998</v>
      </c>
      <c r="X1173">
        <v>9.9299999999999999E-2</v>
      </c>
      <c r="Y1173">
        <v>-3.3E-3</v>
      </c>
      <c r="Z1173">
        <v>178</v>
      </c>
      <c r="AA1173">
        <v>0.25</v>
      </c>
      <c r="AB1173">
        <v>140</v>
      </c>
      <c r="AC1173">
        <v>0.4</v>
      </c>
      <c r="AD1173">
        <v>0</v>
      </c>
      <c r="AE1173">
        <v>0</v>
      </c>
      <c r="AF1173">
        <v>0.45910000000000001</v>
      </c>
      <c r="AG1173">
        <v>121</v>
      </c>
      <c r="AH1173">
        <v>0</v>
      </c>
    </row>
    <row r="1174" spans="1:34" x14ac:dyDescent="0.35">
      <c r="A1174" t="s">
        <v>34</v>
      </c>
      <c r="B1174" s="1">
        <v>46146.65625</v>
      </c>
      <c r="C1174" t="s">
        <v>34</v>
      </c>
      <c r="D1174" s="1">
        <v>46150.625</v>
      </c>
      <c r="E1174">
        <v>6520</v>
      </c>
      <c r="F1174" t="s">
        <v>36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157</v>
      </c>
      <c r="M1174">
        <v>0.35</v>
      </c>
      <c r="N1174">
        <v>483</v>
      </c>
      <c r="O1174">
        <v>0.45</v>
      </c>
      <c r="P1174">
        <v>0</v>
      </c>
      <c r="Q1174">
        <v>0</v>
      </c>
      <c r="R1174">
        <v>0</v>
      </c>
      <c r="S1174">
        <v>0</v>
      </c>
      <c r="T1174">
        <v>0.36830000000000002</v>
      </c>
      <c r="U1174">
        <v>-4.7999999999999996E-3</v>
      </c>
      <c r="V1174">
        <v>1E-4</v>
      </c>
      <c r="W1174">
        <v>-0.30859999999999999</v>
      </c>
      <c r="X1174">
        <v>0.1105</v>
      </c>
      <c r="Y1174">
        <v>-3.7000000000000002E-3</v>
      </c>
      <c r="Z1174">
        <v>179</v>
      </c>
      <c r="AA1174">
        <v>0.25</v>
      </c>
      <c r="AB1174">
        <v>138</v>
      </c>
      <c r="AC1174">
        <v>0.4</v>
      </c>
      <c r="AD1174">
        <v>0</v>
      </c>
      <c r="AE1174">
        <v>0</v>
      </c>
      <c r="AF1174">
        <v>0</v>
      </c>
      <c r="AG1174">
        <v>263</v>
      </c>
      <c r="AH1174">
        <v>0</v>
      </c>
    </row>
    <row r="1175" spans="1:34" x14ac:dyDescent="0.35">
      <c r="A1175" t="s">
        <v>34</v>
      </c>
      <c r="B1175" s="1">
        <v>46146.65625</v>
      </c>
      <c r="C1175" t="s">
        <v>34</v>
      </c>
      <c r="D1175" s="1">
        <v>46150.625</v>
      </c>
      <c r="E1175">
        <v>6525</v>
      </c>
      <c r="F1175" t="s">
        <v>36</v>
      </c>
      <c r="G1175">
        <v>0.45</v>
      </c>
      <c r="H1175">
        <v>0.45</v>
      </c>
      <c r="I1175">
        <v>0.37</v>
      </c>
      <c r="J1175">
        <v>0.39</v>
      </c>
      <c r="K1175">
        <v>31</v>
      </c>
      <c r="L1175">
        <v>208</v>
      </c>
      <c r="M1175">
        <v>0.35</v>
      </c>
      <c r="N1175">
        <v>527</v>
      </c>
      <c r="O1175">
        <v>0.45</v>
      </c>
      <c r="P1175">
        <v>0</v>
      </c>
      <c r="Q1175">
        <v>0</v>
      </c>
      <c r="R1175">
        <v>0</v>
      </c>
      <c r="S1175">
        <v>0</v>
      </c>
      <c r="T1175">
        <v>0.3659</v>
      </c>
      <c r="U1175">
        <v>-4.7999999999999996E-3</v>
      </c>
      <c r="V1175">
        <v>1E-4</v>
      </c>
      <c r="W1175">
        <v>-0.30840000000000001</v>
      </c>
      <c r="X1175">
        <v>0.11119999999999999</v>
      </c>
      <c r="Y1175">
        <v>-3.7000000000000002E-3</v>
      </c>
      <c r="Z1175">
        <v>112</v>
      </c>
      <c r="AA1175">
        <v>0.3</v>
      </c>
      <c r="AB1175">
        <v>93</v>
      </c>
      <c r="AC1175">
        <v>0.4</v>
      </c>
      <c r="AD1175">
        <v>0</v>
      </c>
      <c r="AE1175">
        <v>0</v>
      </c>
      <c r="AF1175">
        <v>0.4294</v>
      </c>
      <c r="AG1175">
        <v>746</v>
      </c>
      <c r="AH1175">
        <v>0</v>
      </c>
    </row>
    <row r="1176" spans="1:34" x14ac:dyDescent="0.35">
      <c r="A1176" t="s">
        <v>34</v>
      </c>
      <c r="B1176" s="1">
        <v>46146.65625</v>
      </c>
      <c r="C1176" t="s">
        <v>34</v>
      </c>
      <c r="D1176" s="1">
        <v>46150.625</v>
      </c>
      <c r="E1176">
        <v>6530</v>
      </c>
      <c r="F1176" t="s">
        <v>36</v>
      </c>
      <c r="G1176">
        <v>0.55000000000000004</v>
      </c>
      <c r="H1176">
        <v>0.55000000000000004</v>
      </c>
      <c r="I1176">
        <v>0.37</v>
      </c>
      <c r="J1176">
        <v>0.38</v>
      </c>
      <c r="K1176">
        <v>3</v>
      </c>
      <c r="L1176">
        <v>201</v>
      </c>
      <c r="M1176">
        <v>0.35</v>
      </c>
      <c r="N1176">
        <v>311</v>
      </c>
      <c r="O1176">
        <v>0.45</v>
      </c>
      <c r="P1176">
        <v>0</v>
      </c>
      <c r="Q1176">
        <v>0</v>
      </c>
      <c r="R1176">
        <v>0</v>
      </c>
      <c r="S1176">
        <v>0</v>
      </c>
      <c r="T1176">
        <v>0.36320000000000002</v>
      </c>
      <c r="U1176">
        <v>-4.8999999999999998E-3</v>
      </c>
      <c r="V1176">
        <v>1E-4</v>
      </c>
      <c r="W1176">
        <v>-0.30830000000000002</v>
      </c>
      <c r="X1176">
        <v>0.1119</v>
      </c>
      <c r="Y1176">
        <v>-3.7000000000000002E-3</v>
      </c>
      <c r="Z1176">
        <v>111</v>
      </c>
      <c r="AA1176">
        <v>0.3</v>
      </c>
      <c r="AB1176">
        <v>170</v>
      </c>
      <c r="AC1176">
        <v>0.45</v>
      </c>
      <c r="AD1176">
        <v>0</v>
      </c>
      <c r="AE1176">
        <v>0</v>
      </c>
      <c r="AF1176">
        <v>0.43330000000000002</v>
      </c>
      <c r="AG1176">
        <v>1667</v>
      </c>
      <c r="AH1176">
        <v>0</v>
      </c>
    </row>
    <row r="1177" spans="1:34" x14ac:dyDescent="0.35">
      <c r="A1177" t="s">
        <v>34</v>
      </c>
      <c r="B1177" s="1">
        <v>46146.65625</v>
      </c>
      <c r="C1177" t="s">
        <v>34</v>
      </c>
      <c r="D1177" s="1">
        <v>46150.625</v>
      </c>
      <c r="E1177">
        <v>6540</v>
      </c>
      <c r="F1177" t="s">
        <v>36</v>
      </c>
      <c r="G1177">
        <v>0.45</v>
      </c>
      <c r="H1177">
        <v>0.45</v>
      </c>
      <c r="I1177">
        <v>0.4</v>
      </c>
      <c r="J1177">
        <v>0.4</v>
      </c>
      <c r="K1177">
        <v>2</v>
      </c>
      <c r="L1177">
        <v>351</v>
      </c>
      <c r="M1177">
        <v>0.35</v>
      </c>
      <c r="N1177">
        <v>155</v>
      </c>
      <c r="O1177">
        <v>0.45</v>
      </c>
      <c r="P1177">
        <v>0</v>
      </c>
      <c r="Q1177">
        <v>0</v>
      </c>
      <c r="R1177">
        <v>0</v>
      </c>
      <c r="S1177">
        <v>0</v>
      </c>
      <c r="T1177">
        <v>0.35830000000000001</v>
      </c>
      <c r="U1177">
        <v>-4.8999999999999998E-3</v>
      </c>
      <c r="V1177">
        <v>1E-4</v>
      </c>
      <c r="W1177">
        <v>-0.308</v>
      </c>
      <c r="X1177">
        <v>0.1133</v>
      </c>
      <c r="Y1177">
        <v>-3.8E-3</v>
      </c>
      <c r="Z1177">
        <v>170</v>
      </c>
      <c r="AA1177">
        <v>0.3</v>
      </c>
      <c r="AB1177">
        <v>166</v>
      </c>
      <c r="AC1177">
        <v>0.45</v>
      </c>
      <c r="AD1177">
        <v>0</v>
      </c>
      <c r="AE1177">
        <v>0</v>
      </c>
      <c r="AF1177">
        <v>0.42499999999999999</v>
      </c>
      <c r="AG1177">
        <v>370</v>
      </c>
      <c r="AH1177">
        <v>0</v>
      </c>
    </row>
    <row r="1178" spans="1:34" x14ac:dyDescent="0.35">
      <c r="A1178" t="s">
        <v>34</v>
      </c>
      <c r="B1178" s="1">
        <v>46146.65625</v>
      </c>
      <c r="C1178" t="s">
        <v>34</v>
      </c>
      <c r="D1178" s="1">
        <v>46150.625</v>
      </c>
      <c r="E1178">
        <v>6550</v>
      </c>
      <c r="F1178" t="s">
        <v>36</v>
      </c>
      <c r="G1178">
        <v>0.4</v>
      </c>
      <c r="H1178">
        <v>0.67</v>
      </c>
      <c r="I1178">
        <v>0.4</v>
      </c>
      <c r="J1178">
        <v>0.4</v>
      </c>
      <c r="K1178">
        <v>17</v>
      </c>
      <c r="L1178">
        <v>33</v>
      </c>
      <c r="M1178">
        <v>0.4</v>
      </c>
      <c r="N1178">
        <v>515</v>
      </c>
      <c r="O1178">
        <v>0.5</v>
      </c>
      <c r="P1178">
        <v>0</v>
      </c>
      <c r="Q1178">
        <v>0</v>
      </c>
      <c r="R1178">
        <v>0</v>
      </c>
      <c r="S1178">
        <v>0</v>
      </c>
      <c r="T1178">
        <v>0.35299999999999998</v>
      </c>
      <c r="U1178">
        <v>-5.0000000000000001E-3</v>
      </c>
      <c r="V1178">
        <v>1E-4</v>
      </c>
      <c r="W1178">
        <v>-0.30759999999999998</v>
      </c>
      <c r="X1178">
        <v>0.1148</v>
      </c>
      <c r="Y1178">
        <v>-3.8E-3</v>
      </c>
      <c r="Z1178">
        <v>184</v>
      </c>
      <c r="AA1178">
        <v>0.3</v>
      </c>
      <c r="AB1178">
        <v>151</v>
      </c>
      <c r="AC1178">
        <v>0.45</v>
      </c>
      <c r="AD1178">
        <v>0</v>
      </c>
      <c r="AE1178">
        <v>0</v>
      </c>
      <c r="AF1178">
        <v>0.4824</v>
      </c>
      <c r="AG1178">
        <v>1123</v>
      </c>
      <c r="AH1178">
        <v>0</v>
      </c>
    </row>
    <row r="1179" spans="1:34" x14ac:dyDescent="0.35">
      <c r="A1179" t="s">
        <v>34</v>
      </c>
      <c r="B1179" s="1">
        <v>46146.65625</v>
      </c>
      <c r="C1179" t="s">
        <v>34</v>
      </c>
      <c r="D1179" s="1">
        <v>46150.625</v>
      </c>
      <c r="E1179">
        <v>6560</v>
      </c>
      <c r="F1179" t="s">
        <v>36</v>
      </c>
      <c r="G1179">
        <v>0.62</v>
      </c>
      <c r="H1179">
        <v>0.75</v>
      </c>
      <c r="I1179">
        <v>0.4</v>
      </c>
      <c r="J1179">
        <v>0.4</v>
      </c>
      <c r="K1179">
        <v>10</v>
      </c>
      <c r="L1179">
        <v>150</v>
      </c>
      <c r="M1179">
        <v>0.4</v>
      </c>
      <c r="N1179">
        <v>448</v>
      </c>
      <c r="O1179">
        <v>0.5</v>
      </c>
      <c r="P1179">
        <v>0</v>
      </c>
      <c r="Q1179">
        <v>0</v>
      </c>
      <c r="R1179">
        <v>0</v>
      </c>
      <c r="S1179">
        <v>0</v>
      </c>
      <c r="T1179">
        <v>0.35249999999999998</v>
      </c>
      <c r="U1179">
        <v>-5.5999999999999999E-3</v>
      </c>
      <c r="V1179">
        <v>1E-4</v>
      </c>
      <c r="W1179">
        <v>-0.34260000000000002</v>
      </c>
      <c r="X1179">
        <v>0.1263</v>
      </c>
      <c r="Y1179">
        <v>-4.3E-3</v>
      </c>
      <c r="Z1179">
        <v>171</v>
      </c>
      <c r="AA1179">
        <v>0.3</v>
      </c>
      <c r="AB1179">
        <v>136</v>
      </c>
      <c r="AC1179">
        <v>0.45</v>
      </c>
      <c r="AD1179">
        <v>0</v>
      </c>
      <c r="AE1179">
        <v>0</v>
      </c>
      <c r="AF1179">
        <v>0.61899999999999999</v>
      </c>
      <c r="AG1179">
        <v>273</v>
      </c>
      <c r="AH1179">
        <v>0</v>
      </c>
    </row>
    <row r="1180" spans="1:34" x14ac:dyDescent="0.35">
      <c r="A1180" t="s">
        <v>34</v>
      </c>
      <c r="B1180" s="1">
        <v>46146.65625</v>
      </c>
      <c r="C1180" t="s">
        <v>34</v>
      </c>
      <c r="D1180" s="1">
        <v>46150.625</v>
      </c>
      <c r="E1180">
        <v>6570</v>
      </c>
      <c r="F1180" t="s">
        <v>36</v>
      </c>
      <c r="G1180">
        <v>0.65</v>
      </c>
      <c r="H1180">
        <v>0.65</v>
      </c>
      <c r="I1180">
        <v>0.45</v>
      </c>
      <c r="J1180">
        <v>0.45</v>
      </c>
      <c r="K1180">
        <v>2</v>
      </c>
      <c r="L1180">
        <v>195</v>
      </c>
      <c r="M1180">
        <v>0.4</v>
      </c>
      <c r="N1180">
        <v>190</v>
      </c>
      <c r="O1180">
        <v>0.5</v>
      </c>
      <c r="P1180">
        <v>0</v>
      </c>
      <c r="Q1180">
        <v>0</v>
      </c>
      <c r="R1180">
        <v>0</v>
      </c>
      <c r="S1180">
        <v>0</v>
      </c>
      <c r="T1180">
        <v>0.34749999999999998</v>
      </c>
      <c r="U1180">
        <v>-5.5999999999999999E-3</v>
      </c>
      <c r="V1180">
        <v>1E-4</v>
      </c>
      <c r="W1180">
        <v>-0.3422</v>
      </c>
      <c r="X1180">
        <v>0.12790000000000001</v>
      </c>
      <c r="Y1180">
        <v>-4.3E-3</v>
      </c>
      <c r="Z1180">
        <v>77</v>
      </c>
      <c r="AA1180">
        <v>0.35</v>
      </c>
      <c r="AB1180">
        <v>77</v>
      </c>
      <c r="AC1180">
        <v>0.45</v>
      </c>
      <c r="AD1180">
        <v>0</v>
      </c>
      <c r="AE1180">
        <v>0</v>
      </c>
      <c r="AF1180">
        <v>0.55000000000000004</v>
      </c>
      <c r="AG1180">
        <v>312</v>
      </c>
      <c r="AH1180">
        <v>0</v>
      </c>
    </row>
    <row r="1181" spans="1:34" x14ac:dyDescent="0.35">
      <c r="A1181" t="s">
        <v>34</v>
      </c>
      <c r="B1181" s="1">
        <v>46146.65625</v>
      </c>
      <c r="C1181" t="s">
        <v>34</v>
      </c>
      <c r="D1181" s="1">
        <v>46150.625</v>
      </c>
      <c r="E1181">
        <v>6575</v>
      </c>
      <c r="F1181" t="s">
        <v>36</v>
      </c>
      <c r="G1181">
        <v>0.45</v>
      </c>
      <c r="H1181">
        <v>0.45</v>
      </c>
      <c r="I1181">
        <v>0.4</v>
      </c>
      <c r="J1181">
        <v>0.45</v>
      </c>
      <c r="K1181">
        <v>15</v>
      </c>
      <c r="L1181">
        <v>354</v>
      </c>
      <c r="M1181">
        <v>0.4</v>
      </c>
      <c r="N1181">
        <v>163</v>
      </c>
      <c r="O1181">
        <v>0.5</v>
      </c>
      <c r="P1181">
        <v>0</v>
      </c>
      <c r="Q1181">
        <v>0</v>
      </c>
      <c r="R1181">
        <v>0</v>
      </c>
      <c r="S1181">
        <v>0</v>
      </c>
      <c r="T1181">
        <v>0.3448</v>
      </c>
      <c r="U1181">
        <v>-5.7000000000000002E-3</v>
      </c>
      <c r="V1181">
        <v>1E-4</v>
      </c>
      <c r="W1181">
        <v>-0.34200000000000003</v>
      </c>
      <c r="X1181">
        <v>0.1288</v>
      </c>
      <c r="Y1181">
        <v>-4.3E-3</v>
      </c>
      <c r="Z1181">
        <v>162</v>
      </c>
      <c r="AA1181">
        <v>0.35</v>
      </c>
      <c r="AB1181">
        <v>174</v>
      </c>
      <c r="AC1181">
        <v>0.5</v>
      </c>
      <c r="AD1181">
        <v>0</v>
      </c>
      <c r="AE1181">
        <v>0</v>
      </c>
      <c r="AF1181">
        <v>0.44669999999999999</v>
      </c>
      <c r="AG1181">
        <v>447</v>
      </c>
      <c r="AH1181">
        <v>0</v>
      </c>
    </row>
    <row r="1182" spans="1:34" x14ac:dyDescent="0.35">
      <c r="A1182" t="s">
        <v>34</v>
      </c>
      <c r="B1182" s="1">
        <v>46146.65625</v>
      </c>
      <c r="C1182" t="s">
        <v>34</v>
      </c>
      <c r="D1182" s="1">
        <v>46150.625</v>
      </c>
      <c r="E1182">
        <v>6580</v>
      </c>
      <c r="F1182" t="s">
        <v>36</v>
      </c>
      <c r="G1182">
        <v>0.45</v>
      </c>
      <c r="H1182">
        <v>0.67</v>
      </c>
      <c r="I1182">
        <v>0.45</v>
      </c>
      <c r="J1182">
        <v>0.45</v>
      </c>
      <c r="K1182">
        <v>12</v>
      </c>
      <c r="L1182">
        <v>347</v>
      </c>
      <c r="M1182">
        <v>0.4</v>
      </c>
      <c r="N1182">
        <v>131</v>
      </c>
      <c r="O1182">
        <v>0.5</v>
      </c>
      <c r="P1182">
        <v>0</v>
      </c>
      <c r="Q1182">
        <v>0</v>
      </c>
      <c r="R1182">
        <v>0</v>
      </c>
      <c r="S1182">
        <v>0</v>
      </c>
      <c r="T1182">
        <v>0.3422</v>
      </c>
      <c r="U1182">
        <v>-5.7000000000000002E-3</v>
      </c>
      <c r="V1182">
        <v>1E-4</v>
      </c>
      <c r="W1182">
        <v>-0.34179999999999999</v>
      </c>
      <c r="X1182">
        <v>0.12959999999999999</v>
      </c>
      <c r="Y1182">
        <v>-4.4000000000000003E-3</v>
      </c>
      <c r="Z1182">
        <v>162</v>
      </c>
      <c r="AA1182">
        <v>0.35</v>
      </c>
      <c r="AB1182">
        <v>161</v>
      </c>
      <c r="AC1182">
        <v>0.5</v>
      </c>
      <c r="AD1182">
        <v>0</v>
      </c>
      <c r="AE1182">
        <v>0</v>
      </c>
      <c r="AF1182">
        <v>0.4783</v>
      </c>
      <c r="AG1182">
        <v>353</v>
      </c>
      <c r="AH1182">
        <v>0</v>
      </c>
    </row>
    <row r="1183" spans="1:34" x14ac:dyDescent="0.35">
      <c r="A1183" t="s">
        <v>34</v>
      </c>
      <c r="B1183" s="1">
        <v>46146.65625</v>
      </c>
      <c r="C1183" t="s">
        <v>34</v>
      </c>
      <c r="D1183" s="1">
        <v>46150.625</v>
      </c>
      <c r="E1183">
        <v>6590</v>
      </c>
      <c r="F1183" t="s">
        <v>36</v>
      </c>
      <c r="G1183">
        <v>0.47</v>
      </c>
      <c r="H1183">
        <v>0.75</v>
      </c>
      <c r="I1183">
        <v>0.45</v>
      </c>
      <c r="J1183">
        <v>0.45</v>
      </c>
      <c r="K1183">
        <v>33</v>
      </c>
      <c r="L1183">
        <v>56</v>
      </c>
      <c r="M1183">
        <v>0.45</v>
      </c>
      <c r="N1183">
        <v>459</v>
      </c>
      <c r="O1183">
        <v>0.55000000000000004</v>
      </c>
      <c r="P1183">
        <v>0</v>
      </c>
      <c r="Q1183">
        <v>0</v>
      </c>
      <c r="R1183">
        <v>0</v>
      </c>
      <c r="S1183">
        <v>0</v>
      </c>
      <c r="T1183">
        <v>0.34110000000000001</v>
      </c>
      <c r="U1183">
        <v>-6.3E-3</v>
      </c>
      <c r="V1183">
        <v>1E-4</v>
      </c>
      <c r="W1183">
        <v>-0.37619999999999998</v>
      </c>
      <c r="X1183">
        <v>0.1411</v>
      </c>
      <c r="Y1183">
        <v>-4.7999999999999996E-3</v>
      </c>
      <c r="Z1183">
        <v>165</v>
      </c>
      <c r="AA1183">
        <v>0.35</v>
      </c>
      <c r="AB1183">
        <v>135</v>
      </c>
      <c r="AC1183">
        <v>0.5</v>
      </c>
      <c r="AD1183">
        <v>0</v>
      </c>
      <c r="AE1183">
        <v>0</v>
      </c>
      <c r="AF1183">
        <v>0.60609999999999997</v>
      </c>
      <c r="AG1183">
        <v>184</v>
      </c>
      <c r="AH1183">
        <v>0</v>
      </c>
    </row>
    <row r="1184" spans="1:34" x14ac:dyDescent="0.35">
      <c r="A1184" t="s">
        <v>34</v>
      </c>
      <c r="B1184" s="1">
        <v>46146.65625</v>
      </c>
      <c r="C1184" t="s">
        <v>34</v>
      </c>
      <c r="D1184" s="1">
        <v>46150.625</v>
      </c>
      <c r="E1184">
        <v>6600</v>
      </c>
      <c r="F1184" t="s">
        <v>36</v>
      </c>
      <c r="G1184">
        <v>0.45</v>
      </c>
      <c r="H1184">
        <v>0.9</v>
      </c>
      <c r="I1184">
        <v>0.45</v>
      </c>
      <c r="J1184">
        <v>0.5</v>
      </c>
      <c r="K1184">
        <v>98</v>
      </c>
      <c r="L1184">
        <v>227</v>
      </c>
      <c r="M1184">
        <v>0.45</v>
      </c>
      <c r="N1184">
        <v>224</v>
      </c>
      <c r="O1184">
        <v>0.55000000000000004</v>
      </c>
      <c r="P1184">
        <v>0</v>
      </c>
      <c r="Q1184">
        <v>0</v>
      </c>
      <c r="R1184">
        <v>0</v>
      </c>
      <c r="S1184">
        <v>0</v>
      </c>
      <c r="T1184">
        <v>0.33610000000000001</v>
      </c>
      <c r="U1184">
        <v>-6.4000000000000003E-3</v>
      </c>
      <c r="V1184">
        <v>1E-4</v>
      </c>
      <c r="W1184">
        <v>-0.37569999999999998</v>
      </c>
      <c r="X1184">
        <v>0.1429</v>
      </c>
      <c r="Y1184">
        <v>-4.8999999999999998E-3</v>
      </c>
      <c r="Z1184">
        <v>177</v>
      </c>
      <c r="AA1184">
        <v>0.35</v>
      </c>
      <c r="AB1184">
        <v>144</v>
      </c>
      <c r="AC1184">
        <v>0.5</v>
      </c>
      <c r="AD1184">
        <v>0</v>
      </c>
      <c r="AE1184">
        <v>0</v>
      </c>
      <c r="AF1184">
        <v>0.53700000000000003</v>
      </c>
      <c r="AG1184">
        <v>3756</v>
      </c>
      <c r="AH1184">
        <v>0</v>
      </c>
    </row>
    <row r="1185" spans="1:34" x14ac:dyDescent="0.35">
      <c r="A1185" t="s">
        <v>34</v>
      </c>
      <c r="B1185" s="1">
        <v>46146.65625</v>
      </c>
      <c r="C1185" t="s">
        <v>34</v>
      </c>
      <c r="D1185" s="1">
        <v>46150.625</v>
      </c>
      <c r="E1185">
        <v>6610</v>
      </c>
      <c r="F1185" t="s">
        <v>36</v>
      </c>
      <c r="G1185">
        <v>0.5</v>
      </c>
      <c r="H1185">
        <v>0.5</v>
      </c>
      <c r="I1185">
        <v>0.45</v>
      </c>
      <c r="J1185">
        <v>0.5</v>
      </c>
      <c r="K1185">
        <v>3</v>
      </c>
      <c r="L1185">
        <v>337</v>
      </c>
      <c r="M1185">
        <v>0.45</v>
      </c>
      <c r="N1185">
        <v>121</v>
      </c>
      <c r="O1185">
        <v>0.55000000000000004</v>
      </c>
      <c r="P1185">
        <v>0</v>
      </c>
      <c r="Q1185">
        <v>0</v>
      </c>
      <c r="R1185">
        <v>0</v>
      </c>
      <c r="S1185">
        <v>0</v>
      </c>
      <c r="T1185">
        <v>0.33029999999999998</v>
      </c>
      <c r="U1185">
        <v>-6.4999999999999997E-3</v>
      </c>
      <c r="V1185">
        <v>1E-4</v>
      </c>
      <c r="W1185">
        <v>-0.37509999999999999</v>
      </c>
      <c r="X1185">
        <v>0.14510000000000001</v>
      </c>
      <c r="Y1185">
        <v>-5.0000000000000001E-3</v>
      </c>
      <c r="Z1185">
        <v>74</v>
      </c>
      <c r="AA1185">
        <v>0.4</v>
      </c>
      <c r="AB1185">
        <v>32</v>
      </c>
      <c r="AC1185">
        <v>0.5</v>
      </c>
      <c r="AD1185">
        <v>0</v>
      </c>
      <c r="AE1185">
        <v>0</v>
      </c>
      <c r="AF1185">
        <v>0.48330000000000001</v>
      </c>
      <c r="AG1185">
        <v>229</v>
      </c>
      <c r="AH1185">
        <v>0</v>
      </c>
    </row>
    <row r="1186" spans="1:34" x14ac:dyDescent="0.35">
      <c r="A1186" t="s">
        <v>34</v>
      </c>
      <c r="B1186" s="1">
        <v>46146.65625</v>
      </c>
      <c r="C1186" t="s">
        <v>34</v>
      </c>
      <c r="D1186" s="1">
        <v>46150.625</v>
      </c>
      <c r="E1186">
        <v>6620</v>
      </c>
      <c r="F1186" t="s">
        <v>36</v>
      </c>
      <c r="G1186">
        <v>0.9</v>
      </c>
      <c r="H1186">
        <v>0.97</v>
      </c>
      <c r="I1186">
        <v>0.55000000000000004</v>
      </c>
      <c r="J1186">
        <v>0.55000000000000004</v>
      </c>
      <c r="K1186">
        <v>77</v>
      </c>
      <c r="L1186">
        <v>119</v>
      </c>
      <c r="M1186">
        <v>0.5</v>
      </c>
      <c r="N1186">
        <v>424</v>
      </c>
      <c r="O1186">
        <v>0.6</v>
      </c>
      <c r="P1186">
        <v>0</v>
      </c>
      <c r="Q1186">
        <v>0</v>
      </c>
      <c r="R1186">
        <v>0</v>
      </c>
      <c r="S1186">
        <v>0</v>
      </c>
      <c r="T1186">
        <v>0.32929999999999998</v>
      </c>
      <c r="U1186">
        <v>-7.1000000000000004E-3</v>
      </c>
      <c r="V1186">
        <v>1E-4</v>
      </c>
      <c r="W1186">
        <v>-0.40889999999999999</v>
      </c>
      <c r="X1186">
        <v>0.15659999999999999</v>
      </c>
      <c r="Y1186">
        <v>-5.4000000000000003E-3</v>
      </c>
      <c r="Z1186">
        <v>160</v>
      </c>
      <c r="AA1186">
        <v>0.4</v>
      </c>
      <c r="AB1186">
        <v>146</v>
      </c>
      <c r="AC1186">
        <v>0.55000000000000004</v>
      </c>
      <c r="AD1186">
        <v>0</v>
      </c>
      <c r="AE1186">
        <v>0</v>
      </c>
      <c r="AF1186">
        <v>0.93640000000000001</v>
      </c>
      <c r="AG1186">
        <v>384</v>
      </c>
      <c r="AH1186">
        <v>0</v>
      </c>
    </row>
    <row r="1187" spans="1:34" x14ac:dyDescent="0.35">
      <c r="A1187" t="s">
        <v>34</v>
      </c>
      <c r="B1187" s="1">
        <v>46146.65625</v>
      </c>
      <c r="C1187" t="s">
        <v>34</v>
      </c>
      <c r="D1187" s="1">
        <v>46150.625</v>
      </c>
      <c r="E1187">
        <v>6625</v>
      </c>
      <c r="F1187" t="s">
        <v>36</v>
      </c>
      <c r="G1187">
        <v>0.52</v>
      </c>
      <c r="H1187">
        <v>0.55000000000000004</v>
      </c>
      <c r="I1187">
        <v>0.5</v>
      </c>
      <c r="J1187">
        <v>0.55000000000000004</v>
      </c>
      <c r="K1187">
        <v>18</v>
      </c>
      <c r="L1187">
        <v>166</v>
      </c>
      <c r="M1187">
        <v>0.5</v>
      </c>
      <c r="N1187">
        <v>199</v>
      </c>
      <c r="O1187">
        <v>0.6</v>
      </c>
      <c r="P1187">
        <v>0</v>
      </c>
      <c r="Q1187">
        <v>0</v>
      </c>
      <c r="R1187">
        <v>0</v>
      </c>
      <c r="S1187">
        <v>0</v>
      </c>
      <c r="T1187">
        <v>0.3266</v>
      </c>
      <c r="U1187">
        <v>-7.1000000000000004E-3</v>
      </c>
      <c r="V1187">
        <v>1E-4</v>
      </c>
      <c r="W1187">
        <v>-0.40870000000000001</v>
      </c>
      <c r="X1187">
        <v>0.15770000000000001</v>
      </c>
      <c r="Y1187">
        <v>-5.4999999999999997E-3</v>
      </c>
      <c r="Z1187">
        <v>172</v>
      </c>
      <c r="AA1187">
        <v>0.4</v>
      </c>
      <c r="AB1187">
        <v>143</v>
      </c>
      <c r="AC1187">
        <v>0.55000000000000004</v>
      </c>
      <c r="AD1187">
        <v>0</v>
      </c>
      <c r="AE1187">
        <v>0</v>
      </c>
      <c r="AF1187">
        <v>0.52329999999999999</v>
      </c>
      <c r="AG1187">
        <v>676</v>
      </c>
      <c r="AH1187">
        <v>0</v>
      </c>
    </row>
    <row r="1188" spans="1:34" x14ac:dyDescent="0.35">
      <c r="A1188" t="s">
        <v>34</v>
      </c>
      <c r="B1188" s="1">
        <v>46146.65625</v>
      </c>
      <c r="C1188" t="s">
        <v>34</v>
      </c>
      <c r="D1188" s="1">
        <v>46150.625</v>
      </c>
      <c r="E1188">
        <v>6630</v>
      </c>
      <c r="F1188" t="s">
        <v>36</v>
      </c>
      <c r="G1188">
        <v>0.55000000000000004</v>
      </c>
      <c r="H1188">
        <v>0.8</v>
      </c>
      <c r="I1188">
        <v>0.55000000000000004</v>
      </c>
      <c r="J1188">
        <v>0.55000000000000004</v>
      </c>
      <c r="K1188">
        <v>31</v>
      </c>
      <c r="L1188">
        <v>211</v>
      </c>
      <c r="M1188">
        <v>0.5</v>
      </c>
      <c r="N1188">
        <v>174</v>
      </c>
      <c r="O1188">
        <v>0.6</v>
      </c>
      <c r="P1188">
        <v>0</v>
      </c>
      <c r="Q1188">
        <v>0</v>
      </c>
      <c r="R1188">
        <v>0</v>
      </c>
      <c r="S1188">
        <v>0</v>
      </c>
      <c r="T1188">
        <v>0.32400000000000001</v>
      </c>
      <c r="U1188">
        <v>-7.1999999999999998E-3</v>
      </c>
      <c r="V1188">
        <v>1E-4</v>
      </c>
      <c r="W1188">
        <v>-0.4083</v>
      </c>
      <c r="X1188">
        <v>0.1588</v>
      </c>
      <c r="Y1188">
        <v>-5.4999999999999997E-3</v>
      </c>
      <c r="Z1188">
        <v>162</v>
      </c>
      <c r="AA1188">
        <v>0.4</v>
      </c>
      <c r="AB1188">
        <v>131</v>
      </c>
      <c r="AC1188">
        <v>0.55000000000000004</v>
      </c>
      <c r="AD1188">
        <v>0</v>
      </c>
      <c r="AE1188">
        <v>0</v>
      </c>
      <c r="AF1188">
        <v>0.55969999999999998</v>
      </c>
      <c r="AG1188">
        <v>1920</v>
      </c>
      <c r="AH1188">
        <v>0</v>
      </c>
    </row>
    <row r="1189" spans="1:34" x14ac:dyDescent="0.35">
      <c r="A1189" t="s">
        <v>34</v>
      </c>
      <c r="B1189" s="1">
        <v>46146.65625</v>
      </c>
      <c r="C1189" t="s">
        <v>34</v>
      </c>
      <c r="D1189" s="1">
        <v>46150.625</v>
      </c>
      <c r="E1189">
        <v>6640</v>
      </c>
      <c r="F1189" t="s">
        <v>36</v>
      </c>
      <c r="G1189">
        <v>0.67</v>
      </c>
      <c r="H1189">
        <v>0.67</v>
      </c>
      <c r="I1189">
        <v>0.55000000000000004</v>
      </c>
      <c r="J1189">
        <v>0.55000000000000004</v>
      </c>
      <c r="K1189">
        <v>62</v>
      </c>
      <c r="L1189">
        <v>50</v>
      </c>
      <c r="M1189">
        <v>0.55000000000000004</v>
      </c>
      <c r="N1189">
        <v>416</v>
      </c>
      <c r="O1189">
        <v>0.65</v>
      </c>
      <c r="P1189">
        <v>0</v>
      </c>
      <c r="Q1189">
        <v>0</v>
      </c>
      <c r="R1189">
        <v>0</v>
      </c>
      <c r="S1189">
        <v>0</v>
      </c>
      <c r="T1189">
        <v>0.32050000000000001</v>
      </c>
      <c r="U1189">
        <v>-7.4999999999999997E-3</v>
      </c>
      <c r="V1189">
        <v>1E-4</v>
      </c>
      <c r="W1189">
        <v>-0.42470000000000002</v>
      </c>
      <c r="X1189">
        <v>0.16600000000000001</v>
      </c>
      <c r="Y1189">
        <v>-5.7999999999999996E-3</v>
      </c>
      <c r="Z1189">
        <v>73</v>
      </c>
      <c r="AA1189">
        <v>0.45</v>
      </c>
      <c r="AB1189">
        <v>32</v>
      </c>
      <c r="AC1189">
        <v>0.55000000000000004</v>
      </c>
      <c r="AD1189">
        <v>0</v>
      </c>
      <c r="AE1189">
        <v>0</v>
      </c>
      <c r="AF1189">
        <v>0.66690000000000005</v>
      </c>
      <c r="AG1189">
        <v>251</v>
      </c>
      <c r="AH1189">
        <v>0</v>
      </c>
    </row>
    <row r="1190" spans="1:34" x14ac:dyDescent="0.35">
      <c r="A1190" t="s">
        <v>34</v>
      </c>
      <c r="B1190" s="1">
        <v>46146.65625</v>
      </c>
      <c r="C1190" t="s">
        <v>34</v>
      </c>
      <c r="D1190" s="1">
        <v>46150.625</v>
      </c>
      <c r="E1190">
        <v>6650</v>
      </c>
      <c r="F1190" t="s">
        <v>36</v>
      </c>
      <c r="G1190">
        <v>0.65</v>
      </c>
      <c r="H1190">
        <v>1.25</v>
      </c>
      <c r="I1190">
        <v>0.54</v>
      </c>
      <c r="J1190">
        <v>0.54</v>
      </c>
      <c r="K1190">
        <v>124</v>
      </c>
      <c r="L1190">
        <v>234</v>
      </c>
      <c r="M1190">
        <v>0.55000000000000004</v>
      </c>
      <c r="N1190">
        <v>207</v>
      </c>
      <c r="O1190">
        <v>0.65</v>
      </c>
      <c r="P1190">
        <v>0</v>
      </c>
      <c r="Q1190">
        <v>0</v>
      </c>
      <c r="R1190">
        <v>0</v>
      </c>
      <c r="S1190">
        <v>0</v>
      </c>
      <c r="T1190">
        <v>0.31519999999999998</v>
      </c>
      <c r="U1190">
        <v>-7.7000000000000002E-3</v>
      </c>
      <c r="V1190">
        <v>1E-4</v>
      </c>
      <c r="W1190">
        <v>-0.42399999999999999</v>
      </c>
      <c r="X1190">
        <v>0.16839999999999999</v>
      </c>
      <c r="Y1190">
        <v>-5.8999999999999999E-3</v>
      </c>
      <c r="Z1190">
        <v>167</v>
      </c>
      <c r="AA1190">
        <v>0.45</v>
      </c>
      <c r="AB1190">
        <v>154</v>
      </c>
      <c r="AC1190">
        <v>0.6</v>
      </c>
      <c r="AD1190">
        <v>0</v>
      </c>
      <c r="AE1190">
        <v>0</v>
      </c>
      <c r="AF1190">
        <v>0.8407</v>
      </c>
      <c r="AG1190">
        <v>3746</v>
      </c>
      <c r="AH1190">
        <v>0</v>
      </c>
    </row>
    <row r="1191" spans="1:34" x14ac:dyDescent="0.35">
      <c r="A1191" t="s">
        <v>34</v>
      </c>
      <c r="B1191" s="1">
        <v>46146.65625</v>
      </c>
      <c r="C1191" t="s">
        <v>34</v>
      </c>
      <c r="D1191" s="1">
        <v>46150.625</v>
      </c>
      <c r="E1191">
        <v>6660</v>
      </c>
      <c r="F1191" t="s">
        <v>36</v>
      </c>
      <c r="G1191">
        <v>0.95</v>
      </c>
      <c r="H1191">
        <v>1.05</v>
      </c>
      <c r="I1191">
        <v>0.55000000000000004</v>
      </c>
      <c r="J1191">
        <v>0.55000000000000004</v>
      </c>
      <c r="K1191">
        <v>6</v>
      </c>
      <c r="L1191">
        <v>35</v>
      </c>
      <c r="M1191">
        <v>0.6</v>
      </c>
      <c r="N1191">
        <v>303</v>
      </c>
      <c r="O1191">
        <v>0.7</v>
      </c>
      <c r="P1191">
        <v>0</v>
      </c>
      <c r="Q1191">
        <v>0</v>
      </c>
      <c r="R1191">
        <v>0</v>
      </c>
      <c r="S1191">
        <v>0</v>
      </c>
      <c r="T1191">
        <v>0.3115</v>
      </c>
      <c r="U1191">
        <v>-8.0000000000000002E-3</v>
      </c>
      <c r="V1191">
        <v>1E-4</v>
      </c>
      <c r="W1191">
        <v>-0.44019999999999998</v>
      </c>
      <c r="X1191">
        <v>0.1759</v>
      </c>
      <c r="Y1191">
        <v>-6.1999999999999998E-3</v>
      </c>
      <c r="Z1191">
        <v>159</v>
      </c>
      <c r="AA1191">
        <v>0.45</v>
      </c>
      <c r="AB1191">
        <v>58</v>
      </c>
      <c r="AC1191">
        <v>0.6</v>
      </c>
      <c r="AD1191">
        <v>0</v>
      </c>
      <c r="AE1191">
        <v>0</v>
      </c>
      <c r="AF1191">
        <v>0.85</v>
      </c>
      <c r="AG1191">
        <v>250</v>
      </c>
      <c r="AH1191">
        <v>0</v>
      </c>
    </row>
    <row r="1192" spans="1:34" x14ac:dyDescent="0.35">
      <c r="A1192" t="s">
        <v>34</v>
      </c>
      <c r="B1192" s="1">
        <v>46146.65625</v>
      </c>
      <c r="C1192" t="s">
        <v>34</v>
      </c>
      <c r="D1192" s="1">
        <v>46150.625</v>
      </c>
      <c r="E1192">
        <v>6670</v>
      </c>
      <c r="F1192" t="s">
        <v>36</v>
      </c>
      <c r="G1192">
        <v>0.68</v>
      </c>
      <c r="H1192">
        <v>1.3</v>
      </c>
      <c r="I1192">
        <v>0.55000000000000004</v>
      </c>
      <c r="J1192">
        <v>0.55000000000000004</v>
      </c>
      <c r="K1192">
        <v>94</v>
      </c>
      <c r="L1192">
        <v>246</v>
      </c>
      <c r="M1192">
        <v>0.6</v>
      </c>
      <c r="N1192">
        <v>116</v>
      </c>
      <c r="O1192">
        <v>0.7</v>
      </c>
      <c r="P1192">
        <v>0</v>
      </c>
      <c r="Q1192">
        <v>0</v>
      </c>
      <c r="R1192">
        <v>0</v>
      </c>
      <c r="S1192">
        <v>0</v>
      </c>
      <c r="T1192">
        <v>0.30930000000000002</v>
      </c>
      <c r="U1192">
        <v>-8.6999999999999994E-3</v>
      </c>
      <c r="V1192">
        <v>1E-4</v>
      </c>
      <c r="W1192">
        <v>-0.47270000000000001</v>
      </c>
      <c r="X1192">
        <v>0.18840000000000001</v>
      </c>
      <c r="Y1192">
        <v>-6.7000000000000002E-3</v>
      </c>
      <c r="Z1192">
        <v>111</v>
      </c>
      <c r="AA1192">
        <v>0.5</v>
      </c>
      <c r="AB1192">
        <v>151</v>
      </c>
      <c r="AC1192">
        <v>0.65</v>
      </c>
      <c r="AD1192">
        <v>0</v>
      </c>
      <c r="AE1192">
        <v>0</v>
      </c>
      <c r="AF1192">
        <v>0.72770000000000001</v>
      </c>
      <c r="AG1192">
        <v>589</v>
      </c>
      <c r="AH1192">
        <v>0</v>
      </c>
    </row>
    <row r="1193" spans="1:34" x14ac:dyDescent="0.35">
      <c r="A1193" t="s">
        <v>34</v>
      </c>
      <c r="B1193" s="1">
        <v>46146.65625</v>
      </c>
      <c r="C1193" t="s">
        <v>34</v>
      </c>
      <c r="D1193" s="1">
        <v>46150.625</v>
      </c>
      <c r="E1193">
        <v>6675</v>
      </c>
      <c r="F1193" t="s">
        <v>36</v>
      </c>
      <c r="G1193">
        <v>1</v>
      </c>
      <c r="H1193">
        <v>1</v>
      </c>
      <c r="I1193">
        <v>0.65</v>
      </c>
      <c r="J1193">
        <v>0.7</v>
      </c>
      <c r="K1193">
        <v>20</v>
      </c>
      <c r="L1193">
        <v>28</v>
      </c>
      <c r="M1193">
        <v>0.65</v>
      </c>
      <c r="N1193">
        <v>85</v>
      </c>
      <c r="O1193">
        <v>0.7</v>
      </c>
      <c r="P1193">
        <v>0</v>
      </c>
      <c r="Q1193">
        <v>0</v>
      </c>
      <c r="R1193">
        <v>0</v>
      </c>
      <c r="S1193">
        <v>0</v>
      </c>
      <c r="T1193">
        <v>0.30659999999999998</v>
      </c>
      <c r="U1193">
        <v>-8.8000000000000005E-3</v>
      </c>
      <c r="V1193">
        <v>1E-4</v>
      </c>
      <c r="W1193">
        <v>-0.4723</v>
      </c>
      <c r="X1193">
        <v>0.1898</v>
      </c>
      <c r="Y1193">
        <v>-6.7000000000000002E-3</v>
      </c>
      <c r="Z1193">
        <v>163</v>
      </c>
      <c r="AA1193">
        <v>0.5</v>
      </c>
      <c r="AB1193">
        <v>160</v>
      </c>
      <c r="AC1193">
        <v>0.65</v>
      </c>
      <c r="AD1193">
        <v>0</v>
      </c>
      <c r="AE1193">
        <v>0</v>
      </c>
      <c r="AF1193">
        <v>0.96750000000000003</v>
      </c>
      <c r="AG1193">
        <v>541</v>
      </c>
      <c r="AH1193">
        <v>0</v>
      </c>
    </row>
    <row r="1194" spans="1:34" x14ac:dyDescent="0.35">
      <c r="A1194" t="s">
        <v>34</v>
      </c>
      <c r="B1194" s="1">
        <v>46146.65625</v>
      </c>
      <c r="C1194" t="s">
        <v>34</v>
      </c>
      <c r="D1194" s="1">
        <v>46150.625</v>
      </c>
      <c r="E1194">
        <v>6680</v>
      </c>
      <c r="F1194" t="s">
        <v>36</v>
      </c>
      <c r="G1194">
        <v>1.45</v>
      </c>
      <c r="H1194">
        <v>1.45</v>
      </c>
      <c r="I1194">
        <v>0.7</v>
      </c>
      <c r="J1194">
        <v>0.7</v>
      </c>
      <c r="K1194">
        <v>6</v>
      </c>
      <c r="L1194">
        <v>75</v>
      </c>
      <c r="M1194">
        <v>0.65</v>
      </c>
      <c r="N1194">
        <v>243</v>
      </c>
      <c r="O1194">
        <v>0.75</v>
      </c>
      <c r="P1194">
        <v>0</v>
      </c>
      <c r="Q1194">
        <v>0</v>
      </c>
      <c r="R1194">
        <v>0</v>
      </c>
      <c r="S1194">
        <v>0</v>
      </c>
      <c r="T1194">
        <v>0.30680000000000002</v>
      </c>
      <c r="U1194">
        <v>-9.4000000000000004E-3</v>
      </c>
      <c r="V1194">
        <v>1E-4</v>
      </c>
      <c r="W1194">
        <v>-0.50480000000000003</v>
      </c>
      <c r="X1194">
        <v>0.20080000000000001</v>
      </c>
      <c r="Y1194">
        <v>-7.1999999999999998E-3</v>
      </c>
      <c r="Z1194">
        <v>154</v>
      </c>
      <c r="AA1194">
        <v>0.5</v>
      </c>
      <c r="AB1194">
        <v>127</v>
      </c>
      <c r="AC1194">
        <v>0.65</v>
      </c>
      <c r="AD1194">
        <v>0</v>
      </c>
      <c r="AE1194">
        <v>0</v>
      </c>
      <c r="AF1194">
        <v>1.325</v>
      </c>
      <c r="AG1194">
        <v>533</v>
      </c>
      <c r="AH1194">
        <v>0</v>
      </c>
    </row>
    <row r="1195" spans="1:34" x14ac:dyDescent="0.35">
      <c r="A1195" t="s">
        <v>34</v>
      </c>
      <c r="B1195" s="1">
        <v>46146.65625</v>
      </c>
      <c r="C1195" t="s">
        <v>34</v>
      </c>
      <c r="D1195" s="1">
        <v>46150.625</v>
      </c>
      <c r="E1195">
        <v>6685</v>
      </c>
      <c r="F1195" t="s">
        <v>36</v>
      </c>
      <c r="G1195">
        <v>1.35</v>
      </c>
      <c r="H1195">
        <v>1.35</v>
      </c>
      <c r="I1195">
        <v>0.7</v>
      </c>
      <c r="J1195">
        <v>0.7</v>
      </c>
      <c r="K1195">
        <v>8</v>
      </c>
      <c r="L1195">
        <v>143</v>
      </c>
      <c r="M1195">
        <v>0.65</v>
      </c>
      <c r="N1195">
        <v>117</v>
      </c>
      <c r="O1195">
        <v>0.75</v>
      </c>
      <c r="P1195">
        <v>0</v>
      </c>
      <c r="Q1195">
        <v>0</v>
      </c>
      <c r="R1195">
        <v>0</v>
      </c>
      <c r="S1195">
        <v>0</v>
      </c>
      <c r="T1195">
        <v>0.30399999999999999</v>
      </c>
      <c r="U1195">
        <v>-9.4000000000000004E-3</v>
      </c>
      <c r="V1195">
        <v>1E-4</v>
      </c>
      <c r="W1195">
        <v>-0.50439999999999996</v>
      </c>
      <c r="X1195">
        <v>0.2024</v>
      </c>
      <c r="Y1195">
        <v>-7.3000000000000001E-3</v>
      </c>
      <c r="Z1195">
        <v>154</v>
      </c>
      <c r="AA1195">
        <v>0.5</v>
      </c>
      <c r="AB1195">
        <v>31</v>
      </c>
      <c r="AC1195">
        <v>0.65</v>
      </c>
      <c r="AD1195">
        <v>0</v>
      </c>
      <c r="AE1195">
        <v>0</v>
      </c>
      <c r="AF1195">
        <v>1.1188</v>
      </c>
      <c r="AG1195">
        <v>100</v>
      </c>
      <c r="AH1195">
        <v>0</v>
      </c>
    </row>
    <row r="1196" spans="1:34" x14ac:dyDescent="0.35">
      <c r="A1196" t="s">
        <v>34</v>
      </c>
      <c r="B1196" s="1">
        <v>46146.65625</v>
      </c>
      <c r="C1196" t="s">
        <v>34</v>
      </c>
      <c r="D1196" s="1">
        <v>46150.625</v>
      </c>
      <c r="E1196">
        <v>6690</v>
      </c>
      <c r="F1196" t="s">
        <v>36</v>
      </c>
      <c r="G1196">
        <v>1.1200000000000001</v>
      </c>
      <c r="H1196">
        <v>1.21</v>
      </c>
      <c r="I1196">
        <v>0.7</v>
      </c>
      <c r="J1196">
        <v>0.7</v>
      </c>
      <c r="K1196">
        <v>10</v>
      </c>
      <c r="L1196">
        <v>379</v>
      </c>
      <c r="M1196">
        <v>0.65</v>
      </c>
      <c r="N1196">
        <v>80</v>
      </c>
      <c r="O1196">
        <v>0.75</v>
      </c>
      <c r="P1196">
        <v>0</v>
      </c>
      <c r="Q1196">
        <v>0</v>
      </c>
      <c r="R1196">
        <v>0</v>
      </c>
      <c r="S1196">
        <v>0</v>
      </c>
      <c r="T1196">
        <v>0.30149999999999999</v>
      </c>
      <c r="U1196">
        <v>-9.4999999999999998E-3</v>
      </c>
      <c r="V1196">
        <v>1E-4</v>
      </c>
      <c r="W1196">
        <v>-0.50390000000000001</v>
      </c>
      <c r="X1196">
        <v>0.2039</v>
      </c>
      <c r="Y1196">
        <v>-7.3000000000000001E-3</v>
      </c>
      <c r="Z1196">
        <v>110</v>
      </c>
      <c r="AA1196">
        <v>0.55000000000000004</v>
      </c>
      <c r="AB1196">
        <v>30</v>
      </c>
      <c r="AC1196">
        <v>0.65</v>
      </c>
      <c r="AD1196">
        <v>0</v>
      </c>
      <c r="AE1196">
        <v>0</v>
      </c>
      <c r="AF1196">
        <v>1.071</v>
      </c>
      <c r="AG1196">
        <v>339</v>
      </c>
      <c r="AH1196">
        <v>0</v>
      </c>
    </row>
    <row r="1197" spans="1:34" x14ac:dyDescent="0.35">
      <c r="A1197" t="s">
        <v>34</v>
      </c>
      <c r="B1197" s="1">
        <v>46146.65625</v>
      </c>
      <c r="C1197" t="s">
        <v>34</v>
      </c>
      <c r="D1197" s="1">
        <v>46150.625</v>
      </c>
      <c r="E1197">
        <v>6695</v>
      </c>
      <c r="F1197" t="s">
        <v>36</v>
      </c>
      <c r="G1197">
        <v>0.75</v>
      </c>
      <c r="H1197">
        <v>0.75</v>
      </c>
      <c r="I1197">
        <v>0.75</v>
      </c>
      <c r="J1197">
        <v>0.75</v>
      </c>
      <c r="K1197">
        <v>3</v>
      </c>
      <c r="L1197">
        <v>52</v>
      </c>
      <c r="M1197">
        <v>0.7</v>
      </c>
      <c r="N1197">
        <v>282</v>
      </c>
      <c r="O1197">
        <v>0.8</v>
      </c>
      <c r="P1197">
        <v>0</v>
      </c>
      <c r="Q1197">
        <v>0</v>
      </c>
      <c r="R1197">
        <v>0</v>
      </c>
      <c r="S1197">
        <v>0</v>
      </c>
      <c r="T1197">
        <v>0.29859999999999998</v>
      </c>
      <c r="U1197">
        <v>-9.5999999999999992E-3</v>
      </c>
      <c r="V1197">
        <v>1E-4</v>
      </c>
      <c r="W1197">
        <v>-0.50349999999999995</v>
      </c>
      <c r="X1197">
        <v>0.20549999999999999</v>
      </c>
      <c r="Y1197">
        <v>-7.4000000000000003E-3</v>
      </c>
      <c r="Z1197">
        <v>119</v>
      </c>
      <c r="AA1197">
        <v>0.55000000000000004</v>
      </c>
      <c r="AB1197">
        <v>146</v>
      </c>
      <c r="AC1197">
        <v>0.7</v>
      </c>
      <c r="AD1197">
        <v>0</v>
      </c>
      <c r="AE1197">
        <v>0</v>
      </c>
      <c r="AF1197">
        <v>0.75</v>
      </c>
      <c r="AG1197">
        <v>68</v>
      </c>
      <c r="AH1197">
        <v>0</v>
      </c>
    </row>
    <row r="1198" spans="1:34" x14ac:dyDescent="0.35">
      <c r="A1198" t="s">
        <v>34</v>
      </c>
      <c r="B1198" s="1">
        <v>46146.65625</v>
      </c>
      <c r="C1198" t="s">
        <v>34</v>
      </c>
      <c r="D1198" s="1">
        <v>46150.625</v>
      </c>
      <c r="E1198">
        <v>6700</v>
      </c>
      <c r="F1198" t="s">
        <v>36</v>
      </c>
      <c r="G1198">
        <v>0.75</v>
      </c>
      <c r="H1198">
        <v>1.58</v>
      </c>
      <c r="I1198">
        <v>0.6</v>
      </c>
      <c r="J1198">
        <v>0.62</v>
      </c>
      <c r="K1198">
        <v>477</v>
      </c>
      <c r="L1198">
        <v>180</v>
      </c>
      <c r="M1198">
        <v>0.7</v>
      </c>
      <c r="N1198">
        <v>152</v>
      </c>
      <c r="O1198">
        <v>0.8</v>
      </c>
      <c r="P1198">
        <v>0</v>
      </c>
      <c r="Q1198">
        <v>0</v>
      </c>
      <c r="R1198">
        <v>0</v>
      </c>
      <c r="S1198">
        <v>0</v>
      </c>
      <c r="T1198">
        <v>0.29849999999999999</v>
      </c>
      <c r="U1198">
        <v>-1.0200000000000001E-2</v>
      </c>
      <c r="V1198">
        <v>1E-4</v>
      </c>
      <c r="W1198">
        <v>-0.53539999999999999</v>
      </c>
      <c r="X1198">
        <v>0.2167</v>
      </c>
      <c r="Y1198">
        <v>-7.9000000000000008E-3</v>
      </c>
      <c r="Z1198">
        <v>159</v>
      </c>
      <c r="AA1198">
        <v>0.55000000000000004</v>
      </c>
      <c r="AB1198">
        <v>134</v>
      </c>
      <c r="AC1198">
        <v>0.7</v>
      </c>
      <c r="AD1198">
        <v>0</v>
      </c>
      <c r="AE1198">
        <v>0</v>
      </c>
      <c r="AF1198">
        <v>1.0074000000000001</v>
      </c>
      <c r="AG1198">
        <v>2676</v>
      </c>
      <c r="AH1198">
        <v>0</v>
      </c>
    </row>
    <row r="1199" spans="1:34" x14ac:dyDescent="0.35">
      <c r="A1199" t="s">
        <v>34</v>
      </c>
      <c r="B1199" s="1">
        <v>46146.65625</v>
      </c>
      <c r="C1199" t="s">
        <v>34</v>
      </c>
      <c r="D1199" s="1">
        <v>46150.625</v>
      </c>
      <c r="E1199">
        <v>6705</v>
      </c>
      <c r="F1199" t="s">
        <v>36</v>
      </c>
      <c r="G1199">
        <v>1.6</v>
      </c>
      <c r="H1199">
        <v>1.6</v>
      </c>
      <c r="I1199">
        <v>0.8</v>
      </c>
      <c r="J1199">
        <v>0.81</v>
      </c>
      <c r="K1199">
        <v>7</v>
      </c>
      <c r="L1199">
        <v>369</v>
      </c>
      <c r="M1199">
        <v>0.7</v>
      </c>
      <c r="N1199">
        <v>45</v>
      </c>
      <c r="O1199">
        <v>0.8</v>
      </c>
      <c r="P1199">
        <v>0</v>
      </c>
      <c r="Q1199">
        <v>0</v>
      </c>
      <c r="R1199">
        <v>0</v>
      </c>
      <c r="S1199">
        <v>0</v>
      </c>
      <c r="T1199">
        <v>0.29580000000000001</v>
      </c>
      <c r="U1199">
        <v>-1.03E-2</v>
      </c>
      <c r="V1199">
        <v>1E-4</v>
      </c>
      <c r="W1199">
        <v>-0.53490000000000004</v>
      </c>
      <c r="X1199">
        <v>0.21829999999999999</v>
      </c>
      <c r="Y1199">
        <v>-7.9000000000000008E-3</v>
      </c>
      <c r="Z1199">
        <v>152</v>
      </c>
      <c r="AA1199">
        <v>0.55000000000000004</v>
      </c>
      <c r="AB1199">
        <v>30</v>
      </c>
      <c r="AC1199">
        <v>0.7</v>
      </c>
      <c r="AD1199">
        <v>0</v>
      </c>
      <c r="AE1199">
        <v>0</v>
      </c>
      <c r="AF1199">
        <v>1.3729</v>
      </c>
      <c r="AG1199">
        <v>182</v>
      </c>
      <c r="AH1199">
        <v>0</v>
      </c>
    </row>
    <row r="1200" spans="1:34" x14ac:dyDescent="0.35">
      <c r="A1200" t="s">
        <v>34</v>
      </c>
      <c r="B1200" s="1">
        <v>46146.65625</v>
      </c>
      <c r="C1200" t="s">
        <v>34</v>
      </c>
      <c r="D1200" s="1">
        <v>46150.625</v>
      </c>
      <c r="E1200">
        <v>6710</v>
      </c>
      <c r="F1200" t="s">
        <v>36</v>
      </c>
      <c r="G1200">
        <v>0.75</v>
      </c>
      <c r="H1200">
        <v>1.1200000000000001</v>
      </c>
      <c r="I1200">
        <v>0.65</v>
      </c>
      <c r="J1200">
        <v>0.65</v>
      </c>
      <c r="K1200">
        <v>13</v>
      </c>
      <c r="L1200">
        <v>55</v>
      </c>
      <c r="M1200">
        <v>0.75</v>
      </c>
      <c r="N1200">
        <v>228</v>
      </c>
      <c r="O1200">
        <v>0.85</v>
      </c>
      <c r="P1200">
        <v>0</v>
      </c>
      <c r="Q1200">
        <v>0</v>
      </c>
      <c r="R1200">
        <v>0</v>
      </c>
      <c r="S1200">
        <v>0</v>
      </c>
      <c r="T1200">
        <v>0.29570000000000002</v>
      </c>
      <c r="U1200">
        <v>-1.09E-2</v>
      </c>
      <c r="V1200">
        <v>1E-4</v>
      </c>
      <c r="W1200">
        <v>-0.5665</v>
      </c>
      <c r="X1200">
        <v>0.22919999999999999</v>
      </c>
      <c r="Y1200">
        <v>-8.3999999999999995E-3</v>
      </c>
      <c r="Z1200">
        <v>107</v>
      </c>
      <c r="AA1200">
        <v>0.6</v>
      </c>
      <c r="AB1200">
        <v>29</v>
      </c>
      <c r="AC1200">
        <v>0.7</v>
      </c>
      <c r="AD1200">
        <v>0</v>
      </c>
      <c r="AE1200">
        <v>0</v>
      </c>
      <c r="AF1200">
        <v>0.76690000000000003</v>
      </c>
      <c r="AG1200">
        <v>296</v>
      </c>
      <c r="AH1200">
        <v>0</v>
      </c>
    </row>
    <row r="1201" spans="1:34" x14ac:dyDescent="0.35">
      <c r="A1201" t="s">
        <v>34</v>
      </c>
      <c r="B1201" s="1">
        <v>46146.65625</v>
      </c>
      <c r="C1201" t="s">
        <v>34</v>
      </c>
      <c r="D1201" s="1">
        <v>46150.625</v>
      </c>
      <c r="E1201">
        <v>6715</v>
      </c>
      <c r="F1201" t="s">
        <v>36</v>
      </c>
      <c r="G1201">
        <v>0.7</v>
      </c>
      <c r="H1201">
        <v>0.96</v>
      </c>
      <c r="I1201">
        <v>0.7</v>
      </c>
      <c r="J1201">
        <v>0.7</v>
      </c>
      <c r="K1201">
        <v>13</v>
      </c>
      <c r="L1201">
        <v>113</v>
      </c>
      <c r="M1201">
        <v>0.75</v>
      </c>
      <c r="N1201">
        <v>111</v>
      </c>
      <c r="O1201">
        <v>0.85</v>
      </c>
      <c r="P1201">
        <v>0</v>
      </c>
      <c r="Q1201">
        <v>0</v>
      </c>
      <c r="R1201">
        <v>0</v>
      </c>
      <c r="S1201">
        <v>0</v>
      </c>
      <c r="T1201">
        <v>0.2928</v>
      </c>
      <c r="U1201">
        <v>-1.0999999999999999E-2</v>
      </c>
      <c r="V1201">
        <v>1E-4</v>
      </c>
      <c r="W1201">
        <v>-0.56589999999999996</v>
      </c>
      <c r="X1201">
        <v>0.2311</v>
      </c>
      <c r="Y1201">
        <v>-8.5000000000000006E-3</v>
      </c>
      <c r="Z1201">
        <v>118</v>
      </c>
      <c r="AA1201">
        <v>0.6</v>
      </c>
      <c r="AB1201">
        <v>145</v>
      </c>
      <c r="AC1201">
        <v>0.75</v>
      </c>
      <c r="AD1201">
        <v>0</v>
      </c>
      <c r="AE1201">
        <v>0</v>
      </c>
      <c r="AF1201">
        <v>0.84540000000000004</v>
      </c>
      <c r="AG1201">
        <v>174</v>
      </c>
      <c r="AH1201">
        <v>0</v>
      </c>
    </row>
    <row r="1202" spans="1:34" x14ac:dyDescent="0.35">
      <c r="A1202" t="s">
        <v>34</v>
      </c>
      <c r="B1202" s="1">
        <v>46146.65625</v>
      </c>
      <c r="C1202" t="s">
        <v>34</v>
      </c>
      <c r="D1202" s="1">
        <v>46150.625</v>
      </c>
      <c r="E1202">
        <v>6720</v>
      </c>
      <c r="F1202" t="s">
        <v>36</v>
      </c>
      <c r="G1202">
        <v>0.87</v>
      </c>
      <c r="H1202">
        <v>0.87</v>
      </c>
      <c r="I1202">
        <v>0.65</v>
      </c>
      <c r="J1202">
        <v>0.65</v>
      </c>
      <c r="K1202">
        <v>143</v>
      </c>
      <c r="L1202">
        <v>27</v>
      </c>
      <c r="M1202">
        <v>0.8</v>
      </c>
      <c r="N1202">
        <v>321</v>
      </c>
      <c r="O1202">
        <v>0.9</v>
      </c>
      <c r="P1202">
        <v>0</v>
      </c>
      <c r="Q1202">
        <v>0</v>
      </c>
      <c r="R1202">
        <v>0</v>
      </c>
      <c r="S1202">
        <v>0</v>
      </c>
      <c r="T1202">
        <v>0.29010000000000002</v>
      </c>
      <c r="U1202">
        <v>-1.11E-2</v>
      </c>
      <c r="V1202">
        <v>1E-4</v>
      </c>
      <c r="W1202">
        <v>-0.56540000000000001</v>
      </c>
      <c r="X1202">
        <v>0.2329</v>
      </c>
      <c r="Y1202">
        <v>-8.6E-3</v>
      </c>
      <c r="Z1202">
        <v>149</v>
      </c>
      <c r="AA1202">
        <v>0.6</v>
      </c>
      <c r="AB1202">
        <v>31</v>
      </c>
      <c r="AC1202">
        <v>0.75</v>
      </c>
      <c r="AD1202">
        <v>0</v>
      </c>
      <c r="AE1202">
        <v>0</v>
      </c>
      <c r="AF1202">
        <v>0.86180000000000001</v>
      </c>
      <c r="AG1202">
        <v>214</v>
      </c>
      <c r="AH1202">
        <v>0</v>
      </c>
    </row>
    <row r="1203" spans="1:34" x14ac:dyDescent="0.35">
      <c r="A1203" t="s">
        <v>34</v>
      </c>
      <c r="B1203" s="1">
        <v>46146.65625</v>
      </c>
      <c r="C1203" t="s">
        <v>34</v>
      </c>
      <c r="D1203" s="1">
        <v>46150.625</v>
      </c>
      <c r="E1203">
        <v>6725</v>
      </c>
      <c r="F1203" t="s">
        <v>36</v>
      </c>
      <c r="G1203">
        <v>0.88</v>
      </c>
      <c r="H1203">
        <v>1.6</v>
      </c>
      <c r="I1203">
        <v>0.7</v>
      </c>
      <c r="J1203">
        <v>0.7</v>
      </c>
      <c r="K1203">
        <v>67</v>
      </c>
      <c r="L1203">
        <v>79</v>
      </c>
      <c r="M1203">
        <v>0.8</v>
      </c>
      <c r="N1203">
        <v>185</v>
      </c>
      <c r="O1203">
        <v>0.9</v>
      </c>
      <c r="P1203">
        <v>0</v>
      </c>
      <c r="Q1203">
        <v>0</v>
      </c>
      <c r="R1203">
        <v>0</v>
      </c>
      <c r="S1203">
        <v>0</v>
      </c>
      <c r="T1203">
        <v>0.2898</v>
      </c>
      <c r="U1203">
        <v>-1.17E-2</v>
      </c>
      <c r="V1203">
        <v>1E-4</v>
      </c>
      <c r="W1203">
        <v>-0.59650000000000003</v>
      </c>
      <c r="X1203">
        <v>0.24399999999999999</v>
      </c>
      <c r="Y1203">
        <v>-8.9999999999999993E-3</v>
      </c>
      <c r="Z1203">
        <v>115</v>
      </c>
      <c r="AA1203">
        <v>0.65</v>
      </c>
      <c r="AB1203">
        <v>29</v>
      </c>
      <c r="AC1203">
        <v>0.75</v>
      </c>
      <c r="AD1203">
        <v>0</v>
      </c>
      <c r="AE1203">
        <v>0</v>
      </c>
      <c r="AF1203">
        <v>1.0015000000000001</v>
      </c>
      <c r="AG1203">
        <v>429</v>
      </c>
      <c r="AH1203">
        <v>0</v>
      </c>
    </row>
    <row r="1204" spans="1:34" x14ac:dyDescent="0.35">
      <c r="A1204" t="s">
        <v>34</v>
      </c>
      <c r="B1204" s="1">
        <v>46146.65625</v>
      </c>
      <c r="C1204" t="s">
        <v>34</v>
      </c>
      <c r="D1204" s="1">
        <v>46150.625</v>
      </c>
      <c r="E1204">
        <v>6730</v>
      </c>
      <c r="F1204" t="s">
        <v>36</v>
      </c>
      <c r="G1204">
        <v>0.8</v>
      </c>
      <c r="H1204">
        <v>0.9</v>
      </c>
      <c r="I1204">
        <v>0.75</v>
      </c>
      <c r="J1204">
        <v>0.75</v>
      </c>
      <c r="K1204">
        <v>4</v>
      </c>
      <c r="L1204">
        <v>215</v>
      </c>
      <c r="M1204">
        <v>0.8</v>
      </c>
      <c r="N1204">
        <v>43</v>
      </c>
      <c r="O1204">
        <v>0.9</v>
      </c>
      <c r="P1204">
        <v>0</v>
      </c>
      <c r="Q1204">
        <v>0</v>
      </c>
      <c r="R1204">
        <v>0</v>
      </c>
      <c r="S1204">
        <v>0</v>
      </c>
      <c r="T1204">
        <v>0.28689999999999999</v>
      </c>
      <c r="U1204">
        <v>-1.18E-2</v>
      </c>
      <c r="V1204">
        <v>1E-4</v>
      </c>
      <c r="W1204">
        <v>-0.59589999999999999</v>
      </c>
      <c r="X1204">
        <v>0.246</v>
      </c>
      <c r="Y1204">
        <v>-9.1000000000000004E-3</v>
      </c>
      <c r="Z1204">
        <v>115</v>
      </c>
      <c r="AA1204">
        <v>0.65</v>
      </c>
      <c r="AB1204">
        <v>97</v>
      </c>
      <c r="AC1204">
        <v>0.8</v>
      </c>
      <c r="AD1204">
        <v>0</v>
      </c>
      <c r="AE1204">
        <v>0</v>
      </c>
      <c r="AF1204">
        <v>0.8</v>
      </c>
      <c r="AG1204">
        <v>111</v>
      </c>
      <c r="AH1204">
        <v>0</v>
      </c>
    </row>
    <row r="1205" spans="1:34" x14ac:dyDescent="0.35">
      <c r="A1205" t="s">
        <v>34</v>
      </c>
      <c r="B1205" s="1">
        <v>46146.65625</v>
      </c>
      <c r="C1205" t="s">
        <v>34</v>
      </c>
      <c r="D1205" s="1">
        <v>46150.625</v>
      </c>
      <c r="E1205">
        <v>6735</v>
      </c>
      <c r="F1205" t="s">
        <v>36</v>
      </c>
      <c r="G1205">
        <v>0.8</v>
      </c>
      <c r="H1205">
        <v>0.9</v>
      </c>
      <c r="I1205">
        <v>0.8</v>
      </c>
      <c r="J1205">
        <v>0.9</v>
      </c>
      <c r="K1205">
        <v>2</v>
      </c>
      <c r="L1205">
        <v>53</v>
      </c>
      <c r="M1205">
        <v>0.85</v>
      </c>
      <c r="N1205">
        <v>154</v>
      </c>
      <c r="O1205">
        <v>0.95</v>
      </c>
      <c r="P1205">
        <v>0</v>
      </c>
      <c r="Q1205">
        <v>0</v>
      </c>
      <c r="R1205">
        <v>0</v>
      </c>
      <c r="S1205">
        <v>0</v>
      </c>
      <c r="T1205">
        <v>0.28649999999999998</v>
      </c>
      <c r="U1205">
        <v>-1.24E-2</v>
      </c>
      <c r="V1205">
        <v>2.0000000000000001E-4</v>
      </c>
      <c r="W1205">
        <v>-0.62670000000000003</v>
      </c>
      <c r="X1205">
        <v>0.25719999999999998</v>
      </c>
      <c r="Y1205">
        <v>-9.5999999999999992E-3</v>
      </c>
      <c r="Z1205">
        <v>145</v>
      </c>
      <c r="AA1205">
        <v>0.65</v>
      </c>
      <c r="AB1205">
        <v>30</v>
      </c>
      <c r="AC1205">
        <v>0.8</v>
      </c>
      <c r="AD1205">
        <v>0</v>
      </c>
      <c r="AE1205">
        <v>0</v>
      </c>
      <c r="AF1205">
        <v>0.85</v>
      </c>
      <c r="AG1205">
        <v>463</v>
      </c>
      <c r="AH1205">
        <v>0</v>
      </c>
    </row>
    <row r="1206" spans="1:34" x14ac:dyDescent="0.35">
      <c r="A1206" t="s">
        <v>34</v>
      </c>
      <c r="B1206" s="1">
        <v>46146.65625</v>
      </c>
      <c r="C1206" t="s">
        <v>34</v>
      </c>
      <c r="D1206" s="1">
        <v>46150.625</v>
      </c>
      <c r="E1206">
        <v>6740</v>
      </c>
      <c r="F1206" t="s">
        <v>36</v>
      </c>
      <c r="G1206">
        <v>0.77</v>
      </c>
      <c r="H1206">
        <v>1.03</v>
      </c>
      <c r="I1206">
        <v>0.77</v>
      </c>
      <c r="J1206">
        <v>0.85</v>
      </c>
      <c r="K1206">
        <v>71</v>
      </c>
      <c r="L1206">
        <v>224</v>
      </c>
      <c r="M1206">
        <v>0.85</v>
      </c>
      <c r="N1206">
        <v>95</v>
      </c>
      <c r="O1206">
        <v>0.95</v>
      </c>
      <c r="P1206">
        <v>0</v>
      </c>
      <c r="Q1206">
        <v>0</v>
      </c>
      <c r="R1206">
        <v>0</v>
      </c>
      <c r="S1206">
        <v>0</v>
      </c>
      <c r="T1206">
        <v>0.28349999999999997</v>
      </c>
      <c r="U1206">
        <v>-1.26E-2</v>
      </c>
      <c r="V1206">
        <v>2.0000000000000001E-4</v>
      </c>
      <c r="W1206">
        <v>-0.62590000000000001</v>
      </c>
      <c r="X1206">
        <v>0.25950000000000001</v>
      </c>
      <c r="Y1206">
        <v>-9.7000000000000003E-3</v>
      </c>
      <c r="Z1206">
        <v>96</v>
      </c>
      <c r="AA1206">
        <v>0.7</v>
      </c>
      <c r="AB1206">
        <v>28</v>
      </c>
      <c r="AC1206">
        <v>0.8</v>
      </c>
      <c r="AD1206">
        <v>0</v>
      </c>
      <c r="AE1206">
        <v>0</v>
      </c>
      <c r="AF1206">
        <v>0.95030000000000003</v>
      </c>
      <c r="AG1206">
        <v>146</v>
      </c>
      <c r="AH1206">
        <v>0</v>
      </c>
    </row>
    <row r="1207" spans="1:34" x14ac:dyDescent="0.35">
      <c r="A1207" t="s">
        <v>34</v>
      </c>
      <c r="B1207" s="1">
        <v>46146.65625</v>
      </c>
      <c r="C1207" t="s">
        <v>34</v>
      </c>
      <c r="D1207" s="1">
        <v>46150.625</v>
      </c>
      <c r="E1207">
        <v>6745</v>
      </c>
      <c r="F1207" t="s">
        <v>36</v>
      </c>
      <c r="G1207">
        <v>0.85</v>
      </c>
      <c r="H1207">
        <v>1.65</v>
      </c>
      <c r="I1207">
        <v>0.85</v>
      </c>
      <c r="J1207">
        <v>1</v>
      </c>
      <c r="K1207">
        <v>3</v>
      </c>
      <c r="L1207">
        <v>31</v>
      </c>
      <c r="M1207">
        <v>0.9</v>
      </c>
      <c r="N1207">
        <v>172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0.28199999999999997</v>
      </c>
      <c r="U1207">
        <v>-1.29E-2</v>
      </c>
      <c r="V1207">
        <v>2.0000000000000001E-4</v>
      </c>
      <c r="W1207">
        <v>-0.64090000000000003</v>
      </c>
      <c r="X1207">
        <v>0.2661</v>
      </c>
      <c r="Y1207">
        <v>-0.01</v>
      </c>
      <c r="Z1207">
        <v>106</v>
      </c>
      <c r="AA1207">
        <v>0.7</v>
      </c>
      <c r="AB1207">
        <v>51</v>
      </c>
      <c r="AC1207">
        <v>0.85</v>
      </c>
      <c r="AD1207">
        <v>0</v>
      </c>
      <c r="AE1207">
        <v>0</v>
      </c>
      <c r="AF1207">
        <v>1.1667000000000001</v>
      </c>
      <c r="AG1207">
        <v>141</v>
      </c>
      <c r="AH1207">
        <v>0</v>
      </c>
    </row>
    <row r="1208" spans="1:34" x14ac:dyDescent="0.35">
      <c r="A1208" t="s">
        <v>34</v>
      </c>
      <c r="B1208" s="1">
        <v>46146.65625</v>
      </c>
      <c r="C1208" t="s">
        <v>34</v>
      </c>
      <c r="D1208" s="1">
        <v>46150.625</v>
      </c>
      <c r="E1208">
        <v>6750</v>
      </c>
      <c r="F1208" t="s">
        <v>36</v>
      </c>
      <c r="G1208">
        <v>0.81</v>
      </c>
      <c r="H1208">
        <v>2</v>
      </c>
      <c r="I1208">
        <v>0.8</v>
      </c>
      <c r="J1208">
        <v>0.85</v>
      </c>
      <c r="K1208">
        <v>86</v>
      </c>
      <c r="L1208">
        <v>230</v>
      </c>
      <c r="M1208">
        <v>0.9</v>
      </c>
      <c r="N1208">
        <v>102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0.28000000000000003</v>
      </c>
      <c r="U1208">
        <v>-1.3299999999999999E-2</v>
      </c>
      <c r="V1208">
        <v>2.0000000000000001E-4</v>
      </c>
      <c r="W1208">
        <v>-0.65549999999999997</v>
      </c>
      <c r="X1208">
        <v>0.2732</v>
      </c>
      <c r="Y1208">
        <v>-1.03E-2</v>
      </c>
      <c r="Z1208">
        <v>81</v>
      </c>
      <c r="AA1208">
        <v>0.75</v>
      </c>
      <c r="AB1208">
        <v>28</v>
      </c>
      <c r="AC1208">
        <v>0.85</v>
      </c>
      <c r="AD1208">
        <v>0</v>
      </c>
      <c r="AE1208">
        <v>0</v>
      </c>
      <c r="AF1208">
        <v>1.3388</v>
      </c>
      <c r="AG1208">
        <v>2868</v>
      </c>
      <c r="AH1208">
        <v>0</v>
      </c>
    </row>
    <row r="1209" spans="1:34" x14ac:dyDescent="0.35">
      <c r="A1209" t="s">
        <v>34</v>
      </c>
      <c r="B1209" s="1">
        <v>46146.65625</v>
      </c>
      <c r="C1209" t="s">
        <v>34</v>
      </c>
      <c r="D1209" s="1">
        <v>46150.625</v>
      </c>
      <c r="E1209">
        <v>6755</v>
      </c>
      <c r="F1209" t="s">
        <v>36</v>
      </c>
      <c r="G1209">
        <v>0.85</v>
      </c>
      <c r="H1209">
        <v>1.1200000000000001</v>
      </c>
      <c r="I1209">
        <v>0.85</v>
      </c>
      <c r="J1209">
        <v>1</v>
      </c>
      <c r="K1209">
        <v>18</v>
      </c>
      <c r="L1209">
        <v>31</v>
      </c>
      <c r="M1209">
        <v>0.95</v>
      </c>
      <c r="N1209">
        <v>152</v>
      </c>
      <c r="O1209">
        <v>1.05</v>
      </c>
      <c r="P1209">
        <v>0</v>
      </c>
      <c r="Q1209">
        <v>0</v>
      </c>
      <c r="R1209">
        <v>0</v>
      </c>
      <c r="S1209">
        <v>0</v>
      </c>
      <c r="T1209">
        <v>0.27829999999999999</v>
      </c>
      <c r="U1209">
        <v>-1.37E-2</v>
      </c>
      <c r="V1209">
        <v>2.0000000000000001E-4</v>
      </c>
      <c r="W1209">
        <v>-0.67030000000000001</v>
      </c>
      <c r="X1209">
        <v>0.28000000000000003</v>
      </c>
      <c r="Y1209">
        <v>-1.06E-2</v>
      </c>
      <c r="Z1209">
        <v>102</v>
      </c>
      <c r="AA1209">
        <v>0.75</v>
      </c>
      <c r="AB1209">
        <v>84</v>
      </c>
      <c r="AC1209">
        <v>0.9</v>
      </c>
      <c r="AD1209">
        <v>0</v>
      </c>
      <c r="AE1209">
        <v>0</v>
      </c>
      <c r="AF1209">
        <v>1.0371999999999999</v>
      </c>
      <c r="AG1209">
        <v>91</v>
      </c>
      <c r="AH1209">
        <v>0</v>
      </c>
    </row>
    <row r="1210" spans="1:34" x14ac:dyDescent="0.35">
      <c r="A1210" t="s">
        <v>34</v>
      </c>
      <c r="B1210" s="1">
        <v>46146.65625</v>
      </c>
      <c r="C1210" t="s">
        <v>34</v>
      </c>
      <c r="D1210" s="1">
        <v>46150.625</v>
      </c>
      <c r="E1210">
        <v>6760</v>
      </c>
      <c r="F1210" t="s">
        <v>36</v>
      </c>
      <c r="G1210">
        <v>0.95</v>
      </c>
      <c r="H1210">
        <v>1.65</v>
      </c>
      <c r="I1210">
        <v>0.9</v>
      </c>
      <c r="J1210">
        <v>1.05</v>
      </c>
      <c r="K1210">
        <v>33</v>
      </c>
      <c r="L1210">
        <v>221</v>
      </c>
      <c r="M1210">
        <v>0.95</v>
      </c>
      <c r="N1210">
        <v>90</v>
      </c>
      <c r="O1210">
        <v>1.05</v>
      </c>
      <c r="P1210">
        <v>0</v>
      </c>
      <c r="Q1210">
        <v>0</v>
      </c>
      <c r="R1210">
        <v>0</v>
      </c>
      <c r="S1210">
        <v>0</v>
      </c>
      <c r="T1210">
        <v>0.27639999999999998</v>
      </c>
      <c r="U1210">
        <v>-1.41E-2</v>
      </c>
      <c r="V1210">
        <v>2.0000000000000001E-4</v>
      </c>
      <c r="W1210">
        <v>-0.68469999999999998</v>
      </c>
      <c r="X1210">
        <v>0.28710000000000002</v>
      </c>
      <c r="Y1210">
        <v>-1.09E-2</v>
      </c>
      <c r="Z1210">
        <v>38</v>
      </c>
      <c r="AA1210">
        <v>0.8</v>
      </c>
      <c r="AB1210">
        <v>29</v>
      </c>
      <c r="AC1210">
        <v>0.9</v>
      </c>
      <c r="AD1210">
        <v>0</v>
      </c>
      <c r="AE1210">
        <v>0</v>
      </c>
      <c r="AF1210">
        <v>1.5879000000000001</v>
      </c>
      <c r="AG1210">
        <v>115</v>
      </c>
      <c r="AH1210">
        <v>0</v>
      </c>
    </row>
    <row r="1211" spans="1:34" x14ac:dyDescent="0.35">
      <c r="A1211" t="s">
        <v>34</v>
      </c>
      <c r="B1211" s="1">
        <v>46146.65625</v>
      </c>
      <c r="C1211" t="s">
        <v>34</v>
      </c>
      <c r="D1211" s="1">
        <v>46150.625</v>
      </c>
      <c r="E1211">
        <v>6765</v>
      </c>
      <c r="F1211" t="s">
        <v>36</v>
      </c>
      <c r="G1211">
        <v>0.9</v>
      </c>
      <c r="H1211">
        <v>1.7</v>
      </c>
      <c r="I1211">
        <v>0.9</v>
      </c>
      <c r="J1211">
        <v>1.1000000000000001</v>
      </c>
      <c r="K1211">
        <v>7</v>
      </c>
      <c r="L1211">
        <v>51</v>
      </c>
      <c r="M1211">
        <v>1</v>
      </c>
      <c r="N1211">
        <v>152</v>
      </c>
      <c r="O1211">
        <v>1.1000000000000001</v>
      </c>
      <c r="P1211">
        <v>0</v>
      </c>
      <c r="Q1211">
        <v>0</v>
      </c>
      <c r="R1211">
        <v>0</v>
      </c>
      <c r="S1211">
        <v>0</v>
      </c>
      <c r="T1211">
        <v>0.2757</v>
      </c>
      <c r="U1211">
        <v>-1.4800000000000001E-2</v>
      </c>
      <c r="V1211">
        <v>2.0000000000000001E-4</v>
      </c>
      <c r="W1211">
        <v>-0.71440000000000003</v>
      </c>
      <c r="X1211">
        <v>0.2984</v>
      </c>
      <c r="Y1211">
        <v>-1.14E-2</v>
      </c>
      <c r="Z1211">
        <v>92</v>
      </c>
      <c r="AA1211">
        <v>0.8</v>
      </c>
      <c r="AB1211">
        <v>25</v>
      </c>
      <c r="AC1211">
        <v>0.9</v>
      </c>
      <c r="AD1211">
        <v>0</v>
      </c>
      <c r="AE1211">
        <v>0</v>
      </c>
      <c r="AF1211">
        <v>1.2843</v>
      </c>
      <c r="AG1211">
        <v>97</v>
      </c>
      <c r="AH1211">
        <v>0</v>
      </c>
    </row>
    <row r="1212" spans="1:34" x14ac:dyDescent="0.35">
      <c r="A1212" t="s">
        <v>34</v>
      </c>
      <c r="B1212" s="1">
        <v>46146.65625</v>
      </c>
      <c r="C1212" t="s">
        <v>34</v>
      </c>
      <c r="D1212" s="1">
        <v>46150.625</v>
      </c>
      <c r="E1212">
        <v>6770</v>
      </c>
      <c r="F1212" t="s">
        <v>36</v>
      </c>
      <c r="G1212">
        <v>1.08</v>
      </c>
      <c r="H1212">
        <v>2.29</v>
      </c>
      <c r="I1212">
        <v>0.95</v>
      </c>
      <c r="J1212">
        <v>1.1499999999999999</v>
      </c>
      <c r="K1212">
        <v>305</v>
      </c>
      <c r="L1212">
        <v>231</v>
      </c>
      <c r="M1212">
        <v>1</v>
      </c>
      <c r="N1212">
        <v>83</v>
      </c>
      <c r="O1212">
        <v>1.1000000000000001</v>
      </c>
      <c r="P1212">
        <v>0</v>
      </c>
      <c r="Q1212">
        <v>0</v>
      </c>
      <c r="R1212">
        <v>0</v>
      </c>
      <c r="S1212">
        <v>0</v>
      </c>
      <c r="T1212">
        <v>0.2727</v>
      </c>
      <c r="U1212">
        <v>-1.49E-2</v>
      </c>
      <c r="V1212">
        <v>2.0000000000000001E-4</v>
      </c>
      <c r="W1212">
        <v>-0.71340000000000003</v>
      </c>
      <c r="X1212">
        <v>0.30120000000000002</v>
      </c>
      <c r="Y1212">
        <v>-1.15E-2</v>
      </c>
      <c r="Z1212">
        <v>37</v>
      </c>
      <c r="AA1212">
        <v>0.85</v>
      </c>
      <c r="AB1212">
        <v>29</v>
      </c>
      <c r="AC1212">
        <v>0.95</v>
      </c>
      <c r="AD1212">
        <v>0</v>
      </c>
      <c r="AE1212">
        <v>0</v>
      </c>
      <c r="AF1212">
        <v>1.4854000000000001</v>
      </c>
      <c r="AG1212">
        <v>340</v>
      </c>
      <c r="AH1212">
        <v>0</v>
      </c>
    </row>
    <row r="1213" spans="1:34" x14ac:dyDescent="0.35">
      <c r="A1213" t="s">
        <v>34</v>
      </c>
      <c r="B1213" s="1">
        <v>46146.65625</v>
      </c>
      <c r="C1213" t="s">
        <v>34</v>
      </c>
      <c r="D1213" s="1">
        <v>46150.625</v>
      </c>
      <c r="E1213">
        <v>6775</v>
      </c>
      <c r="F1213" t="s">
        <v>36</v>
      </c>
      <c r="G1213">
        <v>0.95</v>
      </c>
      <c r="H1213">
        <v>1.82</v>
      </c>
      <c r="I1213">
        <v>0.95</v>
      </c>
      <c r="J1213">
        <v>1.1499999999999999</v>
      </c>
      <c r="K1213">
        <v>13</v>
      </c>
      <c r="L1213">
        <v>77</v>
      </c>
      <c r="M1213">
        <v>1.05</v>
      </c>
      <c r="N1213">
        <v>129</v>
      </c>
      <c r="O1213">
        <v>1.1499999999999999</v>
      </c>
      <c r="P1213">
        <v>0</v>
      </c>
      <c r="Q1213">
        <v>0</v>
      </c>
      <c r="R1213">
        <v>0</v>
      </c>
      <c r="S1213">
        <v>0</v>
      </c>
      <c r="T1213">
        <v>0.27179999999999999</v>
      </c>
      <c r="U1213">
        <v>-1.5599999999999999E-2</v>
      </c>
      <c r="V1213">
        <v>2.0000000000000001E-4</v>
      </c>
      <c r="W1213">
        <v>-0.74270000000000003</v>
      </c>
      <c r="X1213">
        <v>0.3125</v>
      </c>
      <c r="Y1213">
        <v>-1.21E-2</v>
      </c>
      <c r="Z1213">
        <v>105</v>
      </c>
      <c r="AA1213">
        <v>0.85</v>
      </c>
      <c r="AB1213">
        <v>25</v>
      </c>
      <c r="AC1213">
        <v>0.95</v>
      </c>
      <c r="AD1213">
        <v>0</v>
      </c>
      <c r="AE1213">
        <v>0</v>
      </c>
      <c r="AF1213">
        <v>1.2630999999999999</v>
      </c>
      <c r="AG1213">
        <v>1602</v>
      </c>
      <c r="AH1213">
        <v>0</v>
      </c>
    </row>
    <row r="1214" spans="1:34" x14ac:dyDescent="0.35">
      <c r="A1214" t="s">
        <v>34</v>
      </c>
      <c r="B1214" s="1">
        <v>46146.65625</v>
      </c>
      <c r="C1214" t="s">
        <v>34</v>
      </c>
      <c r="D1214" s="1">
        <v>46150.625</v>
      </c>
      <c r="E1214">
        <v>6780</v>
      </c>
      <c r="F1214" t="s">
        <v>36</v>
      </c>
      <c r="G1214">
        <v>1</v>
      </c>
      <c r="H1214">
        <v>2.86</v>
      </c>
      <c r="I1214">
        <v>0.95</v>
      </c>
      <c r="J1214">
        <v>1.1499999999999999</v>
      </c>
      <c r="K1214">
        <v>136</v>
      </c>
      <c r="L1214">
        <v>30</v>
      </c>
      <c r="M1214">
        <v>1.1000000000000001</v>
      </c>
      <c r="N1214">
        <v>194</v>
      </c>
      <c r="O1214">
        <v>1.2</v>
      </c>
      <c r="P1214">
        <v>0</v>
      </c>
      <c r="Q1214">
        <v>0</v>
      </c>
      <c r="R1214">
        <v>0</v>
      </c>
      <c r="S1214">
        <v>0</v>
      </c>
      <c r="T1214">
        <v>0.26879999999999998</v>
      </c>
      <c r="U1214">
        <v>-1.5699999999999999E-2</v>
      </c>
      <c r="V1214">
        <v>2.0000000000000001E-4</v>
      </c>
      <c r="W1214">
        <v>-0.74170000000000003</v>
      </c>
      <c r="X1214">
        <v>0.31530000000000002</v>
      </c>
      <c r="Y1214">
        <v>-1.2200000000000001E-2</v>
      </c>
      <c r="Z1214">
        <v>38</v>
      </c>
      <c r="AA1214">
        <v>0.9</v>
      </c>
      <c r="AB1214">
        <v>28</v>
      </c>
      <c r="AC1214">
        <v>1</v>
      </c>
      <c r="AD1214">
        <v>0</v>
      </c>
      <c r="AE1214">
        <v>0</v>
      </c>
      <c r="AF1214">
        <v>1.8173999999999999</v>
      </c>
      <c r="AG1214">
        <v>507</v>
      </c>
      <c r="AH1214">
        <v>0</v>
      </c>
    </row>
    <row r="1215" spans="1:34" x14ac:dyDescent="0.35">
      <c r="A1215" t="s">
        <v>34</v>
      </c>
      <c r="B1215" s="1">
        <v>46146.65625</v>
      </c>
      <c r="C1215" t="s">
        <v>34</v>
      </c>
      <c r="D1215" s="1">
        <v>46150.625</v>
      </c>
      <c r="E1215">
        <v>6785</v>
      </c>
      <c r="F1215" t="s">
        <v>36</v>
      </c>
      <c r="G1215">
        <v>1</v>
      </c>
      <c r="H1215">
        <v>2.35</v>
      </c>
      <c r="I1215">
        <v>0.95</v>
      </c>
      <c r="J1215">
        <v>1.25</v>
      </c>
      <c r="K1215">
        <v>21</v>
      </c>
      <c r="L1215">
        <v>191</v>
      </c>
      <c r="M1215">
        <v>1.1000000000000001</v>
      </c>
      <c r="N1215">
        <v>271</v>
      </c>
      <c r="O1215">
        <v>1.25</v>
      </c>
      <c r="P1215">
        <v>0</v>
      </c>
      <c r="Q1215">
        <v>0</v>
      </c>
      <c r="R1215">
        <v>0</v>
      </c>
      <c r="S1215">
        <v>0</v>
      </c>
      <c r="T1215">
        <v>0.2676</v>
      </c>
      <c r="U1215">
        <v>-1.6400000000000001E-2</v>
      </c>
      <c r="V1215">
        <v>2.0000000000000001E-4</v>
      </c>
      <c r="W1215">
        <v>-0.77039999999999997</v>
      </c>
      <c r="X1215">
        <v>0.32700000000000001</v>
      </c>
      <c r="Y1215">
        <v>-1.2699999999999999E-2</v>
      </c>
      <c r="Z1215">
        <v>98</v>
      </c>
      <c r="AA1215">
        <v>0.9</v>
      </c>
      <c r="AB1215">
        <v>82</v>
      </c>
      <c r="AC1215">
        <v>1.05</v>
      </c>
      <c r="AD1215">
        <v>0</v>
      </c>
      <c r="AE1215">
        <v>0</v>
      </c>
      <c r="AF1215">
        <v>1.1218999999999999</v>
      </c>
      <c r="AG1215">
        <v>182</v>
      </c>
      <c r="AH1215">
        <v>0</v>
      </c>
    </row>
    <row r="1216" spans="1:34" x14ac:dyDescent="0.35">
      <c r="A1216" t="s">
        <v>34</v>
      </c>
      <c r="B1216" s="1">
        <v>46146.65625</v>
      </c>
      <c r="C1216" t="s">
        <v>34</v>
      </c>
      <c r="D1216" s="1">
        <v>46150.625</v>
      </c>
      <c r="E1216">
        <v>6790</v>
      </c>
      <c r="F1216" t="s">
        <v>36</v>
      </c>
      <c r="G1216">
        <v>1.2</v>
      </c>
      <c r="H1216">
        <v>2.0499999999999998</v>
      </c>
      <c r="I1216">
        <v>0.92</v>
      </c>
      <c r="J1216">
        <v>1.1499999999999999</v>
      </c>
      <c r="K1216">
        <v>254</v>
      </c>
      <c r="L1216">
        <v>75</v>
      </c>
      <c r="M1216">
        <v>1.1499999999999999</v>
      </c>
      <c r="N1216">
        <v>118</v>
      </c>
      <c r="O1216">
        <v>1.25</v>
      </c>
      <c r="P1216">
        <v>0</v>
      </c>
      <c r="Q1216">
        <v>0</v>
      </c>
      <c r="R1216">
        <v>0</v>
      </c>
      <c r="S1216">
        <v>0</v>
      </c>
      <c r="T1216">
        <v>0.2666</v>
      </c>
      <c r="U1216">
        <v>-1.7100000000000001E-2</v>
      </c>
      <c r="V1216">
        <v>2.0000000000000001E-4</v>
      </c>
      <c r="W1216">
        <v>-0.79910000000000003</v>
      </c>
      <c r="X1216">
        <v>0.33829999999999999</v>
      </c>
      <c r="Y1216">
        <v>-1.3299999999999999E-2</v>
      </c>
      <c r="Z1216">
        <v>38</v>
      </c>
      <c r="AA1216">
        <v>0.95</v>
      </c>
      <c r="AB1216">
        <v>27</v>
      </c>
      <c r="AC1216">
        <v>1.05</v>
      </c>
      <c r="AD1216">
        <v>0</v>
      </c>
      <c r="AE1216">
        <v>0</v>
      </c>
      <c r="AF1216">
        <v>1.4228000000000001</v>
      </c>
      <c r="AG1216">
        <v>205</v>
      </c>
      <c r="AH1216">
        <v>0</v>
      </c>
    </row>
    <row r="1217" spans="1:34" x14ac:dyDescent="0.35">
      <c r="A1217" t="s">
        <v>34</v>
      </c>
      <c r="B1217" s="1">
        <v>46146.65625</v>
      </c>
      <c r="C1217" t="s">
        <v>34</v>
      </c>
      <c r="D1217" s="1">
        <v>46150.625</v>
      </c>
      <c r="E1217">
        <v>6795</v>
      </c>
      <c r="F1217" t="s">
        <v>36</v>
      </c>
      <c r="G1217">
        <v>1.0900000000000001</v>
      </c>
      <c r="H1217">
        <v>2.4500000000000002</v>
      </c>
      <c r="I1217">
        <v>1</v>
      </c>
      <c r="J1217">
        <v>1</v>
      </c>
      <c r="K1217">
        <v>90</v>
      </c>
      <c r="L1217">
        <v>30</v>
      </c>
      <c r="M1217">
        <v>1.2</v>
      </c>
      <c r="N1217">
        <v>187</v>
      </c>
      <c r="O1217">
        <v>1.3</v>
      </c>
      <c r="P1217">
        <v>0</v>
      </c>
      <c r="Q1217">
        <v>0</v>
      </c>
      <c r="R1217">
        <v>0</v>
      </c>
      <c r="S1217">
        <v>0</v>
      </c>
      <c r="T1217">
        <v>0.26450000000000001</v>
      </c>
      <c r="U1217">
        <v>-1.7500000000000002E-2</v>
      </c>
      <c r="V1217">
        <v>2.0000000000000001E-4</v>
      </c>
      <c r="W1217">
        <v>-0.81269999999999998</v>
      </c>
      <c r="X1217">
        <v>0.34560000000000002</v>
      </c>
      <c r="Y1217">
        <v>-1.3599999999999999E-2</v>
      </c>
      <c r="Z1217">
        <v>104</v>
      </c>
      <c r="AA1217">
        <v>0.95</v>
      </c>
      <c r="AB1217">
        <v>55</v>
      </c>
      <c r="AC1217">
        <v>1.1000000000000001</v>
      </c>
      <c r="AD1217">
        <v>0</v>
      </c>
      <c r="AE1217">
        <v>0</v>
      </c>
      <c r="AF1217">
        <v>1.3273999999999999</v>
      </c>
      <c r="AG1217">
        <v>90</v>
      </c>
      <c r="AH1217">
        <v>0</v>
      </c>
    </row>
    <row r="1218" spans="1:34" x14ac:dyDescent="0.35">
      <c r="A1218" t="s">
        <v>34</v>
      </c>
      <c r="B1218" s="1">
        <v>46146.65625</v>
      </c>
      <c r="C1218" t="s">
        <v>34</v>
      </c>
      <c r="D1218" s="1">
        <v>46150.625</v>
      </c>
      <c r="E1218">
        <v>6800</v>
      </c>
      <c r="F1218" t="s">
        <v>36</v>
      </c>
      <c r="G1218">
        <v>1.3</v>
      </c>
      <c r="H1218">
        <v>4.0199999999999996</v>
      </c>
      <c r="I1218">
        <v>1</v>
      </c>
      <c r="J1218">
        <v>1.05</v>
      </c>
      <c r="K1218">
        <v>2351</v>
      </c>
      <c r="L1218">
        <v>23</v>
      </c>
      <c r="M1218">
        <v>1.25</v>
      </c>
      <c r="N1218">
        <v>64</v>
      </c>
      <c r="O1218">
        <v>1.3</v>
      </c>
      <c r="P1218">
        <v>0</v>
      </c>
      <c r="Q1218">
        <v>0</v>
      </c>
      <c r="R1218">
        <v>0</v>
      </c>
      <c r="S1218">
        <v>0</v>
      </c>
      <c r="T1218">
        <v>0.26240000000000002</v>
      </c>
      <c r="U1218">
        <v>-1.7999999999999999E-2</v>
      </c>
      <c r="V1218">
        <v>2.0000000000000001E-4</v>
      </c>
      <c r="W1218">
        <v>-0.82609999999999995</v>
      </c>
      <c r="X1218">
        <v>0.35289999999999999</v>
      </c>
      <c r="Y1218">
        <v>-1.3899999999999999E-2</v>
      </c>
      <c r="Z1218">
        <v>97</v>
      </c>
      <c r="AA1218">
        <v>1</v>
      </c>
      <c r="AB1218">
        <v>23</v>
      </c>
      <c r="AC1218">
        <v>1.1000000000000001</v>
      </c>
      <c r="AD1218">
        <v>0</v>
      </c>
      <c r="AE1218">
        <v>0</v>
      </c>
      <c r="AF1218">
        <v>1.3099000000000001</v>
      </c>
      <c r="AG1218">
        <v>4666</v>
      </c>
      <c r="AH1218">
        <v>0</v>
      </c>
    </row>
    <row r="1219" spans="1:34" x14ac:dyDescent="0.35">
      <c r="A1219" t="s">
        <v>34</v>
      </c>
      <c r="B1219" s="1">
        <v>46146.65625</v>
      </c>
      <c r="C1219" t="s">
        <v>34</v>
      </c>
      <c r="D1219" s="1">
        <v>46150.625</v>
      </c>
      <c r="E1219">
        <v>6805</v>
      </c>
      <c r="F1219" t="s">
        <v>36</v>
      </c>
      <c r="G1219">
        <v>1.1000000000000001</v>
      </c>
      <c r="H1219">
        <v>1.51</v>
      </c>
      <c r="I1219">
        <v>1.1000000000000001</v>
      </c>
      <c r="J1219">
        <v>1.32</v>
      </c>
      <c r="K1219">
        <v>236</v>
      </c>
      <c r="L1219">
        <v>180</v>
      </c>
      <c r="M1219">
        <v>1.25</v>
      </c>
      <c r="N1219">
        <v>61</v>
      </c>
      <c r="O1219">
        <v>1.35</v>
      </c>
      <c r="P1219">
        <v>0</v>
      </c>
      <c r="Q1219">
        <v>0</v>
      </c>
      <c r="R1219">
        <v>0</v>
      </c>
      <c r="S1219">
        <v>0</v>
      </c>
      <c r="T1219">
        <v>0.26079999999999998</v>
      </c>
      <c r="U1219">
        <v>-1.8700000000000001E-2</v>
      </c>
      <c r="V1219">
        <v>2.0000000000000001E-4</v>
      </c>
      <c r="W1219">
        <v>-0.8538</v>
      </c>
      <c r="X1219">
        <v>0.3649</v>
      </c>
      <c r="Y1219">
        <v>-1.4500000000000001E-2</v>
      </c>
      <c r="Z1219">
        <v>38</v>
      </c>
      <c r="AA1219">
        <v>1.05</v>
      </c>
      <c r="AB1219">
        <v>26</v>
      </c>
      <c r="AC1219">
        <v>1.1499999999999999</v>
      </c>
      <c r="AD1219">
        <v>0</v>
      </c>
      <c r="AE1219">
        <v>0</v>
      </c>
      <c r="AF1219">
        <v>1.3983000000000001</v>
      </c>
      <c r="AG1219">
        <v>135</v>
      </c>
      <c r="AH1219">
        <v>0</v>
      </c>
    </row>
    <row r="1220" spans="1:34" x14ac:dyDescent="0.35">
      <c r="A1220" t="s">
        <v>34</v>
      </c>
      <c r="B1220" s="1">
        <v>46146.65625</v>
      </c>
      <c r="C1220" t="s">
        <v>34</v>
      </c>
      <c r="D1220" s="1">
        <v>46150.625</v>
      </c>
      <c r="E1220">
        <v>6810</v>
      </c>
      <c r="F1220" t="s">
        <v>36</v>
      </c>
      <c r="G1220">
        <v>1.35</v>
      </c>
      <c r="H1220">
        <v>2.2000000000000002</v>
      </c>
      <c r="I1220">
        <v>1.05</v>
      </c>
      <c r="J1220">
        <v>1.3</v>
      </c>
      <c r="K1220">
        <v>72</v>
      </c>
      <c r="L1220">
        <v>123</v>
      </c>
      <c r="M1220">
        <v>1.3</v>
      </c>
      <c r="N1220">
        <v>85</v>
      </c>
      <c r="O1220">
        <v>1.4</v>
      </c>
      <c r="P1220">
        <v>0</v>
      </c>
      <c r="Q1220">
        <v>0</v>
      </c>
      <c r="R1220">
        <v>0</v>
      </c>
      <c r="S1220">
        <v>0</v>
      </c>
      <c r="T1220">
        <v>0.2596</v>
      </c>
      <c r="U1220">
        <v>-1.9400000000000001E-2</v>
      </c>
      <c r="V1220">
        <v>2.0000000000000001E-4</v>
      </c>
      <c r="W1220">
        <v>-0.88149999999999995</v>
      </c>
      <c r="X1220">
        <v>0.3765</v>
      </c>
      <c r="Y1220">
        <v>-1.4999999999999999E-2</v>
      </c>
      <c r="Z1220">
        <v>95</v>
      </c>
      <c r="AA1220">
        <v>1.05</v>
      </c>
      <c r="AB1220">
        <v>33</v>
      </c>
      <c r="AC1220">
        <v>1.2</v>
      </c>
      <c r="AD1220">
        <v>0</v>
      </c>
      <c r="AE1220">
        <v>0</v>
      </c>
      <c r="AF1220">
        <v>1.6600999999999999</v>
      </c>
      <c r="AG1220">
        <v>341</v>
      </c>
      <c r="AH1220">
        <v>0</v>
      </c>
    </row>
    <row r="1221" spans="1:34" x14ac:dyDescent="0.35">
      <c r="A1221" t="s">
        <v>34</v>
      </c>
      <c r="B1221" s="1">
        <v>46146.65625</v>
      </c>
      <c r="C1221" t="s">
        <v>34</v>
      </c>
      <c r="D1221" s="1">
        <v>46150.625</v>
      </c>
      <c r="E1221">
        <v>6815</v>
      </c>
      <c r="F1221" t="s">
        <v>36</v>
      </c>
      <c r="G1221">
        <v>1.25</v>
      </c>
      <c r="H1221">
        <v>2.5499999999999998</v>
      </c>
      <c r="I1221">
        <v>1.2</v>
      </c>
      <c r="J1221">
        <v>1.39</v>
      </c>
      <c r="K1221">
        <v>5</v>
      </c>
      <c r="L1221">
        <v>74</v>
      </c>
      <c r="M1221">
        <v>1.35</v>
      </c>
      <c r="N1221">
        <v>88</v>
      </c>
      <c r="O1221">
        <v>1.45</v>
      </c>
      <c r="P1221">
        <v>0</v>
      </c>
      <c r="Q1221">
        <v>0</v>
      </c>
      <c r="R1221">
        <v>0</v>
      </c>
      <c r="S1221">
        <v>0</v>
      </c>
      <c r="T1221">
        <v>0.2581</v>
      </c>
      <c r="U1221">
        <v>-2.0199999999999999E-2</v>
      </c>
      <c r="V1221">
        <v>2.9999999999999997E-4</v>
      </c>
      <c r="W1221">
        <v>-0.90869999999999995</v>
      </c>
      <c r="X1221">
        <v>0.38840000000000002</v>
      </c>
      <c r="Y1221">
        <v>-1.5599999999999999E-2</v>
      </c>
      <c r="Z1221">
        <v>91</v>
      </c>
      <c r="AA1221">
        <v>1.1000000000000001</v>
      </c>
      <c r="AB1221">
        <v>80</v>
      </c>
      <c r="AC1221">
        <v>1.25</v>
      </c>
      <c r="AD1221">
        <v>0</v>
      </c>
      <c r="AE1221">
        <v>0</v>
      </c>
      <c r="AF1221">
        <v>1.5780000000000001</v>
      </c>
      <c r="AG1221">
        <v>128</v>
      </c>
      <c r="AH1221">
        <v>0</v>
      </c>
    </row>
    <row r="1222" spans="1:34" x14ac:dyDescent="0.35">
      <c r="A1222" t="s">
        <v>34</v>
      </c>
      <c r="B1222" s="1">
        <v>46146.65625</v>
      </c>
      <c r="C1222" t="s">
        <v>34</v>
      </c>
      <c r="D1222" s="1">
        <v>46150.625</v>
      </c>
      <c r="E1222">
        <v>6820</v>
      </c>
      <c r="F1222" t="s">
        <v>36</v>
      </c>
      <c r="G1222">
        <v>1.41</v>
      </c>
      <c r="H1222">
        <v>3.15</v>
      </c>
      <c r="I1222">
        <v>1.1399999999999999</v>
      </c>
      <c r="J1222">
        <v>1.2</v>
      </c>
      <c r="K1222">
        <v>86</v>
      </c>
      <c r="L1222">
        <v>59</v>
      </c>
      <c r="M1222">
        <v>1.4</v>
      </c>
      <c r="N1222">
        <v>171</v>
      </c>
      <c r="O1222">
        <v>1.5</v>
      </c>
      <c r="P1222">
        <v>0</v>
      </c>
      <c r="Q1222">
        <v>0</v>
      </c>
      <c r="R1222">
        <v>0</v>
      </c>
      <c r="S1222">
        <v>0</v>
      </c>
      <c r="T1222">
        <v>0.25659999999999999</v>
      </c>
      <c r="U1222">
        <v>-2.0899999999999998E-2</v>
      </c>
      <c r="V1222">
        <v>2.9999999999999997E-4</v>
      </c>
      <c r="W1222">
        <v>-0.93569999999999998</v>
      </c>
      <c r="X1222">
        <v>0.40050000000000002</v>
      </c>
      <c r="Y1222">
        <v>-1.6199999999999999E-2</v>
      </c>
      <c r="Z1222">
        <v>59</v>
      </c>
      <c r="AA1222">
        <v>1.1499999999999999</v>
      </c>
      <c r="AB1222">
        <v>22</v>
      </c>
      <c r="AC1222">
        <v>1.25</v>
      </c>
      <c r="AD1222">
        <v>0</v>
      </c>
      <c r="AE1222">
        <v>0</v>
      </c>
      <c r="AF1222">
        <v>2.0948000000000002</v>
      </c>
      <c r="AG1222">
        <v>1169</v>
      </c>
      <c r="AH1222">
        <v>0</v>
      </c>
    </row>
    <row r="1223" spans="1:34" x14ac:dyDescent="0.35">
      <c r="A1223" t="s">
        <v>34</v>
      </c>
      <c r="B1223" s="1">
        <v>46146.65625</v>
      </c>
      <c r="C1223" t="s">
        <v>34</v>
      </c>
      <c r="D1223" s="1">
        <v>46150.625</v>
      </c>
      <c r="E1223">
        <v>6825</v>
      </c>
      <c r="F1223" t="s">
        <v>36</v>
      </c>
      <c r="G1223">
        <v>1.48</v>
      </c>
      <c r="H1223">
        <v>3.02</v>
      </c>
      <c r="I1223">
        <v>1.2</v>
      </c>
      <c r="J1223">
        <v>1.25</v>
      </c>
      <c r="K1223">
        <v>165</v>
      </c>
      <c r="L1223">
        <v>57</v>
      </c>
      <c r="M1223">
        <v>1.45</v>
      </c>
      <c r="N1223">
        <v>166</v>
      </c>
      <c r="O1223">
        <v>1.55</v>
      </c>
      <c r="P1223">
        <v>0</v>
      </c>
      <c r="Q1223">
        <v>0</v>
      </c>
      <c r="R1223">
        <v>0</v>
      </c>
      <c r="S1223">
        <v>0</v>
      </c>
      <c r="T1223">
        <v>0.25419999999999998</v>
      </c>
      <c r="U1223">
        <v>-2.1399999999999999E-2</v>
      </c>
      <c r="V1223">
        <v>2.9999999999999997E-4</v>
      </c>
      <c r="W1223">
        <v>-0.94820000000000004</v>
      </c>
      <c r="X1223">
        <v>0.40860000000000002</v>
      </c>
      <c r="Y1223">
        <v>-1.66E-2</v>
      </c>
      <c r="Z1223">
        <v>63</v>
      </c>
      <c r="AA1223">
        <v>1.2</v>
      </c>
      <c r="AB1223">
        <v>22</v>
      </c>
      <c r="AC1223">
        <v>1.3</v>
      </c>
      <c r="AD1223">
        <v>0</v>
      </c>
      <c r="AE1223">
        <v>0</v>
      </c>
      <c r="AF1223">
        <v>1.7712000000000001</v>
      </c>
      <c r="AG1223">
        <v>452</v>
      </c>
      <c r="AH1223">
        <v>0</v>
      </c>
    </row>
    <row r="1224" spans="1:34" x14ac:dyDescent="0.35">
      <c r="A1224" t="s">
        <v>34</v>
      </c>
      <c r="B1224" s="1">
        <v>46146.65625</v>
      </c>
      <c r="C1224" t="s">
        <v>34</v>
      </c>
      <c r="D1224" s="1">
        <v>46150.625</v>
      </c>
      <c r="E1224">
        <v>6830</v>
      </c>
      <c r="F1224" t="s">
        <v>36</v>
      </c>
      <c r="G1224">
        <v>1.5</v>
      </c>
      <c r="H1224">
        <v>3.6</v>
      </c>
      <c r="I1224">
        <v>1.23</v>
      </c>
      <c r="J1224">
        <v>1.35</v>
      </c>
      <c r="K1224">
        <v>503</v>
      </c>
      <c r="L1224">
        <v>69</v>
      </c>
      <c r="M1224">
        <v>1.5</v>
      </c>
      <c r="N1224">
        <v>157</v>
      </c>
      <c r="O1224">
        <v>1.6</v>
      </c>
      <c r="P1224">
        <v>0</v>
      </c>
      <c r="Q1224">
        <v>0</v>
      </c>
      <c r="R1224">
        <v>0</v>
      </c>
      <c r="S1224">
        <v>0</v>
      </c>
      <c r="T1224">
        <v>0.25319999999999998</v>
      </c>
      <c r="U1224">
        <v>-2.24E-2</v>
      </c>
      <c r="V1224">
        <v>2.9999999999999997E-4</v>
      </c>
      <c r="W1224">
        <v>-0.98860000000000003</v>
      </c>
      <c r="X1224">
        <v>0.42499999999999999</v>
      </c>
      <c r="Y1224">
        <v>-1.7399999999999999E-2</v>
      </c>
      <c r="Z1224">
        <v>1</v>
      </c>
      <c r="AA1224">
        <v>1.25</v>
      </c>
      <c r="AB1224">
        <v>24</v>
      </c>
      <c r="AC1224">
        <v>1.35</v>
      </c>
      <c r="AD1224">
        <v>0</v>
      </c>
      <c r="AE1224">
        <v>0</v>
      </c>
      <c r="AF1224">
        <v>2.3138999999999998</v>
      </c>
      <c r="AG1224">
        <v>237</v>
      </c>
      <c r="AH1224">
        <v>0</v>
      </c>
    </row>
    <row r="1225" spans="1:34" x14ac:dyDescent="0.35">
      <c r="A1225" t="s">
        <v>34</v>
      </c>
      <c r="B1225" s="1">
        <v>46146.65625</v>
      </c>
      <c r="C1225" t="s">
        <v>34</v>
      </c>
      <c r="D1225" s="1">
        <v>46150.625</v>
      </c>
      <c r="E1225">
        <v>6835</v>
      </c>
      <c r="F1225" t="s">
        <v>36</v>
      </c>
      <c r="G1225">
        <v>1.35</v>
      </c>
      <c r="H1225">
        <v>2.9</v>
      </c>
      <c r="I1225">
        <v>1.35</v>
      </c>
      <c r="J1225">
        <v>1.75</v>
      </c>
      <c r="K1225">
        <v>41</v>
      </c>
      <c r="L1225">
        <v>75</v>
      </c>
      <c r="M1225">
        <v>1.55</v>
      </c>
      <c r="N1225">
        <v>120</v>
      </c>
      <c r="O1225">
        <v>1.65</v>
      </c>
      <c r="P1225">
        <v>0</v>
      </c>
      <c r="Q1225">
        <v>0</v>
      </c>
      <c r="R1225">
        <v>0</v>
      </c>
      <c r="S1225">
        <v>0</v>
      </c>
      <c r="T1225">
        <v>0.25159999999999999</v>
      </c>
      <c r="U1225">
        <v>-2.3199999999999998E-2</v>
      </c>
      <c r="V1225">
        <v>2.9999999999999997E-4</v>
      </c>
      <c r="W1225">
        <v>-1.0145999999999999</v>
      </c>
      <c r="X1225">
        <v>0.437</v>
      </c>
      <c r="Y1225">
        <v>-1.7999999999999999E-2</v>
      </c>
      <c r="Z1225">
        <v>1</v>
      </c>
      <c r="AA1225">
        <v>1.3</v>
      </c>
      <c r="AB1225">
        <v>24</v>
      </c>
      <c r="AC1225">
        <v>1.4</v>
      </c>
      <c r="AD1225">
        <v>0</v>
      </c>
      <c r="AE1225">
        <v>0</v>
      </c>
      <c r="AF1225">
        <v>1.9682999999999999</v>
      </c>
      <c r="AG1225">
        <v>205</v>
      </c>
      <c r="AH1225">
        <v>0</v>
      </c>
    </row>
    <row r="1226" spans="1:34" x14ac:dyDescent="0.35">
      <c r="A1226" t="s">
        <v>34</v>
      </c>
      <c r="B1226" s="1">
        <v>46146.65625</v>
      </c>
      <c r="C1226" t="s">
        <v>34</v>
      </c>
      <c r="D1226" s="1">
        <v>46150.625</v>
      </c>
      <c r="E1226">
        <v>6840</v>
      </c>
      <c r="F1226" t="s">
        <v>36</v>
      </c>
      <c r="G1226">
        <v>1.65</v>
      </c>
      <c r="H1226">
        <v>3.3</v>
      </c>
      <c r="I1226">
        <v>1.27</v>
      </c>
      <c r="J1226">
        <v>1.65</v>
      </c>
      <c r="K1226">
        <v>147</v>
      </c>
      <c r="L1226">
        <v>95</v>
      </c>
      <c r="M1226">
        <v>1.6</v>
      </c>
      <c r="N1226">
        <v>78</v>
      </c>
      <c r="O1226">
        <v>1.7</v>
      </c>
      <c r="P1226">
        <v>0</v>
      </c>
      <c r="Q1226">
        <v>0</v>
      </c>
      <c r="R1226">
        <v>0</v>
      </c>
      <c r="S1226">
        <v>0</v>
      </c>
      <c r="T1226">
        <v>0.24990000000000001</v>
      </c>
      <c r="U1226">
        <v>-2.4E-2</v>
      </c>
      <c r="V1226">
        <v>2.9999999999999997E-4</v>
      </c>
      <c r="W1226">
        <v>-1.0404</v>
      </c>
      <c r="X1226">
        <v>0.44919999999999999</v>
      </c>
      <c r="Y1226">
        <v>-1.8599999999999998E-2</v>
      </c>
      <c r="Z1226">
        <v>1</v>
      </c>
      <c r="AA1226">
        <v>1.35</v>
      </c>
      <c r="AB1226">
        <v>21</v>
      </c>
      <c r="AC1226">
        <v>1.45</v>
      </c>
      <c r="AD1226">
        <v>0</v>
      </c>
      <c r="AE1226">
        <v>0</v>
      </c>
      <c r="AF1226">
        <v>2.0779999999999998</v>
      </c>
      <c r="AG1226">
        <v>253</v>
      </c>
      <c r="AH1226">
        <v>0</v>
      </c>
    </row>
    <row r="1227" spans="1:34" x14ac:dyDescent="0.35">
      <c r="A1227" t="s">
        <v>34</v>
      </c>
      <c r="B1227" s="1">
        <v>46146.65625</v>
      </c>
      <c r="C1227" t="s">
        <v>34</v>
      </c>
      <c r="D1227" s="1">
        <v>46150.625</v>
      </c>
      <c r="E1227">
        <v>6845</v>
      </c>
      <c r="F1227" t="s">
        <v>36</v>
      </c>
      <c r="G1227">
        <v>1.65</v>
      </c>
      <c r="H1227">
        <v>3.8</v>
      </c>
      <c r="I1227">
        <v>1.2</v>
      </c>
      <c r="J1227">
        <v>1.4</v>
      </c>
      <c r="K1227">
        <v>310</v>
      </c>
      <c r="L1227">
        <v>128</v>
      </c>
      <c r="M1227">
        <v>1.65</v>
      </c>
      <c r="N1227">
        <v>26</v>
      </c>
      <c r="O1227">
        <v>1.75</v>
      </c>
      <c r="P1227">
        <v>0</v>
      </c>
      <c r="Q1227">
        <v>0</v>
      </c>
      <c r="R1227">
        <v>0</v>
      </c>
      <c r="S1227">
        <v>0</v>
      </c>
      <c r="T1227">
        <v>0.248</v>
      </c>
      <c r="U1227">
        <v>-2.47E-2</v>
      </c>
      <c r="V1227">
        <v>2.9999999999999997E-4</v>
      </c>
      <c r="W1227">
        <v>-1.0658000000000001</v>
      </c>
      <c r="X1227">
        <v>0.46150000000000002</v>
      </c>
      <c r="Y1227">
        <v>-1.9199999999999998E-2</v>
      </c>
      <c r="Z1227">
        <v>1</v>
      </c>
      <c r="AA1227">
        <v>1.4</v>
      </c>
      <c r="AB1227">
        <v>21</v>
      </c>
      <c r="AC1227">
        <v>1.5</v>
      </c>
      <c r="AD1227">
        <v>0</v>
      </c>
      <c r="AE1227">
        <v>0</v>
      </c>
      <c r="AF1227">
        <v>2.0640000000000001</v>
      </c>
      <c r="AG1227">
        <v>134</v>
      </c>
      <c r="AH1227">
        <v>0</v>
      </c>
    </row>
    <row r="1228" spans="1:34" x14ac:dyDescent="0.35">
      <c r="A1228" t="s">
        <v>34</v>
      </c>
      <c r="B1228" s="1">
        <v>46146.65625</v>
      </c>
      <c r="C1228" t="s">
        <v>34</v>
      </c>
      <c r="D1228" s="1">
        <v>46150.625</v>
      </c>
      <c r="E1228">
        <v>6850</v>
      </c>
      <c r="F1228" t="s">
        <v>36</v>
      </c>
      <c r="G1228">
        <v>1.7</v>
      </c>
      <c r="H1228">
        <v>4.3899999999999997</v>
      </c>
      <c r="I1228">
        <v>1.25</v>
      </c>
      <c r="J1228">
        <v>1.5</v>
      </c>
      <c r="K1228">
        <v>1642</v>
      </c>
      <c r="L1228">
        <v>248</v>
      </c>
      <c r="M1228">
        <v>1.7</v>
      </c>
      <c r="N1228">
        <v>206</v>
      </c>
      <c r="O1228">
        <v>1.85</v>
      </c>
      <c r="P1228">
        <v>0</v>
      </c>
      <c r="Q1228">
        <v>0</v>
      </c>
      <c r="R1228">
        <v>0</v>
      </c>
      <c r="S1228">
        <v>0</v>
      </c>
      <c r="T1228">
        <v>0.24590000000000001</v>
      </c>
      <c r="U1228">
        <v>-2.5600000000000001E-2</v>
      </c>
      <c r="V1228">
        <v>2.9999999999999997E-4</v>
      </c>
      <c r="W1228">
        <v>-1.0906</v>
      </c>
      <c r="X1228">
        <v>0.47420000000000001</v>
      </c>
      <c r="Y1228">
        <v>-1.9900000000000001E-2</v>
      </c>
      <c r="Z1228">
        <v>33</v>
      </c>
      <c r="AA1228">
        <v>1.45</v>
      </c>
      <c r="AB1228">
        <v>105</v>
      </c>
      <c r="AC1228">
        <v>1.6</v>
      </c>
      <c r="AD1228">
        <v>0</v>
      </c>
      <c r="AE1228">
        <v>0</v>
      </c>
      <c r="AF1228">
        <v>1.6025</v>
      </c>
      <c r="AG1228">
        <v>2026</v>
      </c>
      <c r="AH1228">
        <v>0</v>
      </c>
    </row>
    <row r="1229" spans="1:34" x14ac:dyDescent="0.35">
      <c r="A1229" t="s">
        <v>34</v>
      </c>
      <c r="B1229" s="1">
        <v>46146.65625</v>
      </c>
      <c r="C1229" t="s">
        <v>34</v>
      </c>
      <c r="D1229" s="1">
        <v>46150.625</v>
      </c>
      <c r="E1229">
        <v>6855</v>
      </c>
      <c r="F1229" t="s">
        <v>36</v>
      </c>
      <c r="G1229">
        <v>1.77</v>
      </c>
      <c r="H1229">
        <v>3.6</v>
      </c>
      <c r="I1229">
        <v>1.45</v>
      </c>
      <c r="J1229">
        <v>2</v>
      </c>
      <c r="K1229">
        <v>67</v>
      </c>
      <c r="L1229">
        <v>69</v>
      </c>
      <c r="M1229">
        <v>1.8</v>
      </c>
      <c r="N1229">
        <v>149</v>
      </c>
      <c r="O1229">
        <v>1.9</v>
      </c>
      <c r="P1229">
        <v>0</v>
      </c>
      <c r="Q1229">
        <v>0</v>
      </c>
      <c r="R1229">
        <v>0</v>
      </c>
      <c r="S1229">
        <v>0</v>
      </c>
      <c r="T1229">
        <v>0.24490000000000001</v>
      </c>
      <c r="U1229">
        <v>-2.6599999999999999E-2</v>
      </c>
      <c r="V1229">
        <v>2.9999999999999997E-4</v>
      </c>
      <c r="W1229">
        <v>-1.1291</v>
      </c>
      <c r="X1229">
        <v>0.4899</v>
      </c>
      <c r="Y1229">
        <v>-2.07E-2</v>
      </c>
      <c r="Z1229">
        <v>33</v>
      </c>
      <c r="AA1229">
        <v>1.5</v>
      </c>
      <c r="AB1229">
        <v>68</v>
      </c>
      <c r="AC1229">
        <v>1.65</v>
      </c>
      <c r="AD1229">
        <v>0</v>
      </c>
      <c r="AE1229">
        <v>0</v>
      </c>
      <c r="AF1229">
        <v>1.6706000000000001</v>
      </c>
      <c r="AG1229">
        <v>127</v>
      </c>
      <c r="AH1229">
        <v>0</v>
      </c>
    </row>
    <row r="1230" spans="1:34" x14ac:dyDescent="0.35">
      <c r="A1230" t="s">
        <v>34</v>
      </c>
      <c r="B1230" s="1">
        <v>46146.65625</v>
      </c>
      <c r="C1230" t="s">
        <v>34</v>
      </c>
      <c r="D1230" s="1">
        <v>46150.625</v>
      </c>
      <c r="E1230">
        <v>6860</v>
      </c>
      <c r="F1230" t="s">
        <v>36</v>
      </c>
      <c r="G1230">
        <v>1.7</v>
      </c>
      <c r="H1230">
        <v>3.2</v>
      </c>
      <c r="I1230">
        <v>1.4</v>
      </c>
      <c r="J1230">
        <v>2.1</v>
      </c>
      <c r="K1230">
        <v>55</v>
      </c>
      <c r="L1230">
        <v>101</v>
      </c>
      <c r="M1230">
        <v>1.85</v>
      </c>
      <c r="N1230">
        <v>170</v>
      </c>
      <c r="O1230">
        <v>2</v>
      </c>
      <c r="P1230">
        <v>0</v>
      </c>
      <c r="Q1230">
        <v>0</v>
      </c>
      <c r="R1230">
        <v>0</v>
      </c>
      <c r="S1230">
        <v>0</v>
      </c>
      <c r="T1230">
        <v>0.24340000000000001</v>
      </c>
      <c r="U1230">
        <v>-2.7699999999999999E-2</v>
      </c>
      <c r="V1230">
        <v>2.9999999999999997E-4</v>
      </c>
      <c r="W1230">
        <v>-1.1667000000000001</v>
      </c>
      <c r="X1230">
        <v>0.50619999999999998</v>
      </c>
      <c r="Y1230">
        <v>-2.1600000000000001E-2</v>
      </c>
      <c r="Z1230">
        <v>1</v>
      </c>
      <c r="AA1230">
        <v>1.6</v>
      </c>
      <c r="AB1230">
        <v>46</v>
      </c>
      <c r="AC1230">
        <v>1.7</v>
      </c>
      <c r="AD1230">
        <v>0</v>
      </c>
      <c r="AE1230">
        <v>0</v>
      </c>
      <c r="AF1230">
        <v>2.0249000000000001</v>
      </c>
      <c r="AG1230">
        <v>254</v>
      </c>
      <c r="AH1230">
        <v>0</v>
      </c>
    </row>
    <row r="1231" spans="1:34" x14ac:dyDescent="0.35">
      <c r="A1231" t="s">
        <v>34</v>
      </c>
      <c r="B1231" s="1">
        <v>46146.65625</v>
      </c>
      <c r="C1231" t="s">
        <v>34</v>
      </c>
      <c r="D1231" s="1">
        <v>46150.625</v>
      </c>
      <c r="E1231">
        <v>6865</v>
      </c>
      <c r="F1231" t="s">
        <v>36</v>
      </c>
      <c r="G1231">
        <v>1.85</v>
      </c>
      <c r="H1231">
        <v>3.7</v>
      </c>
      <c r="I1231">
        <v>1.5</v>
      </c>
      <c r="J1231">
        <v>1.67</v>
      </c>
      <c r="K1231">
        <v>208</v>
      </c>
      <c r="L1231">
        <v>27</v>
      </c>
      <c r="M1231">
        <v>1.95</v>
      </c>
      <c r="N1231">
        <v>151</v>
      </c>
      <c r="O1231">
        <v>2.0499999999999998</v>
      </c>
      <c r="P1231">
        <v>0</v>
      </c>
      <c r="Q1231">
        <v>0</v>
      </c>
      <c r="R1231">
        <v>0</v>
      </c>
      <c r="S1231">
        <v>0</v>
      </c>
      <c r="T1231">
        <v>0.24199999999999999</v>
      </c>
      <c r="U1231">
        <v>-2.8799999999999999E-2</v>
      </c>
      <c r="V1231">
        <v>4.0000000000000002E-4</v>
      </c>
      <c r="W1231">
        <v>-1.2039</v>
      </c>
      <c r="X1231">
        <v>0.52249999999999996</v>
      </c>
      <c r="Y1231">
        <v>-2.24E-2</v>
      </c>
      <c r="Z1231">
        <v>1</v>
      </c>
      <c r="AA1231">
        <v>1.65</v>
      </c>
      <c r="AB1231">
        <v>98</v>
      </c>
      <c r="AC1231">
        <v>1.8</v>
      </c>
      <c r="AD1231">
        <v>0</v>
      </c>
      <c r="AE1231">
        <v>0</v>
      </c>
      <c r="AF1231">
        <v>2.3441000000000001</v>
      </c>
      <c r="AG1231">
        <v>117</v>
      </c>
      <c r="AH1231">
        <v>0</v>
      </c>
    </row>
    <row r="1232" spans="1:34" x14ac:dyDescent="0.35">
      <c r="A1232" t="s">
        <v>34</v>
      </c>
      <c r="B1232" s="1">
        <v>46146.65625</v>
      </c>
      <c r="C1232" t="s">
        <v>34</v>
      </c>
      <c r="D1232" s="1">
        <v>46150.625</v>
      </c>
      <c r="E1232">
        <v>6870</v>
      </c>
      <c r="F1232" t="s">
        <v>36</v>
      </c>
      <c r="G1232">
        <v>1.9</v>
      </c>
      <c r="H1232">
        <v>3.6</v>
      </c>
      <c r="I1232">
        <v>1.48</v>
      </c>
      <c r="J1232">
        <v>1.74</v>
      </c>
      <c r="K1232">
        <v>120</v>
      </c>
      <c r="L1232">
        <v>157</v>
      </c>
      <c r="M1232">
        <v>2</v>
      </c>
      <c r="N1232">
        <v>213</v>
      </c>
      <c r="O1232">
        <v>2.15</v>
      </c>
      <c r="P1232">
        <v>0</v>
      </c>
      <c r="Q1232">
        <v>0</v>
      </c>
      <c r="R1232">
        <v>0</v>
      </c>
      <c r="S1232">
        <v>0</v>
      </c>
      <c r="T1232">
        <v>0.2404</v>
      </c>
      <c r="U1232">
        <v>-2.9899999999999999E-2</v>
      </c>
      <c r="V1232">
        <v>4.0000000000000002E-4</v>
      </c>
      <c r="W1232">
        <v>-1.2404999999999999</v>
      </c>
      <c r="X1232">
        <v>0.53910000000000002</v>
      </c>
      <c r="Y1232">
        <v>-2.3300000000000001E-2</v>
      </c>
      <c r="Z1232">
        <v>36</v>
      </c>
      <c r="AA1232">
        <v>1.7</v>
      </c>
      <c r="AB1232">
        <v>47</v>
      </c>
      <c r="AC1232">
        <v>1.85</v>
      </c>
      <c r="AD1232">
        <v>0</v>
      </c>
      <c r="AE1232">
        <v>0</v>
      </c>
      <c r="AF1232">
        <v>2.569</v>
      </c>
      <c r="AG1232">
        <v>227</v>
      </c>
      <c r="AH1232">
        <v>0</v>
      </c>
    </row>
    <row r="1233" spans="1:34" x14ac:dyDescent="0.35">
      <c r="A1233" t="s">
        <v>34</v>
      </c>
      <c r="B1233" s="1">
        <v>46146.65625</v>
      </c>
      <c r="C1233" t="s">
        <v>34</v>
      </c>
      <c r="D1233" s="1">
        <v>46150.625</v>
      </c>
      <c r="E1233">
        <v>6875</v>
      </c>
      <c r="F1233" t="s">
        <v>36</v>
      </c>
      <c r="G1233">
        <v>1.9</v>
      </c>
      <c r="H1233">
        <v>4.49</v>
      </c>
      <c r="I1233">
        <v>1.5</v>
      </c>
      <c r="J1233">
        <v>1.8</v>
      </c>
      <c r="K1233">
        <v>250</v>
      </c>
      <c r="L1233">
        <v>123</v>
      </c>
      <c r="M1233">
        <v>2.1</v>
      </c>
      <c r="N1233">
        <v>129</v>
      </c>
      <c r="O1233">
        <v>2.2000000000000002</v>
      </c>
      <c r="P1233">
        <v>0</v>
      </c>
      <c r="Q1233">
        <v>0</v>
      </c>
      <c r="R1233">
        <v>0</v>
      </c>
      <c r="S1233">
        <v>0</v>
      </c>
      <c r="T1233">
        <v>0.23910000000000001</v>
      </c>
      <c r="U1233">
        <v>-3.1300000000000001E-2</v>
      </c>
      <c r="V1233">
        <v>4.0000000000000002E-4</v>
      </c>
      <c r="W1233">
        <v>-1.2894000000000001</v>
      </c>
      <c r="X1233">
        <v>0.55979999999999996</v>
      </c>
      <c r="Y1233">
        <v>-2.4400000000000002E-2</v>
      </c>
      <c r="Z1233">
        <v>1</v>
      </c>
      <c r="AA1233">
        <v>1.8</v>
      </c>
      <c r="AB1233">
        <v>101</v>
      </c>
      <c r="AC1233">
        <v>1.95</v>
      </c>
      <c r="AD1233">
        <v>0</v>
      </c>
      <c r="AE1233">
        <v>0</v>
      </c>
      <c r="AF1233">
        <v>2.2985000000000002</v>
      </c>
      <c r="AG1233">
        <v>1629</v>
      </c>
      <c r="AH1233">
        <v>0</v>
      </c>
    </row>
    <row r="1234" spans="1:34" x14ac:dyDescent="0.35">
      <c r="A1234" t="s">
        <v>34</v>
      </c>
      <c r="B1234" s="1">
        <v>46146.65625</v>
      </c>
      <c r="C1234" t="s">
        <v>34</v>
      </c>
      <c r="D1234" s="1">
        <v>46150.625</v>
      </c>
      <c r="E1234">
        <v>6880</v>
      </c>
      <c r="F1234" t="s">
        <v>36</v>
      </c>
      <c r="G1234">
        <v>2</v>
      </c>
      <c r="H1234">
        <v>6</v>
      </c>
      <c r="I1234">
        <v>1.65</v>
      </c>
      <c r="J1234">
        <v>2.13</v>
      </c>
      <c r="K1234">
        <v>250</v>
      </c>
      <c r="L1234">
        <v>100</v>
      </c>
      <c r="M1234">
        <v>2.2000000000000002</v>
      </c>
      <c r="N1234">
        <v>172</v>
      </c>
      <c r="O1234">
        <v>2.2999999999999998</v>
      </c>
      <c r="P1234">
        <v>0</v>
      </c>
      <c r="Q1234">
        <v>0</v>
      </c>
      <c r="R1234">
        <v>0</v>
      </c>
      <c r="S1234">
        <v>0</v>
      </c>
      <c r="T1234">
        <v>0.23749999999999999</v>
      </c>
      <c r="U1234">
        <v>-3.2500000000000001E-2</v>
      </c>
      <c r="V1234">
        <v>4.0000000000000002E-4</v>
      </c>
      <c r="W1234">
        <v>-1.3249</v>
      </c>
      <c r="X1234">
        <v>0.57630000000000003</v>
      </c>
      <c r="Y1234">
        <v>-2.53E-2</v>
      </c>
      <c r="Z1234">
        <v>33</v>
      </c>
      <c r="AA1234">
        <v>1.85</v>
      </c>
      <c r="AB1234">
        <v>35</v>
      </c>
      <c r="AC1234">
        <v>2</v>
      </c>
      <c r="AD1234">
        <v>0</v>
      </c>
      <c r="AE1234">
        <v>0</v>
      </c>
      <c r="AF1234">
        <v>3.0287999999999999</v>
      </c>
      <c r="AG1234">
        <v>591</v>
      </c>
      <c r="AH1234">
        <v>0</v>
      </c>
    </row>
    <row r="1235" spans="1:34" x14ac:dyDescent="0.35">
      <c r="A1235" t="s">
        <v>34</v>
      </c>
      <c r="B1235" s="1">
        <v>46146.65625</v>
      </c>
      <c r="C1235" t="s">
        <v>34</v>
      </c>
      <c r="D1235" s="1">
        <v>46150.625</v>
      </c>
      <c r="E1235">
        <v>6885</v>
      </c>
      <c r="F1235" t="s">
        <v>36</v>
      </c>
      <c r="G1235">
        <v>2.0499999999999998</v>
      </c>
      <c r="H1235">
        <v>4.3</v>
      </c>
      <c r="I1235">
        <v>1.85</v>
      </c>
      <c r="J1235">
        <v>2</v>
      </c>
      <c r="K1235">
        <v>58</v>
      </c>
      <c r="L1235">
        <v>190</v>
      </c>
      <c r="M1235">
        <v>2.25</v>
      </c>
      <c r="N1235">
        <v>166</v>
      </c>
      <c r="O1235">
        <v>2.4</v>
      </c>
      <c r="P1235">
        <v>0</v>
      </c>
      <c r="Q1235">
        <v>0</v>
      </c>
      <c r="R1235">
        <v>0</v>
      </c>
      <c r="S1235">
        <v>0</v>
      </c>
      <c r="T1235">
        <v>0.23619999999999999</v>
      </c>
      <c r="U1235">
        <v>-3.39E-2</v>
      </c>
      <c r="V1235">
        <v>4.0000000000000002E-4</v>
      </c>
      <c r="W1235">
        <v>-1.3724000000000001</v>
      </c>
      <c r="X1235">
        <v>0.59689999999999999</v>
      </c>
      <c r="Y1235">
        <v>-2.64E-2</v>
      </c>
      <c r="Z1235">
        <v>37</v>
      </c>
      <c r="AA1235">
        <v>1.95</v>
      </c>
      <c r="AB1235">
        <v>63</v>
      </c>
      <c r="AC1235">
        <v>2.1</v>
      </c>
      <c r="AD1235">
        <v>0</v>
      </c>
      <c r="AE1235">
        <v>0</v>
      </c>
      <c r="AF1235">
        <v>2.8393000000000002</v>
      </c>
      <c r="AG1235">
        <v>300</v>
      </c>
      <c r="AH1235">
        <v>0</v>
      </c>
    </row>
    <row r="1236" spans="1:34" x14ac:dyDescent="0.35">
      <c r="A1236" t="s">
        <v>34</v>
      </c>
      <c r="B1236" s="1">
        <v>46146.65625</v>
      </c>
      <c r="C1236" t="s">
        <v>34</v>
      </c>
      <c r="D1236" s="1">
        <v>46150.625</v>
      </c>
      <c r="E1236">
        <v>6890</v>
      </c>
      <c r="F1236" t="s">
        <v>36</v>
      </c>
      <c r="G1236">
        <v>1.97</v>
      </c>
      <c r="H1236">
        <v>5.8</v>
      </c>
      <c r="I1236">
        <v>1.87</v>
      </c>
      <c r="J1236">
        <v>2.04</v>
      </c>
      <c r="K1236">
        <v>184</v>
      </c>
      <c r="L1236">
        <v>184</v>
      </c>
      <c r="M1236">
        <v>2.35</v>
      </c>
      <c r="N1236">
        <v>165</v>
      </c>
      <c r="O1236">
        <v>2.5</v>
      </c>
      <c r="P1236">
        <v>0</v>
      </c>
      <c r="Q1236">
        <v>0</v>
      </c>
      <c r="R1236">
        <v>0</v>
      </c>
      <c r="S1236">
        <v>0</v>
      </c>
      <c r="T1236">
        <v>0.23480000000000001</v>
      </c>
      <c r="U1236">
        <v>-3.5299999999999998E-2</v>
      </c>
      <c r="V1236">
        <v>4.0000000000000002E-4</v>
      </c>
      <c r="W1236">
        <v>-1.4191</v>
      </c>
      <c r="X1236">
        <v>0.61729999999999996</v>
      </c>
      <c r="Y1236">
        <v>-2.75E-2</v>
      </c>
      <c r="Z1236">
        <v>1</v>
      </c>
      <c r="AA1236">
        <v>2.0499999999999998</v>
      </c>
      <c r="AB1236">
        <v>66</v>
      </c>
      <c r="AC1236">
        <v>2.2000000000000002</v>
      </c>
      <c r="AD1236">
        <v>0</v>
      </c>
      <c r="AE1236">
        <v>0</v>
      </c>
      <c r="AF1236">
        <v>2.9742999999999999</v>
      </c>
      <c r="AG1236">
        <v>480</v>
      </c>
      <c r="AH1236">
        <v>0</v>
      </c>
    </row>
    <row r="1237" spans="1:34" x14ac:dyDescent="0.35">
      <c r="A1237" t="s">
        <v>34</v>
      </c>
      <c r="B1237" s="1">
        <v>46146.65625</v>
      </c>
      <c r="C1237" t="s">
        <v>34</v>
      </c>
      <c r="D1237" s="1">
        <v>46150.625</v>
      </c>
      <c r="E1237">
        <v>6895</v>
      </c>
      <c r="F1237" t="s">
        <v>36</v>
      </c>
      <c r="G1237">
        <v>2.25</v>
      </c>
      <c r="H1237">
        <v>4.9000000000000004</v>
      </c>
      <c r="I1237">
        <v>1.8</v>
      </c>
      <c r="J1237">
        <v>2.2000000000000002</v>
      </c>
      <c r="K1237">
        <v>662</v>
      </c>
      <c r="L1237">
        <v>11</v>
      </c>
      <c r="M1237">
        <v>2.5</v>
      </c>
      <c r="N1237">
        <v>91</v>
      </c>
      <c r="O1237">
        <v>2.6</v>
      </c>
      <c r="P1237">
        <v>0</v>
      </c>
      <c r="Q1237">
        <v>0</v>
      </c>
      <c r="R1237">
        <v>0</v>
      </c>
      <c r="S1237">
        <v>0</v>
      </c>
      <c r="T1237">
        <v>0.2334</v>
      </c>
      <c r="U1237">
        <v>-3.6799999999999999E-2</v>
      </c>
      <c r="V1237">
        <v>5.0000000000000001E-4</v>
      </c>
      <c r="W1237">
        <v>-1.4650000000000001</v>
      </c>
      <c r="X1237">
        <v>0.63759999999999994</v>
      </c>
      <c r="Y1237">
        <v>-2.87E-2</v>
      </c>
      <c r="Z1237">
        <v>1</v>
      </c>
      <c r="AA1237">
        <v>2.15</v>
      </c>
      <c r="AB1237">
        <v>65</v>
      </c>
      <c r="AC1237">
        <v>2.2999999999999998</v>
      </c>
      <c r="AD1237">
        <v>0</v>
      </c>
      <c r="AE1237">
        <v>0</v>
      </c>
      <c r="AF1237">
        <v>2.3180000000000001</v>
      </c>
      <c r="AG1237">
        <v>3064</v>
      </c>
      <c r="AH1237">
        <v>0</v>
      </c>
    </row>
    <row r="1238" spans="1:34" x14ac:dyDescent="0.35">
      <c r="A1238" t="s">
        <v>34</v>
      </c>
      <c r="B1238" s="1">
        <v>46146.65625</v>
      </c>
      <c r="C1238" t="s">
        <v>34</v>
      </c>
      <c r="D1238" s="1">
        <v>46150.625</v>
      </c>
      <c r="E1238">
        <v>6900</v>
      </c>
      <c r="F1238" t="s">
        <v>36</v>
      </c>
      <c r="G1238">
        <v>2.5</v>
      </c>
      <c r="H1238">
        <v>6.8</v>
      </c>
      <c r="I1238">
        <v>1.75</v>
      </c>
      <c r="J1238">
        <v>2.25</v>
      </c>
      <c r="K1238">
        <v>1633</v>
      </c>
      <c r="L1238">
        <v>84</v>
      </c>
      <c r="M1238">
        <v>2.6</v>
      </c>
      <c r="N1238">
        <v>113</v>
      </c>
      <c r="O1238">
        <v>2.7</v>
      </c>
      <c r="P1238">
        <v>0</v>
      </c>
      <c r="Q1238">
        <v>0</v>
      </c>
      <c r="R1238">
        <v>0</v>
      </c>
      <c r="S1238">
        <v>0</v>
      </c>
      <c r="T1238">
        <v>0.23130000000000001</v>
      </c>
      <c r="U1238">
        <v>-3.7999999999999999E-2</v>
      </c>
      <c r="V1238">
        <v>5.0000000000000001E-4</v>
      </c>
      <c r="W1238">
        <v>-1.4979</v>
      </c>
      <c r="X1238">
        <v>0.65459999999999996</v>
      </c>
      <c r="Y1238">
        <v>-2.9700000000000001E-2</v>
      </c>
      <c r="Z1238">
        <v>1</v>
      </c>
      <c r="AA1238">
        <v>2.25</v>
      </c>
      <c r="AB1238">
        <v>88</v>
      </c>
      <c r="AC1238">
        <v>2.4</v>
      </c>
      <c r="AD1238">
        <v>0</v>
      </c>
      <c r="AE1238">
        <v>0</v>
      </c>
      <c r="AF1238">
        <v>2.7033</v>
      </c>
      <c r="AG1238">
        <v>3285</v>
      </c>
      <c r="AH1238">
        <v>0</v>
      </c>
    </row>
    <row r="1239" spans="1:34" x14ac:dyDescent="0.35">
      <c r="A1239" t="s">
        <v>34</v>
      </c>
      <c r="B1239" s="1">
        <v>46146.65625</v>
      </c>
      <c r="C1239" t="s">
        <v>34</v>
      </c>
      <c r="D1239" s="1">
        <v>46150.625</v>
      </c>
      <c r="E1239">
        <v>6905</v>
      </c>
      <c r="F1239" t="s">
        <v>36</v>
      </c>
      <c r="G1239">
        <v>2.15</v>
      </c>
      <c r="H1239">
        <v>5.6</v>
      </c>
      <c r="I1239">
        <v>2.15</v>
      </c>
      <c r="J1239">
        <v>2.4</v>
      </c>
      <c r="K1239">
        <v>151</v>
      </c>
      <c r="L1239">
        <v>113</v>
      </c>
      <c r="M1239">
        <v>2.7</v>
      </c>
      <c r="N1239">
        <v>138</v>
      </c>
      <c r="O1239">
        <v>2.85</v>
      </c>
      <c r="P1239">
        <v>0</v>
      </c>
      <c r="Q1239">
        <v>0</v>
      </c>
      <c r="R1239">
        <v>0</v>
      </c>
      <c r="S1239">
        <v>0</v>
      </c>
      <c r="T1239">
        <v>0.2306</v>
      </c>
      <c r="U1239">
        <v>-0.04</v>
      </c>
      <c r="V1239">
        <v>5.0000000000000001E-4</v>
      </c>
      <c r="W1239">
        <v>-1.5665</v>
      </c>
      <c r="X1239">
        <v>0.68130000000000002</v>
      </c>
      <c r="Y1239">
        <v>-3.1199999999999999E-2</v>
      </c>
      <c r="Z1239">
        <v>23</v>
      </c>
      <c r="AA1239">
        <v>2.35</v>
      </c>
      <c r="AB1239">
        <v>42</v>
      </c>
      <c r="AC1239">
        <v>2.5</v>
      </c>
      <c r="AD1239">
        <v>0</v>
      </c>
      <c r="AE1239">
        <v>0</v>
      </c>
      <c r="AF1239">
        <v>3.5901000000000001</v>
      </c>
      <c r="AG1239">
        <v>173</v>
      </c>
      <c r="AH1239">
        <v>0</v>
      </c>
    </row>
    <row r="1240" spans="1:34" x14ac:dyDescent="0.35">
      <c r="A1240" t="s">
        <v>34</v>
      </c>
      <c r="B1240" s="1">
        <v>46146.65625</v>
      </c>
      <c r="C1240" t="s">
        <v>34</v>
      </c>
      <c r="D1240" s="1">
        <v>46150.625</v>
      </c>
      <c r="E1240">
        <v>6910</v>
      </c>
      <c r="F1240" t="s">
        <v>36</v>
      </c>
      <c r="G1240">
        <v>2.48</v>
      </c>
      <c r="H1240">
        <v>5.6</v>
      </c>
      <c r="I1240">
        <v>1.95</v>
      </c>
      <c r="J1240">
        <v>2.5</v>
      </c>
      <c r="K1240">
        <v>204</v>
      </c>
      <c r="L1240">
        <v>10</v>
      </c>
      <c r="M1240">
        <v>2.85</v>
      </c>
      <c r="N1240">
        <v>84</v>
      </c>
      <c r="O1240">
        <v>2.95</v>
      </c>
      <c r="P1240">
        <v>0</v>
      </c>
      <c r="Q1240">
        <v>0</v>
      </c>
      <c r="R1240">
        <v>0</v>
      </c>
      <c r="S1240">
        <v>0</v>
      </c>
      <c r="T1240">
        <v>0.2293</v>
      </c>
      <c r="U1240">
        <v>-4.1799999999999997E-2</v>
      </c>
      <c r="V1240">
        <v>5.0000000000000001E-4</v>
      </c>
      <c r="W1240">
        <v>-1.6216999999999999</v>
      </c>
      <c r="X1240">
        <v>0.70479999999999998</v>
      </c>
      <c r="Y1240">
        <v>-3.2599999999999997E-2</v>
      </c>
      <c r="Z1240">
        <v>65</v>
      </c>
      <c r="AA1240">
        <v>2.4500000000000002</v>
      </c>
      <c r="AB1240">
        <v>110</v>
      </c>
      <c r="AC1240">
        <v>2.65</v>
      </c>
      <c r="AD1240">
        <v>0</v>
      </c>
      <c r="AE1240">
        <v>0</v>
      </c>
      <c r="AF1240">
        <v>3.1126</v>
      </c>
      <c r="AG1240">
        <v>783</v>
      </c>
      <c r="AH1240">
        <v>0</v>
      </c>
    </row>
    <row r="1241" spans="1:34" x14ac:dyDescent="0.35">
      <c r="A1241" t="s">
        <v>34</v>
      </c>
      <c r="B1241" s="1">
        <v>46146.65625</v>
      </c>
      <c r="C1241" t="s">
        <v>34</v>
      </c>
      <c r="D1241" s="1">
        <v>46150.625</v>
      </c>
      <c r="E1241">
        <v>6915</v>
      </c>
      <c r="F1241" t="s">
        <v>36</v>
      </c>
      <c r="G1241">
        <v>2.35</v>
      </c>
      <c r="H1241">
        <v>6.09</v>
      </c>
      <c r="I1241">
        <v>2.0499999999999998</v>
      </c>
      <c r="J1241">
        <v>2.81</v>
      </c>
      <c r="K1241">
        <v>51</v>
      </c>
      <c r="L1241">
        <v>121</v>
      </c>
      <c r="M1241">
        <v>2.95</v>
      </c>
      <c r="N1241">
        <v>134</v>
      </c>
      <c r="O1241">
        <v>3.1</v>
      </c>
      <c r="P1241">
        <v>0</v>
      </c>
      <c r="Q1241">
        <v>0</v>
      </c>
      <c r="R1241">
        <v>0</v>
      </c>
      <c r="S1241">
        <v>0</v>
      </c>
      <c r="T1241">
        <v>0.22819999999999999</v>
      </c>
      <c r="U1241">
        <v>-4.3799999999999999E-2</v>
      </c>
      <c r="V1241">
        <v>5.0000000000000001E-4</v>
      </c>
      <c r="W1241">
        <v>-1.6877</v>
      </c>
      <c r="X1241">
        <v>0.73170000000000002</v>
      </c>
      <c r="Y1241">
        <v>-3.4200000000000001E-2</v>
      </c>
      <c r="Z1241">
        <v>18</v>
      </c>
      <c r="AA1241">
        <v>2.6</v>
      </c>
      <c r="AB1241">
        <v>73</v>
      </c>
      <c r="AC1241">
        <v>2.75</v>
      </c>
      <c r="AD1241">
        <v>0</v>
      </c>
      <c r="AE1241">
        <v>0</v>
      </c>
      <c r="AF1241">
        <v>3.992</v>
      </c>
      <c r="AG1241">
        <v>327</v>
      </c>
      <c r="AH1241">
        <v>0</v>
      </c>
    </row>
    <row r="1242" spans="1:34" x14ac:dyDescent="0.35">
      <c r="A1242" t="s">
        <v>34</v>
      </c>
      <c r="B1242" s="1">
        <v>46146.65625</v>
      </c>
      <c r="C1242" t="s">
        <v>34</v>
      </c>
      <c r="D1242" s="1">
        <v>46150.625</v>
      </c>
      <c r="E1242">
        <v>6920</v>
      </c>
      <c r="F1242" t="s">
        <v>36</v>
      </c>
      <c r="G1242">
        <v>2.87</v>
      </c>
      <c r="H1242">
        <v>6.92</v>
      </c>
      <c r="I1242">
        <v>2.11</v>
      </c>
      <c r="J1242">
        <v>2.85</v>
      </c>
      <c r="K1242">
        <v>139</v>
      </c>
      <c r="L1242">
        <v>90</v>
      </c>
      <c r="M1242">
        <v>3.1</v>
      </c>
      <c r="N1242">
        <v>20</v>
      </c>
      <c r="O1242">
        <v>3.2</v>
      </c>
      <c r="P1242">
        <v>0</v>
      </c>
      <c r="Q1242">
        <v>0</v>
      </c>
      <c r="R1242">
        <v>0</v>
      </c>
      <c r="S1242">
        <v>0</v>
      </c>
      <c r="T1242">
        <v>0.22670000000000001</v>
      </c>
      <c r="U1242">
        <v>-4.5600000000000002E-2</v>
      </c>
      <c r="V1242">
        <v>5.9999999999999995E-4</v>
      </c>
      <c r="W1242">
        <v>-1.7408999999999999</v>
      </c>
      <c r="X1242">
        <v>0.75549999999999995</v>
      </c>
      <c r="Y1242">
        <v>-3.56E-2</v>
      </c>
      <c r="Z1242">
        <v>65</v>
      </c>
      <c r="AA1242">
        <v>2.7</v>
      </c>
      <c r="AB1242">
        <v>91</v>
      </c>
      <c r="AC1242">
        <v>2.9</v>
      </c>
      <c r="AD1242">
        <v>0</v>
      </c>
      <c r="AE1242">
        <v>0</v>
      </c>
      <c r="AF1242">
        <v>4.1056999999999997</v>
      </c>
      <c r="AG1242">
        <v>308</v>
      </c>
      <c r="AH1242">
        <v>0</v>
      </c>
    </row>
    <row r="1243" spans="1:34" x14ac:dyDescent="0.35">
      <c r="A1243" t="s">
        <v>34</v>
      </c>
      <c r="B1243" s="1">
        <v>46146.65625</v>
      </c>
      <c r="C1243" t="s">
        <v>34</v>
      </c>
      <c r="D1243" s="1">
        <v>46150.625</v>
      </c>
      <c r="E1243">
        <v>6925</v>
      </c>
      <c r="F1243" t="s">
        <v>36</v>
      </c>
      <c r="G1243">
        <v>2.97</v>
      </c>
      <c r="H1243">
        <v>7.17</v>
      </c>
      <c r="I1243">
        <v>2.15</v>
      </c>
      <c r="J1243">
        <v>2.9</v>
      </c>
      <c r="K1243">
        <v>389</v>
      </c>
      <c r="L1243">
        <v>208</v>
      </c>
      <c r="M1243">
        <v>3.2</v>
      </c>
      <c r="N1243">
        <v>138</v>
      </c>
      <c r="O1243">
        <v>3.4</v>
      </c>
      <c r="P1243">
        <v>0</v>
      </c>
      <c r="Q1243">
        <v>0</v>
      </c>
      <c r="R1243">
        <v>0</v>
      </c>
      <c r="S1243">
        <v>0</v>
      </c>
      <c r="T1243">
        <v>0.22550000000000001</v>
      </c>
      <c r="U1243">
        <v>-4.7699999999999999E-2</v>
      </c>
      <c r="V1243">
        <v>5.9999999999999995E-4</v>
      </c>
      <c r="W1243">
        <v>-1.8042</v>
      </c>
      <c r="X1243">
        <v>0.78249999999999997</v>
      </c>
      <c r="Y1243">
        <v>-3.7199999999999997E-2</v>
      </c>
      <c r="Z1243">
        <v>54</v>
      </c>
      <c r="AA1243">
        <v>2.85</v>
      </c>
      <c r="AB1243">
        <v>115</v>
      </c>
      <c r="AC1243">
        <v>3.1</v>
      </c>
      <c r="AD1243">
        <v>0</v>
      </c>
      <c r="AE1243">
        <v>0</v>
      </c>
      <c r="AF1243">
        <v>4.8151000000000002</v>
      </c>
      <c r="AG1243">
        <v>796</v>
      </c>
      <c r="AH1243">
        <v>0</v>
      </c>
    </row>
    <row r="1244" spans="1:34" x14ac:dyDescent="0.35">
      <c r="A1244" t="s">
        <v>34</v>
      </c>
      <c r="B1244" s="1">
        <v>46146.65625</v>
      </c>
      <c r="C1244" t="s">
        <v>34</v>
      </c>
      <c r="D1244" s="1">
        <v>46150.625</v>
      </c>
      <c r="E1244">
        <v>6930</v>
      </c>
      <c r="F1244" t="s">
        <v>36</v>
      </c>
      <c r="G1244">
        <v>3.03</v>
      </c>
      <c r="H1244">
        <v>6.7</v>
      </c>
      <c r="I1244">
        <v>2.27</v>
      </c>
      <c r="J1244">
        <v>3.1</v>
      </c>
      <c r="K1244">
        <v>349</v>
      </c>
      <c r="L1244">
        <v>92</v>
      </c>
      <c r="M1244">
        <v>3.4</v>
      </c>
      <c r="N1244">
        <v>20</v>
      </c>
      <c r="O1244">
        <v>3.5</v>
      </c>
      <c r="P1244">
        <v>0</v>
      </c>
      <c r="Q1244">
        <v>0</v>
      </c>
      <c r="R1244">
        <v>0</v>
      </c>
      <c r="S1244">
        <v>0</v>
      </c>
      <c r="T1244">
        <v>0.22409999999999999</v>
      </c>
      <c r="U1244">
        <v>-4.9799999999999997E-2</v>
      </c>
      <c r="V1244">
        <v>5.9999999999999995E-4</v>
      </c>
      <c r="W1244">
        <v>-1.8664000000000001</v>
      </c>
      <c r="X1244">
        <v>0.80969999999999998</v>
      </c>
      <c r="Y1244">
        <v>-3.8899999999999997E-2</v>
      </c>
      <c r="Z1244">
        <v>54</v>
      </c>
      <c r="AA1244">
        <v>3</v>
      </c>
      <c r="AB1244">
        <v>96</v>
      </c>
      <c r="AC1244">
        <v>3.2</v>
      </c>
      <c r="AD1244">
        <v>0</v>
      </c>
      <c r="AE1244">
        <v>0</v>
      </c>
      <c r="AF1244">
        <v>4.1165000000000003</v>
      </c>
      <c r="AG1244">
        <v>453</v>
      </c>
      <c r="AH1244">
        <v>0</v>
      </c>
    </row>
    <row r="1245" spans="1:34" x14ac:dyDescent="0.35">
      <c r="A1245" t="s">
        <v>34</v>
      </c>
      <c r="B1245" s="1">
        <v>46146.65625</v>
      </c>
      <c r="C1245" t="s">
        <v>34</v>
      </c>
      <c r="D1245" s="1">
        <v>46150.625</v>
      </c>
      <c r="E1245">
        <v>6935</v>
      </c>
      <c r="F1245" t="s">
        <v>36</v>
      </c>
      <c r="G1245">
        <v>2.85</v>
      </c>
      <c r="H1245">
        <v>7.7</v>
      </c>
      <c r="I1245">
        <v>2.38</v>
      </c>
      <c r="J1245">
        <v>3.2</v>
      </c>
      <c r="K1245">
        <v>149</v>
      </c>
      <c r="L1245">
        <v>252</v>
      </c>
      <c r="M1245">
        <v>3.5</v>
      </c>
      <c r="N1245">
        <v>77</v>
      </c>
      <c r="O1245">
        <v>3.7</v>
      </c>
      <c r="P1245">
        <v>0</v>
      </c>
      <c r="Q1245">
        <v>0</v>
      </c>
      <c r="R1245">
        <v>0</v>
      </c>
      <c r="S1245">
        <v>0</v>
      </c>
      <c r="T1245">
        <v>0.2225</v>
      </c>
      <c r="U1245">
        <v>-5.1900000000000002E-2</v>
      </c>
      <c r="V1245">
        <v>5.9999999999999995E-4</v>
      </c>
      <c r="W1245">
        <v>-1.9266000000000001</v>
      </c>
      <c r="X1245">
        <v>0.83699999999999997</v>
      </c>
      <c r="Y1245">
        <v>-4.0599999999999997E-2</v>
      </c>
      <c r="Z1245">
        <v>123</v>
      </c>
      <c r="AA1245">
        <v>3.1</v>
      </c>
      <c r="AB1245">
        <v>119</v>
      </c>
      <c r="AC1245">
        <v>3.4</v>
      </c>
      <c r="AD1245">
        <v>0</v>
      </c>
      <c r="AE1245">
        <v>0</v>
      </c>
      <c r="AF1245">
        <v>4.18</v>
      </c>
      <c r="AG1245">
        <v>224</v>
      </c>
      <c r="AH1245">
        <v>0</v>
      </c>
    </row>
    <row r="1246" spans="1:34" x14ac:dyDescent="0.35">
      <c r="A1246" t="s">
        <v>34</v>
      </c>
      <c r="B1246" s="1">
        <v>46146.65625</v>
      </c>
      <c r="C1246" t="s">
        <v>34</v>
      </c>
      <c r="D1246" s="1">
        <v>46150.625</v>
      </c>
      <c r="E1246">
        <v>6940</v>
      </c>
      <c r="F1246" t="s">
        <v>36</v>
      </c>
      <c r="G1246">
        <v>3.4</v>
      </c>
      <c r="H1246">
        <v>7.85</v>
      </c>
      <c r="I1246">
        <v>2.41</v>
      </c>
      <c r="J1246">
        <v>3.3</v>
      </c>
      <c r="K1246">
        <v>1102</v>
      </c>
      <c r="L1246">
        <v>155</v>
      </c>
      <c r="M1246">
        <v>3.7</v>
      </c>
      <c r="N1246">
        <v>87</v>
      </c>
      <c r="O1246">
        <v>3.9</v>
      </c>
      <c r="P1246">
        <v>0</v>
      </c>
      <c r="Q1246">
        <v>0</v>
      </c>
      <c r="R1246">
        <v>0</v>
      </c>
      <c r="S1246">
        <v>0</v>
      </c>
      <c r="T1246">
        <v>0.2218</v>
      </c>
      <c r="U1246">
        <v>-5.45E-2</v>
      </c>
      <c r="V1246">
        <v>6.9999999999999999E-4</v>
      </c>
      <c r="W1246">
        <v>-2.0082</v>
      </c>
      <c r="X1246">
        <v>0.86909999999999998</v>
      </c>
      <c r="Y1246">
        <v>-4.2700000000000002E-2</v>
      </c>
      <c r="Z1246">
        <v>54</v>
      </c>
      <c r="AA1246">
        <v>3.3</v>
      </c>
      <c r="AB1246">
        <v>52</v>
      </c>
      <c r="AC1246">
        <v>3.5</v>
      </c>
      <c r="AD1246">
        <v>0</v>
      </c>
      <c r="AE1246">
        <v>0</v>
      </c>
      <c r="AF1246">
        <v>3.7696000000000001</v>
      </c>
      <c r="AG1246">
        <v>586</v>
      </c>
      <c r="AH1246">
        <v>0</v>
      </c>
    </row>
    <row r="1247" spans="1:34" x14ac:dyDescent="0.35">
      <c r="A1247" t="s">
        <v>34</v>
      </c>
      <c r="B1247" s="1">
        <v>46146.65625</v>
      </c>
      <c r="C1247" t="s">
        <v>34</v>
      </c>
      <c r="D1247" s="1">
        <v>46150.625</v>
      </c>
      <c r="E1247">
        <v>6945</v>
      </c>
      <c r="F1247" t="s">
        <v>36</v>
      </c>
      <c r="G1247">
        <v>3.4</v>
      </c>
      <c r="H1247">
        <v>8.3000000000000007</v>
      </c>
      <c r="I1247">
        <v>2.58</v>
      </c>
      <c r="J1247">
        <v>3.7</v>
      </c>
      <c r="K1247">
        <v>178</v>
      </c>
      <c r="L1247">
        <v>112</v>
      </c>
      <c r="M1247">
        <v>3.9</v>
      </c>
      <c r="N1247">
        <v>105</v>
      </c>
      <c r="O1247">
        <v>4.0999999999999996</v>
      </c>
      <c r="P1247">
        <v>0</v>
      </c>
      <c r="Q1247">
        <v>0</v>
      </c>
      <c r="R1247">
        <v>0</v>
      </c>
      <c r="S1247">
        <v>0</v>
      </c>
      <c r="T1247">
        <v>0.22070000000000001</v>
      </c>
      <c r="U1247">
        <v>-5.7200000000000001E-2</v>
      </c>
      <c r="V1247">
        <v>6.9999999999999999E-4</v>
      </c>
      <c r="W1247">
        <v>-2.0872999999999999</v>
      </c>
      <c r="X1247">
        <v>0.90110000000000001</v>
      </c>
      <c r="Y1247">
        <v>-4.48E-2</v>
      </c>
      <c r="Z1247">
        <v>19</v>
      </c>
      <c r="AA1247">
        <v>3.5</v>
      </c>
      <c r="AB1247">
        <v>78</v>
      </c>
      <c r="AC1247">
        <v>3.7</v>
      </c>
      <c r="AD1247">
        <v>0</v>
      </c>
      <c r="AE1247">
        <v>0</v>
      </c>
      <c r="AF1247">
        <v>5.3518999999999997</v>
      </c>
      <c r="AG1247">
        <v>485</v>
      </c>
      <c r="AH1247">
        <v>0</v>
      </c>
    </row>
    <row r="1248" spans="1:34" x14ac:dyDescent="0.35">
      <c r="A1248" t="s">
        <v>34</v>
      </c>
      <c r="B1248" s="1">
        <v>46146.65625</v>
      </c>
      <c r="C1248" t="s">
        <v>34</v>
      </c>
      <c r="D1248" s="1">
        <v>46150.625</v>
      </c>
      <c r="E1248">
        <v>6950</v>
      </c>
      <c r="F1248" t="s">
        <v>36</v>
      </c>
      <c r="G1248">
        <v>3.69</v>
      </c>
      <c r="H1248">
        <v>8.4499999999999993</v>
      </c>
      <c r="I1248">
        <v>2.5299999999999998</v>
      </c>
      <c r="J1248">
        <v>3.7</v>
      </c>
      <c r="K1248">
        <v>3672</v>
      </c>
      <c r="L1248">
        <v>94</v>
      </c>
      <c r="M1248">
        <v>4.0999999999999996</v>
      </c>
      <c r="N1248">
        <v>99</v>
      </c>
      <c r="O1248">
        <v>4.3</v>
      </c>
      <c r="P1248">
        <v>0</v>
      </c>
      <c r="Q1248">
        <v>0</v>
      </c>
      <c r="R1248">
        <v>0</v>
      </c>
      <c r="S1248">
        <v>0</v>
      </c>
      <c r="T1248">
        <v>0.2195</v>
      </c>
      <c r="U1248">
        <v>-5.9799999999999999E-2</v>
      </c>
      <c r="V1248">
        <v>6.9999999999999999E-4</v>
      </c>
      <c r="W1248">
        <v>-2.1644999999999999</v>
      </c>
      <c r="X1248">
        <v>0.93289999999999995</v>
      </c>
      <c r="Y1248">
        <v>-4.6899999999999997E-2</v>
      </c>
      <c r="Z1248">
        <v>17</v>
      </c>
      <c r="AA1248">
        <v>3.7</v>
      </c>
      <c r="AB1248">
        <v>85</v>
      </c>
      <c r="AC1248">
        <v>3.9</v>
      </c>
      <c r="AD1248">
        <v>0</v>
      </c>
      <c r="AE1248">
        <v>0</v>
      </c>
      <c r="AF1248">
        <v>4.0564999999999998</v>
      </c>
      <c r="AG1248">
        <v>3004</v>
      </c>
      <c r="AH1248">
        <v>0</v>
      </c>
    </row>
    <row r="1249" spans="1:34" x14ac:dyDescent="0.35">
      <c r="A1249" t="s">
        <v>34</v>
      </c>
      <c r="B1249" s="1">
        <v>46146.65625</v>
      </c>
      <c r="C1249" t="s">
        <v>34</v>
      </c>
      <c r="D1249" s="1">
        <v>46150.625</v>
      </c>
      <c r="E1249">
        <v>6955</v>
      </c>
      <c r="F1249" t="s">
        <v>36</v>
      </c>
      <c r="G1249">
        <v>3.7</v>
      </c>
      <c r="H1249">
        <v>8.3000000000000007</v>
      </c>
      <c r="I1249">
        <v>2.78</v>
      </c>
      <c r="J1249">
        <v>3.97</v>
      </c>
      <c r="K1249">
        <v>255</v>
      </c>
      <c r="L1249">
        <v>67</v>
      </c>
      <c r="M1249">
        <v>4.3</v>
      </c>
      <c r="N1249">
        <v>80</v>
      </c>
      <c r="O1249">
        <v>4.5</v>
      </c>
      <c r="P1249">
        <v>0</v>
      </c>
      <c r="Q1249">
        <v>0</v>
      </c>
      <c r="R1249">
        <v>0</v>
      </c>
      <c r="S1249">
        <v>0</v>
      </c>
      <c r="T1249">
        <v>0.21829999999999999</v>
      </c>
      <c r="U1249">
        <v>-6.25E-2</v>
      </c>
      <c r="V1249">
        <v>6.9999999999999999E-4</v>
      </c>
      <c r="W1249">
        <v>-2.2399</v>
      </c>
      <c r="X1249">
        <v>0.9647</v>
      </c>
      <c r="Y1249">
        <v>-4.9000000000000002E-2</v>
      </c>
      <c r="Z1249">
        <v>81</v>
      </c>
      <c r="AA1249">
        <v>3.8</v>
      </c>
      <c r="AB1249">
        <v>68</v>
      </c>
      <c r="AC1249">
        <v>4.0999999999999996</v>
      </c>
      <c r="AD1249">
        <v>0</v>
      </c>
      <c r="AE1249">
        <v>0</v>
      </c>
      <c r="AF1249">
        <v>5.1403999999999996</v>
      </c>
      <c r="AG1249">
        <v>249</v>
      </c>
      <c r="AH1249">
        <v>0</v>
      </c>
    </row>
    <row r="1250" spans="1:34" x14ac:dyDescent="0.35">
      <c r="A1250" t="s">
        <v>34</v>
      </c>
      <c r="B1250" s="1">
        <v>46146.65625</v>
      </c>
      <c r="C1250" t="s">
        <v>34</v>
      </c>
      <c r="D1250" s="1">
        <v>46150.625</v>
      </c>
      <c r="E1250">
        <v>6960</v>
      </c>
      <c r="F1250" t="s">
        <v>36</v>
      </c>
      <c r="G1250">
        <v>3.95</v>
      </c>
      <c r="H1250">
        <v>9.4</v>
      </c>
      <c r="I1250">
        <v>2.87</v>
      </c>
      <c r="J1250">
        <v>4.2</v>
      </c>
      <c r="K1250">
        <v>923</v>
      </c>
      <c r="L1250">
        <v>76</v>
      </c>
      <c r="M1250">
        <v>4.5</v>
      </c>
      <c r="N1250">
        <v>58</v>
      </c>
      <c r="O1250">
        <v>4.7</v>
      </c>
      <c r="P1250">
        <v>0</v>
      </c>
      <c r="Q1250">
        <v>0</v>
      </c>
      <c r="R1250">
        <v>0</v>
      </c>
      <c r="S1250">
        <v>0</v>
      </c>
      <c r="T1250">
        <v>0.2167</v>
      </c>
      <c r="U1250">
        <v>-6.5299999999999997E-2</v>
      </c>
      <c r="V1250">
        <v>8.0000000000000004E-4</v>
      </c>
      <c r="W1250">
        <v>-2.3129</v>
      </c>
      <c r="X1250">
        <v>0.99709999999999999</v>
      </c>
      <c r="Y1250">
        <v>-5.1200000000000002E-2</v>
      </c>
      <c r="Z1250">
        <v>14</v>
      </c>
      <c r="AA1250">
        <v>4.0999999999999996</v>
      </c>
      <c r="AB1250">
        <v>62</v>
      </c>
      <c r="AC1250">
        <v>4.3</v>
      </c>
      <c r="AD1250">
        <v>0</v>
      </c>
      <c r="AE1250">
        <v>0</v>
      </c>
      <c r="AF1250">
        <v>7.0728</v>
      </c>
      <c r="AG1250">
        <v>483</v>
      </c>
      <c r="AH1250">
        <v>0</v>
      </c>
    </row>
    <row r="1251" spans="1:34" x14ac:dyDescent="0.35">
      <c r="A1251" t="s">
        <v>34</v>
      </c>
      <c r="B1251" s="1">
        <v>46146.65625</v>
      </c>
      <c r="C1251" t="s">
        <v>34</v>
      </c>
      <c r="D1251" s="1">
        <v>46150.625</v>
      </c>
      <c r="E1251">
        <v>6965</v>
      </c>
      <c r="F1251" t="s">
        <v>36</v>
      </c>
      <c r="G1251">
        <v>4.5</v>
      </c>
      <c r="H1251">
        <v>9.1</v>
      </c>
      <c r="I1251">
        <v>3.1</v>
      </c>
      <c r="J1251">
        <v>4.18</v>
      </c>
      <c r="K1251">
        <v>322</v>
      </c>
      <c r="L1251">
        <v>9</v>
      </c>
      <c r="M1251">
        <v>4.8</v>
      </c>
      <c r="N1251">
        <v>38</v>
      </c>
      <c r="O1251">
        <v>4.9000000000000004</v>
      </c>
      <c r="P1251">
        <v>0</v>
      </c>
      <c r="Q1251">
        <v>0</v>
      </c>
      <c r="R1251">
        <v>0</v>
      </c>
      <c r="S1251">
        <v>0</v>
      </c>
      <c r="T1251">
        <v>0.21529999999999999</v>
      </c>
      <c r="U1251">
        <v>-6.8099999999999994E-2</v>
      </c>
      <c r="V1251">
        <v>8.0000000000000004E-4</v>
      </c>
      <c r="W1251">
        <v>-2.3843999999999999</v>
      </c>
      <c r="X1251">
        <v>1.0290999999999999</v>
      </c>
      <c r="Y1251">
        <v>-5.33E-2</v>
      </c>
      <c r="Z1251">
        <v>16</v>
      </c>
      <c r="AA1251">
        <v>4.3</v>
      </c>
      <c r="AB1251">
        <v>44</v>
      </c>
      <c r="AC1251">
        <v>4.5</v>
      </c>
      <c r="AD1251">
        <v>0</v>
      </c>
      <c r="AE1251">
        <v>0</v>
      </c>
      <c r="AF1251">
        <v>6.0666000000000002</v>
      </c>
      <c r="AG1251">
        <v>323</v>
      </c>
      <c r="AH1251">
        <v>0</v>
      </c>
    </row>
    <row r="1252" spans="1:34" x14ac:dyDescent="0.35">
      <c r="A1252" t="s">
        <v>34</v>
      </c>
      <c r="B1252" s="1">
        <v>46146.65625</v>
      </c>
      <c r="C1252" t="s">
        <v>34</v>
      </c>
      <c r="D1252" s="1">
        <v>46150.625</v>
      </c>
      <c r="E1252">
        <v>6970</v>
      </c>
      <c r="F1252" t="s">
        <v>36</v>
      </c>
      <c r="G1252">
        <v>4.47</v>
      </c>
      <c r="H1252">
        <v>9.82</v>
      </c>
      <c r="I1252">
        <v>3.2</v>
      </c>
      <c r="J1252">
        <v>4.6100000000000003</v>
      </c>
      <c r="K1252">
        <v>1150</v>
      </c>
      <c r="L1252">
        <v>35</v>
      </c>
      <c r="M1252">
        <v>5</v>
      </c>
      <c r="N1252">
        <v>76</v>
      </c>
      <c r="O1252">
        <v>5.2</v>
      </c>
      <c r="P1252">
        <v>0</v>
      </c>
      <c r="Q1252">
        <v>0</v>
      </c>
      <c r="R1252">
        <v>0</v>
      </c>
      <c r="S1252">
        <v>0</v>
      </c>
      <c r="T1252">
        <v>0.2142</v>
      </c>
      <c r="U1252">
        <v>-7.1400000000000005E-2</v>
      </c>
      <c r="V1252">
        <v>8.0000000000000004E-4</v>
      </c>
      <c r="W1252">
        <v>-2.4737</v>
      </c>
      <c r="X1252">
        <v>1.0664</v>
      </c>
      <c r="Y1252">
        <v>-5.5899999999999998E-2</v>
      </c>
      <c r="Z1252">
        <v>52</v>
      </c>
      <c r="AA1252">
        <v>4.5</v>
      </c>
      <c r="AB1252">
        <v>73</v>
      </c>
      <c r="AC1252">
        <v>4.8</v>
      </c>
      <c r="AD1252">
        <v>0</v>
      </c>
      <c r="AE1252">
        <v>0</v>
      </c>
      <c r="AF1252">
        <v>7.5678999999999998</v>
      </c>
      <c r="AG1252">
        <v>356</v>
      </c>
      <c r="AH1252">
        <v>0</v>
      </c>
    </row>
    <row r="1253" spans="1:34" x14ac:dyDescent="0.35">
      <c r="A1253" t="s">
        <v>34</v>
      </c>
      <c r="B1253" s="1">
        <v>46146.65625</v>
      </c>
      <c r="C1253" t="s">
        <v>34</v>
      </c>
      <c r="D1253" s="1">
        <v>46150.625</v>
      </c>
      <c r="E1253">
        <v>6975</v>
      </c>
      <c r="F1253" t="s">
        <v>36</v>
      </c>
      <c r="G1253">
        <v>4.24</v>
      </c>
      <c r="H1253">
        <v>10</v>
      </c>
      <c r="I1253">
        <v>3.1</v>
      </c>
      <c r="J1253">
        <v>4.8</v>
      </c>
      <c r="K1253">
        <v>1587</v>
      </c>
      <c r="L1253">
        <v>8</v>
      </c>
      <c r="M1253">
        <v>5.3</v>
      </c>
      <c r="N1253">
        <v>51</v>
      </c>
      <c r="O1253">
        <v>5.4</v>
      </c>
      <c r="P1253">
        <v>0</v>
      </c>
      <c r="Q1253">
        <v>0</v>
      </c>
      <c r="R1253">
        <v>0</v>
      </c>
      <c r="S1253">
        <v>0</v>
      </c>
      <c r="T1253">
        <v>0.21299999999999999</v>
      </c>
      <c r="U1253">
        <v>-7.4700000000000003E-2</v>
      </c>
      <c r="V1253">
        <v>8.9999999999999998E-4</v>
      </c>
      <c r="W1253">
        <v>-2.5602999999999998</v>
      </c>
      <c r="X1253">
        <v>1.1032</v>
      </c>
      <c r="Y1253">
        <v>-5.8599999999999999E-2</v>
      </c>
      <c r="Z1253">
        <v>114</v>
      </c>
      <c r="AA1253">
        <v>4.7</v>
      </c>
      <c r="AB1253">
        <v>79</v>
      </c>
      <c r="AC1253">
        <v>5</v>
      </c>
      <c r="AD1253">
        <v>0</v>
      </c>
      <c r="AE1253">
        <v>0</v>
      </c>
      <c r="AF1253">
        <v>7.3403999999999998</v>
      </c>
      <c r="AG1253">
        <v>1932</v>
      </c>
      <c r="AH1253">
        <v>0</v>
      </c>
    </row>
    <row r="1254" spans="1:34" x14ac:dyDescent="0.35">
      <c r="A1254" t="s">
        <v>34</v>
      </c>
      <c r="B1254" s="1">
        <v>46146.65625</v>
      </c>
      <c r="C1254" t="s">
        <v>34</v>
      </c>
      <c r="D1254" s="1">
        <v>46150.625</v>
      </c>
      <c r="E1254">
        <v>6980</v>
      </c>
      <c r="F1254" t="s">
        <v>36</v>
      </c>
      <c r="G1254">
        <v>4.71</v>
      </c>
      <c r="H1254">
        <v>10.32</v>
      </c>
      <c r="I1254">
        <v>3.38</v>
      </c>
      <c r="J1254">
        <v>5.09</v>
      </c>
      <c r="K1254">
        <v>921</v>
      </c>
      <c r="L1254">
        <v>57</v>
      </c>
      <c r="M1254">
        <v>5.5</v>
      </c>
      <c r="N1254">
        <v>51</v>
      </c>
      <c r="O1254">
        <v>5.7</v>
      </c>
      <c r="P1254">
        <v>0</v>
      </c>
      <c r="Q1254">
        <v>0</v>
      </c>
      <c r="R1254">
        <v>0</v>
      </c>
      <c r="S1254">
        <v>0</v>
      </c>
      <c r="T1254">
        <v>0.2122</v>
      </c>
      <c r="U1254">
        <v>-7.8399999999999997E-2</v>
      </c>
      <c r="V1254">
        <v>8.9999999999999998E-4</v>
      </c>
      <c r="W1254">
        <v>-2.6638999999999999</v>
      </c>
      <c r="X1254">
        <v>1.1435999999999999</v>
      </c>
      <c r="Y1254">
        <v>-6.1600000000000002E-2</v>
      </c>
      <c r="Z1254">
        <v>47</v>
      </c>
      <c r="AA1254">
        <v>5</v>
      </c>
      <c r="AB1254">
        <v>73</v>
      </c>
      <c r="AC1254">
        <v>5.3</v>
      </c>
      <c r="AD1254">
        <v>0</v>
      </c>
      <c r="AE1254">
        <v>0</v>
      </c>
      <c r="AF1254">
        <v>6.1826999999999996</v>
      </c>
      <c r="AG1254">
        <v>859</v>
      </c>
      <c r="AH1254">
        <v>0</v>
      </c>
    </row>
    <row r="1255" spans="1:34" x14ac:dyDescent="0.35">
      <c r="A1255" t="s">
        <v>34</v>
      </c>
      <c r="B1255" s="1">
        <v>46146.65625</v>
      </c>
      <c r="C1255" t="s">
        <v>34</v>
      </c>
      <c r="D1255" s="1">
        <v>46150.625</v>
      </c>
      <c r="E1255">
        <v>6985</v>
      </c>
      <c r="F1255" t="s">
        <v>36</v>
      </c>
      <c r="G1255">
        <v>5.0999999999999996</v>
      </c>
      <c r="H1255">
        <v>10.9</v>
      </c>
      <c r="I1255">
        <v>3.5</v>
      </c>
      <c r="J1255">
        <v>5.42</v>
      </c>
      <c r="K1255">
        <v>957</v>
      </c>
      <c r="L1255">
        <v>30</v>
      </c>
      <c r="M1255">
        <v>5.8</v>
      </c>
      <c r="N1255">
        <v>57</v>
      </c>
      <c r="O1255">
        <v>6</v>
      </c>
      <c r="P1255">
        <v>0</v>
      </c>
      <c r="Q1255">
        <v>0</v>
      </c>
      <c r="R1255">
        <v>0</v>
      </c>
      <c r="S1255">
        <v>0</v>
      </c>
      <c r="T1255">
        <v>0.21110000000000001</v>
      </c>
      <c r="U1255">
        <v>-8.2299999999999998E-2</v>
      </c>
      <c r="V1255">
        <v>1E-3</v>
      </c>
      <c r="W1255">
        <v>-2.7631000000000001</v>
      </c>
      <c r="X1255">
        <v>1.1842999999999999</v>
      </c>
      <c r="Y1255">
        <v>-6.4600000000000005E-2</v>
      </c>
      <c r="Z1255">
        <v>13</v>
      </c>
      <c r="AA1255">
        <v>5.3</v>
      </c>
      <c r="AB1255">
        <v>38</v>
      </c>
      <c r="AC1255">
        <v>5.5</v>
      </c>
      <c r="AD1255">
        <v>0</v>
      </c>
      <c r="AE1255">
        <v>0</v>
      </c>
      <c r="AF1255">
        <v>5.9046000000000003</v>
      </c>
      <c r="AG1255">
        <v>248</v>
      </c>
      <c r="AH1255">
        <v>0</v>
      </c>
    </row>
    <row r="1256" spans="1:34" x14ac:dyDescent="0.35">
      <c r="A1256" t="s">
        <v>34</v>
      </c>
      <c r="B1256" s="1">
        <v>46146.65625</v>
      </c>
      <c r="C1256" t="s">
        <v>34</v>
      </c>
      <c r="D1256" s="1">
        <v>46150.625</v>
      </c>
      <c r="E1256">
        <v>6990</v>
      </c>
      <c r="F1256" t="s">
        <v>36</v>
      </c>
      <c r="G1256">
        <v>5.23</v>
      </c>
      <c r="H1256">
        <v>13.13</v>
      </c>
      <c r="I1256">
        <v>3.7</v>
      </c>
      <c r="J1256">
        <v>5.7</v>
      </c>
      <c r="K1256">
        <v>498</v>
      </c>
      <c r="L1256">
        <v>30</v>
      </c>
      <c r="M1256">
        <v>6.1</v>
      </c>
      <c r="N1256">
        <v>23</v>
      </c>
      <c r="O1256">
        <v>6.2</v>
      </c>
      <c r="P1256">
        <v>0</v>
      </c>
      <c r="Q1256">
        <v>0</v>
      </c>
      <c r="R1256">
        <v>0</v>
      </c>
      <c r="S1256">
        <v>0</v>
      </c>
      <c r="T1256">
        <v>0.20949999999999999</v>
      </c>
      <c r="U1256">
        <v>-8.5699999999999998E-2</v>
      </c>
      <c r="V1256">
        <v>1E-3</v>
      </c>
      <c r="W1256">
        <v>-2.8416000000000001</v>
      </c>
      <c r="X1256">
        <v>1.2196</v>
      </c>
      <c r="Y1256">
        <v>-6.7299999999999999E-2</v>
      </c>
      <c r="Z1256">
        <v>75</v>
      </c>
      <c r="AA1256">
        <v>5.5</v>
      </c>
      <c r="AB1256">
        <v>37</v>
      </c>
      <c r="AC1256">
        <v>5.8</v>
      </c>
      <c r="AD1256">
        <v>0</v>
      </c>
      <c r="AE1256">
        <v>0</v>
      </c>
      <c r="AF1256">
        <v>7.0090000000000003</v>
      </c>
      <c r="AG1256">
        <v>491</v>
      </c>
      <c r="AH1256">
        <v>0</v>
      </c>
    </row>
    <row r="1257" spans="1:34" x14ac:dyDescent="0.35">
      <c r="A1257" t="s">
        <v>34</v>
      </c>
      <c r="B1257" s="1">
        <v>46146.65625</v>
      </c>
      <c r="C1257" t="s">
        <v>34</v>
      </c>
      <c r="D1257" s="1">
        <v>46150.625</v>
      </c>
      <c r="E1257">
        <v>6995</v>
      </c>
      <c r="F1257" t="s">
        <v>36</v>
      </c>
      <c r="G1257">
        <v>5.17</v>
      </c>
      <c r="H1257">
        <v>13.14</v>
      </c>
      <c r="I1257">
        <v>3.9</v>
      </c>
      <c r="J1257">
        <v>5.88</v>
      </c>
      <c r="K1257">
        <v>250</v>
      </c>
      <c r="L1257">
        <v>53</v>
      </c>
      <c r="M1257">
        <v>6.4</v>
      </c>
      <c r="N1257">
        <v>49</v>
      </c>
      <c r="O1257">
        <v>6.6</v>
      </c>
      <c r="P1257">
        <v>0</v>
      </c>
      <c r="Q1257">
        <v>0</v>
      </c>
      <c r="R1257">
        <v>0</v>
      </c>
      <c r="S1257">
        <v>0</v>
      </c>
      <c r="T1257">
        <v>0.2082</v>
      </c>
      <c r="U1257">
        <v>-8.9599999999999999E-2</v>
      </c>
      <c r="V1257">
        <v>1E-3</v>
      </c>
      <c r="W1257">
        <v>-2.9355000000000002</v>
      </c>
      <c r="X1257">
        <v>1.2595000000000001</v>
      </c>
      <c r="Y1257">
        <v>-7.0400000000000004E-2</v>
      </c>
      <c r="Z1257">
        <v>28</v>
      </c>
      <c r="AA1257">
        <v>5.9</v>
      </c>
      <c r="AB1257">
        <v>38</v>
      </c>
      <c r="AC1257">
        <v>6.1</v>
      </c>
      <c r="AD1257">
        <v>0</v>
      </c>
      <c r="AE1257">
        <v>0</v>
      </c>
      <c r="AF1257">
        <v>7.2587000000000002</v>
      </c>
      <c r="AG1257">
        <v>398</v>
      </c>
      <c r="AH1257">
        <v>0</v>
      </c>
    </row>
    <row r="1258" spans="1:34" x14ac:dyDescent="0.35">
      <c r="A1258" t="s">
        <v>34</v>
      </c>
      <c r="B1258" s="1">
        <v>46146.65625</v>
      </c>
      <c r="C1258" t="s">
        <v>34</v>
      </c>
      <c r="D1258" s="1">
        <v>46150.625</v>
      </c>
      <c r="E1258">
        <v>7000</v>
      </c>
      <c r="F1258" t="s">
        <v>36</v>
      </c>
      <c r="G1258">
        <v>6</v>
      </c>
      <c r="H1258">
        <v>14</v>
      </c>
      <c r="I1258">
        <v>3.78</v>
      </c>
      <c r="J1258">
        <v>6.2</v>
      </c>
      <c r="K1258">
        <v>4419</v>
      </c>
      <c r="L1258">
        <v>88</v>
      </c>
      <c r="M1258">
        <v>6.7</v>
      </c>
      <c r="N1258">
        <v>48</v>
      </c>
      <c r="O1258">
        <v>6.9</v>
      </c>
      <c r="P1258">
        <v>0</v>
      </c>
      <c r="Q1258">
        <v>0</v>
      </c>
      <c r="R1258">
        <v>0</v>
      </c>
      <c r="S1258">
        <v>0</v>
      </c>
      <c r="T1258">
        <v>0.20730000000000001</v>
      </c>
      <c r="U1258">
        <v>-9.3899999999999997E-2</v>
      </c>
      <c r="V1258">
        <v>1.1000000000000001E-3</v>
      </c>
      <c r="W1258">
        <v>-3.0436000000000001</v>
      </c>
      <c r="X1258">
        <v>1.3035000000000001</v>
      </c>
      <c r="Y1258">
        <v>-7.3800000000000004E-2</v>
      </c>
      <c r="Z1258">
        <v>46</v>
      </c>
      <c r="AA1258">
        <v>6.2</v>
      </c>
      <c r="AB1258">
        <v>23</v>
      </c>
      <c r="AC1258">
        <v>6.4</v>
      </c>
      <c r="AD1258">
        <v>0</v>
      </c>
      <c r="AE1258">
        <v>0</v>
      </c>
      <c r="AF1258">
        <v>6.5740999999999996</v>
      </c>
      <c r="AG1258">
        <v>5283</v>
      </c>
      <c r="AH1258">
        <v>0</v>
      </c>
    </row>
    <row r="1259" spans="1:34" x14ac:dyDescent="0.35">
      <c r="A1259" t="s">
        <v>34</v>
      </c>
      <c r="B1259" s="1">
        <v>46146.65625</v>
      </c>
      <c r="C1259" t="s">
        <v>34</v>
      </c>
      <c r="D1259" s="1">
        <v>46150.625</v>
      </c>
      <c r="E1259">
        <v>7005</v>
      </c>
      <c r="F1259" t="s">
        <v>36</v>
      </c>
      <c r="G1259">
        <v>5.5</v>
      </c>
      <c r="H1259">
        <v>12.5</v>
      </c>
      <c r="I1259">
        <v>4.13</v>
      </c>
      <c r="J1259">
        <v>7.12</v>
      </c>
      <c r="K1259">
        <v>2377</v>
      </c>
      <c r="L1259">
        <v>23</v>
      </c>
      <c r="M1259">
        <v>7.1</v>
      </c>
      <c r="N1259">
        <v>53</v>
      </c>
      <c r="O1259">
        <v>7.3</v>
      </c>
      <c r="P1259">
        <v>0</v>
      </c>
      <c r="Q1259">
        <v>0</v>
      </c>
      <c r="R1259">
        <v>0</v>
      </c>
      <c r="S1259">
        <v>0</v>
      </c>
      <c r="T1259">
        <v>0.20610000000000001</v>
      </c>
      <c r="U1259">
        <v>-9.8400000000000001E-2</v>
      </c>
      <c r="V1259">
        <v>1.1000000000000001E-3</v>
      </c>
      <c r="W1259">
        <v>-3.1478999999999999</v>
      </c>
      <c r="X1259">
        <v>1.3474999999999999</v>
      </c>
      <c r="Y1259">
        <v>-7.7299999999999994E-2</v>
      </c>
      <c r="Z1259">
        <v>58</v>
      </c>
      <c r="AA1259">
        <v>6.5</v>
      </c>
      <c r="AB1259">
        <v>16</v>
      </c>
      <c r="AC1259">
        <v>6.7</v>
      </c>
      <c r="AD1259">
        <v>0</v>
      </c>
      <c r="AE1259">
        <v>0</v>
      </c>
      <c r="AF1259">
        <v>6.8986000000000001</v>
      </c>
      <c r="AG1259">
        <v>340</v>
      </c>
      <c r="AH1259">
        <v>0</v>
      </c>
    </row>
    <row r="1260" spans="1:34" x14ac:dyDescent="0.35">
      <c r="A1260" t="s">
        <v>34</v>
      </c>
      <c r="B1260" s="1">
        <v>46146.65625</v>
      </c>
      <c r="C1260" t="s">
        <v>34</v>
      </c>
      <c r="D1260" s="1">
        <v>46150.625</v>
      </c>
      <c r="E1260">
        <v>7010</v>
      </c>
      <c r="F1260" t="s">
        <v>36</v>
      </c>
      <c r="G1260">
        <v>5.91</v>
      </c>
      <c r="H1260">
        <v>15.14</v>
      </c>
      <c r="I1260">
        <v>4.4000000000000004</v>
      </c>
      <c r="J1260">
        <v>7.15</v>
      </c>
      <c r="K1260">
        <v>705</v>
      </c>
      <c r="L1260">
        <v>85</v>
      </c>
      <c r="M1260">
        <v>7.4</v>
      </c>
      <c r="N1260">
        <v>31</v>
      </c>
      <c r="O1260">
        <v>7.6</v>
      </c>
      <c r="P1260">
        <v>0</v>
      </c>
      <c r="Q1260">
        <v>0</v>
      </c>
      <c r="R1260">
        <v>0</v>
      </c>
      <c r="S1260">
        <v>0</v>
      </c>
      <c r="T1260">
        <v>0.20499999999999999</v>
      </c>
      <c r="U1260">
        <v>-0.1027</v>
      </c>
      <c r="V1260">
        <v>1.1999999999999999E-3</v>
      </c>
      <c r="W1260">
        <v>-3.2490999999999999</v>
      </c>
      <c r="X1260">
        <v>1.3900999999999999</v>
      </c>
      <c r="Y1260">
        <v>-8.0799999999999997E-2</v>
      </c>
      <c r="Z1260">
        <v>32</v>
      </c>
      <c r="AA1260">
        <v>6.9</v>
      </c>
      <c r="AB1260">
        <v>23</v>
      </c>
      <c r="AC1260">
        <v>7.1</v>
      </c>
      <c r="AD1260">
        <v>0</v>
      </c>
      <c r="AE1260">
        <v>0</v>
      </c>
      <c r="AF1260">
        <v>7.1599000000000004</v>
      </c>
      <c r="AG1260">
        <v>621</v>
      </c>
      <c r="AH1260">
        <v>0</v>
      </c>
    </row>
    <row r="1261" spans="1:34" x14ac:dyDescent="0.35">
      <c r="A1261" t="s">
        <v>34</v>
      </c>
      <c r="B1261" s="1">
        <v>46146.65625</v>
      </c>
      <c r="C1261" t="s">
        <v>34</v>
      </c>
      <c r="D1261" s="1">
        <v>46150.625</v>
      </c>
      <c r="E1261">
        <v>7015</v>
      </c>
      <c r="F1261" t="s">
        <v>36</v>
      </c>
      <c r="G1261">
        <v>6.3</v>
      </c>
      <c r="H1261">
        <v>13.35</v>
      </c>
      <c r="I1261">
        <v>4.54</v>
      </c>
      <c r="J1261">
        <v>7.5</v>
      </c>
      <c r="K1261">
        <v>411</v>
      </c>
      <c r="L1261">
        <v>68</v>
      </c>
      <c r="M1261">
        <v>7.8</v>
      </c>
      <c r="N1261">
        <v>29</v>
      </c>
      <c r="O1261">
        <v>8</v>
      </c>
      <c r="P1261">
        <v>0</v>
      </c>
      <c r="Q1261">
        <v>0</v>
      </c>
      <c r="R1261">
        <v>0</v>
      </c>
      <c r="S1261">
        <v>0</v>
      </c>
      <c r="T1261">
        <v>0.20399999999999999</v>
      </c>
      <c r="U1261">
        <v>-0.1076</v>
      </c>
      <c r="V1261">
        <v>1.1999999999999999E-3</v>
      </c>
      <c r="W1261">
        <v>-3.3622000000000001</v>
      </c>
      <c r="X1261">
        <v>1.4365000000000001</v>
      </c>
      <c r="Y1261">
        <v>-8.48E-2</v>
      </c>
      <c r="Z1261">
        <v>63</v>
      </c>
      <c r="AA1261">
        <v>7.2</v>
      </c>
      <c r="AB1261">
        <v>28</v>
      </c>
      <c r="AC1261">
        <v>7.5</v>
      </c>
      <c r="AD1261">
        <v>0</v>
      </c>
      <c r="AE1261">
        <v>0</v>
      </c>
      <c r="AF1261">
        <v>7.8506999999999998</v>
      </c>
      <c r="AG1261">
        <v>622</v>
      </c>
      <c r="AH1261">
        <v>0</v>
      </c>
    </row>
    <row r="1262" spans="1:34" x14ac:dyDescent="0.35">
      <c r="A1262" t="s">
        <v>34</v>
      </c>
      <c r="B1262" s="1">
        <v>46146.65625</v>
      </c>
      <c r="C1262" t="s">
        <v>34</v>
      </c>
      <c r="D1262" s="1">
        <v>46150.625</v>
      </c>
      <c r="E1262">
        <v>7020</v>
      </c>
      <c r="F1262" t="s">
        <v>36</v>
      </c>
      <c r="G1262">
        <v>6.51</v>
      </c>
      <c r="H1262">
        <v>16</v>
      </c>
      <c r="I1262">
        <v>4.6500000000000004</v>
      </c>
      <c r="J1262">
        <v>7.8</v>
      </c>
      <c r="K1262">
        <v>440</v>
      </c>
      <c r="L1262">
        <v>66</v>
      </c>
      <c r="M1262">
        <v>8.1999999999999993</v>
      </c>
      <c r="N1262">
        <v>29</v>
      </c>
      <c r="O1262">
        <v>8.4</v>
      </c>
      <c r="P1262">
        <v>0</v>
      </c>
      <c r="Q1262">
        <v>0</v>
      </c>
      <c r="R1262">
        <v>0</v>
      </c>
      <c r="S1262">
        <v>0</v>
      </c>
      <c r="T1262">
        <v>0.20280000000000001</v>
      </c>
      <c r="U1262">
        <v>-0.11260000000000001</v>
      </c>
      <c r="V1262">
        <v>1.1999999999999999E-3</v>
      </c>
      <c r="W1262">
        <v>-3.4706999999999999</v>
      </c>
      <c r="X1262">
        <v>1.4818</v>
      </c>
      <c r="Y1262">
        <v>-8.8700000000000001E-2</v>
      </c>
      <c r="Z1262">
        <v>53</v>
      </c>
      <c r="AA1262">
        <v>7.6</v>
      </c>
      <c r="AB1262">
        <v>44</v>
      </c>
      <c r="AC1262">
        <v>7.9</v>
      </c>
      <c r="AD1262">
        <v>0</v>
      </c>
      <c r="AE1262">
        <v>0</v>
      </c>
      <c r="AF1262">
        <v>7.7941000000000003</v>
      </c>
      <c r="AG1262">
        <v>773</v>
      </c>
      <c r="AH1262">
        <v>0</v>
      </c>
    </row>
    <row r="1263" spans="1:34" x14ac:dyDescent="0.35">
      <c r="A1263" t="s">
        <v>34</v>
      </c>
      <c r="B1263" s="1">
        <v>46146.65625</v>
      </c>
      <c r="C1263" t="s">
        <v>34</v>
      </c>
      <c r="D1263" s="1">
        <v>46150.625</v>
      </c>
      <c r="E1263">
        <v>7025</v>
      </c>
      <c r="F1263" t="s">
        <v>36</v>
      </c>
      <c r="G1263">
        <v>6.86</v>
      </c>
      <c r="H1263">
        <v>15.52</v>
      </c>
      <c r="I1263">
        <v>4.8099999999999996</v>
      </c>
      <c r="J1263">
        <v>8.1</v>
      </c>
      <c r="K1263">
        <v>1079</v>
      </c>
      <c r="L1263">
        <v>6</v>
      </c>
      <c r="M1263">
        <v>8.6999999999999993</v>
      </c>
      <c r="N1263">
        <v>9</v>
      </c>
      <c r="O1263">
        <v>8.8000000000000007</v>
      </c>
      <c r="P1263">
        <v>0</v>
      </c>
      <c r="Q1263">
        <v>0</v>
      </c>
      <c r="R1263">
        <v>0</v>
      </c>
      <c r="S1263">
        <v>0</v>
      </c>
      <c r="T1263">
        <v>0.2014</v>
      </c>
      <c r="U1263">
        <v>-0.1177</v>
      </c>
      <c r="V1263">
        <v>1.2999999999999999E-3</v>
      </c>
      <c r="W1263">
        <v>-3.5737000000000001</v>
      </c>
      <c r="X1263">
        <v>1.5271999999999999</v>
      </c>
      <c r="Y1263">
        <v>-9.2700000000000005E-2</v>
      </c>
      <c r="Z1263">
        <v>39</v>
      </c>
      <c r="AA1263">
        <v>8.1</v>
      </c>
      <c r="AB1263">
        <v>31</v>
      </c>
      <c r="AC1263">
        <v>8.3000000000000007</v>
      </c>
      <c r="AD1263">
        <v>0</v>
      </c>
      <c r="AE1263">
        <v>0</v>
      </c>
      <c r="AF1263">
        <v>7.7732999999999999</v>
      </c>
      <c r="AG1263">
        <v>1163</v>
      </c>
      <c r="AH1263">
        <v>0</v>
      </c>
    </row>
    <row r="1264" spans="1:34" x14ac:dyDescent="0.35">
      <c r="A1264" t="s">
        <v>34</v>
      </c>
      <c r="B1264" s="1">
        <v>46146.65625</v>
      </c>
      <c r="C1264" t="s">
        <v>34</v>
      </c>
      <c r="D1264" s="1">
        <v>46150.625</v>
      </c>
      <c r="E1264">
        <v>7030</v>
      </c>
      <c r="F1264" t="s">
        <v>36</v>
      </c>
      <c r="G1264">
        <v>7.48</v>
      </c>
      <c r="H1264">
        <v>15.35</v>
      </c>
      <c r="I1264">
        <v>5.08</v>
      </c>
      <c r="J1264">
        <v>8.7100000000000009</v>
      </c>
      <c r="K1264">
        <v>205</v>
      </c>
      <c r="L1264">
        <v>33</v>
      </c>
      <c r="M1264">
        <v>9.1</v>
      </c>
      <c r="N1264">
        <v>42</v>
      </c>
      <c r="O1264">
        <v>9.3000000000000007</v>
      </c>
      <c r="P1264">
        <v>0</v>
      </c>
      <c r="Q1264">
        <v>0</v>
      </c>
      <c r="R1264">
        <v>0</v>
      </c>
      <c r="S1264">
        <v>0</v>
      </c>
      <c r="T1264">
        <v>0.2006</v>
      </c>
      <c r="U1264">
        <v>-0.1236</v>
      </c>
      <c r="V1264">
        <v>1.2999999999999999E-3</v>
      </c>
      <c r="W1264">
        <v>-3.7037</v>
      </c>
      <c r="X1264">
        <v>1.5783</v>
      </c>
      <c r="Y1264">
        <v>-9.7299999999999998E-2</v>
      </c>
      <c r="Z1264">
        <v>33</v>
      </c>
      <c r="AA1264">
        <v>8.5</v>
      </c>
      <c r="AB1264">
        <v>15</v>
      </c>
      <c r="AC1264">
        <v>8.6999999999999993</v>
      </c>
      <c r="AD1264">
        <v>0</v>
      </c>
      <c r="AE1264">
        <v>0</v>
      </c>
      <c r="AF1264">
        <v>8.5282</v>
      </c>
      <c r="AG1264">
        <v>643</v>
      </c>
      <c r="AH1264">
        <v>0</v>
      </c>
    </row>
    <row r="1265" spans="1:34" x14ac:dyDescent="0.35">
      <c r="A1265" t="s">
        <v>34</v>
      </c>
      <c r="B1265" s="1">
        <v>46146.65625</v>
      </c>
      <c r="C1265" t="s">
        <v>34</v>
      </c>
      <c r="D1265" s="1">
        <v>46150.625</v>
      </c>
      <c r="E1265">
        <v>7035</v>
      </c>
      <c r="F1265" t="s">
        <v>36</v>
      </c>
      <c r="G1265">
        <v>7.5</v>
      </c>
      <c r="H1265">
        <v>16.329999999999998</v>
      </c>
      <c r="I1265">
        <v>5.31</v>
      </c>
      <c r="J1265">
        <v>9.7799999999999994</v>
      </c>
      <c r="K1265">
        <v>325</v>
      </c>
      <c r="L1265">
        <v>33</v>
      </c>
      <c r="M1265">
        <v>9.6</v>
      </c>
      <c r="N1265">
        <v>45</v>
      </c>
      <c r="O1265">
        <v>9.8000000000000007</v>
      </c>
      <c r="P1265">
        <v>0</v>
      </c>
      <c r="Q1265">
        <v>0</v>
      </c>
      <c r="R1265">
        <v>0</v>
      </c>
      <c r="S1265">
        <v>0</v>
      </c>
      <c r="T1265">
        <v>0.19900000000000001</v>
      </c>
      <c r="U1265">
        <v>-0.12870000000000001</v>
      </c>
      <c r="V1265">
        <v>1.4E-3</v>
      </c>
      <c r="W1265">
        <v>-3.7982999999999998</v>
      </c>
      <c r="X1265">
        <v>1.6227</v>
      </c>
      <c r="Y1265">
        <v>-0.1014</v>
      </c>
      <c r="Z1265">
        <v>21</v>
      </c>
      <c r="AA1265">
        <v>9</v>
      </c>
      <c r="AB1265">
        <v>27</v>
      </c>
      <c r="AC1265">
        <v>9.1999999999999993</v>
      </c>
      <c r="AD1265">
        <v>0</v>
      </c>
      <c r="AE1265">
        <v>0</v>
      </c>
      <c r="AF1265">
        <v>8.9252000000000002</v>
      </c>
      <c r="AG1265">
        <v>440</v>
      </c>
      <c r="AH1265">
        <v>0</v>
      </c>
    </row>
    <row r="1266" spans="1:34" x14ac:dyDescent="0.35">
      <c r="A1266" t="s">
        <v>34</v>
      </c>
      <c r="B1266" s="1">
        <v>46146.65625</v>
      </c>
      <c r="C1266" t="s">
        <v>34</v>
      </c>
      <c r="D1266" s="1">
        <v>46150.625</v>
      </c>
      <c r="E1266">
        <v>7040</v>
      </c>
      <c r="F1266" t="s">
        <v>36</v>
      </c>
      <c r="G1266">
        <v>8</v>
      </c>
      <c r="H1266">
        <v>18.55</v>
      </c>
      <c r="I1266">
        <v>5.52</v>
      </c>
      <c r="J1266">
        <v>9.6300000000000008</v>
      </c>
      <c r="K1266">
        <v>673</v>
      </c>
      <c r="L1266">
        <v>75</v>
      </c>
      <c r="M1266">
        <v>10</v>
      </c>
      <c r="N1266">
        <v>65</v>
      </c>
      <c r="O1266">
        <v>10.3</v>
      </c>
      <c r="P1266">
        <v>0</v>
      </c>
      <c r="Q1266">
        <v>0</v>
      </c>
      <c r="R1266">
        <v>0</v>
      </c>
      <c r="S1266">
        <v>0</v>
      </c>
      <c r="T1266">
        <v>0.19789999999999999</v>
      </c>
      <c r="U1266">
        <v>-0.13469999999999999</v>
      </c>
      <c r="V1266">
        <v>1.4E-3</v>
      </c>
      <c r="W1266">
        <v>-3.9174000000000002</v>
      </c>
      <c r="X1266">
        <v>1.6732</v>
      </c>
      <c r="Y1266">
        <v>-0.1062</v>
      </c>
      <c r="Z1266">
        <v>42</v>
      </c>
      <c r="AA1266">
        <v>9.4</v>
      </c>
      <c r="AB1266">
        <v>43</v>
      </c>
      <c r="AC1266">
        <v>9.6999999999999993</v>
      </c>
      <c r="AD1266">
        <v>0</v>
      </c>
      <c r="AE1266">
        <v>0</v>
      </c>
      <c r="AF1266">
        <v>9.0510999999999999</v>
      </c>
      <c r="AG1266">
        <v>1840</v>
      </c>
      <c r="AH1266">
        <v>0</v>
      </c>
    </row>
    <row r="1267" spans="1:34" x14ac:dyDescent="0.35">
      <c r="A1267" t="s">
        <v>34</v>
      </c>
      <c r="B1267" s="1">
        <v>46146.65625</v>
      </c>
      <c r="C1267" t="s">
        <v>34</v>
      </c>
      <c r="D1267" s="1">
        <v>46150.625</v>
      </c>
      <c r="E1267">
        <v>7045</v>
      </c>
      <c r="F1267" t="s">
        <v>36</v>
      </c>
      <c r="G1267">
        <v>8.7799999999999994</v>
      </c>
      <c r="H1267">
        <v>16.93</v>
      </c>
      <c r="I1267">
        <v>5.78</v>
      </c>
      <c r="J1267">
        <v>10.07</v>
      </c>
      <c r="K1267">
        <v>1295</v>
      </c>
      <c r="L1267">
        <v>30</v>
      </c>
      <c r="M1267">
        <v>10.6</v>
      </c>
      <c r="N1267">
        <v>39</v>
      </c>
      <c r="O1267">
        <v>10.8</v>
      </c>
      <c r="P1267">
        <v>0</v>
      </c>
      <c r="Q1267">
        <v>0</v>
      </c>
      <c r="R1267">
        <v>0</v>
      </c>
      <c r="S1267">
        <v>0</v>
      </c>
      <c r="T1267">
        <v>0.19670000000000001</v>
      </c>
      <c r="U1267">
        <v>-0.14069999999999999</v>
      </c>
      <c r="V1267">
        <v>1.5E-3</v>
      </c>
      <c r="W1267">
        <v>-4.0305999999999997</v>
      </c>
      <c r="X1267">
        <v>1.7229000000000001</v>
      </c>
      <c r="Y1267">
        <v>-0.111</v>
      </c>
      <c r="Z1267">
        <v>15</v>
      </c>
      <c r="AA1267">
        <v>10</v>
      </c>
      <c r="AB1267">
        <v>36</v>
      </c>
      <c r="AC1267">
        <v>10.199999999999999</v>
      </c>
      <c r="AD1267">
        <v>0</v>
      </c>
      <c r="AE1267">
        <v>0</v>
      </c>
      <c r="AF1267">
        <v>10.114699999999999</v>
      </c>
      <c r="AG1267">
        <v>456</v>
      </c>
      <c r="AH1267">
        <v>0</v>
      </c>
    </row>
    <row r="1268" spans="1:34" x14ac:dyDescent="0.35">
      <c r="A1268" t="s">
        <v>34</v>
      </c>
      <c r="B1268" s="1">
        <v>46146.65625</v>
      </c>
      <c r="C1268" t="s">
        <v>34</v>
      </c>
      <c r="D1268" s="1">
        <v>46150.625</v>
      </c>
      <c r="E1268">
        <v>7050</v>
      </c>
      <c r="F1268" t="s">
        <v>36</v>
      </c>
      <c r="G1268">
        <v>8.81</v>
      </c>
      <c r="H1268">
        <v>21.06</v>
      </c>
      <c r="I1268">
        <v>6</v>
      </c>
      <c r="J1268">
        <v>10.5</v>
      </c>
      <c r="K1268">
        <v>2325</v>
      </c>
      <c r="L1268">
        <v>42</v>
      </c>
      <c r="M1268">
        <v>11.1</v>
      </c>
      <c r="N1268">
        <v>40</v>
      </c>
      <c r="O1268">
        <v>11.3</v>
      </c>
      <c r="P1268">
        <v>0</v>
      </c>
      <c r="Q1268">
        <v>0</v>
      </c>
      <c r="R1268">
        <v>0</v>
      </c>
      <c r="S1268">
        <v>0</v>
      </c>
      <c r="T1268">
        <v>0.1958</v>
      </c>
      <c r="U1268">
        <v>-0.14749999999999999</v>
      </c>
      <c r="V1268">
        <v>1.6000000000000001E-3</v>
      </c>
      <c r="W1268">
        <v>-4.1654</v>
      </c>
      <c r="X1268">
        <v>1.7767999999999999</v>
      </c>
      <c r="Y1268">
        <v>-0.11650000000000001</v>
      </c>
      <c r="Z1268">
        <v>35</v>
      </c>
      <c r="AA1268">
        <v>10.5</v>
      </c>
      <c r="AB1268">
        <v>13</v>
      </c>
      <c r="AC1268">
        <v>10.7</v>
      </c>
      <c r="AD1268">
        <v>0</v>
      </c>
      <c r="AE1268">
        <v>0</v>
      </c>
      <c r="AF1268">
        <v>10.2897</v>
      </c>
      <c r="AG1268">
        <v>3746</v>
      </c>
      <c r="AH1268">
        <v>0</v>
      </c>
    </row>
    <row r="1269" spans="1:34" x14ac:dyDescent="0.35">
      <c r="A1269" t="s">
        <v>34</v>
      </c>
      <c r="B1269" s="1">
        <v>46146.65625</v>
      </c>
      <c r="C1269" t="s">
        <v>34</v>
      </c>
      <c r="D1269" s="1">
        <v>46150.625</v>
      </c>
      <c r="E1269">
        <v>7055</v>
      </c>
      <c r="F1269" t="s">
        <v>36</v>
      </c>
      <c r="G1269">
        <v>9</v>
      </c>
      <c r="H1269">
        <v>20.2</v>
      </c>
      <c r="I1269">
        <v>6.37</v>
      </c>
      <c r="J1269">
        <v>11.29</v>
      </c>
      <c r="K1269">
        <v>274</v>
      </c>
      <c r="L1269">
        <v>22</v>
      </c>
      <c r="M1269">
        <v>11.7</v>
      </c>
      <c r="N1269">
        <v>58</v>
      </c>
      <c r="O1269">
        <v>11.9</v>
      </c>
      <c r="P1269">
        <v>0</v>
      </c>
      <c r="Q1269">
        <v>0</v>
      </c>
      <c r="R1269">
        <v>0</v>
      </c>
      <c r="S1269">
        <v>0</v>
      </c>
      <c r="T1269">
        <v>0.1943</v>
      </c>
      <c r="U1269">
        <v>-0.1537</v>
      </c>
      <c r="V1269">
        <v>1.6000000000000001E-3</v>
      </c>
      <c r="W1269">
        <v>-4.2664</v>
      </c>
      <c r="X1269">
        <v>1.8239000000000001</v>
      </c>
      <c r="Y1269">
        <v>-0.12139999999999999</v>
      </c>
      <c r="Z1269">
        <v>40</v>
      </c>
      <c r="AA1269">
        <v>11</v>
      </c>
      <c r="AB1269">
        <v>44</v>
      </c>
      <c r="AC1269">
        <v>11.3</v>
      </c>
      <c r="AD1269">
        <v>0</v>
      </c>
      <c r="AE1269">
        <v>0</v>
      </c>
      <c r="AF1269">
        <v>11.317</v>
      </c>
      <c r="AG1269">
        <v>555</v>
      </c>
      <c r="AH1269">
        <v>0</v>
      </c>
    </row>
    <row r="1270" spans="1:34" x14ac:dyDescent="0.35">
      <c r="A1270" t="s">
        <v>34</v>
      </c>
      <c r="B1270" s="1">
        <v>46146.65625</v>
      </c>
      <c r="C1270" t="s">
        <v>34</v>
      </c>
      <c r="D1270" s="1">
        <v>46150.625</v>
      </c>
      <c r="E1270">
        <v>7060</v>
      </c>
      <c r="F1270" t="s">
        <v>36</v>
      </c>
      <c r="G1270">
        <v>9.58</v>
      </c>
      <c r="H1270">
        <v>19.8</v>
      </c>
      <c r="I1270">
        <v>6.6</v>
      </c>
      <c r="J1270">
        <v>11.84</v>
      </c>
      <c r="K1270">
        <v>646</v>
      </c>
      <c r="L1270">
        <v>17</v>
      </c>
      <c r="M1270">
        <v>12.3</v>
      </c>
      <c r="N1270">
        <v>61</v>
      </c>
      <c r="O1270">
        <v>12.5</v>
      </c>
      <c r="P1270">
        <v>0</v>
      </c>
      <c r="Q1270">
        <v>0</v>
      </c>
      <c r="R1270">
        <v>0</v>
      </c>
      <c r="S1270">
        <v>0</v>
      </c>
      <c r="T1270">
        <v>0.19320000000000001</v>
      </c>
      <c r="U1270">
        <v>-0.16070000000000001</v>
      </c>
      <c r="V1270">
        <v>1.6999999999999999E-3</v>
      </c>
      <c r="W1270">
        <v>-4.3879000000000001</v>
      </c>
      <c r="X1270">
        <v>1.8754999999999999</v>
      </c>
      <c r="Y1270">
        <v>-0.12690000000000001</v>
      </c>
      <c r="Z1270">
        <v>34</v>
      </c>
      <c r="AA1270">
        <v>11.6</v>
      </c>
      <c r="AB1270">
        <v>39</v>
      </c>
      <c r="AC1270">
        <v>11.9</v>
      </c>
      <c r="AD1270">
        <v>0</v>
      </c>
      <c r="AE1270">
        <v>0</v>
      </c>
      <c r="AF1270">
        <v>9.8050999999999995</v>
      </c>
      <c r="AG1270">
        <v>617</v>
      </c>
      <c r="AH1270">
        <v>0</v>
      </c>
    </row>
    <row r="1271" spans="1:34" x14ac:dyDescent="0.35">
      <c r="A1271" t="s">
        <v>34</v>
      </c>
      <c r="B1271" s="1">
        <v>46146.65625</v>
      </c>
      <c r="C1271" t="s">
        <v>34</v>
      </c>
      <c r="D1271" s="1">
        <v>46150.625</v>
      </c>
      <c r="E1271">
        <v>7065</v>
      </c>
      <c r="F1271" t="s">
        <v>36</v>
      </c>
      <c r="G1271">
        <v>10.58</v>
      </c>
      <c r="H1271">
        <v>20.9</v>
      </c>
      <c r="I1271">
        <v>7.3</v>
      </c>
      <c r="J1271">
        <v>11.3</v>
      </c>
      <c r="K1271">
        <v>193</v>
      </c>
      <c r="L1271">
        <v>23</v>
      </c>
      <c r="M1271">
        <v>12.9</v>
      </c>
      <c r="N1271">
        <v>27</v>
      </c>
      <c r="O1271">
        <v>13.1</v>
      </c>
      <c r="P1271">
        <v>0</v>
      </c>
      <c r="Q1271">
        <v>0</v>
      </c>
      <c r="R1271">
        <v>0</v>
      </c>
      <c r="S1271">
        <v>0</v>
      </c>
      <c r="T1271">
        <v>0.19209999999999999</v>
      </c>
      <c r="U1271">
        <v>-0.1681</v>
      </c>
      <c r="V1271">
        <v>1.6999999999999999E-3</v>
      </c>
      <c r="W1271">
        <v>-4.5148000000000001</v>
      </c>
      <c r="X1271">
        <v>1.929</v>
      </c>
      <c r="Y1271">
        <v>-0.13270000000000001</v>
      </c>
      <c r="Z1271">
        <v>34</v>
      </c>
      <c r="AA1271">
        <v>12.2</v>
      </c>
      <c r="AB1271">
        <v>41</v>
      </c>
      <c r="AC1271">
        <v>12.5</v>
      </c>
      <c r="AD1271">
        <v>0</v>
      </c>
      <c r="AE1271">
        <v>0</v>
      </c>
      <c r="AF1271">
        <v>11.324400000000001</v>
      </c>
      <c r="AG1271">
        <v>191</v>
      </c>
      <c r="AH1271">
        <v>0</v>
      </c>
    </row>
    <row r="1272" spans="1:34" x14ac:dyDescent="0.35">
      <c r="A1272" t="s">
        <v>34</v>
      </c>
      <c r="B1272" s="1">
        <v>46146.65625</v>
      </c>
      <c r="C1272" t="s">
        <v>34</v>
      </c>
      <c r="D1272" s="1">
        <v>46150.625</v>
      </c>
      <c r="E1272">
        <v>7070</v>
      </c>
      <c r="F1272" t="s">
        <v>36</v>
      </c>
      <c r="G1272">
        <v>11.3</v>
      </c>
      <c r="H1272">
        <v>22.54</v>
      </c>
      <c r="I1272">
        <v>7.2</v>
      </c>
      <c r="J1272">
        <v>12.37</v>
      </c>
      <c r="K1272">
        <v>534</v>
      </c>
      <c r="L1272">
        <v>39</v>
      </c>
      <c r="M1272">
        <v>13.5</v>
      </c>
      <c r="N1272">
        <v>26</v>
      </c>
      <c r="O1272">
        <v>13.7</v>
      </c>
      <c r="P1272">
        <v>0</v>
      </c>
      <c r="Q1272">
        <v>0</v>
      </c>
      <c r="R1272">
        <v>0</v>
      </c>
      <c r="S1272">
        <v>0</v>
      </c>
      <c r="T1272">
        <v>0.191</v>
      </c>
      <c r="U1272">
        <v>-0.17549999999999999</v>
      </c>
      <c r="V1272">
        <v>1.8E-3</v>
      </c>
      <c r="W1272">
        <v>-4.6337999999999999</v>
      </c>
      <c r="X1272">
        <v>1.982</v>
      </c>
      <c r="Y1272">
        <v>-0.13869999999999999</v>
      </c>
      <c r="Z1272">
        <v>14</v>
      </c>
      <c r="AA1272">
        <v>12.9</v>
      </c>
      <c r="AB1272">
        <v>12</v>
      </c>
      <c r="AC1272">
        <v>13.1</v>
      </c>
      <c r="AD1272">
        <v>0</v>
      </c>
      <c r="AE1272">
        <v>0</v>
      </c>
      <c r="AF1272">
        <v>10.7456</v>
      </c>
      <c r="AG1272">
        <v>786</v>
      </c>
      <c r="AH1272">
        <v>0</v>
      </c>
    </row>
    <row r="1273" spans="1:34" x14ac:dyDescent="0.35">
      <c r="A1273" t="s">
        <v>34</v>
      </c>
      <c r="B1273" s="1">
        <v>46146.65625</v>
      </c>
      <c r="C1273" t="s">
        <v>34</v>
      </c>
      <c r="D1273" s="1">
        <v>46150.625</v>
      </c>
      <c r="E1273">
        <v>7075</v>
      </c>
      <c r="F1273" t="s">
        <v>36</v>
      </c>
      <c r="G1273">
        <v>11.38</v>
      </c>
      <c r="H1273">
        <v>25</v>
      </c>
      <c r="I1273">
        <v>7.77</v>
      </c>
      <c r="J1273">
        <v>13.5</v>
      </c>
      <c r="K1273">
        <v>1701</v>
      </c>
      <c r="L1273">
        <v>33</v>
      </c>
      <c r="M1273">
        <v>14.2</v>
      </c>
      <c r="N1273">
        <v>35</v>
      </c>
      <c r="O1273">
        <v>14.4</v>
      </c>
      <c r="P1273">
        <v>0</v>
      </c>
      <c r="Q1273">
        <v>0</v>
      </c>
      <c r="R1273">
        <v>0</v>
      </c>
      <c r="S1273">
        <v>0</v>
      </c>
      <c r="T1273">
        <v>0.18959999999999999</v>
      </c>
      <c r="U1273">
        <v>-0.18310000000000001</v>
      </c>
      <c r="V1273">
        <v>1.8E-3</v>
      </c>
      <c r="W1273">
        <v>-4.7450999999999999</v>
      </c>
      <c r="X1273">
        <v>2.0339999999999998</v>
      </c>
      <c r="Y1273">
        <v>-0.14480000000000001</v>
      </c>
      <c r="Z1273">
        <v>43</v>
      </c>
      <c r="AA1273">
        <v>13.5</v>
      </c>
      <c r="AB1273">
        <v>38</v>
      </c>
      <c r="AC1273">
        <v>13.8</v>
      </c>
      <c r="AD1273">
        <v>0</v>
      </c>
      <c r="AE1273">
        <v>0</v>
      </c>
      <c r="AF1273">
        <v>13.6561</v>
      </c>
      <c r="AG1273">
        <v>1779</v>
      </c>
      <c r="AH1273">
        <v>0</v>
      </c>
    </row>
    <row r="1274" spans="1:34" x14ac:dyDescent="0.35">
      <c r="A1274" t="s">
        <v>34</v>
      </c>
      <c r="B1274" s="1">
        <v>46146.65625</v>
      </c>
      <c r="C1274" t="s">
        <v>34</v>
      </c>
      <c r="D1274" s="1">
        <v>46150.625</v>
      </c>
      <c r="E1274">
        <v>7080</v>
      </c>
      <c r="F1274" t="s">
        <v>36</v>
      </c>
      <c r="G1274">
        <v>11.9</v>
      </c>
      <c r="H1274">
        <v>26.93</v>
      </c>
      <c r="I1274">
        <v>8.18</v>
      </c>
      <c r="J1274">
        <v>14.72</v>
      </c>
      <c r="K1274">
        <v>1562</v>
      </c>
      <c r="L1274">
        <v>21</v>
      </c>
      <c r="M1274">
        <v>14.9</v>
      </c>
      <c r="N1274">
        <v>23</v>
      </c>
      <c r="O1274">
        <v>15.1</v>
      </c>
      <c r="P1274">
        <v>0</v>
      </c>
      <c r="Q1274">
        <v>0</v>
      </c>
      <c r="R1274">
        <v>0</v>
      </c>
      <c r="S1274">
        <v>0</v>
      </c>
      <c r="T1274">
        <v>0.1883</v>
      </c>
      <c r="U1274">
        <v>-0.191</v>
      </c>
      <c r="V1274">
        <v>1.9E-3</v>
      </c>
      <c r="W1274">
        <v>-4.8601000000000001</v>
      </c>
      <c r="X1274">
        <v>2.0865999999999998</v>
      </c>
      <c r="Y1274">
        <v>-0.1512</v>
      </c>
      <c r="Z1274">
        <v>38</v>
      </c>
      <c r="AA1274">
        <v>14.2</v>
      </c>
      <c r="AB1274">
        <v>15</v>
      </c>
      <c r="AC1274">
        <v>14.5</v>
      </c>
      <c r="AD1274">
        <v>0</v>
      </c>
      <c r="AE1274">
        <v>0</v>
      </c>
      <c r="AF1274">
        <v>14.1586</v>
      </c>
      <c r="AG1274">
        <v>953</v>
      </c>
      <c r="AH1274">
        <v>0</v>
      </c>
    </row>
    <row r="1275" spans="1:34" x14ac:dyDescent="0.35">
      <c r="A1275" t="s">
        <v>34</v>
      </c>
      <c r="B1275" s="1">
        <v>46146.65625</v>
      </c>
      <c r="C1275" t="s">
        <v>34</v>
      </c>
      <c r="D1275" s="1">
        <v>46150.625</v>
      </c>
      <c r="E1275">
        <v>7085</v>
      </c>
      <c r="F1275" t="s">
        <v>36</v>
      </c>
      <c r="G1275">
        <v>13.52</v>
      </c>
      <c r="H1275">
        <v>24.7</v>
      </c>
      <c r="I1275">
        <v>8.57</v>
      </c>
      <c r="J1275">
        <v>15.25</v>
      </c>
      <c r="K1275">
        <v>528</v>
      </c>
      <c r="L1275">
        <v>38</v>
      </c>
      <c r="M1275">
        <v>15.6</v>
      </c>
      <c r="N1275">
        <v>4</v>
      </c>
      <c r="O1275">
        <v>15.8</v>
      </c>
      <c r="P1275">
        <v>0</v>
      </c>
      <c r="Q1275">
        <v>0</v>
      </c>
      <c r="R1275">
        <v>0</v>
      </c>
      <c r="S1275">
        <v>0</v>
      </c>
      <c r="T1275">
        <v>0.18720000000000001</v>
      </c>
      <c r="U1275">
        <v>-0.19939999999999999</v>
      </c>
      <c r="V1275">
        <v>2E-3</v>
      </c>
      <c r="W1275">
        <v>-4.9782999999999999</v>
      </c>
      <c r="X1275">
        <v>2.1391</v>
      </c>
      <c r="Y1275">
        <v>-0.15790000000000001</v>
      </c>
      <c r="Z1275">
        <v>25</v>
      </c>
      <c r="AA1275">
        <v>15</v>
      </c>
      <c r="AB1275">
        <v>11</v>
      </c>
      <c r="AC1275">
        <v>15.2</v>
      </c>
      <c r="AD1275">
        <v>0</v>
      </c>
      <c r="AE1275">
        <v>0</v>
      </c>
      <c r="AF1275">
        <v>12.540100000000001</v>
      </c>
      <c r="AG1275">
        <v>569</v>
      </c>
      <c r="AH1275">
        <v>0</v>
      </c>
    </row>
    <row r="1276" spans="1:34" x14ac:dyDescent="0.35">
      <c r="A1276" t="s">
        <v>34</v>
      </c>
      <c r="B1276" s="1">
        <v>46146.65625</v>
      </c>
      <c r="C1276" t="s">
        <v>34</v>
      </c>
      <c r="D1276" s="1">
        <v>46150.625</v>
      </c>
      <c r="E1276">
        <v>7090</v>
      </c>
      <c r="F1276" t="s">
        <v>36</v>
      </c>
      <c r="G1276">
        <v>12.88</v>
      </c>
      <c r="H1276">
        <v>23.75</v>
      </c>
      <c r="I1276">
        <v>8.75</v>
      </c>
      <c r="J1276">
        <v>16</v>
      </c>
      <c r="K1276">
        <v>867</v>
      </c>
      <c r="L1276">
        <v>21</v>
      </c>
      <c r="M1276">
        <v>16.399999999999999</v>
      </c>
      <c r="N1276">
        <v>23</v>
      </c>
      <c r="O1276">
        <v>16.600000000000001</v>
      </c>
      <c r="P1276">
        <v>0</v>
      </c>
      <c r="Q1276">
        <v>0</v>
      </c>
      <c r="R1276">
        <v>0</v>
      </c>
      <c r="S1276">
        <v>0</v>
      </c>
      <c r="T1276">
        <v>0.18579999999999999</v>
      </c>
      <c r="U1276">
        <v>-0.2079</v>
      </c>
      <c r="V1276">
        <v>2E-3</v>
      </c>
      <c r="W1276">
        <v>-5.0868000000000002</v>
      </c>
      <c r="X1276">
        <v>2.1905000000000001</v>
      </c>
      <c r="Y1276">
        <v>-0.1646</v>
      </c>
      <c r="Z1276">
        <v>13</v>
      </c>
      <c r="AA1276">
        <v>15.8</v>
      </c>
      <c r="AB1276">
        <v>11</v>
      </c>
      <c r="AC1276">
        <v>16</v>
      </c>
      <c r="AD1276">
        <v>0</v>
      </c>
      <c r="AE1276">
        <v>0</v>
      </c>
      <c r="AF1276">
        <v>12.541399999999999</v>
      </c>
      <c r="AG1276">
        <v>761</v>
      </c>
      <c r="AH1276">
        <v>0</v>
      </c>
    </row>
    <row r="1277" spans="1:34" x14ac:dyDescent="0.35">
      <c r="A1277" t="s">
        <v>34</v>
      </c>
      <c r="B1277" s="1">
        <v>46146.65625</v>
      </c>
      <c r="C1277" t="s">
        <v>34</v>
      </c>
      <c r="D1277" s="1">
        <v>46150.625</v>
      </c>
      <c r="E1277">
        <v>7095</v>
      </c>
      <c r="F1277" t="s">
        <v>36</v>
      </c>
      <c r="G1277">
        <v>13.46</v>
      </c>
      <c r="H1277">
        <v>25.91</v>
      </c>
      <c r="I1277">
        <v>9.31</v>
      </c>
      <c r="J1277">
        <v>17.100000000000001</v>
      </c>
      <c r="K1277">
        <v>488</v>
      </c>
      <c r="L1277">
        <v>20</v>
      </c>
      <c r="M1277">
        <v>17.2</v>
      </c>
      <c r="N1277">
        <v>22</v>
      </c>
      <c r="O1277">
        <v>17.399999999999999</v>
      </c>
      <c r="P1277">
        <v>0</v>
      </c>
      <c r="Q1277">
        <v>0</v>
      </c>
      <c r="R1277">
        <v>0</v>
      </c>
      <c r="S1277">
        <v>0</v>
      </c>
      <c r="T1277">
        <v>0.1845</v>
      </c>
      <c r="U1277">
        <v>-0.21679999999999999</v>
      </c>
      <c r="V1277">
        <v>2.0999999999999999E-3</v>
      </c>
      <c r="W1277">
        <v>-5.1973000000000003</v>
      </c>
      <c r="X1277">
        <v>2.2427000000000001</v>
      </c>
      <c r="Y1277">
        <v>-0.1716</v>
      </c>
      <c r="Z1277">
        <v>13</v>
      </c>
      <c r="AA1277">
        <v>16.600000000000001</v>
      </c>
      <c r="AB1277">
        <v>11</v>
      </c>
      <c r="AC1277">
        <v>16.8</v>
      </c>
      <c r="AD1277">
        <v>0</v>
      </c>
      <c r="AE1277">
        <v>0</v>
      </c>
      <c r="AF1277">
        <v>15.5259</v>
      </c>
      <c r="AG1277">
        <v>1956</v>
      </c>
      <c r="AH1277">
        <v>0</v>
      </c>
    </row>
    <row r="1278" spans="1:34" x14ac:dyDescent="0.35">
      <c r="A1278" t="s">
        <v>34</v>
      </c>
      <c r="B1278" s="1">
        <v>46146.65625</v>
      </c>
      <c r="C1278" t="s">
        <v>34</v>
      </c>
      <c r="D1278" s="1">
        <v>46150.625</v>
      </c>
      <c r="E1278">
        <v>7100</v>
      </c>
      <c r="F1278" t="s">
        <v>36</v>
      </c>
      <c r="G1278">
        <v>14.21</v>
      </c>
      <c r="H1278">
        <v>30</v>
      </c>
      <c r="I1278">
        <v>9.58</v>
      </c>
      <c r="J1278">
        <v>17.399999999999999</v>
      </c>
      <c r="K1278">
        <v>4206</v>
      </c>
      <c r="L1278">
        <v>47</v>
      </c>
      <c r="M1278">
        <v>18</v>
      </c>
      <c r="N1278">
        <v>53</v>
      </c>
      <c r="O1278">
        <v>18.3</v>
      </c>
      <c r="P1278">
        <v>0</v>
      </c>
      <c r="Q1278">
        <v>0</v>
      </c>
      <c r="R1278">
        <v>0</v>
      </c>
      <c r="S1278">
        <v>0</v>
      </c>
      <c r="T1278">
        <v>0.18329999999999999</v>
      </c>
      <c r="U1278">
        <v>-0.2261</v>
      </c>
      <c r="V1278">
        <v>2.2000000000000001E-3</v>
      </c>
      <c r="W1278">
        <v>-5.3087</v>
      </c>
      <c r="X1278">
        <v>2.2955000000000001</v>
      </c>
      <c r="Y1278">
        <v>-0.17899999999999999</v>
      </c>
      <c r="Z1278">
        <v>38</v>
      </c>
      <c r="AA1278">
        <v>17.399999999999999</v>
      </c>
      <c r="AB1278">
        <v>29</v>
      </c>
      <c r="AC1278">
        <v>17.7</v>
      </c>
      <c r="AD1278">
        <v>0</v>
      </c>
      <c r="AE1278">
        <v>0</v>
      </c>
      <c r="AF1278">
        <v>15.817</v>
      </c>
      <c r="AG1278">
        <v>4793</v>
      </c>
      <c r="AH1278">
        <v>0</v>
      </c>
    </row>
    <row r="1279" spans="1:34" x14ac:dyDescent="0.35">
      <c r="A1279" t="s">
        <v>34</v>
      </c>
      <c r="B1279" s="1">
        <v>46146.65625</v>
      </c>
      <c r="C1279" t="s">
        <v>34</v>
      </c>
      <c r="D1279" s="1">
        <v>46150.625</v>
      </c>
      <c r="E1279">
        <v>7105</v>
      </c>
      <c r="F1279" t="s">
        <v>36</v>
      </c>
      <c r="G1279">
        <v>14.49</v>
      </c>
      <c r="H1279">
        <v>30.08</v>
      </c>
      <c r="I1279">
        <v>10.08</v>
      </c>
      <c r="J1279">
        <v>18.850000000000001</v>
      </c>
      <c r="K1279">
        <v>353</v>
      </c>
      <c r="L1279">
        <v>19</v>
      </c>
      <c r="M1279">
        <v>18.899999999999999</v>
      </c>
      <c r="N1279">
        <v>8</v>
      </c>
      <c r="O1279">
        <v>19.100000000000001</v>
      </c>
      <c r="P1279">
        <v>0</v>
      </c>
      <c r="Q1279">
        <v>0</v>
      </c>
      <c r="R1279">
        <v>0</v>
      </c>
      <c r="S1279">
        <v>0</v>
      </c>
      <c r="T1279">
        <v>0.18179999999999999</v>
      </c>
      <c r="U1279">
        <v>-0.23549999999999999</v>
      </c>
      <c r="V1279">
        <v>2.2000000000000001E-3</v>
      </c>
      <c r="W1279">
        <v>-5.4085999999999999</v>
      </c>
      <c r="X1279">
        <v>2.3473000000000002</v>
      </c>
      <c r="Y1279">
        <v>-0.1867</v>
      </c>
      <c r="Z1279">
        <v>29</v>
      </c>
      <c r="AA1279">
        <v>18.3</v>
      </c>
      <c r="AB1279">
        <v>24</v>
      </c>
      <c r="AC1279">
        <v>18.600000000000001</v>
      </c>
      <c r="AD1279">
        <v>0</v>
      </c>
      <c r="AE1279">
        <v>0</v>
      </c>
      <c r="AF1279">
        <v>16.576899999999998</v>
      </c>
      <c r="AG1279">
        <v>386</v>
      </c>
      <c r="AH1279">
        <v>0</v>
      </c>
    </row>
    <row r="1280" spans="1:34" x14ac:dyDescent="0.35">
      <c r="A1280" t="s">
        <v>34</v>
      </c>
      <c r="B1280" s="1">
        <v>46146.65625</v>
      </c>
      <c r="C1280" t="s">
        <v>34</v>
      </c>
      <c r="D1280" s="1">
        <v>46150.625</v>
      </c>
      <c r="E1280">
        <v>7110</v>
      </c>
      <c r="F1280" t="s">
        <v>36</v>
      </c>
      <c r="G1280">
        <v>15.43</v>
      </c>
      <c r="H1280">
        <v>31.72</v>
      </c>
      <c r="I1280">
        <v>10.58</v>
      </c>
      <c r="J1280">
        <v>19.350000000000001</v>
      </c>
      <c r="K1280">
        <v>1281</v>
      </c>
      <c r="L1280">
        <v>32</v>
      </c>
      <c r="M1280">
        <v>19.8</v>
      </c>
      <c r="N1280">
        <v>46</v>
      </c>
      <c r="O1280">
        <v>20.100000000000001</v>
      </c>
      <c r="P1280">
        <v>0</v>
      </c>
      <c r="Q1280">
        <v>0</v>
      </c>
      <c r="R1280">
        <v>0</v>
      </c>
      <c r="S1280">
        <v>0</v>
      </c>
      <c r="T1280">
        <v>0.18060000000000001</v>
      </c>
      <c r="U1280">
        <v>-0.24560000000000001</v>
      </c>
      <c r="V1280">
        <v>2.3E-3</v>
      </c>
      <c r="W1280">
        <v>-5.5179</v>
      </c>
      <c r="X1280">
        <v>2.3995000000000002</v>
      </c>
      <c r="Y1280">
        <v>-0.1948</v>
      </c>
      <c r="Z1280">
        <v>31</v>
      </c>
      <c r="AA1280">
        <v>19.2</v>
      </c>
      <c r="AB1280">
        <v>19</v>
      </c>
      <c r="AC1280">
        <v>19.5</v>
      </c>
      <c r="AD1280">
        <v>0</v>
      </c>
      <c r="AE1280">
        <v>0</v>
      </c>
      <c r="AF1280">
        <v>19.6892</v>
      </c>
      <c r="AG1280">
        <v>1364</v>
      </c>
      <c r="AH1280">
        <v>0</v>
      </c>
    </row>
    <row r="1281" spans="1:34" x14ac:dyDescent="0.35">
      <c r="A1281" t="s">
        <v>34</v>
      </c>
      <c r="B1281" s="1">
        <v>46146.65625</v>
      </c>
      <c r="C1281" t="s">
        <v>34</v>
      </c>
      <c r="D1281" s="1">
        <v>46150.625</v>
      </c>
      <c r="E1281">
        <v>7115</v>
      </c>
      <c r="F1281" t="s">
        <v>36</v>
      </c>
      <c r="G1281">
        <v>16.54</v>
      </c>
      <c r="H1281">
        <v>33.299999999999997</v>
      </c>
      <c r="I1281">
        <v>11.15</v>
      </c>
      <c r="J1281">
        <v>20.170000000000002</v>
      </c>
      <c r="K1281">
        <v>1635</v>
      </c>
      <c r="L1281">
        <v>18</v>
      </c>
      <c r="M1281">
        <v>20.8</v>
      </c>
      <c r="N1281">
        <v>20</v>
      </c>
      <c r="O1281">
        <v>21</v>
      </c>
      <c r="P1281">
        <v>0</v>
      </c>
      <c r="Q1281">
        <v>0</v>
      </c>
      <c r="R1281">
        <v>0</v>
      </c>
      <c r="S1281">
        <v>0</v>
      </c>
      <c r="T1281">
        <v>0.17910000000000001</v>
      </c>
      <c r="U1281">
        <v>-0.2555</v>
      </c>
      <c r="V1281">
        <v>2.3999999999999998E-3</v>
      </c>
      <c r="W1281">
        <v>-5.6060999999999996</v>
      </c>
      <c r="X1281">
        <v>2.4481000000000002</v>
      </c>
      <c r="Y1281">
        <v>-0.20269999999999999</v>
      </c>
      <c r="Z1281">
        <v>30</v>
      </c>
      <c r="AA1281">
        <v>20.2</v>
      </c>
      <c r="AB1281">
        <v>15</v>
      </c>
      <c r="AC1281">
        <v>20.5</v>
      </c>
      <c r="AD1281">
        <v>0</v>
      </c>
      <c r="AE1281">
        <v>0</v>
      </c>
      <c r="AF1281">
        <v>20.260300000000001</v>
      </c>
      <c r="AG1281">
        <v>373</v>
      </c>
      <c r="AH1281">
        <v>0</v>
      </c>
    </row>
    <row r="1282" spans="1:34" x14ac:dyDescent="0.35">
      <c r="A1282" t="s">
        <v>34</v>
      </c>
      <c r="B1282" s="1">
        <v>46146.65625</v>
      </c>
      <c r="C1282" t="s">
        <v>34</v>
      </c>
      <c r="D1282" s="1">
        <v>46150.625</v>
      </c>
      <c r="E1282">
        <v>7120</v>
      </c>
      <c r="F1282" t="s">
        <v>36</v>
      </c>
      <c r="G1282">
        <v>17.809999999999999</v>
      </c>
      <c r="H1282">
        <v>32.24</v>
      </c>
      <c r="I1282">
        <v>11.48</v>
      </c>
      <c r="J1282">
        <v>21.29</v>
      </c>
      <c r="K1282">
        <v>1037</v>
      </c>
      <c r="L1282">
        <v>14</v>
      </c>
      <c r="M1282">
        <v>21.8</v>
      </c>
      <c r="N1282">
        <v>20</v>
      </c>
      <c r="O1282">
        <v>22</v>
      </c>
      <c r="P1282">
        <v>0</v>
      </c>
      <c r="Q1282">
        <v>0</v>
      </c>
      <c r="R1282">
        <v>0</v>
      </c>
      <c r="S1282">
        <v>0</v>
      </c>
      <c r="T1282">
        <v>0.1777</v>
      </c>
      <c r="U1282">
        <v>-0.26619999999999999</v>
      </c>
      <c r="V1282">
        <v>2.3999999999999998E-3</v>
      </c>
      <c r="W1282">
        <v>-5.7008000000000001</v>
      </c>
      <c r="X1282">
        <v>2.4975000000000001</v>
      </c>
      <c r="Y1282">
        <v>-0.21110000000000001</v>
      </c>
      <c r="Z1282">
        <v>29</v>
      </c>
      <c r="AA1282">
        <v>21.2</v>
      </c>
      <c r="AB1282">
        <v>17</v>
      </c>
      <c r="AC1282">
        <v>21.5</v>
      </c>
      <c r="AD1282">
        <v>0</v>
      </c>
      <c r="AE1282">
        <v>0</v>
      </c>
      <c r="AF1282">
        <v>22.966100000000001</v>
      </c>
      <c r="AG1282">
        <v>2333</v>
      </c>
      <c r="AH1282">
        <v>0</v>
      </c>
    </row>
    <row r="1283" spans="1:34" x14ac:dyDescent="0.35">
      <c r="A1283" t="s">
        <v>34</v>
      </c>
      <c r="B1283" s="1">
        <v>46146.65625</v>
      </c>
      <c r="C1283" t="s">
        <v>34</v>
      </c>
      <c r="D1283" s="1">
        <v>46150.625</v>
      </c>
      <c r="E1283">
        <v>7125</v>
      </c>
      <c r="F1283" t="s">
        <v>36</v>
      </c>
      <c r="G1283">
        <v>18.48</v>
      </c>
      <c r="H1283">
        <v>35.229999999999997</v>
      </c>
      <c r="I1283">
        <v>12.08</v>
      </c>
      <c r="J1283">
        <v>22.2</v>
      </c>
      <c r="K1283">
        <v>1966</v>
      </c>
      <c r="L1283">
        <v>18</v>
      </c>
      <c r="M1283">
        <v>22.8</v>
      </c>
      <c r="N1283">
        <v>4</v>
      </c>
      <c r="O1283">
        <v>23</v>
      </c>
      <c r="P1283">
        <v>0</v>
      </c>
      <c r="Q1283">
        <v>0</v>
      </c>
      <c r="R1283">
        <v>0</v>
      </c>
      <c r="S1283">
        <v>0</v>
      </c>
      <c r="T1283">
        <v>0.1764</v>
      </c>
      <c r="U1283">
        <v>-0.27710000000000001</v>
      </c>
      <c r="V1283">
        <v>2.5000000000000001E-3</v>
      </c>
      <c r="W1283">
        <v>-5.7923999999999998</v>
      </c>
      <c r="X1283">
        <v>2.5464000000000002</v>
      </c>
      <c r="Y1283">
        <v>-0.21990000000000001</v>
      </c>
      <c r="Z1283">
        <v>17</v>
      </c>
      <c r="AA1283">
        <v>22.3</v>
      </c>
      <c r="AB1283">
        <v>32</v>
      </c>
      <c r="AC1283">
        <v>22.6</v>
      </c>
      <c r="AD1283">
        <v>0</v>
      </c>
      <c r="AE1283">
        <v>0</v>
      </c>
      <c r="AF1283">
        <v>21.857399999999998</v>
      </c>
      <c r="AG1283">
        <v>3160</v>
      </c>
      <c r="AH1283">
        <v>0</v>
      </c>
    </row>
    <row r="1284" spans="1:34" x14ac:dyDescent="0.35">
      <c r="A1284" t="s">
        <v>34</v>
      </c>
      <c r="B1284" s="1">
        <v>46146.65625</v>
      </c>
      <c r="C1284" t="s">
        <v>34</v>
      </c>
      <c r="D1284" s="1">
        <v>46150.625</v>
      </c>
      <c r="E1284">
        <v>7130</v>
      </c>
      <c r="F1284" t="s">
        <v>36</v>
      </c>
      <c r="G1284">
        <v>20.39</v>
      </c>
      <c r="H1284">
        <v>35.6</v>
      </c>
      <c r="I1284">
        <v>12.9</v>
      </c>
      <c r="J1284">
        <v>24.1</v>
      </c>
      <c r="K1284">
        <v>568</v>
      </c>
      <c r="L1284">
        <v>18</v>
      </c>
      <c r="M1284">
        <v>23.9</v>
      </c>
      <c r="N1284">
        <v>15</v>
      </c>
      <c r="O1284">
        <v>24.1</v>
      </c>
      <c r="P1284">
        <v>0</v>
      </c>
      <c r="Q1284">
        <v>0</v>
      </c>
      <c r="R1284">
        <v>0</v>
      </c>
      <c r="S1284">
        <v>0</v>
      </c>
      <c r="T1284">
        <v>0.1749</v>
      </c>
      <c r="U1284">
        <v>-0.2883</v>
      </c>
      <c r="V1284">
        <v>2.5999999999999999E-3</v>
      </c>
      <c r="W1284">
        <v>-5.8708</v>
      </c>
      <c r="X1284">
        <v>2.5939000000000001</v>
      </c>
      <c r="Y1284">
        <v>-0.22889999999999999</v>
      </c>
      <c r="Z1284">
        <v>26</v>
      </c>
      <c r="AA1284">
        <v>23.4</v>
      </c>
      <c r="AB1284">
        <v>24</v>
      </c>
      <c r="AC1284">
        <v>23.7</v>
      </c>
      <c r="AD1284">
        <v>0</v>
      </c>
      <c r="AE1284">
        <v>0</v>
      </c>
      <c r="AF1284">
        <v>21.918099999999999</v>
      </c>
      <c r="AG1284">
        <v>697</v>
      </c>
      <c r="AH1284">
        <v>0</v>
      </c>
    </row>
    <row r="1285" spans="1:34" x14ac:dyDescent="0.35">
      <c r="A1285" t="s">
        <v>34</v>
      </c>
      <c r="B1285" s="1">
        <v>46146.65625</v>
      </c>
      <c r="C1285" t="s">
        <v>34</v>
      </c>
      <c r="D1285" s="1">
        <v>46150.625</v>
      </c>
      <c r="E1285">
        <v>7135</v>
      </c>
      <c r="F1285" t="s">
        <v>36</v>
      </c>
      <c r="G1285">
        <v>19.88</v>
      </c>
      <c r="H1285">
        <v>37.75</v>
      </c>
      <c r="I1285">
        <v>14.02</v>
      </c>
      <c r="J1285">
        <v>23.5</v>
      </c>
      <c r="K1285">
        <v>389</v>
      </c>
      <c r="L1285">
        <v>25</v>
      </c>
      <c r="M1285">
        <v>25</v>
      </c>
      <c r="N1285">
        <v>45</v>
      </c>
      <c r="O1285">
        <v>25.3</v>
      </c>
      <c r="P1285">
        <v>0</v>
      </c>
      <c r="Q1285">
        <v>0</v>
      </c>
      <c r="R1285">
        <v>0</v>
      </c>
      <c r="S1285">
        <v>0</v>
      </c>
      <c r="T1285">
        <v>0.17349999999999999</v>
      </c>
      <c r="U1285">
        <v>-0.30009999999999998</v>
      </c>
      <c r="V1285">
        <v>2.5999999999999999E-3</v>
      </c>
      <c r="W1285">
        <v>-5.9523000000000001</v>
      </c>
      <c r="X1285">
        <v>2.6408</v>
      </c>
      <c r="Y1285">
        <v>-0.2384</v>
      </c>
      <c r="Z1285">
        <v>31</v>
      </c>
      <c r="AA1285">
        <v>24.5</v>
      </c>
      <c r="AB1285">
        <v>9</v>
      </c>
      <c r="AC1285">
        <v>24.8</v>
      </c>
      <c r="AD1285">
        <v>0</v>
      </c>
      <c r="AE1285">
        <v>0</v>
      </c>
      <c r="AF1285">
        <v>21.854099999999999</v>
      </c>
      <c r="AG1285">
        <v>603</v>
      </c>
      <c r="AH1285">
        <v>0</v>
      </c>
    </row>
    <row r="1286" spans="1:34" x14ac:dyDescent="0.35">
      <c r="A1286" t="s">
        <v>34</v>
      </c>
      <c r="B1286" s="1">
        <v>46146.65625</v>
      </c>
      <c r="C1286" t="s">
        <v>34</v>
      </c>
      <c r="D1286" s="1">
        <v>46150.625</v>
      </c>
      <c r="E1286">
        <v>7140</v>
      </c>
      <c r="F1286" t="s">
        <v>36</v>
      </c>
      <c r="G1286">
        <v>21.31</v>
      </c>
      <c r="H1286">
        <v>39.15</v>
      </c>
      <c r="I1286">
        <v>14.38</v>
      </c>
      <c r="J1286">
        <v>24.28</v>
      </c>
      <c r="K1286">
        <v>689</v>
      </c>
      <c r="L1286">
        <v>13</v>
      </c>
      <c r="M1286">
        <v>26.2</v>
      </c>
      <c r="N1286">
        <v>14</v>
      </c>
      <c r="O1286">
        <v>26.4</v>
      </c>
      <c r="P1286">
        <v>0</v>
      </c>
      <c r="Q1286">
        <v>0</v>
      </c>
      <c r="R1286">
        <v>0</v>
      </c>
      <c r="S1286">
        <v>0</v>
      </c>
      <c r="T1286">
        <v>0.17199999999999999</v>
      </c>
      <c r="U1286">
        <v>-0.312</v>
      </c>
      <c r="V1286">
        <v>2.7000000000000001E-3</v>
      </c>
      <c r="W1286">
        <v>-6.0191999999999997</v>
      </c>
      <c r="X1286">
        <v>2.6848000000000001</v>
      </c>
      <c r="Y1286">
        <v>-0.248</v>
      </c>
      <c r="Z1286">
        <v>29</v>
      </c>
      <c r="AA1286">
        <v>25.7</v>
      </c>
      <c r="AB1286">
        <v>9</v>
      </c>
      <c r="AC1286">
        <v>26</v>
      </c>
      <c r="AD1286">
        <v>0</v>
      </c>
      <c r="AE1286">
        <v>0</v>
      </c>
      <c r="AF1286">
        <v>22.567499999999999</v>
      </c>
      <c r="AG1286">
        <v>1709</v>
      </c>
      <c r="AH1286">
        <v>0</v>
      </c>
    </row>
    <row r="1287" spans="1:34" x14ac:dyDescent="0.35">
      <c r="A1287" t="s">
        <v>34</v>
      </c>
      <c r="B1287" s="1">
        <v>46146.65625</v>
      </c>
      <c r="C1287" t="s">
        <v>34</v>
      </c>
      <c r="D1287" s="1">
        <v>46150.625</v>
      </c>
      <c r="E1287">
        <v>7145</v>
      </c>
      <c r="F1287" t="s">
        <v>36</v>
      </c>
      <c r="G1287">
        <v>22.4</v>
      </c>
      <c r="H1287">
        <v>40.270000000000003</v>
      </c>
      <c r="I1287">
        <v>14.99</v>
      </c>
      <c r="J1287">
        <v>27.55</v>
      </c>
      <c r="K1287">
        <v>430</v>
      </c>
      <c r="L1287">
        <v>15</v>
      </c>
      <c r="M1287">
        <v>27.4</v>
      </c>
      <c r="N1287">
        <v>13</v>
      </c>
      <c r="O1287">
        <v>27.6</v>
      </c>
      <c r="P1287">
        <v>0</v>
      </c>
      <c r="Q1287">
        <v>0</v>
      </c>
      <c r="R1287">
        <v>0</v>
      </c>
      <c r="S1287">
        <v>0</v>
      </c>
      <c r="T1287">
        <v>0.1704</v>
      </c>
      <c r="U1287">
        <v>-0.32440000000000002</v>
      </c>
      <c r="V1287">
        <v>2.8E-3</v>
      </c>
      <c r="W1287">
        <v>-6.0793999999999997</v>
      </c>
      <c r="X1287">
        <v>2.7267999999999999</v>
      </c>
      <c r="Y1287">
        <v>-0.25779999999999997</v>
      </c>
      <c r="Z1287">
        <v>24</v>
      </c>
      <c r="AA1287">
        <v>27</v>
      </c>
      <c r="AB1287">
        <v>9</v>
      </c>
      <c r="AC1287">
        <v>27.3</v>
      </c>
      <c r="AD1287">
        <v>0</v>
      </c>
      <c r="AE1287">
        <v>0</v>
      </c>
      <c r="AF1287">
        <v>24.926400000000001</v>
      </c>
      <c r="AG1287">
        <v>331</v>
      </c>
      <c r="AH1287">
        <v>0</v>
      </c>
    </row>
    <row r="1288" spans="1:34" x14ac:dyDescent="0.35">
      <c r="A1288" t="s">
        <v>34</v>
      </c>
      <c r="B1288" s="1">
        <v>46146.65625</v>
      </c>
      <c r="C1288" t="s">
        <v>34</v>
      </c>
      <c r="D1288" s="1">
        <v>46150.625</v>
      </c>
      <c r="E1288">
        <v>7150</v>
      </c>
      <c r="F1288" t="s">
        <v>36</v>
      </c>
      <c r="G1288">
        <v>22.65</v>
      </c>
      <c r="H1288">
        <v>43.86</v>
      </c>
      <c r="I1288">
        <v>15.7</v>
      </c>
      <c r="J1288">
        <v>28.2</v>
      </c>
      <c r="K1288">
        <v>3273</v>
      </c>
      <c r="L1288">
        <v>33</v>
      </c>
      <c r="M1288">
        <v>28.6</v>
      </c>
      <c r="N1288">
        <v>21</v>
      </c>
      <c r="O1288">
        <v>28.9</v>
      </c>
      <c r="P1288">
        <v>0</v>
      </c>
      <c r="Q1288">
        <v>0</v>
      </c>
      <c r="R1288">
        <v>0</v>
      </c>
      <c r="S1288">
        <v>0</v>
      </c>
      <c r="T1288">
        <v>0.16900000000000001</v>
      </c>
      <c r="U1288">
        <v>-0.33729999999999999</v>
      </c>
      <c r="V1288">
        <v>2.8999999999999998E-3</v>
      </c>
      <c r="W1288">
        <v>-6.1401000000000003</v>
      </c>
      <c r="X1288">
        <v>2.7675999999999998</v>
      </c>
      <c r="Y1288">
        <v>-0.26800000000000002</v>
      </c>
      <c r="Z1288">
        <v>35</v>
      </c>
      <c r="AA1288">
        <v>28.3</v>
      </c>
      <c r="AB1288">
        <v>8</v>
      </c>
      <c r="AC1288">
        <v>28.6</v>
      </c>
      <c r="AD1288">
        <v>0</v>
      </c>
      <c r="AE1288">
        <v>0</v>
      </c>
      <c r="AF1288">
        <v>27.991499999999998</v>
      </c>
      <c r="AG1288">
        <v>3925</v>
      </c>
      <c r="AH1288">
        <v>0</v>
      </c>
    </row>
    <row r="1289" spans="1:34" x14ac:dyDescent="0.35">
      <c r="A1289" t="s">
        <v>34</v>
      </c>
      <c r="B1289" s="1">
        <v>46146.65625</v>
      </c>
      <c r="C1289" t="s">
        <v>34</v>
      </c>
      <c r="D1289" s="1">
        <v>46150.625</v>
      </c>
      <c r="E1289">
        <v>7155</v>
      </c>
      <c r="F1289" t="s">
        <v>36</v>
      </c>
      <c r="G1289">
        <v>24.25</v>
      </c>
      <c r="H1289">
        <v>39.92</v>
      </c>
      <c r="I1289">
        <v>16.600000000000001</v>
      </c>
      <c r="J1289">
        <v>29</v>
      </c>
      <c r="K1289">
        <v>204</v>
      </c>
      <c r="L1289">
        <v>11</v>
      </c>
      <c r="M1289">
        <v>30</v>
      </c>
      <c r="N1289">
        <v>12</v>
      </c>
      <c r="O1289">
        <v>30.2</v>
      </c>
      <c r="P1289">
        <v>0</v>
      </c>
      <c r="Q1289">
        <v>0</v>
      </c>
      <c r="R1289">
        <v>0</v>
      </c>
      <c r="S1289">
        <v>0</v>
      </c>
      <c r="T1289">
        <v>0.16739999999999999</v>
      </c>
      <c r="U1289">
        <v>-0.35039999999999999</v>
      </c>
      <c r="V1289">
        <v>2.8999999999999998E-3</v>
      </c>
      <c r="W1289">
        <v>-6.1840000000000002</v>
      </c>
      <c r="X1289">
        <v>2.8062999999999998</v>
      </c>
      <c r="Y1289">
        <v>-0.27860000000000001</v>
      </c>
      <c r="Z1289">
        <v>24</v>
      </c>
      <c r="AA1289">
        <v>29.7</v>
      </c>
      <c r="AB1289">
        <v>8</v>
      </c>
      <c r="AC1289">
        <v>30</v>
      </c>
      <c r="AD1289">
        <v>0</v>
      </c>
      <c r="AE1289">
        <v>0</v>
      </c>
      <c r="AF1289">
        <v>26.683</v>
      </c>
      <c r="AG1289">
        <v>406</v>
      </c>
      <c r="AH1289">
        <v>0</v>
      </c>
    </row>
    <row r="1290" spans="1:34" x14ac:dyDescent="0.35">
      <c r="A1290" t="s">
        <v>34</v>
      </c>
      <c r="B1290" s="1">
        <v>46146.65625</v>
      </c>
      <c r="C1290" t="s">
        <v>34</v>
      </c>
      <c r="D1290" s="1">
        <v>46150.625</v>
      </c>
      <c r="E1290">
        <v>7160</v>
      </c>
      <c r="F1290" t="s">
        <v>36</v>
      </c>
      <c r="G1290">
        <v>24.83</v>
      </c>
      <c r="H1290">
        <v>45</v>
      </c>
      <c r="I1290">
        <v>17.12</v>
      </c>
      <c r="J1290">
        <v>29.4</v>
      </c>
      <c r="K1290">
        <v>310</v>
      </c>
      <c r="L1290">
        <v>24</v>
      </c>
      <c r="M1290">
        <v>31.3</v>
      </c>
      <c r="N1290">
        <v>12</v>
      </c>
      <c r="O1290">
        <v>31.6</v>
      </c>
      <c r="P1290">
        <v>0</v>
      </c>
      <c r="Q1290">
        <v>0</v>
      </c>
      <c r="R1290">
        <v>0</v>
      </c>
      <c r="S1290">
        <v>0</v>
      </c>
      <c r="T1290">
        <v>0.1658</v>
      </c>
      <c r="U1290">
        <v>-0.36399999999999999</v>
      </c>
      <c r="V1290">
        <v>3.0000000000000001E-3</v>
      </c>
      <c r="W1290">
        <v>-6.2183000000000002</v>
      </c>
      <c r="X1290">
        <v>2.8426</v>
      </c>
      <c r="Y1290">
        <v>-0.28960000000000002</v>
      </c>
      <c r="Z1290">
        <v>21</v>
      </c>
      <c r="AA1290">
        <v>31.1</v>
      </c>
      <c r="AB1290">
        <v>8</v>
      </c>
      <c r="AC1290">
        <v>31.4</v>
      </c>
      <c r="AD1290">
        <v>0</v>
      </c>
      <c r="AE1290">
        <v>0</v>
      </c>
      <c r="AF1290">
        <v>29.754000000000001</v>
      </c>
      <c r="AG1290">
        <v>759</v>
      </c>
      <c r="AH1290">
        <v>0</v>
      </c>
    </row>
    <row r="1291" spans="1:34" x14ac:dyDescent="0.35">
      <c r="A1291" t="s">
        <v>34</v>
      </c>
      <c r="B1291" s="1">
        <v>46146.65625</v>
      </c>
      <c r="C1291" t="s">
        <v>34</v>
      </c>
      <c r="D1291" s="1">
        <v>46150.625</v>
      </c>
      <c r="E1291">
        <v>7165</v>
      </c>
      <c r="F1291" t="s">
        <v>36</v>
      </c>
      <c r="G1291">
        <v>26.52</v>
      </c>
      <c r="H1291">
        <v>47.38</v>
      </c>
      <c r="I1291">
        <v>18.28</v>
      </c>
      <c r="J1291">
        <v>33.17</v>
      </c>
      <c r="K1291">
        <v>206</v>
      </c>
      <c r="L1291">
        <v>14</v>
      </c>
      <c r="M1291">
        <v>32.799999999999997</v>
      </c>
      <c r="N1291">
        <v>14</v>
      </c>
      <c r="O1291">
        <v>33.1</v>
      </c>
      <c r="P1291">
        <v>0</v>
      </c>
      <c r="Q1291">
        <v>0</v>
      </c>
      <c r="R1291">
        <v>0</v>
      </c>
      <c r="S1291">
        <v>0</v>
      </c>
      <c r="T1291">
        <v>0.16420000000000001</v>
      </c>
      <c r="U1291">
        <v>-0.378</v>
      </c>
      <c r="V1291">
        <v>3.0999999999999999E-3</v>
      </c>
      <c r="W1291">
        <v>-6.2492999999999999</v>
      </c>
      <c r="X1291">
        <v>2.8761999999999999</v>
      </c>
      <c r="Y1291">
        <v>-0.3009</v>
      </c>
      <c r="Z1291">
        <v>17</v>
      </c>
      <c r="AA1291">
        <v>32.6</v>
      </c>
      <c r="AB1291">
        <v>8</v>
      </c>
      <c r="AC1291">
        <v>32.9</v>
      </c>
      <c r="AD1291">
        <v>0</v>
      </c>
      <c r="AE1291">
        <v>0</v>
      </c>
      <c r="AF1291">
        <v>28.175699999999999</v>
      </c>
      <c r="AG1291">
        <v>591</v>
      </c>
      <c r="AH1291">
        <v>0</v>
      </c>
    </row>
    <row r="1292" spans="1:34" x14ac:dyDescent="0.35">
      <c r="A1292" t="s">
        <v>34</v>
      </c>
      <c r="B1292" s="1">
        <v>46146.65625</v>
      </c>
      <c r="C1292" t="s">
        <v>34</v>
      </c>
      <c r="D1292" s="1">
        <v>46150.625</v>
      </c>
      <c r="E1292">
        <v>7170</v>
      </c>
      <c r="F1292" t="s">
        <v>36</v>
      </c>
      <c r="G1292">
        <v>27.65</v>
      </c>
      <c r="H1292">
        <v>50</v>
      </c>
      <c r="I1292">
        <v>20</v>
      </c>
      <c r="J1292">
        <v>35</v>
      </c>
      <c r="K1292">
        <v>403</v>
      </c>
      <c r="L1292">
        <v>17</v>
      </c>
      <c r="M1292">
        <v>34.299999999999997</v>
      </c>
      <c r="N1292">
        <v>16</v>
      </c>
      <c r="O1292">
        <v>34.6</v>
      </c>
      <c r="P1292">
        <v>0</v>
      </c>
      <c r="Q1292">
        <v>0</v>
      </c>
      <c r="R1292">
        <v>0</v>
      </c>
      <c r="S1292">
        <v>0</v>
      </c>
      <c r="T1292">
        <v>0.16270000000000001</v>
      </c>
      <c r="U1292">
        <v>-0.39250000000000002</v>
      </c>
      <c r="V1292">
        <v>3.0999999999999999E-3</v>
      </c>
      <c r="W1292">
        <v>-6.2690000000000001</v>
      </c>
      <c r="X1292">
        <v>2.9062999999999999</v>
      </c>
      <c r="Y1292">
        <v>-0.31240000000000001</v>
      </c>
      <c r="Z1292">
        <v>17</v>
      </c>
      <c r="AA1292">
        <v>34.200000000000003</v>
      </c>
      <c r="AB1292">
        <v>19</v>
      </c>
      <c r="AC1292">
        <v>34.5</v>
      </c>
      <c r="AD1292">
        <v>0</v>
      </c>
      <c r="AE1292">
        <v>0</v>
      </c>
      <c r="AF1292">
        <v>31.3078</v>
      </c>
      <c r="AG1292">
        <v>2071</v>
      </c>
      <c r="AH1292">
        <v>0</v>
      </c>
    </row>
    <row r="1293" spans="1:34" x14ac:dyDescent="0.35">
      <c r="A1293" t="s">
        <v>34</v>
      </c>
      <c r="B1293" s="1">
        <v>46146.65625</v>
      </c>
      <c r="C1293" t="s">
        <v>34</v>
      </c>
      <c r="D1293" s="1">
        <v>46150.625</v>
      </c>
      <c r="E1293">
        <v>7175</v>
      </c>
      <c r="F1293" t="s">
        <v>36</v>
      </c>
      <c r="G1293">
        <v>28.76</v>
      </c>
      <c r="H1293">
        <v>49.7</v>
      </c>
      <c r="I1293">
        <v>20.45</v>
      </c>
      <c r="J1293">
        <v>34.5</v>
      </c>
      <c r="K1293">
        <v>992</v>
      </c>
      <c r="L1293">
        <v>30</v>
      </c>
      <c r="M1293">
        <v>35.799999999999997</v>
      </c>
      <c r="N1293">
        <v>11</v>
      </c>
      <c r="O1293">
        <v>36.1</v>
      </c>
      <c r="P1293">
        <v>0</v>
      </c>
      <c r="Q1293">
        <v>0</v>
      </c>
      <c r="R1293">
        <v>0</v>
      </c>
      <c r="S1293">
        <v>0</v>
      </c>
      <c r="T1293">
        <v>0.161</v>
      </c>
      <c r="U1293">
        <v>-0.4073</v>
      </c>
      <c r="V1293">
        <v>3.2000000000000002E-3</v>
      </c>
      <c r="W1293">
        <v>-6.2763</v>
      </c>
      <c r="X1293">
        <v>2.9333</v>
      </c>
      <c r="Y1293">
        <v>-0.32419999999999999</v>
      </c>
      <c r="Z1293">
        <v>17</v>
      </c>
      <c r="AA1293">
        <v>35.799999999999997</v>
      </c>
      <c r="AB1293">
        <v>7</v>
      </c>
      <c r="AC1293">
        <v>36.1</v>
      </c>
      <c r="AD1293">
        <v>0</v>
      </c>
      <c r="AE1293">
        <v>0</v>
      </c>
      <c r="AF1293">
        <v>33.559399999999997</v>
      </c>
      <c r="AG1293">
        <v>2040</v>
      </c>
      <c r="AH1293">
        <v>0</v>
      </c>
    </row>
    <row r="1294" spans="1:34" x14ac:dyDescent="0.35">
      <c r="A1294" t="s">
        <v>34</v>
      </c>
      <c r="B1294" s="1">
        <v>46146.65625</v>
      </c>
      <c r="C1294" t="s">
        <v>34</v>
      </c>
      <c r="D1294" s="1">
        <v>46150.625</v>
      </c>
      <c r="E1294">
        <v>7180</v>
      </c>
      <c r="F1294" t="s">
        <v>36</v>
      </c>
      <c r="G1294">
        <v>32</v>
      </c>
      <c r="H1294">
        <v>53.4</v>
      </c>
      <c r="I1294">
        <v>20.95</v>
      </c>
      <c r="J1294">
        <v>38.15</v>
      </c>
      <c r="K1294">
        <v>590</v>
      </c>
      <c r="L1294">
        <v>16</v>
      </c>
      <c r="M1294">
        <v>37.5</v>
      </c>
      <c r="N1294">
        <v>16</v>
      </c>
      <c r="O1294">
        <v>37.799999999999997</v>
      </c>
      <c r="P1294">
        <v>0</v>
      </c>
      <c r="Q1294">
        <v>0</v>
      </c>
      <c r="R1294">
        <v>0</v>
      </c>
      <c r="S1294">
        <v>0</v>
      </c>
      <c r="T1294">
        <v>0.1595</v>
      </c>
      <c r="U1294">
        <v>-0.42259999999999998</v>
      </c>
      <c r="V1294">
        <v>3.2000000000000002E-3</v>
      </c>
      <c r="W1294">
        <v>-6.2771999999999997</v>
      </c>
      <c r="X1294">
        <v>2.9573</v>
      </c>
      <c r="Y1294">
        <v>-0.33650000000000002</v>
      </c>
      <c r="Z1294">
        <v>17</v>
      </c>
      <c r="AA1294">
        <v>37.5</v>
      </c>
      <c r="AB1294">
        <v>13</v>
      </c>
      <c r="AC1294">
        <v>37.799999999999997</v>
      </c>
      <c r="AD1294">
        <v>0</v>
      </c>
      <c r="AE1294">
        <v>0</v>
      </c>
      <c r="AF1294">
        <v>36.786099999999998</v>
      </c>
      <c r="AG1294">
        <v>440</v>
      </c>
      <c r="AH1294">
        <v>0</v>
      </c>
    </row>
    <row r="1295" spans="1:34" x14ac:dyDescent="0.35">
      <c r="A1295" t="s">
        <v>34</v>
      </c>
      <c r="B1295" s="1">
        <v>46146.65625</v>
      </c>
      <c r="C1295" t="s">
        <v>34</v>
      </c>
      <c r="D1295" s="1">
        <v>46150.625</v>
      </c>
      <c r="E1295">
        <v>7185</v>
      </c>
      <c r="F1295" t="s">
        <v>36</v>
      </c>
      <c r="G1295">
        <v>32.659999999999997</v>
      </c>
      <c r="H1295">
        <v>55.01</v>
      </c>
      <c r="I1295">
        <v>22.45</v>
      </c>
      <c r="J1295">
        <v>37.75</v>
      </c>
      <c r="K1295">
        <v>226</v>
      </c>
      <c r="L1295">
        <v>15</v>
      </c>
      <c r="M1295">
        <v>39.200000000000003</v>
      </c>
      <c r="N1295">
        <v>11</v>
      </c>
      <c r="O1295">
        <v>39.5</v>
      </c>
      <c r="P1295">
        <v>0</v>
      </c>
      <c r="Q1295">
        <v>0</v>
      </c>
      <c r="R1295">
        <v>0</v>
      </c>
      <c r="S1295">
        <v>0</v>
      </c>
      <c r="T1295">
        <v>0.1578</v>
      </c>
      <c r="U1295">
        <v>-0.43830000000000002</v>
      </c>
      <c r="V1295">
        <v>3.3E-3</v>
      </c>
      <c r="W1295">
        <v>-6.2634999999999996</v>
      </c>
      <c r="X1295">
        <v>2.9773000000000001</v>
      </c>
      <c r="Y1295">
        <v>-0.3493</v>
      </c>
      <c r="Z1295">
        <v>16</v>
      </c>
      <c r="AA1295">
        <v>39.200000000000003</v>
      </c>
      <c r="AB1295">
        <v>7</v>
      </c>
      <c r="AC1295">
        <v>39.5</v>
      </c>
      <c r="AD1295">
        <v>0</v>
      </c>
      <c r="AE1295">
        <v>0</v>
      </c>
      <c r="AF1295">
        <v>40.027700000000003</v>
      </c>
      <c r="AG1295">
        <v>607</v>
      </c>
      <c r="AH1295">
        <v>0</v>
      </c>
    </row>
    <row r="1296" spans="1:34" x14ac:dyDescent="0.35">
      <c r="A1296" t="s">
        <v>34</v>
      </c>
      <c r="B1296" s="1">
        <v>46146.65625</v>
      </c>
      <c r="C1296" t="s">
        <v>34</v>
      </c>
      <c r="D1296" s="1">
        <v>46150.625</v>
      </c>
      <c r="E1296">
        <v>7190</v>
      </c>
      <c r="F1296" t="s">
        <v>36</v>
      </c>
      <c r="G1296">
        <v>35.049999999999997</v>
      </c>
      <c r="H1296">
        <v>56.22</v>
      </c>
      <c r="I1296">
        <v>24.06</v>
      </c>
      <c r="J1296">
        <v>41.75</v>
      </c>
      <c r="K1296">
        <v>636</v>
      </c>
      <c r="L1296">
        <v>19</v>
      </c>
      <c r="M1296">
        <v>40.9</v>
      </c>
      <c r="N1296">
        <v>9</v>
      </c>
      <c r="O1296">
        <v>41.2</v>
      </c>
      <c r="P1296">
        <v>0</v>
      </c>
      <c r="Q1296">
        <v>0</v>
      </c>
      <c r="R1296">
        <v>0</v>
      </c>
      <c r="S1296">
        <v>0</v>
      </c>
      <c r="T1296">
        <v>0.15609999999999999</v>
      </c>
      <c r="U1296">
        <v>-0.45440000000000003</v>
      </c>
      <c r="V1296">
        <v>3.3999999999999998E-3</v>
      </c>
      <c r="W1296">
        <v>-6.2343999999999999</v>
      </c>
      <c r="X1296">
        <v>2.9929000000000001</v>
      </c>
      <c r="Y1296">
        <v>-0.36220000000000002</v>
      </c>
      <c r="Z1296">
        <v>17</v>
      </c>
      <c r="AA1296">
        <v>41</v>
      </c>
      <c r="AB1296">
        <v>14</v>
      </c>
      <c r="AC1296">
        <v>41.4</v>
      </c>
      <c r="AD1296">
        <v>0</v>
      </c>
      <c r="AE1296">
        <v>0</v>
      </c>
      <c r="AF1296">
        <v>40.788400000000003</v>
      </c>
      <c r="AG1296">
        <v>628</v>
      </c>
      <c r="AH1296">
        <v>0</v>
      </c>
    </row>
    <row r="1297" spans="1:34" x14ac:dyDescent="0.35">
      <c r="A1297" t="s">
        <v>34</v>
      </c>
      <c r="B1297" s="1">
        <v>46146.65625</v>
      </c>
      <c r="C1297" t="s">
        <v>34</v>
      </c>
      <c r="D1297" s="1">
        <v>46150.625</v>
      </c>
      <c r="E1297">
        <v>7195</v>
      </c>
      <c r="F1297" t="s">
        <v>36</v>
      </c>
      <c r="G1297">
        <v>36</v>
      </c>
      <c r="H1297">
        <v>59.77</v>
      </c>
      <c r="I1297">
        <v>24.92</v>
      </c>
      <c r="J1297">
        <v>42.99</v>
      </c>
      <c r="K1297">
        <v>883</v>
      </c>
      <c r="L1297">
        <v>19</v>
      </c>
      <c r="M1297">
        <v>42.8</v>
      </c>
      <c r="N1297">
        <v>9</v>
      </c>
      <c r="O1297">
        <v>43.1</v>
      </c>
      <c r="P1297">
        <v>0</v>
      </c>
      <c r="Q1297">
        <v>0</v>
      </c>
      <c r="R1297">
        <v>0</v>
      </c>
      <c r="S1297">
        <v>0</v>
      </c>
      <c r="T1297">
        <v>0.1545</v>
      </c>
      <c r="U1297">
        <v>-0.47089999999999999</v>
      </c>
      <c r="V1297">
        <v>3.3999999999999998E-3</v>
      </c>
      <c r="W1297">
        <v>-6.1962000000000002</v>
      </c>
      <c r="X1297">
        <v>3.0038999999999998</v>
      </c>
      <c r="Y1297">
        <v>-0.37519999999999998</v>
      </c>
      <c r="Z1297">
        <v>15</v>
      </c>
      <c r="AA1297">
        <v>42.9</v>
      </c>
      <c r="AB1297">
        <v>17</v>
      </c>
      <c r="AC1297">
        <v>43.3</v>
      </c>
      <c r="AD1297">
        <v>0</v>
      </c>
      <c r="AE1297">
        <v>0</v>
      </c>
      <c r="AF1297">
        <v>43.0092</v>
      </c>
      <c r="AG1297">
        <v>580</v>
      </c>
      <c r="AH1297">
        <v>0</v>
      </c>
    </row>
    <row r="1298" spans="1:34" x14ac:dyDescent="0.35">
      <c r="A1298" t="s">
        <v>34</v>
      </c>
      <c r="B1298" s="1">
        <v>46146.65625</v>
      </c>
      <c r="C1298" t="s">
        <v>34</v>
      </c>
      <c r="D1298" s="1">
        <v>46150.625</v>
      </c>
      <c r="E1298">
        <v>7200</v>
      </c>
      <c r="F1298" t="s">
        <v>36</v>
      </c>
      <c r="G1298">
        <v>36.11</v>
      </c>
      <c r="H1298">
        <v>64</v>
      </c>
      <c r="I1298">
        <v>26</v>
      </c>
      <c r="J1298">
        <v>45.72</v>
      </c>
      <c r="K1298">
        <v>3361</v>
      </c>
      <c r="L1298">
        <v>19</v>
      </c>
      <c r="M1298">
        <v>44.7</v>
      </c>
      <c r="N1298">
        <v>16</v>
      </c>
      <c r="O1298">
        <v>45</v>
      </c>
      <c r="P1298">
        <v>0</v>
      </c>
      <c r="Q1298">
        <v>0</v>
      </c>
      <c r="R1298">
        <v>0</v>
      </c>
      <c r="S1298">
        <v>0</v>
      </c>
      <c r="T1298">
        <v>0.15290000000000001</v>
      </c>
      <c r="U1298">
        <v>-0.48780000000000001</v>
      </c>
      <c r="V1298">
        <v>3.3999999999999998E-3</v>
      </c>
      <c r="W1298">
        <v>-6.1478999999999999</v>
      </c>
      <c r="X1298">
        <v>3.0102000000000002</v>
      </c>
      <c r="Y1298">
        <v>-0.38879999999999998</v>
      </c>
      <c r="Z1298">
        <v>15</v>
      </c>
      <c r="AA1298">
        <v>44.9</v>
      </c>
      <c r="AB1298">
        <v>7</v>
      </c>
      <c r="AC1298">
        <v>45.2</v>
      </c>
      <c r="AD1298">
        <v>0</v>
      </c>
      <c r="AE1298">
        <v>0</v>
      </c>
      <c r="AF1298">
        <v>41.125599999999999</v>
      </c>
      <c r="AG1298">
        <v>2904</v>
      </c>
      <c r="AH1298">
        <v>0</v>
      </c>
    </row>
    <row r="1299" spans="1:34" x14ac:dyDescent="0.35">
      <c r="A1299" t="s">
        <v>34</v>
      </c>
      <c r="B1299" s="1">
        <v>46146.65625</v>
      </c>
      <c r="C1299" t="s">
        <v>34</v>
      </c>
      <c r="D1299" s="1">
        <v>46150.625</v>
      </c>
      <c r="E1299">
        <v>7205</v>
      </c>
      <c r="F1299" t="s">
        <v>36</v>
      </c>
      <c r="G1299">
        <v>39.619999999999997</v>
      </c>
      <c r="H1299">
        <v>57.24</v>
      </c>
      <c r="I1299">
        <v>27.41</v>
      </c>
      <c r="J1299">
        <v>47.65</v>
      </c>
      <c r="K1299">
        <v>343</v>
      </c>
      <c r="L1299">
        <v>8</v>
      </c>
      <c r="M1299">
        <v>46.8</v>
      </c>
      <c r="N1299">
        <v>9</v>
      </c>
      <c r="O1299">
        <v>47</v>
      </c>
      <c r="P1299">
        <v>0</v>
      </c>
      <c r="Q1299">
        <v>0</v>
      </c>
      <c r="R1299">
        <v>0</v>
      </c>
      <c r="S1299">
        <v>0</v>
      </c>
      <c r="T1299">
        <v>0.1512</v>
      </c>
      <c r="U1299">
        <v>-0.50509999999999999</v>
      </c>
      <c r="V1299">
        <v>3.5000000000000001E-3</v>
      </c>
      <c r="W1299">
        <v>-6.0814000000000004</v>
      </c>
      <c r="X1299">
        <v>3.0112999999999999</v>
      </c>
      <c r="Y1299">
        <v>-0.40289999999999998</v>
      </c>
      <c r="Z1299">
        <v>15</v>
      </c>
      <c r="AA1299">
        <v>47</v>
      </c>
      <c r="AB1299">
        <v>7</v>
      </c>
      <c r="AC1299">
        <v>47.3</v>
      </c>
      <c r="AD1299">
        <v>0</v>
      </c>
      <c r="AE1299">
        <v>0</v>
      </c>
      <c r="AF1299">
        <v>43.673299999999998</v>
      </c>
      <c r="AG1299">
        <v>124</v>
      </c>
      <c r="AH1299">
        <v>0</v>
      </c>
    </row>
    <row r="1300" spans="1:34" x14ac:dyDescent="0.35">
      <c r="A1300" t="s">
        <v>34</v>
      </c>
      <c r="B1300" s="1">
        <v>46146.65625</v>
      </c>
      <c r="C1300" t="s">
        <v>34</v>
      </c>
      <c r="D1300" s="1">
        <v>46150.625</v>
      </c>
      <c r="E1300">
        <v>7210</v>
      </c>
      <c r="F1300" t="s">
        <v>36</v>
      </c>
      <c r="G1300">
        <v>40.119999999999997</v>
      </c>
      <c r="H1300">
        <v>61</v>
      </c>
      <c r="I1300">
        <v>28.81</v>
      </c>
      <c r="J1300">
        <v>50</v>
      </c>
      <c r="K1300">
        <v>445</v>
      </c>
      <c r="L1300">
        <v>10</v>
      </c>
      <c r="M1300">
        <v>48.8</v>
      </c>
      <c r="N1300">
        <v>9</v>
      </c>
      <c r="O1300">
        <v>49.1</v>
      </c>
      <c r="P1300">
        <v>0</v>
      </c>
      <c r="Q1300">
        <v>0</v>
      </c>
      <c r="R1300">
        <v>0</v>
      </c>
      <c r="S1300">
        <v>0</v>
      </c>
      <c r="T1300">
        <v>0.14949999999999999</v>
      </c>
      <c r="U1300">
        <v>-0.52280000000000004</v>
      </c>
      <c r="V1300">
        <v>3.5000000000000001E-3</v>
      </c>
      <c r="W1300">
        <v>-6.0026000000000002</v>
      </c>
      <c r="X1300">
        <v>3.0070000000000001</v>
      </c>
      <c r="Y1300">
        <v>-0.41710000000000003</v>
      </c>
      <c r="Z1300">
        <v>15</v>
      </c>
      <c r="AA1300">
        <v>49.1</v>
      </c>
      <c r="AB1300">
        <v>13</v>
      </c>
      <c r="AC1300">
        <v>49.5</v>
      </c>
      <c r="AD1300">
        <v>0</v>
      </c>
      <c r="AE1300">
        <v>0</v>
      </c>
      <c r="AF1300">
        <v>39.624899999999997</v>
      </c>
      <c r="AG1300">
        <v>383</v>
      </c>
      <c r="AH1300">
        <v>0</v>
      </c>
    </row>
    <row r="1301" spans="1:34" x14ac:dyDescent="0.35">
      <c r="A1301" t="s">
        <v>34</v>
      </c>
      <c r="B1301" s="1">
        <v>46146.65625</v>
      </c>
      <c r="C1301" t="s">
        <v>34</v>
      </c>
      <c r="D1301" s="1">
        <v>46150.625</v>
      </c>
      <c r="E1301">
        <v>7215</v>
      </c>
      <c r="F1301" t="s">
        <v>36</v>
      </c>
      <c r="G1301">
        <v>41.7</v>
      </c>
      <c r="H1301">
        <v>66.819999999999993</v>
      </c>
      <c r="I1301">
        <v>32.4</v>
      </c>
      <c r="J1301">
        <v>48.77</v>
      </c>
      <c r="K1301">
        <v>166</v>
      </c>
      <c r="L1301">
        <v>10</v>
      </c>
      <c r="M1301">
        <v>51</v>
      </c>
      <c r="N1301">
        <v>9</v>
      </c>
      <c r="O1301">
        <v>51.3</v>
      </c>
      <c r="P1301">
        <v>0</v>
      </c>
      <c r="Q1301">
        <v>0</v>
      </c>
      <c r="R1301">
        <v>0</v>
      </c>
      <c r="S1301">
        <v>0</v>
      </c>
      <c r="T1301">
        <v>0.1477</v>
      </c>
      <c r="U1301">
        <v>-0.54079999999999995</v>
      </c>
      <c r="V1301">
        <v>3.5000000000000001E-3</v>
      </c>
      <c r="W1301">
        <v>-5.9046000000000003</v>
      </c>
      <c r="X1301">
        <v>2.9969000000000001</v>
      </c>
      <c r="Y1301">
        <v>-0.43140000000000001</v>
      </c>
      <c r="Z1301">
        <v>9</v>
      </c>
      <c r="AA1301">
        <v>51.4</v>
      </c>
      <c r="AB1301">
        <v>7</v>
      </c>
      <c r="AC1301">
        <v>51.7</v>
      </c>
      <c r="AD1301">
        <v>0</v>
      </c>
      <c r="AE1301">
        <v>0</v>
      </c>
      <c r="AF1301">
        <v>44.801099999999998</v>
      </c>
      <c r="AG1301">
        <v>133</v>
      </c>
      <c r="AH1301">
        <v>0</v>
      </c>
    </row>
    <row r="1302" spans="1:34" x14ac:dyDescent="0.35">
      <c r="A1302" t="s">
        <v>34</v>
      </c>
      <c r="B1302" s="1">
        <v>46146.65625</v>
      </c>
      <c r="C1302" t="s">
        <v>34</v>
      </c>
      <c r="D1302" s="1">
        <v>46150.625</v>
      </c>
      <c r="E1302">
        <v>7220</v>
      </c>
      <c r="F1302" t="s">
        <v>36</v>
      </c>
      <c r="G1302">
        <v>43</v>
      </c>
      <c r="H1302">
        <v>71.52</v>
      </c>
      <c r="I1302">
        <v>31.83</v>
      </c>
      <c r="J1302">
        <v>54.5</v>
      </c>
      <c r="K1302">
        <v>863</v>
      </c>
      <c r="L1302">
        <v>10</v>
      </c>
      <c r="M1302">
        <v>53.3</v>
      </c>
      <c r="N1302">
        <v>9</v>
      </c>
      <c r="O1302">
        <v>53.6</v>
      </c>
      <c r="P1302">
        <v>0</v>
      </c>
      <c r="Q1302">
        <v>0</v>
      </c>
      <c r="R1302">
        <v>0</v>
      </c>
      <c r="S1302">
        <v>0</v>
      </c>
      <c r="T1302">
        <v>0.1459</v>
      </c>
      <c r="U1302">
        <v>-0.55920000000000003</v>
      </c>
      <c r="V1302">
        <v>3.5999999999999999E-3</v>
      </c>
      <c r="W1302">
        <v>-5.7934000000000001</v>
      </c>
      <c r="X1302">
        <v>2.9803999999999999</v>
      </c>
      <c r="Y1302">
        <v>-0.44619999999999999</v>
      </c>
      <c r="Z1302">
        <v>14</v>
      </c>
      <c r="AA1302">
        <v>53.7</v>
      </c>
      <c r="AB1302">
        <v>6</v>
      </c>
      <c r="AC1302">
        <v>54</v>
      </c>
      <c r="AD1302">
        <v>0</v>
      </c>
      <c r="AE1302">
        <v>0</v>
      </c>
      <c r="AF1302">
        <v>45.842399999999998</v>
      </c>
      <c r="AG1302">
        <v>314</v>
      </c>
      <c r="AH1302">
        <v>0</v>
      </c>
    </row>
    <row r="1303" spans="1:34" x14ac:dyDescent="0.35">
      <c r="A1303" t="s">
        <v>34</v>
      </c>
      <c r="B1303" s="1">
        <v>46146.65625</v>
      </c>
      <c r="C1303" t="s">
        <v>34</v>
      </c>
      <c r="D1303" s="1">
        <v>46150.625</v>
      </c>
      <c r="E1303">
        <v>7225</v>
      </c>
      <c r="F1303" t="s">
        <v>36</v>
      </c>
      <c r="G1303">
        <v>45.36</v>
      </c>
      <c r="H1303">
        <v>71.319999999999993</v>
      </c>
      <c r="I1303">
        <v>33.5</v>
      </c>
      <c r="J1303">
        <v>54.1</v>
      </c>
      <c r="K1303">
        <v>958</v>
      </c>
      <c r="L1303">
        <v>2</v>
      </c>
      <c r="M1303">
        <v>55.7</v>
      </c>
      <c r="N1303">
        <v>10</v>
      </c>
      <c r="O1303">
        <v>56</v>
      </c>
      <c r="P1303">
        <v>0</v>
      </c>
      <c r="Q1303">
        <v>0</v>
      </c>
      <c r="R1303">
        <v>0</v>
      </c>
      <c r="S1303">
        <v>0</v>
      </c>
      <c r="T1303">
        <v>0.14430000000000001</v>
      </c>
      <c r="U1303">
        <v>-0.57779999999999998</v>
      </c>
      <c r="V1303">
        <v>3.5999999999999999E-3</v>
      </c>
      <c r="W1303">
        <v>-5.6749999999999998</v>
      </c>
      <c r="X1303">
        <v>2.9573</v>
      </c>
      <c r="Y1303">
        <v>-0.46129999999999999</v>
      </c>
      <c r="Z1303">
        <v>7</v>
      </c>
      <c r="AA1303">
        <v>56.1</v>
      </c>
      <c r="AB1303">
        <v>6</v>
      </c>
      <c r="AC1303">
        <v>56.5</v>
      </c>
      <c r="AD1303">
        <v>0</v>
      </c>
      <c r="AE1303">
        <v>0</v>
      </c>
      <c r="AF1303">
        <v>48.718400000000003</v>
      </c>
      <c r="AG1303">
        <v>502</v>
      </c>
      <c r="AH1303">
        <v>0</v>
      </c>
    </row>
    <row r="1304" spans="1:34" x14ac:dyDescent="0.35">
      <c r="A1304" t="s">
        <v>34</v>
      </c>
      <c r="B1304" s="1">
        <v>46146.65625</v>
      </c>
      <c r="C1304" t="s">
        <v>34</v>
      </c>
      <c r="D1304" s="1">
        <v>46150.625</v>
      </c>
      <c r="E1304">
        <v>7230</v>
      </c>
      <c r="F1304" t="s">
        <v>36</v>
      </c>
      <c r="G1304">
        <v>49.7</v>
      </c>
      <c r="H1304">
        <v>74.17</v>
      </c>
      <c r="I1304">
        <v>35.4</v>
      </c>
      <c r="J1304">
        <v>59.54</v>
      </c>
      <c r="K1304">
        <v>402</v>
      </c>
      <c r="L1304">
        <v>9</v>
      </c>
      <c r="M1304">
        <v>58.1</v>
      </c>
      <c r="N1304">
        <v>6</v>
      </c>
      <c r="O1304">
        <v>58.4</v>
      </c>
      <c r="P1304">
        <v>0</v>
      </c>
      <c r="Q1304">
        <v>0</v>
      </c>
      <c r="R1304">
        <v>0</v>
      </c>
      <c r="S1304">
        <v>0</v>
      </c>
      <c r="T1304">
        <v>0.1426</v>
      </c>
      <c r="U1304">
        <v>-0.59670000000000001</v>
      </c>
      <c r="V1304">
        <v>3.5999999999999999E-3</v>
      </c>
      <c r="W1304">
        <v>-5.5353000000000003</v>
      </c>
      <c r="X1304">
        <v>2.9275000000000002</v>
      </c>
      <c r="Y1304">
        <v>-0.47649999999999998</v>
      </c>
      <c r="Z1304">
        <v>7</v>
      </c>
      <c r="AA1304">
        <v>58.7</v>
      </c>
      <c r="AB1304">
        <v>6</v>
      </c>
      <c r="AC1304">
        <v>59</v>
      </c>
      <c r="AD1304">
        <v>0</v>
      </c>
      <c r="AE1304">
        <v>0</v>
      </c>
      <c r="AF1304">
        <v>51.946300000000001</v>
      </c>
      <c r="AG1304">
        <v>266</v>
      </c>
      <c r="AH1304">
        <v>0</v>
      </c>
    </row>
    <row r="1305" spans="1:34" x14ac:dyDescent="0.35">
      <c r="A1305" t="s">
        <v>34</v>
      </c>
      <c r="B1305" s="1">
        <v>46146.65625</v>
      </c>
      <c r="C1305" t="s">
        <v>34</v>
      </c>
      <c r="D1305" s="1">
        <v>46150.625</v>
      </c>
      <c r="E1305">
        <v>7235</v>
      </c>
      <c r="F1305" t="s">
        <v>36</v>
      </c>
      <c r="G1305">
        <v>49.98</v>
      </c>
      <c r="H1305">
        <v>72.27</v>
      </c>
      <c r="I1305">
        <v>37.25</v>
      </c>
      <c r="J1305">
        <v>62.34</v>
      </c>
      <c r="K1305">
        <v>187</v>
      </c>
      <c r="L1305">
        <v>9</v>
      </c>
      <c r="M1305">
        <v>60.7</v>
      </c>
      <c r="N1305">
        <v>6</v>
      </c>
      <c r="O1305">
        <v>61</v>
      </c>
      <c r="P1305">
        <v>0</v>
      </c>
      <c r="Q1305">
        <v>0</v>
      </c>
      <c r="R1305">
        <v>0</v>
      </c>
      <c r="S1305">
        <v>0</v>
      </c>
      <c r="T1305">
        <v>0.14080000000000001</v>
      </c>
      <c r="U1305">
        <v>-0.61580000000000001</v>
      </c>
      <c r="V1305">
        <v>3.5999999999999999E-3</v>
      </c>
      <c r="W1305">
        <v>-5.3810000000000002</v>
      </c>
      <c r="X1305">
        <v>2.8912</v>
      </c>
      <c r="Y1305">
        <v>-0.49170000000000003</v>
      </c>
      <c r="Z1305">
        <v>7</v>
      </c>
      <c r="AA1305">
        <v>61.3</v>
      </c>
      <c r="AB1305">
        <v>6</v>
      </c>
      <c r="AC1305">
        <v>61.6</v>
      </c>
      <c r="AD1305">
        <v>0</v>
      </c>
      <c r="AE1305">
        <v>0</v>
      </c>
      <c r="AF1305">
        <v>52.033999999999999</v>
      </c>
      <c r="AG1305">
        <v>177</v>
      </c>
      <c r="AH1305">
        <v>0</v>
      </c>
    </row>
    <row r="1306" spans="1:34" x14ac:dyDescent="0.35">
      <c r="A1306" t="s">
        <v>34</v>
      </c>
      <c r="B1306" s="1">
        <v>46146.65625</v>
      </c>
      <c r="C1306" t="s">
        <v>34</v>
      </c>
      <c r="D1306" s="1">
        <v>46150.625</v>
      </c>
      <c r="E1306">
        <v>7240</v>
      </c>
      <c r="F1306" t="s">
        <v>36</v>
      </c>
      <c r="G1306">
        <v>54.89</v>
      </c>
      <c r="H1306">
        <v>82.4</v>
      </c>
      <c r="I1306">
        <v>39.08</v>
      </c>
      <c r="J1306">
        <v>65.099999999999994</v>
      </c>
      <c r="K1306">
        <v>489</v>
      </c>
      <c r="L1306">
        <v>6</v>
      </c>
      <c r="M1306">
        <v>63.4</v>
      </c>
      <c r="N1306">
        <v>7</v>
      </c>
      <c r="O1306">
        <v>63.7</v>
      </c>
      <c r="P1306">
        <v>0</v>
      </c>
      <c r="Q1306">
        <v>0</v>
      </c>
      <c r="R1306">
        <v>0</v>
      </c>
      <c r="S1306">
        <v>0</v>
      </c>
      <c r="T1306">
        <v>0.13919999999999999</v>
      </c>
      <c r="U1306">
        <v>-0.63500000000000001</v>
      </c>
      <c r="V1306">
        <v>3.5999999999999999E-3</v>
      </c>
      <c r="W1306">
        <v>-5.2196999999999996</v>
      </c>
      <c r="X1306">
        <v>2.8475000000000001</v>
      </c>
      <c r="Y1306">
        <v>-0.50719999999999998</v>
      </c>
      <c r="Z1306">
        <v>6</v>
      </c>
      <c r="AA1306">
        <v>64</v>
      </c>
      <c r="AB1306">
        <v>5</v>
      </c>
      <c r="AC1306">
        <v>64.400000000000006</v>
      </c>
      <c r="AD1306">
        <v>0</v>
      </c>
      <c r="AE1306">
        <v>0</v>
      </c>
      <c r="AF1306">
        <v>50.939700000000002</v>
      </c>
      <c r="AG1306">
        <v>396</v>
      </c>
      <c r="AH1306">
        <v>0</v>
      </c>
    </row>
    <row r="1307" spans="1:34" x14ac:dyDescent="0.35">
      <c r="A1307" t="s">
        <v>34</v>
      </c>
      <c r="B1307" s="1">
        <v>46146.65625</v>
      </c>
      <c r="C1307" t="s">
        <v>34</v>
      </c>
      <c r="D1307" s="1">
        <v>46150.625</v>
      </c>
      <c r="E1307">
        <v>7245</v>
      </c>
      <c r="F1307" t="s">
        <v>36</v>
      </c>
      <c r="G1307">
        <v>54.41</v>
      </c>
      <c r="H1307">
        <v>75.06</v>
      </c>
      <c r="I1307">
        <v>41.02</v>
      </c>
      <c r="J1307">
        <v>66.53</v>
      </c>
      <c r="K1307">
        <v>307</v>
      </c>
      <c r="L1307">
        <v>2</v>
      </c>
      <c r="M1307">
        <v>66.2</v>
      </c>
      <c r="N1307">
        <v>7</v>
      </c>
      <c r="O1307">
        <v>66.5</v>
      </c>
      <c r="P1307">
        <v>0</v>
      </c>
      <c r="Q1307">
        <v>0</v>
      </c>
      <c r="R1307">
        <v>0</v>
      </c>
      <c r="S1307">
        <v>0</v>
      </c>
      <c r="T1307">
        <v>0.1376</v>
      </c>
      <c r="U1307">
        <v>-0.65429999999999999</v>
      </c>
      <c r="V1307">
        <v>3.5000000000000001E-3</v>
      </c>
      <c r="W1307">
        <v>-5.0438000000000001</v>
      </c>
      <c r="X1307">
        <v>2.7959000000000001</v>
      </c>
      <c r="Y1307">
        <v>-0.52290000000000003</v>
      </c>
      <c r="Z1307">
        <v>5</v>
      </c>
      <c r="AA1307">
        <v>66.900000000000006</v>
      </c>
      <c r="AB1307">
        <v>4</v>
      </c>
      <c r="AC1307">
        <v>67.2</v>
      </c>
      <c r="AD1307">
        <v>0</v>
      </c>
      <c r="AE1307">
        <v>0</v>
      </c>
      <c r="AF1307">
        <v>52.357399999999998</v>
      </c>
      <c r="AG1307">
        <v>1571</v>
      </c>
      <c r="AH1307">
        <v>0</v>
      </c>
    </row>
    <row r="1308" spans="1:34" x14ac:dyDescent="0.35">
      <c r="A1308" t="s">
        <v>34</v>
      </c>
      <c r="B1308" s="1">
        <v>46146.65625</v>
      </c>
      <c r="C1308" t="s">
        <v>34</v>
      </c>
      <c r="D1308" s="1">
        <v>46150.625</v>
      </c>
      <c r="E1308">
        <v>7250</v>
      </c>
      <c r="F1308" t="s">
        <v>36</v>
      </c>
      <c r="G1308">
        <v>58.26</v>
      </c>
      <c r="H1308">
        <v>94.11</v>
      </c>
      <c r="I1308">
        <v>43.17</v>
      </c>
      <c r="J1308">
        <v>70.72</v>
      </c>
      <c r="K1308">
        <v>798</v>
      </c>
      <c r="L1308">
        <v>2</v>
      </c>
      <c r="M1308">
        <v>69.099999999999994</v>
      </c>
      <c r="N1308">
        <v>5</v>
      </c>
      <c r="O1308">
        <v>69.400000000000006</v>
      </c>
      <c r="P1308">
        <v>0</v>
      </c>
      <c r="Q1308">
        <v>0</v>
      </c>
      <c r="R1308">
        <v>0</v>
      </c>
      <c r="S1308">
        <v>0</v>
      </c>
      <c r="T1308">
        <v>0.13600000000000001</v>
      </c>
      <c r="U1308">
        <v>-0.67359999999999998</v>
      </c>
      <c r="V1308">
        <v>3.5000000000000001E-3</v>
      </c>
      <c r="W1308">
        <v>-4.8539000000000003</v>
      </c>
      <c r="X1308">
        <v>2.738</v>
      </c>
      <c r="Y1308">
        <v>-0.5383</v>
      </c>
      <c r="Z1308">
        <v>5</v>
      </c>
      <c r="AA1308">
        <v>69.8</v>
      </c>
      <c r="AB1308">
        <v>3</v>
      </c>
      <c r="AC1308">
        <v>70.2</v>
      </c>
      <c r="AD1308">
        <v>0</v>
      </c>
      <c r="AE1308">
        <v>0</v>
      </c>
      <c r="AF1308">
        <v>58.727499999999999</v>
      </c>
      <c r="AG1308">
        <v>1895</v>
      </c>
      <c r="AH1308">
        <v>0</v>
      </c>
    </row>
    <row r="1309" spans="1:34" x14ac:dyDescent="0.35">
      <c r="A1309" t="s">
        <v>34</v>
      </c>
      <c r="B1309" s="1">
        <v>46146.65625</v>
      </c>
      <c r="C1309" t="s">
        <v>34</v>
      </c>
      <c r="D1309" s="1">
        <v>46150.625</v>
      </c>
      <c r="E1309">
        <v>7255</v>
      </c>
      <c r="F1309" t="s">
        <v>36</v>
      </c>
      <c r="G1309">
        <v>55.47</v>
      </c>
      <c r="H1309">
        <v>86.89</v>
      </c>
      <c r="I1309">
        <v>45.52</v>
      </c>
      <c r="J1309">
        <v>73</v>
      </c>
      <c r="K1309">
        <v>178</v>
      </c>
      <c r="L1309">
        <v>6</v>
      </c>
      <c r="M1309">
        <v>72</v>
      </c>
      <c r="N1309">
        <v>5</v>
      </c>
      <c r="O1309">
        <v>72.400000000000006</v>
      </c>
      <c r="P1309">
        <v>0</v>
      </c>
      <c r="Q1309">
        <v>0</v>
      </c>
      <c r="R1309">
        <v>0</v>
      </c>
      <c r="S1309">
        <v>0</v>
      </c>
      <c r="T1309">
        <v>0.13400000000000001</v>
      </c>
      <c r="U1309">
        <v>-0.69350000000000001</v>
      </c>
      <c r="V1309">
        <v>3.5000000000000001E-3</v>
      </c>
      <c r="W1309">
        <v>-4.6338999999999997</v>
      </c>
      <c r="X1309">
        <v>2.6709999999999998</v>
      </c>
      <c r="Y1309">
        <v>-0.55420000000000003</v>
      </c>
      <c r="Z1309">
        <v>3</v>
      </c>
      <c r="AA1309">
        <v>72.8</v>
      </c>
      <c r="AB1309">
        <v>2</v>
      </c>
      <c r="AC1309">
        <v>73.2</v>
      </c>
      <c r="AD1309">
        <v>0</v>
      </c>
      <c r="AE1309">
        <v>0</v>
      </c>
      <c r="AF1309">
        <v>55.991100000000003</v>
      </c>
      <c r="AG1309">
        <v>138</v>
      </c>
      <c r="AH1309">
        <v>0</v>
      </c>
    </row>
    <row r="1310" spans="1:34" x14ac:dyDescent="0.35">
      <c r="A1310" t="s">
        <v>34</v>
      </c>
      <c r="B1310" s="1">
        <v>46146.65625</v>
      </c>
      <c r="C1310" t="s">
        <v>34</v>
      </c>
      <c r="D1310" s="1">
        <v>46150.625</v>
      </c>
      <c r="E1310">
        <v>7260</v>
      </c>
      <c r="F1310" t="s">
        <v>36</v>
      </c>
      <c r="G1310">
        <v>62.55</v>
      </c>
      <c r="H1310">
        <v>86.72</v>
      </c>
      <c r="I1310">
        <v>47.78</v>
      </c>
      <c r="J1310">
        <v>75.86</v>
      </c>
      <c r="K1310">
        <v>66</v>
      </c>
      <c r="L1310">
        <v>22</v>
      </c>
      <c r="M1310">
        <v>74.5</v>
      </c>
      <c r="N1310">
        <v>2</v>
      </c>
      <c r="O1310">
        <v>75.7</v>
      </c>
      <c r="P1310">
        <v>0</v>
      </c>
      <c r="Q1310">
        <v>0</v>
      </c>
      <c r="R1310">
        <v>0</v>
      </c>
      <c r="S1310">
        <v>0</v>
      </c>
      <c r="T1310">
        <v>0.1326</v>
      </c>
      <c r="U1310">
        <v>-0.71230000000000004</v>
      </c>
      <c r="V1310">
        <v>3.3999999999999998E-3</v>
      </c>
      <c r="W1310">
        <v>-4.4348000000000001</v>
      </c>
      <c r="X1310">
        <v>2.5987</v>
      </c>
      <c r="Y1310">
        <v>-0.5696</v>
      </c>
      <c r="Z1310">
        <v>15</v>
      </c>
      <c r="AA1310">
        <v>75.400000000000006</v>
      </c>
      <c r="AB1310">
        <v>15</v>
      </c>
      <c r="AC1310">
        <v>76.900000000000006</v>
      </c>
      <c r="AD1310">
        <v>0</v>
      </c>
      <c r="AE1310">
        <v>0</v>
      </c>
      <c r="AF1310">
        <v>62.686799999999998</v>
      </c>
      <c r="AG1310">
        <v>413</v>
      </c>
      <c r="AH1310">
        <v>0</v>
      </c>
    </row>
    <row r="1311" spans="1:34" x14ac:dyDescent="0.35">
      <c r="A1311" t="s">
        <v>34</v>
      </c>
      <c r="B1311" s="1">
        <v>46146.65625</v>
      </c>
      <c r="C1311" t="s">
        <v>34</v>
      </c>
      <c r="D1311" s="1">
        <v>46150.625</v>
      </c>
      <c r="E1311">
        <v>7265</v>
      </c>
      <c r="F1311" t="s">
        <v>36</v>
      </c>
      <c r="G1311">
        <v>64.88</v>
      </c>
      <c r="H1311">
        <v>89.84</v>
      </c>
      <c r="I1311">
        <v>52.2</v>
      </c>
      <c r="J1311">
        <v>79.97</v>
      </c>
      <c r="K1311">
        <v>43</v>
      </c>
      <c r="L1311">
        <v>20</v>
      </c>
      <c r="M1311">
        <v>77.7</v>
      </c>
      <c r="N1311">
        <v>2</v>
      </c>
      <c r="O1311">
        <v>79</v>
      </c>
      <c r="P1311">
        <v>0</v>
      </c>
      <c r="Q1311">
        <v>0</v>
      </c>
      <c r="R1311">
        <v>0</v>
      </c>
      <c r="S1311">
        <v>0</v>
      </c>
      <c r="T1311">
        <v>0.1305</v>
      </c>
      <c r="U1311">
        <v>-0.73219999999999996</v>
      </c>
      <c r="V1311">
        <v>3.3E-3</v>
      </c>
      <c r="W1311">
        <v>-4.1874000000000002</v>
      </c>
      <c r="X1311">
        <v>2.5148000000000001</v>
      </c>
      <c r="Y1311">
        <v>-0.58550000000000002</v>
      </c>
      <c r="Z1311">
        <v>15</v>
      </c>
      <c r="AA1311">
        <v>78.599999999999994</v>
      </c>
      <c r="AB1311">
        <v>15</v>
      </c>
      <c r="AC1311">
        <v>80.2</v>
      </c>
      <c r="AD1311">
        <v>0</v>
      </c>
      <c r="AE1311">
        <v>0</v>
      </c>
      <c r="AF1311">
        <v>69.469499999999996</v>
      </c>
      <c r="AG1311">
        <v>229</v>
      </c>
      <c r="AH1311">
        <v>0</v>
      </c>
    </row>
    <row r="1312" spans="1:34" x14ac:dyDescent="0.35">
      <c r="A1312" t="s">
        <v>34</v>
      </c>
      <c r="B1312" s="1">
        <v>46146.65625</v>
      </c>
      <c r="C1312" t="s">
        <v>34</v>
      </c>
      <c r="D1312" s="1">
        <v>46150.625</v>
      </c>
      <c r="E1312">
        <v>7270</v>
      </c>
      <c r="F1312" t="s">
        <v>36</v>
      </c>
      <c r="G1312">
        <v>68.2</v>
      </c>
      <c r="H1312">
        <v>102.04</v>
      </c>
      <c r="I1312">
        <v>53.72</v>
      </c>
      <c r="J1312">
        <v>83.85</v>
      </c>
      <c r="K1312">
        <v>83</v>
      </c>
      <c r="L1312">
        <v>21</v>
      </c>
      <c r="M1312">
        <v>80.900000000000006</v>
      </c>
      <c r="N1312">
        <v>1</v>
      </c>
      <c r="O1312">
        <v>82.2</v>
      </c>
      <c r="P1312">
        <v>0</v>
      </c>
      <c r="Q1312">
        <v>0</v>
      </c>
      <c r="R1312">
        <v>0</v>
      </c>
      <c r="S1312">
        <v>0</v>
      </c>
      <c r="T1312">
        <v>0.1285</v>
      </c>
      <c r="U1312">
        <v>-0.75180000000000002</v>
      </c>
      <c r="V1312">
        <v>3.3E-3</v>
      </c>
      <c r="W1312">
        <v>-3.9369000000000001</v>
      </c>
      <c r="X1312">
        <v>2.4251</v>
      </c>
      <c r="Y1312">
        <v>-0.60119999999999996</v>
      </c>
      <c r="Z1312">
        <v>15</v>
      </c>
      <c r="AA1312">
        <v>82</v>
      </c>
      <c r="AB1312">
        <v>15</v>
      </c>
      <c r="AC1312">
        <v>83.6</v>
      </c>
      <c r="AD1312">
        <v>0</v>
      </c>
      <c r="AE1312">
        <v>0</v>
      </c>
      <c r="AF1312">
        <v>82.767099999999999</v>
      </c>
      <c r="AG1312">
        <v>64</v>
      </c>
      <c r="AH1312">
        <v>0</v>
      </c>
    </row>
    <row r="1313" spans="1:34" x14ac:dyDescent="0.35">
      <c r="A1313" t="s">
        <v>34</v>
      </c>
      <c r="B1313" s="1">
        <v>46146.65625</v>
      </c>
      <c r="C1313" t="s">
        <v>34</v>
      </c>
      <c r="D1313" s="1">
        <v>46150.625</v>
      </c>
      <c r="E1313">
        <v>7275</v>
      </c>
      <c r="F1313" t="s">
        <v>36</v>
      </c>
      <c r="G1313">
        <v>73.45</v>
      </c>
      <c r="H1313">
        <v>95</v>
      </c>
      <c r="I1313">
        <v>58.4</v>
      </c>
      <c r="J1313">
        <v>86.15</v>
      </c>
      <c r="K1313">
        <v>56</v>
      </c>
      <c r="L1313">
        <v>22</v>
      </c>
      <c r="M1313">
        <v>84.3</v>
      </c>
      <c r="N1313">
        <v>2</v>
      </c>
      <c r="O1313">
        <v>85.7</v>
      </c>
      <c r="P1313">
        <v>0</v>
      </c>
      <c r="Q1313">
        <v>0</v>
      </c>
      <c r="R1313">
        <v>0</v>
      </c>
      <c r="S1313">
        <v>0</v>
      </c>
      <c r="T1313">
        <v>0.12709999999999999</v>
      </c>
      <c r="U1313">
        <v>-0.77010000000000001</v>
      </c>
      <c r="V1313">
        <v>3.2000000000000002E-3</v>
      </c>
      <c r="W1313">
        <v>-3.7067999999999999</v>
      </c>
      <c r="X1313">
        <v>2.3315000000000001</v>
      </c>
      <c r="Y1313">
        <v>-0.61609999999999998</v>
      </c>
      <c r="Z1313">
        <v>15</v>
      </c>
      <c r="AA1313">
        <v>85.4</v>
      </c>
      <c r="AB1313">
        <v>7</v>
      </c>
      <c r="AC1313">
        <v>87</v>
      </c>
      <c r="AD1313">
        <v>0</v>
      </c>
      <c r="AE1313">
        <v>0</v>
      </c>
      <c r="AF1313">
        <v>78.616600000000005</v>
      </c>
      <c r="AG1313">
        <v>110</v>
      </c>
      <c r="AH1313">
        <v>0</v>
      </c>
    </row>
    <row r="1314" spans="1:34" x14ac:dyDescent="0.35">
      <c r="A1314" t="s">
        <v>34</v>
      </c>
      <c r="B1314" s="1">
        <v>46146.65625</v>
      </c>
      <c r="C1314" t="s">
        <v>34</v>
      </c>
      <c r="D1314" s="1">
        <v>46150.625</v>
      </c>
      <c r="E1314">
        <v>7280</v>
      </c>
      <c r="F1314" t="s">
        <v>36</v>
      </c>
      <c r="G1314">
        <v>75.680000000000007</v>
      </c>
      <c r="H1314">
        <v>94.13</v>
      </c>
      <c r="I1314">
        <v>59.5</v>
      </c>
      <c r="J1314">
        <v>87.5</v>
      </c>
      <c r="K1314">
        <v>37</v>
      </c>
      <c r="L1314">
        <v>3</v>
      </c>
      <c r="M1314">
        <v>87.4</v>
      </c>
      <c r="N1314">
        <v>1</v>
      </c>
      <c r="O1314">
        <v>89.4</v>
      </c>
      <c r="P1314">
        <v>0</v>
      </c>
      <c r="Q1314">
        <v>0</v>
      </c>
      <c r="R1314">
        <v>0</v>
      </c>
      <c r="S1314">
        <v>0</v>
      </c>
      <c r="T1314">
        <v>0.12479999999999999</v>
      </c>
      <c r="U1314">
        <v>-0.78969999999999996</v>
      </c>
      <c r="V1314">
        <v>3.0999999999999999E-3</v>
      </c>
      <c r="W1314">
        <v>-3.4253999999999998</v>
      </c>
      <c r="X1314">
        <v>2.2225999999999999</v>
      </c>
      <c r="Y1314">
        <v>-0.63190000000000002</v>
      </c>
      <c r="Z1314">
        <v>2</v>
      </c>
      <c r="AA1314">
        <v>86.8</v>
      </c>
      <c r="AB1314">
        <v>1</v>
      </c>
      <c r="AC1314">
        <v>95.6</v>
      </c>
      <c r="AD1314">
        <v>0</v>
      </c>
      <c r="AE1314">
        <v>0</v>
      </c>
      <c r="AF1314">
        <v>76.753500000000003</v>
      </c>
      <c r="AG1314">
        <v>69</v>
      </c>
      <c r="AH1314">
        <v>0</v>
      </c>
    </row>
    <row r="1315" spans="1:34" x14ac:dyDescent="0.35">
      <c r="A1315" t="s">
        <v>34</v>
      </c>
      <c r="B1315" s="1">
        <v>46146.65625</v>
      </c>
      <c r="C1315" t="s">
        <v>34</v>
      </c>
      <c r="D1315" s="1">
        <v>46150.625</v>
      </c>
      <c r="E1315">
        <v>7285</v>
      </c>
      <c r="F1315" t="s">
        <v>36</v>
      </c>
      <c r="G1315">
        <v>63.9</v>
      </c>
      <c r="H1315">
        <v>96.62</v>
      </c>
      <c r="I1315">
        <v>63.9</v>
      </c>
      <c r="J1315">
        <v>90.8</v>
      </c>
      <c r="K1315">
        <v>6</v>
      </c>
      <c r="L1315">
        <v>3</v>
      </c>
      <c r="M1315">
        <v>91</v>
      </c>
      <c r="N1315">
        <v>1</v>
      </c>
      <c r="O1315">
        <v>93.1</v>
      </c>
      <c r="P1315">
        <v>0</v>
      </c>
      <c r="Q1315">
        <v>0</v>
      </c>
      <c r="R1315">
        <v>0</v>
      </c>
      <c r="S1315">
        <v>0</v>
      </c>
      <c r="T1315">
        <v>0.123</v>
      </c>
      <c r="U1315">
        <v>-0.80789999999999995</v>
      </c>
      <c r="V1315">
        <v>2.8999999999999998E-3</v>
      </c>
      <c r="W1315">
        <v>-3.1699000000000002</v>
      </c>
      <c r="X1315">
        <v>2.1147999999999998</v>
      </c>
      <c r="Y1315">
        <v>-0.64649999999999996</v>
      </c>
      <c r="Z1315">
        <v>2</v>
      </c>
      <c r="AA1315">
        <v>90.5</v>
      </c>
      <c r="AB1315">
        <v>4</v>
      </c>
      <c r="AC1315">
        <v>99.4</v>
      </c>
      <c r="AD1315">
        <v>0</v>
      </c>
      <c r="AE1315">
        <v>0</v>
      </c>
      <c r="AF1315">
        <v>73.836699999999993</v>
      </c>
      <c r="AG1315">
        <v>16</v>
      </c>
      <c r="AH1315">
        <v>0</v>
      </c>
    </row>
    <row r="1316" spans="1:34" x14ac:dyDescent="0.35">
      <c r="A1316" t="s">
        <v>34</v>
      </c>
      <c r="B1316" s="1">
        <v>46146.65625</v>
      </c>
      <c r="C1316" t="s">
        <v>34</v>
      </c>
      <c r="D1316" s="1">
        <v>46150.625</v>
      </c>
      <c r="E1316">
        <v>7290</v>
      </c>
      <c r="F1316" t="s">
        <v>36</v>
      </c>
      <c r="G1316">
        <v>81.3</v>
      </c>
      <c r="H1316">
        <v>116.02</v>
      </c>
      <c r="I1316">
        <v>81.3</v>
      </c>
      <c r="J1316">
        <v>116.02</v>
      </c>
      <c r="K1316">
        <v>35</v>
      </c>
      <c r="L1316">
        <v>4</v>
      </c>
      <c r="M1316">
        <v>94.7</v>
      </c>
      <c r="N1316">
        <v>1</v>
      </c>
      <c r="O1316">
        <v>97</v>
      </c>
      <c r="P1316">
        <v>0</v>
      </c>
      <c r="Q1316">
        <v>0</v>
      </c>
      <c r="R1316">
        <v>0</v>
      </c>
      <c r="S1316">
        <v>0</v>
      </c>
      <c r="T1316">
        <v>0.1215</v>
      </c>
      <c r="U1316">
        <v>-0.82499999999999996</v>
      </c>
      <c r="V1316">
        <v>2.8E-3</v>
      </c>
      <c r="W1316">
        <v>-2.9232</v>
      </c>
      <c r="X1316">
        <v>2.0024999999999999</v>
      </c>
      <c r="Y1316">
        <v>-0.66049999999999998</v>
      </c>
      <c r="Z1316">
        <v>2</v>
      </c>
      <c r="AA1316">
        <v>94.4</v>
      </c>
      <c r="AB1316">
        <v>4</v>
      </c>
      <c r="AC1316">
        <v>103.2</v>
      </c>
      <c r="AD1316">
        <v>0</v>
      </c>
      <c r="AE1316">
        <v>0</v>
      </c>
      <c r="AF1316">
        <v>111.60339999999999</v>
      </c>
      <c r="AG1316">
        <v>11</v>
      </c>
      <c r="AH1316">
        <v>0</v>
      </c>
    </row>
    <row r="1317" spans="1:34" x14ac:dyDescent="0.35">
      <c r="A1317" t="s">
        <v>34</v>
      </c>
      <c r="B1317" s="1">
        <v>46146.65625</v>
      </c>
      <c r="C1317" t="s">
        <v>34</v>
      </c>
      <c r="D1317" s="1">
        <v>46150.625</v>
      </c>
      <c r="E1317">
        <v>7295</v>
      </c>
      <c r="F1317" t="s">
        <v>36</v>
      </c>
      <c r="G1317">
        <v>100.95</v>
      </c>
      <c r="H1317">
        <v>109.47</v>
      </c>
      <c r="I1317">
        <v>98.51</v>
      </c>
      <c r="J1317">
        <v>98.51</v>
      </c>
      <c r="K1317">
        <v>3</v>
      </c>
      <c r="L1317">
        <v>3</v>
      </c>
      <c r="M1317">
        <v>96.9</v>
      </c>
      <c r="N1317">
        <v>1</v>
      </c>
      <c r="O1317">
        <v>103.3</v>
      </c>
      <c r="P1317">
        <v>0</v>
      </c>
      <c r="Q1317">
        <v>0</v>
      </c>
      <c r="R1317">
        <v>0</v>
      </c>
      <c r="S1317">
        <v>0</v>
      </c>
      <c r="T1317">
        <v>0.122</v>
      </c>
      <c r="U1317">
        <v>-0.83740000000000003</v>
      </c>
      <c r="V1317">
        <v>2.7000000000000001E-3</v>
      </c>
      <c r="W1317">
        <v>-2.7778999999999998</v>
      </c>
      <c r="X1317">
        <v>1.9158999999999999</v>
      </c>
      <c r="Y1317">
        <v>-0.67049999999999998</v>
      </c>
      <c r="Z1317">
        <v>2</v>
      </c>
      <c r="AA1317">
        <v>98.3</v>
      </c>
      <c r="AB1317">
        <v>4</v>
      </c>
      <c r="AC1317">
        <v>107.1</v>
      </c>
      <c r="AD1317">
        <v>0</v>
      </c>
      <c r="AE1317">
        <v>0</v>
      </c>
      <c r="AF1317">
        <v>102.97669999999999</v>
      </c>
      <c r="AG1317">
        <v>16</v>
      </c>
      <c r="AH1317">
        <v>0</v>
      </c>
    </row>
    <row r="1318" spans="1:34" x14ac:dyDescent="0.35">
      <c r="A1318" t="s">
        <v>34</v>
      </c>
      <c r="B1318" s="1">
        <v>46146.65625</v>
      </c>
      <c r="C1318" t="s">
        <v>34</v>
      </c>
      <c r="D1318" s="1">
        <v>46150.625</v>
      </c>
      <c r="E1318">
        <v>7300</v>
      </c>
      <c r="F1318" t="s">
        <v>36</v>
      </c>
      <c r="G1318">
        <v>82.17</v>
      </c>
      <c r="H1318">
        <v>122</v>
      </c>
      <c r="I1318">
        <v>71.400000000000006</v>
      </c>
      <c r="J1318">
        <v>105.69</v>
      </c>
      <c r="K1318">
        <v>66</v>
      </c>
      <c r="L1318">
        <v>2</v>
      </c>
      <c r="M1318">
        <v>102.6</v>
      </c>
      <c r="N1318">
        <v>1</v>
      </c>
      <c r="O1318">
        <v>104.8</v>
      </c>
      <c r="P1318">
        <v>0</v>
      </c>
      <c r="Q1318">
        <v>0</v>
      </c>
      <c r="R1318">
        <v>0</v>
      </c>
      <c r="S1318">
        <v>0</v>
      </c>
      <c r="T1318">
        <v>0.1181</v>
      </c>
      <c r="U1318">
        <v>-0.85809999999999997</v>
      </c>
      <c r="V1318">
        <v>2.5000000000000001E-3</v>
      </c>
      <c r="W1318">
        <v>-2.4184999999999999</v>
      </c>
      <c r="X1318">
        <v>1.7639</v>
      </c>
      <c r="Y1318">
        <v>-0.68710000000000004</v>
      </c>
      <c r="Z1318">
        <v>2</v>
      </c>
      <c r="AA1318">
        <v>101</v>
      </c>
      <c r="AB1318">
        <v>6</v>
      </c>
      <c r="AC1318">
        <v>111.4</v>
      </c>
      <c r="AD1318">
        <v>0</v>
      </c>
      <c r="AE1318">
        <v>0</v>
      </c>
      <c r="AF1318">
        <v>95.5732</v>
      </c>
      <c r="AG1318">
        <v>820</v>
      </c>
      <c r="AH1318">
        <v>0</v>
      </c>
    </row>
    <row r="1319" spans="1:34" x14ac:dyDescent="0.35">
      <c r="A1319" t="s">
        <v>34</v>
      </c>
      <c r="B1319" s="1">
        <v>46146.65625</v>
      </c>
      <c r="C1319" t="s">
        <v>34</v>
      </c>
      <c r="D1319" s="1">
        <v>46150.625</v>
      </c>
      <c r="E1319">
        <v>7305</v>
      </c>
      <c r="F1319" t="s">
        <v>36</v>
      </c>
      <c r="G1319">
        <v>77.77</v>
      </c>
      <c r="H1319">
        <v>109.87</v>
      </c>
      <c r="I1319">
        <v>77.77</v>
      </c>
      <c r="J1319">
        <v>109.87</v>
      </c>
      <c r="K1319">
        <v>3</v>
      </c>
      <c r="L1319">
        <v>2</v>
      </c>
      <c r="M1319">
        <v>106.6</v>
      </c>
      <c r="N1319">
        <v>1</v>
      </c>
      <c r="O1319">
        <v>108.8</v>
      </c>
      <c r="P1319">
        <v>0</v>
      </c>
      <c r="Q1319">
        <v>0</v>
      </c>
      <c r="R1319">
        <v>0</v>
      </c>
      <c r="S1319">
        <v>0</v>
      </c>
      <c r="T1319">
        <v>0.1173</v>
      </c>
      <c r="U1319">
        <v>-0.87119999999999997</v>
      </c>
      <c r="V1319">
        <v>2.3999999999999998E-3</v>
      </c>
      <c r="W1319">
        <v>-2.2212999999999998</v>
      </c>
      <c r="X1319">
        <v>1.6577999999999999</v>
      </c>
      <c r="Y1319">
        <v>-0.69789999999999996</v>
      </c>
      <c r="Z1319">
        <v>2</v>
      </c>
      <c r="AA1319">
        <v>103.5</v>
      </c>
      <c r="AB1319">
        <v>4</v>
      </c>
      <c r="AC1319">
        <v>118.3</v>
      </c>
      <c r="AD1319">
        <v>0</v>
      </c>
      <c r="AE1319">
        <v>0</v>
      </c>
      <c r="AF1319">
        <v>99.13</v>
      </c>
      <c r="AG1319">
        <v>18</v>
      </c>
      <c r="AH1319">
        <v>0</v>
      </c>
    </row>
    <row r="1320" spans="1:34" x14ac:dyDescent="0.35">
      <c r="A1320" t="s">
        <v>34</v>
      </c>
      <c r="B1320" s="1">
        <v>46146.65625</v>
      </c>
      <c r="C1320" t="s">
        <v>34</v>
      </c>
      <c r="D1320" s="1">
        <v>46150.625</v>
      </c>
      <c r="E1320">
        <v>7310</v>
      </c>
      <c r="F1320" t="s">
        <v>36</v>
      </c>
      <c r="G1320">
        <v>81.42</v>
      </c>
      <c r="H1320">
        <v>108.04</v>
      </c>
      <c r="I1320">
        <v>81.42</v>
      </c>
      <c r="J1320">
        <v>108.04</v>
      </c>
      <c r="K1320">
        <v>2</v>
      </c>
      <c r="L1320">
        <v>2</v>
      </c>
      <c r="M1320">
        <v>110.7</v>
      </c>
      <c r="N1320">
        <v>1</v>
      </c>
      <c r="O1320">
        <v>113</v>
      </c>
      <c r="P1320">
        <v>0</v>
      </c>
      <c r="Q1320">
        <v>0</v>
      </c>
      <c r="R1320">
        <v>0</v>
      </c>
      <c r="S1320">
        <v>0</v>
      </c>
      <c r="T1320">
        <v>0.11409999999999999</v>
      </c>
      <c r="U1320">
        <v>-0.88959999999999995</v>
      </c>
      <c r="V1320">
        <v>2.2000000000000001E-3</v>
      </c>
      <c r="W1320">
        <v>-1.9016</v>
      </c>
      <c r="X1320">
        <v>1.5014000000000001</v>
      </c>
      <c r="Y1320">
        <v>-0.71250000000000002</v>
      </c>
      <c r="Z1320">
        <v>4</v>
      </c>
      <c r="AA1320">
        <v>106.5</v>
      </c>
      <c r="AB1320">
        <v>1</v>
      </c>
      <c r="AC1320">
        <v>122.2</v>
      </c>
      <c r="AD1320">
        <v>0</v>
      </c>
      <c r="AE1320">
        <v>0</v>
      </c>
      <c r="AF1320">
        <v>94.73</v>
      </c>
      <c r="AG1320">
        <v>92</v>
      </c>
      <c r="AH1320">
        <v>0</v>
      </c>
    </row>
    <row r="1321" spans="1:34" x14ac:dyDescent="0.35">
      <c r="A1321" t="s">
        <v>34</v>
      </c>
      <c r="B1321" s="1">
        <v>46146.65625</v>
      </c>
      <c r="C1321" t="s">
        <v>34</v>
      </c>
      <c r="D1321" s="1">
        <v>46150.625</v>
      </c>
      <c r="E1321">
        <v>7315</v>
      </c>
      <c r="F1321" t="s">
        <v>36</v>
      </c>
      <c r="G1321">
        <v>100.38</v>
      </c>
      <c r="H1321">
        <v>100.38</v>
      </c>
      <c r="I1321">
        <v>81.38</v>
      </c>
      <c r="J1321">
        <v>81.38</v>
      </c>
      <c r="K1321">
        <v>7</v>
      </c>
      <c r="L1321">
        <v>4</v>
      </c>
      <c r="M1321">
        <v>114.8</v>
      </c>
      <c r="N1321">
        <v>3</v>
      </c>
      <c r="O1321">
        <v>117.3</v>
      </c>
      <c r="P1321">
        <v>0</v>
      </c>
      <c r="Q1321">
        <v>0</v>
      </c>
      <c r="R1321">
        <v>0</v>
      </c>
      <c r="S1321">
        <v>0</v>
      </c>
      <c r="T1321">
        <v>0.1135</v>
      </c>
      <c r="U1321">
        <v>-0.90059999999999996</v>
      </c>
      <c r="V1321">
        <v>2E-3</v>
      </c>
      <c r="W1321">
        <v>-1.7307999999999999</v>
      </c>
      <c r="X1321">
        <v>1.3997999999999999</v>
      </c>
      <c r="Y1321">
        <v>-0.72160000000000002</v>
      </c>
      <c r="Z1321">
        <v>3</v>
      </c>
      <c r="AA1321">
        <v>110.8</v>
      </c>
      <c r="AB1321">
        <v>2</v>
      </c>
      <c r="AC1321">
        <v>126.5</v>
      </c>
      <c r="AD1321">
        <v>0</v>
      </c>
      <c r="AE1321">
        <v>0</v>
      </c>
      <c r="AF1321">
        <v>86.414299999999997</v>
      </c>
      <c r="AG1321">
        <v>5</v>
      </c>
      <c r="AH1321">
        <v>0</v>
      </c>
    </row>
    <row r="1322" spans="1:34" x14ac:dyDescent="0.35">
      <c r="A1322" t="s">
        <v>34</v>
      </c>
      <c r="B1322" s="1">
        <v>46146.65625</v>
      </c>
      <c r="C1322" t="s">
        <v>34</v>
      </c>
      <c r="D1322" s="1">
        <v>46150.625</v>
      </c>
      <c r="E1322">
        <v>7320</v>
      </c>
      <c r="F1322" t="s">
        <v>36</v>
      </c>
      <c r="G1322">
        <v>97.65</v>
      </c>
      <c r="H1322">
        <v>97.65</v>
      </c>
      <c r="I1322">
        <v>85.13</v>
      </c>
      <c r="J1322">
        <v>85.13</v>
      </c>
      <c r="K1322">
        <v>7</v>
      </c>
      <c r="L1322">
        <v>4</v>
      </c>
      <c r="M1322">
        <v>119.1</v>
      </c>
      <c r="N1322">
        <v>1</v>
      </c>
      <c r="O1322">
        <v>122</v>
      </c>
      <c r="P1322">
        <v>0</v>
      </c>
      <c r="Q1322">
        <v>0</v>
      </c>
      <c r="R1322">
        <v>0</v>
      </c>
      <c r="S1322">
        <v>0</v>
      </c>
      <c r="T1322">
        <v>0.1113</v>
      </c>
      <c r="U1322">
        <v>-0.91490000000000005</v>
      </c>
      <c r="V1322">
        <v>1.8E-3</v>
      </c>
      <c r="W1322">
        <v>-1.4819</v>
      </c>
      <c r="X1322">
        <v>1.2589999999999999</v>
      </c>
      <c r="Y1322">
        <v>-0.73309999999999997</v>
      </c>
      <c r="Z1322">
        <v>4</v>
      </c>
      <c r="AA1322">
        <v>115.1</v>
      </c>
      <c r="AB1322">
        <v>1</v>
      </c>
      <c r="AC1322">
        <v>130.69999999999999</v>
      </c>
      <c r="AD1322">
        <v>0</v>
      </c>
      <c r="AE1322">
        <v>0</v>
      </c>
      <c r="AF1322">
        <v>88.707099999999997</v>
      </c>
      <c r="AG1322">
        <v>7</v>
      </c>
      <c r="AH1322">
        <v>0</v>
      </c>
    </row>
    <row r="1323" spans="1:34" x14ac:dyDescent="0.35">
      <c r="A1323" t="s">
        <v>34</v>
      </c>
      <c r="B1323" s="1">
        <v>46146.65625</v>
      </c>
      <c r="C1323" t="s">
        <v>34</v>
      </c>
      <c r="D1323" s="1">
        <v>46150.625</v>
      </c>
      <c r="E1323">
        <v>7325</v>
      </c>
      <c r="F1323" t="s">
        <v>36</v>
      </c>
      <c r="G1323">
        <v>108.53</v>
      </c>
      <c r="H1323">
        <v>126.9</v>
      </c>
      <c r="I1323">
        <v>101.65</v>
      </c>
      <c r="J1323">
        <v>126.9</v>
      </c>
      <c r="K1323">
        <v>6</v>
      </c>
      <c r="L1323">
        <v>3</v>
      </c>
      <c r="M1323">
        <v>123.5</v>
      </c>
      <c r="N1323">
        <v>1</v>
      </c>
      <c r="O1323">
        <v>126</v>
      </c>
      <c r="P1323">
        <v>0</v>
      </c>
      <c r="Q1323">
        <v>0</v>
      </c>
      <c r="R1323">
        <v>0</v>
      </c>
      <c r="S1323">
        <v>0</v>
      </c>
      <c r="T1323">
        <v>0.1077</v>
      </c>
      <c r="U1323">
        <v>-0.9304</v>
      </c>
      <c r="V1323">
        <v>1.6000000000000001E-3</v>
      </c>
      <c r="W1323">
        <v>-1.1961999999999999</v>
      </c>
      <c r="X1323">
        <v>1.0961000000000001</v>
      </c>
      <c r="Y1323">
        <v>-0.74580000000000002</v>
      </c>
      <c r="Z1323">
        <v>3</v>
      </c>
      <c r="AA1323">
        <v>119.6</v>
      </c>
      <c r="AB1323">
        <v>1</v>
      </c>
      <c r="AC1323">
        <v>135</v>
      </c>
      <c r="AD1323">
        <v>0</v>
      </c>
      <c r="AE1323">
        <v>0</v>
      </c>
      <c r="AF1323">
        <v>111.8933</v>
      </c>
      <c r="AG1323">
        <v>30</v>
      </c>
      <c r="AH1323">
        <v>0</v>
      </c>
    </row>
    <row r="1324" spans="1:34" x14ac:dyDescent="0.35">
      <c r="A1324" t="s">
        <v>34</v>
      </c>
      <c r="B1324" s="1">
        <v>46146.65625</v>
      </c>
      <c r="C1324" t="s">
        <v>34</v>
      </c>
      <c r="D1324" s="1">
        <v>46150.625</v>
      </c>
      <c r="E1324">
        <v>7330</v>
      </c>
      <c r="F1324" t="s">
        <v>36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3</v>
      </c>
      <c r="M1324">
        <v>123.3</v>
      </c>
      <c r="N1324">
        <v>1</v>
      </c>
      <c r="O1324">
        <v>134</v>
      </c>
      <c r="P1324">
        <v>0</v>
      </c>
      <c r="Q1324">
        <v>0</v>
      </c>
      <c r="R1324">
        <v>0</v>
      </c>
      <c r="S1324">
        <v>0</v>
      </c>
      <c r="T1324">
        <v>0.1007</v>
      </c>
      <c r="U1324">
        <v>-0.94989999999999997</v>
      </c>
      <c r="V1324">
        <v>1.4E-3</v>
      </c>
      <c r="W1324">
        <v>-0.8246</v>
      </c>
      <c r="X1324">
        <v>0.87050000000000005</v>
      </c>
      <c r="Y1324">
        <v>-0.76139999999999997</v>
      </c>
      <c r="Z1324">
        <v>3</v>
      </c>
      <c r="AA1324">
        <v>124.1</v>
      </c>
      <c r="AB1324">
        <v>1</v>
      </c>
      <c r="AC1324">
        <v>139.4</v>
      </c>
      <c r="AD1324">
        <v>0</v>
      </c>
      <c r="AE1324">
        <v>0</v>
      </c>
      <c r="AF1324">
        <v>0</v>
      </c>
      <c r="AG1324">
        <v>33</v>
      </c>
      <c r="AH1324">
        <v>0</v>
      </c>
    </row>
    <row r="1325" spans="1:34" x14ac:dyDescent="0.35">
      <c r="A1325" t="s">
        <v>34</v>
      </c>
      <c r="B1325" s="1">
        <v>46146.65625</v>
      </c>
      <c r="C1325" t="s">
        <v>34</v>
      </c>
      <c r="D1325" s="1">
        <v>46150.625</v>
      </c>
      <c r="E1325">
        <v>7335</v>
      </c>
      <c r="F1325" t="s">
        <v>36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3</v>
      </c>
      <c r="M1325">
        <v>127.8</v>
      </c>
      <c r="N1325">
        <v>1</v>
      </c>
      <c r="O1325">
        <v>138.5</v>
      </c>
      <c r="P1325">
        <v>0</v>
      </c>
      <c r="Q1325">
        <v>0</v>
      </c>
      <c r="R1325">
        <v>0</v>
      </c>
      <c r="S1325">
        <v>0</v>
      </c>
      <c r="T1325">
        <v>9.2299999999999993E-2</v>
      </c>
      <c r="U1325">
        <v>-0.96919999999999995</v>
      </c>
      <c r="V1325">
        <v>1E-3</v>
      </c>
      <c r="W1325">
        <v>-0.4713</v>
      </c>
      <c r="X1325">
        <v>0.61399999999999999</v>
      </c>
      <c r="Y1325">
        <v>-0.77680000000000005</v>
      </c>
      <c r="Z1325">
        <v>4</v>
      </c>
      <c r="AA1325">
        <v>128.6</v>
      </c>
      <c r="AB1325">
        <v>2</v>
      </c>
      <c r="AC1325">
        <v>143.9</v>
      </c>
      <c r="AD1325">
        <v>0</v>
      </c>
      <c r="AE1325">
        <v>0</v>
      </c>
      <c r="AF1325">
        <v>0</v>
      </c>
      <c r="AG1325">
        <v>0</v>
      </c>
      <c r="AH1325">
        <v>0</v>
      </c>
    </row>
    <row r="1326" spans="1:34" x14ac:dyDescent="0.35">
      <c r="A1326" t="s">
        <v>34</v>
      </c>
      <c r="B1326" s="1">
        <v>46146.65625</v>
      </c>
      <c r="C1326" t="s">
        <v>34</v>
      </c>
      <c r="D1326" s="1">
        <v>46150.625</v>
      </c>
      <c r="E1326">
        <v>7340</v>
      </c>
      <c r="F1326" t="s">
        <v>36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132.4</v>
      </c>
      <c r="N1326">
        <v>1</v>
      </c>
      <c r="O1326">
        <v>143.1</v>
      </c>
      <c r="P1326">
        <v>0</v>
      </c>
      <c r="Q1326">
        <v>0</v>
      </c>
      <c r="R1326">
        <v>0</v>
      </c>
      <c r="S1326">
        <v>0</v>
      </c>
      <c r="T1326">
        <v>8.5500000000000007E-2</v>
      </c>
      <c r="U1326">
        <v>-0.9819</v>
      </c>
      <c r="V1326">
        <v>6.9999999999999999E-4</v>
      </c>
      <c r="W1326">
        <v>-0.253</v>
      </c>
      <c r="X1326">
        <v>0.4158</v>
      </c>
      <c r="Y1326">
        <v>-0.78700000000000003</v>
      </c>
      <c r="Z1326">
        <v>3</v>
      </c>
      <c r="AA1326">
        <v>133.30000000000001</v>
      </c>
      <c r="AB1326">
        <v>2</v>
      </c>
      <c r="AC1326">
        <v>148.5</v>
      </c>
      <c r="AD1326">
        <v>0</v>
      </c>
      <c r="AE1326">
        <v>0</v>
      </c>
      <c r="AF1326">
        <v>0</v>
      </c>
      <c r="AG1326">
        <v>3</v>
      </c>
      <c r="AH1326">
        <v>0</v>
      </c>
    </row>
    <row r="1327" spans="1:34" x14ac:dyDescent="0.35">
      <c r="A1327" t="s">
        <v>34</v>
      </c>
      <c r="B1327" s="1">
        <v>46146.65625</v>
      </c>
      <c r="C1327" t="s">
        <v>34</v>
      </c>
      <c r="D1327" s="1">
        <v>46150.625</v>
      </c>
      <c r="E1327">
        <v>7345</v>
      </c>
      <c r="F1327" t="s">
        <v>36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137</v>
      </c>
      <c r="N1327">
        <v>1</v>
      </c>
      <c r="O1327">
        <v>147.69999999999999</v>
      </c>
      <c r="P1327">
        <v>0</v>
      </c>
      <c r="Q1327">
        <v>0</v>
      </c>
      <c r="R1327">
        <v>0</v>
      </c>
      <c r="S1327">
        <v>0</v>
      </c>
      <c r="T1327">
        <v>8.2199999999999995E-2</v>
      </c>
      <c r="U1327">
        <v>-0.9879</v>
      </c>
      <c r="V1327">
        <v>5.0000000000000001E-4</v>
      </c>
      <c r="W1327">
        <v>-0.157</v>
      </c>
      <c r="X1327">
        <v>0.30740000000000001</v>
      </c>
      <c r="Y1327">
        <v>-0.79200000000000004</v>
      </c>
      <c r="Z1327">
        <v>4</v>
      </c>
      <c r="AA1327">
        <v>137.9</v>
      </c>
      <c r="AB1327">
        <v>1</v>
      </c>
      <c r="AC1327">
        <v>152.4</v>
      </c>
      <c r="AD1327">
        <v>0</v>
      </c>
      <c r="AE1327">
        <v>0</v>
      </c>
      <c r="AF1327">
        <v>0</v>
      </c>
      <c r="AG1327">
        <v>0</v>
      </c>
      <c r="AH1327">
        <v>0</v>
      </c>
    </row>
    <row r="1328" spans="1:34" x14ac:dyDescent="0.35">
      <c r="A1328" t="s">
        <v>34</v>
      </c>
      <c r="B1328" s="1">
        <v>46146.65625</v>
      </c>
      <c r="C1328" t="s">
        <v>34</v>
      </c>
      <c r="D1328" s="1">
        <v>46150.625</v>
      </c>
      <c r="E1328">
        <v>7350</v>
      </c>
      <c r="F1328" t="s">
        <v>36</v>
      </c>
      <c r="G1328">
        <v>113.69</v>
      </c>
      <c r="H1328">
        <v>113.69</v>
      </c>
      <c r="I1328">
        <v>113.69</v>
      </c>
      <c r="J1328">
        <v>113.69</v>
      </c>
      <c r="K1328">
        <v>1</v>
      </c>
      <c r="L1328">
        <v>1</v>
      </c>
      <c r="M1328">
        <v>141.69999999999999</v>
      </c>
      <c r="N1328">
        <v>1</v>
      </c>
      <c r="O1328">
        <v>152.30000000000001</v>
      </c>
      <c r="P1328">
        <v>0</v>
      </c>
      <c r="Q1328">
        <v>0</v>
      </c>
      <c r="R1328">
        <v>0</v>
      </c>
      <c r="S1328">
        <v>0</v>
      </c>
      <c r="T1328">
        <v>0.1472</v>
      </c>
      <c r="U1328">
        <v>-0.90269999999999995</v>
      </c>
      <c r="V1328">
        <v>1.5E-3</v>
      </c>
      <c r="W1328">
        <v>-2.2016</v>
      </c>
      <c r="X1328">
        <v>1.3580000000000001</v>
      </c>
      <c r="Y1328">
        <v>-0.72609999999999997</v>
      </c>
      <c r="Z1328">
        <v>3</v>
      </c>
      <c r="AA1328">
        <v>142.69999999999999</v>
      </c>
      <c r="AB1328">
        <v>2</v>
      </c>
      <c r="AC1328">
        <v>157.80000000000001</v>
      </c>
      <c r="AD1328">
        <v>0</v>
      </c>
      <c r="AE1328">
        <v>0</v>
      </c>
      <c r="AF1328">
        <v>113.69</v>
      </c>
      <c r="AG1328">
        <v>21</v>
      </c>
      <c r="AH1328">
        <v>0</v>
      </c>
    </row>
    <row r="1329" spans="1:34" x14ac:dyDescent="0.35">
      <c r="A1329" t="s">
        <v>34</v>
      </c>
      <c r="B1329" s="1">
        <v>46146.65625</v>
      </c>
      <c r="C1329" t="s">
        <v>34</v>
      </c>
      <c r="D1329" s="1">
        <v>46150.625</v>
      </c>
      <c r="E1329">
        <v>7355</v>
      </c>
      <c r="F1329" t="s">
        <v>36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1</v>
      </c>
      <c r="M1329">
        <v>146.4</v>
      </c>
      <c r="N1329">
        <v>1</v>
      </c>
      <c r="O1329">
        <v>157</v>
      </c>
      <c r="P1329">
        <v>0</v>
      </c>
      <c r="Q1329">
        <v>0</v>
      </c>
      <c r="R1329">
        <v>0</v>
      </c>
      <c r="S1329">
        <v>0</v>
      </c>
      <c r="T1329">
        <v>0.14849999999999999</v>
      </c>
      <c r="U1329">
        <v>-0.90820000000000001</v>
      </c>
      <c r="V1329">
        <v>1.5E-3</v>
      </c>
      <c r="W1329">
        <v>-2.1110000000000002</v>
      </c>
      <c r="X1329">
        <v>1.3031999999999999</v>
      </c>
      <c r="Y1329">
        <v>-0.73070000000000002</v>
      </c>
      <c r="Z1329">
        <v>4</v>
      </c>
      <c r="AA1329">
        <v>147.4</v>
      </c>
      <c r="AB1329">
        <v>1</v>
      </c>
      <c r="AC1329">
        <v>162</v>
      </c>
      <c r="AD1329">
        <v>0</v>
      </c>
      <c r="AE1329">
        <v>0</v>
      </c>
      <c r="AF1329">
        <v>0</v>
      </c>
      <c r="AG1329">
        <v>1</v>
      </c>
      <c r="AH1329">
        <v>0</v>
      </c>
    </row>
    <row r="1330" spans="1:34" x14ac:dyDescent="0.35">
      <c r="A1330" t="s">
        <v>34</v>
      </c>
      <c r="B1330" s="1">
        <v>46146.65625</v>
      </c>
      <c r="C1330" t="s">
        <v>34</v>
      </c>
      <c r="D1330" s="1">
        <v>46150.625</v>
      </c>
      <c r="E1330">
        <v>7360</v>
      </c>
      <c r="F1330" t="s">
        <v>36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151.30000000000001</v>
      </c>
      <c r="N1330">
        <v>1</v>
      </c>
      <c r="O1330">
        <v>161.80000000000001</v>
      </c>
      <c r="P1330">
        <v>0</v>
      </c>
      <c r="Q1330">
        <v>0</v>
      </c>
      <c r="R1330">
        <v>0</v>
      </c>
      <c r="S1330">
        <v>0</v>
      </c>
      <c r="T1330">
        <v>0.15040000000000001</v>
      </c>
      <c r="U1330">
        <v>-0.91239999999999999</v>
      </c>
      <c r="V1330">
        <v>1.4E-3</v>
      </c>
      <c r="W1330">
        <v>-2.0529000000000002</v>
      </c>
      <c r="X1330">
        <v>1.2604</v>
      </c>
      <c r="Y1330">
        <v>-0.73429999999999995</v>
      </c>
      <c r="Z1330">
        <v>4</v>
      </c>
      <c r="AA1330">
        <v>152.19999999999999</v>
      </c>
      <c r="AB1330">
        <v>2</v>
      </c>
      <c r="AC1330">
        <v>167.3</v>
      </c>
      <c r="AD1330">
        <v>0</v>
      </c>
      <c r="AE1330">
        <v>0</v>
      </c>
      <c r="AF1330">
        <v>0</v>
      </c>
      <c r="AG1330">
        <v>0</v>
      </c>
      <c r="AH1330">
        <v>0</v>
      </c>
    </row>
    <row r="1331" spans="1:34" x14ac:dyDescent="0.35">
      <c r="A1331" t="s">
        <v>34</v>
      </c>
      <c r="B1331" s="1">
        <v>46146.65625</v>
      </c>
      <c r="C1331" t="s">
        <v>34</v>
      </c>
      <c r="D1331" s="1">
        <v>46150.625</v>
      </c>
      <c r="E1331">
        <v>7365</v>
      </c>
      <c r="F1331" t="s">
        <v>36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1</v>
      </c>
      <c r="M1331">
        <v>155.9</v>
      </c>
      <c r="N1331">
        <v>3</v>
      </c>
      <c r="O1331">
        <v>168</v>
      </c>
      <c r="P1331">
        <v>0</v>
      </c>
      <c r="Q1331">
        <v>0</v>
      </c>
      <c r="R1331">
        <v>0</v>
      </c>
      <c r="S1331">
        <v>0</v>
      </c>
      <c r="T1331">
        <v>0.1636</v>
      </c>
      <c r="U1331">
        <v>-0.90039999999999998</v>
      </c>
      <c r="V1331">
        <v>1.4E-3</v>
      </c>
      <c r="W1331">
        <v>-2.496</v>
      </c>
      <c r="X1331">
        <v>1.3734</v>
      </c>
      <c r="Y1331">
        <v>-0.72540000000000004</v>
      </c>
      <c r="Z1331">
        <v>3</v>
      </c>
      <c r="AA1331">
        <v>157</v>
      </c>
      <c r="AB1331">
        <v>2</v>
      </c>
      <c r="AC1331">
        <v>172.1</v>
      </c>
      <c r="AD1331">
        <v>0</v>
      </c>
      <c r="AE1331">
        <v>0</v>
      </c>
      <c r="AF1331">
        <v>0</v>
      </c>
      <c r="AG1331">
        <v>0</v>
      </c>
      <c r="AH1331">
        <v>0</v>
      </c>
    </row>
    <row r="1332" spans="1:34" x14ac:dyDescent="0.35">
      <c r="A1332" t="s">
        <v>34</v>
      </c>
      <c r="B1332" s="1">
        <v>46146.65625</v>
      </c>
      <c r="C1332" t="s">
        <v>34</v>
      </c>
      <c r="D1332" s="1">
        <v>46150.625</v>
      </c>
      <c r="E1332">
        <v>7370</v>
      </c>
      <c r="F1332" t="s">
        <v>36</v>
      </c>
      <c r="G1332">
        <v>169.14</v>
      </c>
      <c r="H1332">
        <v>169.14</v>
      </c>
      <c r="I1332">
        <v>169.14</v>
      </c>
      <c r="J1332">
        <v>169.14</v>
      </c>
      <c r="K1332">
        <v>1</v>
      </c>
      <c r="L1332">
        <v>3</v>
      </c>
      <c r="M1332">
        <v>165.4</v>
      </c>
      <c r="N1332">
        <v>1</v>
      </c>
      <c r="O1332">
        <v>168.2</v>
      </c>
      <c r="P1332">
        <v>0</v>
      </c>
      <c r="Q1332">
        <v>0</v>
      </c>
      <c r="R1332">
        <v>0</v>
      </c>
      <c r="S1332">
        <v>0</v>
      </c>
      <c r="T1332">
        <v>0.11799999999999999</v>
      </c>
      <c r="U1332">
        <v>-0.96709999999999996</v>
      </c>
      <c r="V1332">
        <v>8.0000000000000004E-4</v>
      </c>
      <c r="W1332">
        <v>-0.64429999999999998</v>
      </c>
      <c r="X1332">
        <v>0.62360000000000004</v>
      </c>
      <c r="Y1332">
        <v>-0.77769999999999995</v>
      </c>
      <c r="Z1332">
        <v>4</v>
      </c>
      <c r="AA1332">
        <v>161.80000000000001</v>
      </c>
      <c r="AB1332">
        <v>2</v>
      </c>
      <c r="AC1332">
        <v>176.9</v>
      </c>
      <c r="AD1332">
        <v>0</v>
      </c>
      <c r="AE1332">
        <v>0</v>
      </c>
      <c r="AF1332">
        <v>169.14</v>
      </c>
      <c r="AG1332">
        <v>28</v>
      </c>
      <c r="AH1332">
        <v>0</v>
      </c>
    </row>
    <row r="1333" spans="1:34" x14ac:dyDescent="0.35">
      <c r="A1333" t="s">
        <v>34</v>
      </c>
      <c r="B1333" s="1">
        <v>46146.65625</v>
      </c>
      <c r="C1333" t="s">
        <v>34</v>
      </c>
      <c r="D1333" s="1">
        <v>46150.625</v>
      </c>
      <c r="E1333">
        <v>7375</v>
      </c>
      <c r="F1333" t="s">
        <v>36</v>
      </c>
      <c r="G1333">
        <v>136.31</v>
      </c>
      <c r="H1333">
        <v>136.31</v>
      </c>
      <c r="I1333">
        <v>136.31</v>
      </c>
      <c r="J1333">
        <v>136.31</v>
      </c>
      <c r="K1333">
        <v>1</v>
      </c>
      <c r="L1333">
        <v>1</v>
      </c>
      <c r="M1333">
        <v>165.5</v>
      </c>
      <c r="N1333">
        <v>1</v>
      </c>
      <c r="O1333">
        <v>176.6</v>
      </c>
      <c r="P1333">
        <v>0</v>
      </c>
      <c r="Q1333">
        <v>0</v>
      </c>
      <c r="R1333">
        <v>0</v>
      </c>
      <c r="S1333">
        <v>0</v>
      </c>
      <c r="T1333">
        <v>0.15920000000000001</v>
      </c>
      <c r="U1333">
        <v>-0.9194</v>
      </c>
      <c r="V1333">
        <v>1.1999999999999999E-3</v>
      </c>
      <c r="W1333">
        <v>-2.0177</v>
      </c>
      <c r="X1333">
        <v>1.1842999999999999</v>
      </c>
      <c r="Y1333">
        <v>-0.7409</v>
      </c>
      <c r="Z1333">
        <v>4</v>
      </c>
      <c r="AA1333">
        <v>166.7</v>
      </c>
      <c r="AB1333">
        <v>2</v>
      </c>
      <c r="AC1333">
        <v>181.8</v>
      </c>
      <c r="AD1333">
        <v>0</v>
      </c>
      <c r="AE1333">
        <v>0</v>
      </c>
      <c r="AF1333">
        <v>136.31</v>
      </c>
      <c r="AG1333">
        <v>39</v>
      </c>
      <c r="AH1333">
        <v>0</v>
      </c>
    </row>
    <row r="1334" spans="1:34" x14ac:dyDescent="0.35">
      <c r="A1334" t="s">
        <v>34</v>
      </c>
      <c r="B1334" s="1">
        <v>46146.65625</v>
      </c>
      <c r="C1334" t="s">
        <v>34</v>
      </c>
      <c r="D1334" s="1">
        <v>46150.625</v>
      </c>
      <c r="E1334">
        <v>7380</v>
      </c>
      <c r="F1334" t="s">
        <v>36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169.6</v>
      </c>
      <c r="N1334">
        <v>1</v>
      </c>
      <c r="O1334">
        <v>182.7</v>
      </c>
      <c r="P1334">
        <v>0</v>
      </c>
      <c r="Q1334">
        <v>0</v>
      </c>
      <c r="R1334">
        <v>0</v>
      </c>
      <c r="S1334">
        <v>0</v>
      </c>
      <c r="T1334">
        <v>0.1721</v>
      </c>
      <c r="U1334">
        <v>-0.90849999999999997</v>
      </c>
      <c r="V1334">
        <v>1.2999999999999999E-3</v>
      </c>
      <c r="W1334">
        <v>-2.4380999999999999</v>
      </c>
      <c r="X1334">
        <v>1.2899</v>
      </c>
      <c r="Y1334">
        <v>-0.7329</v>
      </c>
      <c r="Z1334">
        <v>4</v>
      </c>
      <c r="AA1334">
        <v>171.6</v>
      </c>
      <c r="AB1334">
        <v>1</v>
      </c>
      <c r="AC1334">
        <v>186.8</v>
      </c>
      <c r="AD1334">
        <v>0</v>
      </c>
      <c r="AE1334">
        <v>0</v>
      </c>
      <c r="AF1334">
        <v>0</v>
      </c>
      <c r="AG1334">
        <v>0</v>
      </c>
      <c r="AH1334">
        <v>0</v>
      </c>
    </row>
    <row r="1335" spans="1:34" x14ac:dyDescent="0.35">
      <c r="A1335" t="s">
        <v>34</v>
      </c>
      <c r="B1335" s="1">
        <v>46146.65625</v>
      </c>
      <c r="C1335" t="s">
        <v>34</v>
      </c>
      <c r="D1335" s="1">
        <v>46150.625</v>
      </c>
      <c r="E1335">
        <v>7385</v>
      </c>
      <c r="F1335" t="s">
        <v>36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1</v>
      </c>
      <c r="M1335">
        <v>174.5</v>
      </c>
      <c r="N1335">
        <v>1</v>
      </c>
      <c r="O1335">
        <v>187.6</v>
      </c>
      <c r="P1335">
        <v>0</v>
      </c>
      <c r="Q1335">
        <v>0</v>
      </c>
      <c r="R1335">
        <v>0</v>
      </c>
      <c r="S1335">
        <v>0</v>
      </c>
      <c r="T1335">
        <v>0.17480000000000001</v>
      </c>
      <c r="U1335">
        <v>-0.91110000000000002</v>
      </c>
      <c r="V1335">
        <v>1.1999999999999999E-3</v>
      </c>
      <c r="W1335">
        <v>-2.4165000000000001</v>
      </c>
      <c r="X1335">
        <v>1.2635000000000001</v>
      </c>
      <c r="Y1335">
        <v>-0.73519999999999996</v>
      </c>
      <c r="Z1335">
        <v>2</v>
      </c>
      <c r="AA1335">
        <v>176.5</v>
      </c>
      <c r="AB1335">
        <v>2</v>
      </c>
      <c r="AC1335">
        <v>192.5</v>
      </c>
      <c r="AD1335">
        <v>0</v>
      </c>
      <c r="AE1335">
        <v>0</v>
      </c>
      <c r="AF1335">
        <v>0</v>
      </c>
      <c r="AG1335">
        <v>0</v>
      </c>
      <c r="AH1335">
        <v>0</v>
      </c>
    </row>
    <row r="1336" spans="1:34" x14ac:dyDescent="0.35">
      <c r="A1336" t="s">
        <v>34</v>
      </c>
      <c r="B1336" s="1">
        <v>46146.65625</v>
      </c>
      <c r="C1336" t="s">
        <v>34</v>
      </c>
      <c r="D1336" s="1">
        <v>46150.625</v>
      </c>
      <c r="E1336">
        <v>7390</v>
      </c>
      <c r="F1336" t="s">
        <v>36</v>
      </c>
      <c r="G1336">
        <v>145.79</v>
      </c>
      <c r="H1336">
        <v>145.79</v>
      </c>
      <c r="I1336">
        <v>145.79</v>
      </c>
      <c r="J1336">
        <v>145.79</v>
      </c>
      <c r="K1336">
        <v>1</v>
      </c>
      <c r="L1336">
        <v>1</v>
      </c>
      <c r="M1336">
        <v>179.4</v>
      </c>
      <c r="N1336">
        <v>1</v>
      </c>
      <c r="O1336">
        <v>192.5</v>
      </c>
      <c r="P1336">
        <v>0</v>
      </c>
      <c r="Q1336">
        <v>0</v>
      </c>
      <c r="R1336">
        <v>0</v>
      </c>
      <c r="S1336">
        <v>0</v>
      </c>
      <c r="T1336">
        <v>0.17749999999999999</v>
      </c>
      <c r="U1336">
        <v>-0.91349999999999998</v>
      </c>
      <c r="V1336">
        <v>1.1999999999999999E-3</v>
      </c>
      <c r="W1336">
        <v>-2.3938000000000001</v>
      </c>
      <c r="X1336">
        <v>1.2378</v>
      </c>
      <c r="Y1336">
        <v>-0.73750000000000004</v>
      </c>
      <c r="Z1336">
        <v>3</v>
      </c>
      <c r="AA1336">
        <v>181.4</v>
      </c>
      <c r="AB1336">
        <v>3</v>
      </c>
      <c r="AC1336">
        <v>197.4</v>
      </c>
      <c r="AD1336">
        <v>0</v>
      </c>
      <c r="AE1336">
        <v>0</v>
      </c>
      <c r="AF1336">
        <v>145.79</v>
      </c>
      <c r="AG1336">
        <v>3</v>
      </c>
      <c r="AH1336">
        <v>0</v>
      </c>
    </row>
    <row r="1337" spans="1:34" x14ac:dyDescent="0.35">
      <c r="A1337" t="s">
        <v>34</v>
      </c>
      <c r="B1337" s="1">
        <v>46146.65625</v>
      </c>
      <c r="C1337" t="s">
        <v>34</v>
      </c>
      <c r="D1337" s="1">
        <v>46150.625</v>
      </c>
      <c r="E1337">
        <v>7395</v>
      </c>
      <c r="F1337" t="s">
        <v>36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185.2</v>
      </c>
      <c r="N1337">
        <v>1</v>
      </c>
      <c r="O1337">
        <v>197.4</v>
      </c>
      <c r="P1337">
        <v>0</v>
      </c>
      <c r="Q1337">
        <v>0</v>
      </c>
      <c r="R1337">
        <v>0</v>
      </c>
      <c r="S1337">
        <v>0</v>
      </c>
      <c r="T1337">
        <v>0.1802</v>
      </c>
      <c r="U1337">
        <v>-0.91590000000000005</v>
      </c>
      <c r="V1337">
        <v>1.1000000000000001E-3</v>
      </c>
      <c r="W1337">
        <v>-2.37</v>
      </c>
      <c r="X1337">
        <v>1.2124999999999999</v>
      </c>
      <c r="Y1337">
        <v>-0.73970000000000002</v>
      </c>
      <c r="Z1337">
        <v>2</v>
      </c>
      <c r="AA1337">
        <v>186.4</v>
      </c>
      <c r="AB1337">
        <v>1</v>
      </c>
      <c r="AC1337">
        <v>201.2</v>
      </c>
      <c r="AD1337">
        <v>0</v>
      </c>
      <c r="AE1337">
        <v>0</v>
      </c>
      <c r="AF1337">
        <v>0</v>
      </c>
      <c r="AG1337">
        <v>0</v>
      </c>
      <c r="AH1337">
        <v>0</v>
      </c>
    </row>
    <row r="1338" spans="1:34" x14ac:dyDescent="0.35">
      <c r="A1338" t="s">
        <v>34</v>
      </c>
      <c r="B1338" s="1">
        <v>46146.65625</v>
      </c>
      <c r="C1338" t="s">
        <v>34</v>
      </c>
      <c r="D1338" s="1">
        <v>46150.625</v>
      </c>
      <c r="E1338">
        <v>7400</v>
      </c>
      <c r="F1338" t="s">
        <v>36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189.4</v>
      </c>
      <c r="N1338">
        <v>1</v>
      </c>
      <c r="O1338">
        <v>202.4</v>
      </c>
      <c r="P1338">
        <v>0</v>
      </c>
      <c r="Q1338">
        <v>0</v>
      </c>
      <c r="R1338">
        <v>0</v>
      </c>
      <c r="S1338">
        <v>0</v>
      </c>
      <c r="T1338">
        <v>0.1837</v>
      </c>
      <c r="U1338">
        <v>-0.91720000000000002</v>
      </c>
      <c r="V1338">
        <v>1.1000000000000001E-3</v>
      </c>
      <c r="W1338">
        <v>-2.3828999999999998</v>
      </c>
      <c r="X1338">
        <v>1.1981999999999999</v>
      </c>
      <c r="Y1338">
        <v>-0.74109999999999998</v>
      </c>
      <c r="Z1338">
        <v>3</v>
      </c>
      <c r="AA1338">
        <v>191.3</v>
      </c>
      <c r="AB1338">
        <v>1</v>
      </c>
      <c r="AC1338">
        <v>206.2</v>
      </c>
      <c r="AD1338">
        <v>0</v>
      </c>
      <c r="AE1338">
        <v>0</v>
      </c>
      <c r="AF1338">
        <v>0</v>
      </c>
      <c r="AG1338">
        <v>6</v>
      </c>
      <c r="AH1338">
        <v>0</v>
      </c>
    </row>
    <row r="1339" spans="1:34" x14ac:dyDescent="0.35">
      <c r="A1339" t="s">
        <v>34</v>
      </c>
      <c r="B1339" s="1">
        <v>46146.65625</v>
      </c>
      <c r="C1339" t="s">
        <v>34</v>
      </c>
      <c r="D1339" s="1">
        <v>46150.625</v>
      </c>
      <c r="E1339">
        <v>7405</v>
      </c>
      <c r="F1339" t="s">
        <v>36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1</v>
      </c>
      <c r="M1339">
        <v>194.2</v>
      </c>
      <c r="N1339">
        <v>1</v>
      </c>
      <c r="O1339">
        <v>207.3</v>
      </c>
      <c r="P1339">
        <v>0</v>
      </c>
      <c r="Q1339">
        <v>0</v>
      </c>
      <c r="R1339">
        <v>0</v>
      </c>
      <c r="S1339">
        <v>0</v>
      </c>
      <c r="T1339">
        <v>0.1862</v>
      </c>
      <c r="U1339">
        <v>-0.91949999999999998</v>
      </c>
      <c r="V1339">
        <v>1.1000000000000001E-3</v>
      </c>
      <c r="W1339">
        <v>-2.3574999999999999</v>
      </c>
      <c r="X1339">
        <v>1.1738</v>
      </c>
      <c r="Y1339">
        <v>-0.74329999999999996</v>
      </c>
      <c r="Z1339">
        <v>2</v>
      </c>
      <c r="AA1339">
        <v>196.3</v>
      </c>
      <c r="AB1339">
        <v>1</v>
      </c>
      <c r="AC1339">
        <v>211</v>
      </c>
      <c r="AD1339">
        <v>0</v>
      </c>
      <c r="AE1339">
        <v>0</v>
      </c>
      <c r="AF1339">
        <v>0</v>
      </c>
      <c r="AG1339">
        <v>0</v>
      </c>
      <c r="AH1339">
        <v>0</v>
      </c>
    </row>
    <row r="1340" spans="1:34" x14ac:dyDescent="0.35">
      <c r="A1340" t="s">
        <v>34</v>
      </c>
      <c r="B1340" s="1">
        <v>46146.65625</v>
      </c>
      <c r="C1340" t="s">
        <v>34</v>
      </c>
      <c r="D1340" s="1">
        <v>46150.625</v>
      </c>
      <c r="E1340">
        <v>7410</v>
      </c>
      <c r="F1340" t="s">
        <v>36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1</v>
      </c>
      <c r="M1340">
        <v>200</v>
      </c>
      <c r="N1340">
        <v>1</v>
      </c>
      <c r="O1340">
        <v>212.3</v>
      </c>
      <c r="P1340">
        <v>0</v>
      </c>
      <c r="Q1340">
        <v>0</v>
      </c>
      <c r="R1340">
        <v>0</v>
      </c>
      <c r="S1340">
        <v>0</v>
      </c>
      <c r="T1340">
        <v>0.1923</v>
      </c>
      <c r="U1340">
        <v>-0.91739999999999999</v>
      </c>
      <c r="V1340">
        <v>1E-3</v>
      </c>
      <c r="W1340">
        <v>-2.4904999999999999</v>
      </c>
      <c r="X1340">
        <v>1.1938</v>
      </c>
      <c r="Y1340">
        <v>-0.74199999999999999</v>
      </c>
      <c r="Z1340">
        <v>3</v>
      </c>
      <c r="AA1340">
        <v>200.2</v>
      </c>
      <c r="AB1340">
        <v>1</v>
      </c>
      <c r="AC1340">
        <v>220.5</v>
      </c>
      <c r="AD1340">
        <v>0</v>
      </c>
      <c r="AE1340">
        <v>0</v>
      </c>
      <c r="AF1340">
        <v>0</v>
      </c>
      <c r="AG1340">
        <v>3</v>
      </c>
      <c r="AH1340">
        <v>0</v>
      </c>
    </row>
    <row r="1341" spans="1:34" x14ac:dyDescent="0.35">
      <c r="A1341" t="s">
        <v>34</v>
      </c>
      <c r="B1341" s="1">
        <v>46146.65625</v>
      </c>
      <c r="C1341" t="s">
        <v>34</v>
      </c>
      <c r="D1341" s="1">
        <v>46150.625</v>
      </c>
      <c r="E1341">
        <v>7415</v>
      </c>
      <c r="F1341" t="s">
        <v>36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205.4</v>
      </c>
      <c r="N1341">
        <v>1</v>
      </c>
      <c r="O1341">
        <v>218.4</v>
      </c>
      <c r="P1341">
        <v>0</v>
      </c>
      <c r="Q1341">
        <v>0</v>
      </c>
      <c r="R1341">
        <v>0</v>
      </c>
      <c r="S1341">
        <v>0</v>
      </c>
      <c r="T1341">
        <v>0.20269999999999999</v>
      </c>
      <c r="U1341">
        <v>-0.9113</v>
      </c>
      <c r="V1341">
        <v>1E-3</v>
      </c>
      <c r="W1341">
        <v>-2.7942</v>
      </c>
      <c r="X1341">
        <v>1.2527999999999999</v>
      </c>
      <c r="Y1341">
        <v>-0.73770000000000002</v>
      </c>
      <c r="Z1341">
        <v>1</v>
      </c>
      <c r="AA1341">
        <v>202.6</v>
      </c>
      <c r="AB1341">
        <v>1</v>
      </c>
      <c r="AC1341">
        <v>220.9</v>
      </c>
      <c r="AD1341">
        <v>0</v>
      </c>
      <c r="AE1341">
        <v>0</v>
      </c>
      <c r="AF1341">
        <v>0</v>
      </c>
      <c r="AG1341">
        <v>0</v>
      </c>
      <c r="AH1341">
        <v>0</v>
      </c>
    </row>
    <row r="1342" spans="1:34" x14ac:dyDescent="0.35">
      <c r="A1342" t="s">
        <v>34</v>
      </c>
      <c r="B1342" s="1">
        <v>46146.65625</v>
      </c>
      <c r="C1342" t="s">
        <v>34</v>
      </c>
      <c r="D1342" s="1">
        <v>46150.625</v>
      </c>
      <c r="E1342">
        <v>7420</v>
      </c>
      <c r="F1342" t="s">
        <v>36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1</v>
      </c>
      <c r="M1342">
        <v>209.1</v>
      </c>
      <c r="N1342">
        <v>1</v>
      </c>
      <c r="O1342">
        <v>222.6</v>
      </c>
      <c r="P1342">
        <v>0</v>
      </c>
      <c r="Q1342">
        <v>0</v>
      </c>
      <c r="R1342">
        <v>0</v>
      </c>
      <c r="S1342">
        <v>0</v>
      </c>
      <c r="T1342">
        <v>0.1993</v>
      </c>
      <c r="U1342">
        <v>-0.92</v>
      </c>
      <c r="V1342">
        <v>1E-3</v>
      </c>
      <c r="W1342">
        <v>-2.5083000000000002</v>
      </c>
      <c r="X1342">
        <v>1.1649</v>
      </c>
      <c r="Y1342">
        <v>-0.74480000000000002</v>
      </c>
      <c r="Z1342">
        <v>2</v>
      </c>
      <c r="AA1342">
        <v>207.2</v>
      </c>
      <c r="AB1342">
        <v>1</v>
      </c>
      <c r="AC1342">
        <v>227.3</v>
      </c>
      <c r="AD1342">
        <v>0</v>
      </c>
      <c r="AE1342">
        <v>0</v>
      </c>
      <c r="AF1342">
        <v>0</v>
      </c>
      <c r="AG1342">
        <v>0</v>
      </c>
      <c r="AH1342">
        <v>0</v>
      </c>
    </row>
    <row r="1343" spans="1:34" x14ac:dyDescent="0.35">
      <c r="A1343" t="s">
        <v>34</v>
      </c>
      <c r="B1343" s="1">
        <v>46146.65625</v>
      </c>
      <c r="C1343" t="s">
        <v>34</v>
      </c>
      <c r="D1343" s="1">
        <v>46150.625</v>
      </c>
      <c r="E1343">
        <v>7425</v>
      </c>
      <c r="F1343" t="s">
        <v>36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1</v>
      </c>
      <c r="M1343">
        <v>210.8</v>
      </c>
      <c r="N1343">
        <v>1</v>
      </c>
      <c r="O1343">
        <v>229.6</v>
      </c>
      <c r="P1343">
        <v>0</v>
      </c>
      <c r="Q1343">
        <v>0</v>
      </c>
      <c r="R1343">
        <v>0</v>
      </c>
      <c r="S1343">
        <v>0</v>
      </c>
      <c r="T1343">
        <v>0.2195</v>
      </c>
      <c r="U1343">
        <v>-0.90359999999999996</v>
      </c>
      <c r="V1343">
        <v>1E-3</v>
      </c>
      <c r="W1343">
        <v>-3.2553000000000001</v>
      </c>
      <c r="X1343">
        <v>1.3259000000000001</v>
      </c>
      <c r="Y1343">
        <v>-0.73250000000000004</v>
      </c>
      <c r="Z1343">
        <v>1</v>
      </c>
      <c r="AA1343">
        <v>213.6</v>
      </c>
      <c r="AB1343">
        <v>1</v>
      </c>
      <c r="AC1343">
        <v>235.6</v>
      </c>
      <c r="AD1343">
        <v>0</v>
      </c>
      <c r="AE1343">
        <v>0</v>
      </c>
      <c r="AF1343">
        <v>0</v>
      </c>
      <c r="AG1343">
        <v>0</v>
      </c>
      <c r="AH1343">
        <v>0</v>
      </c>
    </row>
    <row r="1344" spans="1:34" x14ac:dyDescent="0.35">
      <c r="A1344" t="s">
        <v>34</v>
      </c>
      <c r="B1344" s="1">
        <v>46146.65625</v>
      </c>
      <c r="C1344" t="s">
        <v>34</v>
      </c>
      <c r="D1344" s="1">
        <v>46150.625</v>
      </c>
      <c r="E1344">
        <v>7430</v>
      </c>
      <c r="F1344" t="s">
        <v>36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216.7</v>
      </c>
      <c r="N1344">
        <v>1</v>
      </c>
      <c r="O1344">
        <v>234.6</v>
      </c>
      <c r="P1344">
        <v>0</v>
      </c>
      <c r="Q1344">
        <v>0</v>
      </c>
      <c r="R1344">
        <v>0</v>
      </c>
      <c r="S1344">
        <v>0</v>
      </c>
      <c r="T1344">
        <v>0.22309999999999999</v>
      </c>
      <c r="U1344">
        <v>-0.90480000000000005</v>
      </c>
      <c r="V1344">
        <v>1E-3</v>
      </c>
      <c r="W1344">
        <v>-3.2713000000000001</v>
      </c>
      <c r="X1344">
        <v>1.3129</v>
      </c>
      <c r="Y1344">
        <v>-0.7339</v>
      </c>
      <c r="Z1344">
        <v>1</v>
      </c>
      <c r="AA1344">
        <v>218.5</v>
      </c>
      <c r="AB1344">
        <v>1</v>
      </c>
      <c r="AC1344">
        <v>240.5</v>
      </c>
      <c r="AD1344">
        <v>0</v>
      </c>
      <c r="AE1344">
        <v>0</v>
      </c>
      <c r="AF1344">
        <v>0</v>
      </c>
      <c r="AG1344">
        <v>2</v>
      </c>
      <c r="AH1344">
        <v>0</v>
      </c>
    </row>
    <row r="1345" spans="1:34" x14ac:dyDescent="0.35">
      <c r="A1345" t="s">
        <v>34</v>
      </c>
      <c r="B1345" s="1">
        <v>46146.65625</v>
      </c>
      <c r="C1345" t="s">
        <v>34</v>
      </c>
      <c r="D1345" s="1">
        <v>46150.625</v>
      </c>
      <c r="E1345">
        <v>7435</v>
      </c>
      <c r="F1345" t="s">
        <v>36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221.5</v>
      </c>
      <c r="N1345">
        <v>1</v>
      </c>
      <c r="O1345">
        <v>240.1</v>
      </c>
      <c r="P1345">
        <v>0</v>
      </c>
      <c r="Q1345">
        <v>0</v>
      </c>
      <c r="R1345">
        <v>0</v>
      </c>
      <c r="S1345">
        <v>0</v>
      </c>
      <c r="T1345">
        <v>0.2306</v>
      </c>
      <c r="U1345">
        <v>-0.90210000000000001</v>
      </c>
      <c r="V1345">
        <v>1E-3</v>
      </c>
      <c r="W1345">
        <v>-3.4636999999999998</v>
      </c>
      <c r="X1345">
        <v>1.3378000000000001</v>
      </c>
      <c r="Y1345">
        <v>-0.73219999999999996</v>
      </c>
      <c r="Z1345">
        <v>1</v>
      </c>
      <c r="AA1345">
        <v>223.5</v>
      </c>
      <c r="AB1345">
        <v>1</v>
      </c>
      <c r="AC1345">
        <v>245.5</v>
      </c>
      <c r="AD1345">
        <v>0</v>
      </c>
      <c r="AE1345">
        <v>0</v>
      </c>
      <c r="AF1345">
        <v>0</v>
      </c>
      <c r="AG1345">
        <v>0</v>
      </c>
      <c r="AH1345">
        <v>0</v>
      </c>
    </row>
    <row r="1346" spans="1:34" x14ac:dyDescent="0.35">
      <c r="A1346" t="s">
        <v>34</v>
      </c>
      <c r="B1346" s="1">
        <v>46146.65625</v>
      </c>
      <c r="C1346" t="s">
        <v>34</v>
      </c>
      <c r="D1346" s="1">
        <v>46150.625</v>
      </c>
      <c r="E1346">
        <v>7440</v>
      </c>
      <c r="F1346" t="s">
        <v>36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225</v>
      </c>
      <c r="N1346">
        <v>1</v>
      </c>
      <c r="O1346">
        <v>244.5</v>
      </c>
      <c r="P1346">
        <v>0</v>
      </c>
      <c r="Q1346">
        <v>0</v>
      </c>
      <c r="R1346">
        <v>0</v>
      </c>
      <c r="S1346">
        <v>0</v>
      </c>
      <c r="T1346">
        <v>0.22939999999999999</v>
      </c>
      <c r="U1346">
        <v>-0.90800000000000003</v>
      </c>
      <c r="V1346">
        <v>1E-3</v>
      </c>
      <c r="W1346">
        <v>-3.2663000000000002</v>
      </c>
      <c r="X1346">
        <v>1.2803</v>
      </c>
      <c r="Y1346">
        <v>-0.73699999999999999</v>
      </c>
      <c r="Z1346">
        <v>1</v>
      </c>
      <c r="AA1346">
        <v>228.5</v>
      </c>
      <c r="AB1346">
        <v>1</v>
      </c>
      <c r="AC1346">
        <v>250.5</v>
      </c>
      <c r="AD1346">
        <v>0</v>
      </c>
      <c r="AE1346">
        <v>0</v>
      </c>
      <c r="AF1346">
        <v>0</v>
      </c>
      <c r="AG1346">
        <v>0</v>
      </c>
      <c r="AH1346">
        <v>0</v>
      </c>
    </row>
    <row r="1347" spans="1:34" x14ac:dyDescent="0.35">
      <c r="A1347" t="s">
        <v>34</v>
      </c>
      <c r="B1347" s="1">
        <v>46146.65625</v>
      </c>
      <c r="C1347" t="s">
        <v>34</v>
      </c>
      <c r="D1347" s="1">
        <v>46150.625</v>
      </c>
      <c r="E1347">
        <v>7445</v>
      </c>
      <c r="F1347" t="s">
        <v>36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1</v>
      </c>
      <c r="M1347">
        <v>231.7</v>
      </c>
      <c r="N1347">
        <v>1</v>
      </c>
      <c r="O1347">
        <v>250.5</v>
      </c>
      <c r="P1347">
        <v>0</v>
      </c>
      <c r="Q1347">
        <v>0</v>
      </c>
      <c r="R1347">
        <v>0</v>
      </c>
      <c r="S1347">
        <v>0</v>
      </c>
      <c r="T1347">
        <v>0.2409</v>
      </c>
      <c r="U1347">
        <v>-0.90149999999999997</v>
      </c>
      <c r="V1347">
        <v>1E-3</v>
      </c>
      <c r="W1347">
        <v>-3.6368999999999998</v>
      </c>
      <c r="X1347">
        <v>1.3416999999999999</v>
      </c>
      <c r="Y1347">
        <v>-0.73250000000000004</v>
      </c>
      <c r="Z1347">
        <v>1</v>
      </c>
      <c r="AA1347">
        <v>232.4</v>
      </c>
      <c r="AB1347">
        <v>1</v>
      </c>
      <c r="AC1347">
        <v>250.8</v>
      </c>
      <c r="AD1347">
        <v>0</v>
      </c>
      <c r="AE1347">
        <v>0</v>
      </c>
      <c r="AF1347">
        <v>0</v>
      </c>
      <c r="AG1347">
        <v>0</v>
      </c>
      <c r="AH1347">
        <v>0</v>
      </c>
    </row>
    <row r="1348" spans="1:34" x14ac:dyDescent="0.35">
      <c r="A1348" t="s">
        <v>34</v>
      </c>
      <c r="B1348" s="1">
        <v>46146.65625</v>
      </c>
      <c r="C1348" t="s">
        <v>34</v>
      </c>
      <c r="D1348" s="1">
        <v>46150.625</v>
      </c>
      <c r="E1348">
        <v>7450</v>
      </c>
      <c r="F1348" t="s">
        <v>36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235</v>
      </c>
      <c r="N1348">
        <v>1</v>
      </c>
      <c r="O1348">
        <v>254.5</v>
      </c>
      <c r="P1348">
        <v>0</v>
      </c>
      <c r="Q1348">
        <v>0</v>
      </c>
      <c r="R1348">
        <v>0</v>
      </c>
      <c r="S1348">
        <v>0</v>
      </c>
      <c r="T1348">
        <v>0.23649999999999999</v>
      </c>
      <c r="U1348">
        <v>-0.91020000000000001</v>
      </c>
      <c r="V1348">
        <v>8.9999999999999998E-4</v>
      </c>
      <c r="W1348">
        <v>-3.2957000000000001</v>
      </c>
      <c r="X1348">
        <v>1.2568999999999999</v>
      </c>
      <c r="Y1348">
        <v>-0.73950000000000005</v>
      </c>
      <c r="Z1348">
        <v>1</v>
      </c>
      <c r="AA1348">
        <v>237.5</v>
      </c>
      <c r="AB1348">
        <v>1</v>
      </c>
      <c r="AC1348">
        <v>255.9</v>
      </c>
      <c r="AD1348">
        <v>0</v>
      </c>
      <c r="AE1348">
        <v>0</v>
      </c>
      <c r="AF1348">
        <v>0</v>
      </c>
      <c r="AG1348">
        <v>0</v>
      </c>
      <c r="AH1348">
        <v>0</v>
      </c>
    </row>
    <row r="1349" spans="1:34" x14ac:dyDescent="0.35">
      <c r="A1349" t="s">
        <v>34</v>
      </c>
      <c r="B1349" s="1">
        <v>46146.65625</v>
      </c>
      <c r="C1349" t="s">
        <v>34</v>
      </c>
      <c r="D1349" s="1">
        <v>46150.625</v>
      </c>
      <c r="E1349">
        <v>7460</v>
      </c>
      <c r="F1349" t="s">
        <v>36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244.9</v>
      </c>
      <c r="N1349">
        <v>1</v>
      </c>
      <c r="O1349">
        <v>264.39999999999998</v>
      </c>
      <c r="P1349">
        <v>0</v>
      </c>
      <c r="Q1349">
        <v>0</v>
      </c>
      <c r="R1349">
        <v>0</v>
      </c>
      <c r="S1349">
        <v>0</v>
      </c>
      <c r="T1349">
        <v>0.2427</v>
      </c>
      <c r="U1349">
        <v>-0.91300000000000003</v>
      </c>
      <c r="V1349">
        <v>8.9999999999999998E-4</v>
      </c>
      <c r="W1349">
        <v>-3.2871000000000001</v>
      </c>
      <c r="X1349">
        <v>1.2272000000000001</v>
      </c>
      <c r="Y1349">
        <v>-0.74250000000000005</v>
      </c>
      <c r="Z1349">
        <v>1</v>
      </c>
      <c r="AA1349">
        <v>247.7</v>
      </c>
      <c r="AB1349">
        <v>1</v>
      </c>
      <c r="AC1349">
        <v>270.5</v>
      </c>
      <c r="AD1349">
        <v>0</v>
      </c>
      <c r="AE1349">
        <v>0</v>
      </c>
      <c r="AF1349">
        <v>0</v>
      </c>
      <c r="AG1349">
        <v>0</v>
      </c>
      <c r="AH1349">
        <v>0</v>
      </c>
    </row>
    <row r="1350" spans="1:34" x14ac:dyDescent="0.35">
      <c r="A1350" t="s">
        <v>34</v>
      </c>
      <c r="B1350" s="1">
        <v>46146.65625</v>
      </c>
      <c r="C1350" t="s">
        <v>34</v>
      </c>
      <c r="D1350" s="1">
        <v>46150.625</v>
      </c>
      <c r="E1350">
        <v>7470</v>
      </c>
      <c r="F1350" t="s">
        <v>36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254.9</v>
      </c>
      <c r="N1350">
        <v>1</v>
      </c>
      <c r="O1350">
        <v>274.5</v>
      </c>
      <c r="P1350">
        <v>0</v>
      </c>
      <c r="Q1350">
        <v>0</v>
      </c>
      <c r="R1350">
        <v>0</v>
      </c>
      <c r="S1350">
        <v>0</v>
      </c>
      <c r="T1350">
        <v>0.2505</v>
      </c>
      <c r="U1350">
        <v>-0.91420000000000001</v>
      </c>
      <c r="V1350">
        <v>8.0000000000000004E-4</v>
      </c>
      <c r="W1350">
        <v>-3.3512</v>
      </c>
      <c r="X1350">
        <v>1.2137</v>
      </c>
      <c r="Y1350">
        <v>-0.74409999999999998</v>
      </c>
      <c r="Z1350">
        <v>1</v>
      </c>
      <c r="AA1350">
        <v>258.39999999999998</v>
      </c>
      <c r="AB1350">
        <v>1</v>
      </c>
      <c r="AC1350">
        <v>279.60000000000002</v>
      </c>
      <c r="AD1350">
        <v>0</v>
      </c>
      <c r="AE1350">
        <v>0</v>
      </c>
      <c r="AF1350">
        <v>0</v>
      </c>
      <c r="AG1350">
        <v>0</v>
      </c>
      <c r="AH1350">
        <v>0</v>
      </c>
    </row>
    <row r="1351" spans="1:34" x14ac:dyDescent="0.35">
      <c r="A1351" t="s">
        <v>34</v>
      </c>
      <c r="B1351" s="1">
        <v>46146.65625</v>
      </c>
      <c r="C1351" t="s">
        <v>34</v>
      </c>
      <c r="D1351" s="1">
        <v>46150.625</v>
      </c>
      <c r="E1351">
        <v>7475</v>
      </c>
      <c r="F1351" t="s">
        <v>36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259.89999999999998</v>
      </c>
      <c r="N1351">
        <v>1</v>
      </c>
      <c r="O1351">
        <v>279.5</v>
      </c>
      <c r="P1351">
        <v>0</v>
      </c>
      <c r="Q1351">
        <v>0</v>
      </c>
      <c r="R1351">
        <v>0</v>
      </c>
      <c r="S1351">
        <v>0</v>
      </c>
      <c r="T1351">
        <v>0.25390000000000001</v>
      </c>
      <c r="U1351">
        <v>-0.91520000000000001</v>
      </c>
      <c r="V1351">
        <v>8.0000000000000004E-4</v>
      </c>
      <c r="W1351">
        <v>-3.3643000000000001</v>
      </c>
      <c r="X1351">
        <v>1.2035</v>
      </c>
      <c r="Y1351">
        <v>-0.74529999999999996</v>
      </c>
      <c r="Z1351">
        <v>1</v>
      </c>
      <c r="AA1351">
        <v>263.39999999999998</v>
      </c>
      <c r="AB1351">
        <v>1</v>
      </c>
      <c r="AC1351">
        <v>285.3</v>
      </c>
      <c r="AD1351">
        <v>0</v>
      </c>
      <c r="AE1351">
        <v>0</v>
      </c>
      <c r="AF1351">
        <v>0</v>
      </c>
      <c r="AG1351">
        <v>0</v>
      </c>
      <c r="AH1351">
        <v>0</v>
      </c>
    </row>
    <row r="1352" spans="1:34" x14ac:dyDescent="0.35">
      <c r="A1352" t="s">
        <v>34</v>
      </c>
      <c r="B1352" s="1">
        <v>46146.65625</v>
      </c>
      <c r="C1352" t="s">
        <v>34</v>
      </c>
      <c r="D1352" s="1">
        <v>46150.625</v>
      </c>
      <c r="E1352">
        <v>7480</v>
      </c>
      <c r="F1352" t="s">
        <v>36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264.89999999999998</v>
      </c>
      <c r="N1352">
        <v>1</v>
      </c>
      <c r="O1352">
        <v>284.5</v>
      </c>
      <c r="P1352">
        <v>0</v>
      </c>
      <c r="Q1352">
        <v>0</v>
      </c>
      <c r="R1352">
        <v>0</v>
      </c>
      <c r="S1352">
        <v>0</v>
      </c>
      <c r="T1352">
        <v>0.25740000000000002</v>
      </c>
      <c r="U1352">
        <v>-0.91610000000000003</v>
      </c>
      <c r="V1352">
        <v>8.0000000000000004E-4</v>
      </c>
      <c r="W1352">
        <v>-3.3774999999999999</v>
      </c>
      <c r="X1352">
        <v>1.1936</v>
      </c>
      <c r="Y1352">
        <v>-0.74629999999999996</v>
      </c>
      <c r="Z1352">
        <v>1</v>
      </c>
      <c r="AA1352">
        <v>268.39999999999998</v>
      </c>
      <c r="AB1352">
        <v>1</v>
      </c>
      <c r="AC1352">
        <v>290.3</v>
      </c>
      <c r="AD1352">
        <v>0</v>
      </c>
      <c r="AE1352">
        <v>0</v>
      </c>
      <c r="AF1352">
        <v>0</v>
      </c>
      <c r="AG1352">
        <v>0</v>
      </c>
      <c r="AH1352">
        <v>0</v>
      </c>
    </row>
    <row r="1353" spans="1:34" x14ac:dyDescent="0.35">
      <c r="A1353" t="s">
        <v>34</v>
      </c>
      <c r="B1353" s="1">
        <v>46146.65625</v>
      </c>
      <c r="C1353" t="s">
        <v>34</v>
      </c>
      <c r="D1353" s="1">
        <v>46150.625</v>
      </c>
      <c r="E1353">
        <v>7490</v>
      </c>
      <c r="F1353" t="s">
        <v>36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276.10000000000002</v>
      </c>
      <c r="N1353">
        <v>1</v>
      </c>
      <c r="O1353">
        <v>294.39999999999998</v>
      </c>
      <c r="P1353">
        <v>0</v>
      </c>
      <c r="Q1353">
        <v>0</v>
      </c>
      <c r="R1353">
        <v>0</v>
      </c>
      <c r="S1353">
        <v>0</v>
      </c>
      <c r="T1353">
        <v>0.26340000000000002</v>
      </c>
      <c r="U1353">
        <v>-0.91849999999999998</v>
      </c>
      <c r="V1353">
        <v>8.0000000000000004E-4</v>
      </c>
      <c r="W1353">
        <v>-3.3649</v>
      </c>
      <c r="X1353">
        <v>1.1669</v>
      </c>
      <c r="Y1353">
        <v>-0.749</v>
      </c>
      <c r="Z1353">
        <v>1</v>
      </c>
      <c r="AA1353">
        <v>278.39999999999998</v>
      </c>
      <c r="AB1353">
        <v>1</v>
      </c>
      <c r="AC1353">
        <v>300.39999999999998</v>
      </c>
      <c r="AD1353">
        <v>0</v>
      </c>
      <c r="AE1353">
        <v>0</v>
      </c>
      <c r="AF1353">
        <v>0</v>
      </c>
      <c r="AG1353">
        <v>0</v>
      </c>
      <c r="AH1353">
        <v>0</v>
      </c>
    </row>
    <row r="1354" spans="1:34" x14ac:dyDescent="0.35">
      <c r="A1354" t="s">
        <v>34</v>
      </c>
      <c r="B1354" s="1">
        <v>46146.65625</v>
      </c>
      <c r="C1354" t="s">
        <v>34</v>
      </c>
      <c r="D1354" s="1">
        <v>46150.625</v>
      </c>
      <c r="E1354">
        <v>7500</v>
      </c>
      <c r="F1354" t="s">
        <v>36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1</v>
      </c>
      <c r="M1354">
        <v>286.10000000000002</v>
      </c>
      <c r="N1354">
        <v>1</v>
      </c>
      <c r="O1354">
        <v>304.39999999999998</v>
      </c>
      <c r="P1354">
        <v>0</v>
      </c>
      <c r="Q1354">
        <v>0</v>
      </c>
      <c r="R1354">
        <v>0</v>
      </c>
      <c r="S1354">
        <v>0</v>
      </c>
      <c r="T1354">
        <v>0.2702</v>
      </c>
      <c r="U1354">
        <v>-0.92020000000000002</v>
      </c>
      <c r="V1354">
        <v>6.9999999999999999E-4</v>
      </c>
      <c r="W1354">
        <v>-3.3889999999999998</v>
      </c>
      <c r="X1354">
        <v>1.1484000000000001</v>
      </c>
      <c r="Y1354">
        <v>-0.75109999999999999</v>
      </c>
      <c r="Z1354">
        <v>3</v>
      </c>
      <c r="AA1354">
        <v>286.89999999999998</v>
      </c>
      <c r="AB1354">
        <v>1</v>
      </c>
      <c r="AC1354">
        <v>305.89999999999998</v>
      </c>
      <c r="AD1354">
        <v>0</v>
      </c>
      <c r="AE1354">
        <v>0</v>
      </c>
      <c r="AF1354">
        <v>0</v>
      </c>
      <c r="AG1354">
        <v>6</v>
      </c>
      <c r="AH1354">
        <v>0</v>
      </c>
    </row>
    <row r="1355" spans="1:34" x14ac:dyDescent="0.35">
      <c r="A1355" t="s">
        <v>34</v>
      </c>
      <c r="B1355" s="1">
        <v>46146.65625</v>
      </c>
      <c r="C1355" t="s">
        <v>34</v>
      </c>
      <c r="D1355" s="1">
        <v>46150.625</v>
      </c>
      <c r="E1355">
        <v>7510</v>
      </c>
      <c r="F1355" t="s">
        <v>36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1</v>
      </c>
      <c r="M1355">
        <v>296.60000000000002</v>
      </c>
      <c r="N1355">
        <v>1</v>
      </c>
      <c r="O1355">
        <v>314.39999999999998</v>
      </c>
      <c r="P1355">
        <v>0</v>
      </c>
      <c r="Q1355">
        <v>0</v>
      </c>
      <c r="R1355">
        <v>0</v>
      </c>
      <c r="S1355">
        <v>0</v>
      </c>
      <c r="T1355">
        <v>0.27689999999999998</v>
      </c>
      <c r="U1355">
        <v>-0.92179999999999995</v>
      </c>
      <c r="V1355">
        <v>6.9999999999999999E-4</v>
      </c>
      <c r="W1355">
        <v>-3.4123999999999999</v>
      </c>
      <c r="X1355">
        <v>1.1306</v>
      </c>
      <c r="Y1355">
        <v>-0.75309999999999999</v>
      </c>
      <c r="Z1355">
        <v>1</v>
      </c>
      <c r="AA1355">
        <v>298.39999999999998</v>
      </c>
      <c r="AB1355">
        <v>1</v>
      </c>
      <c r="AC1355">
        <v>320.39999999999998</v>
      </c>
      <c r="AD1355">
        <v>0</v>
      </c>
      <c r="AE1355">
        <v>0</v>
      </c>
      <c r="AF1355">
        <v>0</v>
      </c>
      <c r="AG1355">
        <v>1</v>
      </c>
      <c r="AH1355">
        <v>0</v>
      </c>
    </row>
    <row r="1356" spans="1:34" x14ac:dyDescent="0.35">
      <c r="A1356" t="s">
        <v>34</v>
      </c>
      <c r="B1356" s="1">
        <v>46146.65625</v>
      </c>
      <c r="C1356" t="s">
        <v>34</v>
      </c>
      <c r="D1356" s="1">
        <v>46150.625</v>
      </c>
      <c r="E1356">
        <v>7520</v>
      </c>
      <c r="F1356" t="s">
        <v>36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306.60000000000002</v>
      </c>
      <c r="N1356">
        <v>1</v>
      </c>
      <c r="O1356">
        <v>324.3</v>
      </c>
      <c r="P1356">
        <v>0</v>
      </c>
      <c r="Q1356">
        <v>0</v>
      </c>
      <c r="R1356">
        <v>0</v>
      </c>
      <c r="S1356">
        <v>0</v>
      </c>
      <c r="T1356">
        <v>0.28270000000000001</v>
      </c>
      <c r="U1356">
        <v>-0.92390000000000005</v>
      </c>
      <c r="V1356">
        <v>6.9999999999999999E-4</v>
      </c>
      <c r="W1356">
        <v>-3.3959999999999999</v>
      </c>
      <c r="X1356">
        <v>1.1061000000000001</v>
      </c>
      <c r="Y1356">
        <v>-0.75560000000000005</v>
      </c>
      <c r="Z1356">
        <v>1</v>
      </c>
      <c r="AA1356">
        <v>307.7</v>
      </c>
      <c r="AB1356">
        <v>1</v>
      </c>
      <c r="AC1356">
        <v>330.4</v>
      </c>
      <c r="AD1356">
        <v>0</v>
      </c>
      <c r="AE1356">
        <v>0</v>
      </c>
      <c r="AF1356">
        <v>0</v>
      </c>
      <c r="AG1356">
        <v>1</v>
      </c>
      <c r="AH1356">
        <v>0</v>
      </c>
    </row>
    <row r="1357" spans="1:34" x14ac:dyDescent="0.35">
      <c r="A1357" t="s">
        <v>34</v>
      </c>
      <c r="B1357" s="1">
        <v>46146.65625</v>
      </c>
      <c r="C1357" t="s">
        <v>34</v>
      </c>
      <c r="D1357" s="1">
        <v>46150.625</v>
      </c>
      <c r="E1357">
        <v>7525</v>
      </c>
      <c r="F1357" t="s">
        <v>36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311.60000000000002</v>
      </c>
      <c r="N1357">
        <v>1</v>
      </c>
      <c r="O1357">
        <v>329.4</v>
      </c>
      <c r="P1357">
        <v>0</v>
      </c>
      <c r="Q1357">
        <v>0</v>
      </c>
      <c r="R1357">
        <v>0</v>
      </c>
      <c r="S1357">
        <v>0</v>
      </c>
      <c r="T1357">
        <v>0.28699999999999998</v>
      </c>
      <c r="U1357">
        <v>-0.92400000000000004</v>
      </c>
      <c r="V1357">
        <v>6.9999999999999999E-4</v>
      </c>
      <c r="W1357">
        <v>-3.4460999999999999</v>
      </c>
      <c r="X1357">
        <v>1.1052</v>
      </c>
      <c r="Y1357">
        <v>-0.75600000000000001</v>
      </c>
      <c r="Z1357">
        <v>3</v>
      </c>
      <c r="AA1357">
        <v>311.89999999999998</v>
      </c>
      <c r="AB1357">
        <v>1</v>
      </c>
      <c r="AC1357">
        <v>330.7</v>
      </c>
      <c r="AD1357">
        <v>0</v>
      </c>
      <c r="AE1357">
        <v>0</v>
      </c>
      <c r="AF1357">
        <v>0</v>
      </c>
      <c r="AG1357">
        <v>0</v>
      </c>
      <c r="AH1357">
        <v>0</v>
      </c>
    </row>
    <row r="1358" spans="1:34" x14ac:dyDescent="0.35">
      <c r="A1358" t="s">
        <v>34</v>
      </c>
      <c r="B1358" s="1">
        <v>46146.65625</v>
      </c>
      <c r="C1358" t="s">
        <v>34</v>
      </c>
      <c r="D1358" s="1">
        <v>46150.625</v>
      </c>
      <c r="E1358">
        <v>7530</v>
      </c>
      <c r="F1358" t="s">
        <v>36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316.10000000000002</v>
      </c>
      <c r="N1358">
        <v>1</v>
      </c>
      <c r="O1358">
        <v>334.4</v>
      </c>
      <c r="P1358">
        <v>0</v>
      </c>
      <c r="Q1358">
        <v>0</v>
      </c>
      <c r="R1358">
        <v>0</v>
      </c>
      <c r="S1358">
        <v>0</v>
      </c>
      <c r="T1358">
        <v>0.2903</v>
      </c>
      <c r="U1358">
        <v>-0.92469999999999997</v>
      </c>
      <c r="V1358">
        <v>5.9999999999999995E-4</v>
      </c>
      <c r="W1358">
        <v>-3.4569999999999999</v>
      </c>
      <c r="X1358">
        <v>1.097</v>
      </c>
      <c r="Y1358">
        <v>-0.75690000000000002</v>
      </c>
      <c r="Z1358">
        <v>1</v>
      </c>
      <c r="AA1358">
        <v>318.3</v>
      </c>
      <c r="AB1358">
        <v>1</v>
      </c>
      <c r="AC1358">
        <v>340.1</v>
      </c>
      <c r="AD1358">
        <v>0</v>
      </c>
      <c r="AE1358">
        <v>0</v>
      </c>
      <c r="AF1358">
        <v>0</v>
      </c>
      <c r="AG1358">
        <v>0</v>
      </c>
      <c r="AH1358">
        <v>0</v>
      </c>
    </row>
    <row r="1359" spans="1:34" x14ac:dyDescent="0.35">
      <c r="A1359" t="s">
        <v>34</v>
      </c>
      <c r="B1359" s="1">
        <v>46146.65625</v>
      </c>
      <c r="C1359" t="s">
        <v>34</v>
      </c>
      <c r="D1359" s="1">
        <v>46150.625</v>
      </c>
      <c r="E1359">
        <v>7540</v>
      </c>
      <c r="F1359" t="s">
        <v>36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1</v>
      </c>
      <c r="M1359">
        <v>324.8</v>
      </c>
      <c r="N1359">
        <v>1</v>
      </c>
      <c r="O1359">
        <v>344.4</v>
      </c>
      <c r="P1359">
        <v>0</v>
      </c>
      <c r="Q1359">
        <v>0</v>
      </c>
      <c r="R1359">
        <v>0</v>
      </c>
      <c r="S1359">
        <v>0</v>
      </c>
      <c r="T1359">
        <v>0.2969</v>
      </c>
      <c r="U1359">
        <v>-0.92600000000000005</v>
      </c>
      <c r="V1359">
        <v>5.9999999999999995E-4</v>
      </c>
      <c r="W1359">
        <v>-3.4782999999999999</v>
      </c>
      <c r="X1359">
        <v>1.0811999999999999</v>
      </c>
      <c r="Y1359">
        <v>-0.75870000000000004</v>
      </c>
      <c r="Z1359">
        <v>1</v>
      </c>
      <c r="AA1359">
        <v>328.3</v>
      </c>
      <c r="AB1359">
        <v>1</v>
      </c>
      <c r="AC1359">
        <v>350.2</v>
      </c>
      <c r="AD1359">
        <v>0</v>
      </c>
      <c r="AE1359">
        <v>0</v>
      </c>
      <c r="AF1359">
        <v>0</v>
      </c>
      <c r="AG1359">
        <v>0</v>
      </c>
      <c r="AH1359">
        <v>0</v>
      </c>
    </row>
    <row r="1360" spans="1:34" x14ac:dyDescent="0.35">
      <c r="A1360" t="s">
        <v>34</v>
      </c>
      <c r="B1360" s="1">
        <v>46146.65625</v>
      </c>
      <c r="C1360" t="s">
        <v>34</v>
      </c>
      <c r="D1360" s="1">
        <v>46150.625</v>
      </c>
      <c r="E1360">
        <v>7550</v>
      </c>
      <c r="F1360" t="s">
        <v>36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334.8</v>
      </c>
      <c r="N1360">
        <v>1</v>
      </c>
      <c r="O1360">
        <v>354.4</v>
      </c>
      <c r="P1360">
        <v>0</v>
      </c>
      <c r="Q1360">
        <v>0</v>
      </c>
      <c r="R1360">
        <v>0</v>
      </c>
      <c r="S1360">
        <v>0</v>
      </c>
      <c r="T1360">
        <v>0.30349999999999999</v>
      </c>
      <c r="U1360">
        <v>-0.92730000000000001</v>
      </c>
      <c r="V1360">
        <v>5.9999999999999995E-4</v>
      </c>
      <c r="W1360">
        <v>-3.4990000000000001</v>
      </c>
      <c r="X1360">
        <v>1.0660000000000001</v>
      </c>
      <c r="Y1360">
        <v>-0.76049999999999995</v>
      </c>
      <c r="Z1360">
        <v>1</v>
      </c>
      <c r="AA1360">
        <v>337.3</v>
      </c>
      <c r="AB1360">
        <v>1</v>
      </c>
      <c r="AC1360">
        <v>355.8</v>
      </c>
      <c r="AD1360">
        <v>0</v>
      </c>
      <c r="AE1360">
        <v>0</v>
      </c>
      <c r="AF1360">
        <v>0</v>
      </c>
      <c r="AG1360">
        <v>1</v>
      </c>
      <c r="AH1360">
        <v>0</v>
      </c>
    </row>
    <row r="1361" spans="1:34" x14ac:dyDescent="0.35">
      <c r="A1361" t="s">
        <v>34</v>
      </c>
      <c r="B1361" s="1">
        <v>46146.65625</v>
      </c>
      <c r="C1361" t="s">
        <v>34</v>
      </c>
      <c r="D1361" s="1">
        <v>46150.625</v>
      </c>
      <c r="E1361">
        <v>7560</v>
      </c>
      <c r="F1361" t="s">
        <v>36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2</v>
      </c>
      <c r="M1361">
        <v>344.8</v>
      </c>
      <c r="N1361">
        <v>1</v>
      </c>
      <c r="O1361">
        <v>364.4</v>
      </c>
      <c r="P1361">
        <v>0</v>
      </c>
      <c r="Q1361">
        <v>0</v>
      </c>
      <c r="R1361">
        <v>0</v>
      </c>
      <c r="S1361">
        <v>0</v>
      </c>
      <c r="T1361">
        <v>0.31009999999999999</v>
      </c>
      <c r="U1361">
        <v>-0.92859999999999998</v>
      </c>
      <c r="V1361">
        <v>5.9999999999999995E-4</v>
      </c>
      <c r="W1361">
        <v>-3.5190999999999999</v>
      </c>
      <c r="X1361">
        <v>1.0513999999999999</v>
      </c>
      <c r="Y1361">
        <v>-0.76219999999999999</v>
      </c>
      <c r="Z1361">
        <v>1</v>
      </c>
      <c r="AA1361">
        <v>348.3</v>
      </c>
      <c r="AB1361">
        <v>1</v>
      </c>
      <c r="AC1361">
        <v>370.4</v>
      </c>
      <c r="AD1361">
        <v>0</v>
      </c>
      <c r="AE1361">
        <v>0</v>
      </c>
      <c r="AF1361">
        <v>0</v>
      </c>
      <c r="AG1361">
        <v>0</v>
      </c>
      <c r="AH1361">
        <v>0</v>
      </c>
    </row>
    <row r="1362" spans="1:34" x14ac:dyDescent="0.35">
      <c r="A1362" t="s">
        <v>34</v>
      </c>
      <c r="B1362" s="1">
        <v>46146.65625</v>
      </c>
      <c r="C1362" t="s">
        <v>34</v>
      </c>
      <c r="D1362" s="1">
        <v>46150.625</v>
      </c>
      <c r="E1362">
        <v>7570</v>
      </c>
      <c r="F1362" t="s">
        <v>36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356.6</v>
      </c>
      <c r="N1362">
        <v>1</v>
      </c>
      <c r="O1362">
        <v>374.4</v>
      </c>
      <c r="P1362">
        <v>0</v>
      </c>
      <c r="Q1362">
        <v>0</v>
      </c>
      <c r="R1362">
        <v>0</v>
      </c>
      <c r="S1362">
        <v>0</v>
      </c>
      <c r="T1362">
        <v>0.31659999999999999</v>
      </c>
      <c r="U1362">
        <v>-0.92969999999999997</v>
      </c>
      <c r="V1362">
        <v>5.9999999999999995E-4</v>
      </c>
      <c r="W1362">
        <v>-3.5386000000000002</v>
      </c>
      <c r="X1362">
        <v>1.0374000000000001</v>
      </c>
      <c r="Y1362">
        <v>-0.76390000000000002</v>
      </c>
      <c r="Z1362">
        <v>1</v>
      </c>
      <c r="AA1362">
        <v>358.3</v>
      </c>
      <c r="AB1362">
        <v>2</v>
      </c>
      <c r="AC1362">
        <v>380.4</v>
      </c>
      <c r="AD1362">
        <v>0</v>
      </c>
      <c r="AE1362">
        <v>0</v>
      </c>
      <c r="AF1362">
        <v>0</v>
      </c>
      <c r="AG1362">
        <v>0</v>
      </c>
      <c r="AH1362">
        <v>0</v>
      </c>
    </row>
    <row r="1363" spans="1:34" x14ac:dyDescent="0.35">
      <c r="A1363" t="s">
        <v>34</v>
      </c>
      <c r="B1363" s="1">
        <v>46146.65625</v>
      </c>
      <c r="C1363" t="s">
        <v>34</v>
      </c>
      <c r="D1363" s="1">
        <v>46150.625</v>
      </c>
      <c r="E1363">
        <v>7575</v>
      </c>
      <c r="F1363" t="s">
        <v>36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361.6</v>
      </c>
      <c r="N1363">
        <v>1</v>
      </c>
      <c r="O1363">
        <v>379.4</v>
      </c>
      <c r="P1363">
        <v>0</v>
      </c>
      <c r="Q1363">
        <v>0</v>
      </c>
      <c r="R1363">
        <v>0</v>
      </c>
      <c r="S1363">
        <v>0</v>
      </c>
      <c r="T1363">
        <v>0.31990000000000002</v>
      </c>
      <c r="U1363">
        <v>-0.93030000000000002</v>
      </c>
      <c r="V1363">
        <v>5.9999999999999995E-4</v>
      </c>
      <c r="W1363">
        <v>-3.5482</v>
      </c>
      <c r="X1363">
        <v>1.0306</v>
      </c>
      <c r="Y1363">
        <v>-0.76470000000000005</v>
      </c>
      <c r="Z1363">
        <v>3</v>
      </c>
      <c r="AA1363">
        <v>361.8</v>
      </c>
      <c r="AB1363">
        <v>1</v>
      </c>
      <c r="AC1363">
        <v>380.7</v>
      </c>
      <c r="AD1363">
        <v>0</v>
      </c>
      <c r="AE1363">
        <v>0</v>
      </c>
      <c r="AF1363">
        <v>0</v>
      </c>
      <c r="AG1363">
        <v>0</v>
      </c>
      <c r="AH1363">
        <v>0</v>
      </c>
    </row>
    <row r="1364" spans="1:34" x14ac:dyDescent="0.35">
      <c r="A1364" t="s">
        <v>34</v>
      </c>
      <c r="B1364" s="1">
        <v>46146.65625</v>
      </c>
      <c r="C1364" t="s">
        <v>34</v>
      </c>
      <c r="D1364" s="1">
        <v>46150.625</v>
      </c>
      <c r="E1364">
        <v>7580</v>
      </c>
      <c r="F1364" t="s">
        <v>36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1</v>
      </c>
      <c r="M1364">
        <v>364.8</v>
      </c>
      <c r="N1364">
        <v>1</v>
      </c>
      <c r="O1364">
        <v>385.1</v>
      </c>
      <c r="P1364">
        <v>0</v>
      </c>
      <c r="Q1364">
        <v>0</v>
      </c>
      <c r="R1364">
        <v>0</v>
      </c>
      <c r="S1364">
        <v>0</v>
      </c>
      <c r="T1364">
        <v>0.33</v>
      </c>
      <c r="U1364">
        <v>-0.92659999999999998</v>
      </c>
      <c r="V1364">
        <v>5.9999999999999995E-4</v>
      </c>
      <c r="W1364">
        <v>-3.8393999999999999</v>
      </c>
      <c r="X1364">
        <v>1.0716000000000001</v>
      </c>
      <c r="Y1364">
        <v>-0.76219999999999999</v>
      </c>
      <c r="Z1364">
        <v>2</v>
      </c>
      <c r="AA1364">
        <v>366.8</v>
      </c>
      <c r="AB1364">
        <v>1</v>
      </c>
      <c r="AC1364">
        <v>385.5</v>
      </c>
      <c r="AD1364">
        <v>0</v>
      </c>
      <c r="AE1364">
        <v>0</v>
      </c>
      <c r="AF1364">
        <v>0</v>
      </c>
      <c r="AG1364">
        <v>0</v>
      </c>
      <c r="AH1364">
        <v>0</v>
      </c>
    </row>
    <row r="1365" spans="1:34" x14ac:dyDescent="0.35">
      <c r="A1365" t="s">
        <v>34</v>
      </c>
      <c r="B1365" s="1">
        <v>46146.65625</v>
      </c>
      <c r="C1365" t="s">
        <v>34</v>
      </c>
      <c r="D1365" s="1">
        <v>46150.625</v>
      </c>
      <c r="E1365">
        <v>7590</v>
      </c>
      <c r="F1365" t="s">
        <v>36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1</v>
      </c>
      <c r="M1365">
        <v>374.8</v>
      </c>
      <c r="N1365">
        <v>1</v>
      </c>
      <c r="O1365">
        <v>395.1</v>
      </c>
      <c r="P1365">
        <v>0</v>
      </c>
      <c r="Q1365">
        <v>0</v>
      </c>
      <c r="R1365">
        <v>0</v>
      </c>
      <c r="S1365">
        <v>0</v>
      </c>
      <c r="T1365">
        <v>0.33660000000000001</v>
      </c>
      <c r="U1365">
        <v>-0.92769999999999997</v>
      </c>
      <c r="V1365">
        <v>5.0000000000000001E-4</v>
      </c>
      <c r="W1365">
        <v>-3.8597999999999999</v>
      </c>
      <c r="X1365">
        <v>1.0582</v>
      </c>
      <c r="Y1365">
        <v>-0.76390000000000002</v>
      </c>
      <c r="Z1365">
        <v>2</v>
      </c>
      <c r="AA1365">
        <v>376.8</v>
      </c>
      <c r="AB1365">
        <v>1</v>
      </c>
      <c r="AC1365">
        <v>395.7</v>
      </c>
      <c r="AD1365">
        <v>0</v>
      </c>
      <c r="AE1365">
        <v>0</v>
      </c>
      <c r="AF1365">
        <v>0</v>
      </c>
      <c r="AG1365">
        <v>0</v>
      </c>
      <c r="AH1365">
        <v>0</v>
      </c>
    </row>
    <row r="1366" spans="1:34" x14ac:dyDescent="0.35">
      <c r="A1366" t="s">
        <v>34</v>
      </c>
      <c r="B1366" s="1">
        <v>46146.65625</v>
      </c>
      <c r="C1366" t="s">
        <v>34</v>
      </c>
      <c r="D1366" s="1">
        <v>46150.625</v>
      </c>
      <c r="E1366">
        <v>7600</v>
      </c>
      <c r="F1366" t="s">
        <v>36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1</v>
      </c>
      <c r="M1366">
        <v>386.5</v>
      </c>
      <c r="N1366">
        <v>1</v>
      </c>
      <c r="O1366">
        <v>404.3</v>
      </c>
      <c r="P1366">
        <v>0</v>
      </c>
      <c r="Q1366">
        <v>0</v>
      </c>
      <c r="R1366">
        <v>0</v>
      </c>
      <c r="S1366">
        <v>0</v>
      </c>
      <c r="T1366">
        <v>0.33489999999999998</v>
      </c>
      <c r="U1366">
        <v>-0.93359999999999999</v>
      </c>
      <c r="V1366">
        <v>5.0000000000000001E-4</v>
      </c>
      <c r="W1366">
        <v>-3.5529000000000002</v>
      </c>
      <c r="X1366">
        <v>0.99170000000000003</v>
      </c>
      <c r="Y1366">
        <v>-0.76919999999999999</v>
      </c>
      <c r="Z1366">
        <v>1</v>
      </c>
      <c r="AA1366">
        <v>387.2</v>
      </c>
      <c r="AB1366">
        <v>1</v>
      </c>
      <c r="AC1366">
        <v>405.5</v>
      </c>
      <c r="AD1366">
        <v>0</v>
      </c>
      <c r="AE1366">
        <v>0</v>
      </c>
      <c r="AF1366">
        <v>0</v>
      </c>
      <c r="AG1366">
        <v>0</v>
      </c>
      <c r="AH1366">
        <v>0</v>
      </c>
    </row>
    <row r="1367" spans="1:34" x14ac:dyDescent="0.35">
      <c r="A1367" t="s">
        <v>34</v>
      </c>
      <c r="B1367" s="1">
        <v>46146.65625</v>
      </c>
      <c r="C1367" t="s">
        <v>34</v>
      </c>
      <c r="D1367" s="1">
        <v>46150.625</v>
      </c>
      <c r="E1367">
        <v>7610</v>
      </c>
      <c r="F1367" t="s">
        <v>36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396.3</v>
      </c>
      <c r="N1367">
        <v>1</v>
      </c>
      <c r="O1367">
        <v>414.9</v>
      </c>
      <c r="P1367">
        <v>0</v>
      </c>
      <c r="Q1367">
        <v>0</v>
      </c>
      <c r="R1367">
        <v>0</v>
      </c>
      <c r="S1367">
        <v>0</v>
      </c>
      <c r="T1367">
        <v>0.34749999999999998</v>
      </c>
      <c r="U1367">
        <v>-0.93100000000000005</v>
      </c>
      <c r="V1367">
        <v>5.0000000000000001E-4</v>
      </c>
      <c r="W1367">
        <v>-3.8178000000000001</v>
      </c>
      <c r="X1367">
        <v>1.0198</v>
      </c>
      <c r="Y1367">
        <v>-0.76790000000000003</v>
      </c>
      <c r="Z1367">
        <v>1</v>
      </c>
      <c r="AA1367">
        <v>398.3</v>
      </c>
      <c r="AB1367">
        <v>2</v>
      </c>
      <c r="AC1367">
        <v>420.8</v>
      </c>
      <c r="AD1367">
        <v>0</v>
      </c>
      <c r="AE1367">
        <v>0</v>
      </c>
      <c r="AF1367">
        <v>0</v>
      </c>
      <c r="AG1367">
        <v>0</v>
      </c>
      <c r="AH1367">
        <v>0</v>
      </c>
    </row>
    <row r="1368" spans="1:34" x14ac:dyDescent="0.35">
      <c r="A1368" t="s">
        <v>34</v>
      </c>
      <c r="B1368" s="1">
        <v>46146.65625</v>
      </c>
      <c r="C1368" t="s">
        <v>34</v>
      </c>
      <c r="D1368" s="1">
        <v>46150.625</v>
      </c>
      <c r="E1368">
        <v>7620</v>
      </c>
      <c r="F1368" t="s">
        <v>36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406.5</v>
      </c>
      <c r="N1368">
        <v>1</v>
      </c>
      <c r="O1368">
        <v>424.9</v>
      </c>
      <c r="P1368">
        <v>0</v>
      </c>
      <c r="Q1368">
        <v>0</v>
      </c>
      <c r="R1368">
        <v>0</v>
      </c>
      <c r="S1368">
        <v>0</v>
      </c>
      <c r="T1368">
        <v>0.35399999999999998</v>
      </c>
      <c r="U1368">
        <v>-0.93200000000000005</v>
      </c>
      <c r="V1368">
        <v>5.0000000000000001E-4</v>
      </c>
      <c r="W1368">
        <v>-3.8361000000000001</v>
      </c>
      <c r="X1368">
        <v>1.008</v>
      </c>
      <c r="Y1368">
        <v>-0.76949999999999996</v>
      </c>
      <c r="Z1368">
        <v>1</v>
      </c>
      <c r="AA1368">
        <v>408.3</v>
      </c>
      <c r="AB1368">
        <v>2</v>
      </c>
      <c r="AC1368">
        <v>430.8</v>
      </c>
      <c r="AD1368">
        <v>0</v>
      </c>
      <c r="AE1368">
        <v>0</v>
      </c>
      <c r="AF1368">
        <v>0</v>
      </c>
      <c r="AG1368">
        <v>0</v>
      </c>
      <c r="AH1368">
        <v>0</v>
      </c>
    </row>
    <row r="1369" spans="1:34" x14ac:dyDescent="0.35">
      <c r="A1369" t="s">
        <v>34</v>
      </c>
      <c r="B1369" s="1">
        <v>46146.65625</v>
      </c>
      <c r="C1369" t="s">
        <v>34</v>
      </c>
      <c r="D1369" s="1">
        <v>46150.625</v>
      </c>
      <c r="E1369">
        <v>7625</v>
      </c>
      <c r="F1369" t="s">
        <v>36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411.5</v>
      </c>
      <c r="N1369">
        <v>1</v>
      </c>
      <c r="O1369">
        <v>429.3</v>
      </c>
      <c r="P1369">
        <v>0</v>
      </c>
      <c r="Q1369">
        <v>0</v>
      </c>
      <c r="R1369">
        <v>0</v>
      </c>
      <c r="S1369">
        <v>0</v>
      </c>
      <c r="T1369">
        <v>0.3508</v>
      </c>
      <c r="U1369">
        <v>-0.93610000000000004</v>
      </c>
      <c r="V1369">
        <v>5.0000000000000001E-4</v>
      </c>
      <c r="W1369">
        <v>-3.5958000000000001</v>
      </c>
      <c r="X1369">
        <v>0.96289999999999998</v>
      </c>
      <c r="Y1369">
        <v>-0.77290000000000003</v>
      </c>
      <c r="Z1369">
        <v>1</v>
      </c>
      <c r="AA1369">
        <v>413.3</v>
      </c>
      <c r="AB1369">
        <v>1</v>
      </c>
      <c r="AC1369">
        <v>435.3</v>
      </c>
      <c r="AD1369">
        <v>0</v>
      </c>
      <c r="AE1369">
        <v>0</v>
      </c>
      <c r="AF1369">
        <v>0</v>
      </c>
      <c r="AG1369">
        <v>0</v>
      </c>
      <c r="AH1369">
        <v>0</v>
      </c>
    </row>
    <row r="1370" spans="1:34" x14ac:dyDescent="0.35">
      <c r="A1370" t="s">
        <v>34</v>
      </c>
      <c r="B1370" s="1">
        <v>46146.65625</v>
      </c>
      <c r="C1370" t="s">
        <v>34</v>
      </c>
      <c r="D1370" s="1">
        <v>46150.625</v>
      </c>
      <c r="E1370">
        <v>7630</v>
      </c>
      <c r="F1370" t="s">
        <v>36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414.8</v>
      </c>
      <c r="N1370">
        <v>1</v>
      </c>
      <c r="O1370">
        <v>434.9</v>
      </c>
      <c r="P1370">
        <v>0</v>
      </c>
      <c r="Q1370">
        <v>0</v>
      </c>
      <c r="R1370">
        <v>0</v>
      </c>
      <c r="S1370">
        <v>0</v>
      </c>
      <c r="T1370">
        <v>0.36030000000000001</v>
      </c>
      <c r="U1370">
        <v>-0.93300000000000005</v>
      </c>
      <c r="V1370">
        <v>5.0000000000000001E-4</v>
      </c>
      <c r="W1370">
        <v>-3.8540999999999999</v>
      </c>
      <c r="X1370">
        <v>0.99650000000000005</v>
      </c>
      <c r="Y1370">
        <v>-0.77100000000000002</v>
      </c>
      <c r="Z1370">
        <v>1</v>
      </c>
      <c r="AA1370">
        <v>418.3</v>
      </c>
      <c r="AB1370">
        <v>2</v>
      </c>
      <c r="AC1370">
        <v>440.8</v>
      </c>
      <c r="AD1370">
        <v>0</v>
      </c>
      <c r="AE1370">
        <v>0</v>
      </c>
      <c r="AF1370">
        <v>0</v>
      </c>
      <c r="AG1370">
        <v>0</v>
      </c>
      <c r="AH1370">
        <v>0</v>
      </c>
    </row>
    <row r="1371" spans="1:34" x14ac:dyDescent="0.35">
      <c r="A1371" t="s">
        <v>34</v>
      </c>
      <c r="B1371" s="1">
        <v>46146.65625</v>
      </c>
      <c r="C1371" t="s">
        <v>34</v>
      </c>
      <c r="D1371" s="1">
        <v>46150.625</v>
      </c>
      <c r="E1371">
        <v>7640</v>
      </c>
      <c r="F1371" t="s">
        <v>36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1</v>
      </c>
      <c r="M1371">
        <v>426.5</v>
      </c>
      <c r="N1371">
        <v>1</v>
      </c>
      <c r="O1371">
        <v>444.9</v>
      </c>
      <c r="P1371">
        <v>0</v>
      </c>
      <c r="Q1371">
        <v>0</v>
      </c>
      <c r="R1371">
        <v>0</v>
      </c>
      <c r="S1371">
        <v>0</v>
      </c>
      <c r="T1371">
        <v>0.36670000000000003</v>
      </c>
      <c r="U1371">
        <v>-0.93389999999999995</v>
      </c>
      <c r="V1371">
        <v>5.0000000000000001E-4</v>
      </c>
      <c r="W1371">
        <v>-3.8717999999999999</v>
      </c>
      <c r="X1371">
        <v>0.98550000000000004</v>
      </c>
      <c r="Y1371">
        <v>-0.77239999999999998</v>
      </c>
      <c r="Z1371">
        <v>1</v>
      </c>
      <c r="AA1371">
        <v>428.3</v>
      </c>
      <c r="AB1371">
        <v>2</v>
      </c>
      <c r="AC1371">
        <v>450.8</v>
      </c>
      <c r="AD1371">
        <v>0</v>
      </c>
      <c r="AE1371">
        <v>0</v>
      </c>
      <c r="AF1371">
        <v>0</v>
      </c>
      <c r="AG1371">
        <v>0</v>
      </c>
      <c r="AH1371">
        <v>0</v>
      </c>
    </row>
    <row r="1372" spans="1:34" x14ac:dyDescent="0.35">
      <c r="A1372" t="s">
        <v>34</v>
      </c>
      <c r="B1372" s="1">
        <v>46146.65625</v>
      </c>
      <c r="C1372" t="s">
        <v>34</v>
      </c>
      <c r="D1372" s="1">
        <v>46150.625</v>
      </c>
      <c r="E1372">
        <v>7650</v>
      </c>
      <c r="F1372" t="s">
        <v>36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434.8</v>
      </c>
      <c r="N1372">
        <v>1</v>
      </c>
      <c r="O1372">
        <v>454.2</v>
      </c>
      <c r="P1372">
        <v>0</v>
      </c>
      <c r="Q1372">
        <v>0</v>
      </c>
      <c r="R1372">
        <v>0</v>
      </c>
      <c r="S1372">
        <v>0</v>
      </c>
      <c r="T1372">
        <v>0.36549999999999999</v>
      </c>
      <c r="U1372">
        <v>-0.93889999999999996</v>
      </c>
      <c r="V1372">
        <v>4.0000000000000002E-4</v>
      </c>
      <c r="W1372">
        <v>-3.5937000000000001</v>
      </c>
      <c r="X1372">
        <v>0.92969999999999997</v>
      </c>
      <c r="Y1372">
        <v>-0.77690000000000003</v>
      </c>
      <c r="Z1372">
        <v>1</v>
      </c>
      <c r="AA1372">
        <v>437.6</v>
      </c>
      <c r="AB1372">
        <v>1</v>
      </c>
      <c r="AC1372">
        <v>460.5</v>
      </c>
      <c r="AD1372">
        <v>0</v>
      </c>
      <c r="AE1372">
        <v>0</v>
      </c>
      <c r="AF1372">
        <v>0</v>
      </c>
      <c r="AG1372">
        <v>0</v>
      </c>
      <c r="AH1372">
        <v>0</v>
      </c>
    </row>
    <row r="1373" spans="1:34" x14ac:dyDescent="0.35">
      <c r="A1373" t="s">
        <v>34</v>
      </c>
      <c r="B1373" s="1">
        <v>46146.65625</v>
      </c>
      <c r="C1373" t="s">
        <v>34</v>
      </c>
      <c r="D1373" s="1">
        <v>46150.625</v>
      </c>
      <c r="E1373">
        <v>7660</v>
      </c>
      <c r="F1373" t="s">
        <v>36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444.8</v>
      </c>
      <c r="N1373">
        <v>1</v>
      </c>
      <c r="O1373">
        <v>465.2</v>
      </c>
      <c r="P1373">
        <v>0</v>
      </c>
      <c r="Q1373">
        <v>0</v>
      </c>
      <c r="R1373">
        <v>0</v>
      </c>
      <c r="S1373">
        <v>0</v>
      </c>
      <c r="T1373">
        <v>0.38250000000000001</v>
      </c>
      <c r="U1373">
        <v>-0.93410000000000004</v>
      </c>
      <c r="V1373">
        <v>4.0000000000000002E-4</v>
      </c>
      <c r="W1373">
        <v>-4.0312000000000001</v>
      </c>
      <c r="X1373">
        <v>0.98299999999999998</v>
      </c>
      <c r="Y1373">
        <v>-0.77400000000000002</v>
      </c>
      <c r="Z1373">
        <v>2</v>
      </c>
      <c r="AA1373">
        <v>446.8</v>
      </c>
      <c r="AB1373">
        <v>1</v>
      </c>
      <c r="AC1373">
        <v>465.3</v>
      </c>
      <c r="AD1373">
        <v>0</v>
      </c>
      <c r="AE1373">
        <v>0</v>
      </c>
      <c r="AF1373">
        <v>0</v>
      </c>
      <c r="AG1373">
        <v>0</v>
      </c>
      <c r="AH1373">
        <v>0</v>
      </c>
    </row>
    <row r="1374" spans="1:34" x14ac:dyDescent="0.35">
      <c r="A1374" t="s">
        <v>34</v>
      </c>
      <c r="B1374" s="1">
        <v>46146.65625</v>
      </c>
      <c r="C1374" t="s">
        <v>34</v>
      </c>
      <c r="D1374" s="1">
        <v>46150.625</v>
      </c>
      <c r="E1374">
        <v>7675</v>
      </c>
      <c r="F1374" t="s">
        <v>36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459.7</v>
      </c>
      <c r="N1374">
        <v>1</v>
      </c>
      <c r="O1374">
        <v>479.3</v>
      </c>
      <c r="P1374">
        <v>0</v>
      </c>
      <c r="Q1374">
        <v>0</v>
      </c>
      <c r="R1374">
        <v>0</v>
      </c>
      <c r="S1374">
        <v>0</v>
      </c>
      <c r="T1374">
        <v>0.3821</v>
      </c>
      <c r="U1374">
        <v>-0.94030000000000002</v>
      </c>
      <c r="V1374">
        <v>4.0000000000000002E-4</v>
      </c>
      <c r="W1374">
        <v>-3.6745000000000001</v>
      </c>
      <c r="X1374">
        <v>0.91169999999999995</v>
      </c>
      <c r="Y1374">
        <v>-0.77990000000000004</v>
      </c>
      <c r="Z1374">
        <v>1</v>
      </c>
      <c r="AA1374">
        <v>462.2</v>
      </c>
      <c r="AB1374">
        <v>1</v>
      </c>
      <c r="AC1374">
        <v>480.7</v>
      </c>
      <c r="AD1374">
        <v>0</v>
      </c>
      <c r="AE1374">
        <v>0</v>
      </c>
      <c r="AF1374">
        <v>0</v>
      </c>
      <c r="AG1374">
        <v>0</v>
      </c>
      <c r="AH1374">
        <v>0</v>
      </c>
    </row>
    <row r="1375" spans="1:34" x14ac:dyDescent="0.35">
      <c r="A1375" t="s">
        <v>34</v>
      </c>
      <c r="B1375" s="1">
        <v>46146.65625</v>
      </c>
      <c r="C1375" t="s">
        <v>34</v>
      </c>
      <c r="D1375" s="1">
        <v>46150.625</v>
      </c>
      <c r="E1375">
        <v>7700</v>
      </c>
      <c r="F1375" t="s">
        <v>36</v>
      </c>
      <c r="G1375">
        <v>496.24</v>
      </c>
      <c r="H1375">
        <v>496.24</v>
      </c>
      <c r="I1375">
        <v>496.24</v>
      </c>
      <c r="J1375">
        <v>496.24</v>
      </c>
      <c r="K1375">
        <v>1</v>
      </c>
      <c r="L1375">
        <v>1</v>
      </c>
      <c r="M1375">
        <v>484.7</v>
      </c>
      <c r="N1375">
        <v>1</v>
      </c>
      <c r="O1375">
        <v>504.3</v>
      </c>
      <c r="P1375">
        <v>0</v>
      </c>
      <c r="Q1375">
        <v>0</v>
      </c>
      <c r="R1375">
        <v>0</v>
      </c>
      <c r="S1375">
        <v>0</v>
      </c>
      <c r="T1375">
        <v>0.39750000000000002</v>
      </c>
      <c r="U1375">
        <v>-0.94210000000000005</v>
      </c>
      <c r="V1375">
        <v>4.0000000000000002E-4</v>
      </c>
      <c r="W1375">
        <v>-3.7111000000000001</v>
      </c>
      <c r="X1375">
        <v>0.88870000000000005</v>
      </c>
      <c r="Y1375">
        <v>-0.7833</v>
      </c>
      <c r="Z1375">
        <v>1</v>
      </c>
      <c r="AA1375">
        <v>488.2</v>
      </c>
      <c r="AB1375">
        <v>1</v>
      </c>
      <c r="AC1375">
        <v>510.3</v>
      </c>
      <c r="AD1375">
        <v>0</v>
      </c>
      <c r="AE1375">
        <v>0</v>
      </c>
      <c r="AF1375">
        <v>496.24</v>
      </c>
      <c r="AG1375">
        <v>0</v>
      </c>
      <c r="AH1375">
        <v>0</v>
      </c>
    </row>
    <row r="1376" spans="1:34" x14ac:dyDescent="0.35">
      <c r="A1376" t="s">
        <v>34</v>
      </c>
      <c r="B1376" s="1">
        <v>46146.65625</v>
      </c>
      <c r="C1376" t="s">
        <v>34</v>
      </c>
      <c r="D1376" s="1">
        <v>46150.625</v>
      </c>
      <c r="E1376">
        <v>7725</v>
      </c>
      <c r="F1376" t="s">
        <v>36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1</v>
      </c>
      <c r="M1376">
        <v>511.2</v>
      </c>
      <c r="N1376">
        <v>1</v>
      </c>
      <c r="O1376">
        <v>529.1</v>
      </c>
      <c r="P1376">
        <v>0</v>
      </c>
      <c r="Q1376">
        <v>0</v>
      </c>
      <c r="R1376">
        <v>0</v>
      </c>
      <c r="S1376">
        <v>0</v>
      </c>
      <c r="T1376">
        <v>0.4103</v>
      </c>
      <c r="U1376">
        <v>-0.94489999999999996</v>
      </c>
      <c r="V1376">
        <v>4.0000000000000002E-4</v>
      </c>
      <c r="W1376">
        <v>-3.6575000000000002</v>
      </c>
      <c r="X1376">
        <v>0.85409999999999997</v>
      </c>
      <c r="Y1376">
        <v>-0.7873</v>
      </c>
      <c r="Z1376">
        <v>1</v>
      </c>
      <c r="AA1376">
        <v>512.4</v>
      </c>
      <c r="AB1376">
        <v>1</v>
      </c>
      <c r="AC1376">
        <v>535</v>
      </c>
      <c r="AD1376">
        <v>0</v>
      </c>
      <c r="AE1376">
        <v>0</v>
      </c>
      <c r="AF1376">
        <v>0</v>
      </c>
      <c r="AG1376">
        <v>0</v>
      </c>
      <c r="AH1376">
        <v>0</v>
      </c>
    </row>
    <row r="1377" spans="1:34" x14ac:dyDescent="0.35">
      <c r="A1377" t="s">
        <v>34</v>
      </c>
      <c r="B1377" s="1">
        <v>46146.65625</v>
      </c>
      <c r="C1377" t="s">
        <v>34</v>
      </c>
      <c r="D1377" s="1">
        <v>46150.625</v>
      </c>
      <c r="E1377">
        <v>7750</v>
      </c>
      <c r="F1377" t="s">
        <v>36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1</v>
      </c>
      <c r="M1377">
        <v>534.70000000000005</v>
      </c>
      <c r="N1377">
        <v>1</v>
      </c>
      <c r="O1377">
        <v>554.20000000000005</v>
      </c>
      <c r="P1377">
        <v>0</v>
      </c>
      <c r="Q1377">
        <v>0</v>
      </c>
      <c r="R1377">
        <v>0</v>
      </c>
      <c r="S1377">
        <v>0</v>
      </c>
      <c r="T1377">
        <v>0.42659999999999998</v>
      </c>
      <c r="U1377">
        <v>-0.94599999999999995</v>
      </c>
      <c r="V1377">
        <v>2.9999999999999997E-4</v>
      </c>
      <c r="W1377">
        <v>-3.7345000000000002</v>
      </c>
      <c r="X1377">
        <v>0.84040000000000004</v>
      </c>
      <c r="Y1377">
        <v>-0.79</v>
      </c>
      <c r="Z1377">
        <v>1</v>
      </c>
      <c r="AA1377">
        <v>538.20000000000005</v>
      </c>
      <c r="AB1377">
        <v>1</v>
      </c>
      <c r="AC1377">
        <v>560.20000000000005</v>
      </c>
      <c r="AD1377">
        <v>0</v>
      </c>
      <c r="AE1377">
        <v>0</v>
      </c>
      <c r="AF1377">
        <v>0</v>
      </c>
      <c r="AG1377">
        <v>0</v>
      </c>
      <c r="AH1377">
        <v>0</v>
      </c>
    </row>
    <row r="1378" spans="1:34" x14ac:dyDescent="0.35">
      <c r="A1378" t="s">
        <v>34</v>
      </c>
      <c r="B1378" s="1">
        <v>46146.65625</v>
      </c>
      <c r="C1378" t="s">
        <v>34</v>
      </c>
      <c r="D1378" s="1">
        <v>46150.625</v>
      </c>
      <c r="E1378">
        <v>7775</v>
      </c>
      <c r="F1378" t="s">
        <v>36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1</v>
      </c>
      <c r="M1378">
        <v>559.70000000000005</v>
      </c>
      <c r="N1378">
        <v>1</v>
      </c>
      <c r="O1378">
        <v>579.20000000000005</v>
      </c>
      <c r="P1378">
        <v>0</v>
      </c>
      <c r="Q1378">
        <v>0</v>
      </c>
      <c r="R1378">
        <v>0</v>
      </c>
      <c r="S1378">
        <v>0</v>
      </c>
      <c r="T1378">
        <v>0.4415</v>
      </c>
      <c r="U1378">
        <v>-0.94740000000000002</v>
      </c>
      <c r="V1378">
        <v>2.9999999999999997E-4</v>
      </c>
      <c r="W1378">
        <v>-3.7658</v>
      </c>
      <c r="X1378">
        <v>0.82140000000000002</v>
      </c>
      <c r="Y1378">
        <v>-0.79300000000000004</v>
      </c>
      <c r="Z1378">
        <v>1</v>
      </c>
      <c r="AA1378">
        <v>562.1</v>
      </c>
      <c r="AB1378">
        <v>1</v>
      </c>
      <c r="AC1378">
        <v>580.29999999999995</v>
      </c>
      <c r="AD1378">
        <v>0</v>
      </c>
      <c r="AE1378">
        <v>0</v>
      </c>
      <c r="AF1378">
        <v>0</v>
      </c>
      <c r="AG1378">
        <v>0</v>
      </c>
      <c r="AH1378">
        <v>0</v>
      </c>
    </row>
    <row r="1379" spans="1:34" x14ac:dyDescent="0.35">
      <c r="A1379" t="s">
        <v>34</v>
      </c>
      <c r="B1379" s="1">
        <v>46146.65625</v>
      </c>
      <c r="C1379" t="s">
        <v>34</v>
      </c>
      <c r="D1379" s="1">
        <v>46150.625</v>
      </c>
      <c r="E1379">
        <v>7800</v>
      </c>
      <c r="F1379" t="s">
        <v>36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586.4</v>
      </c>
      <c r="N1379">
        <v>1</v>
      </c>
      <c r="O1379">
        <v>604.20000000000005</v>
      </c>
      <c r="P1379">
        <v>0</v>
      </c>
      <c r="Q1379">
        <v>0</v>
      </c>
      <c r="R1379">
        <v>0</v>
      </c>
      <c r="S1379">
        <v>0</v>
      </c>
      <c r="T1379">
        <v>0.45629999999999998</v>
      </c>
      <c r="U1379">
        <v>-0.94879999999999998</v>
      </c>
      <c r="V1379">
        <v>2.9999999999999997E-4</v>
      </c>
      <c r="W1379">
        <v>-3.7957999999999998</v>
      </c>
      <c r="X1379">
        <v>0.80359999999999998</v>
      </c>
      <c r="Y1379">
        <v>-0.79600000000000004</v>
      </c>
      <c r="Z1379">
        <v>3</v>
      </c>
      <c r="AA1379">
        <v>586.70000000000005</v>
      </c>
      <c r="AB1379">
        <v>1</v>
      </c>
      <c r="AC1379">
        <v>605.29999999999995</v>
      </c>
      <c r="AD1379">
        <v>0</v>
      </c>
      <c r="AE1379">
        <v>0</v>
      </c>
      <c r="AF1379">
        <v>0</v>
      </c>
      <c r="AG1379">
        <v>1</v>
      </c>
      <c r="AH1379">
        <v>0</v>
      </c>
    </row>
    <row r="1380" spans="1:34" x14ac:dyDescent="0.35">
      <c r="A1380" t="s">
        <v>34</v>
      </c>
      <c r="B1380" s="1">
        <v>46146.65625</v>
      </c>
      <c r="C1380" t="s">
        <v>34</v>
      </c>
      <c r="D1380" s="1">
        <v>46150.625</v>
      </c>
      <c r="E1380">
        <v>7825</v>
      </c>
      <c r="F1380" t="s">
        <v>36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611.4</v>
      </c>
      <c r="N1380">
        <v>1</v>
      </c>
      <c r="O1380">
        <v>629.20000000000005</v>
      </c>
      <c r="P1380">
        <v>0</v>
      </c>
      <c r="Q1380">
        <v>0</v>
      </c>
      <c r="R1380">
        <v>0</v>
      </c>
      <c r="S1380">
        <v>0</v>
      </c>
      <c r="T1380">
        <v>0.47089999999999999</v>
      </c>
      <c r="U1380">
        <v>-0.95</v>
      </c>
      <c r="V1380">
        <v>2.9999999999999997E-4</v>
      </c>
      <c r="W1380">
        <v>-3.8247</v>
      </c>
      <c r="X1380">
        <v>0.78700000000000003</v>
      </c>
      <c r="Y1380">
        <v>-0.79879999999999995</v>
      </c>
      <c r="Z1380">
        <v>1</v>
      </c>
      <c r="AA1380">
        <v>613.1</v>
      </c>
      <c r="AB1380">
        <v>1</v>
      </c>
      <c r="AC1380">
        <v>635.20000000000005</v>
      </c>
      <c r="AD1380">
        <v>0</v>
      </c>
      <c r="AE1380">
        <v>0</v>
      </c>
      <c r="AF1380">
        <v>0</v>
      </c>
      <c r="AG1380">
        <v>0</v>
      </c>
      <c r="AH1380">
        <v>0</v>
      </c>
    </row>
    <row r="1381" spans="1:34" x14ac:dyDescent="0.35">
      <c r="A1381" t="s">
        <v>34</v>
      </c>
      <c r="B1381" s="1">
        <v>46146.65625</v>
      </c>
      <c r="C1381" t="s">
        <v>34</v>
      </c>
      <c r="D1381" s="1">
        <v>46150.625</v>
      </c>
      <c r="E1381">
        <v>7850</v>
      </c>
      <c r="F1381" t="s">
        <v>36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635.79999999999995</v>
      </c>
      <c r="N1381">
        <v>1</v>
      </c>
      <c r="O1381">
        <v>654.20000000000005</v>
      </c>
      <c r="P1381">
        <v>0</v>
      </c>
      <c r="Q1381">
        <v>0</v>
      </c>
      <c r="R1381">
        <v>0</v>
      </c>
      <c r="S1381">
        <v>0</v>
      </c>
      <c r="T1381">
        <v>0.4854</v>
      </c>
      <c r="U1381">
        <v>-0.95120000000000005</v>
      </c>
      <c r="V1381">
        <v>2.9999999999999997E-4</v>
      </c>
      <c r="W1381">
        <v>-3.8525</v>
      </c>
      <c r="X1381">
        <v>0.77139999999999997</v>
      </c>
      <c r="Y1381">
        <v>-0.80159999999999998</v>
      </c>
      <c r="Z1381">
        <v>3</v>
      </c>
      <c r="AA1381">
        <v>636.6</v>
      </c>
      <c r="AB1381">
        <v>1</v>
      </c>
      <c r="AC1381">
        <v>655.5</v>
      </c>
      <c r="AD1381">
        <v>0</v>
      </c>
      <c r="AE1381">
        <v>0</v>
      </c>
      <c r="AF1381">
        <v>0</v>
      </c>
      <c r="AG1381">
        <v>0</v>
      </c>
      <c r="AH1381">
        <v>0</v>
      </c>
    </row>
    <row r="1382" spans="1:34" x14ac:dyDescent="0.35">
      <c r="A1382" t="s">
        <v>34</v>
      </c>
      <c r="B1382" s="1">
        <v>46146.65625</v>
      </c>
      <c r="C1382" t="s">
        <v>34</v>
      </c>
      <c r="D1382" s="1">
        <v>46150.625</v>
      </c>
      <c r="E1382">
        <v>7875</v>
      </c>
      <c r="F1382" t="s">
        <v>36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661.3</v>
      </c>
      <c r="N1382">
        <v>1</v>
      </c>
      <c r="O1382">
        <v>679.7</v>
      </c>
      <c r="P1382">
        <v>0</v>
      </c>
      <c r="Q1382">
        <v>0</v>
      </c>
      <c r="R1382">
        <v>0</v>
      </c>
      <c r="S1382">
        <v>0</v>
      </c>
      <c r="T1382">
        <v>0.50649999999999995</v>
      </c>
      <c r="U1382">
        <v>-0.95009999999999994</v>
      </c>
      <c r="V1382">
        <v>2.9999999999999997E-4</v>
      </c>
      <c r="W1382">
        <v>-4.1109</v>
      </c>
      <c r="X1382">
        <v>0.7853</v>
      </c>
      <c r="Y1382">
        <v>-0.80259999999999998</v>
      </c>
      <c r="Z1382">
        <v>1</v>
      </c>
      <c r="AA1382">
        <v>663.1</v>
      </c>
      <c r="AB1382">
        <v>1</v>
      </c>
      <c r="AC1382">
        <v>685.2</v>
      </c>
      <c r="AD1382">
        <v>0</v>
      </c>
      <c r="AE1382">
        <v>0</v>
      </c>
      <c r="AF1382">
        <v>0</v>
      </c>
      <c r="AG1382">
        <v>0</v>
      </c>
      <c r="AH1382">
        <v>0</v>
      </c>
    </row>
    <row r="1383" spans="1:34" x14ac:dyDescent="0.35">
      <c r="A1383" t="s">
        <v>34</v>
      </c>
      <c r="B1383" s="1">
        <v>46146.65625</v>
      </c>
      <c r="C1383" t="s">
        <v>34</v>
      </c>
      <c r="D1383" s="1">
        <v>46150.625</v>
      </c>
      <c r="E1383">
        <v>7900</v>
      </c>
      <c r="F1383" t="s">
        <v>36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684.6</v>
      </c>
      <c r="N1383">
        <v>1</v>
      </c>
      <c r="O1383">
        <v>704.1</v>
      </c>
      <c r="P1383">
        <v>0</v>
      </c>
      <c r="Q1383">
        <v>0</v>
      </c>
      <c r="R1383">
        <v>0</v>
      </c>
      <c r="S1383">
        <v>0</v>
      </c>
      <c r="T1383">
        <v>0.51270000000000004</v>
      </c>
      <c r="U1383">
        <v>-0.95389999999999997</v>
      </c>
      <c r="V1383">
        <v>2.9999999999999997E-4</v>
      </c>
      <c r="W1383">
        <v>-3.8582000000000001</v>
      </c>
      <c r="X1383">
        <v>0.73740000000000006</v>
      </c>
      <c r="Y1383">
        <v>-0.80740000000000001</v>
      </c>
      <c r="Z1383">
        <v>3</v>
      </c>
      <c r="AA1383">
        <v>686.6</v>
      </c>
      <c r="AB1383">
        <v>1</v>
      </c>
      <c r="AC1383">
        <v>705.5</v>
      </c>
      <c r="AD1383">
        <v>0</v>
      </c>
      <c r="AE1383">
        <v>0</v>
      </c>
      <c r="AF1383">
        <v>0</v>
      </c>
      <c r="AG1383">
        <v>0</v>
      </c>
      <c r="AH1383">
        <v>0</v>
      </c>
    </row>
    <row r="1384" spans="1:34" x14ac:dyDescent="0.35">
      <c r="A1384" t="s">
        <v>34</v>
      </c>
      <c r="B1384" s="1">
        <v>46146.65625</v>
      </c>
      <c r="C1384" t="s">
        <v>34</v>
      </c>
      <c r="D1384" s="1">
        <v>46150.625</v>
      </c>
      <c r="E1384">
        <v>7925</v>
      </c>
      <c r="F1384" t="s">
        <v>36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1</v>
      </c>
      <c r="M1384">
        <v>711.3</v>
      </c>
      <c r="N1384">
        <v>1</v>
      </c>
      <c r="O1384">
        <v>730.3</v>
      </c>
      <c r="P1384">
        <v>0</v>
      </c>
      <c r="Q1384">
        <v>0</v>
      </c>
      <c r="R1384">
        <v>0</v>
      </c>
      <c r="S1384">
        <v>0</v>
      </c>
      <c r="T1384">
        <v>0.54320000000000002</v>
      </c>
      <c r="U1384">
        <v>-0.9496</v>
      </c>
      <c r="V1384">
        <v>2.9999999999999997E-4</v>
      </c>
      <c r="W1384">
        <v>-4.4429999999999996</v>
      </c>
      <c r="X1384">
        <v>0.78939999999999999</v>
      </c>
      <c r="Y1384">
        <v>-0.80600000000000005</v>
      </c>
      <c r="Z1384">
        <v>2</v>
      </c>
      <c r="AA1384">
        <v>711.6</v>
      </c>
      <c r="AB1384">
        <v>1</v>
      </c>
      <c r="AC1384">
        <v>730.5</v>
      </c>
      <c r="AD1384">
        <v>0</v>
      </c>
      <c r="AE1384">
        <v>0</v>
      </c>
      <c r="AF1384">
        <v>0</v>
      </c>
      <c r="AG1384">
        <v>0</v>
      </c>
      <c r="AH1384">
        <v>0</v>
      </c>
    </row>
    <row r="1385" spans="1:34" x14ac:dyDescent="0.35">
      <c r="A1385" t="s">
        <v>34</v>
      </c>
      <c r="B1385" s="1">
        <v>46146.65625</v>
      </c>
      <c r="C1385" t="s">
        <v>34</v>
      </c>
      <c r="D1385" s="1">
        <v>46150.625</v>
      </c>
      <c r="E1385">
        <v>7950</v>
      </c>
      <c r="F1385" t="s">
        <v>36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736.3</v>
      </c>
      <c r="N1385">
        <v>1</v>
      </c>
      <c r="O1385">
        <v>754.7</v>
      </c>
      <c r="P1385">
        <v>0</v>
      </c>
      <c r="Q1385">
        <v>0</v>
      </c>
      <c r="R1385">
        <v>0</v>
      </c>
      <c r="S1385">
        <v>0</v>
      </c>
      <c r="T1385">
        <v>0.5494</v>
      </c>
      <c r="U1385">
        <v>-0.95320000000000005</v>
      </c>
      <c r="V1385">
        <v>2.0000000000000001E-4</v>
      </c>
      <c r="W1385">
        <v>-4.1913</v>
      </c>
      <c r="X1385">
        <v>0.74480000000000002</v>
      </c>
      <c r="Y1385">
        <v>-0.81059999999999999</v>
      </c>
      <c r="Z1385">
        <v>1</v>
      </c>
      <c r="AA1385">
        <v>738</v>
      </c>
      <c r="AB1385">
        <v>1</v>
      </c>
      <c r="AC1385">
        <v>760.3</v>
      </c>
      <c r="AD1385">
        <v>0</v>
      </c>
      <c r="AE1385">
        <v>0</v>
      </c>
      <c r="AF1385">
        <v>0</v>
      </c>
      <c r="AG1385">
        <v>0</v>
      </c>
      <c r="AH1385">
        <v>0</v>
      </c>
    </row>
    <row r="1386" spans="1:34" x14ac:dyDescent="0.35">
      <c r="A1386" t="s">
        <v>34</v>
      </c>
      <c r="B1386" s="1">
        <v>46146.65625</v>
      </c>
      <c r="C1386" t="s">
        <v>34</v>
      </c>
      <c r="D1386" s="1">
        <v>46150.625</v>
      </c>
      <c r="E1386">
        <v>8000</v>
      </c>
      <c r="F1386" t="s">
        <v>36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784.5</v>
      </c>
      <c r="N1386">
        <v>1</v>
      </c>
      <c r="O1386">
        <v>804.1</v>
      </c>
      <c r="P1386">
        <v>0</v>
      </c>
      <c r="Q1386">
        <v>0</v>
      </c>
      <c r="R1386">
        <v>0</v>
      </c>
      <c r="S1386">
        <v>0</v>
      </c>
      <c r="T1386">
        <v>0.56879999999999997</v>
      </c>
      <c r="U1386">
        <v>-0.95750000000000002</v>
      </c>
      <c r="V1386">
        <v>2.0000000000000001E-4</v>
      </c>
      <c r="W1386">
        <v>-3.9529999999999998</v>
      </c>
      <c r="X1386">
        <v>0.6895</v>
      </c>
      <c r="Y1386">
        <v>-0.81759999999999999</v>
      </c>
      <c r="Z1386">
        <v>1</v>
      </c>
      <c r="AA1386">
        <v>786.9</v>
      </c>
      <c r="AB1386">
        <v>1</v>
      </c>
      <c r="AC1386">
        <v>805.5</v>
      </c>
      <c r="AD1386">
        <v>0</v>
      </c>
      <c r="AE1386">
        <v>0</v>
      </c>
      <c r="AF1386">
        <v>0</v>
      </c>
      <c r="AG1386">
        <v>0</v>
      </c>
      <c r="AH1386">
        <v>0</v>
      </c>
    </row>
    <row r="1387" spans="1:34" x14ac:dyDescent="0.35">
      <c r="A1387" t="s">
        <v>34</v>
      </c>
      <c r="B1387" s="1">
        <v>46146.65625</v>
      </c>
      <c r="C1387" t="s">
        <v>34</v>
      </c>
      <c r="D1387" s="1">
        <v>46150.625</v>
      </c>
      <c r="E1387">
        <v>8100</v>
      </c>
      <c r="F1387" t="s">
        <v>36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886.2</v>
      </c>
      <c r="N1387">
        <v>1</v>
      </c>
      <c r="O1387">
        <v>904</v>
      </c>
      <c r="P1387">
        <v>0</v>
      </c>
      <c r="Q1387">
        <v>0</v>
      </c>
      <c r="R1387">
        <v>0</v>
      </c>
      <c r="S1387">
        <v>0</v>
      </c>
      <c r="T1387">
        <v>0.62170000000000003</v>
      </c>
      <c r="U1387">
        <v>-0.96079999999999999</v>
      </c>
      <c r="V1387">
        <v>2.0000000000000001E-4</v>
      </c>
      <c r="W1387">
        <v>-3.9883000000000002</v>
      </c>
      <c r="X1387">
        <v>0.64390000000000003</v>
      </c>
      <c r="Y1387">
        <v>-0.82769999999999999</v>
      </c>
      <c r="Z1387">
        <v>1</v>
      </c>
      <c r="AA1387">
        <v>887.9</v>
      </c>
      <c r="AB1387">
        <v>1</v>
      </c>
      <c r="AC1387">
        <v>910.2</v>
      </c>
      <c r="AD1387">
        <v>0</v>
      </c>
      <c r="AE1387">
        <v>0</v>
      </c>
      <c r="AF1387">
        <v>0</v>
      </c>
      <c r="AG1387">
        <v>0</v>
      </c>
      <c r="AH1387">
        <v>0</v>
      </c>
    </row>
    <row r="1388" spans="1:34" x14ac:dyDescent="0.35">
      <c r="A1388" t="s">
        <v>34</v>
      </c>
      <c r="B1388" s="1">
        <v>46146.65625</v>
      </c>
      <c r="C1388" t="s">
        <v>34</v>
      </c>
      <c r="D1388" s="1">
        <v>46150.625</v>
      </c>
      <c r="E1388">
        <v>8200</v>
      </c>
      <c r="F1388" t="s">
        <v>36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985.1</v>
      </c>
      <c r="N1388">
        <v>1</v>
      </c>
      <c r="O1388">
        <v>1003.9</v>
      </c>
      <c r="P1388">
        <v>0</v>
      </c>
      <c r="Q1388">
        <v>0</v>
      </c>
      <c r="R1388">
        <v>0</v>
      </c>
      <c r="S1388">
        <v>0</v>
      </c>
      <c r="T1388">
        <v>0.67300000000000004</v>
      </c>
      <c r="U1388">
        <v>-0.96360000000000001</v>
      </c>
      <c r="V1388">
        <v>2.0000000000000001E-4</v>
      </c>
      <c r="W1388">
        <v>-4.0134999999999996</v>
      </c>
      <c r="X1388">
        <v>0.60470000000000002</v>
      </c>
      <c r="Y1388">
        <v>-0.83730000000000004</v>
      </c>
      <c r="Z1388">
        <v>1</v>
      </c>
      <c r="AA1388">
        <v>986.8</v>
      </c>
      <c r="AB1388">
        <v>1</v>
      </c>
      <c r="AC1388">
        <v>1005.4</v>
      </c>
      <c r="AD1388">
        <v>0</v>
      </c>
      <c r="AE1388">
        <v>0</v>
      </c>
      <c r="AF1388">
        <v>0</v>
      </c>
      <c r="AG1388">
        <v>0</v>
      </c>
      <c r="AH1388">
        <v>0</v>
      </c>
    </row>
    <row r="1389" spans="1:34" x14ac:dyDescent="0.35">
      <c r="A1389" t="s">
        <v>34</v>
      </c>
      <c r="B1389" s="1">
        <v>46146.65625</v>
      </c>
      <c r="C1389" t="s">
        <v>34</v>
      </c>
      <c r="D1389" s="1">
        <v>46150.625</v>
      </c>
      <c r="E1389">
        <v>8400</v>
      </c>
      <c r="F1389" t="s">
        <v>36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1185.7</v>
      </c>
      <c r="N1389">
        <v>1</v>
      </c>
      <c r="O1389">
        <v>1205.2</v>
      </c>
      <c r="P1389">
        <v>0</v>
      </c>
      <c r="Q1389">
        <v>0</v>
      </c>
      <c r="R1389">
        <v>0</v>
      </c>
      <c r="S1389">
        <v>0</v>
      </c>
      <c r="T1389">
        <v>0.77329999999999999</v>
      </c>
      <c r="U1389">
        <v>-0.96760000000000002</v>
      </c>
      <c r="V1389">
        <v>1E-4</v>
      </c>
      <c r="W1389">
        <v>-4.0940000000000003</v>
      </c>
      <c r="X1389">
        <v>0.54700000000000004</v>
      </c>
      <c r="Y1389">
        <v>-0.85540000000000005</v>
      </c>
      <c r="Z1389">
        <v>1</v>
      </c>
      <c r="AA1389">
        <v>1186.3</v>
      </c>
      <c r="AB1389">
        <v>1</v>
      </c>
      <c r="AC1389">
        <v>1205.2</v>
      </c>
      <c r="AD1389">
        <v>0</v>
      </c>
      <c r="AE1389">
        <v>0</v>
      </c>
      <c r="AF1389">
        <v>0</v>
      </c>
      <c r="AG1389">
        <v>0</v>
      </c>
      <c r="AH1389">
        <v>0</v>
      </c>
    </row>
    <row r="1390" spans="1:34" x14ac:dyDescent="0.35">
      <c r="A1390" t="s">
        <v>34</v>
      </c>
      <c r="B1390" s="1">
        <v>46146.65625</v>
      </c>
      <c r="C1390" t="s">
        <v>34</v>
      </c>
      <c r="D1390" s="1">
        <v>46150.625</v>
      </c>
      <c r="E1390">
        <v>8600</v>
      </c>
      <c r="F1390" t="s">
        <v>36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1385.3</v>
      </c>
      <c r="N1390">
        <v>1</v>
      </c>
      <c r="O1390">
        <v>1403.7</v>
      </c>
      <c r="P1390">
        <v>0</v>
      </c>
      <c r="Q1390">
        <v>0</v>
      </c>
      <c r="R1390">
        <v>0</v>
      </c>
      <c r="S1390">
        <v>0</v>
      </c>
      <c r="T1390">
        <v>0.86909999999999998</v>
      </c>
      <c r="U1390">
        <v>-0.97070000000000001</v>
      </c>
      <c r="V1390">
        <v>1E-4</v>
      </c>
      <c r="W1390">
        <v>-4.1553000000000004</v>
      </c>
      <c r="X1390">
        <v>0.50290000000000001</v>
      </c>
      <c r="Y1390">
        <v>-0.87260000000000004</v>
      </c>
      <c r="Z1390">
        <v>3</v>
      </c>
      <c r="AA1390">
        <v>1386.1</v>
      </c>
      <c r="AB1390">
        <v>1</v>
      </c>
      <c r="AC1390">
        <v>1405.1</v>
      </c>
      <c r="AD1390">
        <v>0</v>
      </c>
      <c r="AE1390">
        <v>0</v>
      </c>
      <c r="AF1390">
        <v>0</v>
      </c>
      <c r="AG1390">
        <v>0</v>
      </c>
      <c r="AH1390">
        <v>0</v>
      </c>
    </row>
    <row r="1391" spans="1:34" x14ac:dyDescent="0.35">
      <c r="A1391" t="s">
        <v>34</v>
      </c>
      <c r="B1391" s="1">
        <v>46146.65625</v>
      </c>
      <c r="C1391" t="s">
        <v>34</v>
      </c>
      <c r="D1391" s="1">
        <v>46150.625</v>
      </c>
      <c r="E1391">
        <v>8800</v>
      </c>
      <c r="F1391" t="s">
        <v>36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1</v>
      </c>
      <c r="M1391">
        <v>1585.7</v>
      </c>
      <c r="N1391">
        <v>1</v>
      </c>
      <c r="O1391">
        <v>1603.5</v>
      </c>
      <c r="P1391">
        <v>0</v>
      </c>
      <c r="Q1391">
        <v>0</v>
      </c>
      <c r="R1391">
        <v>0</v>
      </c>
      <c r="S1391">
        <v>0</v>
      </c>
      <c r="T1391">
        <v>0.9587</v>
      </c>
      <c r="U1391">
        <v>-0.97340000000000004</v>
      </c>
      <c r="V1391">
        <v>1E-4</v>
      </c>
      <c r="W1391">
        <v>-4.1475999999999997</v>
      </c>
      <c r="X1391">
        <v>0.46260000000000001</v>
      </c>
      <c r="Y1391">
        <v>-0.88970000000000005</v>
      </c>
      <c r="Z1391">
        <v>3</v>
      </c>
      <c r="AA1391">
        <v>1586</v>
      </c>
      <c r="AB1391">
        <v>1</v>
      </c>
      <c r="AC1391">
        <v>1605.6</v>
      </c>
      <c r="AD1391">
        <v>0</v>
      </c>
      <c r="AE1391">
        <v>0</v>
      </c>
      <c r="AF1391">
        <v>0</v>
      </c>
      <c r="AG1391">
        <v>0</v>
      </c>
      <c r="AH1391">
        <v>0</v>
      </c>
    </row>
    <row r="1392" spans="1:34" x14ac:dyDescent="0.35">
      <c r="A1392" t="s">
        <v>34</v>
      </c>
      <c r="B1392" s="1">
        <v>46146.65625</v>
      </c>
      <c r="C1392" t="s">
        <v>34</v>
      </c>
      <c r="D1392" s="1">
        <v>46150.625</v>
      </c>
      <c r="E1392">
        <v>9000</v>
      </c>
      <c r="F1392" t="s">
        <v>36</v>
      </c>
      <c r="G1392">
        <v>1795.38</v>
      </c>
      <c r="H1392">
        <v>1795.38</v>
      </c>
      <c r="I1392">
        <v>1795.38</v>
      </c>
      <c r="J1392">
        <v>1795.38</v>
      </c>
      <c r="K1392">
        <v>1</v>
      </c>
      <c r="L1392">
        <v>1</v>
      </c>
      <c r="M1392">
        <v>1785.8</v>
      </c>
      <c r="N1392">
        <v>1</v>
      </c>
      <c r="O1392">
        <v>1803.4</v>
      </c>
      <c r="P1392">
        <v>0</v>
      </c>
      <c r="Q1392">
        <v>0</v>
      </c>
      <c r="R1392">
        <v>0</v>
      </c>
      <c r="S1392">
        <v>0</v>
      </c>
      <c r="T1392">
        <v>1.0468</v>
      </c>
      <c r="U1392">
        <v>-0.97529999999999994</v>
      </c>
      <c r="V1392">
        <v>1E-4</v>
      </c>
      <c r="W1392">
        <v>-4.1833999999999998</v>
      </c>
      <c r="X1392">
        <v>0.43309999999999998</v>
      </c>
      <c r="Y1392">
        <v>-0.90610000000000002</v>
      </c>
      <c r="Z1392">
        <v>1</v>
      </c>
      <c r="AA1392">
        <v>1787.3</v>
      </c>
      <c r="AB1392">
        <v>1</v>
      </c>
      <c r="AC1392">
        <v>1809.4</v>
      </c>
      <c r="AD1392">
        <v>0</v>
      </c>
      <c r="AE1392">
        <v>0</v>
      </c>
      <c r="AF1392">
        <v>1795.38</v>
      </c>
      <c r="AG1392">
        <v>0</v>
      </c>
      <c r="AH1392">
        <v>0</v>
      </c>
    </row>
    <row r="1393" spans="1:34" x14ac:dyDescent="0.35">
      <c r="A1393" t="s">
        <v>34</v>
      </c>
      <c r="B1393" s="1">
        <v>46146.65625</v>
      </c>
      <c r="C1393" t="s">
        <v>34</v>
      </c>
      <c r="D1393" s="1">
        <v>46150.625</v>
      </c>
      <c r="E1393">
        <v>9200</v>
      </c>
      <c r="F1393" t="s">
        <v>36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1983.7</v>
      </c>
      <c r="N1393">
        <v>1</v>
      </c>
      <c r="O1393">
        <v>2003.3</v>
      </c>
      <c r="P1393">
        <v>0</v>
      </c>
      <c r="Q1393">
        <v>0</v>
      </c>
      <c r="R1393">
        <v>0</v>
      </c>
      <c r="S1393">
        <v>0</v>
      </c>
      <c r="T1393">
        <v>1.1316999999999999</v>
      </c>
      <c r="U1393">
        <v>-0.97689999999999999</v>
      </c>
      <c r="V1393">
        <v>1E-4</v>
      </c>
      <c r="W1393">
        <v>-4.2111000000000001</v>
      </c>
      <c r="X1393">
        <v>0.40870000000000001</v>
      </c>
      <c r="Y1393">
        <v>-0.92220000000000002</v>
      </c>
      <c r="Z1393">
        <v>1</v>
      </c>
      <c r="AA1393">
        <v>1987.2</v>
      </c>
      <c r="AB1393">
        <v>1</v>
      </c>
      <c r="AC1393">
        <v>2009.3</v>
      </c>
      <c r="AD1393">
        <v>0</v>
      </c>
      <c r="AE1393">
        <v>0</v>
      </c>
      <c r="AF1393">
        <v>0</v>
      </c>
      <c r="AG1393">
        <v>0</v>
      </c>
      <c r="AH1393">
        <v>0</v>
      </c>
    </row>
    <row r="1394" spans="1:34" x14ac:dyDescent="0.35">
      <c r="A1394" t="s">
        <v>34</v>
      </c>
      <c r="B1394" s="1">
        <v>46146.65625</v>
      </c>
      <c r="C1394" t="s">
        <v>34</v>
      </c>
      <c r="D1394" s="1">
        <v>46150.625</v>
      </c>
      <c r="E1394">
        <v>9400</v>
      </c>
      <c r="F1394" t="s">
        <v>36</v>
      </c>
      <c r="G1394">
        <v>2193.5700000000002</v>
      </c>
      <c r="H1394">
        <v>2193.5700000000002</v>
      </c>
      <c r="I1394">
        <v>2190.4899999999998</v>
      </c>
      <c r="J1394">
        <v>2190.4899999999998</v>
      </c>
      <c r="K1394">
        <v>2</v>
      </c>
      <c r="L1394">
        <v>1</v>
      </c>
      <c r="M1394">
        <v>2185.3000000000002</v>
      </c>
      <c r="N1394">
        <v>1</v>
      </c>
      <c r="O1394">
        <v>2203.6999999999998</v>
      </c>
      <c r="P1394">
        <v>0</v>
      </c>
      <c r="Q1394">
        <v>0</v>
      </c>
      <c r="R1394">
        <v>0</v>
      </c>
      <c r="S1394">
        <v>0</v>
      </c>
      <c r="T1394">
        <v>1.2265999999999999</v>
      </c>
      <c r="U1394">
        <v>-0.97709999999999997</v>
      </c>
      <c r="V1394">
        <v>1E-4</v>
      </c>
      <c r="W1394">
        <v>-4.5227000000000004</v>
      </c>
      <c r="X1394">
        <v>0.40589999999999998</v>
      </c>
      <c r="Y1394">
        <v>-0.93720000000000003</v>
      </c>
      <c r="Z1394">
        <v>1</v>
      </c>
      <c r="AA1394">
        <v>2187</v>
      </c>
      <c r="AB1394">
        <v>2</v>
      </c>
      <c r="AC1394">
        <v>2209.6</v>
      </c>
      <c r="AD1394">
        <v>0</v>
      </c>
      <c r="AE1394">
        <v>0</v>
      </c>
      <c r="AF1394">
        <v>2192.0300000000002</v>
      </c>
      <c r="AG1394">
        <v>0</v>
      </c>
      <c r="AH1394">
        <v>0</v>
      </c>
    </row>
    <row r="1395" spans="1:34" x14ac:dyDescent="0.35">
      <c r="A1395" t="s">
        <v>34</v>
      </c>
      <c r="B1395" s="1">
        <v>46146.65625</v>
      </c>
      <c r="C1395" t="s">
        <v>34</v>
      </c>
      <c r="D1395" s="1">
        <v>46153.625</v>
      </c>
      <c r="E1395">
        <v>2800</v>
      </c>
      <c r="F1395" t="s">
        <v>35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799</v>
      </c>
      <c r="O1395">
        <v>0.05</v>
      </c>
      <c r="P1395">
        <v>0</v>
      </c>
      <c r="Q1395">
        <v>0</v>
      </c>
      <c r="R1395">
        <v>0</v>
      </c>
      <c r="S1395">
        <v>0</v>
      </c>
      <c r="T1395">
        <v>1.8412999999999999</v>
      </c>
      <c r="U1395">
        <v>-1E-4</v>
      </c>
      <c r="V1395">
        <v>0</v>
      </c>
      <c r="W1395">
        <v>-1.9E-2</v>
      </c>
      <c r="X1395">
        <v>2.3999999999999998E-3</v>
      </c>
      <c r="Y1395">
        <v>-1E-4</v>
      </c>
      <c r="Z1395">
        <v>0</v>
      </c>
      <c r="AA1395">
        <v>0</v>
      </c>
      <c r="AB1395">
        <v>180</v>
      </c>
      <c r="AC1395">
        <v>0.05</v>
      </c>
      <c r="AD1395">
        <v>0</v>
      </c>
      <c r="AE1395">
        <v>0</v>
      </c>
      <c r="AF1395">
        <v>0</v>
      </c>
      <c r="AG1395">
        <v>88</v>
      </c>
      <c r="AH1395">
        <v>0</v>
      </c>
    </row>
    <row r="1396" spans="1:34" x14ac:dyDescent="0.35">
      <c r="A1396" t="s">
        <v>34</v>
      </c>
      <c r="B1396" s="1">
        <v>46146.65625</v>
      </c>
      <c r="C1396" t="s">
        <v>34</v>
      </c>
      <c r="D1396" s="1">
        <v>46153.625</v>
      </c>
      <c r="E1396">
        <v>3000</v>
      </c>
      <c r="F1396" t="s">
        <v>35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702</v>
      </c>
      <c r="O1396">
        <v>0.05</v>
      </c>
      <c r="P1396">
        <v>0</v>
      </c>
      <c r="Q1396">
        <v>0</v>
      </c>
      <c r="R1396">
        <v>0</v>
      </c>
      <c r="S1396">
        <v>0</v>
      </c>
      <c r="T1396">
        <v>1.7110000000000001</v>
      </c>
      <c r="U1396">
        <v>-1E-4</v>
      </c>
      <c r="V1396">
        <v>0</v>
      </c>
      <c r="W1396">
        <v>-1.89E-2</v>
      </c>
      <c r="X1396">
        <v>2.5999999999999999E-3</v>
      </c>
      <c r="Y1396">
        <v>-1E-4</v>
      </c>
      <c r="Z1396">
        <v>0</v>
      </c>
      <c r="AA1396">
        <v>0</v>
      </c>
      <c r="AB1396">
        <v>211</v>
      </c>
      <c r="AC1396">
        <v>0.05</v>
      </c>
      <c r="AD1396">
        <v>0</v>
      </c>
      <c r="AE1396">
        <v>0</v>
      </c>
      <c r="AF1396">
        <v>0</v>
      </c>
      <c r="AG1396">
        <v>1</v>
      </c>
      <c r="AH1396">
        <v>0</v>
      </c>
    </row>
    <row r="1397" spans="1:34" x14ac:dyDescent="0.35">
      <c r="A1397" t="s">
        <v>34</v>
      </c>
      <c r="B1397" s="1">
        <v>46146.65625</v>
      </c>
      <c r="C1397" t="s">
        <v>34</v>
      </c>
      <c r="D1397" s="1">
        <v>46153.625</v>
      </c>
      <c r="E1397">
        <v>3200</v>
      </c>
      <c r="F1397" t="s">
        <v>35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686</v>
      </c>
      <c r="O1397">
        <v>0.05</v>
      </c>
      <c r="P1397">
        <v>0</v>
      </c>
      <c r="Q1397">
        <v>0</v>
      </c>
      <c r="R1397">
        <v>0</v>
      </c>
      <c r="S1397">
        <v>0</v>
      </c>
      <c r="T1397">
        <v>1.589</v>
      </c>
      <c r="U1397">
        <v>-1E-4</v>
      </c>
      <c r="V1397">
        <v>0</v>
      </c>
      <c r="W1397">
        <v>-1.89E-2</v>
      </c>
      <c r="X1397">
        <v>2.8E-3</v>
      </c>
      <c r="Y1397">
        <v>-1E-4</v>
      </c>
      <c r="Z1397">
        <v>0</v>
      </c>
      <c r="AA1397">
        <v>0</v>
      </c>
      <c r="AB1397">
        <v>207</v>
      </c>
      <c r="AC1397">
        <v>0.05</v>
      </c>
      <c r="AD1397">
        <v>0</v>
      </c>
      <c r="AE1397">
        <v>0</v>
      </c>
      <c r="AF1397">
        <v>0</v>
      </c>
      <c r="AG1397">
        <v>3</v>
      </c>
      <c r="AH1397">
        <v>0</v>
      </c>
    </row>
    <row r="1398" spans="1:34" x14ac:dyDescent="0.35">
      <c r="A1398" t="s">
        <v>34</v>
      </c>
      <c r="B1398" s="1">
        <v>46146.65625</v>
      </c>
      <c r="C1398" t="s">
        <v>34</v>
      </c>
      <c r="D1398" s="1">
        <v>46153.625</v>
      </c>
      <c r="E1398">
        <v>3400</v>
      </c>
      <c r="F1398" t="s">
        <v>35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662</v>
      </c>
      <c r="O1398">
        <v>0.05</v>
      </c>
      <c r="P1398">
        <v>0</v>
      </c>
      <c r="Q1398">
        <v>0</v>
      </c>
      <c r="R1398">
        <v>0</v>
      </c>
      <c r="S1398">
        <v>0</v>
      </c>
      <c r="T1398">
        <v>1.4743999999999999</v>
      </c>
      <c r="U1398">
        <v>-1E-4</v>
      </c>
      <c r="V1398">
        <v>0</v>
      </c>
      <c r="W1398">
        <v>-1.8800000000000001E-2</v>
      </c>
      <c r="X1398">
        <v>3.0000000000000001E-3</v>
      </c>
      <c r="Y1398">
        <v>-1E-4</v>
      </c>
      <c r="Z1398">
        <v>0</v>
      </c>
      <c r="AA1398">
        <v>0</v>
      </c>
      <c r="AB1398">
        <v>204</v>
      </c>
      <c r="AC1398">
        <v>0.05</v>
      </c>
      <c r="AD1398">
        <v>0</v>
      </c>
      <c r="AE1398">
        <v>0</v>
      </c>
      <c r="AF1398">
        <v>0</v>
      </c>
      <c r="AG1398">
        <v>251</v>
      </c>
      <c r="AH1398">
        <v>0</v>
      </c>
    </row>
    <row r="1399" spans="1:34" x14ac:dyDescent="0.35">
      <c r="A1399" t="s">
        <v>34</v>
      </c>
      <c r="B1399" s="1">
        <v>46146.65625</v>
      </c>
      <c r="C1399" t="s">
        <v>34</v>
      </c>
      <c r="D1399" s="1">
        <v>46153.625</v>
      </c>
      <c r="E1399">
        <v>3600</v>
      </c>
      <c r="F1399" t="s">
        <v>36</v>
      </c>
      <c r="G1399">
        <v>0.03</v>
      </c>
      <c r="H1399">
        <v>0.03</v>
      </c>
      <c r="I1399">
        <v>0.03</v>
      </c>
      <c r="J1399">
        <v>0.03</v>
      </c>
      <c r="K1399">
        <v>6</v>
      </c>
      <c r="L1399">
        <v>0</v>
      </c>
      <c r="M1399">
        <v>0</v>
      </c>
      <c r="N1399">
        <v>589</v>
      </c>
      <c r="O1399">
        <v>0.05</v>
      </c>
      <c r="P1399">
        <v>0</v>
      </c>
      <c r="Q1399">
        <v>0</v>
      </c>
      <c r="R1399">
        <v>0</v>
      </c>
      <c r="S1399">
        <v>0</v>
      </c>
      <c r="T1399">
        <v>1.3662000000000001</v>
      </c>
      <c r="U1399">
        <v>-1E-4</v>
      </c>
      <c r="V1399">
        <v>0</v>
      </c>
      <c r="W1399">
        <v>-1.8800000000000001E-2</v>
      </c>
      <c r="X1399">
        <v>3.2000000000000002E-3</v>
      </c>
      <c r="Y1399">
        <v>-1E-4</v>
      </c>
      <c r="Z1399">
        <v>0</v>
      </c>
      <c r="AA1399">
        <v>0</v>
      </c>
      <c r="AB1399">
        <v>199</v>
      </c>
      <c r="AC1399">
        <v>0.05</v>
      </c>
      <c r="AD1399">
        <v>0</v>
      </c>
      <c r="AE1399">
        <v>0</v>
      </c>
      <c r="AF1399">
        <v>0.03</v>
      </c>
      <c r="AG1399">
        <v>142</v>
      </c>
      <c r="AH1399">
        <v>0</v>
      </c>
    </row>
    <row r="1400" spans="1:34" x14ac:dyDescent="0.35">
      <c r="A1400" t="s">
        <v>34</v>
      </c>
      <c r="B1400" s="1">
        <v>46146.65625</v>
      </c>
      <c r="C1400" t="s">
        <v>34</v>
      </c>
      <c r="D1400" s="1">
        <v>46153.625</v>
      </c>
      <c r="E1400">
        <v>3800</v>
      </c>
      <c r="F1400" t="s">
        <v>36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599</v>
      </c>
      <c r="O1400">
        <v>0.05</v>
      </c>
      <c r="P1400">
        <v>0</v>
      </c>
      <c r="Q1400">
        <v>0</v>
      </c>
      <c r="R1400">
        <v>0</v>
      </c>
      <c r="S1400">
        <v>0</v>
      </c>
      <c r="T1400">
        <v>1.2638</v>
      </c>
      <c r="U1400">
        <v>-1E-4</v>
      </c>
      <c r="V1400">
        <v>0</v>
      </c>
      <c r="W1400">
        <v>-1.8800000000000001E-2</v>
      </c>
      <c r="X1400">
        <v>3.5000000000000001E-3</v>
      </c>
      <c r="Y1400">
        <v>-1E-4</v>
      </c>
      <c r="Z1400">
        <v>0</v>
      </c>
      <c r="AA1400">
        <v>0</v>
      </c>
      <c r="AB1400">
        <v>193</v>
      </c>
      <c r="AC1400">
        <v>0.05</v>
      </c>
      <c r="AD1400">
        <v>0</v>
      </c>
      <c r="AE1400">
        <v>0</v>
      </c>
      <c r="AF1400">
        <v>0</v>
      </c>
      <c r="AG1400">
        <v>157</v>
      </c>
      <c r="AH1400">
        <v>0</v>
      </c>
    </row>
    <row r="1401" spans="1:34" x14ac:dyDescent="0.35">
      <c r="A1401" t="s">
        <v>34</v>
      </c>
      <c r="B1401" s="1">
        <v>46146.65625</v>
      </c>
      <c r="C1401" t="s">
        <v>34</v>
      </c>
      <c r="D1401" s="1">
        <v>46153.625</v>
      </c>
      <c r="E1401">
        <v>4000</v>
      </c>
      <c r="F1401" t="s">
        <v>36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598</v>
      </c>
      <c r="O1401">
        <v>0.05</v>
      </c>
      <c r="P1401">
        <v>0</v>
      </c>
      <c r="Q1401">
        <v>0</v>
      </c>
      <c r="R1401">
        <v>0</v>
      </c>
      <c r="S1401">
        <v>0</v>
      </c>
      <c r="T1401">
        <v>1.1666000000000001</v>
      </c>
      <c r="U1401">
        <v>-1E-4</v>
      </c>
      <c r="V1401">
        <v>0</v>
      </c>
      <c r="W1401">
        <v>-1.8700000000000001E-2</v>
      </c>
      <c r="X1401">
        <v>3.7000000000000002E-3</v>
      </c>
      <c r="Y1401">
        <v>-1E-4</v>
      </c>
      <c r="Z1401">
        <v>0</v>
      </c>
      <c r="AA1401">
        <v>0</v>
      </c>
      <c r="AB1401">
        <v>200</v>
      </c>
      <c r="AC1401">
        <v>0.05</v>
      </c>
      <c r="AD1401">
        <v>0</v>
      </c>
      <c r="AE1401">
        <v>0</v>
      </c>
      <c r="AF1401">
        <v>0</v>
      </c>
      <c r="AG1401">
        <v>59</v>
      </c>
      <c r="AH1401">
        <v>0</v>
      </c>
    </row>
    <row r="1402" spans="1:34" x14ac:dyDescent="0.35">
      <c r="A1402" t="s">
        <v>34</v>
      </c>
      <c r="B1402" s="1">
        <v>46146.65625</v>
      </c>
      <c r="C1402" t="s">
        <v>34</v>
      </c>
      <c r="D1402" s="1">
        <v>46153.625</v>
      </c>
      <c r="E1402">
        <v>4200</v>
      </c>
      <c r="F1402" t="s">
        <v>36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1125</v>
      </c>
      <c r="O1402">
        <v>0.05</v>
      </c>
      <c r="P1402">
        <v>0</v>
      </c>
      <c r="Q1402">
        <v>0</v>
      </c>
      <c r="R1402">
        <v>0</v>
      </c>
      <c r="S1402">
        <v>0</v>
      </c>
      <c r="T1402">
        <v>1.0739000000000001</v>
      </c>
      <c r="U1402">
        <v>-1E-4</v>
      </c>
      <c r="V1402">
        <v>0</v>
      </c>
      <c r="W1402">
        <v>-1.8599999999999998E-2</v>
      </c>
      <c r="X1402">
        <v>4.1000000000000003E-3</v>
      </c>
      <c r="Y1402">
        <v>-1E-4</v>
      </c>
      <c r="Z1402">
        <v>0</v>
      </c>
      <c r="AA1402">
        <v>0</v>
      </c>
      <c r="AB1402">
        <v>776</v>
      </c>
      <c r="AC1402">
        <v>0.05</v>
      </c>
      <c r="AD1402">
        <v>0</v>
      </c>
      <c r="AE1402">
        <v>0</v>
      </c>
      <c r="AF1402">
        <v>0</v>
      </c>
      <c r="AG1402">
        <v>38</v>
      </c>
      <c r="AH1402">
        <v>0</v>
      </c>
    </row>
    <row r="1403" spans="1:34" x14ac:dyDescent="0.35">
      <c r="A1403" t="s">
        <v>34</v>
      </c>
      <c r="B1403" s="1">
        <v>46146.65625</v>
      </c>
      <c r="C1403" t="s">
        <v>34</v>
      </c>
      <c r="D1403" s="1">
        <v>46153.625</v>
      </c>
      <c r="E1403">
        <v>4400</v>
      </c>
      <c r="F1403" t="s">
        <v>36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1055</v>
      </c>
      <c r="O1403">
        <v>0.05</v>
      </c>
      <c r="P1403">
        <v>0</v>
      </c>
      <c r="Q1403">
        <v>0</v>
      </c>
      <c r="R1403">
        <v>0</v>
      </c>
      <c r="S1403">
        <v>0</v>
      </c>
      <c r="T1403">
        <v>0.98529999999999995</v>
      </c>
      <c r="U1403">
        <v>-1E-4</v>
      </c>
      <c r="V1403">
        <v>0</v>
      </c>
      <c r="W1403">
        <v>-1.8599999999999998E-2</v>
      </c>
      <c r="X1403">
        <v>4.4000000000000003E-3</v>
      </c>
      <c r="Y1403">
        <v>-2.0000000000000001E-4</v>
      </c>
      <c r="Z1403">
        <v>0</v>
      </c>
      <c r="AA1403">
        <v>0</v>
      </c>
      <c r="AB1403">
        <v>738</v>
      </c>
      <c r="AC1403">
        <v>0.05</v>
      </c>
      <c r="AD1403">
        <v>0</v>
      </c>
      <c r="AE1403">
        <v>0</v>
      </c>
      <c r="AF1403">
        <v>0</v>
      </c>
      <c r="AG1403">
        <v>93</v>
      </c>
      <c r="AH1403">
        <v>0</v>
      </c>
    </row>
    <row r="1404" spans="1:34" x14ac:dyDescent="0.35">
      <c r="A1404" t="s">
        <v>34</v>
      </c>
      <c r="B1404" s="1">
        <v>46146.65625</v>
      </c>
      <c r="C1404" t="s">
        <v>34</v>
      </c>
      <c r="D1404" s="1">
        <v>46153.625</v>
      </c>
      <c r="E1404">
        <v>4600</v>
      </c>
      <c r="F1404" t="s">
        <v>36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882</v>
      </c>
      <c r="O1404">
        <v>0.05</v>
      </c>
      <c r="P1404">
        <v>0</v>
      </c>
      <c r="Q1404">
        <v>0</v>
      </c>
      <c r="R1404">
        <v>0</v>
      </c>
      <c r="S1404">
        <v>0</v>
      </c>
      <c r="T1404">
        <v>0.90049999999999997</v>
      </c>
      <c r="U1404">
        <v>-1E-4</v>
      </c>
      <c r="V1404">
        <v>0</v>
      </c>
      <c r="W1404">
        <v>-1.8499999999999999E-2</v>
      </c>
      <c r="X1404">
        <v>4.7999999999999996E-3</v>
      </c>
      <c r="Y1404">
        <v>-2.0000000000000001E-4</v>
      </c>
      <c r="Z1404">
        <v>0</v>
      </c>
      <c r="AA1404">
        <v>0</v>
      </c>
      <c r="AB1404">
        <v>678</v>
      </c>
      <c r="AC1404">
        <v>0.05</v>
      </c>
      <c r="AD1404">
        <v>0</v>
      </c>
      <c r="AE1404">
        <v>0</v>
      </c>
      <c r="AF1404">
        <v>0</v>
      </c>
      <c r="AG1404">
        <v>126</v>
      </c>
      <c r="AH1404">
        <v>0</v>
      </c>
    </row>
    <row r="1405" spans="1:34" x14ac:dyDescent="0.35">
      <c r="A1405" t="s">
        <v>34</v>
      </c>
      <c r="B1405" s="1">
        <v>46146.65625</v>
      </c>
      <c r="C1405" t="s">
        <v>34</v>
      </c>
      <c r="D1405" s="1">
        <v>46153.625</v>
      </c>
      <c r="E1405">
        <v>4800</v>
      </c>
      <c r="F1405" t="s">
        <v>36</v>
      </c>
      <c r="G1405">
        <v>0.05</v>
      </c>
      <c r="H1405">
        <v>0.05</v>
      </c>
      <c r="I1405">
        <v>0.05</v>
      </c>
      <c r="J1405">
        <v>0.05</v>
      </c>
      <c r="K1405">
        <v>4</v>
      </c>
      <c r="L1405">
        <v>0</v>
      </c>
      <c r="M1405">
        <v>0</v>
      </c>
      <c r="N1405">
        <v>613</v>
      </c>
      <c r="O1405">
        <v>0.05</v>
      </c>
      <c r="P1405">
        <v>0</v>
      </c>
      <c r="Q1405">
        <v>0</v>
      </c>
      <c r="R1405">
        <v>0</v>
      </c>
      <c r="S1405">
        <v>0</v>
      </c>
      <c r="T1405">
        <v>0.81899999999999995</v>
      </c>
      <c r="U1405">
        <v>-1E-4</v>
      </c>
      <c r="V1405">
        <v>0</v>
      </c>
      <c r="W1405">
        <v>-1.84E-2</v>
      </c>
      <c r="X1405">
        <v>5.3E-3</v>
      </c>
      <c r="Y1405">
        <v>-2.0000000000000001E-4</v>
      </c>
      <c r="Z1405">
        <v>0</v>
      </c>
      <c r="AA1405">
        <v>0</v>
      </c>
      <c r="AB1405">
        <v>572</v>
      </c>
      <c r="AC1405">
        <v>0.05</v>
      </c>
      <c r="AD1405">
        <v>0</v>
      </c>
      <c r="AE1405">
        <v>0</v>
      </c>
      <c r="AF1405">
        <v>0.05</v>
      </c>
      <c r="AG1405">
        <v>1079</v>
      </c>
      <c r="AH1405">
        <v>0</v>
      </c>
    </row>
    <row r="1406" spans="1:34" x14ac:dyDescent="0.35">
      <c r="A1406" t="s">
        <v>34</v>
      </c>
      <c r="B1406" s="1">
        <v>46146.65625</v>
      </c>
      <c r="C1406" t="s">
        <v>34</v>
      </c>
      <c r="D1406" s="1">
        <v>46153.625</v>
      </c>
      <c r="E1406">
        <v>5000</v>
      </c>
      <c r="F1406" t="s">
        <v>36</v>
      </c>
      <c r="G1406">
        <v>0.05</v>
      </c>
      <c r="H1406">
        <v>7.0000000000000007E-2</v>
      </c>
      <c r="I1406">
        <v>0.05</v>
      </c>
      <c r="J1406">
        <v>0.05</v>
      </c>
      <c r="K1406">
        <v>1691</v>
      </c>
      <c r="L1406">
        <v>0</v>
      </c>
      <c r="M1406">
        <v>0</v>
      </c>
      <c r="N1406">
        <v>100</v>
      </c>
      <c r="O1406">
        <v>0.05</v>
      </c>
      <c r="P1406">
        <v>0</v>
      </c>
      <c r="Q1406">
        <v>0</v>
      </c>
      <c r="R1406">
        <v>0</v>
      </c>
      <c r="S1406">
        <v>0</v>
      </c>
      <c r="T1406">
        <v>0.7409</v>
      </c>
      <c r="U1406">
        <v>-2.0000000000000001E-4</v>
      </c>
      <c r="V1406">
        <v>0</v>
      </c>
      <c r="W1406">
        <v>-1.83E-2</v>
      </c>
      <c r="X1406">
        <v>5.7999999999999996E-3</v>
      </c>
      <c r="Y1406">
        <v>-2.0000000000000001E-4</v>
      </c>
      <c r="Z1406">
        <v>0</v>
      </c>
      <c r="AA1406">
        <v>0</v>
      </c>
      <c r="AB1406">
        <v>53</v>
      </c>
      <c r="AC1406">
        <v>0.05</v>
      </c>
      <c r="AD1406">
        <v>0</v>
      </c>
      <c r="AE1406">
        <v>0</v>
      </c>
      <c r="AF1406">
        <v>5.1200000000000002E-2</v>
      </c>
      <c r="AG1406">
        <v>752</v>
      </c>
      <c r="AH1406">
        <v>0</v>
      </c>
    </row>
    <row r="1407" spans="1:34" x14ac:dyDescent="0.35">
      <c r="A1407" t="s">
        <v>34</v>
      </c>
      <c r="B1407" s="1">
        <v>46146.65625</v>
      </c>
      <c r="C1407" t="s">
        <v>34</v>
      </c>
      <c r="D1407" s="1">
        <v>46153.625</v>
      </c>
      <c r="E1407">
        <v>5200</v>
      </c>
      <c r="F1407" t="s">
        <v>36</v>
      </c>
      <c r="G1407">
        <v>0.05</v>
      </c>
      <c r="H1407">
        <v>0.05</v>
      </c>
      <c r="I1407">
        <v>0.05</v>
      </c>
      <c r="J1407">
        <v>0.05</v>
      </c>
      <c r="K1407">
        <v>24</v>
      </c>
      <c r="L1407">
        <v>3</v>
      </c>
      <c r="M1407">
        <v>0.05</v>
      </c>
      <c r="N1407">
        <v>520</v>
      </c>
      <c r="O1407">
        <v>0.1</v>
      </c>
      <c r="P1407">
        <v>0</v>
      </c>
      <c r="Q1407">
        <v>0</v>
      </c>
      <c r="R1407">
        <v>0</v>
      </c>
      <c r="S1407">
        <v>0</v>
      </c>
      <c r="T1407">
        <v>0.7167</v>
      </c>
      <c r="U1407">
        <v>-4.0000000000000002E-4</v>
      </c>
      <c r="V1407">
        <v>0</v>
      </c>
      <c r="W1407">
        <v>-5.1200000000000002E-2</v>
      </c>
      <c r="X1407">
        <v>1.5599999999999999E-2</v>
      </c>
      <c r="Y1407">
        <v>-5.9999999999999995E-4</v>
      </c>
      <c r="Z1407">
        <v>3</v>
      </c>
      <c r="AA1407">
        <v>0.05</v>
      </c>
      <c r="AB1407">
        <v>314</v>
      </c>
      <c r="AC1407">
        <v>0.1</v>
      </c>
      <c r="AD1407">
        <v>0</v>
      </c>
      <c r="AE1407">
        <v>0</v>
      </c>
      <c r="AF1407">
        <v>0.05</v>
      </c>
      <c r="AG1407">
        <v>563</v>
      </c>
      <c r="AH1407">
        <v>0</v>
      </c>
    </row>
    <row r="1408" spans="1:34" x14ac:dyDescent="0.35">
      <c r="A1408" t="s">
        <v>34</v>
      </c>
      <c r="B1408" s="1">
        <v>46146.65625</v>
      </c>
      <c r="C1408" t="s">
        <v>34</v>
      </c>
      <c r="D1408" s="1">
        <v>46153.625</v>
      </c>
      <c r="E1408">
        <v>5300</v>
      </c>
      <c r="F1408" t="s">
        <v>36</v>
      </c>
      <c r="G1408">
        <v>0.09</v>
      </c>
      <c r="H1408">
        <v>0.09</v>
      </c>
      <c r="I1408">
        <v>0.09</v>
      </c>
      <c r="J1408">
        <v>0.09</v>
      </c>
      <c r="K1408">
        <v>2</v>
      </c>
      <c r="L1408">
        <v>1</v>
      </c>
      <c r="M1408">
        <v>0.05</v>
      </c>
      <c r="N1408">
        <v>444</v>
      </c>
      <c r="O1408">
        <v>0.1</v>
      </c>
      <c r="P1408">
        <v>0</v>
      </c>
      <c r="Q1408">
        <v>0</v>
      </c>
      <c r="R1408">
        <v>0</v>
      </c>
      <c r="S1408">
        <v>0</v>
      </c>
      <c r="T1408">
        <v>0.67730000000000001</v>
      </c>
      <c r="U1408">
        <v>-5.0000000000000001E-4</v>
      </c>
      <c r="V1408">
        <v>0</v>
      </c>
      <c r="W1408">
        <v>-5.0999999999999997E-2</v>
      </c>
      <c r="X1408">
        <v>1.6400000000000001E-2</v>
      </c>
      <c r="Y1408">
        <v>-5.9999999999999995E-4</v>
      </c>
      <c r="Z1408">
        <v>1</v>
      </c>
      <c r="AA1408">
        <v>0.05</v>
      </c>
      <c r="AB1408">
        <v>159</v>
      </c>
      <c r="AC1408">
        <v>0.1</v>
      </c>
      <c r="AD1408">
        <v>0</v>
      </c>
      <c r="AE1408">
        <v>0</v>
      </c>
      <c r="AF1408">
        <v>0.09</v>
      </c>
      <c r="AG1408">
        <v>828</v>
      </c>
      <c r="AH1408">
        <v>0</v>
      </c>
    </row>
    <row r="1409" spans="1:34" x14ac:dyDescent="0.35">
      <c r="A1409" t="s">
        <v>34</v>
      </c>
      <c r="B1409" s="1">
        <v>46146.65625</v>
      </c>
      <c r="C1409" t="s">
        <v>34</v>
      </c>
      <c r="D1409" s="1">
        <v>46153.625</v>
      </c>
      <c r="E1409">
        <v>5400</v>
      </c>
      <c r="F1409" t="s">
        <v>36</v>
      </c>
      <c r="G1409">
        <v>0.09</v>
      </c>
      <c r="H1409">
        <v>0.1</v>
      </c>
      <c r="I1409">
        <v>0.09</v>
      </c>
      <c r="J1409">
        <v>0.1</v>
      </c>
      <c r="K1409">
        <v>5</v>
      </c>
      <c r="L1409">
        <v>51</v>
      </c>
      <c r="M1409">
        <v>0.05</v>
      </c>
      <c r="N1409">
        <v>299</v>
      </c>
      <c r="O1409">
        <v>0.1</v>
      </c>
      <c r="P1409">
        <v>0</v>
      </c>
      <c r="Q1409">
        <v>0</v>
      </c>
      <c r="R1409">
        <v>0</v>
      </c>
      <c r="S1409">
        <v>0</v>
      </c>
      <c r="T1409">
        <v>0.63849999999999996</v>
      </c>
      <c r="U1409">
        <v>-5.0000000000000001E-4</v>
      </c>
      <c r="V1409">
        <v>0</v>
      </c>
      <c r="W1409">
        <v>-5.0799999999999998E-2</v>
      </c>
      <c r="X1409">
        <v>1.7399999999999999E-2</v>
      </c>
      <c r="Y1409">
        <v>-5.9999999999999995E-4</v>
      </c>
      <c r="Z1409">
        <v>51</v>
      </c>
      <c r="AA1409">
        <v>0.05</v>
      </c>
      <c r="AB1409">
        <v>49</v>
      </c>
      <c r="AC1409">
        <v>0.1</v>
      </c>
      <c r="AD1409">
        <v>0</v>
      </c>
      <c r="AE1409">
        <v>0</v>
      </c>
      <c r="AF1409">
        <v>9.8000000000000004E-2</v>
      </c>
      <c r="AG1409">
        <v>609</v>
      </c>
      <c r="AH1409">
        <v>0</v>
      </c>
    </row>
    <row r="1410" spans="1:34" x14ac:dyDescent="0.35">
      <c r="A1410" t="s">
        <v>34</v>
      </c>
      <c r="B1410" s="1">
        <v>46146.65625</v>
      </c>
      <c r="C1410" t="s">
        <v>34</v>
      </c>
      <c r="D1410" s="1">
        <v>46153.625</v>
      </c>
      <c r="E1410">
        <v>5500</v>
      </c>
      <c r="F1410" t="s">
        <v>36</v>
      </c>
      <c r="G1410">
        <v>0.1</v>
      </c>
      <c r="H1410">
        <v>0.1</v>
      </c>
      <c r="I1410">
        <v>0.1</v>
      </c>
      <c r="J1410">
        <v>0.1</v>
      </c>
      <c r="K1410">
        <v>35</v>
      </c>
      <c r="L1410">
        <v>142</v>
      </c>
      <c r="M1410">
        <v>0.05</v>
      </c>
      <c r="N1410">
        <v>76</v>
      </c>
      <c r="O1410">
        <v>0.1</v>
      </c>
      <c r="P1410">
        <v>0</v>
      </c>
      <c r="Q1410">
        <v>0</v>
      </c>
      <c r="R1410">
        <v>0</v>
      </c>
      <c r="S1410">
        <v>0</v>
      </c>
      <c r="T1410">
        <v>0.60040000000000004</v>
      </c>
      <c r="U1410">
        <v>-5.0000000000000001E-4</v>
      </c>
      <c r="V1410">
        <v>0</v>
      </c>
      <c r="W1410">
        <v>-5.0599999999999999E-2</v>
      </c>
      <c r="X1410">
        <v>1.8499999999999999E-2</v>
      </c>
      <c r="Y1410">
        <v>-6.9999999999999999E-4</v>
      </c>
      <c r="Z1410">
        <v>142</v>
      </c>
      <c r="AA1410">
        <v>0.05</v>
      </c>
      <c r="AB1410">
        <v>28</v>
      </c>
      <c r="AC1410">
        <v>0.1</v>
      </c>
      <c r="AD1410">
        <v>0</v>
      </c>
      <c r="AE1410">
        <v>0</v>
      </c>
      <c r="AF1410">
        <v>0.1</v>
      </c>
      <c r="AG1410">
        <v>794</v>
      </c>
      <c r="AH1410">
        <v>0</v>
      </c>
    </row>
    <row r="1411" spans="1:34" x14ac:dyDescent="0.35">
      <c r="A1411" t="s">
        <v>34</v>
      </c>
      <c r="B1411" s="1">
        <v>46146.65625</v>
      </c>
      <c r="C1411" t="s">
        <v>34</v>
      </c>
      <c r="D1411" s="1">
        <v>46153.625</v>
      </c>
      <c r="E1411">
        <v>5600</v>
      </c>
      <c r="F1411" t="s">
        <v>36</v>
      </c>
      <c r="G1411">
        <v>0.1</v>
      </c>
      <c r="H1411">
        <v>0.1</v>
      </c>
      <c r="I1411">
        <v>0.1</v>
      </c>
      <c r="J1411">
        <v>0.1</v>
      </c>
      <c r="K1411">
        <v>1</v>
      </c>
      <c r="L1411">
        <v>408</v>
      </c>
      <c r="M1411">
        <v>0.05</v>
      </c>
      <c r="N1411">
        <v>79</v>
      </c>
      <c r="O1411">
        <v>0.1</v>
      </c>
      <c r="P1411">
        <v>0</v>
      </c>
      <c r="Q1411">
        <v>0</v>
      </c>
      <c r="R1411">
        <v>0</v>
      </c>
      <c r="S1411">
        <v>0</v>
      </c>
      <c r="T1411">
        <v>0.56279999999999997</v>
      </c>
      <c r="U1411">
        <v>-5.0000000000000001E-4</v>
      </c>
      <c r="V1411">
        <v>0</v>
      </c>
      <c r="W1411">
        <v>-5.04E-2</v>
      </c>
      <c r="X1411">
        <v>1.9699999999999999E-2</v>
      </c>
      <c r="Y1411">
        <v>-6.9999999999999999E-4</v>
      </c>
      <c r="Z1411">
        <v>68</v>
      </c>
      <c r="AA1411">
        <v>0.05</v>
      </c>
      <c r="AB1411">
        <v>79</v>
      </c>
      <c r="AC1411">
        <v>0.1</v>
      </c>
      <c r="AD1411">
        <v>0</v>
      </c>
      <c r="AE1411">
        <v>0</v>
      </c>
      <c r="AF1411">
        <v>0.1</v>
      </c>
      <c r="AG1411">
        <v>371</v>
      </c>
      <c r="AH1411">
        <v>0</v>
      </c>
    </row>
    <row r="1412" spans="1:34" x14ac:dyDescent="0.35">
      <c r="A1412" t="s">
        <v>34</v>
      </c>
      <c r="B1412" s="1">
        <v>46146.65625</v>
      </c>
      <c r="C1412" t="s">
        <v>34</v>
      </c>
      <c r="D1412" s="1">
        <v>46153.625</v>
      </c>
      <c r="E1412">
        <v>5700</v>
      </c>
      <c r="F1412" t="s">
        <v>36</v>
      </c>
      <c r="G1412">
        <v>0.15</v>
      </c>
      <c r="H1412">
        <v>0.15</v>
      </c>
      <c r="I1412">
        <v>0.14000000000000001</v>
      </c>
      <c r="J1412">
        <v>0.14000000000000001</v>
      </c>
      <c r="K1412">
        <v>3</v>
      </c>
      <c r="L1412">
        <v>25</v>
      </c>
      <c r="M1412">
        <v>0.1</v>
      </c>
      <c r="N1412">
        <v>194</v>
      </c>
      <c r="O1412">
        <v>0.15</v>
      </c>
      <c r="P1412">
        <v>0</v>
      </c>
      <c r="Q1412">
        <v>0</v>
      </c>
      <c r="R1412">
        <v>0</v>
      </c>
      <c r="S1412">
        <v>0</v>
      </c>
      <c r="T1412">
        <v>0.54710000000000003</v>
      </c>
      <c r="U1412">
        <v>-8.9999999999999998E-4</v>
      </c>
      <c r="V1412">
        <v>0</v>
      </c>
      <c r="W1412">
        <v>-8.0500000000000002E-2</v>
      </c>
      <c r="X1412">
        <v>3.1099999999999999E-2</v>
      </c>
      <c r="Y1412">
        <v>-1.1999999999999999E-3</v>
      </c>
      <c r="Z1412">
        <v>161</v>
      </c>
      <c r="AA1412">
        <v>0.05</v>
      </c>
      <c r="AB1412">
        <v>18</v>
      </c>
      <c r="AC1412">
        <v>0.1</v>
      </c>
      <c r="AD1412">
        <v>0</v>
      </c>
      <c r="AE1412">
        <v>0</v>
      </c>
      <c r="AF1412">
        <v>0.1467</v>
      </c>
      <c r="AG1412">
        <v>229</v>
      </c>
      <c r="AH1412">
        <v>0</v>
      </c>
    </row>
    <row r="1413" spans="1:34" x14ac:dyDescent="0.35">
      <c r="A1413" t="s">
        <v>34</v>
      </c>
      <c r="B1413" s="1">
        <v>46146.65625</v>
      </c>
      <c r="C1413" t="s">
        <v>34</v>
      </c>
      <c r="D1413" s="1">
        <v>46153.625</v>
      </c>
      <c r="E1413">
        <v>5725</v>
      </c>
      <c r="F1413" t="s">
        <v>36</v>
      </c>
      <c r="G1413">
        <v>0.1</v>
      </c>
      <c r="H1413">
        <v>0.1</v>
      </c>
      <c r="I1413">
        <v>0.1</v>
      </c>
      <c r="J1413">
        <v>0.1</v>
      </c>
      <c r="K1413">
        <v>24</v>
      </c>
      <c r="L1413">
        <v>533</v>
      </c>
      <c r="M1413">
        <v>0.05</v>
      </c>
      <c r="N1413">
        <v>173</v>
      </c>
      <c r="O1413">
        <v>0.15</v>
      </c>
      <c r="P1413">
        <v>0</v>
      </c>
      <c r="Q1413">
        <v>0</v>
      </c>
      <c r="R1413">
        <v>0</v>
      </c>
      <c r="S1413">
        <v>0</v>
      </c>
      <c r="T1413">
        <v>0.5282</v>
      </c>
      <c r="U1413">
        <v>-8.0000000000000004E-4</v>
      </c>
      <c r="V1413">
        <v>0</v>
      </c>
      <c r="W1413">
        <v>-6.54E-2</v>
      </c>
      <c r="X1413">
        <v>2.6599999999999999E-2</v>
      </c>
      <c r="Y1413">
        <v>-1E-3</v>
      </c>
      <c r="Z1413">
        <v>159</v>
      </c>
      <c r="AA1413">
        <v>0.05</v>
      </c>
      <c r="AB1413">
        <v>340</v>
      </c>
      <c r="AC1413">
        <v>0.2</v>
      </c>
      <c r="AD1413">
        <v>0</v>
      </c>
      <c r="AE1413">
        <v>0</v>
      </c>
      <c r="AF1413">
        <v>0.1</v>
      </c>
      <c r="AG1413">
        <v>34</v>
      </c>
      <c r="AH1413">
        <v>0</v>
      </c>
    </row>
    <row r="1414" spans="1:34" x14ac:dyDescent="0.35">
      <c r="A1414" t="s">
        <v>34</v>
      </c>
      <c r="B1414" s="1">
        <v>46146.65625</v>
      </c>
      <c r="C1414" t="s">
        <v>34</v>
      </c>
      <c r="D1414" s="1">
        <v>46153.625</v>
      </c>
      <c r="E1414">
        <v>5750</v>
      </c>
      <c r="F1414" t="s">
        <v>36</v>
      </c>
      <c r="G1414">
        <v>0.17</v>
      </c>
      <c r="H1414">
        <v>0.17</v>
      </c>
      <c r="I1414">
        <v>0.1</v>
      </c>
      <c r="J1414">
        <v>0.1</v>
      </c>
      <c r="K1414">
        <v>293</v>
      </c>
      <c r="L1414">
        <v>817</v>
      </c>
      <c r="M1414">
        <v>0.05</v>
      </c>
      <c r="N1414">
        <v>133</v>
      </c>
      <c r="O1414">
        <v>0.15</v>
      </c>
      <c r="P1414">
        <v>0</v>
      </c>
      <c r="Q1414">
        <v>0</v>
      </c>
      <c r="R1414">
        <v>0</v>
      </c>
      <c r="S1414">
        <v>0</v>
      </c>
      <c r="T1414">
        <v>0.51859999999999995</v>
      </c>
      <c r="U1414">
        <v>-8.0000000000000004E-4</v>
      </c>
      <c r="V1414">
        <v>0</v>
      </c>
      <c r="W1414">
        <v>-6.5299999999999997E-2</v>
      </c>
      <c r="X1414">
        <v>2.7099999999999999E-2</v>
      </c>
      <c r="Y1414">
        <v>-1E-3</v>
      </c>
      <c r="Z1414">
        <v>156</v>
      </c>
      <c r="AA1414">
        <v>0.05</v>
      </c>
      <c r="AB1414">
        <v>1</v>
      </c>
      <c r="AC1414">
        <v>0.15</v>
      </c>
      <c r="AD1414">
        <v>0</v>
      </c>
      <c r="AE1414">
        <v>0</v>
      </c>
      <c r="AF1414">
        <v>0.14949999999999999</v>
      </c>
      <c r="AG1414">
        <v>196</v>
      </c>
      <c r="AH1414">
        <v>0</v>
      </c>
    </row>
    <row r="1415" spans="1:34" x14ac:dyDescent="0.35">
      <c r="A1415" t="s">
        <v>34</v>
      </c>
      <c r="B1415" s="1">
        <v>46146.65625</v>
      </c>
      <c r="C1415" t="s">
        <v>34</v>
      </c>
      <c r="D1415" s="1">
        <v>46153.625</v>
      </c>
      <c r="E1415">
        <v>5775</v>
      </c>
      <c r="F1415" t="s">
        <v>36</v>
      </c>
      <c r="G1415">
        <v>0.1</v>
      </c>
      <c r="H1415">
        <v>0.1</v>
      </c>
      <c r="I1415">
        <v>0.1</v>
      </c>
      <c r="J1415">
        <v>0.1</v>
      </c>
      <c r="K1415">
        <v>9</v>
      </c>
      <c r="L1415">
        <v>113</v>
      </c>
      <c r="M1415">
        <v>0.1</v>
      </c>
      <c r="N1415">
        <v>8</v>
      </c>
      <c r="O1415">
        <v>0.15</v>
      </c>
      <c r="P1415">
        <v>0</v>
      </c>
      <c r="Q1415">
        <v>0</v>
      </c>
      <c r="R1415">
        <v>0</v>
      </c>
      <c r="S1415">
        <v>0</v>
      </c>
      <c r="T1415">
        <v>0.51859999999999995</v>
      </c>
      <c r="U1415">
        <v>-8.9999999999999998E-4</v>
      </c>
      <c r="V1415">
        <v>0</v>
      </c>
      <c r="W1415">
        <v>-8.0100000000000005E-2</v>
      </c>
      <c r="X1415">
        <v>3.27E-2</v>
      </c>
      <c r="Y1415">
        <v>-1.2999999999999999E-3</v>
      </c>
      <c r="Z1415">
        <v>184</v>
      </c>
      <c r="AA1415">
        <v>0.05</v>
      </c>
      <c r="AB1415">
        <v>330</v>
      </c>
      <c r="AC1415">
        <v>0.2</v>
      </c>
      <c r="AD1415">
        <v>0</v>
      </c>
      <c r="AE1415">
        <v>0</v>
      </c>
      <c r="AF1415">
        <v>0.1</v>
      </c>
      <c r="AG1415">
        <v>14</v>
      </c>
      <c r="AH1415">
        <v>0</v>
      </c>
    </row>
    <row r="1416" spans="1:34" x14ac:dyDescent="0.35">
      <c r="A1416" t="s">
        <v>34</v>
      </c>
      <c r="B1416" s="1">
        <v>46146.65625</v>
      </c>
      <c r="C1416" t="s">
        <v>34</v>
      </c>
      <c r="D1416" s="1">
        <v>46153.625</v>
      </c>
      <c r="E1416">
        <v>5800</v>
      </c>
      <c r="F1416" t="s">
        <v>36</v>
      </c>
      <c r="G1416">
        <v>0.23</v>
      </c>
      <c r="H1416">
        <v>0.24</v>
      </c>
      <c r="I1416">
        <v>0.1</v>
      </c>
      <c r="J1416">
        <v>0.1</v>
      </c>
      <c r="K1416">
        <v>109</v>
      </c>
      <c r="L1416">
        <v>108</v>
      </c>
      <c r="M1416">
        <v>0.1</v>
      </c>
      <c r="N1416">
        <v>18</v>
      </c>
      <c r="O1416">
        <v>0.15</v>
      </c>
      <c r="P1416">
        <v>0</v>
      </c>
      <c r="Q1416">
        <v>0</v>
      </c>
      <c r="R1416">
        <v>0</v>
      </c>
      <c r="S1416">
        <v>0</v>
      </c>
      <c r="T1416">
        <v>0.50929999999999997</v>
      </c>
      <c r="U1416">
        <v>-1E-3</v>
      </c>
      <c r="V1416">
        <v>0</v>
      </c>
      <c r="W1416">
        <v>-0.08</v>
      </c>
      <c r="X1416">
        <v>3.3300000000000003E-2</v>
      </c>
      <c r="Y1416">
        <v>-1.2999999999999999E-3</v>
      </c>
      <c r="Z1416">
        <v>47</v>
      </c>
      <c r="AA1416">
        <v>0.1</v>
      </c>
      <c r="AB1416">
        <v>327</v>
      </c>
      <c r="AC1416">
        <v>0.2</v>
      </c>
      <c r="AD1416">
        <v>0</v>
      </c>
      <c r="AE1416">
        <v>0</v>
      </c>
      <c r="AF1416">
        <v>0.1583</v>
      </c>
      <c r="AG1416">
        <v>299</v>
      </c>
      <c r="AH1416">
        <v>0</v>
      </c>
    </row>
    <row r="1417" spans="1:34" x14ac:dyDescent="0.35">
      <c r="A1417" t="s">
        <v>34</v>
      </c>
      <c r="B1417" s="1">
        <v>46146.65625</v>
      </c>
      <c r="C1417" t="s">
        <v>34</v>
      </c>
      <c r="D1417" s="1">
        <v>46153.625</v>
      </c>
      <c r="E1417">
        <v>5825</v>
      </c>
      <c r="F1417" t="s">
        <v>36</v>
      </c>
      <c r="G1417">
        <v>0.1</v>
      </c>
      <c r="H1417">
        <v>0.1</v>
      </c>
      <c r="I1417">
        <v>0.1</v>
      </c>
      <c r="J1417">
        <v>0.1</v>
      </c>
      <c r="K1417">
        <v>4</v>
      </c>
      <c r="L1417">
        <v>435</v>
      </c>
      <c r="M1417">
        <v>0.1</v>
      </c>
      <c r="N1417">
        <v>11</v>
      </c>
      <c r="O1417">
        <v>0.15</v>
      </c>
      <c r="P1417">
        <v>0</v>
      </c>
      <c r="Q1417">
        <v>0</v>
      </c>
      <c r="R1417">
        <v>0</v>
      </c>
      <c r="S1417">
        <v>0</v>
      </c>
      <c r="T1417">
        <v>0.49990000000000001</v>
      </c>
      <c r="U1417">
        <v>-1E-3</v>
      </c>
      <c r="V1417">
        <v>0</v>
      </c>
      <c r="W1417">
        <v>-7.9899999999999999E-2</v>
      </c>
      <c r="X1417">
        <v>3.39E-2</v>
      </c>
      <c r="Y1417">
        <v>-1.2999999999999999E-3</v>
      </c>
      <c r="Z1417">
        <v>48</v>
      </c>
      <c r="AA1417">
        <v>0.1</v>
      </c>
      <c r="AB1417">
        <v>299</v>
      </c>
      <c r="AC1417">
        <v>0.2</v>
      </c>
      <c r="AD1417">
        <v>0</v>
      </c>
      <c r="AE1417">
        <v>0</v>
      </c>
      <c r="AF1417">
        <v>0.1</v>
      </c>
      <c r="AG1417">
        <v>83</v>
      </c>
      <c r="AH1417">
        <v>0</v>
      </c>
    </row>
    <row r="1418" spans="1:34" x14ac:dyDescent="0.35">
      <c r="A1418" t="s">
        <v>34</v>
      </c>
      <c r="B1418" s="1">
        <v>46146.65625</v>
      </c>
      <c r="C1418" t="s">
        <v>34</v>
      </c>
      <c r="D1418" s="1">
        <v>46153.625</v>
      </c>
      <c r="E1418">
        <v>5850</v>
      </c>
      <c r="F1418" t="s">
        <v>36</v>
      </c>
      <c r="G1418">
        <v>0.15</v>
      </c>
      <c r="H1418">
        <v>0.15</v>
      </c>
      <c r="I1418">
        <v>0.14000000000000001</v>
      </c>
      <c r="J1418">
        <v>0.14000000000000001</v>
      </c>
      <c r="K1418">
        <v>2</v>
      </c>
      <c r="L1418">
        <v>340</v>
      </c>
      <c r="M1418">
        <v>0.1</v>
      </c>
      <c r="N1418">
        <v>17</v>
      </c>
      <c r="O1418">
        <v>0.15</v>
      </c>
      <c r="P1418">
        <v>0</v>
      </c>
      <c r="Q1418">
        <v>0</v>
      </c>
      <c r="R1418">
        <v>0</v>
      </c>
      <c r="S1418">
        <v>0</v>
      </c>
      <c r="T1418">
        <v>0.49049999999999999</v>
      </c>
      <c r="U1418">
        <v>-1E-3</v>
      </c>
      <c r="V1418">
        <v>0</v>
      </c>
      <c r="W1418">
        <v>-7.9799999999999996E-2</v>
      </c>
      <c r="X1418">
        <v>3.4500000000000003E-2</v>
      </c>
      <c r="Y1418">
        <v>-1.2999999999999999E-3</v>
      </c>
      <c r="Z1418">
        <v>59</v>
      </c>
      <c r="AA1418">
        <v>0.1</v>
      </c>
      <c r="AB1418">
        <v>6</v>
      </c>
      <c r="AC1418">
        <v>0.15</v>
      </c>
      <c r="AD1418">
        <v>0</v>
      </c>
      <c r="AE1418">
        <v>0</v>
      </c>
      <c r="AF1418">
        <v>0.14499999999999999</v>
      </c>
      <c r="AG1418">
        <v>118</v>
      </c>
      <c r="AH1418">
        <v>0</v>
      </c>
    </row>
    <row r="1419" spans="1:34" x14ac:dyDescent="0.35">
      <c r="A1419" t="s">
        <v>34</v>
      </c>
      <c r="B1419" s="1">
        <v>46146.65625</v>
      </c>
      <c r="C1419" t="s">
        <v>34</v>
      </c>
      <c r="D1419" s="1">
        <v>46153.625</v>
      </c>
      <c r="E1419">
        <v>5875</v>
      </c>
      <c r="F1419" t="s">
        <v>36</v>
      </c>
      <c r="G1419">
        <v>0.1</v>
      </c>
      <c r="H1419">
        <v>0.15</v>
      </c>
      <c r="I1419">
        <v>0.1</v>
      </c>
      <c r="J1419">
        <v>0.15</v>
      </c>
      <c r="K1419">
        <v>19</v>
      </c>
      <c r="L1419">
        <v>612</v>
      </c>
      <c r="M1419">
        <v>0.1</v>
      </c>
      <c r="N1419">
        <v>11</v>
      </c>
      <c r="O1419">
        <v>0.15</v>
      </c>
      <c r="P1419">
        <v>0</v>
      </c>
      <c r="Q1419">
        <v>0</v>
      </c>
      <c r="R1419">
        <v>0</v>
      </c>
      <c r="S1419">
        <v>0</v>
      </c>
      <c r="T1419">
        <v>0.48120000000000002</v>
      </c>
      <c r="U1419">
        <v>-1E-3</v>
      </c>
      <c r="V1419">
        <v>0</v>
      </c>
      <c r="W1419">
        <v>-7.9699999999999993E-2</v>
      </c>
      <c r="X1419">
        <v>3.5099999999999999E-2</v>
      </c>
      <c r="Y1419">
        <v>-1.2999999999999999E-3</v>
      </c>
      <c r="Z1419">
        <v>50</v>
      </c>
      <c r="AA1419">
        <v>0.1</v>
      </c>
      <c r="AB1419">
        <v>243</v>
      </c>
      <c r="AC1419">
        <v>0.2</v>
      </c>
      <c r="AD1419">
        <v>0</v>
      </c>
      <c r="AE1419">
        <v>0</v>
      </c>
      <c r="AF1419">
        <v>0.13950000000000001</v>
      </c>
      <c r="AG1419">
        <v>96</v>
      </c>
      <c r="AH1419">
        <v>0</v>
      </c>
    </row>
    <row r="1420" spans="1:34" x14ac:dyDescent="0.35">
      <c r="A1420" t="s">
        <v>34</v>
      </c>
      <c r="B1420" s="1">
        <v>46146.65625</v>
      </c>
      <c r="C1420" t="s">
        <v>34</v>
      </c>
      <c r="D1420" s="1">
        <v>46153.625</v>
      </c>
      <c r="E1420">
        <v>5900</v>
      </c>
      <c r="F1420" t="s">
        <v>36</v>
      </c>
      <c r="G1420">
        <v>0.13</v>
      </c>
      <c r="H1420">
        <v>0.25</v>
      </c>
      <c r="I1420">
        <v>0.12</v>
      </c>
      <c r="J1420">
        <v>0.16</v>
      </c>
      <c r="K1420">
        <v>217</v>
      </c>
      <c r="L1420">
        <v>730</v>
      </c>
      <c r="M1420">
        <v>0.1</v>
      </c>
      <c r="N1420">
        <v>17</v>
      </c>
      <c r="O1420">
        <v>0.15</v>
      </c>
      <c r="P1420">
        <v>0</v>
      </c>
      <c r="Q1420">
        <v>0</v>
      </c>
      <c r="R1420">
        <v>0</v>
      </c>
      <c r="S1420">
        <v>0</v>
      </c>
      <c r="T1420">
        <v>0.47199999999999998</v>
      </c>
      <c r="U1420">
        <v>-1E-3</v>
      </c>
      <c r="V1420">
        <v>0</v>
      </c>
      <c r="W1420">
        <v>-7.9600000000000004E-2</v>
      </c>
      <c r="X1420">
        <v>3.5799999999999998E-2</v>
      </c>
      <c r="Y1420">
        <v>-1.4E-3</v>
      </c>
      <c r="Z1420">
        <v>65</v>
      </c>
      <c r="AA1420">
        <v>0.1</v>
      </c>
      <c r="AB1420">
        <v>324</v>
      </c>
      <c r="AC1420">
        <v>0.25</v>
      </c>
      <c r="AD1420">
        <v>0</v>
      </c>
      <c r="AE1420">
        <v>0</v>
      </c>
      <c r="AF1420">
        <v>0.1797</v>
      </c>
      <c r="AG1420">
        <v>2593</v>
      </c>
      <c r="AH1420">
        <v>0</v>
      </c>
    </row>
    <row r="1421" spans="1:34" x14ac:dyDescent="0.35">
      <c r="A1421" t="s">
        <v>34</v>
      </c>
      <c r="B1421" s="1">
        <v>46146.65625</v>
      </c>
      <c r="C1421" t="s">
        <v>34</v>
      </c>
      <c r="D1421" s="1">
        <v>46153.625</v>
      </c>
      <c r="E1421">
        <v>5925</v>
      </c>
      <c r="F1421" t="s">
        <v>36</v>
      </c>
      <c r="G1421">
        <v>0.15</v>
      </c>
      <c r="H1421">
        <v>0.15</v>
      </c>
      <c r="I1421">
        <v>0.15</v>
      </c>
      <c r="J1421">
        <v>0.15</v>
      </c>
      <c r="K1421">
        <v>11</v>
      </c>
      <c r="L1421">
        <v>568</v>
      </c>
      <c r="M1421">
        <v>0.1</v>
      </c>
      <c r="N1421">
        <v>212</v>
      </c>
      <c r="O1421">
        <v>0.2</v>
      </c>
      <c r="P1421">
        <v>0</v>
      </c>
      <c r="Q1421">
        <v>0</v>
      </c>
      <c r="R1421">
        <v>0</v>
      </c>
      <c r="S1421">
        <v>0</v>
      </c>
      <c r="T1421">
        <v>0.46970000000000001</v>
      </c>
      <c r="U1421">
        <v>-1.1999999999999999E-3</v>
      </c>
      <c r="V1421">
        <v>0</v>
      </c>
      <c r="W1421">
        <v>-9.3899999999999997E-2</v>
      </c>
      <c r="X1421">
        <v>4.1799999999999997E-2</v>
      </c>
      <c r="Y1421">
        <v>-1.6000000000000001E-3</v>
      </c>
      <c r="Z1421">
        <v>118</v>
      </c>
      <c r="AA1421">
        <v>0.1</v>
      </c>
      <c r="AB1421">
        <v>320</v>
      </c>
      <c r="AC1421">
        <v>0.25</v>
      </c>
      <c r="AD1421">
        <v>0</v>
      </c>
      <c r="AE1421">
        <v>0</v>
      </c>
      <c r="AF1421">
        <v>0.15</v>
      </c>
      <c r="AG1421">
        <v>82</v>
      </c>
      <c r="AH1421">
        <v>0</v>
      </c>
    </row>
    <row r="1422" spans="1:34" x14ac:dyDescent="0.35">
      <c r="A1422" t="s">
        <v>34</v>
      </c>
      <c r="B1422" s="1">
        <v>46146.65625</v>
      </c>
      <c r="C1422" t="s">
        <v>34</v>
      </c>
      <c r="D1422" s="1">
        <v>46153.625</v>
      </c>
      <c r="E1422">
        <v>5950</v>
      </c>
      <c r="F1422" t="s">
        <v>36</v>
      </c>
      <c r="G1422">
        <v>0.15</v>
      </c>
      <c r="H1422">
        <v>0.2</v>
      </c>
      <c r="I1422">
        <v>0.15</v>
      </c>
      <c r="J1422">
        <v>0.15</v>
      </c>
      <c r="K1422">
        <v>36</v>
      </c>
      <c r="L1422">
        <v>769</v>
      </c>
      <c r="M1422">
        <v>0.1</v>
      </c>
      <c r="N1422">
        <v>9</v>
      </c>
      <c r="O1422">
        <v>0.15</v>
      </c>
      <c r="P1422">
        <v>0</v>
      </c>
      <c r="Q1422">
        <v>0</v>
      </c>
      <c r="R1422">
        <v>0</v>
      </c>
      <c r="S1422">
        <v>0</v>
      </c>
      <c r="T1422">
        <v>0.45340000000000003</v>
      </c>
      <c r="U1422">
        <v>-1.1000000000000001E-3</v>
      </c>
      <c r="V1422">
        <v>0</v>
      </c>
      <c r="W1422">
        <v>-7.9299999999999995E-2</v>
      </c>
      <c r="X1422">
        <v>3.7199999999999997E-2</v>
      </c>
      <c r="Y1422">
        <v>-1.4E-3</v>
      </c>
      <c r="Z1422">
        <v>190</v>
      </c>
      <c r="AA1422">
        <v>0.1</v>
      </c>
      <c r="AB1422">
        <v>315</v>
      </c>
      <c r="AC1422">
        <v>0.25</v>
      </c>
      <c r="AD1422">
        <v>0</v>
      </c>
      <c r="AE1422">
        <v>0</v>
      </c>
      <c r="AF1422">
        <v>0.15140000000000001</v>
      </c>
      <c r="AG1422">
        <v>64</v>
      </c>
      <c r="AH1422">
        <v>0</v>
      </c>
    </row>
    <row r="1423" spans="1:34" x14ac:dyDescent="0.35">
      <c r="A1423" t="s">
        <v>34</v>
      </c>
      <c r="B1423" s="1">
        <v>46146.65625</v>
      </c>
      <c r="C1423" t="s">
        <v>34</v>
      </c>
      <c r="D1423" s="1">
        <v>46153.625</v>
      </c>
      <c r="E1423">
        <v>5975</v>
      </c>
      <c r="F1423" t="s">
        <v>36</v>
      </c>
      <c r="G1423">
        <v>0.2</v>
      </c>
      <c r="H1423">
        <v>0.2</v>
      </c>
      <c r="I1423">
        <v>0.15</v>
      </c>
      <c r="J1423">
        <v>0.15</v>
      </c>
      <c r="K1423">
        <v>202</v>
      </c>
      <c r="L1423">
        <v>299</v>
      </c>
      <c r="M1423">
        <v>0.15</v>
      </c>
      <c r="N1423">
        <v>594</v>
      </c>
      <c r="O1423">
        <v>0.25</v>
      </c>
      <c r="P1423">
        <v>0</v>
      </c>
      <c r="Q1423">
        <v>0</v>
      </c>
      <c r="R1423">
        <v>0</v>
      </c>
      <c r="S1423">
        <v>0</v>
      </c>
      <c r="T1423">
        <v>0.45689999999999997</v>
      </c>
      <c r="U1423">
        <v>-1.4E-3</v>
      </c>
      <c r="V1423">
        <v>0</v>
      </c>
      <c r="W1423">
        <v>-0.10780000000000001</v>
      </c>
      <c r="X1423">
        <v>4.87E-2</v>
      </c>
      <c r="Y1423">
        <v>-1.9E-3</v>
      </c>
      <c r="Z1423">
        <v>168</v>
      </c>
      <c r="AA1423">
        <v>0.1</v>
      </c>
      <c r="AB1423">
        <v>311</v>
      </c>
      <c r="AC1423">
        <v>0.25</v>
      </c>
      <c r="AD1423">
        <v>0</v>
      </c>
      <c r="AE1423">
        <v>0</v>
      </c>
      <c r="AF1423">
        <v>0.1993</v>
      </c>
      <c r="AG1423">
        <v>42</v>
      </c>
      <c r="AH1423">
        <v>0</v>
      </c>
    </row>
    <row r="1424" spans="1:34" x14ac:dyDescent="0.35">
      <c r="A1424" t="s">
        <v>34</v>
      </c>
      <c r="B1424" s="1">
        <v>46146.65625</v>
      </c>
      <c r="C1424" t="s">
        <v>34</v>
      </c>
      <c r="D1424" s="1">
        <v>46153.625</v>
      </c>
      <c r="E1424">
        <v>6000</v>
      </c>
      <c r="F1424" t="s">
        <v>36</v>
      </c>
      <c r="G1424">
        <v>0.2</v>
      </c>
      <c r="H1424">
        <v>0.25</v>
      </c>
      <c r="I1424">
        <v>0.13</v>
      </c>
      <c r="J1424">
        <v>0.14000000000000001</v>
      </c>
      <c r="K1424">
        <v>294</v>
      </c>
      <c r="L1424">
        <v>276</v>
      </c>
      <c r="M1424">
        <v>0.15</v>
      </c>
      <c r="N1424">
        <v>20</v>
      </c>
      <c r="O1424">
        <v>0.2</v>
      </c>
      <c r="P1424">
        <v>0</v>
      </c>
      <c r="Q1424">
        <v>0</v>
      </c>
      <c r="R1424">
        <v>0</v>
      </c>
      <c r="S1424">
        <v>0</v>
      </c>
      <c r="T1424">
        <v>0.44769999999999999</v>
      </c>
      <c r="U1424">
        <v>-1.5E-3</v>
      </c>
      <c r="V1424">
        <v>0</v>
      </c>
      <c r="W1424">
        <v>-0.1076</v>
      </c>
      <c r="X1424">
        <v>4.9700000000000001E-2</v>
      </c>
      <c r="Y1424">
        <v>-2E-3</v>
      </c>
      <c r="Z1424">
        <v>45</v>
      </c>
      <c r="AA1424">
        <v>0.15</v>
      </c>
      <c r="AB1424">
        <v>301</v>
      </c>
      <c r="AC1424">
        <v>0.25</v>
      </c>
      <c r="AD1424">
        <v>0</v>
      </c>
      <c r="AE1424">
        <v>0</v>
      </c>
      <c r="AF1424">
        <v>0.1789</v>
      </c>
      <c r="AG1424">
        <v>431</v>
      </c>
      <c r="AH1424">
        <v>0</v>
      </c>
    </row>
    <row r="1425" spans="1:34" x14ac:dyDescent="0.35">
      <c r="A1425" t="s">
        <v>34</v>
      </c>
      <c r="B1425" s="1">
        <v>46146.65625</v>
      </c>
      <c r="C1425" t="s">
        <v>34</v>
      </c>
      <c r="D1425" s="1">
        <v>46153.625</v>
      </c>
      <c r="E1425">
        <v>6025</v>
      </c>
      <c r="F1425" t="s">
        <v>36</v>
      </c>
      <c r="G1425">
        <v>0.15</v>
      </c>
      <c r="H1425">
        <v>0.15</v>
      </c>
      <c r="I1425">
        <v>0.15</v>
      </c>
      <c r="J1425">
        <v>0.15</v>
      </c>
      <c r="K1425">
        <v>4</v>
      </c>
      <c r="L1425">
        <v>579</v>
      </c>
      <c r="M1425">
        <v>0.15</v>
      </c>
      <c r="N1425">
        <v>10</v>
      </c>
      <c r="O1425">
        <v>0.2</v>
      </c>
      <c r="P1425">
        <v>0</v>
      </c>
      <c r="Q1425">
        <v>0</v>
      </c>
      <c r="R1425">
        <v>0</v>
      </c>
      <c r="S1425">
        <v>0</v>
      </c>
      <c r="T1425">
        <v>0.43830000000000002</v>
      </c>
      <c r="U1425">
        <v>-1.5E-3</v>
      </c>
      <c r="V1425">
        <v>0</v>
      </c>
      <c r="W1425">
        <v>-0.1074</v>
      </c>
      <c r="X1425">
        <v>5.0700000000000002E-2</v>
      </c>
      <c r="Y1425">
        <v>-2E-3</v>
      </c>
      <c r="Z1425">
        <v>47</v>
      </c>
      <c r="AA1425">
        <v>0.15</v>
      </c>
      <c r="AB1425">
        <v>224</v>
      </c>
      <c r="AC1425">
        <v>0.25</v>
      </c>
      <c r="AD1425">
        <v>0</v>
      </c>
      <c r="AE1425">
        <v>0</v>
      </c>
      <c r="AF1425">
        <v>0.15</v>
      </c>
      <c r="AG1425">
        <v>60</v>
      </c>
      <c r="AH1425">
        <v>0</v>
      </c>
    </row>
    <row r="1426" spans="1:34" x14ac:dyDescent="0.35">
      <c r="A1426" t="s">
        <v>34</v>
      </c>
      <c r="B1426" s="1">
        <v>46146.65625</v>
      </c>
      <c r="C1426" t="s">
        <v>34</v>
      </c>
      <c r="D1426" s="1">
        <v>46153.625</v>
      </c>
      <c r="E1426">
        <v>6050</v>
      </c>
      <c r="F1426" t="s">
        <v>36</v>
      </c>
      <c r="G1426">
        <v>0.2</v>
      </c>
      <c r="H1426">
        <v>0.23</v>
      </c>
      <c r="I1426">
        <v>0.19</v>
      </c>
      <c r="J1426">
        <v>0.2</v>
      </c>
      <c r="K1426">
        <v>178</v>
      </c>
      <c r="L1426">
        <v>744</v>
      </c>
      <c r="M1426">
        <v>0.15</v>
      </c>
      <c r="N1426">
        <v>15</v>
      </c>
      <c r="O1426">
        <v>0.2</v>
      </c>
      <c r="P1426">
        <v>0</v>
      </c>
      <c r="Q1426">
        <v>0</v>
      </c>
      <c r="R1426">
        <v>0</v>
      </c>
      <c r="S1426">
        <v>0</v>
      </c>
      <c r="T1426">
        <v>0.4289</v>
      </c>
      <c r="U1426">
        <v>-1.5E-3</v>
      </c>
      <c r="V1426">
        <v>0</v>
      </c>
      <c r="W1426">
        <v>-0.1072</v>
      </c>
      <c r="X1426">
        <v>5.1700000000000003E-2</v>
      </c>
      <c r="Y1426">
        <v>-2E-3</v>
      </c>
      <c r="Z1426">
        <v>60</v>
      </c>
      <c r="AA1426">
        <v>0.15</v>
      </c>
      <c r="AB1426">
        <v>168</v>
      </c>
      <c r="AC1426">
        <v>0.25</v>
      </c>
      <c r="AD1426">
        <v>0</v>
      </c>
      <c r="AE1426">
        <v>0</v>
      </c>
      <c r="AF1426">
        <v>0.20250000000000001</v>
      </c>
      <c r="AG1426">
        <v>103</v>
      </c>
      <c r="AH1426">
        <v>0</v>
      </c>
    </row>
    <row r="1427" spans="1:34" x14ac:dyDescent="0.35">
      <c r="A1427" t="s">
        <v>34</v>
      </c>
      <c r="B1427" s="1">
        <v>46146.65625</v>
      </c>
      <c r="C1427" t="s">
        <v>34</v>
      </c>
      <c r="D1427" s="1">
        <v>46153.625</v>
      </c>
      <c r="E1427">
        <v>6075</v>
      </c>
      <c r="F1427" t="s">
        <v>36</v>
      </c>
      <c r="G1427">
        <v>0.2</v>
      </c>
      <c r="H1427">
        <v>0.2</v>
      </c>
      <c r="I1427">
        <v>0.2</v>
      </c>
      <c r="J1427">
        <v>0.2</v>
      </c>
      <c r="K1427">
        <v>114</v>
      </c>
      <c r="L1427">
        <v>718</v>
      </c>
      <c r="M1427">
        <v>0.15</v>
      </c>
      <c r="N1427">
        <v>6</v>
      </c>
      <c r="O1427">
        <v>0.25</v>
      </c>
      <c r="P1427">
        <v>0</v>
      </c>
      <c r="Q1427">
        <v>0</v>
      </c>
      <c r="R1427">
        <v>0</v>
      </c>
      <c r="S1427">
        <v>0</v>
      </c>
      <c r="T1427">
        <v>0.42459999999999998</v>
      </c>
      <c r="U1427">
        <v>-1.6999999999999999E-3</v>
      </c>
      <c r="V1427">
        <v>0</v>
      </c>
      <c r="W1427">
        <v>-0.1208</v>
      </c>
      <c r="X1427">
        <v>5.8400000000000001E-2</v>
      </c>
      <c r="Y1427">
        <v>-2.3E-3</v>
      </c>
      <c r="Z1427">
        <v>110</v>
      </c>
      <c r="AA1427">
        <v>0.15</v>
      </c>
      <c r="AB1427">
        <v>285</v>
      </c>
      <c r="AC1427">
        <v>0.3</v>
      </c>
      <c r="AD1427">
        <v>0</v>
      </c>
      <c r="AE1427">
        <v>0</v>
      </c>
      <c r="AF1427">
        <v>0.2</v>
      </c>
      <c r="AG1427">
        <v>119</v>
      </c>
      <c r="AH1427">
        <v>0</v>
      </c>
    </row>
    <row r="1428" spans="1:34" x14ac:dyDescent="0.35">
      <c r="A1428" t="s">
        <v>34</v>
      </c>
      <c r="B1428" s="1">
        <v>46146.65625</v>
      </c>
      <c r="C1428" t="s">
        <v>34</v>
      </c>
      <c r="D1428" s="1">
        <v>46153.625</v>
      </c>
      <c r="E1428">
        <v>6100</v>
      </c>
      <c r="F1428" t="s">
        <v>36</v>
      </c>
      <c r="G1428">
        <v>0.2</v>
      </c>
      <c r="H1428">
        <v>0.2</v>
      </c>
      <c r="I1428">
        <v>0.2</v>
      </c>
      <c r="J1428">
        <v>0.2</v>
      </c>
      <c r="K1428">
        <v>21</v>
      </c>
      <c r="L1428">
        <v>398</v>
      </c>
      <c r="M1428">
        <v>0.2</v>
      </c>
      <c r="N1428">
        <v>18</v>
      </c>
      <c r="O1428">
        <v>0.25</v>
      </c>
      <c r="P1428">
        <v>0</v>
      </c>
      <c r="Q1428">
        <v>0</v>
      </c>
      <c r="R1428">
        <v>0</v>
      </c>
      <c r="S1428">
        <v>0</v>
      </c>
      <c r="T1428">
        <v>0.41970000000000002</v>
      </c>
      <c r="U1428">
        <v>-2E-3</v>
      </c>
      <c r="V1428">
        <v>0</v>
      </c>
      <c r="W1428">
        <v>-0.13420000000000001</v>
      </c>
      <c r="X1428">
        <v>6.5000000000000002E-2</v>
      </c>
      <c r="Y1428">
        <v>-2.5999999999999999E-3</v>
      </c>
      <c r="Z1428">
        <v>162</v>
      </c>
      <c r="AA1428">
        <v>0.15</v>
      </c>
      <c r="AB1428">
        <v>275</v>
      </c>
      <c r="AC1428">
        <v>0.3</v>
      </c>
      <c r="AD1428">
        <v>0</v>
      </c>
      <c r="AE1428">
        <v>0</v>
      </c>
      <c r="AF1428">
        <v>0.2</v>
      </c>
      <c r="AG1428">
        <v>392</v>
      </c>
      <c r="AH1428">
        <v>0</v>
      </c>
    </row>
    <row r="1429" spans="1:34" x14ac:dyDescent="0.35">
      <c r="A1429" t="s">
        <v>34</v>
      </c>
      <c r="B1429" s="1">
        <v>46146.65625</v>
      </c>
      <c r="C1429" t="s">
        <v>34</v>
      </c>
      <c r="D1429" s="1">
        <v>46153.625</v>
      </c>
      <c r="E1429">
        <v>6125</v>
      </c>
      <c r="F1429" t="s">
        <v>36</v>
      </c>
      <c r="G1429">
        <v>0.32</v>
      </c>
      <c r="H1429">
        <v>0.32</v>
      </c>
      <c r="I1429">
        <v>0.2</v>
      </c>
      <c r="J1429">
        <v>0.2</v>
      </c>
      <c r="K1429">
        <v>5</v>
      </c>
      <c r="L1429">
        <v>528</v>
      </c>
      <c r="M1429">
        <v>0.2</v>
      </c>
      <c r="N1429">
        <v>8</v>
      </c>
      <c r="O1429">
        <v>0.25</v>
      </c>
      <c r="P1429">
        <v>0</v>
      </c>
      <c r="Q1429">
        <v>0</v>
      </c>
      <c r="R1429">
        <v>0</v>
      </c>
      <c r="S1429">
        <v>0</v>
      </c>
      <c r="T1429">
        <v>0.41010000000000002</v>
      </c>
      <c r="U1429">
        <v>-2E-3</v>
      </c>
      <c r="V1429">
        <v>0</v>
      </c>
      <c r="W1429">
        <v>-0.13389999999999999</v>
      </c>
      <c r="X1429">
        <v>6.6400000000000001E-2</v>
      </c>
      <c r="Y1429">
        <v>-2.7000000000000001E-3</v>
      </c>
      <c r="Z1429">
        <v>43</v>
      </c>
      <c r="AA1429">
        <v>0.2</v>
      </c>
      <c r="AB1429">
        <v>260</v>
      </c>
      <c r="AC1429">
        <v>0.3</v>
      </c>
      <c r="AD1429">
        <v>0</v>
      </c>
      <c r="AE1429">
        <v>0</v>
      </c>
      <c r="AF1429">
        <v>0.248</v>
      </c>
      <c r="AG1429">
        <v>48</v>
      </c>
      <c r="AH1429">
        <v>0</v>
      </c>
    </row>
    <row r="1430" spans="1:34" x14ac:dyDescent="0.35">
      <c r="A1430" t="s">
        <v>34</v>
      </c>
      <c r="B1430" s="1">
        <v>46146.65625</v>
      </c>
      <c r="C1430" t="s">
        <v>34</v>
      </c>
      <c r="D1430" s="1">
        <v>46153.625</v>
      </c>
      <c r="E1430">
        <v>6150</v>
      </c>
      <c r="F1430" t="s">
        <v>36</v>
      </c>
      <c r="G1430">
        <v>0.25</v>
      </c>
      <c r="H1430">
        <v>0.5</v>
      </c>
      <c r="I1430">
        <v>0.25</v>
      </c>
      <c r="J1430">
        <v>0.25</v>
      </c>
      <c r="K1430">
        <v>52</v>
      </c>
      <c r="L1430">
        <v>721</v>
      </c>
      <c r="M1430">
        <v>0.2</v>
      </c>
      <c r="N1430">
        <v>14</v>
      </c>
      <c r="O1430">
        <v>0.25</v>
      </c>
      <c r="P1430">
        <v>0</v>
      </c>
      <c r="Q1430">
        <v>0</v>
      </c>
      <c r="R1430">
        <v>0</v>
      </c>
      <c r="S1430">
        <v>0</v>
      </c>
      <c r="T1430">
        <v>0.4007</v>
      </c>
      <c r="U1430">
        <v>-2E-3</v>
      </c>
      <c r="V1430">
        <v>0</v>
      </c>
      <c r="W1430">
        <v>-0.1336</v>
      </c>
      <c r="X1430">
        <v>6.7799999999999999E-2</v>
      </c>
      <c r="Y1430">
        <v>-2.7000000000000001E-3</v>
      </c>
      <c r="Z1430">
        <v>56</v>
      </c>
      <c r="AA1430">
        <v>0.2</v>
      </c>
      <c r="AB1430">
        <v>272</v>
      </c>
      <c r="AC1430">
        <v>0.35</v>
      </c>
      <c r="AD1430">
        <v>0</v>
      </c>
      <c r="AE1430">
        <v>0</v>
      </c>
      <c r="AF1430">
        <v>0.30099999999999999</v>
      </c>
      <c r="AG1430">
        <v>261</v>
      </c>
      <c r="AH1430">
        <v>0</v>
      </c>
    </row>
    <row r="1431" spans="1:34" x14ac:dyDescent="0.35">
      <c r="A1431" t="s">
        <v>34</v>
      </c>
      <c r="B1431" s="1">
        <v>46146.65625</v>
      </c>
      <c r="C1431" t="s">
        <v>34</v>
      </c>
      <c r="D1431" s="1">
        <v>46153.625</v>
      </c>
      <c r="E1431">
        <v>6175</v>
      </c>
      <c r="F1431" t="s">
        <v>36</v>
      </c>
      <c r="G1431">
        <v>0.25</v>
      </c>
      <c r="H1431">
        <v>0.25</v>
      </c>
      <c r="I1431">
        <v>0.25</v>
      </c>
      <c r="J1431">
        <v>0.25</v>
      </c>
      <c r="K1431">
        <v>10</v>
      </c>
      <c r="L1431">
        <v>324</v>
      </c>
      <c r="M1431">
        <v>0.25</v>
      </c>
      <c r="N1431">
        <v>8</v>
      </c>
      <c r="O1431">
        <v>0.3</v>
      </c>
      <c r="P1431">
        <v>0</v>
      </c>
      <c r="Q1431">
        <v>0</v>
      </c>
      <c r="R1431">
        <v>0</v>
      </c>
      <c r="S1431">
        <v>0</v>
      </c>
      <c r="T1431">
        <v>0.39879999999999999</v>
      </c>
      <c r="U1431">
        <v>-2.5000000000000001E-3</v>
      </c>
      <c r="V1431">
        <v>0</v>
      </c>
      <c r="W1431">
        <v>-0.1598</v>
      </c>
      <c r="X1431">
        <v>8.0100000000000005E-2</v>
      </c>
      <c r="Y1431">
        <v>-3.3E-3</v>
      </c>
      <c r="Z1431">
        <v>87</v>
      </c>
      <c r="AA1431">
        <v>0.2</v>
      </c>
      <c r="AB1431">
        <v>261</v>
      </c>
      <c r="AC1431">
        <v>0.35</v>
      </c>
      <c r="AD1431">
        <v>0</v>
      </c>
      <c r="AE1431">
        <v>0</v>
      </c>
      <c r="AF1431">
        <v>0.25</v>
      </c>
      <c r="AG1431">
        <v>504</v>
      </c>
      <c r="AH1431">
        <v>0</v>
      </c>
    </row>
    <row r="1432" spans="1:34" x14ac:dyDescent="0.35">
      <c r="A1432" t="s">
        <v>34</v>
      </c>
      <c r="B1432" s="1">
        <v>46146.65625</v>
      </c>
      <c r="C1432" t="s">
        <v>34</v>
      </c>
      <c r="D1432" s="1">
        <v>46153.625</v>
      </c>
      <c r="E1432">
        <v>6200</v>
      </c>
      <c r="F1432" t="s">
        <v>36</v>
      </c>
      <c r="G1432">
        <v>0.27</v>
      </c>
      <c r="H1432">
        <v>0.5</v>
      </c>
      <c r="I1432">
        <v>0.22</v>
      </c>
      <c r="J1432">
        <v>0.25</v>
      </c>
      <c r="K1432">
        <v>693</v>
      </c>
      <c r="L1432">
        <v>481</v>
      </c>
      <c r="M1432">
        <v>0.25</v>
      </c>
      <c r="N1432">
        <v>13</v>
      </c>
      <c r="O1432">
        <v>0.3</v>
      </c>
      <c r="P1432">
        <v>0</v>
      </c>
      <c r="Q1432">
        <v>0</v>
      </c>
      <c r="R1432">
        <v>0</v>
      </c>
      <c r="S1432">
        <v>0</v>
      </c>
      <c r="T1432">
        <v>0.38919999999999999</v>
      </c>
      <c r="U1432">
        <v>-2.5000000000000001E-3</v>
      </c>
      <c r="V1432">
        <v>0</v>
      </c>
      <c r="W1432">
        <v>-0.15939999999999999</v>
      </c>
      <c r="X1432">
        <v>8.1900000000000001E-2</v>
      </c>
      <c r="Y1432">
        <v>-3.3999999999999998E-3</v>
      </c>
      <c r="Z1432">
        <v>157</v>
      </c>
      <c r="AA1432">
        <v>0.2</v>
      </c>
      <c r="AB1432">
        <v>1</v>
      </c>
      <c r="AC1432">
        <v>0.3</v>
      </c>
      <c r="AD1432">
        <v>0</v>
      </c>
      <c r="AE1432">
        <v>0</v>
      </c>
      <c r="AF1432">
        <v>0.31790000000000002</v>
      </c>
      <c r="AG1432">
        <v>812</v>
      </c>
      <c r="AH1432">
        <v>0</v>
      </c>
    </row>
    <row r="1433" spans="1:34" x14ac:dyDescent="0.35">
      <c r="A1433" t="s">
        <v>34</v>
      </c>
      <c r="B1433" s="1">
        <v>46146.65625</v>
      </c>
      <c r="C1433" t="s">
        <v>34</v>
      </c>
      <c r="D1433" s="1">
        <v>46153.625</v>
      </c>
      <c r="E1433">
        <v>6225</v>
      </c>
      <c r="F1433" t="s">
        <v>36</v>
      </c>
      <c r="G1433">
        <v>0.3</v>
      </c>
      <c r="H1433">
        <v>0.3</v>
      </c>
      <c r="I1433">
        <v>0.3</v>
      </c>
      <c r="J1433">
        <v>0.3</v>
      </c>
      <c r="K1433">
        <v>6</v>
      </c>
      <c r="L1433">
        <v>664</v>
      </c>
      <c r="M1433">
        <v>0.25</v>
      </c>
      <c r="N1433">
        <v>44</v>
      </c>
      <c r="O1433">
        <v>0.35</v>
      </c>
      <c r="P1433">
        <v>0</v>
      </c>
      <c r="Q1433">
        <v>0</v>
      </c>
      <c r="R1433">
        <v>0</v>
      </c>
      <c r="S1433">
        <v>0</v>
      </c>
      <c r="T1433">
        <v>0.38279999999999997</v>
      </c>
      <c r="U1433">
        <v>-2.8E-3</v>
      </c>
      <c r="V1433">
        <v>0</v>
      </c>
      <c r="W1433">
        <v>-0.17199999999999999</v>
      </c>
      <c r="X1433">
        <v>8.9300000000000004E-2</v>
      </c>
      <c r="Y1433">
        <v>-3.7000000000000002E-3</v>
      </c>
      <c r="Z1433">
        <v>42</v>
      </c>
      <c r="AA1433">
        <v>0.25</v>
      </c>
      <c r="AB1433">
        <v>199</v>
      </c>
      <c r="AC1433">
        <v>0.35</v>
      </c>
      <c r="AD1433">
        <v>0</v>
      </c>
      <c r="AE1433">
        <v>0</v>
      </c>
      <c r="AF1433">
        <v>0.3</v>
      </c>
      <c r="AG1433">
        <v>120</v>
      </c>
      <c r="AH1433">
        <v>0</v>
      </c>
    </row>
    <row r="1434" spans="1:34" x14ac:dyDescent="0.35">
      <c r="A1434" t="s">
        <v>34</v>
      </c>
      <c r="B1434" s="1">
        <v>46146.65625</v>
      </c>
      <c r="C1434" t="s">
        <v>34</v>
      </c>
      <c r="D1434" s="1">
        <v>46153.625</v>
      </c>
      <c r="E1434">
        <v>6250</v>
      </c>
      <c r="F1434" t="s">
        <v>36</v>
      </c>
      <c r="G1434">
        <v>0.28999999999999998</v>
      </c>
      <c r="H1434">
        <v>0.42</v>
      </c>
      <c r="I1434">
        <v>0.27</v>
      </c>
      <c r="J1434">
        <v>0.32</v>
      </c>
      <c r="K1434">
        <v>349</v>
      </c>
      <c r="L1434">
        <v>796</v>
      </c>
      <c r="M1434">
        <v>0.25</v>
      </c>
      <c r="N1434">
        <v>298</v>
      </c>
      <c r="O1434">
        <v>0.4</v>
      </c>
      <c r="P1434">
        <v>0</v>
      </c>
      <c r="Q1434">
        <v>0</v>
      </c>
      <c r="R1434">
        <v>0</v>
      </c>
      <c r="S1434">
        <v>0</v>
      </c>
      <c r="T1434">
        <v>0.37609999999999999</v>
      </c>
      <c r="U1434">
        <v>-3.0000000000000001E-3</v>
      </c>
      <c r="V1434">
        <v>0</v>
      </c>
      <c r="W1434">
        <v>-0.18440000000000001</v>
      </c>
      <c r="X1434">
        <v>9.69E-2</v>
      </c>
      <c r="Y1434">
        <v>-4.1000000000000003E-3</v>
      </c>
      <c r="Z1434">
        <v>83</v>
      </c>
      <c r="AA1434">
        <v>0.25</v>
      </c>
      <c r="AB1434">
        <v>243</v>
      </c>
      <c r="AC1434">
        <v>0.4</v>
      </c>
      <c r="AD1434">
        <v>0</v>
      </c>
      <c r="AE1434">
        <v>0</v>
      </c>
      <c r="AF1434">
        <v>0.313</v>
      </c>
      <c r="AG1434">
        <v>160</v>
      </c>
      <c r="AH1434">
        <v>0</v>
      </c>
    </row>
    <row r="1435" spans="1:34" x14ac:dyDescent="0.35">
      <c r="A1435" t="s">
        <v>34</v>
      </c>
      <c r="B1435" s="1">
        <v>46146.65625</v>
      </c>
      <c r="C1435" t="s">
        <v>34</v>
      </c>
      <c r="D1435" s="1">
        <v>46153.625</v>
      </c>
      <c r="E1435">
        <v>6275</v>
      </c>
      <c r="F1435" t="s">
        <v>36</v>
      </c>
      <c r="G1435">
        <v>0.4</v>
      </c>
      <c r="H1435">
        <v>0.4</v>
      </c>
      <c r="I1435">
        <v>0.35</v>
      </c>
      <c r="J1435">
        <v>0.35</v>
      </c>
      <c r="K1435">
        <v>4</v>
      </c>
      <c r="L1435">
        <v>515</v>
      </c>
      <c r="M1435">
        <v>0.3</v>
      </c>
      <c r="N1435">
        <v>181</v>
      </c>
      <c r="O1435">
        <v>0.4</v>
      </c>
      <c r="P1435">
        <v>0</v>
      </c>
      <c r="Q1435">
        <v>0</v>
      </c>
      <c r="R1435">
        <v>0</v>
      </c>
      <c r="S1435">
        <v>0</v>
      </c>
      <c r="T1435">
        <v>0.36930000000000002</v>
      </c>
      <c r="U1435">
        <v>-3.3E-3</v>
      </c>
      <c r="V1435">
        <v>0</v>
      </c>
      <c r="W1435">
        <v>-0.19650000000000001</v>
      </c>
      <c r="X1435">
        <v>0.1047</v>
      </c>
      <c r="Y1435">
        <v>-4.4000000000000003E-3</v>
      </c>
      <c r="Z1435">
        <v>151</v>
      </c>
      <c r="AA1435">
        <v>0.25</v>
      </c>
      <c r="AB1435">
        <v>235</v>
      </c>
      <c r="AC1435">
        <v>0.4</v>
      </c>
      <c r="AD1435">
        <v>0</v>
      </c>
      <c r="AE1435">
        <v>0</v>
      </c>
      <c r="AF1435">
        <v>0.36249999999999999</v>
      </c>
      <c r="AG1435">
        <v>277</v>
      </c>
      <c r="AH1435">
        <v>0</v>
      </c>
    </row>
    <row r="1436" spans="1:34" x14ac:dyDescent="0.35">
      <c r="A1436" t="s">
        <v>34</v>
      </c>
      <c r="B1436" s="1">
        <v>46146.65625</v>
      </c>
      <c r="C1436" t="s">
        <v>34</v>
      </c>
      <c r="D1436" s="1">
        <v>46153.625</v>
      </c>
      <c r="E1436">
        <v>6300</v>
      </c>
      <c r="F1436" t="s">
        <v>36</v>
      </c>
      <c r="G1436">
        <v>0.32</v>
      </c>
      <c r="H1436">
        <v>0.35</v>
      </c>
      <c r="I1436">
        <v>0.32</v>
      </c>
      <c r="J1436">
        <v>0.35</v>
      </c>
      <c r="K1436">
        <v>32</v>
      </c>
      <c r="L1436">
        <v>737</v>
      </c>
      <c r="M1436">
        <v>0.3</v>
      </c>
      <c r="N1436">
        <v>478</v>
      </c>
      <c r="O1436">
        <v>0.45</v>
      </c>
      <c r="P1436">
        <v>0</v>
      </c>
      <c r="Q1436">
        <v>0</v>
      </c>
      <c r="R1436">
        <v>0</v>
      </c>
      <c r="S1436">
        <v>0</v>
      </c>
      <c r="T1436">
        <v>0.36199999999999999</v>
      </c>
      <c r="U1436">
        <v>-3.5999999999999999E-3</v>
      </c>
      <c r="V1436">
        <v>0</v>
      </c>
      <c r="W1436">
        <v>-0.2084</v>
      </c>
      <c r="X1436">
        <v>0.11260000000000001</v>
      </c>
      <c r="Y1436">
        <v>-4.7999999999999996E-3</v>
      </c>
      <c r="Z1436">
        <v>40</v>
      </c>
      <c r="AA1436">
        <v>0.3</v>
      </c>
      <c r="AB1436">
        <v>182</v>
      </c>
      <c r="AC1436">
        <v>0.4</v>
      </c>
      <c r="AD1436">
        <v>0</v>
      </c>
      <c r="AE1436">
        <v>0</v>
      </c>
      <c r="AF1436">
        <v>0.34910000000000002</v>
      </c>
      <c r="AG1436">
        <v>421</v>
      </c>
      <c r="AH1436">
        <v>0</v>
      </c>
    </row>
    <row r="1437" spans="1:34" x14ac:dyDescent="0.35">
      <c r="A1437" t="s">
        <v>34</v>
      </c>
      <c r="B1437" s="1">
        <v>46146.65625</v>
      </c>
      <c r="C1437" t="s">
        <v>34</v>
      </c>
      <c r="D1437" s="1">
        <v>46153.625</v>
      </c>
      <c r="E1437">
        <v>6325</v>
      </c>
      <c r="F1437" t="s">
        <v>36</v>
      </c>
      <c r="G1437">
        <v>0.3</v>
      </c>
      <c r="H1437">
        <v>0.5</v>
      </c>
      <c r="I1437">
        <v>0.3</v>
      </c>
      <c r="J1437">
        <v>0.4</v>
      </c>
      <c r="K1437">
        <v>17</v>
      </c>
      <c r="L1437">
        <v>474</v>
      </c>
      <c r="M1437">
        <v>0.35</v>
      </c>
      <c r="N1437">
        <v>99</v>
      </c>
      <c r="O1437">
        <v>0.45</v>
      </c>
      <c r="P1437">
        <v>0</v>
      </c>
      <c r="Q1437">
        <v>0</v>
      </c>
      <c r="R1437">
        <v>0</v>
      </c>
      <c r="S1437">
        <v>0</v>
      </c>
      <c r="T1437">
        <v>0.3548</v>
      </c>
      <c r="U1437">
        <v>-3.8E-3</v>
      </c>
      <c r="V1437">
        <v>0</v>
      </c>
      <c r="W1437">
        <v>-0.22009999999999999</v>
      </c>
      <c r="X1437">
        <v>0.1207</v>
      </c>
      <c r="Y1437">
        <v>-5.1999999999999998E-3</v>
      </c>
      <c r="Z1437">
        <v>101</v>
      </c>
      <c r="AA1437">
        <v>0.3</v>
      </c>
      <c r="AB1437">
        <v>225</v>
      </c>
      <c r="AC1437">
        <v>0.45</v>
      </c>
      <c r="AD1437">
        <v>0</v>
      </c>
      <c r="AE1437">
        <v>0</v>
      </c>
      <c r="AF1437">
        <v>0.35</v>
      </c>
      <c r="AG1437">
        <v>259</v>
      </c>
      <c r="AH1437">
        <v>0</v>
      </c>
    </row>
    <row r="1438" spans="1:34" x14ac:dyDescent="0.35">
      <c r="A1438" t="s">
        <v>34</v>
      </c>
      <c r="B1438" s="1">
        <v>46146.65625</v>
      </c>
      <c r="C1438" t="s">
        <v>34</v>
      </c>
      <c r="D1438" s="1">
        <v>46153.625</v>
      </c>
      <c r="E1438">
        <v>6350</v>
      </c>
      <c r="F1438" t="s">
        <v>36</v>
      </c>
      <c r="G1438">
        <v>0.5</v>
      </c>
      <c r="H1438">
        <v>0.5</v>
      </c>
      <c r="I1438">
        <v>0.4</v>
      </c>
      <c r="J1438">
        <v>0.4</v>
      </c>
      <c r="K1438">
        <v>78</v>
      </c>
      <c r="L1438">
        <v>740</v>
      </c>
      <c r="M1438">
        <v>0.35</v>
      </c>
      <c r="N1438">
        <v>1</v>
      </c>
      <c r="O1438">
        <v>0.45</v>
      </c>
      <c r="P1438">
        <v>0</v>
      </c>
      <c r="Q1438">
        <v>0</v>
      </c>
      <c r="R1438">
        <v>0</v>
      </c>
      <c r="S1438">
        <v>0</v>
      </c>
      <c r="T1438">
        <v>0.34510000000000002</v>
      </c>
      <c r="U1438">
        <v>-3.8999999999999998E-3</v>
      </c>
      <c r="V1438">
        <v>0</v>
      </c>
      <c r="W1438">
        <v>-0.21940000000000001</v>
      </c>
      <c r="X1438">
        <v>0.1237</v>
      </c>
      <c r="Y1438">
        <v>-5.3E-3</v>
      </c>
      <c r="Z1438">
        <v>38</v>
      </c>
      <c r="AA1438">
        <v>0.35</v>
      </c>
      <c r="AB1438">
        <v>96</v>
      </c>
      <c r="AC1438">
        <v>0.45</v>
      </c>
      <c r="AD1438">
        <v>0</v>
      </c>
      <c r="AE1438">
        <v>0</v>
      </c>
      <c r="AF1438">
        <v>0.47820000000000001</v>
      </c>
      <c r="AG1438">
        <v>184</v>
      </c>
      <c r="AH1438">
        <v>0</v>
      </c>
    </row>
    <row r="1439" spans="1:34" x14ac:dyDescent="0.35">
      <c r="A1439" t="s">
        <v>34</v>
      </c>
      <c r="B1439" s="1">
        <v>46146.65625</v>
      </c>
      <c r="C1439" t="s">
        <v>34</v>
      </c>
      <c r="D1439" s="1">
        <v>46153.625</v>
      </c>
      <c r="E1439">
        <v>6375</v>
      </c>
      <c r="F1439" t="s">
        <v>36</v>
      </c>
      <c r="G1439">
        <v>0.35</v>
      </c>
      <c r="H1439">
        <v>0.59</v>
      </c>
      <c r="I1439">
        <v>0.35</v>
      </c>
      <c r="J1439">
        <v>0.45</v>
      </c>
      <c r="K1439">
        <v>15</v>
      </c>
      <c r="L1439">
        <v>407</v>
      </c>
      <c r="M1439">
        <v>0.4</v>
      </c>
      <c r="N1439">
        <v>30</v>
      </c>
      <c r="O1439">
        <v>0.5</v>
      </c>
      <c r="P1439">
        <v>0</v>
      </c>
      <c r="Q1439">
        <v>0</v>
      </c>
      <c r="R1439">
        <v>0</v>
      </c>
      <c r="S1439">
        <v>0</v>
      </c>
      <c r="T1439">
        <v>0.33960000000000001</v>
      </c>
      <c r="U1439">
        <v>-4.4000000000000003E-3</v>
      </c>
      <c r="V1439">
        <v>0</v>
      </c>
      <c r="W1439">
        <v>-0.2429</v>
      </c>
      <c r="X1439">
        <v>0.13780000000000001</v>
      </c>
      <c r="Y1439">
        <v>-6.0000000000000001E-3</v>
      </c>
      <c r="Z1439">
        <v>99</v>
      </c>
      <c r="AA1439">
        <v>0.35</v>
      </c>
      <c r="AB1439">
        <v>215</v>
      </c>
      <c r="AC1439">
        <v>0.5</v>
      </c>
      <c r="AD1439">
        <v>0</v>
      </c>
      <c r="AE1439">
        <v>0</v>
      </c>
      <c r="AF1439">
        <v>0.39269999999999999</v>
      </c>
      <c r="AG1439">
        <v>50</v>
      </c>
      <c r="AH1439">
        <v>0</v>
      </c>
    </row>
    <row r="1440" spans="1:34" x14ac:dyDescent="0.35">
      <c r="A1440" t="s">
        <v>34</v>
      </c>
      <c r="B1440" s="1">
        <v>46146.65625</v>
      </c>
      <c r="C1440" t="s">
        <v>34</v>
      </c>
      <c r="D1440" s="1">
        <v>46153.625</v>
      </c>
      <c r="E1440">
        <v>6400</v>
      </c>
      <c r="F1440" t="s">
        <v>36</v>
      </c>
      <c r="G1440">
        <v>0.45</v>
      </c>
      <c r="H1440">
        <v>0.8</v>
      </c>
      <c r="I1440">
        <v>0.37</v>
      </c>
      <c r="J1440">
        <v>0.45</v>
      </c>
      <c r="K1440">
        <v>55</v>
      </c>
      <c r="L1440">
        <v>106</v>
      </c>
      <c r="M1440">
        <v>0.45</v>
      </c>
      <c r="N1440">
        <v>209</v>
      </c>
      <c r="O1440">
        <v>0.55000000000000004</v>
      </c>
      <c r="P1440">
        <v>0</v>
      </c>
      <c r="Q1440">
        <v>0</v>
      </c>
      <c r="R1440">
        <v>0</v>
      </c>
      <c r="S1440">
        <v>0</v>
      </c>
      <c r="T1440">
        <v>0.33350000000000002</v>
      </c>
      <c r="U1440">
        <v>-5.0000000000000001E-3</v>
      </c>
      <c r="V1440">
        <v>0</v>
      </c>
      <c r="W1440">
        <v>-0.26569999999999999</v>
      </c>
      <c r="X1440">
        <v>0.15229999999999999</v>
      </c>
      <c r="Y1440">
        <v>-6.7000000000000002E-3</v>
      </c>
      <c r="Z1440">
        <v>63</v>
      </c>
      <c r="AA1440">
        <v>0.4</v>
      </c>
      <c r="AB1440">
        <v>216</v>
      </c>
      <c r="AC1440">
        <v>0.55000000000000004</v>
      </c>
      <c r="AD1440">
        <v>0</v>
      </c>
      <c r="AE1440">
        <v>0</v>
      </c>
      <c r="AF1440">
        <v>0.4798</v>
      </c>
      <c r="AG1440">
        <v>202</v>
      </c>
      <c r="AH1440">
        <v>0</v>
      </c>
    </row>
    <row r="1441" spans="1:34" x14ac:dyDescent="0.35">
      <c r="A1441" t="s">
        <v>34</v>
      </c>
      <c r="B1441" s="1">
        <v>46146.65625</v>
      </c>
      <c r="C1441" t="s">
        <v>34</v>
      </c>
      <c r="D1441" s="1">
        <v>46153.625</v>
      </c>
      <c r="E1441">
        <v>6425</v>
      </c>
      <c r="F1441" t="s">
        <v>36</v>
      </c>
      <c r="G1441">
        <v>0.65</v>
      </c>
      <c r="H1441">
        <v>0.65</v>
      </c>
      <c r="I1441">
        <v>0.5</v>
      </c>
      <c r="J1441">
        <v>0.5</v>
      </c>
      <c r="K1441">
        <v>13</v>
      </c>
      <c r="L1441">
        <v>673</v>
      </c>
      <c r="M1441">
        <v>0.45</v>
      </c>
      <c r="N1441">
        <v>241</v>
      </c>
      <c r="O1441">
        <v>0.6</v>
      </c>
      <c r="P1441">
        <v>0</v>
      </c>
      <c r="Q1441">
        <v>0</v>
      </c>
      <c r="R1441">
        <v>0</v>
      </c>
      <c r="S1441">
        <v>0</v>
      </c>
      <c r="T1441">
        <v>0.32529999999999998</v>
      </c>
      <c r="U1441">
        <v>-5.3E-3</v>
      </c>
      <c r="V1441">
        <v>1E-4</v>
      </c>
      <c r="W1441">
        <v>-0.27639999999999998</v>
      </c>
      <c r="X1441">
        <v>0.16200000000000001</v>
      </c>
      <c r="Y1441">
        <v>-7.1999999999999998E-3</v>
      </c>
      <c r="Z1441">
        <v>206</v>
      </c>
      <c r="AA1441">
        <v>0.4</v>
      </c>
      <c r="AB1441">
        <v>200</v>
      </c>
      <c r="AC1441">
        <v>0.55000000000000004</v>
      </c>
      <c r="AD1441">
        <v>0</v>
      </c>
      <c r="AE1441">
        <v>0</v>
      </c>
      <c r="AF1441">
        <v>0.51149999999999995</v>
      </c>
      <c r="AG1441">
        <v>97</v>
      </c>
      <c r="AH1441">
        <v>0</v>
      </c>
    </row>
    <row r="1442" spans="1:34" x14ac:dyDescent="0.35">
      <c r="A1442" t="s">
        <v>34</v>
      </c>
      <c r="B1442" s="1">
        <v>46146.65625</v>
      </c>
      <c r="C1442" t="s">
        <v>34</v>
      </c>
      <c r="D1442" s="1">
        <v>46153.625</v>
      </c>
      <c r="E1442">
        <v>6450</v>
      </c>
      <c r="F1442" t="s">
        <v>36</v>
      </c>
      <c r="G1442">
        <v>0.45</v>
      </c>
      <c r="H1442">
        <v>1</v>
      </c>
      <c r="I1442">
        <v>0.45</v>
      </c>
      <c r="J1442">
        <v>0.55000000000000004</v>
      </c>
      <c r="K1442">
        <v>22</v>
      </c>
      <c r="L1442">
        <v>548</v>
      </c>
      <c r="M1442">
        <v>0.5</v>
      </c>
      <c r="N1442">
        <v>416</v>
      </c>
      <c r="O1442">
        <v>0.65</v>
      </c>
      <c r="P1442">
        <v>0</v>
      </c>
      <c r="Q1442">
        <v>0</v>
      </c>
      <c r="R1442">
        <v>0</v>
      </c>
      <c r="S1442">
        <v>0</v>
      </c>
      <c r="T1442">
        <v>0.31879999999999997</v>
      </c>
      <c r="U1442">
        <v>-5.8999999999999999E-3</v>
      </c>
      <c r="V1442">
        <v>1E-4</v>
      </c>
      <c r="W1442">
        <v>-0.29830000000000001</v>
      </c>
      <c r="X1442">
        <v>0.17710000000000001</v>
      </c>
      <c r="Y1442">
        <v>-8.0000000000000002E-3</v>
      </c>
      <c r="Z1442">
        <v>147</v>
      </c>
      <c r="AA1442">
        <v>0.45</v>
      </c>
      <c r="AB1442">
        <v>202</v>
      </c>
      <c r="AC1442">
        <v>0.6</v>
      </c>
      <c r="AD1442">
        <v>0</v>
      </c>
      <c r="AE1442">
        <v>0</v>
      </c>
      <c r="AF1442">
        <v>0.55269999999999997</v>
      </c>
      <c r="AG1442">
        <v>415</v>
      </c>
      <c r="AH1442">
        <v>0</v>
      </c>
    </row>
    <row r="1443" spans="1:34" x14ac:dyDescent="0.35">
      <c r="A1443" t="s">
        <v>34</v>
      </c>
      <c r="B1443" s="1">
        <v>46146.65625</v>
      </c>
      <c r="C1443" t="s">
        <v>34</v>
      </c>
      <c r="D1443" s="1">
        <v>46153.625</v>
      </c>
      <c r="E1443">
        <v>6475</v>
      </c>
      <c r="F1443" t="s">
        <v>36</v>
      </c>
      <c r="G1443">
        <v>0.7</v>
      </c>
      <c r="H1443">
        <v>0.7</v>
      </c>
      <c r="I1443">
        <v>0.6</v>
      </c>
      <c r="J1443">
        <v>0.6</v>
      </c>
      <c r="K1443">
        <v>4</v>
      </c>
      <c r="L1443">
        <v>432</v>
      </c>
      <c r="M1443">
        <v>0.55000000000000004</v>
      </c>
      <c r="N1443">
        <v>409</v>
      </c>
      <c r="O1443">
        <v>0.7</v>
      </c>
      <c r="P1443">
        <v>0</v>
      </c>
      <c r="Q1443">
        <v>0</v>
      </c>
      <c r="R1443">
        <v>0</v>
      </c>
      <c r="S1443">
        <v>0</v>
      </c>
      <c r="T1443">
        <v>0.31169999999999998</v>
      </c>
      <c r="U1443">
        <v>-6.4999999999999997E-3</v>
      </c>
      <c r="V1443">
        <v>1E-4</v>
      </c>
      <c r="W1443">
        <v>-0.31969999999999998</v>
      </c>
      <c r="X1443">
        <v>0.19270000000000001</v>
      </c>
      <c r="Y1443">
        <v>-8.8000000000000005E-3</v>
      </c>
      <c r="Z1443">
        <v>82</v>
      </c>
      <c r="AA1443">
        <v>0.5</v>
      </c>
      <c r="AB1443">
        <v>196</v>
      </c>
      <c r="AC1443">
        <v>0.65</v>
      </c>
      <c r="AD1443">
        <v>0</v>
      </c>
      <c r="AE1443">
        <v>0</v>
      </c>
      <c r="AF1443">
        <v>0.65</v>
      </c>
      <c r="AG1443">
        <v>71</v>
      </c>
      <c r="AH1443">
        <v>0</v>
      </c>
    </row>
    <row r="1444" spans="1:34" x14ac:dyDescent="0.35">
      <c r="A1444" t="s">
        <v>34</v>
      </c>
      <c r="B1444" s="1">
        <v>46146.65625</v>
      </c>
      <c r="C1444" t="s">
        <v>34</v>
      </c>
      <c r="D1444" s="1">
        <v>46153.625</v>
      </c>
      <c r="E1444">
        <v>6480</v>
      </c>
      <c r="F1444" t="s">
        <v>36</v>
      </c>
      <c r="G1444">
        <v>0.55000000000000004</v>
      </c>
      <c r="H1444">
        <v>0.6</v>
      </c>
      <c r="I1444">
        <v>0.55000000000000004</v>
      </c>
      <c r="J1444">
        <v>0.6</v>
      </c>
      <c r="K1444">
        <v>5</v>
      </c>
      <c r="L1444">
        <v>461</v>
      </c>
      <c r="M1444">
        <v>0.55000000000000004</v>
      </c>
      <c r="N1444">
        <v>398</v>
      </c>
      <c r="O1444">
        <v>0.7</v>
      </c>
      <c r="P1444">
        <v>0</v>
      </c>
      <c r="Q1444">
        <v>0</v>
      </c>
      <c r="R1444">
        <v>0</v>
      </c>
      <c r="S1444">
        <v>0</v>
      </c>
      <c r="T1444">
        <v>0.30980000000000002</v>
      </c>
      <c r="U1444">
        <v>-6.4999999999999997E-3</v>
      </c>
      <c r="V1444">
        <v>1E-4</v>
      </c>
      <c r="W1444">
        <v>-0.31940000000000002</v>
      </c>
      <c r="X1444">
        <v>0.1938</v>
      </c>
      <c r="Y1444">
        <v>-8.8000000000000005E-3</v>
      </c>
      <c r="Z1444">
        <v>144</v>
      </c>
      <c r="AA1444">
        <v>0.5</v>
      </c>
      <c r="AB1444">
        <v>187</v>
      </c>
      <c r="AC1444">
        <v>0.65</v>
      </c>
      <c r="AD1444">
        <v>0</v>
      </c>
      <c r="AE1444">
        <v>0</v>
      </c>
      <c r="AF1444">
        <v>0.59</v>
      </c>
      <c r="AG1444">
        <v>90</v>
      </c>
      <c r="AH1444">
        <v>0</v>
      </c>
    </row>
    <row r="1445" spans="1:34" x14ac:dyDescent="0.35">
      <c r="A1445" t="s">
        <v>34</v>
      </c>
      <c r="B1445" s="1">
        <v>46146.65625</v>
      </c>
      <c r="C1445" t="s">
        <v>34</v>
      </c>
      <c r="D1445" s="1">
        <v>46153.625</v>
      </c>
      <c r="E1445">
        <v>6490</v>
      </c>
      <c r="F1445" t="s">
        <v>36</v>
      </c>
      <c r="G1445">
        <v>0.65</v>
      </c>
      <c r="H1445">
        <v>0.65</v>
      </c>
      <c r="I1445">
        <v>0.6</v>
      </c>
      <c r="J1445">
        <v>0.6</v>
      </c>
      <c r="K1445">
        <v>7</v>
      </c>
      <c r="L1445">
        <v>646</v>
      </c>
      <c r="M1445">
        <v>0.55000000000000004</v>
      </c>
      <c r="N1445">
        <v>164</v>
      </c>
      <c r="O1445">
        <v>0.7</v>
      </c>
      <c r="P1445">
        <v>0</v>
      </c>
      <c r="Q1445">
        <v>0</v>
      </c>
      <c r="R1445">
        <v>0</v>
      </c>
      <c r="S1445">
        <v>0</v>
      </c>
      <c r="T1445">
        <v>0.3054</v>
      </c>
      <c r="U1445">
        <v>-6.6E-3</v>
      </c>
      <c r="V1445">
        <v>1E-4</v>
      </c>
      <c r="W1445">
        <v>-0.31879999999999997</v>
      </c>
      <c r="X1445">
        <v>0.19620000000000001</v>
      </c>
      <c r="Y1445">
        <v>-8.8999999999999999E-3</v>
      </c>
      <c r="Z1445">
        <v>150</v>
      </c>
      <c r="AA1445">
        <v>0.5</v>
      </c>
      <c r="AB1445">
        <v>147</v>
      </c>
      <c r="AC1445">
        <v>0.65</v>
      </c>
      <c r="AD1445">
        <v>0</v>
      </c>
      <c r="AE1445">
        <v>0</v>
      </c>
      <c r="AF1445">
        <v>0.61429999999999996</v>
      </c>
      <c r="AG1445">
        <v>61</v>
      </c>
      <c r="AH1445">
        <v>0</v>
      </c>
    </row>
    <row r="1446" spans="1:34" x14ac:dyDescent="0.35">
      <c r="A1446" t="s">
        <v>34</v>
      </c>
      <c r="B1446" s="1">
        <v>46146.65625</v>
      </c>
      <c r="C1446" t="s">
        <v>34</v>
      </c>
      <c r="D1446" s="1">
        <v>46153.625</v>
      </c>
      <c r="E1446">
        <v>6500</v>
      </c>
      <c r="F1446" t="s">
        <v>36</v>
      </c>
      <c r="G1446">
        <v>0.6</v>
      </c>
      <c r="H1446">
        <v>1.2</v>
      </c>
      <c r="I1446">
        <v>0.6</v>
      </c>
      <c r="J1446">
        <v>0.65</v>
      </c>
      <c r="K1446">
        <v>49</v>
      </c>
      <c r="L1446">
        <v>405</v>
      </c>
      <c r="M1446">
        <v>0.6</v>
      </c>
      <c r="N1446">
        <v>434</v>
      </c>
      <c r="O1446">
        <v>0.75</v>
      </c>
      <c r="P1446">
        <v>0</v>
      </c>
      <c r="Q1446">
        <v>0</v>
      </c>
      <c r="R1446">
        <v>0</v>
      </c>
      <c r="S1446">
        <v>0</v>
      </c>
      <c r="T1446">
        <v>0.30430000000000001</v>
      </c>
      <c r="U1446">
        <v>-7.1000000000000004E-3</v>
      </c>
      <c r="V1446">
        <v>1E-4</v>
      </c>
      <c r="W1446">
        <v>-0.34050000000000002</v>
      </c>
      <c r="X1446">
        <v>0.20880000000000001</v>
      </c>
      <c r="Y1446">
        <v>-9.5999999999999992E-3</v>
      </c>
      <c r="Z1446">
        <v>40</v>
      </c>
      <c r="AA1446">
        <v>0.55000000000000004</v>
      </c>
      <c r="AB1446">
        <v>194</v>
      </c>
      <c r="AC1446">
        <v>0.7</v>
      </c>
      <c r="AD1446">
        <v>0</v>
      </c>
      <c r="AE1446">
        <v>0</v>
      </c>
      <c r="AF1446">
        <v>0.77980000000000005</v>
      </c>
      <c r="AG1446">
        <v>307</v>
      </c>
      <c r="AH1446">
        <v>0</v>
      </c>
    </row>
    <row r="1447" spans="1:34" x14ac:dyDescent="0.35">
      <c r="A1447" t="s">
        <v>34</v>
      </c>
      <c r="B1447" s="1">
        <v>46146.65625</v>
      </c>
      <c r="C1447" t="s">
        <v>34</v>
      </c>
      <c r="D1447" s="1">
        <v>46153.625</v>
      </c>
      <c r="E1447">
        <v>6510</v>
      </c>
      <c r="F1447" t="s">
        <v>36</v>
      </c>
      <c r="G1447">
        <v>0.65</v>
      </c>
      <c r="H1447">
        <v>0.65</v>
      </c>
      <c r="I1447">
        <v>0.65</v>
      </c>
      <c r="J1447">
        <v>0.65</v>
      </c>
      <c r="K1447">
        <v>4</v>
      </c>
      <c r="L1447">
        <v>545</v>
      </c>
      <c r="M1447">
        <v>0.6</v>
      </c>
      <c r="N1447">
        <v>165</v>
      </c>
      <c r="O1447">
        <v>0.75</v>
      </c>
      <c r="P1447">
        <v>0</v>
      </c>
      <c r="Q1447">
        <v>0</v>
      </c>
      <c r="R1447">
        <v>0</v>
      </c>
      <c r="S1447">
        <v>0</v>
      </c>
      <c r="T1447">
        <v>0.30009999999999998</v>
      </c>
      <c r="U1447">
        <v>-7.1999999999999998E-3</v>
      </c>
      <c r="V1447">
        <v>1E-4</v>
      </c>
      <c r="W1447">
        <v>-0.33989999999999998</v>
      </c>
      <c r="X1447">
        <v>0.2114</v>
      </c>
      <c r="Y1447">
        <v>-9.7000000000000003E-3</v>
      </c>
      <c r="Z1447">
        <v>137</v>
      </c>
      <c r="AA1447">
        <v>0.55000000000000004</v>
      </c>
      <c r="AB1447">
        <v>176</v>
      </c>
      <c r="AC1447">
        <v>0.7</v>
      </c>
      <c r="AD1447">
        <v>0</v>
      </c>
      <c r="AE1447">
        <v>0</v>
      </c>
      <c r="AF1447">
        <v>0.65</v>
      </c>
      <c r="AG1447">
        <v>20</v>
      </c>
      <c r="AH1447">
        <v>0</v>
      </c>
    </row>
    <row r="1448" spans="1:34" x14ac:dyDescent="0.35">
      <c r="A1448" t="s">
        <v>34</v>
      </c>
      <c r="B1448" s="1">
        <v>46146.65625</v>
      </c>
      <c r="C1448" t="s">
        <v>34</v>
      </c>
      <c r="D1448" s="1">
        <v>46153.625</v>
      </c>
      <c r="E1448">
        <v>6520</v>
      </c>
      <c r="F1448" t="s">
        <v>36</v>
      </c>
      <c r="G1448">
        <v>1</v>
      </c>
      <c r="H1448">
        <v>1</v>
      </c>
      <c r="I1448">
        <v>0.65</v>
      </c>
      <c r="J1448">
        <v>0.65</v>
      </c>
      <c r="K1448">
        <v>4</v>
      </c>
      <c r="L1448">
        <v>80</v>
      </c>
      <c r="M1448">
        <v>0.65</v>
      </c>
      <c r="N1448">
        <v>96</v>
      </c>
      <c r="O1448">
        <v>0.75</v>
      </c>
      <c r="P1448">
        <v>0</v>
      </c>
      <c r="Q1448">
        <v>0</v>
      </c>
      <c r="R1448">
        <v>0</v>
      </c>
      <c r="S1448">
        <v>0</v>
      </c>
      <c r="T1448">
        <v>0.29759999999999998</v>
      </c>
      <c r="U1448">
        <v>-7.4999999999999997E-3</v>
      </c>
      <c r="V1448">
        <v>1E-4</v>
      </c>
      <c r="W1448">
        <v>-0.3503</v>
      </c>
      <c r="X1448">
        <v>0.219</v>
      </c>
      <c r="Y1448">
        <v>-1.01E-2</v>
      </c>
      <c r="Z1448">
        <v>147</v>
      </c>
      <c r="AA1448">
        <v>0.55000000000000004</v>
      </c>
      <c r="AB1448">
        <v>47</v>
      </c>
      <c r="AC1448">
        <v>0.7</v>
      </c>
      <c r="AD1448">
        <v>0</v>
      </c>
      <c r="AE1448">
        <v>0</v>
      </c>
      <c r="AF1448">
        <v>0.83750000000000002</v>
      </c>
      <c r="AG1448">
        <v>114</v>
      </c>
      <c r="AH1448">
        <v>0</v>
      </c>
    </row>
    <row r="1449" spans="1:34" x14ac:dyDescent="0.35">
      <c r="A1449" t="s">
        <v>34</v>
      </c>
      <c r="B1449" s="1">
        <v>46146.65625</v>
      </c>
      <c r="C1449" t="s">
        <v>34</v>
      </c>
      <c r="D1449" s="1">
        <v>46153.625</v>
      </c>
      <c r="E1449">
        <v>6525</v>
      </c>
      <c r="F1449" t="s">
        <v>36</v>
      </c>
      <c r="G1449">
        <v>1.22</v>
      </c>
      <c r="H1449">
        <v>1.22</v>
      </c>
      <c r="I1449">
        <v>0.7</v>
      </c>
      <c r="J1449">
        <v>0.7</v>
      </c>
      <c r="K1449">
        <v>3</v>
      </c>
      <c r="L1449">
        <v>386</v>
      </c>
      <c r="M1449">
        <v>0.65</v>
      </c>
      <c r="N1449">
        <v>390</v>
      </c>
      <c r="O1449">
        <v>0.8</v>
      </c>
      <c r="P1449">
        <v>0</v>
      </c>
      <c r="Q1449">
        <v>0</v>
      </c>
      <c r="R1449">
        <v>0</v>
      </c>
      <c r="S1449">
        <v>0</v>
      </c>
      <c r="T1449">
        <v>0.29680000000000001</v>
      </c>
      <c r="U1449">
        <v>-7.7000000000000002E-3</v>
      </c>
      <c r="V1449">
        <v>1E-4</v>
      </c>
      <c r="W1449">
        <v>-0.36080000000000001</v>
      </c>
      <c r="X1449">
        <v>0.22559999999999999</v>
      </c>
      <c r="Y1449">
        <v>-1.0500000000000001E-2</v>
      </c>
      <c r="Z1449">
        <v>187</v>
      </c>
      <c r="AA1449">
        <v>0.55000000000000004</v>
      </c>
      <c r="AB1449">
        <v>187</v>
      </c>
      <c r="AC1449">
        <v>0.75</v>
      </c>
      <c r="AD1449">
        <v>0</v>
      </c>
      <c r="AE1449">
        <v>0</v>
      </c>
      <c r="AF1449">
        <v>0.87329999999999997</v>
      </c>
      <c r="AG1449">
        <v>32</v>
      </c>
      <c r="AH1449">
        <v>0</v>
      </c>
    </row>
    <row r="1450" spans="1:34" x14ac:dyDescent="0.35">
      <c r="A1450" t="s">
        <v>34</v>
      </c>
      <c r="B1450" s="1">
        <v>46146.65625</v>
      </c>
      <c r="C1450" t="s">
        <v>34</v>
      </c>
      <c r="D1450" s="1">
        <v>46153.625</v>
      </c>
      <c r="E1450">
        <v>6530</v>
      </c>
      <c r="F1450" t="s">
        <v>36</v>
      </c>
      <c r="G1450">
        <v>0.65</v>
      </c>
      <c r="H1450">
        <v>1.3</v>
      </c>
      <c r="I1450">
        <v>0.65</v>
      </c>
      <c r="J1450">
        <v>0.7</v>
      </c>
      <c r="K1450">
        <v>35</v>
      </c>
      <c r="L1450">
        <v>563</v>
      </c>
      <c r="M1450">
        <v>0.65</v>
      </c>
      <c r="N1450">
        <v>241</v>
      </c>
      <c r="O1450">
        <v>0.8</v>
      </c>
      <c r="P1450">
        <v>0</v>
      </c>
      <c r="Q1450">
        <v>0</v>
      </c>
      <c r="R1450">
        <v>0</v>
      </c>
      <c r="S1450">
        <v>0</v>
      </c>
      <c r="T1450">
        <v>0.29480000000000001</v>
      </c>
      <c r="U1450">
        <v>-7.7999999999999996E-3</v>
      </c>
      <c r="V1450">
        <v>1E-4</v>
      </c>
      <c r="W1450">
        <v>-0.36049999999999999</v>
      </c>
      <c r="X1450">
        <v>0.22700000000000001</v>
      </c>
      <c r="Y1450">
        <v>-1.0500000000000001E-2</v>
      </c>
      <c r="Z1450">
        <v>134</v>
      </c>
      <c r="AA1450">
        <v>0.6</v>
      </c>
      <c r="AB1450">
        <v>177</v>
      </c>
      <c r="AC1450">
        <v>0.75</v>
      </c>
      <c r="AD1450">
        <v>0</v>
      </c>
      <c r="AE1450">
        <v>0</v>
      </c>
      <c r="AF1450">
        <v>1.2454000000000001</v>
      </c>
      <c r="AG1450">
        <v>49</v>
      </c>
      <c r="AH1450">
        <v>0</v>
      </c>
    </row>
    <row r="1451" spans="1:34" x14ac:dyDescent="0.35">
      <c r="A1451" t="s">
        <v>34</v>
      </c>
      <c r="B1451" s="1">
        <v>46146.65625</v>
      </c>
      <c r="C1451" t="s">
        <v>34</v>
      </c>
      <c r="D1451" s="1">
        <v>46153.625</v>
      </c>
      <c r="E1451">
        <v>6540</v>
      </c>
      <c r="F1451" t="s">
        <v>36</v>
      </c>
      <c r="G1451">
        <v>0.75</v>
      </c>
      <c r="H1451">
        <v>0.75</v>
      </c>
      <c r="I1451">
        <v>0.7</v>
      </c>
      <c r="J1451">
        <v>0.75</v>
      </c>
      <c r="K1451">
        <v>3</v>
      </c>
      <c r="L1451">
        <v>623</v>
      </c>
      <c r="M1451">
        <v>0.65</v>
      </c>
      <c r="N1451">
        <v>1</v>
      </c>
      <c r="O1451">
        <v>0.75</v>
      </c>
      <c r="P1451">
        <v>0</v>
      </c>
      <c r="Q1451">
        <v>0</v>
      </c>
      <c r="R1451">
        <v>0</v>
      </c>
      <c r="S1451">
        <v>0</v>
      </c>
      <c r="T1451">
        <v>0.28949999999999998</v>
      </c>
      <c r="U1451">
        <v>-7.7000000000000002E-3</v>
      </c>
      <c r="V1451">
        <v>1E-4</v>
      </c>
      <c r="W1451">
        <v>-0.34899999999999998</v>
      </c>
      <c r="X1451">
        <v>0.22450000000000001</v>
      </c>
      <c r="Y1451">
        <v>-1.04E-2</v>
      </c>
      <c r="Z1451">
        <v>140</v>
      </c>
      <c r="AA1451">
        <v>0.6</v>
      </c>
      <c r="AB1451">
        <v>81</v>
      </c>
      <c r="AC1451">
        <v>0.75</v>
      </c>
      <c r="AD1451">
        <v>0</v>
      </c>
      <c r="AE1451">
        <v>0</v>
      </c>
      <c r="AF1451">
        <v>0.73329999999999995</v>
      </c>
      <c r="AG1451">
        <v>5</v>
      </c>
      <c r="AH1451">
        <v>0</v>
      </c>
    </row>
    <row r="1452" spans="1:34" x14ac:dyDescent="0.35">
      <c r="A1452" t="s">
        <v>34</v>
      </c>
      <c r="B1452" s="1">
        <v>46146.65625</v>
      </c>
      <c r="C1452" t="s">
        <v>34</v>
      </c>
      <c r="D1452" s="1">
        <v>46153.625</v>
      </c>
      <c r="E1452">
        <v>6550</v>
      </c>
      <c r="F1452" t="s">
        <v>36</v>
      </c>
      <c r="G1452">
        <v>0.65</v>
      </c>
      <c r="H1452">
        <v>1.37</v>
      </c>
      <c r="I1452">
        <v>0.65</v>
      </c>
      <c r="J1452">
        <v>0.75</v>
      </c>
      <c r="K1452">
        <v>92</v>
      </c>
      <c r="L1452">
        <v>391</v>
      </c>
      <c r="M1452">
        <v>0.7</v>
      </c>
      <c r="N1452">
        <v>245</v>
      </c>
      <c r="O1452">
        <v>0.85</v>
      </c>
      <c r="P1452">
        <v>0</v>
      </c>
      <c r="Q1452">
        <v>0</v>
      </c>
      <c r="R1452">
        <v>0</v>
      </c>
      <c r="S1452">
        <v>0</v>
      </c>
      <c r="T1452">
        <v>0.28899999999999998</v>
      </c>
      <c r="U1452">
        <v>-8.3999999999999995E-3</v>
      </c>
      <c r="V1452">
        <v>1E-4</v>
      </c>
      <c r="W1452">
        <v>-0.38059999999999999</v>
      </c>
      <c r="X1452">
        <v>0.24329999999999999</v>
      </c>
      <c r="Y1452">
        <v>-1.14E-2</v>
      </c>
      <c r="Z1452">
        <v>50</v>
      </c>
      <c r="AA1452">
        <v>0.65</v>
      </c>
      <c r="AB1452">
        <v>185</v>
      </c>
      <c r="AC1452">
        <v>0.8</v>
      </c>
      <c r="AD1452">
        <v>0</v>
      </c>
      <c r="AE1452">
        <v>0</v>
      </c>
      <c r="AF1452">
        <v>1.2818000000000001</v>
      </c>
      <c r="AG1452">
        <v>469</v>
      </c>
      <c r="AH1452">
        <v>0</v>
      </c>
    </row>
    <row r="1453" spans="1:34" x14ac:dyDescent="0.35">
      <c r="A1453" t="s">
        <v>34</v>
      </c>
      <c r="B1453" s="1">
        <v>46146.65625</v>
      </c>
      <c r="C1453" t="s">
        <v>34</v>
      </c>
      <c r="D1453" s="1">
        <v>46153.625</v>
      </c>
      <c r="E1453">
        <v>6560</v>
      </c>
      <c r="F1453" t="s">
        <v>36</v>
      </c>
      <c r="G1453">
        <v>0.8</v>
      </c>
      <c r="H1453">
        <v>0.8</v>
      </c>
      <c r="I1453">
        <v>0.8</v>
      </c>
      <c r="J1453">
        <v>0.8</v>
      </c>
      <c r="K1453">
        <v>1</v>
      </c>
      <c r="L1453">
        <v>5</v>
      </c>
      <c r="M1453">
        <v>0.75</v>
      </c>
      <c r="N1453">
        <v>50</v>
      </c>
      <c r="O1453">
        <v>0.85</v>
      </c>
      <c r="P1453">
        <v>0</v>
      </c>
      <c r="Q1453">
        <v>0</v>
      </c>
      <c r="R1453">
        <v>0</v>
      </c>
      <c r="S1453">
        <v>0</v>
      </c>
      <c r="T1453">
        <v>0.28489999999999999</v>
      </c>
      <c r="U1453">
        <v>-8.5000000000000006E-3</v>
      </c>
      <c r="V1453">
        <v>1E-4</v>
      </c>
      <c r="W1453">
        <v>-0.37980000000000003</v>
      </c>
      <c r="X1453">
        <v>0.24640000000000001</v>
      </c>
      <c r="Y1453">
        <v>-1.15E-2</v>
      </c>
      <c r="Z1453">
        <v>136</v>
      </c>
      <c r="AA1453">
        <v>0.65</v>
      </c>
      <c r="AB1453">
        <v>81</v>
      </c>
      <c r="AC1453">
        <v>0.8</v>
      </c>
      <c r="AD1453">
        <v>0</v>
      </c>
      <c r="AE1453">
        <v>0</v>
      </c>
      <c r="AF1453">
        <v>0.8</v>
      </c>
      <c r="AG1453">
        <v>54</v>
      </c>
      <c r="AH1453">
        <v>0</v>
      </c>
    </row>
    <row r="1454" spans="1:34" x14ac:dyDescent="0.35">
      <c r="A1454" t="s">
        <v>34</v>
      </c>
      <c r="B1454" s="1">
        <v>46146.65625</v>
      </c>
      <c r="C1454" t="s">
        <v>34</v>
      </c>
      <c r="D1454" s="1">
        <v>46153.625</v>
      </c>
      <c r="E1454">
        <v>6570</v>
      </c>
      <c r="F1454" t="s">
        <v>36</v>
      </c>
      <c r="G1454">
        <v>0.8</v>
      </c>
      <c r="H1454">
        <v>0.8</v>
      </c>
      <c r="I1454">
        <v>0.8</v>
      </c>
      <c r="J1454">
        <v>0.8</v>
      </c>
      <c r="K1454">
        <v>2</v>
      </c>
      <c r="L1454">
        <v>349</v>
      </c>
      <c r="M1454">
        <v>0.75</v>
      </c>
      <c r="N1454">
        <v>1</v>
      </c>
      <c r="O1454">
        <v>0.85</v>
      </c>
      <c r="P1454">
        <v>0</v>
      </c>
      <c r="Q1454">
        <v>0</v>
      </c>
      <c r="R1454">
        <v>0</v>
      </c>
      <c r="S1454">
        <v>0</v>
      </c>
      <c r="T1454">
        <v>0.28270000000000001</v>
      </c>
      <c r="U1454">
        <v>-9.1000000000000004E-3</v>
      </c>
      <c r="V1454">
        <v>1E-4</v>
      </c>
      <c r="W1454">
        <v>-0.40010000000000001</v>
      </c>
      <c r="X1454">
        <v>0.26029999999999998</v>
      </c>
      <c r="Y1454">
        <v>-1.23E-2</v>
      </c>
      <c r="Z1454">
        <v>50</v>
      </c>
      <c r="AA1454">
        <v>0.7</v>
      </c>
      <c r="AB1454">
        <v>170</v>
      </c>
      <c r="AC1454">
        <v>0.85</v>
      </c>
      <c r="AD1454">
        <v>0</v>
      </c>
      <c r="AE1454">
        <v>0</v>
      </c>
      <c r="AF1454">
        <v>0.8</v>
      </c>
      <c r="AG1454">
        <v>3</v>
      </c>
      <c r="AH1454">
        <v>0</v>
      </c>
    </row>
    <row r="1455" spans="1:34" x14ac:dyDescent="0.35">
      <c r="A1455" t="s">
        <v>34</v>
      </c>
      <c r="B1455" s="1">
        <v>46146.65625</v>
      </c>
      <c r="C1455" t="s">
        <v>34</v>
      </c>
      <c r="D1455" s="1">
        <v>46153.625</v>
      </c>
      <c r="E1455">
        <v>6575</v>
      </c>
      <c r="F1455" t="s">
        <v>36</v>
      </c>
      <c r="G1455">
        <v>0.8</v>
      </c>
      <c r="H1455">
        <v>1.42</v>
      </c>
      <c r="I1455">
        <v>0.8</v>
      </c>
      <c r="J1455">
        <v>0.8</v>
      </c>
      <c r="K1455">
        <v>27</v>
      </c>
      <c r="L1455">
        <v>602</v>
      </c>
      <c r="M1455">
        <v>0.75</v>
      </c>
      <c r="N1455">
        <v>165</v>
      </c>
      <c r="O1455">
        <v>0.9</v>
      </c>
      <c r="P1455">
        <v>0</v>
      </c>
      <c r="Q1455">
        <v>0</v>
      </c>
      <c r="R1455">
        <v>0</v>
      </c>
      <c r="S1455">
        <v>0</v>
      </c>
      <c r="T1455">
        <v>0.28050000000000003</v>
      </c>
      <c r="U1455">
        <v>-9.1000000000000004E-3</v>
      </c>
      <c r="V1455">
        <v>1E-4</v>
      </c>
      <c r="W1455">
        <v>-0.39960000000000001</v>
      </c>
      <c r="X1455">
        <v>0.26200000000000001</v>
      </c>
      <c r="Y1455">
        <v>-1.24E-2</v>
      </c>
      <c r="Z1455">
        <v>132</v>
      </c>
      <c r="AA1455">
        <v>0.7</v>
      </c>
      <c r="AB1455">
        <v>177</v>
      </c>
      <c r="AC1455">
        <v>0.85</v>
      </c>
      <c r="AD1455">
        <v>0</v>
      </c>
      <c r="AE1455">
        <v>0</v>
      </c>
      <c r="AF1455">
        <v>0.8407</v>
      </c>
      <c r="AG1455">
        <v>260</v>
      </c>
      <c r="AH1455">
        <v>0</v>
      </c>
    </row>
    <row r="1456" spans="1:34" x14ac:dyDescent="0.35">
      <c r="A1456" t="s">
        <v>34</v>
      </c>
      <c r="B1456" s="1">
        <v>46146.65625</v>
      </c>
      <c r="C1456" t="s">
        <v>34</v>
      </c>
      <c r="D1456" s="1">
        <v>46153.625</v>
      </c>
      <c r="E1456">
        <v>6580</v>
      </c>
      <c r="F1456" t="s">
        <v>36</v>
      </c>
      <c r="G1456">
        <v>0.9</v>
      </c>
      <c r="H1456">
        <v>0.9</v>
      </c>
      <c r="I1456">
        <v>0.85</v>
      </c>
      <c r="J1456">
        <v>0.85</v>
      </c>
      <c r="K1456">
        <v>7</v>
      </c>
      <c r="L1456">
        <v>292</v>
      </c>
      <c r="M1456">
        <v>0.8</v>
      </c>
      <c r="N1456">
        <v>25</v>
      </c>
      <c r="O1456">
        <v>0.9</v>
      </c>
      <c r="P1456">
        <v>0</v>
      </c>
      <c r="Q1456">
        <v>0</v>
      </c>
      <c r="R1456">
        <v>0</v>
      </c>
      <c r="S1456">
        <v>0</v>
      </c>
      <c r="T1456">
        <v>0.2787</v>
      </c>
      <c r="U1456">
        <v>-9.1999999999999998E-3</v>
      </c>
      <c r="V1456">
        <v>1E-4</v>
      </c>
      <c r="W1456">
        <v>-0.39929999999999999</v>
      </c>
      <c r="X1456">
        <v>0.26350000000000001</v>
      </c>
      <c r="Y1456">
        <v>-1.24E-2</v>
      </c>
      <c r="Z1456">
        <v>122</v>
      </c>
      <c r="AA1456">
        <v>0.7</v>
      </c>
      <c r="AB1456">
        <v>131</v>
      </c>
      <c r="AC1456">
        <v>0.85</v>
      </c>
      <c r="AD1456">
        <v>0</v>
      </c>
      <c r="AE1456">
        <v>0</v>
      </c>
      <c r="AF1456">
        <v>0.86860000000000004</v>
      </c>
      <c r="AG1456">
        <v>32</v>
      </c>
      <c r="AH1456">
        <v>0</v>
      </c>
    </row>
    <row r="1457" spans="1:34" x14ac:dyDescent="0.35">
      <c r="A1457" t="s">
        <v>34</v>
      </c>
      <c r="B1457" s="1">
        <v>46146.65625</v>
      </c>
      <c r="C1457" t="s">
        <v>34</v>
      </c>
      <c r="D1457" s="1">
        <v>46153.625</v>
      </c>
      <c r="E1457">
        <v>6590</v>
      </c>
      <c r="F1457" t="s">
        <v>36</v>
      </c>
      <c r="G1457">
        <v>0.74</v>
      </c>
      <c r="H1457">
        <v>0.92</v>
      </c>
      <c r="I1457">
        <v>0.74</v>
      </c>
      <c r="J1457">
        <v>0.9</v>
      </c>
      <c r="K1457">
        <v>12</v>
      </c>
      <c r="L1457">
        <v>585</v>
      </c>
      <c r="M1457">
        <v>0.8</v>
      </c>
      <c r="N1457">
        <v>120</v>
      </c>
      <c r="O1457">
        <v>0.95</v>
      </c>
      <c r="P1457">
        <v>0</v>
      </c>
      <c r="Q1457">
        <v>0</v>
      </c>
      <c r="R1457">
        <v>0</v>
      </c>
      <c r="S1457">
        <v>0</v>
      </c>
      <c r="T1457">
        <v>0.27650000000000002</v>
      </c>
      <c r="U1457">
        <v>-9.7000000000000003E-3</v>
      </c>
      <c r="V1457">
        <v>1E-4</v>
      </c>
      <c r="W1457">
        <v>-0.41920000000000002</v>
      </c>
      <c r="X1457">
        <v>0.27750000000000002</v>
      </c>
      <c r="Y1457">
        <v>-1.32E-2</v>
      </c>
      <c r="Z1457">
        <v>42</v>
      </c>
      <c r="AA1457">
        <v>0.75</v>
      </c>
      <c r="AB1457">
        <v>133</v>
      </c>
      <c r="AC1457">
        <v>0.9</v>
      </c>
      <c r="AD1457">
        <v>0</v>
      </c>
      <c r="AE1457">
        <v>0</v>
      </c>
      <c r="AF1457">
        <v>0.83579999999999999</v>
      </c>
      <c r="AG1457">
        <v>52</v>
      </c>
      <c r="AH1457">
        <v>0</v>
      </c>
    </row>
    <row r="1458" spans="1:34" x14ac:dyDescent="0.35">
      <c r="A1458" t="s">
        <v>34</v>
      </c>
      <c r="B1458" s="1">
        <v>46146.65625</v>
      </c>
      <c r="C1458" t="s">
        <v>34</v>
      </c>
      <c r="D1458" s="1">
        <v>46153.625</v>
      </c>
      <c r="E1458">
        <v>6600</v>
      </c>
      <c r="F1458" t="s">
        <v>36</v>
      </c>
      <c r="G1458">
        <v>0.78</v>
      </c>
      <c r="H1458">
        <v>1.7</v>
      </c>
      <c r="I1458">
        <v>0.77</v>
      </c>
      <c r="J1458">
        <v>0.9</v>
      </c>
      <c r="K1458">
        <v>29</v>
      </c>
      <c r="L1458">
        <v>391</v>
      </c>
      <c r="M1458">
        <v>0.85</v>
      </c>
      <c r="N1458">
        <v>1</v>
      </c>
      <c r="O1458">
        <v>0.95</v>
      </c>
      <c r="P1458">
        <v>0</v>
      </c>
      <c r="Q1458">
        <v>0</v>
      </c>
      <c r="R1458">
        <v>0</v>
      </c>
      <c r="S1458">
        <v>0</v>
      </c>
      <c r="T1458">
        <v>0.27350000000000002</v>
      </c>
      <c r="U1458">
        <v>-1.01E-2</v>
      </c>
      <c r="V1458">
        <v>1E-4</v>
      </c>
      <c r="W1458">
        <v>-0.42859999999999998</v>
      </c>
      <c r="X1458">
        <v>0.28599999999999998</v>
      </c>
      <c r="Y1458">
        <v>-1.37E-2</v>
      </c>
      <c r="Z1458">
        <v>156</v>
      </c>
      <c r="AA1458">
        <v>0.75</v>
      </c>
      <c r="AB1458">
        <v>50</v>
      </c>
      <c r="AC1458">
        <v>0.9</v>
      </c>
      <c r="AD1458">
        <v>0</v>
      </c>
      <c r="AE1458">
        <v>0</v>
      </c>
      <c r="AF1458">
        <v>1.0386</v>
      </c>
      <c r="AG1458">
        <v>461</v>
      </c>
      <c r="AH1458">
        <v>0</v>
      </c>
    </row>
    <row r="1459" spans="1:34" x14ac:dyDescent="0.35">
      <c r="A1459" t="s">
        <v>34</v>
      </c>
      <c r="B1459" s="1">
        <v>46146.65625</v>
      </c>
      <c r="C1459" t="s">
        <v>34</v>
      </c>
      <c r="D1459" s="1">
        <v>46153.625</v>
      </c>
      <c r="E1459">
        <v>6610</v>
      </c>
      <c r="F1459" t="s">
        <v>36</v>
      </c>
      <c r="G1459">
        <v>0.85</v>
      </c>
      <c r="H1459">
        <v>1.65</v>
      </c>
      <c r="I1459">
        <v>0.85</v>
      </c>
      <c r="J1459">
        <v>0.85</v>
      </c>
      <c r="K1459">
        <v>14</v>
      </c>
      <c r="L1459">
        <v>293</v>
      </c>
      <c r="M1459">
        <v>0.9</v>
      </c>
      <c r="N1459">
        <v>306</v>
      </c>
      <c r="O1459">
        <v>1.05</v>
      </c>
      <c r="P1459">
        <v>0</v>
      </c>
      <c r="Q1459">
        <v>0</v>
      </c>
      <c r="R1459">
        <v>0</v>
      </c>
      <c r="S1459">
        <v>0</v>
      </c>
      <c r="T1459">
        <v>0.2722</v>
      </c>
      <c r="U1459">
        <v>-1.09E-2</v>
      </c>
      <c r="V1459">
        <v>1E-4</v>
      </c>
      <c r="W1459">
        <v>-0.4582</v>
      </c>
      <c r="X1459">
        <v>0.30499999999999999</v>
      </c>
      <c r="Y1459">
        <v>-1.4800000000000001E-2</v>
      </c>
      <c r="Z1459">
        <v>83</v>
      </c>
      <c r="AA1459">
        <v>0.8</v>
      </c>
      <c r="AB1459">
        <v>126</v>
      </c>
      <c r="AC1459">
        <v>0.95</v>
      </c>
      <c r="AD1459">
        <v>0</v>
      </c>
      <c r="AE1459">
        <v>0</v>
      </c>
      <c r="AF1459">
        <v>0.98570000000000002</v>
      </c>
      <c r="AG1459">
        <v>33</v>
      </c>
      <c r="AH1459">
        <v>0</v>
      </c>
    </row>
    <row r="1460" spans="1:34" x14ac:dyDescent="0.35">
      <c r="A1460" t="s">
        <v>34</v>
      </c>
      <c r="B1460" s="1">
        <v>46146.65625</v>
      </c>
      <c r="C1460" t="s">
        <v>34</v>
      </c>
      <c r="D1460" s="1">
        <v>46153.625</v>
      </c>
      <c r="E1460">
        <v>6620</v>
      </c>
      <c r="F1460" t="s">
        <v>36</v>
      </c>
      <c r="G1460">
        <v>1</v>
      </c>
      <c r="H1460">
        <v>1.05</v>
      </c>
      <c r="I1460">
        <v>0.9</v>
      </c>
      <c r="J1460">
        <v>0.9</v>
      </c>
      <c r="K1460">
        <v>11</v>
      </c>
      <c r="L1460">
        <v>7</v>
      </c>
      <c r="M1460">
        <v>0.95</v>
      </c>
      <c r="N1460">
        <v>16</v>
      </c>
      <c r="O1460">
        <v>1.05</v>
      </c>
      <c r="P1460">
        <v>0</v>
      </c>
      <c r="Q1460">
        <v>0</v>
      </c>
      <c r="R1460">
        <v>0</v>
      </c>
      <c r="S1460">
        <v>0</v>
      </c>
      <c r="T1460">
        <v>0.2676</v>
      </c>
      <c r="U1460">
        <v>-1.0999999999999999E-2</v>
      </c>
      <c r="V1460">
        <v>1E-4</v>
      </c>
      <c r="W1460">
        <v>-0.45700000000000002</v>
      </c>
      <c r="X1460">
        <v>0.30940000000000001</v>
      </c>
      <c r="Y1460">
        <v>-1.4999999999999999E-2</v>
      </c>
      <c r="Z1460">
        <v>39</v>
      </c>
      <c r="AA1460">
        <v>0.85</v>
      </c>
      <c r="AB1460">
        <v>129</v>
      </c>
      <c r="AC1460">
        <v>1</v>
      </c>
      <c r="AD1460">
        <v>0</v>
      </c>
      <c r="AE1460">
        <v>0</v>
      </c>
      <c r="AF1460">
        <v>0.97729999999999995</v>
      </c>
      <c r="AG1460">
        <v>81</v>
      </c>
      <c r="AH1460">
        <v>0</v>
      </c>
    </row>
    <row r="1461" spans="1:34" x14ac:dyDescent="0.35">
      <c r="A1461" t="s">
        <v>34</v>
      </c>
      <c r="B1461" s="1">
        <v>46146.65625</v>
      </c>
      <c r="C1461" t="s">
        <v>34</v>
      </c>
      <c r="D1461" s="1">
        <v>46153.625</v>
      </c>
      <c r="E1461">
        <v>6625</v>
      </c>
      <c r="F1461" t="s">
        <v>36</v>
      </c>
      <c r="G1461">
        <v>1.05</v>
      </c>
      <c r="H1461">
        <v>1.05</v>
      </c>
      <c r="I1461">
        <v>0.9</v>
      </c>
      <c r="J1461">
        <v>0.9</v>
      </c>
      <c r="K1461">
        <v>7</v>
      </c>
      <c r="L1461">
        <v>306</v>
      </c>
      <c r="M1461">
        <v>0.95</v>
      </c>
      <c r="N1461">
        <v>198</v>
      </c>
      <c r="O1461">
        <v>1.1000000000000001</v>
      </c>
      <c r="P1461">
        <v>0</v>
      </c>
      <c r="Q1461">
        <v>0</v>
      </c>
      <c r="R1461">
        <v>0</v>
      </c>
      <c r="S1461">
        <v>0</v>
      </c>
      <c r="T1461">
        <v>0.2676</v>
      </c>
      <c r="U1461">
        <v>-1.15E-2</v>
      </c>
      <c r="V1461">
        <v>1E-4</v>
      </c>
      <c r="W1461">
        <v>-0.47660000000000002</v>
      </c>
      <c r="X1461">
        <v>0.32119999999999999</v>
      </c>
      <c r="Y1461">
        <v>-1.5699999999999999E-2</v>
      </c>
      <c r="Z1461">
        <v>119</v>
      </c>
      <c r="AA1461">
        <v>0.85</v>
      </c>
      <c r="AB1461">
        <v>123</v>
      </c>
      <c r="AC1461">
        <v>1</v>
      </c>
      <c r="AD1461">
        <v>0</v>
      </c>
      <c r="AE1461">
        <v>0</v>
      </c>
      <c r="AF1461">
        <v>1</v>
      </c>
      <c r="AG1461">
        <v>89</v>
      </c>
      <c r="AH1461">
        <v>0</v>
      </c>
    </row>
    <row r="1462" spans="1:34" x14ac:dyDescent="0.35">
      <c r="A1462" t="s">
        <v>34</v>
      </c>
      <c r="B1462" s="1">
        <v>46146.65625</v>
      </c>
      <c r="C1462" t="s">
        <v>34</v>
      </c>
      <c r="D1462" s="1">
        <v>46153.625</v>
      </c>
      <c r="E1462">
        <v>6630</v>
      </c>
      <c r="F1462" t="s">
        <v>36</v>
      </c>
      <c r="G1462">
        <v>1.05</v>
      </c>
      <c r="H1462">
        <v>1.1000000000000001</v>
      </c>
      <c r="I1462">
        <v>0.95</v>
      </c>
      <c r="J1462">
        <v>0.95</v>
      </c>
      <c r="K1462">
        <v>9</v>
      </c>
      <c r="L1462">
        <v>339</v>
      </c>
      <c r="M1462">
        <v>0.95</v>
      </c>
      <c r="N1462">
        <v>119</v>
      </c>
      <c r="O1462">
        <v>1.1000000000000001</v>
      </c>
      <c r="P1462">
        <v>0</v>
      </c>
      <c r="Q1462">
        <v>0</v>
      </c>
      <c r="R1462">
        <v>0</v>
      </c>
      <c r="S1462">
        <v>0</v>
      </c>
      <c r="T1462">
        <v>0.26550000000000001</v>
      </c>
      <c r="U1462">
        <v>-1.1599999999999999E-2</v>
      </c>
      <c r="V1462">
        <v>1E-4</v>
      </c>
      <c r="W1462">
        <v>-0.47599999999999998</v>
      </c>
      <c r="X1462">
        <v>0.32340000000000002</v>
      </c>
      <c r="Y1462">
        <v>-1.5800000000000002E-2</v>
      </c>
      <c r="Z1462">
        <v>142</v>
      </c>
      <c r="AA1462">
        <v>0.85</v>
      </c>
      <c r="AB1462">
        <v>29</v>
      </c>
      <c r="AC1462">
        <v>1</v>
      </c>
      <c r="AD1462">
        <v>0</v>
      </c>
      <c r="AE1462">
        <v>0</v>
      </c>
      <c r="AF1462">
        <v>1.0388999999999999</v>
      </c>
      <c r="AG1462">
        <v>95</v>
      </c>
      <c r="AH1462">
        <v>0</v>
      </c>
    </row>
    <row r="1463" spans="1:34" x14ac:dyDescent="0.35">
      <c r="A1463" t="s">
        <v>34</v>
      </c>
      <c r="B1463" s="1">
        <v>46146.65625</v>
      </c>
      <c r="C1463" t="s">
        <v>34</v>
      </c>
      <c r="D1463" s="1">
        <v>46153.625</v>
      </c>
      <c r="E1463">
        <v>6640</v>
      </c>
      <c r="F1463" t="s">
        <v>36</v>
      </c>
      <c r="G1463">
        <v>1.22</v>
      </c>
      <c r="H1463">
        <v>1.22</v>
      </c>
      <c r="I1463">
        <v>0.95</v>
      </c>
      <c r="J1463">
        <v>0.95</v>
      </c>
      <c r="K1463">
        <v>15</v>
      </c>
      <c r="L1463">
        <v>368</v>
      </c>
      <c r="M1463">
        <v>1</v>
      </c>
      <c r="N1463">
        <v>1</v>
      </c>
      <c r="O1463">
        <v>1.1000000000000001</v>
      </c>
      <c r="P1463">
        <v>0</v>
      </c>
      <c r="Q1463">
        <v>0</v>
      </c>
      <c r="R1463">
        <v>0</v>
      </c>
      <c r="S1463">
        <v>0</v>
      </c>
      <c r="T1463">
        <v>0.2621</v>
      </c>
      <c r="U1463">
        <v>-1.2E-2</v>
      </c>
      <c r="V1463">
        <v>1E-4</v>
      </c>
      <c r="W1463">
        <v>-0.48470000000000002</v>
      </c>
      <c r="X1463">
        <v>0.33289999999999997</v>
      </c>
      <c r="Y1463">
        <v>-1.6299999999999999E-2</v>
      </c>
      <c r="Z1463">
        <v>109</v>
      </c>
      <c r="AA1463">
        <v>0.9</v>
      </c>
      <c r="AB1463">
        <v>45</v>
      </c>
      <c r="AC1463">
        <v>1.05</v>
      </c>
      <c r="AD1463">
        <v>0</v>
      </c>
      <c r="AE1463">
        <v>0</v>
      </c>
      <c r="AF1463">
        <v>1.1007</v>
      </c>
      <c r="AG1463">
        <v>48</v>
      </c>
      <c r="AH1463">
        <v>0</v>
      </c>
    </row>
    <row r="1464" spans="1:34" x14ac:dyDescent="0.35">
      <c r="A1464" t="s">
        <v>34</v>
      </c>
      <c r="B1464" s="1">
        <v>46146.65625</v>
      </c>
      <c r="C1464" t="s">
        <v>34</v>
      </c>
      <c r="D1464" s="1">
        <v>46153.625</v>
      </c>
      <c r="E1464">
        <v>6650</v>
      </c>
      <c r="F1464" t="s">
        <v>36</v>
      </c>
      <c r="G1464">
        <v>0.97</v>
      </c>
      <c r="H1464">
        <v>2</v>
      </c>
      <c r="I1464">
        <v>0.97</v>
      </c>
      <c r="J1464">
        <v>1.05</v>
      </c>
      <c r="K1464">
        <v>212</v>
      </c>
      <c r="L1464">
        <v>389</v>
      </c>
      <c r="M1464">
        <v>1.05</v>
      </c>
      <c r="N1464">
        <v>222</v>
      </c>
      <c r="O1464">
        <v>1.2</v>
      </c>
      <c r="P1464">
        <v>0</v>
      </c>
      <c r="Q1464">
        <v>0</v>
      </c>
      <c r="R1464">
        <v>0</v>
      </c>
      <c r="S1464">
        <v>0</v>
      </c>
      <c r="T1464">
        <v>0.26029999999999998</v>
      </c>
      <c r="U1464">
        <v>-1.29E-2</v>
      </c>
      <c r="V1464">
        <v>1E-4</v>
      </c>
      <c r="W1464">
        <v>-0.51290000000000002</v>
      </c>
      <c r="X1464">
        <v>0.3528</v>
      </c>
      <c r="Y1464">
        <v>-1.7500000000000002E-2</v>
      </c>
      <c r="Z1464">
        <v>114</v>
      </c>
      <c r="AA1464">
        <v>0.95</v>
      </c>
      <c r="AB1464">
        <v>49</v>
      </c>
      <c r="AC1464">
        <v>1.1000000000000001</v>
      </c>
      <c r="AD1464">
        <v>0</v>
      </c>
      <c r="AE1464">
        <v>0</v>
      </c>
      <c r="AF1464">
        <v>1.1863999999999999</v>
      </c>
      <c r="AG1464">
        <v>305</v>
      </c>
      <c r="AH1464">
        <v>0</v>
      </c>
    </row>
    <row r="1465" spans="1:34" x14ac:dyDescent="0.35">
      <c r="A1465" t="s">
        <v>34</v>
      </c>
      <c r="B1465" s="1">
        <v>46146.65625</v>
      </c>
      <c r="C1465" t="s">
        <v>34</v>
      </c>
      <c r="D1465" s="1">
        <v>46153.625</v>
      </c>
      <c r="E1465">
        <v>6660</v>
      </c>
      <c r="F1465" t="s">
        <v>36</v>
      </c>
      <c r="G1465">
        <v>1.2</v>
      </c>
      <c r="H1465">
        <v>1.2</v>
      </c>
      <c r="I1465">
        <v>1.1499999999999999</v>
      </c>
      <c r="J1465">
        <v>1.1499999999999999</v>
      </c>
      <c r="K1465">
        <v>9</v>
      </c>
      <c r="L1465">
        <v>341</v>
      </c>
      <c r="M1465">
        <v>1.1000000000000001</v>
      </c>
      <c r="N1465">
        <v>184</v>
      </c>
      <c r="O1465">
        <v>1.25</v>
      </c>
      <c r="P1465">
        <v>0</v>
      </c>
      <c r="Q1465">
        <v>0</v>
      </c>
      <c r="R1465">
        <v>0</v>
      </c>
      <c r="S1465">
        <v>0</v>
      </c>
      <c r="T1465">
        <v>0.2576</v>
      </c>
      <c r="U1465">
        <v>-1.35E-2</v>
      </c>
      <c r="V1465">
        <v>1E-4</v>
      </c>
      <c r="W1465">
        <v>-0.53090000000000004</v>
      </c>
      <c r="X1465">
        <v>0.36780000000000002</v>
      </c>
      <c r="Y1465">
        <v>-1.83E-2</v>
      </c>
      <c r="Z1465">
        <v>74</v>
      </c>
      <c r="AA1465">
        <v>1</v>
      </c>
      <c r="AB1465">
        <v>115</v>
      </c>
      <c r="AC1465">
        <v>1.1499999999999999</v>
      </c>
      <c r="AD1465">
        <v>0</v>
      </c>
      <c r="AE1465">
        <v>0</v>
      </c>
      <c r="AF1465">
        <v>1.1833</v>
      </c>
      <c r="AG1465">
        <v>31</v>
      </c>
      <c r="AH1465">
        <v>0</v>
      </c>
    </row>
    <row r="1466" spans="1:34" x14ac:dyDescent="0.35">
      <c r="A1466" t="s">
        <v>34</v>
      </c>
      <c r="B1466" s="1">
        <v>46146.65625</v>
      </c>
      <c r="C1466" t="s">
        <v>34</v>
      </c>
      <c r="D1466" s="1">
        <v>46153.625</v>
      </c>
      <c r="E1466">
        <v>6670</v>
      </c>
      <c r="F1466" t="s">
        <v>36</v>
      </c>
      <c r="G1466">
        <v>1.9</v>
      </c>
      <c r="H1466">
        <v>1.9</v>
      </c>
      <c r="I1466">
        <v>1.2</v>
      </c>
      <c r="J1466">
        <v>1.2</v>
      </c>
      <c r="K1466">
        <v>75</v>
      </c>
      <c r="L1466">
        <v>367</v>
      </c>
      <c r="M1466">
        <v>1.1499999999999999</v>
      </c>
      <c r="N1466">
        <v>210</v>
      </c>
      <c r="O1466">
        <v>1.3</v>
      </c>
      <c r="P1466">
        <v>0</v>
      </c>
      <c r="Q1466">
        <v>0</v>
      </c>
      <c r="R1466">
        <v>0</v>
      </c>
      <c r="S1466">
        <v>0</v>
      </c>
      <c r="T1466">
        <v>0.25469999999999998</v>
      </c>
      <c r="U1466">
        <v>-1.41E-2</v>
      </c>
      <c r="V1466">
        <v>1E-4</v>
      </c>
      <c r="W1466">
        <v>-0.54859999999999998</v>
      </c>
      <c r="X1466">
        <v>0.3831</v>
      </c>
      <c r="Y1466">
        <v>-1.9199999999999998E-2</v>
      </c>
      <c r="Z1466">
        <v>40</v>
      </c>
      <c r="AA1466">
        <v>1.05</v>
      </c>
      <c r="AB1466">
        <v>80</v>
      </c>
      <c r="AC1466">
        <v>1.2</v>
      </c>
      <c r="AD1466">
        <v>0</v>
      </c>
      <c r="AE1466">
        <v>0</v>
      </c>
      <c r="AF1466">
        <v>1.8292999999999999</v>
      </c>
      <c r="AG1466">
        <v>202</v>
      </c>
      <c r="AH1466">
        <v>0</v>
      </c>
    </row>
    <row r="1467" spans="1:34" x14ac:dyDescent="0.35">
      <c r="A1467" t="s">
        <v>34</v>
      </c>
      <c r="B1467" s="1">
        <v>46146.65625</v>
      </c>
      <c r="C1467" t="s">
        <v>34</v>
      </c>
      <c r="D1467" s="1">
        <v>46153.625</v>
      </c>
      <c r="E1467">
        <v>6675</v>
      </c>
      <c r="F1467" t="s">
        <v>36</v>
      </c>
      <c r="G1467">
        <v>1.21</v>
      </c>
      <c r="H1467">
        <v>1.3</v>
      </c>
      <c r="I1467">
        <v>1.21</v>
      </c>
      <c r="J1467">
        <v>1.3</v>
      </c>
      <c r="K1467">
        <v>5</v>
      </c>
      <c r="L1467">
        <v>129</v>
      </c>
      <c r="M1467">
        <v>1.2</v>
      </c>
      <c r="N1467">
        <v>251</v>
      </c>
      <c r="O1467">
        <v>1.35</v>
      </c>
      <c r="P1467">
        <v>0</v>
      </c>
      <c r="Q1467">
        <v>0</v>
      </c>
      <c r="R1467">
        <v>0</v>
      </c>
      <c r="S1467">
        <v>0</v>
      </c>
      <c r="T1467">
        <v>0.254</v>
      </c>
      <c r="U1467">
        <v>-1.47E-2</v>
      </c>
      <c r="V1467">
        <v>2.0000000000000001E-4</v>
      </c>
      <c r="W1467">
        <v>-0.56679999999999997</v>
      </c>
      <c r="X1467">
        <v>0.3957</v>
      </c>
      <c r="Y1467">
        <v>-0.02</v>
      </c>
      <c r="Z1467">
        <v>25</v>
      </c>
      <c r="AA1467">
        <v>1.1000000000000001</v>
      </c>
      <c r="AB1467">
        <v>28</v>
      </c>
      <c r="AC1467">
        <v>1.2</v>
      </c>
      <c r="AD1467">
        <v>0</v>
      </c>
      <c r="AE1467">
        <v>0</v>
      </c>
      <c r="AF1467">
        <v>1.272</v>
      </c>
      <c r="AG1467">
        <v>350</v>
      </c>
      <c r="AH1467">
        <v>0</v>
      </c>
    </row>
    <row r="1468" spans="1:34" x14ac:dyDescent="0.35">
      <c r="A1468" t="s">
        <v>34</v>
      </c>
      <c r="B1468" s="1">
        <v>46146.65625</v>
      </c>
      <c r="C1468" t="s">
        <v>34</v>
      </c>
      <c r="D1468" s="1">
        <v>46153.625</v>
      </c>
      <c r="E1468">
        <v>6680</v>
      </c>
      <c r="F1468" t="s">
        <v>36</v>
      </c>
      <c r="G1468">
        <v>1.05</v>
      </c>
      <c r="H1468">
        <v>1.35</v>
      </c>
      <c r="I1468">
        <v>1.05</v>
      </c>
      <c r="J1468">
        <v>1.25</v>
      </c>
      <c r="K1468">
        <v>11</v>
      </c>
      <c r="L1468">
        <v>345</v>
      </c>
      <c r="M1468">
        <v>1.2</v>
      </c>
      <c r="N1468">
        <v>111</v>
      </c>
      <c r="O1468">
        <v>1.35</v>
      </c>
      <c r="P1468">
        <v>0</v>
      </c>
      <c r="Q1468">
        <v>0</v>
      </c>
      <c r="R1468">
        <v>0</v>
      </c>
      <c r="S1468">
        <v>0</v>
      </c>
      <c r="T1468">
        <v>0.25180000000000002</v>
      </c>
      <c r="U1468">
        <v>-1.4800000000000001E-2</v>
      </c>
      <c r="V1468">
        <v>2.0000000000000001E-4</v>
      </c>
      <c r="W1468">
        <v>-0.56599999999999995</v>
      </c>
      <c r="X1468">
        <v>0.39850000000000002</v>
      </c>
      <c r="Y1468">
        <v>-2.01E-2</v>
      </c>
      <c r="Z1468">
        <v>40</v>
      </c>
      <c r="AA1468">
        <v>1.1000000000000001</v>
      </c>
      <c r="AB1468">
        <v>47</v>
      </c>
      <c r="AC1468">
        <v>1.25</v>
      </c>
      <c r="AD1468">
        <v>0</v>
      </c>
      <c r="AE1468">
        <v>0</v>
      </c>
      <c r="AF1468">
        <v>1.2273000000000001</v>
      </c>
      <c r="AG1468">
        <v>138</v>
      </c>
      <c r="AH1468">
        <v>0</v>
      </c>
    </row>
    <row r="1469" spans="1:34" x14ac:dyDescent="0.35">
      <c r="A1469" t="s">
        <v>34</v>
      </c>
      <c r="B1469" s="1">
        <v>46146.65625</v>
      </c>
      <c r="C1469" t="s">
        <v>34</v>
      </c>
      <c r="D1469" s="1">
        <v>46153.625</v>
      </c>
      <c r="E1469">
        <v>6690</v>
      </c>
      <c r="F1469" t="s">
        <v>36</v>
      </c>
      <c r="G1469">
        <v>1.35</v>
      </c>
      <c r="H1469">
        <v>1.4</v>
      </c>
      <c r="I1469">
        <v>1.3</v>
      </c>
      <c r="J1469">
        <v>1.3</v>
      </c>
      <c r="K1469">
        <v>9</v>
      </c>
      <c r="L1469">
        <v>7</v>
      </c>
      <c r="M1469">
        <v>1.3</v>
      </c>
      <c r="N1469">
        <v>41</v>
      </c>
      <c r="O1469">
        <v>1.4</v>
      </c>
      <c r="P1469">
        <v>0</v>
      </c>
      <c r="Q1469">
        <v>0</v>
      </c>
      <c r="R1469">
        <v>0</v>
      </c>
      <c r="S1469">
        <v>0</v>
      </c>
      <c r="T1469">
        <v>0.2495</v>
      </c>
      <c r="U1469">
        <v>-1.5699999999999999E-2</v>
      </c>
      <c r="V1469">
        <v>2.0000000000000001E-4</v>
      </c>
      <c r="W1469">
        <v>-0.59230000000000005</v>
      </c>
      <c r="X1469">
        <v>0.41880000000000001</v>
      </c>
      <c r="Y1469">
        <v>-2.1399999999999999E-2</v>
      </c>
      <c r="Z1469">
        <v>72</v>
      </c>
      <c r="AA1469">
        <v>1.1499999999999999</v>
      </c>
      <c r="AB1469">
        <v>44</v>
      </c>
      <c r="AC1469">
        <v>1.3</v>
      </c>
      <c r="AD1469">
        <v>0</v>
      </c>
      <c r="AE1469">
        <v>0</v>
      </c>
      <c r="AF1469">
        <v>1.3555999999999999</v>
      </c>
      <c r="AG1469">
        <v>29</v>
      </c>
      <c r="AH1469">
        <v>0</v>
      </c>
    </row>
    <row r="1470" spans="1:34" x14ac:dyDescent="0.35">
      <c r="A1470" t="s">
        <v>34</v>
      </c>
      <c r="B1470" s="1">
        <v>46146.65625</v>
      </c>
      <c r="C1470" t="s">
        <v>34</v>
      </c>
      <c r="D1470" s="1">
        <v>46153.625</v>
      </c>
      <c r="E1470">
        <v>6700</v>
      </c>
      <c r="F1470" t="s">
        <v>36</v>
      </c>
      <c r="G1470">
        <v>1.1299999999999999</v>
      </c>
      <c r="H1470">
        <v>2.5</v>
      </c>
      <c r="I1470">
        <v>1.1000000000000001</v>
      </c>
      <c r="J1470">
        <v>1.31</v>
      </c>
      <c r="K1470">
        <v>81</v>
      </c>
      <c r="L1470">
        <v>158</v>
      </c>
      <c r="M1470">
        <v>1.35</v>
      </c>
      <c r="N1470">
        <v>58</v>
      </c>
      <c r="O1470">
        <v>1.45</v>
      </c>
      <c r="P1470">
        <v>0</v>
      </c>
      <c r="Q1470">
        <v>0</v>
      </c>
      <c r="R1470">
        <v>0</v>
      </c>
      <c r="S1470">
        <v>0</v>
      </c>
      <c r="T1470">
        <v>0.24640000000000001</v>
      </c>
      <c r="U1470">
        <v>-1.6400000000000001E-2</v>
      </c>
      <c r="V1470">
        <v>2.0000000000000001E-4</v>
      </c>
      <c r="W1470">
        <v>-0.60899999999999999</v>
      </c>
      <c r="X1470">
        <v>0.4345</v>
      </c>
      <c r="Y1470">
        <v>-2.23E-2</v>
      </c>
      <c r="Z1470">
        <v>100</v>
      </c>
      <c r="AA1470">
        <v>1.2</v>
      </c>
      <c r="AB1470">
        <v>27</v>
      </c>
      <c r="AC1470">
        <v>1.35</v>
      </c>
      <c r="AD1470">
        <v>0</v>
      </c>
      <c r="AE1470">
        <v>0</v>
      </c>
      <c r="AF1470">
        <v>1.5446</v>
      </c>
      <c r="AG1470">
        <v>2609</v>
      </c>
      <c r="AH1470">
        <v>0</v>
      </c>
    </row>
    <row r="1471" spans="1:34" x14ac:dyDescent="0.35">
      <c r="A1471" t="s">
        <v>34</v>
      </c>
      <c r="B1471" s="1">
        <v>46146.65625</v>
      </c>
      <c r="C1471" t="s">
        <v>34</v>
      </c>
      <c r="D1471" s="1">
        <v>46153.625</v>
      </c>
      <c r="E1471">
        <v>6710</v>
      </c>
      <c r="F1471" t="s">
        <v>36</v>
      </c>
      <c r="G1471">
        <v>2.5</v>
      </c>
      <c r="H1471">
        <v>2.5</v>
      </c>
      <c r="I1471">
        <v>1.5</v>
      </c>
      <c r="J1471">
        <v>1.5</v>
      </c>
      <c r="K1471">
        <v>10</v>
      </c>
      <c r="L1471">
        <v>276</v>
      </c>
      <c r="M1471">
        <v>1.4</v>
      </c>
      <c r="N1471">
        <v>174</v>
      </c>
      <c r="O1471">
        <v>1.55</v>
      </c>
      <c r="P1471">
        <v>0</v>
      </c>
      <c r="Q1471">
        <v>0</v>
      </c>
      <c r="R1471">
        <v>0</v>
      </c>
      <c r="S1471">
        <v>0</v>
      </c>
      <c r="T1471">
        <v>0.24390000000000001</v>
      </c>
      <c r="U1471">
        <v>-1.7299999999999999E-2</v>
      </c>
      <c r="V1471">
        <v>2.0000000000000001E-4</v>
      </c>
      <c r="W1471">
        <v>-0.63439999999999996</v>
      </c>
      <c r="X1471">
        <v>0.45500000000000002</v>
      </c>
      <c r="Y1471">
        <v>-2.3599999999999999E-2</v>
      </c>
      <c r="Z1471">
        <v>41</v>
      </c>
      <c r="AA1471">
        <v>1.3</v>
      </c>
      <c r="AB1471">
        <v>26</v>
      </c>
      <c r="AC1471">
        <v>1.4</v>
      </c>
      <c r="AD1471">
        <v>0</v>
      </c>
      <c r="AE1471">
        <v>0</v>
      </c>
      <c r="AF1471">
        <v>1.71</v>
      </c>
      <c r="AG1471">
        <v>17</v>
      </c>
      <c r="AH1471">
        <v>0</v>
      </c>
    </row>
    <row r="1472" spans="1:34" x14ac:dyDescent="0.35">
      <c r="A1472" t="s">
        <v>34</v>
      </c>
      <c r="B1472" s="1">
        <v>46146.65625</v>
      </c>
      <c r="C1472" t="s">
        <v>34</v>
      </c>
      <c r="D1472" s="1">
        <v>46153.625</v>
      </c>
      <c r="E1472">
        <v>6720</v>
      </c>
      <c r="F1472" t="s">
        <v>36</v>
      </c>
      <c r="G1472">
        <v>2.5</v>
      </c>
      <c r="H1472">
        <v>2.5</v>
      </c>
      <c r="I1472">
        <v>1.5</v>
      </c>
      <c r="J1472">
        <v>1.5</v>
      </c>
      <c r="K1472">
        <v>11</v>
      </c>
      <c r="L1472">
        <v>78</v>
      </c>
      <c r="M1472">
        <v>1.5</v>
      </c>
      <c r="N1472">
        <v>172</v>
      </c>
      <c r="O1472">
        <v>1.65</v>
      </c>
      <c r="P1472">
        <v>0</v>
      </c>
      <c r="Q1472">
        <v>0</v>
      </c>
      <c r="R1472">
        <v>0</v>
      </c>
      <c r="S1472">
        <v>0</v>
      </c>
      <c r="T1472">
        <v>0.2417</v>
      </c>
      <c r="U1472">
        <v>-1.8499999999999999E-2</v>
      </c>
      <c r="V1472">
        <v>2.0000000000000001E-4</v>
      </c>
      <c r="W1472">
        <v>-0.66820000000000002</v>
      </c>
      <c r="X1472">
        <v>0.48070000000000002</v>
      </c>
      <c r="Y1472">
        <v>-2.52E-2</v>
      </c>
      <c r="Z1472">
        <v>41</v>
      </c>
      <c r="AA1472">
        <v>1.35</v>
      </c>
      <c r="AB1472">
        <v>74</v>
      </c>
      <c r="AC1472">
        <v>1.5</v>
      </c>
      <c r="AD1472">
        <v>0</v>
      </c>
      <c r="AE1472">
        <v>0</v>
      </c>
      <c r="AF1472">
        <v>1.7564</v>
      </c>
      <c r="AG1472">
        <v>43</v>
      </c>
      <c r="AH1472">
        <v>0</v>
      </c>
    </row>
    <row r="1473" spans="1:34" x14ac:dyDescent="0.35">
      <c r="A1473" t="s">
        <v>34</v>
      </c>
      <c r="B1473" s="1">
        <v>46146.65625</v>
      </c>
      <c r="C1473" t="s">
        <v>34</v>
      </c>
      <c r="D1473" s="1">
        <v>46153.625</v>
      </c>
      <c r="E1473">
        <v>6725</v>
      </c>
      <c r="F1473" t="s">
        <v>36</v>
      </c>
      <c r="G1473">
        <v>1.56</v>
      </c>
      <c r="H1473">
        <v>2.93</v>
      </c>
      <c r="I1473">
        <v>1.25</v>
      </c>
      <c r="J1473">
        <v>1.4</v>
      </c>
      <c r="K1473">
        <v>2964</v>
      </c>
      <c r="L1473">
        <v>7</v>
      </c>
      <c r="M1473">
        <v>1.55</v>
      </c>
      <c r="N1473">
        <v>79</v>
      </c>
      <c r="O1473">
        <v>1.65</v>
      </c>
      <c r="P1473">
        <v>0</v>
      </c>
      <c r="Q1473">
        <v>0</v>
      </c>
      <c r="R1473">
        <v>0</v>
      </c>
      <c r="S1473">
        <v>0</v>
      </c>
      <c r="T1473">
        <v>0.23960000000000001</v>
      </c>
      <c r="U1473">
        <v>-1.8599999999999998E-2</v>
      </c>
      <c r="V1473">
        <v>2.0000000000000001E-4</v>
      </c>
      <c r="W1473">
        <v>-0.66720000000000002</v>
      </c>
      <c r="X1473">
        <v>0.48420000000000002</v>
      </c>
      <c r="Y1473">
        <v>-2.5399999999999999E-2</v>
      </c>
      <c r="Z1473">
        <v>42</v>
      </c>
      <c r="AA1473">
        <v>1.4</v>
      </c>
      <c r="AB1473">
        <v>23</v>
      </c>
      <c r="AC1473">
        <v>1.5</v>
      </c>
      <c r="AD1473">
        <v>0</v>
      </c>
      <c r="AE1473">
        <v>0</v>
      </c>
      <c r="AF1473">
        <v>1.9302999999999999</v>
      </c>
      <c r="AG1473">
        <v>169</v>
      </c>
      <c r="AH1473">
        <v>0</v>
      </c>
    </row>
    <row r="1474" spans="1:34" x14ac:dyDescent="0.35">
      <c r="A1474" t="s">
        <v>34</v>
      </c>
      <c r="B1474" s="1">
        <v>46146.65625</v>
      </c>
      <c r="C1474" t="s">
        <v>34</v>
      </c>
      <c r="D1474" s="1">
        <v>46153.625</v>
      </c>
      <c r="E1474">
        <v>6730</v>
      </c>
      <c r="F1474" t="s">
        <v>36</v>
      </c>
      <c r="G1474">
        <v>1.7</v>
      </c>
      <c r="H1474">
        <v>1.7</v>
      </c>
      <c r="I1474">
        <v>1.6</v>
      </c>
      <c r="J1474">
        <v>1.69</v>
      </c>
      <c r="K1474">
        <v>10</v>
      </c>
      <c r="L1474">
        <v>275</v>
      </c>
      <c r="M1474">
        <v>1.55</v>
      </c>
      <c r="N1474">
        <v>80</v>
      </c>
      <c r="O1474">
        <v>1.7</v>
      </c>
      <c r="P1474">
        <v>0</v>
      </c>
      <c r="Q1474">
        <v>0</v>
      </c>
      <c r="R1474">
        <v>0</v>
      </c>
      <c r="S1474">
        <v>0</v>
      </c>
      <c r="T1474">
        <v>0.23849999999999999</v>
      </c>
      <c r="U1474">
        <v>-1.9199999999999998E-2</v>
      </c>
      <c r="V1474">
        <v>2.0000000000000001E-4</v>
      </c>
      <c r="W1474">
        <v>-0.68379999999999996</v>
      </c>
      <c r="X1474">
        <v>0.49719999999999998</v>
      </c>
      <c r="Y1474">
        <v>-2.6200000000000001E-2</v>
      </c>
      <c r="Z1474">
        <v>27</v>
      </c>
      <c r="AA1474">
        <v>1.45</v>
      </c>
      <c r="AB1474">
        <v>25</v>
      </c>
      <c r="AC1474">
        <v>1.55</v>
      </c>
      <c r="AD1474">
        <v>0</v>
      </c>
      <c r="AE1474">
        <v>0</v>
      </c>
      <c r="AF1474">
        <v>1.673</v>
      </c>
      <c r="AG1474">
        <v>17</v>
      </c>
      <c r="AH1474">
        <v>0</v>
      </c>
    </row>
    <row r="1475" spans="1:34" x14ac:dyDescent="0.35">
      <c r="A1475" t="s">
        <v>34</v>
      </c>
      <c r="B1475" s="1">
        <v>46146.65625</v>
      </c>
      <c r="C1475" t="s">
        <v>34</v>
      </c>
      <c r="D1475" s="1">
        <v>46153.625</v>
      </c>
      <c r="E1475">
        <v>6740</v>
      </c>
      <c r="F1475" t="s">
        <v>36</v>
      </c>
      <c r="G1475">
        <v>1.47</v>
      </c>
      <c r="H1475">
        <v>3.13</v>
      </c>
      <c r="I1475">
        <v>1.47</v>
      </c>
      <c r="J1475">
        <v>1.65</v>
      </c>
      <c r="K1475">
        <v>28</v>
      </c>
      <c r="L1475">
        <v>265</v>
      </c>
      <c r="M1475">
        <v>1.65</v>
      </c>
      <c r="N1475">
        <v>169</v>
      </c>
      <c r="O1475">
        <v>1.8</v>
      </c>
      <c r="P1475">
        <v>0</v>
      </c>
      <c r="Q1475">
        <v>0</v>
      </c>
      <c r="R1475">
        <v>0</v>
      </c>
      <c r="S1475">
        <v>0</v>
      </c>
      <c r="T1475">
        <v>0.23619999999999999</v>
      </c>
      <c r="U1475">
        <v>-2.0400000000000001E-2</v>
      </c>
      <c r="V1475">
        <v>2.0000000000000001E-4</v>
      </c>
      <c r="W1475">
        <v>-0.71640000000000004</v>
      </c>
      <c r="X1475">
        <v>0.52349999999999997</v>
      </c>
      <c r="Y1475">
        <v>-2.7900000000000001E-2</v>
      </c>
      <c r="Z1475">
        <v>68</v>
      </c>
      <c r="AA1475">
        <v>1.5</v>
      </c>
      <c r="AB1475">
        <v>52</v>
      </c>
      <c r="AC1475">
        <v>1.65</v>
      </c>
      <c r="AD1475">
        <v>0</v>
      </c>
      <c r="AE1475">
        <v>0</v>
      </c>
      <c r="AF1475">
        <v>2.5204</v>
      </c>
      <c r="AG1475">
        <v>68</v>
      </c>
      <c r="AH1475">
        <v>0</v>
      </c>
    </row>
    <row r="1476" spans="1:34" x14ac:dyDescent="0.35">
      <c r="A1476" t="s">
        <v>34</v>
      </c>
      <c r="B1476" s="1">
        <v>46146.65625</v>
      </c>
      <c r="C1476" t="s">
        <v>34</v>
      </c>
      <c r="D1476" s="1">
        <v>46153.625</v>
      </c>
      <c r="E1476">
        <v>6750</v>
      </c>
      <c r="F1476" t="s">
        <v>36</v>
      </c>
      <c r="G1476">
        <v>1.72</v>
      </c>
      <c r="H1476">
        <v>3.3</v>
      </c>
      <c r="I1476">
        <v>1.4</v>
      </c>
      <c r="J1476">
        <v>1.75</v>
      </c>
      <c r="K1476">
        <v>88</v>
      </c>
      <c r="L1476">
        <v>148</v>
      </c>
      <c r="M1476">
        <v>1.75</v>
      </c>
      <c r="N1476">
        <v>39</v>
      </c>
      <c r="O1476">
        <v>1.85</v>
      </c>
      <c r="P1476">
        <v>0</v>
      </c>
      <c r="Q1476">
        <v>0</v>
      </c>
      <c r="R1476">
        <v>0</v>
      </c>
      <c r="S1476">
        <v>0</v>
      </c>
      <c r="T1476">
        <v>0.23319999999999999</v>
      </c>
      <c r="U1476">
        <v>-2.1499999999999998E-2</v>
      </c>
      <c r="V1476">
        <v>2.0000000000000001E-4</v>
      </c>
      <c r="W1476">
        <v>-0.73960000000000004</v>
      </c>
      <c r="X1476">
        <v>0.54559999999999997</v>
      </c>
      <c r="Y1476">
        <v>-2.93E-2</v>
      </c>
      <c r="Z1476">
        <v>42</v>
      </c>
      <c r="AA1476">
        <v>1.6</v>
      </c>
      <c r="AB1476">
        <v>51</v>
      </c>
      <c r="AC1476">
        <v>1.75</v>
      </c>
      <c r="AD1476">
        <v>0</v>
      </c>
      <c r="AE1476">
        <v>0</v>
      </c>
      <c r="AF1476">
        <v>2.0133000000000001</v>
      </c>
      <c r="AG1476">
        <v>393</v>
      </c>
      <c r="AH1476">
        <v>0</v>
      </c>
    </row>
    <row r="1477" spans="1:34" x14ac:dyDescent="0.35">
      <c r="A1477" t="s">
        <v>34</v>
      </c>
      <c r="B1477" s="1">
        <v>46146.65625</v>
      </c>
      <c r="C1477" t="s">
        <v>34</v>
      </c>
      <c r="D1477" s="1">
        <v>46153.625</v>
      </c>
      <c r="E1477">
        <v>6760</v>
      </c>
      <c r="F1477" t="s">
        <v>36</v>
      </c>
      <c r="G1477">
        <v>1.75</v>
      </c>
      <c r="H1477">
        <v>3.2</v>
      </c>
      <c r="I1477">
        <v>1.7</v>
      </c>
      <c r="J1477">
        <v>1.85</v>
      </c>
      <c r="K1477">
        <v>77</v>
      </c>
      <c r="L1477">
        <v>149</v>
      </c>
      <c r="M1477">
        <v>1.85</v>
      </c>
      <c r="N1477">
        <v>31</v>
      </c>
      <c r="O1477">
        <v>1.95</v>
      </c>
      <c r="P1477">
        <v>0</v>
      </c>
      <c r="Q1477">
        <v>0</v>
      </c>
      <c r="R1477">
        <v>0</v>
      </c>
      <c r="S1477">
        <v>0</v>
      </c>
      <c r="T1477">
        <v>0.2306</v>
      </c>
      <c r="U1477">
        <v>-2.2700000000000001E-2</v>
      </c>
      <c r="V1477">
        <v>2.0000000000000001E-4</v>
      </c>
      <c r="W1477">
        <v>-0.77080000000000004</v>
      </c>
      <c r="X1477">
        <v>0.57240000000000002</v>
      </c>
      <c r="Y1477">
        <v>-3.1E-2</v>
      </c>
      <c r="Z1477">
        <v>42</v>
      </c>
      <c r="AA1477">
        <v>1.7</v>
      </c>
      <c r="AB1477">
        <v>50</v>
      </c>
      <c r="AC1477">
        <v>1.85</v>
      </c>
      <c r="AD1477">
        <v>0</v>
      </c>
      <c r="AE1477">
        <v>0</v>
      </c>
      <c r="AF1477">
        <v>2.4007999999999998</v>
      </c>
      <c r="AG1477">
        <v>59</v>
      </c>
      <c r="AH1477">
        <v>0</v>
      </c>
    </row>
    <row r="1478" spans="1:34" x14ac:dyDescent="0.35">
      <c r="A1478" t="s">
        <v>34</v>
      </c>
      <c r="B1478" s="1">
        <v>46146.65625</v>
      </c>
      <c r="C1478" t="s">
        <v>34</v>
      </c>
      <c r="D1478" s="1">
        <v>46153.625</v>
      </c>
      <c r="E1478">
        <v>6770</v>
      </c>
      <c r="F1478" t="s">
        <v>36</v>
      </c>
      <c r="G1478">
        <v>3.3</v>
      </c>
      <c r="H1478">
        <v>3.3</v>
      </c>
      <c r="I1478">
        <v>2</v>
      </c>
      <c r="J1478">
        <v>2</v>
      </c>
      <c r="K1478">
        <v>14</v>
      </c>
      <c r="L1478">
        <v>231</v>
      </c>
      <c r="M1478">
        <v>1.95</v>
      </c>
      <c r="N1478">
        <v>85</v>
      </c>
      <c r="O1478">
        <v>2.1</v>
      </c>
      <c r="P1478">
        <v>0</v>
      </c>
      <c r="Q1478">
        <v>0</v>
      </c>
      <c r="R1478">
        <v>0</v>
      </c>
      <c r="S1478">
        <v>0</v>
      </c>
      <c r="T1478">
        <v>0.22819999999999999</v>
      </c>
      <c r="U1478">
        <v>-2.4299999999999999E-2</v>
      </c>
      <c r="V1478">
        <v>2.9999999999999997E-4</v>
      </c>
      <c r="W1478">
        <v>-0.80940000000000001</v>
      </c>
      <c r="X1478">
        <v>0.60389999999999999</v>
      </c>
      <c r="Y1478">
        <v>-3.32E-2</v>
      </c>
      <c r="Z1478">
        <v>42</v>
      </c>
      <c r="AA1478">
        <v>1.8</v>
      </c>
      <c r="AB1478">
        <v>24</v>
      </c>
      <c r="AC1478">
        <v>1.95</v>
      </c>
      <c r="AD1478">
        <v>0</v>
      </c>
      <c r="AE1478">
        <v>0</v>
      </c>
      <c r="AF1478">
        <v>2.2035999999999998</v>
      </c>
      <c r="AG1478">
        <v>35</v>
      </c>
      <c r="AH1478">
        <v>0</v>
      </c>
    </row>
    <row r="1479" spans="1:34" x14ac:dyDescent="0.35">
      <c r="A1479" t="s">
        <v>34</v>
      </c>
      <c r="B1479" s="1">
        <v>46146.65625</v>
      </c>
      <c r="C1479" t="s">
        <v>34</v>
      </c>
      <c r="D1479" s="1">
        <v>46153.625</v>
      </c>
      <c r="E1479">
        <v>6775</v>
      </c>
      <c r="F1479" t="s">
        <v>36</v>
      </c>
      <c r="G1479">
        <v>2.0299999999999998</v>
      </c>
      <c r="H1479">
        <v>3.6</v>
      </c>
      <c r="I1479">
        <v>2</v>
      </c>
      <c r="J1479">
        <v>2.1</v>
      </c>
      <c r="K1479">
        <v>39</v>
      </c>
      <c r="L1479">
        <v>366</v>
      </c>
      <c r="M1479">
        <v>2</v>
      </c>
      <c r="N1479">
        <v>109</v>
      </c>
      <c r="O1479">
        <v>2.15</v>
      </c>
      <c r="P1479">
        <v>0</v>
      </c>
      <c r="Q1479">
        <v>0</v>
      </c>
      <c r="R1479">
        <v>0</v>
      </c>
      <c r="S1479">
        <v>0</v>
      </c>
      <c r="T1479">
        <v>0.2268</v>
      </c>
      <c r="U1479">
        <v>-2.4899999999999999E-2</v>
      </c>
      <c r="V1479">
        <v>2.9999999999999997E-4</v>
      </c>
      <c r="W1479">
        <v>-0.82420000000000004</v>
      </c>
      <c r="X1479">
        <v>0.61750000000000005</v>
      </c>
      <c r="Y1479">
        <v>-3.4099999999999998E-2</v>
      </c>
      <c r="Z1479">
        <v>66</v>
      </c>
      <c r="AA1479">
        <v>1.85</v>
      </c>
      <c r="AB1479">
        <v>23</v>
      </c>
      <c r="AC1479">
        <v>2</v>
      </c>
      <c r="AD1479">
        <v>0</v>
      </c>
      <c r="AE1479">
        <v>0</v>
      </c>
      <c r="AF1479">
        <v>2.3527999999999998</v>
      </c>
      <c r="AG1479">
        <v>366</v>
      </c>
      <c r="AH1479">
        <v>0</v>
      </c>
    </row>
    <row r="1480" spans="1:34" x14ac:dyDescent="0.35">
      <c r="A1480" t="s">
        <v>34</v>
      </c>
      <c r="B1480" s="1">
        <v>46146.65625</v>
      </c>
      <c r="C1480" t="s">
        <v>34</v>
      </c>
      <c r="D1480" s="1">
        <v>46153.625</v>
      </c>
      <c r="E1480">
        <v>6780</v>
      </c>
      <c r="F1480" t="s">
        <v>36</v>
      </c>
      <c r="G1480">
        <v>2.5499999999999998</v>
      </c>
      <c r="H1480">
        <v>2.5499999999999998</v>
      </c>
      <c r="I1480">
        <v>1.97</v>
      </c>
      <c r="J1480">
        <v>1.97</v>
      </c>
      <c r="K1480">
        <v>17</v>
      </c>
      <c r="L1480">
        <v>2</v>
      </c>
      <c r="M1480">
        <v>2.1</v>
      </c>
      <c r="N1480">
        <v>50</v>
      </c>
      <c r="O1480">
        <v>2.2000000000000002</v>
      </c>
      <c r="P1480">
        <v>0</v>
      </c>
      <c r="Q1480">
        <v>0</v>
      </c>
      <c r="R1480">
        <v>0</v>
      </c>
      <c r="S1480">
        <v>0</v>
      </c>
      <c r="T1480">
        <v>0.22539999999999999</v>
      </c>
      <c r="U1480">
        <v>-2.5600000000000001E-2</v>
      </c>
      <c r="V1480">
        <v>2.9999999999999997E-4</v>
      </c>
      <c r="W1480">
        <v>-0.83889999999999998</v>
      </c>
      <c r="X1480">
        <v>0.63100000000000001</v>
      </c>
      <c r="Y1480">
        <v>-3.5000000000000003E-2</v>
      </c>
      <c r="Z1480">
        <v>65</v>
      </c>
      <c r="AA1480">
        <v>1.9</v>
      </c>
      <c r="AB1480">
        <v>22</v>
      </c>
      <c r="AC1480">
        <v>2.0499999999999998</v>
      </c>
      <c r="AD1480">
        <v>0</v>
      </c>
      <c r="AE1480">
        <v>0</v>
      </c>
      <c r="AF1480">
        <v>2.1934999999999998</v>
      </c>
      <c r="AG1480">
        <v>110</v>
      </c>
      <c r="AH1480">
        <v>0</v>
      </c>
    </row>
    <row r="1481" spans="1:34" x14ac:dyDescent="0.35">
      <c r="A1481" t="s">
        <v>34</v>
      </c>
      <c r="B1481" s="1">
        <v>46146.65625</v>
      </c>
      <c r="C1481" t="s">
        <v>34</v>
      </c>
      <c r="D1481" s="1">
        <v>46153.625</v>
      </c>
      <c r="E1481">
        <v>6790</v>
      </c>
      <c r="F1481" t="s">
        <v>36</v>
      </c>
      <c r="G1481">
        <v>3.22</v>
      </c>
      <c r="H1481">
        <v>3.22</v>
      </c>
      <c r="I1481">
        <v>2.25</v>
      </c>
      <c r="J1481">
        <v>2.25</v>
      </c>
      <c r="K1481">
        <v>11</v>
      </c>
      <c r="L1481">
        <v>183</v>
      </c>
      <c r="M1481">
        <v>2.2000000000000002</v>
      </c>
      <c r="N1481">
        <v>50</v>
      </c>
      <c r="O1481">
        <v>2.35</v>
      </c>
      <c r="P1481">
        <v>0</v>
      </c>
      <c r="Q1481">
        <v>0</v>
      </c>
      <c r="R1481">
        <v>0</v>
      </c>
      <c r="S1481">
        <v>0</v>
      </c>
      <c r="T1481">
        <v>0.2233</v>
      </c>
      <c r="U1481">
        <v>-2.7400000000000001E-2</v>
      </c>
      <c r="V1481">
        <v>2.9999999999999997E-4</v>
      </c>
      <c r="W1481">
        <v>-0.88370000000000004</v>
      </c>
      <c r="X1481">
        <v>0.66659999999999997</v>
      </c>
      <c r="Y1481">
        <v>-3.7499999999999999E-2</v>
      </c>
      <c r="Z1481">
        <v>41</v>
      </c>
      <c r="AA1481">
        <v>2.0499999999999998</v>
      </c>
      <c r="AB1481">
        <v>15</v>
      </c>
      <c r="AC1481">
        <v>2.2000000000000002</v>
      </c>
      <c r="AD1481">
        <v>0</v>
      </c>
      <c r="AE1481">
        <v>0</v>
      </c>
      <c r="AF1481">
        <v>2.5827</v>
      </c>
      <c r="AG1481">
        <v>18</v>
      </c>
      <c r="AH1481">
        <v>0</v>
      </c>
    </row>
    <row r="1482" spans="1:34" x14ac:dyDescent="0.35">
      <c r="A1482" t="s">
        <v>34</v>
      </c>
      <c r="B1482" s="1">
        <v>46146.65625</v>
      </c>
      <c r="C1482" t="s">
        <v>34</v>
      </c>
      <c r="D1482" s="1">
        <v>46153.625</v>
      </c>
      <c r="E1482">
        <v>6800</v>
      </c>
      <c r="F1482" t="s">
        <v>36</v>
      </c>
      <c r="G1482">
        <v>2.25</v>
      </c>
      <c r="H1482">
        <v>4.71</v>
      </c>
      <c r="I1482">
        <v>1.68</v>
      </c>
      <c r="J1482">
        <v>2.2799999999999998</v>
      </c>
      <c r="K1482">
        <v>479</v>
      </c>
      <c r="L1482">
        <v>140</v>
      </c>
      <c r="M1482">
        <v>2.35</v>
      </c>
      <c r="N1482">
        <v>107</v>
      </c>
      <c r="O1482">
        <v>2.5</v>
      </c>
      <c r="P1482">
        <v>0</v>
      </c>
      <c r="Q1482">
        <v>0</v>
      </c>
      <c r="R1482">
        <v>0</v>
      </c>
      <c r="S1482">
        <v>0</v>
      </c>
      <c r="T1482">
        <v>0.22109999999999999</v>
      </c>
      <c r="U1482">
        <v>-2.92E-2</v>
      </c>
      <c r="V1482">
        <v>2.9999999999999997E-4</v>
      </c>
      <c r="W1482">
        <v>-0.92730000000000001</v>
      </c>
      <c r="X1482">
        <v>0.70230000000000004</v>
      </c>
      <c r="Y1482">
        <v>-3.9899999999999998E-2</v>
      </c>
      <c r="Z1482">
        <v>69</v>
      </c>
      <c r="AA1482">
        <v>2.15</v>
      </c>
      <c r="AB1482">
        <v>82</v>
      </c>
      <c r="AC1482">
        <v>2.35</v>
      </c>
      <c r="AD1482">
        <v>0</v>
      </c>
      <c r="AE1482">
        <v>0</v>
      </c>
      <c r="AF1482">
        <v>2.5066000000000002</v>
      </c>
      <c r="AG1482">
        <v>311</v>
      </c>
      <c r="AH1482">
        <v>0</v>
      </c>
    </row>
    <row r="1483" spans="1:34" x14ac:dyDescent="0.35">
      <c r="A1483" t="s">
        <v>34</v>
      </c>
      <c r="B1483" s="1">
        <v>46146.65625</v>
      </c>
      <c r="C1483" t="s">
        <v>34</v>
      </c>
      <c r="D1483" s="1">
        <v>46153.625</v>
      </c>
      <c r="E1483">
        <v>6810</v>
      </c>
      <c r="F1483" t="s">
        <v>36</v>
      </c>
      <c r="G1483">
        <v>2.35</v>
      </c>
      <c r="H1483">
        <v>4.9000000000000004</v>
      </c>
      <c r="I1483">
        <v>2.25</v>
      </c>
      <c r="J1483">
        <v>2.2999999999999998</v>
      </c>
      <c r="K1483">
        <v>21</v>
      </c>
      <c r="L1483">
        <v>197</v>
      </c>
      <c r="M1483">
        <v>2.5</v>
      </c>
      <c r="N1483">
        <v>50</v>
      </c>
      <c r="O1483">
        <v>2.65</v>
      </c>
      <c r="P1483">
        <v>0</v>
      </c>
      <c r="Q1483">
        <v>0</v>
      </c>
      <c r="R1483">
        <v>0</v>
      </c>
      <c r="S1483">
        <v>0</v>
      </c>
      <c r="T1483">
        <v>0.21859999999999999</v>
      </c>
      <c r="U1483">
        <v>-3.1E-2</v>
      </c>
      <c r="V1483">
        <v>2.9999999999999997E-4</v>
      </c>
      <c r="W1483">
        <v>-0.96960000000000002</v>
      </c>
      <c r="X1483">
        <v>0.73899999999999999</v>
      </c>
      <c r="Y1483">
        <v>-4.2500000000000003E-2</v>
      </c>
      <c r="Z1483">
        <v>68</v>
      </c>
      <c r="AA1483">
        <v>2.2999999999999998</v>
      </c>
      <c r="AB1483">
        <v>37</v>
      </c>
      <c r="AC1483">
        <v>2.5</v>
      </c>
      <c r="AD1483">
        <v>0</v>
      </c>
      <c r="AE1483">
        <v>0</v>
      </c>
      <c r="AF1483">
        <v>2.9129</v>
      </c>
      <c r="AG1483">
        <v>73</v>
      </c>
      <c r="AH1483">
        <v>0</v>
      </c>
    </row>
    <row r="1484" spans="1:34" x14ac:dyDescent="0.35">
      <c r="A1484" t="s">
        <v>34</v>
      </c>
      <c r="B1484" s="1">
        <v>46146.65625</v>
      </c>
      <c r="C1484" t="s">
        <v>34</v>
      </c>
      <c r="D1484" s="1">
        <v>46153.625</v>
      </c>
      <c r="E1484">
        <v>6820</v>
      </c>
      <c r="F1484" t="s">
        <v>36</v>
      </c>
      <c r="G1484">
        <v>4.5</v>
      </c>
      <c r="H1484">
        <v>4.66</v>
      </c>
      <c r="I1484">
        <v>2.8</v>
      </c>
      <c r="J1484">
        <v>2.9</v>
      </c>
      <c r="K1484">
        <v>26</v>
      </c>
      <c r="L1484">
        <v>292</v>
      </c>
      <c r="M1484">
        <v>2.65</v>
      </c>
      <c r="N1484">
        <v>10</v>
      </c>
      <c r="O1484">
        <v>2.8</v>
      </c>
      <c r="P1484">
        <v>0</v>
      </c>
      <c r="Q1484">
        <v>0</v>
      </c>
      <c r="R1484">
        <v>0</v>
      </c>
      <c r="S1484">
        <v>0</v>
      </c>
      <c r="T1484">
        <v>0.21579999999999999</v>
      </c>
      <c r="U1484">
        <v>-3.3000000000000002E-2</v>
      </c>
      <c r="V1484">
        <v>2.9999999999999997E-4</v>
      </c>
      <c r="W1484">
        <v>-1.0103</v>
      </c>
      <c r="X1484">
        <v>0.77649999999999997</v>
      </c>
      <c r="Y1484">
        <v>-4.5100000000000001E-2</v>
      </c>
      <c r="Z1484">
        <v>39</v>
      </c>
      <c r="AA1484">
        <v>2.5</v>
      </c>
      <c r="AB1484">
        <v>12</v>
      </c>
      <c r="AC1484">
        <v>2.65</v>
      </c>
      <c r="AD1484">
        <v>0</v>
      </c>
      <c r="AE1484">
        <v>0</v>
      </c>
      <c r="AF1484">
        <v>3.88</v>
      </c>
      <c r="AG1484">
        <v>108</v>
      </c>
      <c r="AH1484">
        <v>0</v>
      </c>
    </row>
    <row r="1485" spans="1:34" x14ac:dyDescent="0.35">
      <c r="A1485" t="s">
        <v>34</v>
      </c>
      <c r="B1485" s="1">
        <v>46146.65625</v>
      </c>
      <c r="C1485" t="s">
        <v>34</v>
      </c>
      <c r="D1485" s="1">
        <v>46153.625</v>
      </c>
      <c r="E1485">
        <v>6825</v>
      </c>
      <c r="F1485" t="s">
        <v>36</v>
      </c>
      <c r="G1485">
        <v>2.27</v>
      </c>
      <c r="H1485">
        <v>5.4</v>
      </c>
      <c r="I1485">
        <v>2</v>
      </c>
      <c r="J1485">
        <v>2.6</v>
      </c>
      <c r="K1485">
        <v>197</v>
      </c>
      <c r="L1485">
        <v>288</v>
      </c>
      <c r="M1485">
        <v>2.75</v>
      </c>
      <c r="N1485">
        <v>97</v>
      </c>
      <c r="O1485">
        <v>2.9</v>
      </c>
      <c r="P1485">
        <v>0</v>
      </c>
      <c r="Q1485">
        <v>0</v>
      </c>
      <c r="R1485">
        <v>0</v>
      </c>
      <c r="S1485">
        <v>0</v>
      </c>
      <c r="T1485">
        <v>0.21479999999999999</v>
      </c>
      <c r="U1485">
        <v>-3.4200000000000001E-2</v>
      </c>
      <c r="V1485">
        <v>4.0000000000000002E-4</v>
      </c>
      <c r="W1485">
        <v>-1.0378000000000001</v>
      </c>
      <c r="X1485">
        <v>0.79910000000000003</v>
      </c>
      <c r="Y1485">
        <v>-4.6800000000000001E-2</v>
      </c>
      <c r="Z1485">
        <v>69</v>
      </c>
      <c r="AA1485">
        <v>2.5499999999999998</v>
      </c>
      <c r="AB1485">
        <v>12</v>
      </c>
      <c r="AC1485">
        <v>2.75</v>
      </c>
      <c r="AD1485">
        <v>0</v>
      </c>
      <c r="AE1485">
        <v>0</v>
      </c>
      <c r="AF1485">
        <v>3.0284</v>
      </c>
      <c r="AG1485">
        <v>1507</v>
      </c>
      <c r="AH1485">
        <v>0</v>
      </c>
    </row>
    <row r="1486" spans="1:34" x14ac:dyDescent="0.35">
      <c r="A1486" t="s">
        <v>34</v>
      </c>
      <c r="B1486" s="1">
        <v>46146.65625</v>
      </c>
      <c r="C1486" t="s">
        <v>34</v>
      </c>
      <c r="D1486" s="1">
        <v>46153.625</v>
      </c>
      <c r="E1486">
        <v>6830</v>
      </c>
      <c r="F1486" t="s">
        <v>36</v>
      </c>
      <c r="G1486">
        <v>2.15</v>
      </c>
      <c r="H1486">
        <v>5</v>
      </c>
      <c r="I1486">
        <v>2.15</v>
      </c>
      <c r="J1486">
        <v>2.9</v>
      </c>
      <c r="K1486">
        <v>68</v>
      </c>
      <c r="L1486">
        <v>261</v>
      </c>
      <c r="M1486">
        <v>2.85</v>
      </c>
      <c r="N1486">
        <v>47</v>
      </c>
      <c r="O1486">
        <v>3</v>
      </c>
      <c r="P1486">
        <v>0</v>
      </c>
      <c r="Q1486">
        <v>0</v>
      </c>
      <c r="R1486">
        <v>0</v>
      </c>
      <c r="S1486">
        <v>0</v>
      </c>
      <c r="T1486">
        <v>0.2137</v>
      </c>
      <c r="U1486">
        <v>-3.5400000000000001E-2</v>
      </c>
      <c r="V1486">
        <v>4.0000000000000002E-4</v>
      </c>
      <c r="W1486">
        <v>-1.0648</v>
      </c>
      <c r="X1486">
        <v>0.8216</v>
      </c>
      <c r="Y1486">
        <v>-4.8500000000000001E-2</v>
      </c>
      <c r="Z1486">
        <v>45</v>
      </c>
      <c r="AA1486">
        <v>2.65</v>
      </c>
      <c r="AB1486">
        <v>13</v>
      </c>
      <c r="AC1486">
        <v>2.85</v>
      </c>
      <c r="AD1486">
        <v>0</v>
      </c>
      <c r="AE1486">
        <v>0</v>
      </c>
      <c r="AF1486">
        <v>3.8315000000000001</v>
      </c>
      <c r="AG1486">
        <v>142</v>
      </c>
      <c r="AH1486">
        <v>0</v>
      </c>
    </row>
    <row r="1487" spans="1:34" x14ac:dyDescent="0.35">
      <c r="A1487" t="s">
        <v>34</v>
      </c>
      <c r="B1487" s="1">
        <v>46146.65625</v>
      </c>
      <c r="C1487" t="s">
        <v>34</v>
      </c>
      <c r="D1487" s="1">
        <v>46153.625</v>
      </c>
      <c r="E1487">
        <v>6840</v>
      </c>
      <c r="F1487" t="s">
        <v>36</v>
      </c>
      <c r="G1487">
        <v>2.9</v>
      </c>
      <c r="H1487">
        <v>5.6</v>
      </c>
      <c r="I1487">
        <v>2.14</v>
      </c>
      <c r="J1487">
        <v>2.9</v>
      </c>
      <c r="K1487">
        <v>163</v>
      </c>
      <c r="L1487">
        <v>272</v>
      </c>
      <c r="M1487">
        <v>3</v>
      </c>
      <c r="N1487">
        <v>194</v>
      </c>
      <c r="O1487">
        <v>3.3</v>
      </c>
      <c r="P1487">
        <v>0</v>
      </c>
      <c r="Q1487">
        <v>0</v>
      </c>
      <c r="R1487">
        <v>0</v>
      </c>
      <c r="S1487">
        <v>0</v>
      </c>
      <c r="T1487">
        <v>0.21190000000000001</v>
      </c>
      <c r="U1487">
        <v>-3.7999999999999999E-2</v>
      </c>
      <c r="V1487">
        <v>4.0000000000000002E-4</v>
      </c>
      <c r="W1487">
        <v>-1.1249</v>
      </c>
      <c r="X1487">
        <v>0.86939999999999995</v>
      </c>
      <c r="Y1487">
        <v>-5.21E-2</v>
      </c>
      <c r="Z1487">
        <v>61</v>
      </c>
      <c r="AA1487">
        <v>2.85</v>
      </c>
      <c r="AB1487">
        <v>71</v>
      </c>
      <c r="AC1487">
        <v>3.1</v>
      </c>
      <c r="AD1487">
        <v>0</v>
      </c>
      <c r="AE1487">
        <v>0</v>
      </c>
      <c r="AF1487">
        <v>3.7967</v>
      </c>
      <c r="AG1487">
        <v>153</v>
      </c>
      <c r="AH1487">
        <v>0</v>
      </c>
    </row>
    <row r="1488" spans="1:34" x14ac:dyDescent="0.35">
      <c r="A1488" t="s">
        <v>34</v>
      </c>
      <c r="B1488" s="1">
        <v>46146.65625</v>
      </c>
      <c r="C1488" t="s">
        <v>34</v>
      </c>
      <c r="D1488" s="1">
        <v>46153.625</v>
      </c>
      <c r="E1488">
        <v>6850</v>
      </c>
      <c r="F1488" t="s">
        <v>36</v>
      </c>
      <c r="G1488">
        <v>2.95</v>
      </c>
      <c r="H1488">
        <v>6.3</v>
      </c>
      <c r="I1488">
        <v>2.25</v>
      </c>
      <c r="J1488">
        <v>3.18</v>
      </c>
      <c r="K1488">
        <v>443</v>
      </c>
      <c r="L1488">
        <v>106</v>
      </c>
      <c r="M1488">
        <v>3.3</v>
      </c>
      <c r="N1488">
        <v>123</v>
      </c>
      <c r="O1488">
        <v>3.5</v>
      </c>
      <c r="P1488">
        <v>0</v>
      </c>
      <c r="Q1488">
        <v>0</v>
      </c>
      <c r="R1488">
        <v>0</v>
      </c>
      <c r="S1488">
        <v>0</v>
      </c>
      <c r="T1488">
        <v>0.20979999999999999</v>
      </c>
      <c r="U1488">
        <v>-4.0899999999999999E-2</v>
      </c>
      <c r="V1488">
        <v>4.0000000000000002E-4</v>
      </c>
      <c r="W1488">
        <v>-1.1894</v>
      </c>
      <c r="X1488">
        <v>0.92149999999999999</v>
      </c>
      <c r="Y1488">
        <v>-5.62E-2</v>
      </c>
      <c r="Z1488">
        <v>35</v>
      </c>
      <c r="AA1488">
        <v>3.1</v>
      </c>
      <c r="AB1488">
        <v>89</v>
      </c>
      <c r="AC1488">
        <v>3.3</v>
      </c>
      <c r="AD1488">
        <v>0</v>
      </c>
      <c r="AE1488">
        <v>0</v>
      </c>
      <c r="AF1488">
        <v>3.6722999999999999</v>
      </c>
      <c r="AG1488">
        <v>1830</v>
      </c>
      <c r="AH1488">
        <v>0</v>
      </c>
    </row>
    <row r="1489" spans="1:34" x14ac:dyDescent="0.35">
      <c r="A1489" t="s">
        <v>34</v>
      </c>
      <c r="B1489" s="1">
        <v>46146.65625</v>
      </c>
      <c r="C1489" t="s">
        <v>34</v>
      </c>
      <c r="D1489" s="1">
        <v>46153.625</v>
      </c>
      <c r="E1489">
        <v>6855</v>
      </c>
      <c r="F1489" t="s">
        <v>36</v>
      </c>
      <c r="G1489">
        <v>3.08</v>
      </c>
      <c r="H1489">
        <v>6.7</v>
      </c>
      <c r="I1489">
        <v>2.4</v>
      </c>
      <c r="J1489">
        <v>3.6</v>
      </c>
      <c r="K1489">
        <v>231</v>
      </c>
      <c r="L1489">
        <v>250</v>
      </c>
      <c r="M1489">
        <v>3.4</v>
      </c>
      <c r="N1489">
        <v>114</v>
      </c>
      <c r="O1489">
        <v>3.6</v>
      </c>
      <c r="P1489">
        <v>0</v>
      </c>
      <c r="Q1489">
        <v>0</v>
      </c>
      <c r="R1489">
        <v>0</v>
      </c>
      <c r="S1489">
        <v>0</v>
      </c>
      <c r="T1489">
        <v>0.20849999999999999</v>
      </c>
      <c r="U1489">
        <v>-4.2099999999999999E-2</v>
      </c>
      <c r="V1489">
        <v>4.0000000000000002E-4</v>
      </c>
      <c r="W1489">
        <v>-1.2138</v>
      </c>
      <c r="X1489">
        <v>0.94410000000000005</v>
      </c>
      <c r="Y1489">
        <v>-5.79E-2</v>
      </c>
      <c r="Z1489">
        <v>57</v>
      </c>
      <c r="AA1489">
        <v>3.2</v>
      </c>
      <c r="AB1489">
        <v>62</v>
      </c>
      <c r="AC1489">
        <v>3.4</v>
      </c>
      <c r="AD1489">
        <v>0</v>
      </c>
      <c r="AE1489">
        <v>0</v>
      </c>
      <c r="AF1489">
        <v>4.8952</v>
      </c>
      <c r="AG1489">
        <v>4</v>
      </c>
      <c r="AH1489">
        <v>0</v>
      </c>
    </row>
    <row r="1490" spans="1:34" x14ac:dyDescent="0.35">
      <c r="A1490" t="s">
        <v>34</v>
      </c>
      <c r="B1490" s="1">
        <v>46146.65625</v>
      </c>
      <c r="C1490" t="s">
        <v>34</v>
      </c>
      <c r="D1490" s="1">
        <v>46153.625</v>
      </c>
      <c r="E1490">
        <v>6860</v>
      </c>
      <c r="F1490" t="s">
        <v>36</v>
      </c>
      <c r="G1490">
        <v>3.12</v>
      </c>
      <c r="H1490">
        <v>5.49</v>
      </c>
      <c r="I1490">
        <v>2.54</v>
      </c>
      <c r="J1490">
        <v>3.5</v>
      </c>
      <c r="K1490">
        <v>65</v>
      </c>
      <c r="L1490">
        <v>280</v>
      </c>
      <c r="M1490">
        <v>3.5</v>
      </c>
      <c r="N1490">
        <v>68</v>
      </c>
      <c r="O1490">
        <v>3.7</v>
      </c>
      <c r="P1490">
        <v>0</v>
      </c>
      <c r="Q1490">
        <v>0</v>
      </c>
      <c r="R1490">
        <v>0</v>
      </c>
      <c r="S1490">
        <v>0</v>
      </c>
      <c r="T1490">
        <v>0.2072</v>
      </c>
      <c r="U1490">
        <v>-4.3400000000000001E-2</v>
      </c>
      <c r="V1490">
        <v>4.0000000000000002E-4</v>
      </c>
      <c r="W1490">
        <v>-1.238</v>
      </c>
      <c r="X1490">
        <v>0.96630000000000005</v>
      </c>
      <c r="Y1490">
        <v>-5.96E-2</v>
      </c>
      <c r="Z1490">
        <v>102</v>
      </c>
      <c r="AA1490">
        <v>3.3</v>
      </c>
      <c r="AB1490">
        <v>112</v>
      </c>
      <c r="AC1490">
        <v>3.6</v>
      </c>
      <c r="AD1490">
        <v>0</v>
      </c>
      <c r="AE1490">
        <v>0</v>
      </c>
      <c r="AF1490">
        <v>3.8635000000000002</v>
      </c>
      <c r="AG1490">
        <v>120</v>
      </c>
      <c r="AH1490">
        <v>0</v>
      </c>
    </row>
    <row r="1491" spans="1:34" x14ac:dyDescent="0.35">
      <c r="A1491" t="s">
        <v>34</v>
      </c>
      <c r="B1491" s="1">
        <v>46146.65625</v>
      </c>
      <c r="C1491" t="s">
        <v>34</v>
      </c>
      <c r="D1491" s="1">
        <v>46153.625</v>
      </c>
      <c r="E1491">
        <v>6865</v>
      </c>
      <c r="F1491" t="s">
        <v>36</v>
      </c>
      <c r="G1491">
        <v>3.33</v>
      </c>
      <c r="H1491">
        <v>5.95</v>
      </c>
      <c r="I1491">
        <v>2.4900000000000002</v>
      </c>
      <c r="J1491">
        <v>3.9</v>
      </c>
      <c r="K1491">
        <v>107</v>
      </c>
      <c r="L1491">
        <v>71</v>
      </c>
      <c r="M1491">
        <v>3.7</v>
      </c>
      <c r="N1491">
        <v>116</v>
      </c>
      <c r="O1491">
        <v>3.9</v>
      </c>
      <c r="P1491">
        <v>0</v>
      </c>
      <c r="Q1491">
        <v>0</v>
      </c>
      <c r="R1491">
        <v>0</v>
      </c>
      <c r="S1491">
        <v>0</v>
      </c>
      <c r="T1491">
        <v>0.20630000000000001</v>
      </c>
      <c r="U1491">
        <v>-4.5100000000000001E-2</v>
      </c>
      <c r="V1491">
        <v>5.0000000000000001E-4</v>
      </c>
      <c r="W1491">
        <v>-1.2751999999999999</v>
      </c>
      <c r="X1491">
        <v>0.99609999999999999</v>
      </c>
      <c r="Y1491">
        <v>-6.2E-2</v>
      </c>
      <c r="Z1491">
        <v>77</v>
      </c>
      <c r="AA1491">
        <v>3.4</v>
      </c>
      <c r="AB1491">
        <v>73</v>
      </c>
      <c r="AC1491">
        <v>3.7</v>
      </c>
      <c r="AD1491">
        <v>0</v>
      </c>
      <c r="AE1491">
        <v>0</v>
      </c>
      <c r="AF1491">
        <v>3.8822000000000001</v>
      </c>
      <c r="AG1491">
        <v>24</v>
      </c>
      <c r="AH1491">
        <v>0</v>
      </c>
    </row>
    <row r="1492" spans="1:34" x14ac:dyDescent="0.35">
      <c r="A1492" t="s">
        <v>34</v>
      </c>
      <c r="B1492" s="1">
        <v>46146.65625</v>
      </c>
      <c r="C1492" t="s">
        <v>34</v>
      </c>
      <c r="D1492" s="1">
        <v>46153.625</v>
      </c>
      <c r="E1492">
        <v>6870</v>
      </c>
      <c r="F1492" t="s">
        <v>36</v>
      </c>
      <c r="G1492">
        <v>3.4</v>
      </c>
      <c r="H1492">
        <v>7.4</v>
      </c>
      <c r="I1492">
        <v>3</v>
      </c>
      <c r="J1492">
        <v>3.91</v>
      </c>
      <c r="K1492">
        <v>191</v>
      </c>
      <c r="L1492">
        <v>227</v>
      </c>
      <c r="M1492">
        <v>3.8</v>
      </c>
      <c r="N1492">
        <v>85</v>
      </c>
      <c r="O1492">
        <v>4</v>
      </c>
      <c r="P1492">
        <v>0</v>
      </c>
      <c r="Q1492">
        <v>0</v>
      </c>
      <c r="R1492">
        <v>0</v>
      </c>
      <c r="S1492">
        <v>0</v>
      </c>
      <c r="T1492">
        <v>0.2054</v>
      </c>
      <c r="U1492">
        <v>-4.6800000000000001E-2</v>
      </c>
      <c r="V1492">
        <v>5.0000000000000001E-4</v>
      </c>
      <c r="W1492">
        <v>-1.3117000000000001</v>
      </c>
      <c r="X1492">
        <v>1.0261</v>
      </c>
      <c r="Y1492">
        <v>-6.4299999999999996E-2</v>
      </c>
      <c r="Z1492">
        <v>35</v>
      </c>
      <c r="AA1492">
        <v>3.6</v>
      </c>
      <c r="AB1492">
        <v>57</v>
      </c>
      <c r="AC1492">
        <v>3.8</v>
      </c>
      <c r="AD1492">
        <v>0</v>
      </c>
      <c r="AE1492">
        <v>0</v>
      </c>
      <c r="AF1492">
        <v>5.4116999999999997</v>
      </c>
      <c r="AG1492">
        <v>191</v>
      </c>
      <c r="AH1492">
        <v>0</v>
      </c>
    </row>
    <row r="1493" spans="1:34" x14ac:dyDescent="0.35">
      <c r="A1493" t="s">
        <v>34</v>
      </c>
      <c r="B1493" s="1">
        <v>46146.65625</v>
      </c>
      <c r="C1493" t="s">
        <v>34</v>
      </c>
      <c r="D1493" s="1">
        <v>46153.625</v>
      </c>
      <c r="E1493">
        <v>6875</v>
      </c>
      <c r="F1493" t="s">
        <v>36</v>
      </c>
      <c r="G1493">
        <v>3.5</v>
      </c>
      <c r="H1493">
        <v>7.57</v>
      </c>
      <c r="I1493">
        <v>2.79</v>
      </c>
      <c r="J1493">
        <v>3.9</v>
      </c>
      <c r="K1493">
        <v>227</v>
      </c>
      <c r="L1493">
        <v>242</v>
      </c>
      <c r="M1493">
        <v>3.9</v>
      </c>
      <c r="N1493">
        <v>91</v>
      </c>
      <c r="O1493">
        <v>4.2</v>
      </c>
      <c r="P1493">
        <v>0</v>
      </c>
      <c r="Q1493">
        <v>0</v>
      </c>
      <c r="R1493">
        <v>0</v>
      </c>
      <c r="S1493">
        <v>0</v>
      </c>
      <c r="T1493">
        <v>0.2044</v>
      </c>
      <c r="U1493">
        <v>-4.8599999999999997E-2</v>
      </c>
      <c r="V1493">
        <v>5.0000000000000001E-4</v>
      </c>
      <c r="W1493">
        <v>-1.3472999999999999</v>
      </c>
      <c r="X1493">
        <v>1.056</v>
      </c>
      <c r="Y1493">
        <v>-6.6799999999999998E-2</v>
      </c>
      <c r="Z1493">
        <v>93</v>
      </c>
      <c r="AA1493">
        <v>3.7</v>
      </c>
      <c r="AB1493">
        <v>114</v>
      </c>
      <c r="AC1493">
        <v>4</v>
      </c>
      <c r="AD1493">
        <v>0</v>
      </c>
      <c r="AE1493">
        <v>0</v>
      </c>
      <c r="AF1493">
        <v>4.2164999999999999</v>
      </c>
      <c r="AG1493">
        <v>294</v>
      </c>
      <c r="AH1493">
        <v>0</v>
      </c>
    </row>
    <row r="1494" spans="1:34" x14ac:dyDescent="0.35">
      <c r="A1494" t="s">
        <v>34</v>
      </c>
      <c r="B1494" s="1">
        <v>46146.65625</v>
      </c>
      <c r="C1494" t="s">
        <v>34</v>
      </c>
      <c r="D1494" s="1">
        <v>46153.625</v>
      </c>
      <c r="E1494">
        <v>6880</v>
      </c>
      <c r="F1494" t="s">
        <v>36</v>
      </c>
      <c r="G1494">
        <v>3.6</v>
      </c>
      <c r="H1494">
        <v>7.19</v>
      </c>
      <c r="I1494">
        <v>3.18</v>
      </c>
      <c r="J1494">
        <v>4.0999999999999996</v>
      </c>
      <c r="K1494">
        <v>453</v>
      </c>
      <c r="L1494">
        <v>204</v>
      </c>
      <c r="M1494">
        <v>4.0999999999999996</v>
      </c>
      <c r="N1494">
        <v>75</v>
      </c>
      <c r="O1494">
        <v>4.3</v>
      </c>
      <c r="P1494">
        <v>0</v>
      </c>
      <c r="Q1494">
        <v>0</v>
      </c>
      <c r="R1494">
        <v>0</v>
      </c>
      <c r="S1494">
        <v>0</v>
      </c>
      <c r="T1494">
        <v>0.20330000000000001</v>
      </c>
      <c r="U1494">
        <v>-5.0299999999999997E-2</v>
      </c>
      <c r="V1494">
        <v>5.0000000000000001E-4</v>
      </c>
      <c r="W1494">
        <v>-1.3822000000000001</v>
      </c>
      <c r="X1494">
        <v>1.0858000000000001</v>
      </c>
      <c r="Y1494">
        <v>-6.9199999999999998E-2</v>
      </c>
      <c r="Z1494">
        <v>20</v>
      </c>
      <c r="AA1494">
        <v>3.9</v>
      </c>
      <c r="AB1494">
        <v>49</v>
      </c>
      <c r="AC1494">
        <v>4.0999999999999996</v>
      </c>
      <c r="AD1494">
        <v>0</v>
      </c>
      <c r="AE1494">
        <v>0</v>
      </c>
      <c r="AF1494">
        <v>4.0487000000000002</v>
      </c>
      <c r="AG1494">
        <v>55</v>
      </c>
      <c r="AH1494">
        <v>0</v>
      </c>
    </row>
    <row r="1495" spans="1:34" x14ac:dyDescent="0.35">
      <c r="A1495" t="s">
        <v>34</v>
      </c>
      <c r="B1495" s="1">
        <v>46146.65625</v>
      </c>
      <c r="C1495" t="s">
        <v>34</v>
      </c>
      <c r="D1495" s="1">
        <v>46153.625</v>
      </c>
      <c r="E1495">
        <v>6885</v>
      </c>
      <c r="F1495" t="s">
        <v>36</v>
      </c>
      <c r="G1495">
        <v>3.33</v>
      </c>
      <c r="H1495">
        <v>8</v>
      </c>
      <c r="I1495">
        <v>2.97</v>
      </c>
      <c r="J1495">
        <v>4.46</v>
      </c>
      <c r="K1495">
        <v>134</v>
      </c>
      <c r="L1495">
        <v>67</v>
      </c>
      <c r="M1495">
        <v>4.3</v>
      </c>
      <c r="N1495">
        <v>93</v>
      </c>
      <c r="O1495">
        <v>4.5</v>
      </c>
      <c r="P1495">
        <v>0</v>
      </c>
      <c r="Q1495">
        <v>0</v>
      </c>
      <c r="R1495">
        <v>0</v>
      </c>
      <c r="S1495">
        <v>0</v>
      </c>
      <c r="T1495">
        <v>0.2021</v>
      </c>
      <c r="U1495">
        <v>-5.21E-2</v>
      </c>
      <c r="V1495">
        <v>5.0000000000000001E-4</v>
      </c>
      <c r="W1495">
        <v>-1.4161999999999999</v>
      </c>
      <c r="X1495">
        <v>1.1160000000000001</v>
      </c>
      <c r="Y1495">
        <v>-7.17E-2</v>
      </c>
      <c r="Z1495">
        <v>50</v>
      </c>
      <c r="AA1495">
        <v>4</v>
      </c>
      <c r="AB1495">
        <v>49</v>
      </c>
      <c r="AC1495">
        <v>4.3</v>
      </c>
      <c r="AD1495">
        <v>0</v>
      </c>
      <c r="AE1495">
        <v>0</v>
      </c>
      <c r="AF1495">
        <v>4.9375</v>
      </c>
      <c r="AG1495">
        <v>6</v>
      </c>
      <c r="AH1495">
        <v>0</v>
      </c>
    </row>
    <row r="1496" spans="1:34" x14ac:dyDescent="0.35">
      <c r="A1496" t="s">
        <v>34</v>
      </c>
      <c r="B1496" s="1">
        <v>46146.65625</v>
      </c>
      <c r="C1496" t="s">
        <v>34</v>
      </c>
      <c r="D1496" s="1">
        <v>46153.625</v>
      </c>
      <c r="E1496">
        <v>6890</v>
      </c>
      <c r="F1496" t="s">
        <v>36</v>
      </c>
      <c r="G1496">
        <v>3.43</v>
      </c>
      <c r="H1496">
        <v>6.9</v>
      </c>
      <c r="I1496">
        <v>3.43</v>
      </c>
      <c r="J1496">
        <v>4.3</v>
      </c>
      <c r="K1496">
        <v>58</v>
      </c>
      <c r="L1496">
        <v>234</v>
      </c>
      <c r="M1496">
        <v>4.4000000000000004</v>
      </c>
      <c r="N1496">
        <v>84</v>
      </c>
      <c r="O1496">
        <v>4.7</v>
      </c>
      <c r="P1496">
        <v>0</v>
      </c>
      <c r="Q1496">
        <v>0</v>
      </c>
      <c r="R1496">
        <v>0</v>
      </c>
      <c r="S1496">
        <v>0</v>
      </c>
      <c r="T1496">
        <v>0.20100000000000001</v>
      </c>
      <c r="U1496">
        <v>-5.3900000000000003E-2</v>
      </c>
      <c r="V1496">
        <v>5.0000000000000001E-4</v>
      </c>
      <c r="W1496">
        <v>-1.4497</v>
      </c>
      <c r="X1496">
        <v>1.1451</v>
      </c>
      <c r="Y1496">
        <v>-7.4200000000000002E-2</v>
      </c>
      <c r="Z1496">
        <v>57</v>
      </c>
      <c r="AA1496">
        <v>4.2</v>
      </c>
      <c r="AB1496">
        <v>84</v>
      </c>
      <c r="AC1496">
        <v>4.5</v>
      </c>
      <c r="AD1496">
        <v>0</v>
      </c>
      <c r="AE1496">
        <v>0</v>
      </c>
      <c r="AF1496">
        <v>4.7432999999999996</v>
      </c>
      <c r="AG1496">
        <v>146</v>
      </c>
      <c r="AH1496">
        <v>0</v>
      </c>
    </row>
    <row r="1497" spans="1:34" x14ac:dyDescent="0.35">
      <c r="A1497" t="s">
        <v>34</v>
      </c>
      <c r="B1497" s="1">
        <v>46146.65625</v>
      </c>
      <c r="C1497" t="s">
        <v>34</v>
      </c>
      <c r="D1497" s="1">
        <v>46153.625</v>
      </c>
      <c r="E1497">
        <v>6895</v>
      </c>
      <c r="F1497" t="s">
        <v>36</v>
      </c>
      <c r="G1497">
        <v>4</v>
      </c>
      <c r="H1497">
        <v>8.57</v>
      </c>
      <c r="I1497">
        <v>3.93</v>
      </c>
      <c r="J1497">
        <v>4.5</v>
      </c>
      <c r="K1497">
        <v>1050</v>
      </c>
      <c r="L1497">
        <v>172</v>
      </c>
      <c r="M1497">
        <v>4.5999999999999996</v>
      </c>
      <c r="N1497">
        <v>24</v>
      </c>
      <c r="O1497">
        <v>4.8</v>
      </c>
      <c r="P1497">
        <v>0</v>
      </c>
      <c r="Q1497">
        <v>0</v>
      </c>
      <c r="R1497">
        <v>0</v>
      </c>
      <c r="S1497">
        <v>0</v>
      </c>
      <c r="T1497">
        <v>0.20019999999999999</v>
      </c>
      <c r="U1497">
        <v>-5.6099999999999997E-2</v>
      </c>
      <c r="V1497">
        <v>5.9999999999999995E-4</v>
      </c>
      <c r="W1497">
        <v>-1.4947999999999999</v>
      </c>
      <c r="X1497">
        <v>1.1806000000000001</v>
      </c>
      <c r="Y1497">
        <v>-7.7299999999999994E-2</v>
      </c>
      <c r="Z1497">
        <v>20</v>
      </c>
      <c r="AA1497">
        <v>4.4000000000000004</v>
      </c>
      <c r="AB1497">
        <v>37</v>
      </c>
      <c r="AC1497">
        <v>4.5999999999999996</v>
      </c>
      <c r="AD1497">
        <v>0</v>
      </c>
      <c r="AE1497">
        <v>0</v>
      </c>
      <c r="AF1497">
        <v>6.4823000000000004</v>
      </c>
      <c r="AG1497">
        <v>68</v>
      </c>
      <c r="AH1497">
        <v>0</v>
      </c>
    </row>
    <row r="1498" spans="1:34" x14ac:dyDescent="0.35">
      <c r="A1498" t="s">
        <v>34</v>
      </c>
      <c r="B1498" s="1">
        <v>46146.65625</v>
      </c>
      <c r="C1498" t="s">
        <v>34</v>
      </c>
      <c r="D1498" s="1">
        <v>46153.625</v>
      </c>
      <c r="E1498">
        <v>6900</v>
      </c>
      <c r="F1498" t="s">
        <v>36</v>
      </c>
      <c r="G1498">
        <v>4.3</v>
      </c>
      <c r="H1498">
        <v>8.85</v>
      </c>
      <c r="I1498">
        <v>3.24</v>
      </c>
      <c r="J1498">
        <v>4.75</v>
      </c>
      <c r="K1498">
        <v>1970</v>
      </c>
      <c r="L1498">
        <v>155</v>
      </c>
      <c r="M1498">
        <v>4.8</v>
      </c>
      <c r="N1498">
        <v>84</v>
      </c>
      <c r="O1498">
        <v>5</v>
      </c>
      <c r="P1498">
        <v>0</v>
      </c>
      <c r="Q1498">
        <v>0</v>
      </c>
      <c r="R1498">
        <v>0</v>
      </c>
      <c r="S1498">
        <v>0</v>
      </c>
      <c r="T1498">
        <v>0.19939999999999999</v>
      </c>
      <c r="U1498">
        <v>-5.8299999999999998E-2</v>
      </c>
      <c r="V1498">
        <v>5.9999999999999995E-4</v>
      </c>
      <c r="W1498">
        <v>-1.5388999999999999</v>
      </c>
      <c r="X1498">
        <v>1.2157</v>
      </c>
      <c r="Y1498">
        <v>-8.0399999999999999E-2</v>
      </c>
      <c r="Z1498">
        <v>17</v>
      </c>
      <c r="AA1498">
        <v>4.5999999999999996</v>
      </c>
      <c r="AB1498">
        <v>47</v>
      </c>
      <c r="AC1498">
        <v>4.8</v>
      </c>
      <c r="AD1498">
        <v>0</v>
      </c>
      <c r="AE1498">
        <v>0</v>
      </c>
      <c r="AF1498">
        <v>5.8372999999999999</v>
      </c>
      <c r="AG1498">
        <v>598</v>
      </c>
      <c r="AH1498">
        <v>0</v>
      </c>
    </row>
    <row r="1499" spans="1:34" x14ac:dyDescent="0.35">
      <c r="A1499" t="s">
        <v>34</v>
      </c>
      <c r="B1499" s="1">
        <v>46146.65625</v>
      </c>
      <c r="C1499" t="s">
        <v>34</v>
      </c>
      <c r="D1499" s="1">
        <v>46153.625</v>
      </c>
      <c r="E1499">
        <v>6905</v>
      </c>
      <c r="F1499" t="s">
        <v>36</v>
      </c>
      <c r="G1499">
        <v>4.3</v>
      </c>
      <c r="H1499">
        <v>7.25</v>
      </c>
      <c r="I1499">
        <v>3.8</v>
      </c>
      <c r="J1499">
        <v>4.8</v>
      </c>
      <c r="K1499">
        <v>45</v>
      </c>
      <c r="L1499">
        <v>186</v>
      </c>
      <c r="M1499">
        <v>4.9000000000000004</v>
      </c>
      <c r="N1499">
        <v>41</v>
      </c>
      <c r="O1499">
        <v>5.2</v>
      </c>
      <c r="P1499">
        <v>0</v>
      </c>
      <c r="Q1499">
        <v>0</v>
      </c>
      <c r="R1499">
        <v>0</v>
      </c>
      <c r="S1499">
        <v>0</v>
      </c>
      <c r="T1499">
        <v>0.19800000000000001</v>
      </c>
      <c r="U1499">
        <v>-6.0199999999999997E-2</v>
      </c>
      <c r="V1499">
        <v>5.9999999999999995E-4</v>
      </c>
      <c r="W1499">
        <v>-1.5697000000000001</v>
      </c>
      <c r="X1499">
        <v>1.2452000000000001</v>
      </c>
      <c r="Y1499">
        <v>-8.3000000000000004E-2</v>
      </c>
      <c r="Z1499">
        <v>30</v>
      </c>
      <c r="AA1499">
        <v>4.7</v>
      </c>
      <c r="AB1499">
        <v>28</v>
      </c>
      <c r="AC1499">
        <v>5</v>
      </c>
      <c r="AD1499">
        <v>0</v>
      </c>
      <c r="AE1499">
        <v>0</v>
      </c>
      <c r="AF1499">
        <v>4.47</v>
      </c>
      <c r="AG1499">
        <v>90</v>
      </c>
      <c r="AH1499">
        <v>0</v>
      </c>
    </row>
    <row r="1500" spans="1:34" x14ac:dyDescent="0.35">
      <c r="A1500" t="s">
        <v>34</v>
      </c>
      <c r="B1500" s="1">
        <v>46146.65625</v>
      </c>
      <c r="C1500" t="s">
        <v>34</v>
      </c>
      <c r="D1500" s="1">
        <v>46153.625</v>
      </c>
      <c r="E1500">
        <v>6910</v>
      </c>
      <c r="F1500" t="s">
        <v>36</v>
      </c>
      <c r="G1500">
        <v>4.3</v>
      </c>
      <c r="H1500">
        <v>8.3000000000000007</v>
      </c>
      <c r="I1500">
        <v>3.3</v>
      </c>
      <c r="J1500">
        <v>5</v>
      </c>
      <c r="K1500">
        <v>119</v>
      </c>
      <c r="L1500">
        <v>39</v>
      </c>
      <c r="M1500">
        <v>5.2</v>
      </c>
      <c r="N1500">
        <v>44</v>
      </c>
      <c r="O1500">
        <v>5.4</v>
      </c>
      <c r="P1500">
        <v>0</v>
      </c>
      <c r="Q1500">
        <v>0</v>
      </c>
      <c r="R1500">
        <v>0</v>
      </c>
      <c r="S1500">
        <v>0</v>
      </c>
      <c r="T1500">
        <v>0.1973</v>
      </c>
      <c r="U1500">
        <v>-6.2899999999999998E-2</v>
      </c>
      <c r="V1500">
        <v>5.9999999999999995E-4</v>
      </c>
      <c r="W1500">
        <v>-1.6234</v>
      </c>
      <c r="X1500">
        <v>1.2868999999999999</v>
      </c>
      <c r="Y1500">
        <v>-8.6699999999999999E-2</v>
      </c>
      <c r="Z1500">
        <v>67</v>
      </c>
      <c r="AA1500">
        <v>4.9000000000000004</v>
      </c>
      <c r="AB1500">
        <v>41</v>
      </c>
      <c r="AC1500">
        <v>5.2</v>
      </c>
      <c r="AD1500">
        <v>0</v>
      </c>
      <c r="AE1500">
        <v>0</v>
      </c>
      <c r="AF1500">
        <v>6.3529</v>
      </c>
      <c r="AG1500">
        <v>326</v>
      </c>
      <c r="AH1500">
        <v>0</v>
      </c>
    </row>
    <row r="1501" spans="1:34" x14ac:dyDescent="0.35">
      <c r="A1501" t="s">
        <v>34</v>
      </c>
      <c r="B1501" s="1">
        <v>46146.65625</v>
      </c>
      <c r="C1501" t="s">
        <v>34</v>
      </c>
      <c r="D1501" s="1">
        <v>46153.625</v>
      </c>
      <c r="E1501">
        <v>6915</v>
      </c>
      <c r="F1501" t="s">
        <v>36</v>
      </c>
      <c r="G1501">
        <v>4.54</v>
      </c>
      <c r="H1501">
        <v>8.75</v>
      </c>
      <c r="I1501">
        <v>4.3</v>
      </c>
      <c r="J1501">
        <v>5.5</v>
      </c>
      <c r="K1501">
        <v>72</v>
      </c>
      <c r="L1501">
        <v>124</v>
      </c>
      <c r="M1501">
        <v>5.4</v>
      </c>
      <c r="N1501">
        <v>59</v>
      </c>
      <c r="O1501">
        <v>5.6</v>
      </c>
      <c r="P1501">
        <v>0</v>
      </c>
      <c r="Q1501">
        <v>0</v>
      </c>
      <c r="R1501">
        <v>0</v>
      </c>
      <c r="S1501">
        <v>0</v>
      </c>
      <c r="T1501">
        <v>0.1958</v>
      </c>
      <c r="U1501">
        <v>-6.4799999999999996E-2</v>
      </c>
      <c r="V1501">
        <v>5.9999999999999995E-4</v>
      </c>
      <c r="W1501">
        <v>-1.6526000000000001</v>
      </c>
      <c r="X1501">
        <v>1.3166</v>
      </c>
      <c r="Y1501">
        <v>-8.9300000000000004E-2</v>
      </c>
      <c r="Z1501">
        <v>49</v>
      </c>
      <c r="AA1501">
        <v>5.0999999999999996</v>
      </c>
      <c r="AB1501">
        <v>39</v>
      </c>
      <c r="AC1501">
        <v>5.4</v>
      </c>
      <c r="AD1501">
        <v>0</v>
      </c>
      <c r="AE1501">
        <v>0</v>
      </c>
      <c r="AF1501">
        <v>6.4653</v>
      </c>
      <c r="AG1501">
        <v>46</v>
      </c>
      <c r="AH1501">
        <v>0</v>
      </c>
    </row>
    <row r="1502" spans="1:34" x14ac:dyDescent="0.35">
      <c r="A1502" t="s">
        <v>34</v>
      </c>
      <c r="B1502" s="1">
        <v>46146.65625</v>
      </c>
      <c r="C1502" t="s">
        <v>34</v>
      </c>
      <c r="D1502" s="1">
        <v>46153.625</v>
      </c>
      <c r="E1502">
        <v>6920</v>
      </c>
      <c r="F1502" t="s">
        <v>36</v>
      </c>
      <c r="G1502">
        <v>4.78</v>
      </c>
      <c r="H1502">
        <v>9.8000000000000007</v>
      </c>
      <c r="I1502">
        <v>3.7</v>
      </c>
      <c r="J1502">
        <v>5.58</v>
      </c>
      <c r="K1502">
        <v>212</v>
      </c>
      <c r="L1502">
        <v>132</v>
      </c>
      <c r="M1502">
        <v>5.6</v>
      </c>
      <c r="N1502">
        <v>15</v>
      </c>
      <c r="O1502">
        <v>5.8</v>
      </c>
      <c r="P1502">
        <v>0</v>
      </c>
      <c r="Q1502">
        <v>0</v>
      </c>
      <c r="R1502">
        <v>0</v>
      </c>
      <c r="S1502">
        <v>0</v>
      </c>
      <c r="T1502">
        <v>0.19520000000000001</v>
      </c>
      <c r="U1502">
        <v>-6.7500000000000004E-2</v>
      </c>
      <c r="V1502">
        <v>6.9999999999999999E-4</v>
      </c>
      <c r="W1502">
        <v>-1.7043999999999999</v>
      </c>
      <c r="X1502">
        <v>1.3573999999999999</v>
      </c>
      <c r="Y1502">
        <v>-9.2999999999999999E-2</v>
      </c>
      <c r="Z1502">
        <v>16</v>
      </c>
      <c r="AA1502">
        <v>5.4</v>
      </c>
      <c r="AB1502">
        <v>38</v>
      </c>
      <c r="AC1502">
        <v>5.6</v>
      </c>
      <c r="AD1502">
        <v>0</v>
      </c>
      <c r="AE1502">
        <v>0</v>
      </c>
      <c r="AF1502">
        <v>5.7340999999999998</v>
      </c>
      <c r="AG1502">
        <v>162</v>
      </c>
      <c r="AH1502">
        <v>0</v>
      </c>
    </row>
    <row r="1503" spans="1:34" x14ac:dyDescent="0.35">
      <c r="A1503" t="s">
        <v>34</v>
      </c>
      <c r="B1503" s="1">
        <v>46146.65625</v>
      </c>
      <c r="C1503" t="s">
        <v>34</v>
      </c>
      <c r="D1503" s="1">
        <v>46153.625</v>
      </c>
      <c r="E1503">
        <v>6925</v>
      </c>
      <c r="F1503" t="s">
        <v>36</v>
      </c>
      <c r="G1503">
        <v>5.0599999999999996</v>
      </c>
      <c r="H1503">
        <v>10</v>
      </c>
      <c r="I1503">
        <v>3.8</v>
      </c>
      <c r="J1503">
        <v>5.7</v>
      </c>
      <c r="K1503">
        <v>174</v>
      </c>
      <c r="L1503">
        <v>49</v>
      </c>
      <c r="M1503">
        <v>5.9</v>
      </c>
      <c r="N1503">
        <v>70</v>
      </c>
      <c r="O1503">
        <v>6.1</v>
      </c>
      <c r="P1503">
        <v>0</v>
      </c>
      <c r="Q1503">
        <v>0</v>
      </c>
      <c r="R1503">
        <v>0</v>
      </c>
      <c r="S1503">
        <v>0</v>
      </c>
      <c r="T1503">
        <v>0.1943</v>
      </c>
      <c r="U1503">
        <v>-7.0199999999999999E-2</v>
      </c>
      <c r="V1503">
        <v>6.9999999999999999E-4</v>
      </c>
      <c r="W1503">
        <v>-1.7543</v>
      </c>
      <c r="X1503">
        <v>1.3992</v>
      </c>
      <c r="Y1503">
        <v>-9.6799999999999997E-2</v>
      </c>
      <c r="Z1503">
        <v>47</v>
      </c>
      <c r="AA1503">
        <v>5.6</v>
      </c>
      <c r="AB1503">
        <v>74</v>
      </c>
      <c r="AC1503">
        <v>5.9</v>
      </c>
      <c r="AD1503">
        <v>0</v>
      </c>
      <c r="AE1503">
        <v>0</v>
      </c>
      <c r="AF1503">
        <v>6.4747000000000003</v>
      </c>
      <c r="AG1503">
        <v>574</v>
      </c>
      <c r="AH1503">
        <v>0</v>
      </c>
    </row>
    <row r="1504" spans="1:34" x14ac:dyDescent="0.35">
      <c r="A1504" t="s">
        <v>34</v>
      </c>
      <c r="B1504" s="1">
        <v>46146.65625</v>
      </c>
      <c r="C1504" t="s">
        <v>34</v>
      </c>
      <c r="D1504" s="1">
        <v>46153.625</v>
      </c>
      <c r="E1504">
        <v>6930</v>
      </c>
      <c r="F1504" t="s">
        <v>36</v>
      </c>
      <c r="G1504">
        <v>4.8499999999999996</v>
      </c>
      <c r="H1504">
        <v>9.76</v>
      </c>
      <c r="I1504">
        <v>3.84</v>
      </c>
      <c r="J1504">
        <v>6</v>
      </c>
      <c r="K1504">
        <v>186</v>
      </c>
      <c r="L1504">
        <v>48</v>
      </c>
      <c r="M1504">
        <v>6.1</v>
      </c>
      <c r="N1504">
        <v>56</v>
      </c>
      <c r="O1504">
        <v>6.3</v>
      </c>
      <c r="P1504">
        <v>0</v>
      </c>
      <c r="Q1504">
        <v>0</v>
      </c>
      <c r="R1504">
        <v>0</v>
      </c>
      <c r="S1504">
        <v>0</v>
      </c>
      <c r="T1504">
        <v>0.19350000000000001</v>
      </c>
      <c r="U1504">
        <v>-7.2900000000000006E-2</v>
      </c>
      <c r="V1504">
        <v>6.9999999999999999E-4</v>
      </c>
      <c r="W1504">
        <v>-1.8032999999999999</v>
      </c>
      <c r="X1504">
        <v>1.4395</v>
      </c>
      <c r="Y1504">
        <v>-0.1007</v>
      </c>
      <c r="Z1504">
        <v>64</v>
      </c>
      <c r="AA1504">
        <v>5.8</v>
      </c>
      <c r="AB1504">
        <v>47</v>
      </c>
      <c r="AC1504">
        <v>6.1</v>
      </c>
      <c r="AD1504">
        <v>0</v>
      </c>
      <c r="AE1504">
        <v>0</v>
      </c>
      <c r="AF1504">
        <v>6.7013999999999996</v>
      </c>
      <c r="AG1504">
        <v>102</v>
      </c>
      <c r="AH1504">
        <v>0</v>
      </c>
    </row>
    <row r="1505" spans="1:34" x14ac:dyDescent="0.35">
      <c r="A1505" t="s">
        <v>34</v>
      </c>
      <c r="B1505" s="1">
        <v>46146.65625</v>
      </c>
      <c r="C1505" t="s">
        <v>34</v>
      </c>
      <c r="D1505" s="1">
        <v>46153.625</v>
      </c>
      <c r="E1505">
        <v>6935</v>
      </c>
      <c r="F1505" t="s">
        <v>36</v>
      </c>
      <c r="G1505">
        <v>5.03</v>
      </c>
      <c r="H1505">
        <v>10</v>
      </c>
      <c r="I1505">
        <v>4.13</v>
      </c>
      <c r="J1505">
        <v>6.2</v>
      </c>
      <c r="K1505">
        <v>131</v>
      </c>
      <c r="L1505">
        <v>95</v>
      </c>
      <c r="M1505">
        <v>6.3</v>
      </c>
      <c r="N1505">
        <v>56</v>
      </c>
      <c r="O1505">
        <v>6.6</v>
      </c>
      <c r="P1505">
        <v>0</v>
      </c>
      <c r="Q1505">
        <v>0</v>
      </c>
      <c r="R1505">
        <v>0</v>
      </c>
      <c r="S1505">
        <v>0</v>
      </c>
      <c r="T1505">
        <v>0.19239999999999999</v>
      </c>
      <c r="U1505">
        <v>-7.5700000000000003E-2</v>
      </c>
      <c r="V1505">
        <v>6.9999999999999999E-4</v>
      </c>
      <c r="W1505">
        <v>-1.8503000000000001</v>
      </c>
      <c r="X1505">
        <v>1.4804999999999999</v>
      </c>
      <c r="Y1505">
        <v>-0.1046</v>
      </c>
      <c r="Z1505">
        <v>15</v>
      </c>
      <c r="AA1505">
        <v>6.1</v>
      </c>
      <c r="AB1505">
        <v>13</v>
      </c>
      <c r="AC1505">
        <v>6.3</v>
      </c>
      <c r="AD1505">
        <v>0</v>
      </c>
      <c r="AE1505">
        <v>0</v>
      </c>
      <c r="AF1505">
        <v>7.4599000000000002</v>
      </c>
      <c r="AG1505">
        <v>70</v>
      </c>
      <c r="AH1505">
        <v>0</v>
      </c>
    </row>
    <row r="1506" spans="1:34" x14ac:dyDescent="0.35">
      <c r="A1506" t="s">
        <v>34</v>
      </c>
      <c r="B1506" s="1">
        <v>46146.65625</v>
      </c>
      <c r="C1506" t="s">
        <v>34</v>
      </c>
      <c r="D1506" s="1">
        <v>46153.625</v>
      </c>
      <c r="E1506">
        <v>6940</v>
      </c>
      <c r="F1506" t="s">
        <v>36</v>
      </c>
      <c r="G1506">
        <v>5.5</v>
      </c>
      <c r="H1506">
        <v>11.5</v>
      </c>
      <c r="I1506">
        <v>5.08</v>
      </c>
      <c r="J1506">
        <v>6.86</v>
      </c>
      <c r="K1506">
        <v>733</v>
      </c>
      <c r="L1506">
        <v>60</v>
      </c>
      <c r="M1506">
        <v>6.6</v>
      </c>
      <c r="N1506">
        <v>13</v>
      </c>
      <c r="O1506">
        <v>6.8</v>
      </c>
      <c r="P1506">
        <v>0</v>
      </c>
      <c r="Q1506">
        <v>0</v>
      </c>
      <c r="R1506">
        <v>0</v>
      </c>
      <c r="S1506">
        <v>0</v>
      </c>
      <c r="T1506">
        <v>0.1913</v>
      </c>
      <c r="U1506">
        <v>-7.8600000000000003E-2</v>
      </c>
      <c r="V1506">
        <v>8.0000000000000004E-4</v>
      </c>
      <c r="W1506">
        <v>-1.8959999999999999</v>
      </c>
      <c r="X1506">
        <v>1.5208999999999999</v>
      </c>
      <c r="Y1506">
        <v>-0.1086</v>
      </c>
      <c r="Z1506">
        <v>63</v>
      </c>
      <c r="AA1506">
        <v>6.3</v>
      </c>
      <c r="AB1506">
        <v>39</v>
      </c>
      <c r="AC1506">
        <v>6.6</v>
      </c>
      <c r="AD1506">
        <v>0</v>
      </c>
      <c r="AE1506">
        <v>0</v>
      </c>
      <c r="AF1506">
        <v>8.7001000000000008</v>
      </c>
      <c r="AG1506">
        <v>53</v>
      </c>
      <c r="AH1506">
        <v>0</v>
      </c>
    </row>
    <row r="1507" spans="1:34" x14ac:dyDescent="0.35">
      <c r="A1507" t="s">
        <v>34</v>
      </c>
      <c r="B1507" s="1">
        <v>46146.65625</v>
      </c>
      <c r="C1507" t="s">
        <v>34</v>
      </c>
      <c r="D1507" s="1">
        <v>46153.625</v>
      </c>
      <c r="E1507">
        <v>6945</v>
      </c>
      <c r="F1507" t="s">
        <v>36</v>
      </c>
      <c r="G1507">
        <v>5.43</v>
      </c>
      <c r="H1507">
        <v>9.69</v>
      </c>
      <c r="I1507">
        <v>4.3499999999999996</v>
      </c>
      <c r="J1507">
        <v>6.7</v>
      </c>
      <c r="K1507">
        <v>158</v>
      </c>
      <c r="L1507">
        <v>67</v>
      </c>
      <c r="M1507">
        <v>6.9</v>
      </c>
      <c r="N1507">
        <v>56</v>
      </c>
      <c r="O1507">
        <v>7.1</v>
      </c>
      <c r="P1507">
        <v>0</v>
      </c>
      <c r="Q1507">
        <v>0</v>
      </c>
      <c r="R1507">
        <v>0</v>
      </c>
      <c r="S1507">
        <v>0</v>
      </c>
      <c r="T1507">
        <v>0.19059999999999999</v>
      </c>
      <c r="U1507">
        <v>-8.1699999999999995E-2</v>
      </c>
      <c r="V1507">
        <v>8.0000000000000004E-4</v>
      </c>
      <c r="W1507">
        <v>-1.9514</v>
      </c>
      <c r="X1507">
        <v>1.5649999999999999</v>
      </c>
      <c r="Y1507">
        <v>-0.113</v>
      </c>
      <c r="Z1507">
        <v>37</v>
      </c>
      <c r="AA1507">
        <v>6.6</v>
      </c>
      <c r="AB1507">
        <v>43</v>
      </c>
      <c r="AC1507">
        <v>6.9</v>
      </c>
      <c r="AD1507">
        <v>0</v>
      </c>
      <c r="AE1507">
        <v>0</v>
      </c>
      <c r="AF1507">
        <v>7.5481999999999996</v>
      </c>
      <c r="AG1507">
        <v>280</v>
      </c>
      <c r="AH1507">
        <v>0</v>
      </c>
    </row>
    <row r="1508" spans="1:34" x14ac:dyDescent="0.35">
      <c r="A1508" t="s">
        <v>34</v>
      </c>
      <c r="B1508" s="1">
        <v>46146.65625</v>
      </c>
      <c r="C1508" t="s">
        <v>34</v>
      </c>
      <c r="D1508" s="1">
        <v>46153.625</v>
      </c>
      <c r="E1508">
        <v>6950</v>
      </c>
      <c r="F1508" t="s">
        <v>36</v>
      </c>
      <c r="G1508">
        <v>6</v>
      </c>
      <c r="H1508">
        <v>11.1</v>
      </c>
      <c r="I1508">
        <v>4.5</v>
      </c>
      <c r="J1508">
        <v>7.09</v>
      </c>
      <c r="K1508">
        <v>853</v>
      </c>
      <c r="L1508">
        <v>77</v>
      </c>
      <c r="M1508">
        <v>7.2</v>
      </c>
      <c r="N1508">
        <v>67</v>
      </c>
      <c r="O1508">
        <v>7.4</v>
      </c>
      <c r="P1508">
        <v>0</v>
      </c>
      <c r="Q1508">
        <v>0</v>
      </c>
      <c r="R1508">
        <v>0</v>
      </c>
      <c r="S1508">
        <v>0</v>
      </c>
      <c r="T1508">
        <v>0.18970000000000001</v>
      </c>
      <c r="U1508">
        <v>-8.5000000000000006E-2</v>
      </c>
      <c r="V1508">
        <v>8.0000000000000004E-4</v>
      </c>
      <c r="W1508">
        <v>-2.0049000000000001</v>
      </c>
      <c r="X1508">
        <v>1.6092</v>
      </c>
      <c r="Y1508">
        <v>-0.11749999999999999</v>
      </c>
      <c r="Z1508">
        <v>62</v>
      </c>
      <c r="AA1508">
        <v>6.9</v>
      </c>
      <c r="AB1508">
        <v>17</v>
      </c>
      <c r="AC1508">
        <v>7.1</v>
      </c>
      <c r="AD1508">
        <v>0</v>
      </c>
      <c r="AE1508">
        <v>0</v>
      </c>
      <c r="AF1508">
        <v>8.7255000000000003</v>
      </c>
      <c r="AG1508">
        <v>830</v>
      </c>
      <c r="AH1508">
        <v>0</v>
      </c>
    </row>
    <row r="1509" spans="1:34" x14ac:dyDescent="0.35">
      <c r="A1509" t="s">
        <v>34</v>
      </c>
      <c r="B1509" s="1">
        <v>46146.65625</v>
      </c>
      <c r="C1509" t="s">
        <v>34</v>
      </c>
      <c r="D1509" s="1">
        <v>46153.625</v>
      </c>
      <c r="E1509">
        <v>6955</v>
      </c>
      <c r="F1509" t="s">
        <v>36</v>
      </c>
      <c r="G1509">
        <v>6.6</v>
      </c>
      <c r="H1509">
        <v>10.34</v>
      </c>
      <c r="I1509">
        <v>4.51</v>
      </c>
      <c r="J1509">
        <v>7.35</v>
      </c>
      <c r="K1509">
        <v>216</v>
      </c>
      <c r="L1509">
        <v>65</v>
      </c>
      <c r="M1509">
        <v>7.5</v>
      </c>
      <c r="N1509">
        <v>55</v>
      </c>
      <c r="O1509">
        <v>7.7</v>
      </c>
      <c r="P1509">
        <v>0</v>
      </c>
      <c r="Q1509">
        <v>0</v>
      </c>
      <c r="R1509">
        <v>0</v>
      </c>
      <c r="S1509">
        <v>0</v>
      </c>
      <c r="T1509">
        <v>0.18870000000000001</v>
      </c>
      <c r="U1509">
        <v>-8.8200000000000001E-2</v>
      </c>
      <c r="V1509">
        <v>8.0000000000000004E-4</v>
      </c>
      <c r="W1509">
        <v>-2.0568</v>
      </c>
      <c r="X1509">
        <v>1.6534</v>
      </c>
      <c r="Y1509">
        <v>-0.122</v>
      </c>
      <c r="Z1509">
        <v>34</v>
      </c>
      <c r="AA1509">
        <v>7.2</v>
      </c>
      <c r="AB1509">
        <v>17</v>
      </c>
      <c r="AC1509">
        <v>7.4</v>
      </c>
      <c r="AD1509">
        <v>0</v>
      </c>
      <c r="AE1509">
        <v>0</v>
      </c>
      <c r="AF1509">
        <v>6.7374000000000001</v>
      </c>
      <c r="AG1509">
        <v>73</v>
      </c>
      <c r="AH1509">
        <v>0</v>
      </c>
    </row>
    <row r="1510" spans="1:34" x14ac:dyDescent="0.35">
      <c r="A1510" t="s">
        <v>34</v>
      </c>
      <c r="B1510" s="1">
        <v>46146.65625</v>
      </c>
      <c r="C1510" t="s">
        <v>34</v>
      </c>
      <c r="D1510" s="1">
        <v>46153.625</v>
      </c>
      <c r="E1510">
        <v>6960</v>
      </c>
      <c r="F1510" t="s">
        <v>36</v>
      </c>
      <c r="G1510">
        <v>6.9</v>
      </c>
      <c r="H1510">
        <v>16.649999999999999</v>
      </c>
      <c r="I1510">
        <v>5.03</v>
      </c>
      <c r="J1510">
        <v>7.89</v>
      </c>
      <c r="K1510">
        <v>256</v>
      </c>
      <c r="L1510">
        <v>64</v>
      </c>
      <c r="M1510">
        <v>7.8</v>
      </c>
      <c r="N1510">
        <v>33</v>
      </c>
      <c r="O1510">
        <v>8</v>
      </c>
      <c r="P1510">
        <v>0</v>
      </c>
      <c r="Q1510">
        <v>0</v>
      </c>
      <c r="R1510">
        <v>0</v>
      </c>
      <c r="S1510">
        <v>0</v>
      </c>
      <c r="T1510">
        <v>0.18770000000000001</v>
      </c>
      <c r="U1510">
        <v>-9.1499999999999998E-2</v>
      </c>
      <c r="V1510">
        <v>8.9999999999999998E-4</v>
      </c>
      <c r="W1510">
        <v>-2.1071</v>
      </c>
      <c r="X1510">
        <v>1.6976</v>
      </c>
      <c r="Y1510">
        <v>-0.1265</v>
      </c>
      <c r="Z1510">
        <v>53</v>
      </c>
      <c r="AA1510">
        <v>7.5</v>
      </c>
      <c r="AB1510">
        <v>17</v>
      </c>
      <c r="AC1510">
        <v>7.7</v>
      </c>
      <c r="AD1510">
        <v>0</v>
      </c>
      <c r="AE1510">
        <v>0</v>
      </c>
      <c r="AF1510">
        <v>7.7953999999999999</v>
      </c>
      <c r="AG1510">
        <v>233</v>
      </c>
      <c r="AH1510">
        <v>0</v>
      </c>
    </row>
    <row r="1511" spans="1:34" x14ac:dyDescent="0.35">
      <c r="A1511" t="s">
        <v>34</v>
      </c>
      <c r="B1511" s="1">
        <v>46146.65625</v>
      </c>
      <c r="C1511" t="s">
        <v>34</v>
      </c>
      <c r="D1511" s="1">
        <v>46153.625</v>
      </c>
      <c r="E1511">
        <v>6965</v>
      </c>
      <c r="F1511" t="s">
        <v>36</v>
      </c>
      <c r="G1511">
        <v>5.9</v>
      </c>
      <c r="H1511">
        <v>12.1</v>
      </c>
      <c r="I1511">
        <v>5.01</v>
      </c>
      <c r="J1511">
        <v>8</v>
      </c>
      <c r="K1511">
        <v>231</v>
      </c>
      <c r="L1511">
        <v>6</v>
      </c>
      <c r="M1511">
        <v>8.1999999999999993</v>
      </c>
      <c r="N1511">
        <v>33</v>
      </c>
      <c r="O1511">
        <v>8.3000000000000007</v>
      </c>
      <c r="P1511">
        <v>0</v>
      </c>
      <c r="Q1511">
        <v>0</v>
      </c>
      <c r="R1511">
        <v>0</v>
      </c>
      <c r="S1511">
        <v>0</v>
      </c>
      <c r="T1511">
        <v>0.18659999999999999</v>
      </c>
      <c r="U1511">
        <v>-9.4799999999999995E-2</v>
      </c>
      <c r="V1511">
        <v>8.9999999999999998E-4</v>
      </c>
      <c r="W1511">
        <v>-2.1556000000000002</v>
      </c>
      <c r="X1511">
        <v>1.7419</v>
      </c>
      <c r="Y1511">
        <v>-0.13109999999999999</v>
      </c>
      <c r="Z1511">
        <v>37</v>
      </c>
      <c r="AA1511">
        <v>7.8</v>
      </c>
      <c r="AB1511">
        <v>33</v>
      </c>
      <c r="AC1511">
        <v>8.1</v>
      </c>
      <c r="AD1511">
        <v>0</v>
      </c>
      <c r="AE1511">
        <v>0</v>
      </c>
      <c r="AF1511">
        <v>8.0789000000000009</v>
      </c>
      <c r="AG1511">
        <v>91</v>
      </c>
      <c r="AH1511">
        <v>0</v>
      </c>
    </row>
    <row r="1512" spans="1:34" x14ac:dyDescent="0.35">
      <c r="A1512" t="s">
        <v>34</v>
      </c>
      <c r="B1512" s="1">
        <v>46146.65625</v>
      </c>
      <c r="C1512" t="s">
        <v>34</v>
      </c>
      <c r="D1512" s="1">
        <v>46153.625</v>
      </c>
      <c r="E1512">
        <v>6970</v>
      </c>
      <c r="F1512" t="s">
        <v>36</v>
      </c>
      <c r="G1512">
        <v>7.4</v>
      </c>
      <c r="H1512">
        <v>14.1</v>
      </c>
      <c r="I1512">
        <v>5.0999999999999996</v>
      </c>
      <c r="J1512">
        <v>8.4</v>
      </c>
      <c r="K1512">
        <v>315</v>
      </c>
      <c r="L1512">
        <v>58</v>
      </c>
      <c r="M1512">
        <v>8.5</v>
      </c>
      <c r="N1512">
        <v>32</v>
      </c>
      <c r="O1512">
        <v>8.6999999999999993</v>
      </c>
      <c r="P1512">
        <v>0</v>
      </c>
      <c r="Q1512">
        <v>0</v>
      </c>
      <c r="R1512">
        <v>0</v>
      </c>
      <c r="S1512">
        <v>0</v>
      </c>
      <c r="T1512">
        <v>0.186</v>
      </c>
      <c r="U1512">
        <v>-9.8900000000000002E-2</v>
      </c>
      <c r="V1512">
        <v>8.9999999999999998E-4</v>
      </c>
      <c r="W1512">
        <v>-2.2218</v>
      </c>
      <c r="X1512">
        <v>1.7949999999999999</v>
      </c>
      <c r="Y1512">
        <v>-0.1368</v>
      </c>
      <c r="Z1512">
        <v>30</v>
      </c>
      <c r="AA1512">
        <v>8.1999999999999993</v>
      </c>
      <c r="AB1512">
        <v>16</v>
      </c>
      <c r="AC1512">
        <v>8.4</v>
      </c>
      <c r="AD1512">
        <v>0</v>
      </c>
      <c r="AE1512">
        <v>0</v>
      </c>
      <c r="AF1512">
        <v>8.6024999999999991</v>
      </c>
      <c r="AG1512">
        <v>148</v>
      </c>
      <c r="AH1512">
        <v>0</v>
      </c>
    </row>
    <row r="1513" spans="1:34" x14ac:dyDescent="0.35">
      <c r="A1513" t="s">
        <v>34</v>
      </c>
      <c r="B1513" s="1">
        <v>46146.65625</v>
      </c>
      <c r="C1513" t="s">
        <v>34</v>
      </c>
      <c r="D1513" s="1">
        <v>46153.625</v>
      </c>
      <c r="E1513">
        <v>6975</v>
      </c>
      <c r="F1513" t="s">
        <v>36</v>
      </c>
      <c r="G1513">
        <v>7.5</v>
      </c>
      <c r="H1513">
        <v>14.35</v>
      </c>
      <c r="I1513">
        <v>5.3</v>
      </c>
      <c r="J1513">
        <v>8.6999999999999993</v>
      </c>
      <c r="K1513">
        <v>616</v>
      </c>
      <c r="L1513">
        <v>6</v>
      </c>
      <c r="M1513">
        <v>8.9</v>
      </c>
      <c r="N1513">
        <v>74</v>
      </c>
      <c r="O1513">
        <v>9.1</v>
      </c>
      <c r="P1513">
        <v>0</v>
      </c>
      <c r="Q1513">
        <v>0</v>
      </c>
      <c r="R1513">
        <v>0</v>
      </c>
      <c r="S1513">
        <v>0</v>
      </c>
      <c r="T1513">
        <v>0.18479999999999999</v>
      </c>
      <c r="U1513">
        <v>-0.1023</v>
      </c>
      <c r="V1513">
        <v>1E-3</v>
      </c>
      <c r="W1513">
        <v>-2.2667000000000002</v>
      </c>
      <c r="X1513">
        <v>1.8387</v>
      </c>
      <c r="Y1513">
        <v>-0.1416</v>
      </c>
      <c r="Z1513">
        <v>65</v>
      </c>
      <c r="AA1513">
        <v>8.5</v>
      </c>
      <c r="AB1513">
        <v>42</v>
      </c>
      <c r="AC1513">
        <v>8.8000000000000007</v>
      </c>
      <c r="AD1513">
        <v>0</v>
      </c>
      <c r="AE1513">
        <v>0</v>
      </c>
      <c r="AF1513">
        <v>8.5401000000000007</v>
      </c>
      <c r="AG1513">
        <v>403</v>
      </c>
      <c r="AH1513">
        <v>0</v>
      </c>
    </row>
    <row r="1514" spans="1:34" x14ac:dyDescent="0.35">
      <c r="A1514" t="s">
        <v>34</v>
      </c>
      <c r="B1514" s="1">
        <v>46146.65625</v>
      </c>
      <c r="C1514" t="s">
        <v>34</v>
      </c>
      <c r="D1514" s="1">
        <v>46153.625</v>
      </c>
      <c r="E1514">
        <v>6980</v>
      </c>
      <c r="F1514" t="s">
        <v>36</v>
      </c>
      <c r="G1514">
        <v>7.8</v>
      </c>
      <c r="H1514">
        <v>14.3</v>
      </c>
      <c r="I1514">
        <v>5.4</v>
      </c>
      <c r="J1514">
        <v>8.82</v>
      </c>
      <c r="K1514">
        <v>1089</v>
      </c>
      <c r="L1514">
        <v>62</v>
      </c>
      <c r="M1514">
        <v>9.1999999999999993</v>
      </c>
      <c r="N1514">
        <v>31</v>
      </c>
      <c r="O1514">
        <v>9.4</v>
      </c>
      <c r="P1514">
        <v>0</v>
      </c>
      <c r="Q1514">
        <v>0</v>
      </c>
      <c r="R1514">
        <v>0</v>
      </c>
      <c r="S1514">
        <v>0</v>
      </c>
      <c r="T1514">
        <v>0.184</v>
      </c>
      <c r="U1514">
        <v>-0.10639999999999999</v>
      </c>
      <c r="V1514">
        <v>1E-3</v>
      </c>
      <c r="W1514">
        <v>-2.3285999999999998</v>
      </c>
      <c r="X1514">
        <v>1.8902000000000001</v>
      </c>
      <c r="Y1514">
        <v>-0.14749999999999999</v>
      </c>
      <c r="Z1514">
        <v>51</v>
      </c>
      <c r="AA1514">
        <v>8.9</v>
      </c>
      <c r="AB1514">
        <v>37</v>
      </c>
      <c r="AC1514">
        <v>9.1999999999999993</v>
      </c>
      <c r="AD1514">
        <v>0</v>
      </c>
      <c r="AE1514">
        <v>0</v>
      </c>
      <c r="AF1514">
        <v>6.94</v>
      </c>
      <c r="AG1514">
        <v>235</v>
      </c>
      <c r="AH1514">
        <v>0</v>
      </c>
    </row>
    <row r="1515" spans="1:34" x14ac:dyDescent="0.35">
      <c r="A1515" t="s">
        <v>34</v>
      </c>
      <c r="B1515" s="1">
        <v>46146.65625</v>
      </c>
      <c r="C1515" t="s">
        <v>34</v>
      </c>
      <c r="D1515" s="1">
        <v>46153.625</v>
      </c>
      <c r="E1515">
        <v>6985</v>
      </c>
      <c r="F1515" t="s">
        <v>36</v>
      </c>
      <c r="G1515">
        <v>7.64</v>
      </c>
      <c r="H1515">
        <v>15.35</v>
      </c>
      <c r="I1515">
        <v>5.69</v>
      </c>
      <c r="J1515">
        <v>9.5</v>
      </c>
      <c r="K1515">
        <v>173</v>
      </c>
      <c r="L1515">
        <v>59</v>
      </c>
      <c r="M1515">
        <v>9.6</v>
      </c>
      <c r="N1515">
        <v>29</v>
      </c>
      <c r="O1515">
        <v>9.8000000000000007</v>
      </c>
      <c r="P1515">
        <v>0</v>
      </c>
      <c r="Q1515">
        <v>0</v>
      </c>
      <c r="R1515">
        <v>0</v>
      </c>
      <c r="S1515">
        <v>0</v>
      </c>
      <c r="T1515">
        <v>0.18329999999999999</v>
      </c>
      <c r="U1515">
        <v>-0.1105</v>
      </c>
      <c r="V1515">
        <v>1E-3</v>
      </c>
      <c r="W1515">
        <v>-2.3885999999999998</v>
      </c>
      <c r="X1515">
        <v>1.94</v>
      </c>
      <c r="Y1515">
        <v>-0.1532</v>
      </c>
      <c r="Z1515">
        <v>29</v>
      </c>
      <c r="AA1515">
        <v>9.3000000000000007</v>
      </c>
      <c r="AB1515">
        <v>15</v>
      </c>
      <c r="AC1515">
        <v>9.5</v>
      </c>
      <c r="AD1515">
        <v>0</v>
      </c>
      <c r="AE1515">
        <v>0</v>
      </c>
      <c r="AF1515">
        <v>8.7138000000000009</v>
      </c>
      <c r="AG1515">
        <v>93</v>
      </c>
      <c r="AH1515">
        <v>0</v>
      </c>
    </row>
    <row r="1516" spans="1:34" x14ac:dyDescent="0.35">
      <c r="A1516" t="s">
        <v>34</v>
      </c>
      <c r="B1516" s="1">
        <v>46146.65625</v>
      </c>
      <c r="C1516" t="s">
        <v>34</v>
      </c>
      <c r="D1516" s="1">
        <v>46153.625</v>
      </c>
      <c r="E1516">
        <v>6990</v>
      </c>
      <c r="F1516" t="s">
        <v>36</v>
      </c>
      <c r="G1516">
        <v>8.4</v>
      </c>
      <c r="H1516">
        <v>16.489999999999998</v>
      </c>
      <c r="I1516">
        <v>5.93</v>
      </c>
      <c r="J1516">
        <v>10.15</v>
      </c>
      <c r="K1516">
        <v>145</v>
      </c>
      <c r="L1516">
        <v>60</v>
      </c>
      <c r="M1516">
        <v>10</v>
      </c>
      <c r="N1516">
        <v>29</v>
      </c>
      <c r="O1516">
        <v>10.199999999999999</v>
      </c>
      <c r="P1516">
        <v>0</v>
      </c>
      <c r="Q1516">
        <v>0</v>
      </c>
      <c r="R1516">
        <v>0</v>
      </c>
      <c r="S1516">
        <v>0</v>
      </c>
      <c r="T1516">
        <v>0.1822</v>
      </c>
      <c r="U1516">
        <v>-0.1147</v>
      </c>
      <c r="V1516">
        <v>1.1000000000000001E-3</v>
      </c>
      <c r="W1516">
        <v>-2.4451999999999998</v>
      </c>
      <c r="X1516">
        <v>1.9905999999999999</v>
      </c>
      <c r="Y1516">
        <v>-0.15909999999999999</v>
      </c>
      <c r="Z1516">
        <v>29</v>
      </c>
      <c r="AA1516">
        <v>9.6999999999999993</v>
      </c>
      <c r="AB1516">
        <v>36</v>
      </c>
      <c r="AC1516">
        <v>10</v>
      </c>
      <c r="AD1516">
        <v>0</v>
      </c>
      <c r="AE1516">
        <v>0</v>
      </c>
      <c r="AF1516">
        <v>10.3466</v>
      </c>
      <c r="AG1516">
        <v>163</v>
      </c>
      <c r="AH1516">
        <v>0</v>
      </c>
    </row>
    <row r="1517" spans="1:34" x14ac:dyDescent="0.35">
      <c r="A1517" t="s">
        <v>34</v>
      </c>
      <c r="B1517" s="1">
        <v>46146.65625</v>
      </c>
      <c r="C1517" t="s">
        <v>34</v>
      </c>
      <c r="D1517" s="1">
        <v>46153.625</v>
      </c>
      <c r="E1517">
        <v>6995</v>
      </c>
      <c r="F1517" t="s">
        <v>36</v>
      </c>
      <c r="G1517">
        <v>7.42</v>
      </c>
      <c r="H1517">
        <v>13.99</v>
      </c>
      <c r="I1517">
        <v>6.12</v>
      </c>
      <c r="J1517">
        <v>10.18</v>
      </c>
      <c r="K1517">
        <v>86</v>
      </c>
      <c r="L1517">
        <v>59</v>
      </c>
      <c r="M1517">
        <v>10.4</v>
      </c>
      <c r="N1517">
        <v>55</v>
      </c>
      <c r="O1517">
        <v>10.7</v>
      </c>
      <c r="P1517">
        <v>0</v>
      </c>
      <c r="Q1517">
        <v>0</v>
      </c>
      <c r="R1517">
        <v>0</v>
      </c>
      <c r="S1517">
        <v>0</v>
      </c>
      <c r="T1517">
        <v>0.18110000000000001</v>
      </c>
      <c r="U1517">
        <v>-0.11890000000000001</v>
      </c>
      <c r="V1517">
        <v>1.1000000000000001E-3</v>
      </c>
      <c r="W1517">
        <v>-2.5002</v>
      </c>
      <c r="X1517">
        <v>2.0402</v>
      </c>
      <c r="Y1517">
        <v>-0.16500000000000001</v>
      </c>
      <c r="Z1517">
        <v>32</v>
      </c>
      <c r="AA1517">
        <v>10.1</v>
      </c>
      <c r="AB1517">
        <v>34</v>
      </c>
      <c r="AC1517">
        <v>10.4</v>
      </c>
      <c r="AD1517">
        <v>0</v>
      </c>
      <c r="AE1517">
        <v>0</v>
      </c>
      <c r="AF1517">
        <v>10.485900000000001</v>
      </c>
      <c r="AG1517">
        <v>32</v>
      </c>
      <c r="AH1517">
        <v>0</v>
      </c>
    </row>
    <row r="1518" spans="1:34" x14ac:dyDescent="0.35">
      <c r="A1518" t="s">
        <v>34</v>
      </c>
      <c r="B1518" s="1">
        <v>46146.65625</v>
      </c>
      <c r="C1518" t="s">
        <v>34</v>
      </c>
      <c r="D1518" s="1">
        <v>46153.625</v>
      </c>
      <c r="E1518">
        <v>7000</v>
      </c>
      <c r="F1518" t="s">
        <v>36</v>
      </c>
      <c r="G1518">
        <v>8.67</v>
      </c>
      <c r="H1518">
        <v>16.8</v>
      </c>
      <c r="I1518">
        <v>6.3</v>
      </c>
      <c r="J1518">
        <v>11.05</v>
      </c>
      <c r="K1518">
        <v>991</v>
      </c>
      <c r="L1518">
        <v>43</v>
      </c>
      <c r="M1518">
        <v>10.9</v>
      </c>
      <c r="N1518">
        <v>38</v>
      </c>
      <c r="O1518">
        <v>11.1</v>
      </c>
      <c r="P1518">
        <v>0</v>
      </c>
      <c r="Q1518">
        <v>0</v>
      </c>
      <c r="R1518">
        <v>0</v>
      </c>
      <c r="S1518">
        <v>0</v>
      </c>
      <c r="T1518">
        <v>0.18049999999999999</v>
      </c>
      <c r="U1518">
        <v>-0.1239</v>
      </c>
      <c r="V1518">
        <v>1.1000000000000001E-3</v>
      </c>
      <c r="W1518">
        <v>-2.5699000000000001</v>
      </c>
      <c r="X1518">
        <v>2.097</v>
      </c>
      <c r="Y1518">
        <v>-0.17180000000000001</v>
      </c>
      <c r="Z1518">
        <v>25</v>
      </c>
      <c r="AA1518">
        <v>10.6</v>
      </c>
      <c r="AB1518">
        <v>20</v>
      </c>
      <c r="AC1518">
        <v>10.8</v>
      </c>
      <c r="AD1518">
        <v>0</v>
      </c>
      <c r="AE1518">
        <v>0</v>
      </c>
      <c r="AF1518">
        <v>11.521000000000001</v>
      </c>
      <c r="AG1518">
        <v>1058</v>
      </c>
      <c r="AH1518">
        <v>0</v>
      </c>
    </row>
    <row r="1519" spans="1:34" x14ac:dyDescent="0.35">
      <c r="A1519" t="s">
        <v>34</v>
      </c>
      <c r="B1519" s="1">
        <v>46146.65625</v>
      </c>
      <c r="C1519" t="s">
        <v>34</v>
      </c>
      <c r="D1519" s="1">
        <v>46153.625</v>
      </c>
      <c r="E1519">
        <v>7005</v>
      </c>
      <c r="F1519" t="s">
        <v>36</v>
      </c>
      <c r="G1519">
        <v>9.08</v>
      </c>
      <c r="H1519">
        <v>17</v>
      </c>
      <c r="I1519">
        <v>6.54</v>
      </c>
      <c r="J1519">
        <v>11.2</v>
      </c>
      <c r="K1519">
        <v>365</v>
      </c>
      <c r="L1519">
        <v>27</v>
      </c>
      <c r="M1519">
        <v>11.4</v>
      </c>
      <c r="N1519">
        <v>52</v>
      </c>
      <c r="O1519">
        <v>11.6</v>
      </c>
      <c r="P1519">
        <v>0</v>
      </c>
      <c r="Q1519">
        <v>0</v>
      </c>
      <c r="R1519">
        <v>0</v>
      </c>
      <c r="S1519">
        <v>0</v>
      </c>
      <c r="T1519">
        <v>0.17949999999999999</v>
      </c>
      <c r="U1519">
        <v>-0.1285</v>
      </c>
      <c r="V1519">
        <v>1.1999999999999999E-3</v>
      </c>
      <c r="W1519">
        <v>-2.6284000000000001</v>
      </c>
      <c r="X1519">
        <v>2.15</v>
      </c>
      <c r="Y1519">
        <v>-0.17829999999999999</v>
      </c>
      <c r="Z1519">
        <v>27</v>
      </c>
      <c r="AA1519">
        <v>11</v>
      </c>
      <c r="AB1519">
        <v>31</v>
      </c>
      <c r="AC1519">
        <v>11.3</v>
      </c>
      <c r="AD1519">
        <v>0</v>
      </c>
      <c r="AE1519">
        <v>0</v>
      </c>
      <c r="AF1519">
        <v>9.4705999999999992</v>
      </c>
      <c r="AG1519">
        <v>331</v>
      </c>
      <c r="AH1519">
        <v>0</v>
      </c>
    </row>
    <row r="1520" spans="1:34" x14ac:dyDescent="0.35">
      <c r="A1520" t="s">
        <v>34</v>
      </c>
      <c r="B1520" s="1">
        <v>46146.65625</v>
      </c>
      <c r="C1520" t="s">
        <v>34</v>
      </c>
      <c r="D1520" s="1">
        <v>46153.625</v>
      </c>
      <c r="E1520">
        <v>7010</v>
      </c>
      <c r="F1520" t="s">
        <v>36</v>
      </c>
      <c r="G1520">
        <v>9.6999999999999993</v>
      </c>
      <c r="H1520">
        <v>17.760000000000002</v>
      </c>
      <c r="I1520">
        <v>6.82</v>
      </c>
      <c r="J1520">
        <v>11.77</v>
      </c>
      <c r="K1520">
        <v>264</v>
      </c>
      <c r="L1520">
        <v>48</v>
      </c>
      <c r="M1520">
        <v>11.8</v>
      </c>
      <c r="N1520">
        <v>55</v>
      </c>
      <c r="O1520">
        <v>12.1</v>
      </c>
      <c r="P1520">
        <v>0</v>
      </c>
      <c r="Q1520">
        <v>0</v>
      </c>
      <c r="R1520">
        <v>0</v>
      </c>
      <c r="S1520">
        <v>0</v>
      </c>
      <c r="T1520">
        <v>0.17849999999999999</v>
      </c>
      <c r="U1520">
        <v>-0.13320000000000001</v>
      </c>
      <c r="V1520">
        <v>1.1999999999999999E-3</v>
      </c>
      <c r="W1520">
        <v>-2.6844000000000001</v>
      </c>
      <c r="X1520">
        <v>2.2027000000000001</v>
      </c>
      <c r="Y1520">
        <v>-0.18490000000000001</v>
      </c>
      <c r="Z1520">
        <v>24</v>
      </c>
      <c r="AA1520">
        <v>11.5</v>
      </c>
      <c r="AB1520">
        <v>35</v>
      </c>
      <c r="AC1520">
        <v>11.8</v>
      </c>
      <c r="AD1520">
        <v>0</v>
      </c>
      <c r="AE1520">
        <v>0</v>
      </c>
      <c r="AF1520">
        <v>11.9962</v>
      </c>
      <c r="AG1520">
        <v>162</v>
      </c>
      <c r="AH1520">
        <v>0</v>
      </c>
    </row>
    <row r="1521" spans="1:34" x14ac:dyDescent="0.35">
      <c r="A1521" t="s">
        <v>34</v>
      </c>
      <c r="B1521" s="1">
        <v>46146.65625</v>
      </c>
      <c r="C1521" t="s">
        <v>34</v>
      </c>
      <c r="D1521" s="1">
        <v>46153.625</v>
      </c>
      <c r="E1521">
        <v>7015</v>
      </c>
      <c r="F1521" t="s">
        <v>36</v>
      </c>
      <c r="G1521">
        <v>9.8000000000000007</v>
      </c>
      <c r="H1521">
        <v>17.399999999999999</v>
      </c>
      <c r="I1521">
        <v>7.24</v>
      </c>
      <c r="J1521">
        <v>11.2</v>
      </c>
      <c r="K1521">
        <v>285</v>
      </c>
      <c r="L1521">
        <v>54</v>
      </c>
      <c r="M1521">
        <v>12.3</v>
      </c>
      <c r="N1521">
        <v>50</v>
      </c>
      <c r="O1521">
        <v>12.6</v>
      </c>
      <c r="P1521">
        <v>0</v>
      </c>
      <c r="Q1521">
        <v>0</v>
      </c>
      <c r="R1521">
        <v>0</v>
      </c>
      <c r="S1521">
        <v>0</v>
      </c>
      <c r="T1521">
        <v>0.17749999999999999</v>
      </c>
      <c r="U1521">
        <v>-0.13830000000000001</v>
      </c>
      <c r="V1521">
        <v>1.1999999999999999E-3</v>
      </c>
      <c r="W1521">
        <v>-2.7456999999999998</v>
      </c>
      <c r="X1521">
        <v>2.2581000000000002</v>
      </c>
      <c r="Y1521">
        <v>-0.192</v>
      </c>
      <c r="Z1521">
        <v>23</v>
      </c>
      <c r="AA1521">
        <v>12</v>
      </c>
      <c r="AB1521">
        <v>34</v>
      </c>
      <c r="AC1521">
        <v>12.3</v>
      </c>
      <c r="AD1521">
        <v>0</v>
      </c>
      <c r="AE1521">
        <v>0</v>
      </c>
      <c r="AF1521">
        <v>12.4574</v>
      </c>
      <c r="AG1521">
        <v>205</v>
      </c>
      <c r="AH1521">
        <v>0</v>
      </c>
    </row>
    <row r="1522" spans="1:34" x14ac:dyDescent="0.35">
      <c r="A1522" t="s">
        <v>34</v>
      </c>
      <c r="B1522" s="1">
        <v>46146.65625</v>
      </c>
      <c r="C1522" t="s">
        <v>34</v>
      </c>
      <c r="D1522" s="1">
        <v>46153.625</v>
      </c>
      <c r="E1522">
        <v>7020</v>
      </c>
      <c r="F1522" t="s">
        <v>36</v>
      </c>
      <c r="G1522">
        <v>10.5</v>
      </c>
      <c r="H1522">
        <v>19.77</v>
      </c>
      <c r="I1522">
        <v>7.35</v>
      </c>
      <c r="J1522">
        <v>11.9</v>
      </c>
      <c r="K1522">
        <v>1616</v>
      </c>
      <c r="L1522">
        <v>24</v>
      </c>
      <c r="M1522">
        <v>12.9</v>
      </c>
      <c r="N1522">
        <v>49</v>
      </c>
      <c r="O1522">
        <v>13.1</v>
      </c>
      <c r="P1522">
        <v>0</v>
      </c>
      <c r="Q1522">
        <v>0</v>
      </c>
      <c r="R1522">
        <v>0</v>
      </c>
      <c r="S1522">
        <v>0</v>
      </c>
      <c r="T1522">
        <v>0.1767</v>
      </c>
      <c r="U1522">
        <v>-0.14369999999999999</v>
      </c>
      <c r="V1522">
        <v>1.2999999999999999E-3</v>
      </c>
      <c r="W1522">
        <v>-2.8117000000000001</v>
      </c>
      <c r="X1522">
        <v>2.3155000000000001</v>
      </c>
      <c r="Y1522">
        <v>-0.19969999999999999</v>
      </c>
      <c r="Z1522">
        <v>25</v>
      </c>
      <c r="AA1522">
        <v>12.5</v>
      </c>
      <c r="AB1522">
        <v>29</v>
      </c>
      <c r="AC1522">
        <v>12.8</v>
      </c>
      <c r="AD1522">
        <v>0</v>
      </c>
      <c r="AE1522">
        <v>0</v>
      </c>
      <c r="AF1522">
        <v>8.2032000000000007</v>
      </c>
      <c r="AG1522">
        <v>158</v>
      </c>
      <c r="AH1522">
        <v>0</v>
      </c>
    </row>
    <row r="1523" spans="1:34" x14ac:dyDescent="0.35">
      <c r="A1523" t="s">
        <v>34</v>
      </c>
      <c r="B1523" s="1">
        <v>46146.65625</v>
      </c>
      <c r="C1523" t="s">
        <v>34</v>
      </c>
      <c r="D1523" s="1">
        <v>46153.625</v>
      </c>
      <c r="E1523">
        <v>7025</v>
      </c>
      <c r="F1523" t="s">
        <v>36</v>
      </c>
      <c r="G1523">
        <v>10.5</v>
      </c>
      <c r="H1523">
        <v>20.93</v>
      </c>
      <c r="I1523">
        <v>7.7</v>
      </c>
      <c r="J1523">
        <v>13.62</v>
      </c>
      <c r="K1523">
        <v>190</v>
      </c>
      <c r="L1523">
        <v>39</v>
      </c>
      <c r="M1523">
        <v>13.4</v>
      </c>
      <c r="N1523">
        <v>28</v>
      </c>
      <c r="O1523">
        <v>13.6</v>
      </c>
      <c r="P1523">
        <v>0</v>
      </c>
      <c r="Q1523">
        <v>0</v>
      </c>
      <c r="R1523">
        <v>0</v>
      </c>
      <c r="S1523">
        <v>0</v>
      </c>
      <c r="T1523">
        <v>0.1759</v>
      </c>
      <c r="U1523">
        <v>-0.14910000000000001</v>
      </c>
      <c r="V1523">
        <v>1.2999999999999999E-3</v>
      </c>
      <c r="W1523">
        <v>-2.8746999999999998</v>
      </c>
      <c r="X1523">
        <v>2.3714</v>
      </c>
      <c r="Y1523">
        <v>-0.2074</v>
      </c>
      <c r="Z1523">
        <v>14</v>
      </c>
      <c r="AA1523">
        <v>13.1</v>
      </c>
      <c r="AB1523">
        <v>18</v>
      </c>
      <c r="AC1523">
        <v>13.3</v>
      </c>
      <c r="AD1523">
        <v>0</v>
      </c>
      <c r="AE1523">
        <v>0</v>
      </c>
      <c r="AF1523">
        <v>14.224299999999999</v>
      </c>
      <c r="AG1523">
        <v>138</v>
      </c>
      <c r="AH1523">
        <v>0</v>
      </c>
    </row>
    <row r="1524" spans="1:34" x14ac:dyDescent="0.35">
      <c r="A1524" t="s">
        <v>34</v>
      </c>
      <c r="B1524" s="1">
        <v>46146.65625</v>
      </c>
      <c r="C1524" t="s">
        <v>34</v>
      </c>
      <c r="D1524" s="1">
        <v>46153.625</v>
      </c>
      <c r="E1524">
        <v>7030</v>
      </c>
      <c r="F1524" t="s">
        <v>36</v>
      </c>
      <c r="G1524">
        <v>11</v>
      </c>
      <c r="H1524">
        <v>19.59</v>
      </c>
      <c r="I1524">
        <v>8</v>
      </c>
      <c r="J1524">
        <v>13.64</v>
      </c>
      <c r="K1524">
        <v>160</v>
      </c>
      <c r="L1524">
        <v>24</v>
      </c>
      <c r="M1524">
        <v>14</v>
      </c>
      <c r="N1524">
        <v>28</v>
      </c>
      <c r="O1524">
        <v>14.2</v>
      </c>
      <c r="P1524">
        <v>0</v>
      </c>
      <c r="Q1524">
        <v>0</v>
      </c>
      <c r="R1524">
        <v>0</v>
      </c>
      <c r="S1524">
        <v>0</v>
      </c>
      <c r="T1524">
        <v>0.17480000000000001</v>
      </c>
      <c r="U1524">
        <v>-0.15459999999999999</v>
      </c>
      <c r="V1524">
        <v>1.4E-3</v>
      </c>
      <c r="W1524">
        <v>-2.9342999999999999</v>
      </c>
      <c r="X1524">
        <v>2.4266000000000001</v>
      </c>
      <c r="Y1524">
        <v>-0.21510000000000001</v>
      </c>
      <c r="Z1524">
        <v>23</v>
      </c>
      <c r="AA1524">
        <v>13.6</v>
      </c>
      <c r="AB1524">
        <v>26</v>
      </c>
      <c r="AC1524">
        <v>13.9</v>
      </c>
      <c r="AD1524">
        <v>0</v>
      </c>
      <c r="AE1524">
        <v>0</v>
      </c>
      <c r="AF1524">
        <v>12.5878</v>
      </c>
      <c r="AG1524">
        <v>300</v>
      </c>
      <c r="AH1524">
        <v>0</v>
      </c>
    </row>
    <row r="1525" spans="1:34" x14ac:dyDescent="0.35">
      <c r="A1525" t="s">
        <v>34</v>
      </c>
      <c r="B1525" s="1">
        <v>46146.65625</v>
      </c>
      <c r="C1525" t="s">
        <v>34</v>
      </c>
      <c r="D1525" s="1">
        <v>46153.625</v>
      </c>
      <c r="E1525">
        <v>7035</v>
      </c>
      <c r="F1525" t="s">
        <v>36</v>
      </c>
      <c r="G1525">
        <v>11.58</v>
      </c>
      <c r="H1525">
        <v>17.850000000000001</v>
      </c>
      <c r="I1525">
        <v>8.24</v>
      </c>
      <c r="J1525">
        <v>15.01</v>
      </c>
      <c r="K1525">
        <v>289</v>
      </c>
      <c r="L1525">
        <v>16</v>
      </c>
      <c r="M1525">
        <v>14.6</v>
      </c>
      <c r="N1525">
        <v>47</v>
      </c>
      <c r="O1525">
        <v>14.8</v>
      </c>
      <c r="P1525">
        <v>0</v>
      </c>
      <c r="Q1525">
        <v>0</v>
      </c>
      <c r="R1525">
        <v>0</v>
      </c>
      <c r="S1525">
        <v>0</v>
      </c>
      <c r="T1525">
        <v>0.17399999999999999</v>
      </c>
      <c r="U1525">
        <v>-0.1605</v>
      </c>
      <c r="V1525">
        <v>1.4E-3</v>
      </c>
      <c r="W1525">
        <v>-2.9982000000000002</v>
      </c>
      <c r="X1525">
        <v>2.4838</v>
      </c>
      <c r="Y1525">
        <v>-0.22320000000000001</v>
      </c>
      <c r="Z1525">
        <v>20</v>
      </c>
      <c r="AA1525">
        <v>14.2</v>
      </c>
      <c r="AB1525">
        <v>28</v>
      </c>
      <c r="AC1525">
        <v>14.5</v>
      </c>
      <c r="AD1525">
        <v>0</v>
      </c>
      <c r="AE1525">
        <v>0</v>
      </c>
      <c r="AF1525">
        <v>11.372299999999999</v>
      </c>
      <c r="AG1525">
        <v>71</v>
      </c>
      <c r="AH1525">
        <v>0</v>
      </c>
    </row>
    <row r="1526" spans="1:34" x14ac:dyDescent="0.35">
      <c r="A1526" t="s">
        <v>34</v>
      </c>
      <c r="B1526" s="1">
        <v>46146.65625</v>
      </c>
      <c r="C1526" t="s">
        <v>34</v>
      </c>
      <c r="D1526" s="1">
        <v>46153.625</v>
      </c>
      <c r="E1526">
        <v>7040</v>
      </c>
      <c r="F1526" t="s">
        <v>36</v>
      </c>
      <c r="G1526">
        <v>12.34</v>
      </c>
      <c r="H1526">
        <v>20.5</v>
      </c>
      <c r="I1526">
        <v>8.65</v>
      </c>
      <c r="J1526">
        <v>15.21</v>
      </c>
      <c r="K1526">
        <v>184</v>
      </c>
      <c r="L1526">
        <v>22</v>
      </c>
      <c r="M1526">
        <v>15.2</v>
      </c>
      <c r="N1526">
        <v>26</v>
      </c>
      <c r="O1526">
        <v>15.4</v>
      </c>
      <c r="P1526">
        <v>0</v>
      </c>
      <c r="Q1526">
        <v>0</v>
      </c>
      <c r="R1526">
        <v>0</v>
      </c>
      <c r="S1526">
        <v>0</v>
      </c>
      <c r="T1526">
        <v>0.17299999999999999</v>
      </c>
      <c r="U1526">
        <v>-0.16639999999999999</v>
      </c>
      <c r="V1526">
        <v>1.4E-3</v>
      </c>
      <c r="W1526">
        <v>-3.0586000000000002</v>
      </c>
      <c r="X1526">
        <v>2.5407000000000002</v>
      </c>
      <c r="Y1526">
        <v>-0.23139999999999999</v>
      </c>
      <c r="Z1526">
        <v>21</v>
      </c>
      <c r="AA1526">
        <v>14.8</v>
      </c>
      <c r="AB1526">
        <v>27</v>
      </c>
      <c r="AC1526">
        <v>15.1</v>
      </c>
      <c r="AD1526">
        <v>0</v>
      </c>
      <c r="AE1526">
        <v>0</v>
      </c>
      <c r="AF1526">
        <v>13.7761</v>
      </c>
      <c r="AG1526">
        <v>198</v>
      </c>
      <c r="AH1526">
        <v>0</v>
      </c>
    </row>
    <row r="1527" spans="1:34" x14ac:dyDescent="0.35">
      <c r="A1527" t="s">
        <v>34</v>
      </c>
      <c r="B1527" s="1">
        <v>46146.65625</v>
      </c>
      <c r="C1527" t="s">
        <v>34</v>
      </c>
      <c r="D1527" s="1">
        <v>46153.625</v>
      </c>
      <c r="E1527">
        <v>7045</v>
      </c>
      <c r="F1527" t="s">
        <v>36</v>
      </c>
      <c r="G1527">
        <v>13.06</v>
      </c>
      <c r="H1527">
        <v>25.2</v>
      </c>
      <c r="I1527">
        <v>9</v>
      </c>
      <c r="J1527">
        <v>14.4</v>
      </c>
      <c r="K1527">
        <v>194</v>
      </c>
      <c r="L1527">
        <v>22</v>
      </c>
      <c r="M1527">
        <v>15.8</v>
      </c>
      <c r="N1527">
        <v>26</v>
      </c>
      <c r="O1527">
        <v>16</v>
      </c>
      <c r="P1527">
        <v>0</v>
      </c>
      <c r="Q1527">
        <v>0</v>
      </c>
      <c r="R1527">
        <v>0</v>
      </c>
      <c r="S1527">
        <v>0</v>
      </c>
      <c r="T1527">
        <v>0.1719</v>
      </c>
      <c r="U1527">
        <v>-0.1724</v>
      </c>
      <c r="V1527">
        <v>1.5E-3</v>
      </c>
      <c r="W1527">
        <v>-3.1156999999999999</v>
      </c>
      <c r="X1527">
        <v>2.5972</v>
      </c>
      <c r="Y1527">
        <v>-0.23980000000000001</v>
      </c>
      <c r="Z1527">
        <v>23</v>
      </c>
      <c r="AA1527">
        <v>15.4</v>
      </c>
      <c r="AB1527">
        <v>18</v>
      </c>
      <c r="AC1527">
        <v>15.7</v>
      </c>
      <c r="AD1527">
        <v>0</v>
      </c>
      <c r="AE1527">
        <v>0</v>
      </c>
      <c r="AF1527">
        <v>12.5014</v>
      </c>
      <c r="AG1527">
        <v>90</v>
      </c>
      <c r="AH1527">
        <v>0</v>
      </c>
    </row>
    <row r="1528" spans="1:34" x14ac:dyDescent="0.35">
      <c r="A1528" t="s">
        <v>34</v>
      </c>
      <c r="B1528" s="1">
        <v>46146.65625</v>
      </c>
      <c r="C1528" t="s">
        <v>34</v>
      </c>
      <c r="D1528" s="1">
        <v>46153.625</v>
      </c>
      <c r="E1528">
        <v>7050</v>
      </c>
      <c r="F1528" t="s">
        <v>36</v>
      </c>
      <c r="G1528">
        <v>13.4</v>
      </c>
      <c r="H1528">
        <v>26.05</v>
      </c>
      <c r="I1528">
        <v>9.4</v>
      </c>
      <c r="J1528">
        <v>16.22</v>
      </c>
      <c r="K1528">
        <v>242</v>
      </c>
      <c r="L1528">
        <v>16</v>
      </c>
      <c r="M1528">
        <v>16.5</v>
      </c>
      <c r="N1528">
        <v>36</v>
      </c>
      <c r="O1528">
        <v>16.7</v>
      </c>
      <c r="P1528">
        <v>0</v>
      </c>
      <c r="Q1528">
        <v>0</v>
      </c>
      <c r="R1528">
        <v>0</v>
      </c>
      <c r="S1528">
        <v>0</v>
      </c>
      <c r="T1528">
        <v>0.1709</v>
      </c>
      <c r="U1528">
        <v>-0.1787</v>
      </c>
      <c r="V1528">
        <v>1.5E-3</v>
      </c>
      <c r="W1528">
        <v>-3.1758000000000002</v>
      </c>
      <c r="X1528">
        <v>2.6556000000000002</v>
      </c>
      <c r="Y1528">
        <v>-0.24879999999999999</v>
      </c>
      <c r="Z1528">
        <v>14</v>
      </c>
      <c r="AA1528">
        <v>16.100000000000001</v>
      </c>
      <c r="AB1528">
        <v>33</v>
      </c>
      <c r="AC1528">
        <v>16.399999999999999</v>
      </c>
      <c r="AD1528">
        <v>0</v>
      </c>
      <c r="AE1528">
        <v>0</v>
      </c>
      <c r="AF1528">
        <v>16.719200000000001</v>
      </c>
      <c r="AG1528">
        <v>449</v>
      </c>
      <c r="AH1528">
        <v>0</v>
      </c>
    </row>
    <row r="1529" spans="1:34" x14ac:dyDescent="0.35">
      <c r="A1529" t="s">
        <v>34</v>
      </c>
      <c r="B1529" s="1">
        <v>46146.65625</v>
      </c>
      <c r="C1529" t="s">
        <v>34</v>
      </c>
      <c r="D1529" s="1">
        <v>46153.625</v>
      </c>
      <c r="E1529">
        <v>7055</v>
      </c>
      <c r="F1529" t="s">
        <v>36</v>
      </c>
      <c r="G1529">
        <v>14</v>
      </c>
      <c r="H1529">
        <v>24.3</v>
      </c>
      <c r="I1529">
        <v>9.83</v>
      </c>
      <c r="J1529">
        <v>16.899999999999999</v>
      </c>
      <c r="K1529">
        <v>146</v>
      </c>
      <c r="L1529">
        <v>32</v>
      </c>
      <c r="M1529">
        <v>17.100000000000001</v>
      </c>
      <c r="N1529">
        <v>27</v>
      </c>
      <c r="O1529">
        <v>17.399999999999999</v>
      </c>
      <c r="P1529">
        <v>0</v>
      </c>
      <c r="Q1529">
        <v>0</v>
      </c>
      <c r="R1529">
        <v>0</v>
      </c>
      <c r="S1529">
        <v>0</v>
      </c>
      <c r="T1529">
        <v>0.17</v>
      </c>
      <c r="U1529">
        <v>-0.18540000000000001</v>
      </c>
      <c r="V1529">
        <v>1.6000000000000001E-3</v>
      </c>
      <c r="W1529">
        <v>-3.2385999999999999</v>
      </c>
      <c r="X1529">
        <v>2.7151999999999998</v>
      </c>
      <c r="Y1529">
        <v>-0.25829999999999997</v>
      </c>
      <c r="Z1529">
        <v>15</v>
      </c>
      <c r="AA1529">
        <v>16.8</v>
      </c>
      <c r="AB1529">
        <v>26</v>
      </c>
      <c r="AC1529">
        <v>17.100000000000001</v>
      </c>
      <c r="AD1529">
        <v>0</v>
      </c>
      <c r="AE1529">
        <v>0</v>
      </c>
      <c r="AF1529">
        <v>15.057499999999999</v>
      </c>
      <c r="AG1529">
        <v>53</v>
      </c>
      <c r="AH1529">
        <v>0</v>
      </c>
    </row>
    <row r="1530" spans="1:34" x14ac:dyDescent="0.35">
      <c r="A1530" t="s">
        <v>34</v>
      </c>
      <c r="B1530" s="1">
        <v>46146.65625</v>
      </c>
      <c r="C1530" t="s">
        <v>34</v>
      </c>
      <c r="D1530" s="1">
        <v>46153.625</v>
      </c>
      <c r="E1530">
        <v>7060</v>
      </c>
      <c r="F1530" t="s">
        <v>36</v>
      </c>
      <c r="G1530">
        <v>14.3</v>
      </c>
      <c r="H1530">
        <v>26.3</v>
      </c>
      <c r="I1530">
        <v>10.16</v>
      </c>
      <c r="J1530">
        <v>17.86</v>
      </c>
      <c r="K1530">
        <v>271</v>
      </c>
      <c r="L1530">
        <v>30</v>
      </c>
      <c r="M1530">
        <v>17.8</v>
      </c>
      <c r="N1530">
        <v>25</v>
      </c>
      <c r="O1530">
        <v>18.100000000000001</v>
      </c>
      <c r="P1530">
        <v>0</v>
      </c>
      <c r="Q1530">
        <v>0</v>
      </c>
      <c r="R1530">
        <v>0</v>
      </c>
      <c r="S1530">
        <v>0</v>
      </c>
      <c r="T1530">
        <v>0.16900000000000001</v>
      </c>
      <c r="U1530">
        <v>-0.19209999999999999</v>
      </c>
      <c r="V1530">
        <v>1.6000000000000001E-3</v>
      </c>
      <c r="W1530">
        <v>-3.2974000000000001</v>
      </c>
      <c r="X1530">
        <v>2.7730999999999999</v>
      </c>
      <c r="Y1530">
        <v>-0.26790000000000003</v>
      </c>
      <c r="Z1530">
        <v>14</v>
      </c>
      <c r="AA1530">
        <v>17.5</v>
      </c>
      <c r="AB1530">
        <v>23</v>
      </c>
      <c r="AC1530">
        <v>17.8</v>
      </c>
      <c r="AD1530">
        <v>0</v>
      </c>
      <c r="AE1530">
        <v>0</v>
      </c>
      <c r="AF1530">
        <v>17.7959</v>
      </c>
      <c r="AG1530">
        <v>246</v>
      </c>
      <c r="AH1530">
        <v>0</v>
      </c>
    </row>
    <row r="1531" spans="1:34" x14ac:dyDescent="0.35">
      <c r="A1531" t="s">
        <v>34</v>
      </c>
      <c r="B1531" s="1">
        <v>46146.65625</v>
      </c>
      <c r="C1531" t="s">
        <v>34</v>
      </c>
      <c r="D1531" s="1">
        <v>46153.625</v>
      </c>
      <c r="E1531">
        <v>7065</v>
      </c>
      <c r="F1531" t="s">
        <v>36</v>
      </c>
      <c r="G1531">
        <v>14.6</v>
      </c>
      <c r="H1531">
        <v>25.1</v>
      </c>
      <c r="I1531">
        <v>10.8</v>
      </c>
      <c r="J1531">
        <v>17.899999999999999</v>
      </c>
      <c r="K1531">
        <v>156</v>
      </c>
      <c r="L1531">
        <v>20</v>
      </c>
      <c r="M1531">
        <v>18.600000000000001</v>
      </c>
      <c r="N1531">
        <v>23</v>
      </c>
      <c r="O1531">
        <v>18.8</v>
      </c>
      <c r="P1531">
        <v>0</v>
      </c>
      <c r="Q1531">
        <v>0</v>
      </c>
      <c r="R1531">
        <v>0</v>
      </c>
      <c r="S1531">
        <v>0</v>
      </c>
      <c r="T1531">
        <v>0.1681</v>
      </c>
      <c r="U1531">
        <v>-0.19919999999999999</v>
      </c>
      <c r="V1531">
        <v>1.6999999999999999E-3</v>
      </c>
      <c r="W1531">
        <v>-3.3584000000000001</v>
      </c>
      <c r="X1531">
        <v>2.8313999999999999</v>
      </c>
      <c r="Y1531">
        <v>-0.27779999999999999</v>
      </c>
      <c r="Z1531">
        <v>21</v>
      </c>
      <c r="AA1531">
        <v>18.2</v>
      </c>
      <c r="AB1531">
        <v>16</v>
      </c>
      <c r="AC1531">
        <v>18.5</v>
      </c>
      <c r="AD1531">
        <v>0</v>
      </c>
      <c r="AE1531">
        <v>0</v>
      </c>
      <c r="AF1531">
        <v>18.772200000000002</v>
      </c>
      <c r="AG1531">
        <v>51</v>
      </c>
      <c r="AH1531">
        <v>0</v>
      </c>
    </row>
    <row r="1532" spans="1:34" x14ac:dyDescent="0.35">
      <c r="A1532" t="s">
        <v>34</v>
      </c>
      <c r="B1532" s="1">
        <v>46146.65625</v>
      </c>
      <c r="C1532" t="s">
        <v>34</v>
      </c>
      <c r="D1532" s="1">
        <v>46153.625</v>
      </c>
      <c r="E1532">
        <v>7070</v>
      </c>
      <c r="F1532" t="s">
        <v>36</v>
      </c>
      <c r="G1532">
        <v>15.53</v>
      </c>
      <c r="H1532">
        <v>27.57</v>
      </c>
      <c r="I1532">
        <v>11</v>
      </c>
      <c r="J1532">
        <v>18.600000000000001</v>
      </c>
      <c r="K1532">
        <v>2304</v>
      </c>
      <c r="L1532">
        <v>21</v>
      </c>
      <c r="M1532">
        <v>19.3</v>
      </c>
      <c r="N1532">
        <v>24</v>
      </c>
      <c r="O1532">
        <v>19.600000000000001</v>
      </c>
      <c r="P1532">
        <v>0</v>
      </c>
      <c r="Q1532">
        <v>0</v>
      </c>
      <c r="R1532">
        <v>0</v>
      </c>
      <c r="S1532">
        <v>0</v>
      </c>
      <c r="T1532">
        <v>0.1671</v>
      </c>
      <c r="U1532">
        <v>-0.20630000000000001</v>
      </c>
      <c r="V1532">
        <v>1.6999999999999999E-3</v>
      </c>
      <c r="W1532">
        <v>-3.415</v>
      </c>
      <c r="X1532">
        <v>2.8885000000000001</v>
      </c>
      <c r="Y1532">
        <v>-0.28770000000000001</v>
      </c>
      <c r="Z1532">
        <v>19</v>
      </c>
      <c r="AA1532">
        <v>19</v>
      </c>
      <c r="AB1532">
        <v>21</v>
      </c>
      <c r="AC1532">
        <v>19.3</v>
      </c>
      <c r="AD1532">
        <v>0</v>
      </c>
      <c r="AE1532">
        <v>0</v>
      </c>
      <c r="AF1532">
        <v>12.8009</v>
      </c>
      <c r="AG1532">
        <v>285</v>
      </c>
      <c r="AH1532">
        <v>0</v>
      </c>
    </row>
    <row r="1533" spans="1:34" x14ac:dyDescent="0.35">
      <c r="A1533" t="s">
        <v>34</v>
      </c>
      <c r="B1533" s="1">
        <v>46146.65625</v>
      </c>
      <c r="C1533" t="s">
        <v>34</v>
      </c>
      <c r="D1533" s="1">
        <v>46153.625</v>
      </c>
      <c r="E1533">
        <v>7075</v>
      </c>
      <c r="F1533" t="s">
        <v>36</v>
      </c>
      <c r="G1533">
        <v>16.55</v>
      </c>
      <c r="H1533">
        <v>28.6</v>
      </c>
      <c r="I1533">
        <v>11.59</v>
      </c>
      <c r="J1533">
        <v>19.260000000000002</v>
      </c>
      <c r="K1533">
        <v>180</v>
      </c>
      <c r="L1533">
        <v>29</v>
      </c>
      <c r="M1533">
        <v>20.100000000000001</v>
      </c>
      <c r="N1533">
        <v>28</v>
      </c>
      <c r="O1533">
        <v>20.399999999999999</v>
      </c>
      <c r="P1533">
        <v>0</v>
      </c>
      <c r="Q1533">
        <v>0</v>
      </c>
      <c r="R1533">
        <v>0</v>
      </c>
      <c r="S1533">
        <v>0</v>
      </c>
      <c r="T1533">
        <v>0.1661</v>
      </c>
      <c r="U1533">
        <v>-0.21379999999999999</v>
      </c>
      <c r="V1533">
        <v>1.8E-3</v>
      </c>
      <c r="W1533">
        <v>-3.4735</v>
      </c>
      <c r="X1533">
        <v>2.9464999999999999</v>
      </c>
      <c r="Y1533">
        <v>-0.29799999999999999</v>
      </c>
      <c r="Z1533">
        <v>19</v>
      </c>
      <c r="AA1533">
        <v>19.8</v>
      </c>
      <c r="AB1533">
        <v>21</v>
      </c>
      <c r="AC1533">
        <v>20.100000000000001</v>
      </c>
      <c r="AD1533">
        <v>0</v>
      </c>
      <c r="AE1533">
        <v>0</v>
      </c>
      <c r="AF1533">
        <v>19.317799999999998</v>
      </c>
      <c r="AG1533">
        <v>104</v>
      </c>
      <c r="AH1533">
        <v>0</v>
      </c>
    </row>
    <row r="1534" spans="1:34" x14ac:dyDescent="0.35">
      <c r="A1534" t="s">
        <v>34</v>
      </c>
      <c r="B1534" s="1">
        <v>46146.65625</v>
      </c>
      <c r="C1534" t="s">
        <v>34</v>
      </c>
      <c r="D1534" s="1">
        <v>46153.625</v>
      </c>
      <c r="E1534">
        <v>7080</v>
      </c>
      <c r="F1534" t="s">
        <v>36</v>
      </c>
      <c r="G1534">
        <v>16.829999999999998</v>
      </c>
      <c r="H1534">
        <v>32.200000000000003</v>
      </c>
      <c r="I1534">
        <v>12</v>
      </c>
      <c r="J1534">
        <v>21.02</v>
      </c>
      <c r="K1534">
        <v>192</v>
      </c>
      <c r="L1534">
        <v>15</v>
      </c>
      <c r="M1534">
        <v>21</v>
      </c>
      <c r="N1534">
        <v>23</v>
      </c>
      <c r="O1534">
        <v>21.2</v>
      </c>
      <c r="P1534">
        <v>0</v>
      </c>
      <c r="Q1534">
        <v>0</v>
      </c>
      <c r="R1534">
        <v>0</v>
      </c>
      <c r="S1534">
        <v>0</v>
      </c>
      <c r="T1534">
        <v>0.16500000000000001</v>
      </c>
      <c r="U1534">
        <v>-0.2213</v>
      </c>
      <c r="V1534">
        <v>1.8E-3</v>
      </c>
      <c r="W1534">
        <v>-3.5272000000000001</v>
      </c>
      <c r="X1534">
        <v>3.0042</v>
      </c>
      <c r="Y1534">
        <v>-0.30859999999999999</v>
      </c>
      <c r="Z1534">
        <v>21</v>
      </c>
      <c r="AA1534">
        <v>20.6</v>
      </c>
      <c r="AB1534">
        <v>10</v>
      </c>
      <c r="AC1534">
        <v>20.9</v>
      </c>
      <c r="AD1534">
        <v>0</v>
      </c>
      <c r="AE1534">
        <v>0</v>
      </c>
      <c r="AF1534">
        <v>21.9772</v>
      </c>
      <c r="AG1534">
        <v>245</v>
      </c>
      <c r="AH1534">
        <v>0</v>
      </c>
    </row>
    <row r="1535" spans="1:34" x14ac:dyDescent="0.35">
      <c r="A1535" t="s">
        <v>34</v>
      </c>
      <c r="B1535" s="1">
        <v>46146.65625</v>
      </c>
      <c r="C1535" t="s">
        <v>34</v>
      </c>
      <c r="D1535" s="1">
        <v>46153.625</v>
      </c>
      <c r="E1535">
        <v>7085</v>
      </c>
      <c r="F1535" t="s">
        <v>36</v>
      </c>
      <c r="G1535">
        <v>17.8</v>
      </c>
      <c r="H1535">
        <v>33.299999999999997</v>
      </c>
      <c r="I1535">
        <v>12.87</v>
      </c>
      <c r="J1535">
        <v>21.44</v>
      </c>
      <c r="K1535">
        <v>377</v>
      </c>
      <c r="L1535">
        <v>20</v>
      </c>
      <c r="M1535">
        <v>21.8</v>
      </c>
      <c r="N1535">
        <v>4</v>
      </c>
      <c r="O1535">
        <v>22</v>
      </c>
      <c r="P1535">
        <v>0</v>
      </c>
      <c r="Q1535">
        <v>0</v>
      </c>
      <c r="R1535">
        <v>0</v>
      </c>
      <c r="S1535">
        <v>0</v>
      </c>
      <c r="T1535">
        <v>0.16400000000000001</v>
      </c>
      <c r="U1535">
        <v>-0.22919999999999999</v>
      </c>
      <c r="V1535">
        <v>1.8E-3</v>
      </c>
      <c r="W1535">
        <v>-3.5815000000000001</v>
      </c>
      <c r="X1535">
        <v>3.0627</v>
      </c>
      <c r="Y1535">
        <v>-0.31990000000000002</v>
      </c>
      <c r="Z1535">
        <v>18</v>
      </c>
      <c r="AA1535">
        <v>21.5</v>
      </c>
      <c r="AB1535">
        <v>21</v>
      </c>
      <c r="AC1535">
        <v>21.8</v>
      </c>
      <c r="AD1535">
        <v>0</v>
      </c>
      <c r="AE1535">
        <v>0</v>
      </c>
      <c r="AF1535">
        <v>17.491499999999998</v>
      </c>
      <c r="AG1535">
        <v>74</v>
      </c>
      <c r="AH1535">
        <v>0</v>
      </c>
    </row>
    <row r="1536" spans="1:34" x14ac:dyDescent="0.35">
      <c r="A1536" t="s">
        <v>34</v>
      </c>
      <c r="B1536" s="1">
        <v>46146.65625</v>
      </c>
      <c r="C1536" t="s">
        <v>34</v>
      </c>
      <c r="D1536" s="1">
        <v>46153.625</v>
      </c>
      <c r="E1536">
        <v>7090</v>
      </c>
      <c r="F1536" t="s">
        <v>36</v>
      </c>
      <c r="G1536">
        <v>18.14</v>
      </c>
      <c r="H1536">
        <v>29.96</v>
      </c>
      <c r="I1536">
        <v>13</v>
      </c>
      <c r="J1536">
        <v>22.3</v>
      </c>
      <c r="K1536">
        <v>907</v>
      </c>
      <c r="L1536">
        <v>18</v>
      </c>
      <c r="M1536">
        <v>22.7</v>
      </c>
      <c r="N1536">
        <v>8</v>
      </c>
      <c r="O1536">
        <v>22.9</v>
      </c>
      <c r="P1536">
        <v>0</v>
      </c>
      <c r="Q1536">
        <v>0</v>
      </c>
      <c r="R1536">
        <v>0</v>
      </c>
      <c r="S1536">
        <v>0</v>
      </c>
      <c r="T1536">
        <v>0.16300000000000001</v>
      </c>
      <c r="U1536">
        <v>-0.2374</v>
      </c>
      <c r="V1536">
        <v>1.9E-3</v>
      </c>
      <c r="W1536">
        <v>-3.6366000000000001</v>
      </c>
      <c r="X1536">
        <v>3.121</v>
      </c>
      <c r="Y1536">
        <v>-0.33160000000000001</v>
      </c>
      <c r="Z1536">
        <v>18</v>
      </c>
      <c r="AA1536">
        <v>22.4</v>
      </c>
      <c r="AB1536">
        <v>23</v>
      </c>
      <c r="AC1536">
        <v>22.7</v>
      </c>
      <c r="AD1536">
        <v>0</v>
      </c>
      <c r="AE1536">
        <v>0</v>
      </c>
      <c r="AF1536">
        <v>23.627300000000002</v>
      </c>
      <c r="AG1536">
        <v>636</v>
      </c>
      <c r="AH1536">
        <v>0</v>
      </c>
    </row>
    <row r="1537" spans="1:34" x14ac:dyDescent="0.35">
      <c r="A1537" t="s">
        <v>34</v>
      </c>
      <c r="B1537" s="1">
        <v>46146.65625</v>
      </c>
      <c r="C1537" t="s">
        <v>34</v>
      </c>
      <c r="D1537" s="1">
        <v>46153.625</v>
      </c>
      <c r="E1537">
        <v>7095</v>
      </c>
      <c r="F1537" t="s">
        <v>36</v>
      </c>
      <c r="G1537">
        <v>18.87</v>
      </c>
      <c r="H1537">
        <v>29.85</v>
      </c>
      <c r="I1537">
        <v>13.54</v>
      </c>
      <c r="J1537">
        <v>24</v>
      </c>
      <c r="K1537">
        <v>256</v>
      </c>
      <c r="L1537">
        <v>18</v>
      </c>
      <c r="M1537">
        <v>23.6</v>
      </c>
      <c r="N1537">
        <v>4</v>
      </c>
      <c r="O1537">
        <v>23.8</v>
      </c>
      <c r="P1537">
        <v>0</v>
      </c>
      <c r="Q1537">
        <v>0</v>
      </c>
      <c r="R1537">
        <v>0</v>
      </c>
      <c r="S1537">
        <v>0</v>
      </c>
      <c r="T1537">
        <v>0.16209999999999999</v>
      </c>
      <c r="U1537">
        <v>-0.24590000000000001</v>
      </c>
      <c r="V1537">
        <v>1.9E-3</v>
      </c>
      <c r="W1537">
        <v>-3.6917</v>
      </c>
      <c r="X1537">
        <v>3.1785000000000001</v>
      </c>
      <c r="Y1537">
        <v>-0.34370000000000001</v>
      </c>
      <c r="Z1537">
        <v>20</v>
      </c>
      <c r="AA1537">
        <v>23.3</v>
      </c>
      <c r="AB1537">
        <v>10</v>
      </c>
      <c r="AC1537">
        <v>23.6</v>
      </c>
      <c r="AD1537">
        <v>0</v>
      </c>
      <c r="AE1537">
        <v>0</v>
      </c>
      <c r="AF1537">
        <v>23.7498</v>
      </c>
      <c r="AG1537">
        <v>146</v>
      </c>
      <c r="AH1537">
        <v>0</v>
      </c>
    </row>
    <row r="1538" spans="1:34" x14ac:dyDescent="0.35">
      <c r="A1538" t="s">
        <v>34</v>
      </c>
      <c r="B1538" s="1">
        <v>46146.65625</v>
      </c>
      <c r="C1538" t="s">
        <v>34</v>
      </c>
      <c r="D1538" s="1">
        <v>46153.625</v>
      </c>
      <c r="E1538">
        <v>7100</v>
      </c>
      <c r="F1538" t="s">
        <v>36</v>
      </c>
      <c r="G1538">
        <v>20.97</v>
      </c>
      <c r="H1538">
        <v>35</v>
      </c>
      <c r="I1538">
        <v>14.25</v>
      </c>
      <c r="J1538">
        <v>24.59</v>
      </c>
      <c r="K1538">
        <v>3230</v>
      </c>
      <c r="L1538">
        <v>18</v>
      </c>
      <c r="M1538">
        <v>24.6</v>
      </c>
      <c r="N1538">
        <v>20</v>
      </c>
      <c r="O1538">
        <v>24.8</v>
      </c>
      <c r="P1538">
        <v>0</v>
      </c>
      <c r="Q1538">
        <v>0</v>
      </c>
      <c r="R1538">
        <v>0</v>
      </c>
      <c r="S1538">
        <v>0</v>
      </c>
      <c r="T1538">
        <v>0.16109999999999999</v>
      </c>
      <c r="U1538">
        <v>-0.2545</v>
      </c>
      <c r="V1538">
        <v>2E-3</v>
      </c>
      <c r="W1538">
        <v>-3.7412999999999998</v>
      </c>
      <c r="X1538">
        <v>3.2339000000000002</v>
      </c>
      <c r="Y1538">
        <v>-0.35570000000000002</v>
      </c>
      <c r="Z1538">
        <v>19</v>
      </c>
      <c r="AA1538">
        <v>24.3</v>
      </c>
      <c r="AB1538">
        <v>15</v>
      </c>
      <c r="AC1538">
        <v>24.6</v>
      </c>
      <c r="AD1538">
        <v>0</v>
      </c>
      <c r="AE1538">
        <v>0</v>
      </c>
      <c r="AF1538">
        <v>19.692699999999999</v>
      </c>
      <c r="AG1538">
        <v>1872</v>
      </c>
      <c r="AH1538">
        <v>0</v>
      </c>
    </row>
    <row r="1539" spans="1:34" x14ac:dyDescent="0.35">
      <c r="A1539" t="s">
        <v>34</v>
      </c>
      <c r="B1539" s="1">
        <v>46146.65625</v>
      </c>
      <c r="C1539" t="s">
        <v>34</v>
      </c>
      <c r="D1539" s="1">
        <v>46153.625</v>
      </c>
      <c r="E1539">
        <v>7105</v>
      </c>
      <c r="F1539" t="s">
        <v>36</v>
      </c>
      <c r="G1539">
        <v>19.75</v>
      </c>
      <c r="H1539">
        <v>35.4</v>
      </c>
      <c r="I1539">
        <v>15.15</v>
      </c>
      <c r="J1539">
        <v>25.9</v>
      </c>
      <c r="K1539">
        <v>166</v>
      </c>
      <c r="L1539">
        <v>14</v>
      </c>
      <c r="M1539">
        <v>25.6</v>
      </c>
      <c r="N1539">
        <v>20</v>
      </c>
      <c r="O1539">
        <v>25.8</v>
      </c>
      <c r="P1539">
        <v>0</v>
      </c>
      <c r="Q1539">
        <v>0</v>
      </c>
      <c r="R1539">
        <v>0</v>
      </c>
      <c r="S1539">
        <v>0</v>
      </c>
      <c r="T1539">
        <v>0.15989999999999999</v>
      </c>
      <c r="U1539">
        <v>-0.26319999999999999</v>
      </c>
      <c r="V1539">
        <v>2E-3</v>
      </c>
      <c r="W1539">
        <v>-3.7856999999999998</v>
      </c>
      <c r="X1539">
        <v>3.2873999999999999</v>
      </c>
      <c r="Y1539">
        <v>-0.36780000000000002</v>
      </c>
      <c r="Z1539">
        <v>19</v>
      </c>
      <c r="AA1539">
        <v>25.3</v>
      </c>
      <c r="AB1539">
        <v>10</v>
      </c>
      <c r="AC1539">
        <v>25.6</v>
      </c>
      <c r="AD1539">
        <v>0</v>
      </c>
      <c r="AE1539">
        <v>0</v>
      </c>
      <c r="AF1539">
        <v>25.466100000000001</v>
      </c>
      <c r="AG1539">
        <v>88</v>
      </c>
      <c r="AH1539">
        <v>0</v>
      </c>
    </row>
    <row r="1540" spans="1:34" x14ac:dyDescent="0.35">
      <c r="A1540" t="s">
        <v>34</v>
      </c>
      <c r="B1540" s="1">
        <v>46146.65625</v>
      </c>
      <c r="C1540" t="s">
        <v>34</v>
      </c>
      <c r="D1540" s="1">
        <v>46153.625</v>
      </c>
      <c r="E1540">
        <v>7110</v>
      </c>
      <c r="F1540" t="s">
        <v>36</v>
      </c>
      <c r="G1540">
        <v>20.8</v>
      </c>
      <c r="H1540">
        <v>37.200000000000003</v>
      </c>
      <c r="I1540">
        <v>15.8</v>
      </c>
      <c r="J1540">
        <v>26.86</v>
      </c>
      <c r="K1540">
        <v>199</v>
      </c>
      <c r="L1540">
        <v>18</v>
      </c>
      <c r="M1540">
        <v>26.6</v>
      </c>
      <c r="N1540">
        <v>21</v>
      </c>
      <c r="O1540">
        <v>26.9</v>
      </c>
      <c r="P1540">
        <v>0</v>
      </c>
      <c r="Q1540">
        <v>0</v>
      </c>
      <c r="R1540">
        <v>0</v>
      </c>
      <c r="S1540">
        <v>0</v>
      </c>
      <c r="T1540">
        <v>0.159</v>
      </c>
      <c r="U1540">
        <v>-0.27239999999999998</v>
      </c>
      <c r="V1540">
        <v>2.0999999999999999E-3</v>
      </c>
      <c r="W1540">
        <v>-3.8342999999999998</v>
      </c>
      <c r="X1540">
        <v>3.3422000000000001</v>
      </c>
      <c r="Y1540">
        <v>-0.38069999999999998</v>
      </c>
      <c r="Z1540">
        <v>21</v>
      </c>
      <c r="AA1540">
        <v>26.3</v>
      </c>
      <c r="AB1540">
        <v>10</v>
      </c>
      <c r="AC1540">
        <v>26.6</v>
      </c>
      <c r="AD1540">
        <v>0</v>
      </c>
      <c r="AE1540">
        <v>0</v>
      </c>
      <c r="AF1540">
        <v>26.338899999999999</v>
      </c>
      <c r="AG1540">
        <v>166</v>
      </c>
      <c r="AH1540">
        <v>0</v>
      </c>
    </row>
    <row r="1541" spans="1:34" x14ac:dyDescent="0.35">
      <c r="A1541" t="s">
        <v>34</v>
      </c>
      <c r="B1541" s="1">
        <v>46146.65625</v>
      </c>
      <c r="C1541" t="s">
        <v>34</v>
      </c>
      <c r="D1541" s="1">
        <v>46153.625</v>
      </c>
      <c r="E1541">
        <v>7115</v>
      </c>
      <c r="F1541" t="s">
        <v>36</v>
      </c>
      <c r="G1541">
        <v>22.28</v>
      </c>
      <c r="H1541">
        <v>43.05</v>
      </c>
      <c r="I1541">
        <v>16.3</v>
      </c>
      <c r="J1541">
        <v>28.29</v>
      </c>
      <c r="K1541">
        <v>254</v>
      </c>
      <c r="L1541">
        <v>17</v>
      </c>
      <c r="M1541">
        <v>27.6</v>
      </c>
      <c r="N1541">
        <v>20</v>
      </c>
      <c r="O1541">
        <v>27.9</v>
      </c>
      <c r="P1541">
        <v>0</v>
      </c>
      <c r="Q1541">
        <v>0</v>
      </c>
      <c r="R1541">
        <v>0</v>
      </c>
      <c r="S1541">
        <v>0</v>
      </c>
      <c r="T1541">
        <v>0.15790000000000001</v>
      </c>
      <c r="U1541">
        <v>-0.28179999999999999</v>
      </c>
      <c r="V1541">
        <v>2.0999999999999999E-3</v>
      </c>
      <c r="W1541">
        <v>-3.8767999999999998</v>
      </c>
      <c r="X1541">
        <v>3.3957999999999999</v>
      </c>
      <c r="Y1541">
        <v>-0.39389999999999997</v>
      </c>
      <c r="Z1541">
        <v>19</v>
      </c>
      <c r="AA1541">
        <v>27.4</v>
      </c>
      <c r="AB1541">
        <v>10</v>
      </c>
      <c r="AC1541">
        <v>27.7</v>
      </c>
      <c r="AD1541">
        <v>0</v>
      </c>
      <c r="AE1541">
        <v>0</v>
      </c>
      <c r="AF1541">
        <v>26.639700000000001</v>
      </c>
      <c r="AG1541">
        <v>168</v>
      </c>
      <c r="AH1541">
        <v>0</v>
      </c>
    </row>
    <row r="1542" spans="1:34" x14ac:dyDescent="0.35">
      <c r="A1542" t="s">
        <v>34</v>
      </c>
      <c r="B1542" s="1">
        <v>46146.65625</v>
      </c>
      <c r="C1542" t="s">
        <v>34</v>
      </c>
      <c r="D1542" s="1">
        <v>46153.625</v>
      </c>
      <c r="E1542">
        <v>7120</v>
      </c>
      <c r="F1542" t="s">
        <v>36</v>
      </c>
      <c r="G1542">
        <v>24.99</v>
      </c>
      <c r="H1542">
        <v>45.38</v>
      </c>
      <c r="I1542">
        <v>16.920000000000002</v>
      </c>
      <c r="J1542">
        <v>27.28</v>
      </c>
      <c r="K1542">
        <v>812</v>
      </c>
      <c r="L1542">
        <v>17</v>
      </c>
      <c r="M1542">
        <v>28.7</v>
      </c>
      <c r="N1542">
        <v>20</v>
      </c>
      <c r="O1542">
        <v>29</v>
      </c>
      <c r="P1542">
        <v>0</v>
      </c>
      <c r="Q1542">
        <v>0</v>
      </c>
      <c r="R1542">
        <v>0</v>
      </c>
      <c r="S1542">
        <v>0</v>
      </c>
      <c r="T1542">
        <v>0.15679999999999999</v>
      </c>
      <c r="U1542">
        <v>-0.29139999999999999</v>
      </c>
      <c r="V1542">
        <v>2.2000000000000001E-3</v>
      </c>
      <c r="W1542">
        <v>-3.9177</v>
      </c>
      <c r="X1542">
        <v>3.4487000000000001</v>
      </c>
      <c r="Y1542">
        <v>-0.40760000000000002</v>
      </c>
      <c r="Z1542">
        <v>12</v>
      </c>
      <c r="AA1542">
        <v>28.6</v>
      </c>
      <c r="AB1542">
        <v>15</v>
      </c>
      <c r="AC1542">
        <v>28.9</v>
      </c>
      <c r="AD1542">
        <v>0</v>
      </c>
      <c r="AE1542">
        <v>0</v>
      </c>
      <c r="AF1542">
        <v>21.306899999999999</v>
      </c>
      <c r="AG1542">
        <v>109</v>
      </c>
      <c r="AH1542">
        <v>0</v>
      </c>
    </row>
    <row r="1543" spans="1:34" x14ac:dyDescent="0.35">
      <c r="A1543" t="s">
        <v>34</v>
      </c>
      <c r="B1543" s="1">
        <v>46146.65625</v>
      </c>
      <c r="C1543" t="s">
        <v>34</v>
      </c>
      <c r="D1543" s="1">
        <v>46153.625</v>
      </c>
      <c r="E1543">
        <v>7125</v>
      </c>
      <c r="F1543" t="s">
        <v>36</v>
      </c>
      <c r="G1543">
        <v>24.11</v>
      </c>
      <c r="H1543">
        <v>41.7</v>
      </c>
      <c r="I1543">
        <v>17.510000000000002</v>
      </c>
      <c r="J1543">
        <v>30.05</v>
      </c>
      <c r="K1543">
        <v>281</v>
      </c>
      <c r="L1543">
        <v>17</v>
      </c>
      <c r="M1543">
        <v>29.9</v>
      </c>
      <c r="N1543">
        <v>28</v>
      </c>
      <c r="O1543">
        <v>30.2</v>
      </c>
      <c r="P1543">
        <v>0</v>
      </c>
      <c r="Q1543">
        <v>0</v>
      </c>
      <c r="R1543">
        <v>0</v>
      </c>
      <c r="S1543">
        <v>0</v>
      </c>
      <c r="T1543">
        <v>0.15570000000000001</v>
      </c>
      <c r="U1543">
        <v>-0.30130000000000001</v>
      </c>
      <c r="V1543">
        <v>2.2000000000000001E-3</v>
      </c>
      <c r="W1543">
        <v>-3.9567999999999999</v>
      </c>
      <c r="X1543">
        <v>3.5001000000000002</v>
      </c>
      <c r="Y1543">
        <v>-0.4219</v>
      </c>
      <c r="Z1543">
        <v>16</v>
      </c>
      <c r="AA1543">
        <v>29.7</v>
      </c>
      <c r="AB1543">
        <v>9</v>
      </c>
      <c r="AC1543">
        <v>30</v>
      </c>
      <c r="AD1543">
        <v>0</v>
      </c>
      <c r="AE1543">
        <v>0</v>
      </c>
      <c r="AF1543">
        <v>27.523800000000001</v>
      </c>
      <c r="AG1543">
        <v>154</v>
      </c>
      <c r="AH1543">
        <v>0</v>
      </c>
    </row>
    <row r="1544" spans="1:34" x14ac:dyDescent="0.35">
      <c r="A1544" t="s">
        <v>34</v>
      </c>
      <c r="B1544" s="1">
        <v>46146.65625</v>
      </c>
      <c r="C1544" t="s">
        <v>34</v>
      </c>
      <c r="D1544" s="1">
        <v>46153.625</v>
      </c>
      <c r="E1544">
        <v>7130</v>
      </c>
      <c r="F1544" t="s">
        <v>36</v>
      </c>
      <c r="G1544">
        <v>24.1</v>
      </c>
      <c r="H1544">
        <v>41</v>
      </c>
      <c r="I1544">
        <v>18.5</v>
      </c>
      <c r="J1544">
        <v>30.99</v>
      </c>
      <c r="K1544">
        <v>163</v>
      </c>
      <c r="L1544">
        <v>15</v>
      </c>
      <c r="M1544">
        <v>31.1</v>
      </c>
      <c r="N1544">
        <v>11</v>
      </c>
      <c r="O1544">
        <v>31.3</v>
      </c>
      <c r="P1544">
        <v>0</v>
      </c>
      <c r="Q1544">
        <v>0</v>
      </c>
      <c r="R1544">
        <v>0</v>
      </c>
      <c r="S1544">
        <v>0</v>
      </c>
      <c r="T1544">
        <v>0.1547</v>
      </c>
      <c r="U1544">
        <v>-0.31159999999999999</v>
      </c>
      <c r="V1544">
        <v>2.3E-3</v>
      </c>
      <c r="W1544">
        <v>-3.9931999999999999</v>
      </c>
      <c r="X1544">
        <v>3.5495999999999999</v>
      </c>
      <c r="Y1544">
        <v>-0.43640000000000001</v>
      </c>
      <c r="Z1544">
        <v>16</v>
      </c>
      <c r="AA1544">
        <v>30.9</v>
      </c>
      <c r="AB1544">
        <v>9</v>
      </c>
      <c r="AC1544">
        <v>31.2</v>
      </c>
      <c r="AD1544">
        <v>0</v>
      </c>
      <c r="AE1544">
        <v>0</v>
      </c>
      <c r="AF1544">
        <v>27.908300000000001</v>
      </c>
      <c r="AG1544">
        <v>194</v>
      </c>
      <c r="AH1544">
        <v>0</v>
      </c>
    </row>
    <row r="1545" spans="1:34" x14ac:dyDescent="0.35">
      <c r="A1545" t="s">
        <v>34</v>
      </c>
      <c r="B1545" s="1">
        <v>46146.65625</v>
      </c>
      <c r="C1545" t="s">
        <v>34</v>
      </c>
      <c r="D1545" s="1">
        <v>46153.625</v>
      </c>
      <c r="E1545">
        <v>7135</v>
      </c>
      <c r="F1545" t="s">
        <v>36</v>
      </c>
      <c r="G1545">
        <v>26.69</v>
      </c>
      <c r="H1545">
        <v>41.9</v>
      </c>
      <c r="I1545">
        <v>19.600000000000001</v>
      </c>
      <c r="J1545">
        <v>32.270000000000003</v>
      </c>
      <c r="K1545">
        <v>319</v>
      </c>
      <c r="L1545">
        <v>15</v>
      </c>
      <c r="M1545">
        <v>32.299999999999997</v>
      </c>
      <c r="N1545">
        <v>19</v>
      </c>
      <c r="O1545">
        <v>32.6</v>
      </c>
      <c r="P1545">
        <v>0</v>
      </c>
      <c r="Q1545">
        <v>0</v>
      </c>
      <c r="R1545">
        <v>0</v>
      </c>
      <c r="S1545">
        <v>0</v>
      </c>
      <c r="T1545">
        <v>0.1535</v>
      </c>
      <c r="U1545">
        <v>-0.32200000000000001</v>
      </c>
      <c r="V1545">
        <v>2.3E-3</v>
      </c>
      <c r="W1545">
        <v>-4.0232000000000001</v>
      </c>
      <c r="X1545">
        <v>3.5964</v>
      </c>
      <c r="Y1545">
        <v>-0.45090000000000002</v>
      </c>
      <c r="Z1545">
        <v>12</v>
      </c>
      <c r="AA1545">
        <v>32.200000000000003</v>
      </c>
      <c r="AB1545">
        <v>8</v>
      </c>
      <c r="AC1545">
        <v>32.5</v>
      </c>
      <c r="AD1545">
        <v>0</v>
      </c>
      <c r="AE1545">
        <v>0</v>
      </c>
      <c r="AF1545">
        <v>24.525500000000001</v>
      </c>
      <c r="AG1545">
        <v>310</v>
      </c>
      <c r="AH1545">
        <v>0</v>
      </c>
    </row>
    <row r="1546" spans="1:34" x14ac:dyDescent="0.35">
      <c r="A1546" t="s">
        <v>34</v>
      </c>
      <c r="B1546" s="1">
        <v>46146.65625</v>
      </c>
      <c r="C1546" t="s">
        <v>34</v>
      </c>
      <c r="D1546" s="1">
        <v>46153.625</v>
      </c>
      <c r="E1546">
        <v>7140</v>
      </c>
      <c r="F1546" t="s">
        <v>36</v>
      </c>
      <c r="G1546">
        <v>27.25</v>
      </c>
      <c r="H1546">
        <v>40.049999999999997</v>
      </c>
      <c r="I1546">
        <v>20.3</v>
      </c>
      <c r="J1546">
        <v>34.25</v>
      </c>
      <c r="K1546">
        <v>172</v>
      </c>
      <c r="L1546">
        <v>14</v>
      </c>
      <c r="M1546">
        <v>33.6</v>
      </c>
      <c r="N1546">
        <v>18</v>
      </c>
      <c r="O1546">
        <v>33.9</v>
      </c>
      <c r="P1546">
        <v>0</v>
      </c>
      <c r="Q1546">
        <v>0</v>
      </c>
      <c r="R1546">
        <v>0</v>
      </c>
      <c r="S1546">
        <v>0</v>
      </c>
      <c r="T1546">
        <v>0.1525</v>
      </c>
      <c r="U1546">
        <v>-0.33279999999999998</v>
      </c>
      <c r="V1546">
        <v>2.3999999999999998E-3</v>
      </c>
      <c r="W1546">
        <v>-4.0548000000000002</v>
      </c>
      <c r="X1546">
        <v>3.6421999999999999</v>
      </c>
      <c r="Y1546">
        <v>-0.46600000000000003</v>
      </c>
      <c r="Z1546">
        <v>12</v>
      </c>
      <c r="AA1546">
        <v>33.5</v>
      </c>
      <c r="AB1546">
        <v>12</v>
      </c>
      <c r="AC1546">
        <v>33.799999999999997</v>
      </c>
      <c r="AD1546">
        <v>0</v>
      </c>
      <c r="AE1546">
        <v>0</v>
      </c>
      <c r="AF1546">
        <v>30.5898</v>
      </c>
      <c r="AG1546">
        <v>178</v>
      </c>
      <c r="AH1546">
        <v>0</v>
      </c>
    </row>
    <row r="1547" spans="1:34" x14ac:dyDescent="0.35">
      <c r="A1547" t="s">
        <v>34</v>
      </c>
      <c r="B1547" s="1">
        <v>46146.65625</v>
      </c>
      <c r="C1547" t="s">
        <v>34</v>
      </c>
      <c r="D1547" s="1">
        <v>46153.625</v>
      </c>
      <c r="E1547">
        <v>7145</v>
      </c>
      <c r="F1547" t="s">
        <v>36</v>
      </c>
      <c r="G1547">
        <v>27.95</v>
      </c>
      <c r="H1547">
        <v>46.25</v>
      </c>
      <c r="I1547">
        <v>20.67</v>
      </c>
      <c r="J1547">
        <v>36.29</v>
      </c>
      <c r="K1547">
        <v>119</v>
      </c>
      <c r="L1547">
        <v>14</v>
      </c>
      <c r="M1547">
        <v>34.9</v>
      </c>
      <c r="N1547">
        <v>18</v>
      </c>
      <c r="O1547">
        <v>35.200000000000003</v>
      </c>
      <c r="P1547">
        <v>0</v>
      </c>
      <c r="Q1547">
        <v>0</v>
      </c>
      <c r="R1547">
        <v>0</v>
      </c>
      <c r="S1547">
        <v>0</v>
      </c>
      <c r="T1547">
        <v>0.15129999999999999</v>
      </c>
      <c r="U1547">
        <v>-0.34379999999999999</v>
      </c>
      <c r="V1547">
        <v>2.3999999999999998E-3</v>
      </c>
      <c r="W1547">
        <v>-4.0789999999999997</v>
      </c>
      <c r="X1547">
        <v>3.6861000000000002</v>
      </c>
      <c r="Y1547">
        <v>-0.48149999999999998</v>
      </c>
      <c r="Z1547">
        <v>16</v>
      </c>
      <c r="AA1547">
        <v>34.799999999999997</v>
      </c>
      <c r="AB1547">
        <v>13</v>
      </c>
      <c r="AC1547">
        <v>35.200000000000003</v>
      </c>
      <c r="AD1547">
        <v>0</v>
      </c>
      <c r="AE1547">
        <v>0</v>
      </c>
      <c r="AF1547">
        <v>31.290199999999999</v>
      </c>
      <c r="AG1547">
        <v>97</v>
      </c>
      <c r="AH1547">
        <v>0</v>
      </c>
    </row>
    <row r="1548" spans="1:34" x14ac:dyDescent="0.35">
      <c r="A1548" t="s">
        <v>34</v>
      </c>
      <c r="B1548" s="1">
        <v>46146.65625</v>
      </c>
      <c r="C1548" t="s">
        <v>34</v>
      </c>
      <c r="D1548" s="1">
        <v>46153.625</v>
      </c>
      <c r="E1548">
        <v>7150</v>
      </c>
      <c r="F1548" t="s">
        <v>36</v>
      </c>
      <c r="G1548">
        <v>29.85</v>
      </c>
      <c r="H1548">
        <v>51</v>
      </c>
      <c r="I1548">
        <v>22</v>
      </c>
      <c r="J1548">
        <v>36.35</v>
      </c>
      <c r="K1548">
        <v>386</v>
      </c>
      <c r="L1548">
        <v>11</v>
      </c>
      <c r="M1548">
        <v>36.299999999999997</v>
      </c>
      <c r="N1548">
        <v>10</v>
      </c>
      <c r="O1548">
        <v>36.5</v>
      </c>
      <c r="P1548">
        <v>0</v>
      </c>
      <c r="Q1548">
        <v>0</v>
      </c>
      <c r="R1548">
        <v>0</v>
      </c>
      <c r="S1548">
        <v>0</v>
      </c>
      <c r="T1548">
        <v>0.15010000000000001</v>
      </c>
      <c r="U1548">
        <v>-0.35499999999999998</v>
      </c>
      <c r="V1548">
        <v>2.5000000000000001E-3</v>
      </c>
      <c r="W1548">
        <v>-4.0995999999999997</v>
      </c>
      <c r="X1548">
        <v>3.7282999999999999</v>
      </c>
      <c r="Y1548">
        <v>-0.49759999999999999</v>
      </c>
      <c r="Z1548">
        <v>10</v>
      </c>
      <c r="AA1548">
        <v>36.299999999999997</v>
      </c>
      <c r="AB1548">
        <v>15</v>
      </c>
      <c r="AC1548">
        <v>36.6</v>
      </c>
      <c r="AD1548">
        <v>0</v>
      </c>
      <c r="AE1548">
        <v>0</v>
      </c>
      <c r="AF1548">
        <v>34.868499999999997</v>
      </c>
      <c r="AG1548">
        <v>838</v>
      </c>
      <c r="AH1548">
        <v>0</v>
      </c>
    </row>
    <row r="1549" spans="1:34" x14ac:dyDescent="0.35">
      <c r="A1549" t="s">
        <v>34</v>
      </c>
      <c r="B1549" s="1">
        <v>46146.65625</v>
      </c>
      <c r="C1549" t="s">
        <v>34</v>
      </c>
      <c r="D1549" s="1">
        <v>46153.625</v>
      </c>
      <c r="E1549">
        <v>7155</v>
      </c>
      <c r="F1549" t="s">
        <v>36</v>
      </c>
      <c r="G1549">
        <v>31.43</v>
      </c>
      <c r="H1549">
        <v>48</v>
      </c>
      <c r="I1549">
        <v>23.11</v>
      </c>
      <c r="J1549">
        <v>37.75</v>
      </c>
      <c r="K1549">
        <v>144</v>
      </c>
      <c r="L1549">
        <v>13</v>
      </c>
      <c r="M1549">
        <v>37.700000000000003</v>
      </c>
      <c r="N1549">
        <v>16</v>
      </c>
      <c r="O1549">
        <v>38</v>
      </c>
      <c r="P1549">
        <v>0</v>
      </c>
      <c r="Q1549">
        <v>0</v>
      </c>
      <c r="R1549">
        <v>0</v>
      </c>
      <c r="S1549">
        <v>0</v>
      </c>
      <c r="T1549">
        <v>0.14899999999999999</v>
      </c>
      <c r="U1549">
        <v>-0.36659999999999998</v>
      </c>
      <c r="V1549">
        <v>2.5000000000000001E-3</v>
      </c>
      <c r="W1549">
        <v>-4.1162000000000001</v>
      </c>
      <c r="X1549">
        <v>3.7679</v>
      </c>
      <c r="Y1549">
        <v>-0.51419999999999999</v>
      </c>
      <c r="Z1549">
        <v>10</v>
      </c>
      <c r="AA1549">
        <v>37.700000000000003</v>
      </c>
      <c r="AB1549">
        <v>8</v>
      </c>
      <c r="AC1549">
        <v>38</v>
      </c>
      <c r="AD1549">
        <v>0</v>
      </c>
      <c r="AE1549">
        <v>0</v>
      </c>
      <c r="AF1549">
        <v>37.536099999999998</v>
      </c>
      <c r="AG1549">
        <v>97</v>
      </c>
      <c r="AH1549">
        <v>0</v>
      </c>
    </row>
    <row r="1550" spans="1:34" x14ac:dyDescent="0.35">
      <c r="A1550" t="s">
        <v>34</v>
      </c>
      <c r="B1550" s="1">
        <v>46146.65625</v>
      </c>
      <c r="C1550" t="s">
        <v>34</v>
      </c>
      <c r="D1550" s="1">
        <v>46153.625</v>
      </c>
      <c r="E1550">
        <v>7160</v>
      </c>
      <c r="F1550" t="s">
        <v>36</v>
      </c>
      <c r="G1550">
        <v>32.43</v>
      </c>
      <c r="H1550">
        <v>52.9</v>
      </c>
      <c r="I1550">
        <v>24.24</v>
      </c>
      <c r="J1550">
        <v>39.79</v>
      </c>
      <c r="K1550">
        <v>199</v>
      </c>
      <c r="L1550">
        <v>10</v>
      </c>
      <c r="M1550">
        <v>39.200000000000003</v>
      </c>
      <c r="N1550">
        <v>9</v>
      </c>
      <c r="O1550">
        <v>39.4</v>
      </c>
      <c r="P1550">
        <v>0</v>
      </c>
      <c r="Q1550">
        <v>0</v>
      </c>
      <c r="R1550">
        <v>0</v>
      </c>
      <c r="S1550">
        <v>0</v>
      </c>
      <c r="T1550">
        <v>0.14779999999999999</v>
      </c>
      <c r="U1550">
        <v>-0.37840000000000001</v>
      </c>
      <c r="V1550">
        <v>2.5999999999999999E-3</v>
      </c>
      <c r="W1550">
        <v>-4.1287000000000003</v>
      </c>
      <c r="X1550">
        <v>3.8045</v>
      </c>
      <c r="Y1550">
        <v>-0.53090000000000004</v>
      </c>
      <c r="Z1550">
        <v>10</v>
      </c>
      <c r="AA1550">
        <v>39.200000000000003</v>
      </c>
      <c r="AB1550">
        <v>8</v>
      </c>
      <c r="AC1550">
        <v>39.5</v>
      </c>
      <c r="AD1550">
        <v>0</v>
      </c>
      <c r="AE1550">
        <v>0</v>
      </c>
      <c r="AF1550">
        <v>38.218299999999999</v>
      </c>
      <c r="AG1550">
        <v>147</v>
      </c>
      <c r="AH1550">
        <v>0</v>
      </c>
    </row>
    <row r="1551" spans="1:34" x14ac:dyDescent="0.35">
      <c r="A1551" t="s">
        <v>34</v>
      </c>
      <c r="B1551" s="1">
        <v>46146.65625</v>
      </c>
      <c r="C1551" t="s">
        <v>34</v>
      </c>
      <c r="D1551" s="1">
        <v>46153.625</v>
      </c>
      <c r="E1551">
        <v>7165</v>
      </c>
      <c r="F1551" t="s">
        <v>36</v>
      </c>
      <c r="G1551">
        <v>30.52</v>
      </c>
      <c r="H1551">
        <v>48.85</v>
      </c>
      <c r="I1551">
        <v>24.5</v>
      </c>
      <c r="J1551">
        <v>41.87</v>
      </c>
      <c r="K1551">
        <v>121</v>
      </c>
      <c r="L1551">
        <v>10</v>
      </c>
      <c r="M1551">
        <v>40.700000000000003</v>
      </c>
      <c r="N1551">
        <v>17</v>
      </c>
      <c r="O1551">
        <v>41</v>
      </c>
      <c r="P1551">
        <v>0</v>
      </c>
      <c r="Q1551">
        <v>0</v>
      </c>
      <c r="R1551">
        <v>0</v>
      </c>
      <c r="S1551">
        <v>0</v>
      </c>
      <c r="T1551">
        <v>0.1467</v>
      </c>
      <c r="U1551">
        <v>-0.39069999999999999</v>
      </c>
      <c r="V1551">
        <v>2.5999999999999999E-3</v>
      </c>
      <c r="W1551">
        <v>-4.1406999999999998</v>
      </c>
      <c r="X1551">
        <v>3.8380999999999998</v>
      </c>
      <c r="Y1551">
        <v>-0.54810000000000003</v>
      </c>
      <c r="Z1551">
        <v>10</v>
      </c>
      <c r="AA1551">
        <v>40.799999999999997</v>
      </c>
      <c r="AB1551">
        <v>7</v>
      </c>
      <c r="AC1551">
        <v>41.1</v>
      </c>
      <c r="AD1551">
        <v>0</v>
      </c>
      <c r="AE1551">
        <v>0</v>
      </c>
      <c r="AF1551">
        <v>38.076000000000001</v>
      </c>
      <c r="AG1551">
        <v>107</v>
      </c>
      <c r="AH1551">
        <v>0</v>
      </c>
    </row>
    <row r="1552" spans="1:34" x14ac:dyDescent="0.35">
      <c r="A1552" t="s">
        <v>34</v>
      </c>
      <c r="B1552" s="1">
        <v>46146.65625</v>
      </c>
      <c r="C1552" t="s">
        <v>34</v>
      </c>
      <c r="D1552" s="1">
        <v>46153.625</v>
      </c>
      <c r="E1552">
        <v>7170</v>
      </c>
      <c r="F1552" t="s">
        <v>36</v>
      </c>
      <c r="G1552">
        <v>35.6</v>
      </c>
      <c r="H1552">
        <v>55.78</v>
      </c>
      <c r="I1552">
        <v>25.92</v>
      </c>
      <c r="J1552">
        <v>43.25</v>
      </c>
      <c r="K1552">
        <v>143</v>
      </c>
      <c r="L1552">
        <v>10</v>
      </c>
      <c r="M1552">
        <v>42.3</v>
      </c>
      <c r="N1552">
        <v>8</v>
      </c>
      <c r="O1552">
        <v>42.5</v>
      </c>
      <c r="P1552">
        <v>0</v>
      </c>
      <c r="Q1552">
        <v>0</v>
      </c>
      <c r="R1552">
        <v>0</v>
      </c>
      <c r="S1552">
        <v>0</v>
      </c>
      <c r="T1552">
        <v>0.14549999999999999</v>
      </c>
      <c r="U1552">
        <v>-0.40310000000000001</v>
      </c>
      <c r="V1552">
        <v>2.7000000000000001E-3</v>
      </c>
      <c r="W1552">
        <v>-4.1439000000000004</v>
      </c>
      <c r="X1552">
        <v>3.8687</v>
      </c>
      <c r="Y1552">
        <v>-0.56540000000000001</v>
      </c>
      <c r="Z1552">
        <v>10</v>
      </c>
      <c r="AA1552">
        <v>42.4</v>
      </c>
      <c r="AB1552">
        <v>7</v>
      </c>
      <c r="AC1552">
        <v>42.7</v>
      </c>
      <c r="AD1552">
        <v>0</v>
      </c>
      <c r="AE1552">
        <v>0</v>
      </c>
      <c r="AF1552">
        <v>40.7346</v>
      </c>
      <c r="AG1552">
        <v>734</v>
      </c>
      <c r="AH1552">
        <v>0</v>
      </c>
    </row>
    <row r="1553" spans="1:34" x14ac:dyDescent="0.35">
      <c r="A1553" t="s">
        <v>34</v>
      </c>
      <c r="B1553" s="1">
        <v>46146.65625</v>
      </c>
      <c r="C1553" t="s">
        <v>34</v>
      </c>
      <c r="D1553" s="1">
        <v>46153.625</v>
      </c>
      <c r="E1553">
        <v>7175</v>
      </c>
      <c r="F1553" t="s">
        <v>36</v>
      </c>
      <c r="G1553">
        <v>36.5</v>
      </c>
      <c r="H1553">
        <v>57.97</v>
      </c>
      <c r="I1553">
        <v>26.7</v>
      </c>
      <c r="J1553">
        <v>45.54</v>
      </c>
      <c r="K1553">
        <v>255</v>
      </c>
      <c r="L1553">
        <v>9</v>
      </c>
      <c r="M1553">
        <v>43.9</v>
      </c>
      <c r="N1553">
        <v>23</v>
      </c>
      <c r="O1553">
        <v>44.2</v>
      </c>
      <c r="P1553">
        <v>0</v>
      </c>
      <c r="Q1553">
        <v>0</v>
      </c>
      <c r="R1553">
        <v>0</v>
      </c>
      <c r="S1553">
        <v>0</v>
      </c>
      <c r="T1553">
        <v>0.1444</v>
      </c>
      <c r="U1553">
        <v>-0.41589999999999999</v>
      </c>
      <c r="V1553">
        <v>2.7000000000000001E-3</v>
      </c>
      <c r="W1553">
        <v>-4.1456999999999997</v>
      </c>
      <c r="X1553">
        <v>3.8965999999999998</v>
      </c>
      <c r="Y1553">
        <v>-0.58360000000000001</v>
      </c>
      <c r="Z1553">
        <v>10</v>
      </c>
      <c r="AA1553">
        <v>44.1</v>
      </c>
      <c r="AB1553">
        <v>7</v>
      </c>
      <c r="AC1553">
        <v>44.4</v>
      </c>
      <c r="AD1553">
        <v>0</v>
      </c>
      <c r="AE1553">
        <v>0</v>
      </c>
      <c r="AF1553">
        <v>41.361499999999999</v>
      </c>
      <c r="AG1553">
        <v>290</v>
      </c>
      <c r="AH1553">
        <v>0</v>
      </c>
    </row>
    <row r="1554" spans="1:34" x14ac:dyDescent="0.35">
      <c r="A1554" t="s">
        <v>34</v>
      </c>
      <c r="B1554" s="1">
        <v>46146.65625</v>
      </c>
      <c r="C1554" t="s">
        <v>34</v>
      </c>
      <c r="D1554" s="1">
        <v>46153.625</v>
      </c>
      <c r="E1554">
        <v>7180</v>
      </c>
      <c r="F1554" t="s">
        <v>36</v>
      </c>
      <c r="G1554">
        <v>37.6</v>
      </c>
      <c r="H1554">
        <v>60.32</v>
      </c>
      <c r="I1554">
        <v>27.92</v>
      </c>
      <c r="J1554">
        <v>46.76</v>
      </c>
      <c r="K1554">
        <v>182</v>
      </c>
      <c r="L1554">
        <v>9</v>
      </c>
      <c r="M1554">
        <v>45.6</v>
      </c>
      <c r="N1554">
        <v>16</v>
      </c>
      <c r="O1554">
        <v>45.9</v>
      </c>
      <c r="P1554">
        <v>0</v>
      </c>
      <c r="Q1554">
        <v>0</v>
      </c>
      <c r="R1554">
        <v>0</v>
      </c>
      <c r="S1554">
        <v>0</v>
      </c>
      <c r="T1554">
        <v>0.1431</v>
      </c>
      <c r="U1554">
        <v>-0.42880000000000001</v>
      </c>
      <c r="V1554">
        <v>2.7000000000000001E-3</v>
      </c>
      <c r="W1554">
        <v>-4.1379999999999999</v>
      </c>
      <c r="X1554">
        <v>3.9211</v>
      </c>
      <c r="Y1554">
        <v>-0.60219999999999996</v>
      </c>
      <c r="Z1554">
        <v>9</v>
      </c>
      <c r="AA1554">
        <v>45.8</v>
      </c>
      <c r="AB1554">
        <v>7</v>
      </c>
      <c r="AC1554">
        <v>46.1</v>
      </c>
      <c r="AD1554">
        <v>0</v>
      </c>
      <c r="AE1554">
        <v>0</v>
      </c>
      <c r="AF1554">
        <v>45.311399999999999</v>
      </c>
      <c r="AG1554">
        <v>112</v>
      </c>
      <c r="AH1554">
        <v>0</v>
      </c>
    </row>
    <row r="1555" spans="1:34" x14ac:dyDescent="0.35">
      <c r="A1555" t="s">
        <v>34</v>
      </c>
      <c r="B1555" s="1">
        <v>46146.65625</v>
      </c>
      <c r="C1555" t="s">
        <v>34</v>
      </c>
      <c r="D1555" s="1">
        <v>46153.625</v>
      </c>
      <c r="E1555">
        <v>7185</v>
      </c>
      <c r="F1555" t="s">
        <v>36</v>
      </c>
      <c r="G1555">
        <v>39.5</v>
      </c>
      <c r="H1555">
        <v>62.32</v>
      </c>
      <c r="I1555">
        <v>29.1</v>
      </c>
      <c r="J1555">
        <v>47.1</v>
      </c>
      <c r="K1555">
        <v>95</v>
      </c>
      <c r="L1555">
        <v>9</v>
      </c>
      <c r="M1555">
        <v>47.3</v>
      </c>
      <c r="N1555">
        <v>8</v>
      </c>
      <c r="O1555">
        <v>47.6</v>
      </c>
      <c r="P1555">
        <v>0</v>
      </c>
      <c r="Q1555">
        <v>0</v>
      </c>
      <c r="R1555">
        <v>0</v>
      </c>
      <c r="S1555">
        <v>0</v>
      </c>
      <c r="T1555">
        <v>0.14199999999999999</v>
      </c>
      <c r="U1555">
        <v>-0.44219999999999998</v>
      </c>
      <c r="V1555">
        <v>2.8E-3</v>
      </c>
      <c r="W1555">
        <v>-4.1318999999999999</v>
      </c>
      <c r="X1555">
        <v>3.9418000000000002</v>
      </c>
      <c r="Y1555">
        <v>-0.62139999999999995</v>
      </c>
      <c r="Z1555">
        <v>9</v>
      </c>
      <c r="AA1555">
        <v>47.6</v>
      </c>
      <c r="AB1555">
        <v>7</v>
      </c>
      <c r="AC1555">
        <v>47.9</v>
      </c>
      <c r="AD1555">
        <v>0</v>
      </c>
      <c r="AE1555">
        <v>0</v>
      </c>
      <c r="AF1555">
        <v>44.542499999999997</v>
      </c>
      <c r="AG1555">
        <v>41</v>
      </c>
      <c r="AH1555">
        <v>0</v>
      </c>
    </row>
    <row r="1556" spans="1:34" x14ac:dyDescent="0.35">
      <c r="A1556" t="s">
        <v>34</v>
      </c>
      <c r="B1556" s="1">
        <v>46146.65625</v>
      </c>
      <c r="C1556" t="s">
        <v>34</v>
      </c>
      <c r="D1556" s="1">
        <v>46153.625</v>
      </c>
      <c r="E1556">
        <v>7190</v>
      </c>
      <c r="F1556" t="s">
        <v>36</v>
      </c>
      <c r="G1556">
        <v>40.700000000000003</v>
      </c>
      <c r="H1556">
        <v>67.7</v>
      </c>
      <c r="I1556">
        <v>31</v>
      </c>
      <c r="J1556">
        <v>50</v>
      </c>
      <c r="K1556">
        <v>188</v>
      </c>
      <c r="L1556">
        <v>8</v>
      </c>
      <c r="M1556">
        <v>49.2</v>
      </c>
      <c r="N1556">
        <v>7</v>
      </c>
      <c r="O1556">
        <v>49.4</v>
      </c>
      <c r="P1556">
        <v>0</v>
      </c>
      <c r="Q1556">
        <v>0</v>
      </c>
      <c r="R1556">
        <v>0</v>
      </c>
      <c r="S1556">
        <v>0</v>
      </c>
      <c r="T1556">
        <v>0.14080000000000001</v>
      </c>
      <c r="U1556">
        <v>-0.45579999999999998</v>
      </c>
      <c r="V1556">
        <v>2.8E-3</v>
      </c>
      <c r="W1556">
        <v>-4.1155999999999997</v>
      </c>
      <c r="X1556">
        <v>3.9582000000000002</v>
      </c>
      <c r="Y1556">
        <v>-0.64049999999999996</v>
      </c>
      <c r="Z1556">
        <v>9</v>
      </c>
      <c r="AA1556">
        <v>49.5</v>
      </c>
      <c r="AB1556">
        <v>11</v>
      </c>
      <c r="AC1556">
        <v>49.8</v>
      </c>
      <c r="AD1556">
        <v>0</v>
      </c>
      <c r="AE1556">
        <v>0</v>
      </c>
      <c r="AF1556">
        <v>48.4895</v>
      </c>
      <c r="AG1556">
        <v>69</v>
      </c>
      <c r="AH1556">
        <v>0</v>
      </c>
    </row>
    <row r="1557" spans="1:34" x14ac:dyDescent="0.35">
      <c r="A1557" t="s">
        <v>34</v>
      </c>
      <c r="B1557" s="1">
        <v>46146.65625</v>
      </c>
      <c r="C1557" t="s">
        <v>34</v>
      </c>
      <c r="D1557" s="1">
        <v>46153.625</v>
      </c>
      <c r="E1557">
        <v>7195</v>
      </c>
      <c r="F1557" t="s">
        <v>36</v>
      </c>
      <c r="G1557">
        <v>41.38</v>
      </c>
      <c r="H1557">
        <v>60</v>
      </c>
      <c r="I1557">
        <v>32.6</v>
      </c>
      <c r="J1557">
        <v>51.8</v>
      </c>
      <c r="K1557">
        <v>168</v>
      </c>
      <c r="L1557">
        <v>8</v>
      </c>
      <c r="M1557">
        <v>51</v>
      </c>
      <c r="N1557">
        <v>7</v>
      </c>
      <c r="O1557">
        <v>51.3</v>
      </c>
      <c r="P1557">
        <v>0</v>
      </c>
      <c r="Q1557">
        <v>0</v>
      </c>
      <c r="R1557">
        <v>0</v>
      </c>
      <c r="S1557">
        <v>0</v>
      </c>
      <c r="T1557">
        <v>0.13969999999999999</v>
      </c>
      <c r="U1557">
        <v>-0.46970000000000001</v>
      </c>
      <c r="V1557">
        <v>2.8E-3</v>
      </c>
      <c r="W1557">
        <v>-4.0967000000000002</v>
      </c>
      <c r="X1557">
        <v>3.9702999999999999</v>
      </c>
      <c r="Y1557">
        <v>-0.65990000000000004</v>
      </c>
      <c r="Z1557">
        <v>9</v>
      </c>
      <c r="AA1557">
        <v>51.4</v>
      </c>
      <c r="AB1557">
        <v>7</v>
      </c>
      <c r="AC1557">
        <v>51.7</v>
      </c>
      <c r="AD1557">
        <v>0</v>
      </c>
      <c r="AE1557">
        <v>0</v>
      </c>
      <c r="AF1557">
        <v>51.150100000000002</v>
      </c>
      <c r="AG1557">
        <v>46</v>
      </c>
      <c r="AH1557">
        <v>0</v>
      </c>
    </row>
    <row r="1558" spans="1:34" x14ac:dyDescent="0.35">
      <c r="A1558" t="s">
        <v>34</v>
      </c>
      <c r="B1558" s="1">
        <v>46146.65625</v>
      </c>
      <c r="C1558" t="s">
        <v>34</v>
      </c>
      <c r="D1558" s="1">
        <v>46153.625</v>
      </c>
      <c r="E1558">
        <v>7200</v>
      </c>
      <c r="F1558" t="s">
        <v>36</v>
      </c>
      <c r="G1558">
        <v>44.56</v>
      </c>
      <c r="H1558">
        <v>71</v>
      </c>
      <c r="I1558">
        <v>33.6</v>
      </c>
      <c r="J1558">
        <v>54.07</v>
      </c>
      <c r="K1558">
        <v>759</v>
      </c>
      <c r="L1558">
        <v>8</v>
      </c>
      <c r="M1558">
        <v>53</v>
      </c>
      <c r="N1558">
        <v>25</v>
      </c>
      <c r="O1558">
        <v>53.3</v>
      </c>
      <c r="P1558">
        <v>0</v>
      </c>
      <c r="Q1558">
        <v>0</v>
      </c>
      <c r="R1558">
        <v>0</v>
      </c>
      <c r="S1558">
        <v>0</v>
      </c>
      <c r="T1558">
        <v>0.1384</v>
      </c>
      <c r="U1558">
        <v>-0.48380000000000001</v>
      </c>
      <c r="V1558">
        <v>2.8999999999999998E-3</v>
      </c>
      <c r="W1558">
        <v>-4.0673000000000004</v>
      </c>
      <c r="X1558">
        <v>3.9781</v>
      </c>
      <c r="Y1558">
        <v>-0.67989999999999995</v>
      </c>
      <c r="Z1558">
        <v>9</v>
      </c>
      <c r="AA1558">
        <v>53.4</v>
      </c>
      <c r="AB1558">
        <v>7</v>
      </c>
      <c r="AC1558">
        <v>53.7</v>
      </c>
      <c r="AD1558">
        <v>0</v>
      </c>
      <c r="AE1558">
        <v>0</v>
      </c>
      <c r="AF1558">
        <v>50.7883</v>
      </c>
      <c r="AG1558">
        <v>295</v>
      </c>
      <c r="AH1558">
        <v>0</v>
      </c>
    </row>
    <row r="1559" spans="1:34" x14ac:dyDescent="0.35">
      <c r="A1559" t="s">
        <v>34</v>
      </c>
      <c r="B1559" s="1">
        <v>46146.65625</v>
      </c>
      <c r="C1559" t="s">
        <v>34</v>
      </c>
      <c r="D1559" s="1">
        <v>46153.625</v>
      </c>
      <c r="E1559">
        <v>7205</v>
      </c>
      <c r="F1559" t="s">
        <v>36</v>
      </c>
      <c r="G1559">
        <v>46.5</v>
      </c>
      <c r="H1559">
        <v>70.400000000000006</v>
      </c>
      <c r="I1559">
        <v>35.49</v>
      </c>
      <c r="J1559">
        <v>55.3</v>
      </c>
      <c r="K1559">
        <v>179</v>
      </c>
      <c r="L1559">
        <v>8</v>
      </c>
      <c r="M1559">
        <v>55</v>
      </c>
      <c r="N1559">
        <v>13</v>
      </c>
      <c r="O1559">
        <v>55.3</v>
      </c>
      <c r="P1559">
        <v>0</v>
      </c>
      <c r="Q1559">
        <v>0</v>
      </c>
      <c r="R1559">
        <v>0</v>
      </c>
      <c r="S1559">
        <v>0</v>
      </c>
      <c r="T1559">
        <v>0.13730000000000001</v>
      </c>
      <c r="U1559">
        <v>-0.49819999999999998</v>
      </c>
      <c r="V1559">
        <v>2.8999999999999998E-3</v>
      </c>
      <c r="W1559">
        <v>-4.0378999999999996</v>
      </c>
      <c r="X1559">
        <v>3.9813000000000001</v>
      </c>
      <c r="Y1559">
        <v>-0.7006</v>
      </c>
      <c r="Z1559">
        <v>9</v>
      </c>
      <c r="AA1559">
        <v>55.4</v>
      </c>
      <c r="AB1559">
        <v>11</v>
      </c>
      <c r="AC1559">
        <v>55.8</v>
      </c>
      <c r="AD1559">
        <v>0</v>
      </c>
      <c r="AE1559">
        <v>0</v>
      </c>
      <c r="AF1559">
        <v>53.668799999999997</v>
      </c>
      <c r="AG1559">
        <v>23</v>
      </c>
      <c r="AH1559">
        <v>0</v>
      </c>
    </row>
    <row r="1560" spans="1:34" x14ac:dyDescent="0.35">
      <c r="A1560" t="s">
        <v>34</v>
      </c>
      <c r="B1560" s="1">
        <v>46146.65625</v>
      </c>
      <c r="C1560" t="s">
        <v>34</v>
      </c>
      <c r="D1560" s="1">
        <v>46153.625</v>
      </c>
      <c r="E1560">
        <v>7210</v>
      </c>
      <c r="F1560" t="s">
        <v>36</v>
      </c>
      <c r="G1560">
        <v>48.5</v>
      </c>
      <c r="H1560">
        <v>76.3</v>
      </c>
      <c r="I1560">
        <v>36.1</v>
      </c>
      <c r="J1560">
        <v>58.32</v>
      </c>
      <c r="K1560">
        <v>179</v>
      </c>
      <c r="L1560">
        <v>8</v>
      </c>
      <c r="M1560">
        <v>57.1</v>
      </c>
      <c r="N1560">
        <v>10</v>
      </c>
      <c r="O1560">
        <v>57.4</v>
      </c>
      <c r="P1560">
        <v>0</v>
      </c>
      <c r="Q1560">
        <v>0</v>
      </c>
      <c r="R1560">
        <v>0</v>
      </c>
      <c r="S1560">
        <v>0</v>
      </c>
      <c r="T1560">
        <v>0.13600000000000001</v>
      </c>
      <c r="U1560">
        <v>-0.51280000000000003</v>
      </c>
      <c r="V1560">
        <v>2.8999999999999998E-3</v>
      </c>
      <c r="W1560">
        <v>-3.9973000000000001</v>
      </c>
      <c r="X1560">
        <v>3.9794</v>
      </c>
      <c r="Y1560">
        <v>-0.72160000000000002</v>
      </c>
      <c r="Z1560">
        <v>9</v>
      </c>
      <c r="AA1560">
        <v>57.6</v>
      </c>
      <c r="AB1560">
        <v>7</v>
      </c>
      <c r="AC1560">
        <v>57.9</v>
      </c>
      <c r="AD1560">
        <v>0</v>
      </c>
      <c r="AE1560">
        <v>0</v>
      </c>
      <c r="AF1560">
        <v>53.0625</v>
      </c>
      <c r="AG1560">
        <v>59</v>
      </c>
      <c r="AH1560">
        <v>0</v>
      </c>
    </row>
    <row r="1561" spans="1:34" x14ac:dyDescent="0.35">
      <c r="A1561" t="s">
        <v>34</v>
      </c>
      <c r="B1561" s="1">
        <v>46146.65625</v>
      </c>
      <c r="C1561" t="s">
        <v>34</v>
      </c>
      <c r="D1561" s="1">
        <v>46153.625</v>
      </c>
      <c r="E1561">
        <v>7215</v>
      </c>
      <c r="F1561" t="s">
        <v>36</v>
      </c>
      <c r="G1561">
        <v>51.1</v>
      </c>
      <c r="H1561">
        <v>77.489999999999995</v>
      </c>
      <c r="I1561">
        <v>37.799999999999997</v>
      </c>
      <c r="J1561">
        <v>61.3</v>
      </c>
      <c r="K1561">
        <v>65</v>
      </c>
      <c r="L1561">
        <v>8</v>
      </c>
      <c r="M1561">
        <v>59.2</v>
      </c>
      <c r="N1561">
        <v>10</v>
      </c>
      <c r="O1561">
        <v>59.6</v>
      </c>
      <c r="P1561">
        <v>0</v>
      </c>
      <c r="Q1561">
        <v>0</v>
      </c>
      <c r="R1561">
        <v>0</v>
      </c>
      <c r="S1561">
        <v>0</v>
      </c>
      <c r="T1561">
        <v>0.13489999999999999</v>
      </c>
      <c r="U1561">
        <v>-0.52759999999999996</v>
      </c>
      <c r="V1561">
        <v>2.8999999999999998E-3</v>
      </c>
      <c r="W1561">
        <v>-3.9561999999999999</v>
      </c>
      <c r="X1561">
        <v>3.9725000000000001</v>
      </c>
      <c r="Y1561">
        <v>-0.74250000000000005</v>
      </c>
      <c r="Z1561">
        <v>9</v>
      </c>
      <c r="AA1561">
        <v>59.8</v>
      </c>
      <c r="AB1561">
        <v>7</v>
      </c>
      <c r="AC1561">
        <v>60.1</v>
      </c>
      <c r="AD1561">
        <v>0</v>
      </c>
      <c r="AE1561">
        <v>0</v>
      </c>
      <c r="AF1561">
        <v>62.701700000000002</v>
      </c>
      <c r="AG1561">
        <v>56</v>
      </c>
      <c r="AH1561">
        <v>0</v>
      </c>
    </row>
    <row r="1562" spans="1:34" x14ac:dyDescent="0.35">
      <c r="A1562" t="s">
        <v>34</v>
      </c>
      <c r="B1562" s="1">
        <v>46146.65625</v>
      </c>
      <c r="C1562" t="s">
        <v>34</v>
      </c>
      <c r="D1562" s="1">
        <v>46153.625</v>
      </c>
      <c r="E1562">
        <v>7220</v>
      </c>
      <c r="F1562" t="s">
        <v>36</v>
      </c>
      <c r="G1562">
        <v>52</v>
      </c>
      <c r="H1562">
        <v>81.3</v>
      </c>
      <c r="I1562">
        <v>39.25</v>
      </c>
      <c r="J1562">
        <v>61.9</v>
      </c>
      <c r="K1562">
        <v>201</v>
      </c>
      <c r="L1562">
        <v>8</v>
      </c>
      <c r="M1562">
        <v>61.5</v>
      </c>
      <c r="N1562">
        <v>10</v>
      </c>
      <c r="O1562">
        <v>61.8</v>
      </c>
      <c r="P1562">
        <v>0</v>
      </c>
      <c r="Q1562">
        <v>0</v>
      </c>
      <c r="R1562">
        <v>0</v>
      </c>
      <c r="S1562">
        <v>0</v>
      </c>
      <c r="T1562">
        <v>0.1336</v>
      </c>
      <c r="U1562">
        <v>-0.54269999999999996</v>
      </c>
      <c r="V1562">
        <v>3.0000000000000001E-3</v>
      </c>
      <c r="W1562">
        <v>-3.9036</v>
      </c>
      <c r="X1562">
        <v>3.9601999999999999</v>
      </c>
      <c r="Y1562">
        <v>-0.76370000000000005</v>
      </c>
      <c r="Z1562">
        <v>8</v>
      </c>
      <c r="AA1562">
        <v>62.1</v>
      </c>
      <c r="AB1562">
        <v>6</v>
      </c>
      <c r="AC1562">
        <v>62.4</v>
      </c>
      <c r="AD1562">
        <v>0</v>
      </c>
      <c r="AE1562">
        <v>0</v>
      </c>
      <c r="AF1562">
        <v>60.6569</v>
      </c>
      <c r="AG1562">
        <v>78</v>
      </c>
      <c r="AH1562">
        <v>0</v>
      </c>
    </row>
    <row r="1563" spans="1:34" x14ac:dyDescent="0.35">
      <c r="A1563" t="s">
        <v>34</v>
      </c>
      <c r="B1563" s="1">
        <v>46146.65625</v>
      </c>
      <c r="C1563" t="s">
        <v>34</v>
      </c>
      <c r="D1563" s="1">
        <v>46153.625</v>
      </c>
      <c r="E1563">
        <v>7225</v>
      </c>
      <c r="F1563" t="s">
        <v>36</v>
      </c>
      <c r="G1563">
        <v>52.78</v>
      </c>
      <c r="H1563">
        <v>79.2</v>
      </c>
      <c r="I1563">
        <v>41.14</v>
      </c>
      <c r="J1563">
        <v>64.069999999999993</v>
      </c>
      <c r="K1563">
        <v>169</v>
      </c>
      <c r="L1563">
        <v>8</v>
      </c>
      <c r="M1563">
        <v>63.8</v>
      </c>
      <c r="N1563">
        <v>7</v>
      </c>
      <c r="O1563">
        <v>64.099999999999994</v>
      </c>
      <c r="P1563">
        <v>0</v>
      </c>
      <c r="Q1563">
        <v>0</v>
      </c>
      <c r="R1563">
        <v>0</v>
      </c>
      <c r="S1563">
        <v>0</v>
      </c>
      <c r="T1563">
        <v>0.1323</v>
      </c>
      <c r="U1563">
        <v>-0.55800000000000005</v>
      </c>
      <c r="V1563">
        <v>3.0000000000000001E-3</v>
      </c>
      <c r="W1563">
        <v>-3.8464999999999998</v>
      </c>
      <c r="X1563">
        <v>3.9420999999999999</v>
      </c>
      <c r="Y1563">
        <v>-0.78549999999999998</v>
      </c>
      <c r="Z1563">
        <v>8</v>
      </c>
      <c r="AA1563">
        <v>64.400000000000006</v>
      </c>
      <c r="AB1563">
        <v>6</v>
      </c>
      <c r="AC1563">
        <v>64.8</v>
      </c>
      <c r="AD1563">
        <v>0</v>
      </c>
      <c r="AE1563">
        <v>0</v>
      </c>
      <c r="AF1563">
        <v>55.444499999999998</v>
      </c>
      <c r="AG1563">
        <v>53</v>
      </c>
      <c r="AH1563">
        <v>0</v>
      </c>
    </row>
    <row r="1564" spans="1:34" x14ac:dyDescent="0.35">
      <c r="A1564" t="s">
        <v>34</v>
      </c>
      <c r="B1564" s="1">
        <v>46146.65625</v>
      </c>
      <c r="C1564" t="s">
        <v>34</v>
      </c>
      <c r="D1564" s="1">
        <v>46153.625</v>
      </c>
      <c r="E1564">
        <v>7230</v>
      </c>
      <c r="F1564" t="s">
        <v>36</v>
      </c>
      <c r="G1564">
        <v>56.3</v>
      </c>
      <c r="H1564">
        <v>82.5</v>
      </c>
      <c r="I1564">
        <v>42.8</v>
      </c>
      <c r="J1564">
        <v>67.2</v>
      </c>
      <c r="K1564">
        <v>194</v>
      </c>
      <c r="L1564">
        <v>8</v>
      </c>
      <c r="M1564">
        <v>66.2</v>
      </c>
      <c r="N1564">
        <v>7</v>
      </c>
      <c r="O1564">
        <v>66.5</v>
      </c>
      <c r="P1564">
        <v>0</v>
      </c>
      <c r="Q1564">
        <v>0</v>
      </c>
      <c r="R1564">
        <v>0</v>
      </c>
      <c r="S1564">
        <v>0</v>
      </c>
      <c r="T1564">
        <v>0.13120000000000001</v>
      </c>
      <c r="U1564">
        <v>-0.57350000000000001</v>
      </c>
      <c r="V1564">
        <v>3.0000000000000001E-3</v>
      </c>
      <c r="W1564">
        <v>-3.7846000000000002</v>
      </c>
      <c r="X1564">
        <v>3.9178000000000002</v>
      </c>
      <c r="Y1564">
        <v>-0.80779999999999996</v>
      </c>
      <c r="Z1564">
        <v>7</v>
      </c>
      <c r="AA1564">
        <v>66.900000000000006</v>
      </c>
      <c r="AB1564">
        <v>6</v>
      </c>
      <c r="AC1564">
        <v>67.2</v>
      </c>
      <c r="AD1564">
        <v>0</v>
      </c>
      <c r="AE1564">
        <v>0</v>
      </c>
      <c r="AF1564">
        <v>58.363100000000003</v>
      </c>
      <c r="AG1564">
        <v>68</v>
      </c>
      <c r="AH1564">
        <v>0</v>
      </c>
    </row>
    <row r="1565" spans="1:34" x14ac:dyDescent="0.35">
      <c r="A1565" t="s">
        <v>34</v>
      </c>
      <c r="B1565" s="1">
        <v>46146.65625</v>
      </c>
      <c r="C1565" t="s">
        <v>34</v>
      </c>
      <c r="D1565" s="1">
        <v>46153.625</v>
      </c>
      <c r="E1565">
        <v>7235</v>
      </c>
      <c r="F1565" t="s">
        <v>36</v>
      </c>
      <c r="G1565">
        <v>59</v>
      </c>
      <c r="H1565">
        <v>75</v>
      </c>
      <c r="I1565">
        <v>45</v>
      </c>
      <c r="J1565">
        <v>70.64</v>
      </c>
      <c r="K1565">
        <v>52</v>
      </c>
      <c r="L1565">
        <v>7</v>
      </c>
      <c r="M1565">
        <v>68.7</v>
      </c>
      <c r="N1565">
        <v>9</v>
      </c>
      <c r="O1565">
        <v>69</v>
      </c>
      <c r="P1565">
        <v>0</v>
      </c>
      <c r="Q1565">
        <v>0</v>
      </c>
      <c r="R1565">
        <v>0</v>
      </c>
      <c r="S1565">
        <v>0</v>
      </c>
      <c r="T1565">
        <v>0.13</v>
      </c>
      <c r="U1565">
        <v>-0.58909999999999996</v>
      </c>
      <c r="V1565">
        <v>3.0000000000000001E-3</v>
      </c>
      <c r="W1565">
        <v>-3.718</v>
      </c>
      <c r="X1565">
        <v>3.8877000000000002</v>
      </c>
      <c r="Y1565">
        <v>-0.83009999999999995</v>
      </c>
      <c r="Z1565">
        <v>7</v>
      </c>
      <c r="AA1565">
        <v>69.400000000000006</v>
      </c>
      <c r="AB1565">
        <v>6</v>
      </c>
      <c r="AC1565">
        <v>69.7</v>
      </c>
      <c r="AD1565">
        <v>0</v>
      </c>
      <c r="AE1565">
        <v>0</v>
      </c>
      <c r="AF1565">
        <v>64.63</v>
      </c>
      <c r="AG1565">
        <v>61</v>
      </c>
      <c r="AH1565">
        <v>0</v>
      </c>
    </row>
    <row r="1566" spans="1:34" x14ac:dyDescent="0.35">
      <c r="A1566" t="s">
        <v>34</v>
      </c>
      <c r="B1566" s="1">
        <v>46146.65625</v>
      </c>
      <c r="C1566" t="s">
        <v>34</v>
      </c>
      <c r="D1566" s="1">
        <v>46153.625</v>
      </c>
      <c r="E1566">
        <v>7240</v>
      </c>
      <c r="F1566" t="s">
        <v>36</v>
      </c>
      <c r="G1566">
        <v>56.22</v>
      </c>
      <c r="H1566">
        <v>85</v>
      </c>
      <c r="I1566">
        <v>46.6</v>
      </c>
      <c r="J1566">
        <v>72.099999999999994</v>
      </c>
      <c r="K1566">
        <v>46</v>
      </c>
      <c r="L1566">
        <v>6</v>
      </c>
      <c r="M1566">
        <v>71.2</v>
      </c>
      <c r="N1566">
        <v>8</v>
      </c>
      <c r="O1566">
        <v>71.599999999999994</v>
      </c>
      <c r="P1566">
        <v>0</v>
      </c>
      <c r="Q1566">
        <v>0</v>
      </c>
      <c r="R1566">
        <v>0</v>
      </c>
      <c r="S1566">
        <v>0</v>
      </c>
      <c r="T1566">
        <v>0.12889999999999999</v>
      </c>
      <c r="U1566">
        <v>-0.60470000000000002</v>
      </c>
      <c r="V1566">
        <v>3.0000000000000001E-3</v>
      </c>
      <c r="W1566">
        <v>-3.6465999999999998</v>
      </c>
      <c r="X1566">
        <v>3.8521000000000001</v>
      </c>
      <c r="Y1566">
        <v>-0.85219999999999996</v>
      </c>
      <c r="Z1566">
        <v>7</v>
      </c>
      <c r="AA1566">
        <v>72</v>
      </c>
      <c r="AB1566">
        <v>6</v>
      </c>
      <c r="AC1566">
        <v>72.3</v>
      </c>
      <c r="AD1566">
        <v>0</v>
      </c>
      <c r="AE1566">
        <v>0</v>
      </c>
      <c r="AF1566">
        <v>62.688299999999998</v>
      </c>
      <c r="AG1566">
        <v>40</v>
      </c>
      <c r="AH1566">
        <v>0</v>
      </c>
    </row>
    <row r="1567" spans="1:34" x14ac:dyDescent="0.35">
      <c r="A1567" t="s">
        <v>34</v>
      </c>
      <c r="B1567" s="1">
        <v>46146.65625</v>
      </c>
      <c r="C1567" t="s">
        <v>34</v>
      </c>
      <c r="D1567" s="1">
        <v>46153.625</v>
      </c>
      <c r="E1567">
        <v>7245</v>
      </c>
      <c r="F1567" t="s">
        <v>36</v>
      </c>
      <c r="G1567">
        <v>63.45</v>
      </c>
      <c r="H1567">
        <v>90</v>
      </c>
      <c r="I1567">
        <v>48.95</v>
      </c>
      <c r="J1567">
        <v>75.87</v>
      </c>
      <c r="K1567">
        <v>157</v>
      </c>
      <c r="L1567">
        <v>6</v>
      </c>
      <c r="M1567">
        <v>73.900000000000006</v>
      </c>
      <c r="N1567">
        <v>6</v>
      </c>
      <c r="O1567">
        <v>74.2</v>
      </c>
      <c r="P1567">
        <v>0</v>
      </c>
      <c r="Q1567">
        <v>0</v>
      </c>
      <c r="R1567">
        <v>0</v>
      </c>
      <c r="S1567">
        <v>0</v>
      </c>
      <c r="T1567">
        <v>0.12759999999999999</v>
      </c>
      <c r="U1567">
        <v>-0.62070000000000003</v>
      </c>
      <c r="V1567">
        <v>3.0000000000000001E-3</v>
      </c>
      <c r="W1567">
        <v>-3.5625</v>
      </c>
      <c r="X1567">
        <v>3.8098999999999998</v>
      </c>
      <c r="Y1567">
        <v>-0.87470000000000003</v>
      </c>
      <c r="Z1567">
        <v>6</v>
      </c>
      <c r="AA1567">
        <v>74.7</v>
      </c>
      <c r="AB1567">
        <v>5</v>
      </c>
      <c r="AC1567">
        <v>75</v>
      </c>
      <c r="AD1567">
        <v>0</v>
      </c>
      <c r="AE1567">
        <v>0</v>
      </c>
      <c r="AF1567">
        <v>63.342399999999998</v>
      </c>
      <c r="AG1567">
        <v>17</v>
      </c>
      <c r="AH1567">
        <v>0</v>
      </c>
    </row>
    <row r="1568" spans="1:34" x14ac:dyDescent="0.35">
      <c r="A1568" t="s">
        <v>34</v>
      </c>
      <c r="B1568" s="1">
        <v>46146.65625</v>
      </c>
      <c r="C1568" t="s">
        <v>34</v>
      </c>
      <c r="D1568" s="1">
        <v>46153.625</v>
      </c>
      <c r="E1568">
        <v>7250</v>
      </c>
      <c r="F1568" t="s">
        <v>36</v>
      </c>
      <c r="G1568">
        <v>63.1</v>
      </c>
      <c r="H1568">
        <v>92.75</v>
      </c>
      <c r="I1568">
        <v>51.52</v>
      </c>
      <c r="J1568">
        <v>78.62</v>
      </c>
      <c r="K1568">
        <v>338</v>
      </c>
      <c r="L1568">
        <v>5</v>
      </c>
      <c r="M1568">
        <v>76.7</v>
      </c>
      <c r="N1568">
        <v>7</v>
      </c>
      <c r="O1568">
        <v>77</v>
      </c>
      <c r="P1568">
        <v>0</v>
      </c>
      <c r="Q1568">
        <v>0</v>
      </c>
      <c r="R1568">
        <v>0</v>
      </c>
      <c r="S1568">
        <v>0</v>
      </c>
      <c r="T1568">
        <v>0.1265</v>
      </c>
      <c r="U1568">
        <v>-0.63660000000000005</v>
      </c>
      <c r="V1568">
        <v>3.0000000000000001E-3</v>
      </c>
      <c r="W1568">
        <v>-3.4775999999999998</v>
      </c>
      <c r="X1568">
        <v>3.7608000000000001</v>
      </c>
      <c r="Y1568">
        <v>-0.89759999999999995</v>
      </c>
      <c r="Z1568">
        <v>6</v>
      </c>
      <c r="AA1568">
        <v>77.5</v>
      </c>
      <c r="AB1568">
        <v>5</v>
      </c>
      <c r="AC1568">
        <v>77.8</v>
      </c>
      <c r="AD1568">
        <v>0</v>
      </c>
      <c r="AE1568">
        <v>0</v>
      </c>
      <c r="AF1568">
        <v>72.234999999999999</v>
      </c>
      <c r="AG1568">
        <v>251</v>
      </c>
      <c r="AH1568">
        <v>0</v>
      </c>
    </row>
    <row r="1569" spans="1:34" x14ac:dyDescent="0.35">
      <c r="A1569" t="s">
        <v>34</v>
      </c>
      <c r="B1569" s="1">
        <v>46146.65625</v>
      </c>
      <c r="C1569" t="s">
        <v>34</v>
      </c>
      <c r="D1569" s="1">
        <v>46153.625</v>
      </c>
      <c r="E1569">
        <v>7255</v>
      </c>
      <c r="F1569" t="s">
        <v>36</v>
      </c>
      <c r="G1569">
        <v>65.989999999999995</v>
      </c>
      <c r="H1569">
        <v>84.8</v>
      </c>
      <c r="I1569">
        <v>58.44</v>
      </c>
      <c r="J1569">
        <v>84.8</v>
      </c>
      <c r="K1569">
        <v>8</v>
      </c>
      <c r="L1569">
        <v>5</v>
      </c>
      <c r="M1569">
        <v>79.400000000000006</v>
      </c>
      <c r="N1569">
        <v>5</v>
      </c>
      <c r="O1569">
        <v>79.8</v>
      </c>
      <c r="P1569">
        <v>0</v>
      </c>
      <c r="Q1569">
        <v>0</v>
      </c>
      <c r="R1569">
        <v>0</v>
      </c>
      <c r="S1569">
        <v>0</v>
      </c>
      <c r="T1569">
        <v>0.12540000000000001</v>
      </c>
      <c r="U1569">
        <v>-0.65239999999999998</v>
      </c>
      <c r="V1569">
        <v>2.8999999999999998E-3</v>
      </c>
      <c r="W1569">
        <v>-3.3879999999999999</v>
      </c>
      <c r="X1569">
        <v>3.7050999999999998</v>
      </c>
      <c r="Y1569">
        <v>-0.92049999999999998</v>
      </c>
      <c r="Z1569">
        <v>5</v>
      </c>
      <c r="AA1569">
        <v>80.3</v>
      </c>
      <c r="AB1569">
        <v>4</v>
      </c>
      <c r="AC1569">
        <v>80.7</v>
      </c>
      <c r="AD1569">
        <v>0</v>
      </c>
      <c r="AE1569">
        <v>0</v>
      </c>
      <c r="AF1569">
        <v>75.858800000000002</v>
      </c>
      <c r="AG1569">
        <v>51</v>
      </c>
      <c r="AH1569">
        <v>0</v>
      </c>
    </row>
    <row r="1570" spans="1:34" x14ac:dyDescent="0.35">
      <c r="A1570" t="s">
        <v>34</v>
      </c>
      <c r="B1570" s="1">
        <v>46146.65625</v>
      </c>
      <c r="C1570" t="s">
        <v>34</v>
      </c>
      <c r="D1570" s="1">
        <v>46153.625</v>
      </c>
      <c r="E1570">
        <v>7260</v>
      </c>
      <c r="F1570" t="s">
        <v>36</v>
      </c>
      <c r="G1570">
        <v>70.849999999999994</v>
      </c>
      <c r="H1570">
        <v>84.79</v>
      </c>
      <c r="I1570">
        <v>56.1</v>
      </c>
      <c r="J1570">
        <v>84.79</v>
      </c>
      <c r="K1570">
        <v>17</v>
      </c>
      <c r="L1570">
        <v>4</v>
      </c>
      <c r="M1570">
        <v>82.3</v>
      </c>
      <c r="N1570">
        <v>4</v>
      </c>
      <c r="O1570">
        <v>82.7</v>
      </c>
      <c r="P1570">
        <v>0</v>
      </c>
      <c r="Q1570">
        <v>0</v>
      </c>
      <c r="R1570">
        <v>0</v>
      </c>
      <c r="S1570">
        <v>0</v>
      </c>
      <c r="T1570">
        <v>0.1242</v>
      </c>
      <c r="U1570">
        <v>-0.66839999999999999</v>
      </c>
      <c r="V1570">
        <v>2.8999999999999998E-3</v>
      </c>
      <c r="W1570">
        <v>-3.2894000000000001</v>
      </c>
      <c r="X1570">
        <v>3.6433</v>
      </c>
      <c r="Y1570">
        <v>-0.94310000000000005</v>
      </c>
      <c r="Z1570">
        <v>4</v>
      </c>
      <c r="AA1570">
        <v>83.3</v>
      </c>
      <c r="AB1570">
        <v>3</v>
      </c>
      <c r="AC1570">
        <v>83.6</v>
      </c>
      <c r="AD1570">
        <v>0</v>
      </c>
      <c r="AE1570">
        <v>0</v>
      </c>
      <c r="AF1570">
        <v>73.5471</v>
      </c>
      <c r="AG1570">
        <v>35</v>
      </c>
      <c r="AH1570">
        <v>0</v>
      </c>
    </row>
    <row r="1571" spans="1:34" x14ac:dyDescent="0.35">
      <c r="A1571" t="s">
        <v>34</v>
      </c>
      <c r="B1571" s="1">
        <v>46146.65625</v>
      </c>
      <c r="C1571" t="s">
        <v>34</v>
      </c>
      <c r="D1571" s="1">
        <v>46153.625</v>
      </c>
      <c r="E1571">
        <v>7265</v>
      </c>
      <c r="F1571" t="s">
        <v>36</v>
      </c>
      <c r="G1571">
        <v>73.599999999999994</v>
      </c>
      <c r="H1571">
        <v>85.98</v>
      </c>
      <c r="I1571">
        <v>57.93</v>
      </c>
      <c r="J1571">
        <v>85.98</v>
      </c>
      <c r="K1571">
        <v>14</v>
      </c>
      <c r="L1571">
        <v>3</v>
      </c>
      <c r="M1571">
        <v>85.3</v>
      </c>
      <c r="N1571">
        <v>3</v>
      </c>
      <c r="O1571">
        <v>85.7</v>
      </c>
      <c r="P1571">
        <v>0</v>
      </c>
      <c r="Q1571">
        <v>0</v>
      </c>
      <c r="R1571">
        <v>0</v>
      </c>
      <c r="S1571">
        <v>0</v>
      </c>
      <c r="T1571">
        <v>0.1231</v>
      </c>
      <c r="U1571">
        <v>-0.68440000000000001</v>
      </c>
      <c r="V1571">
        <v>2.8999999999999998E-3</v>
      </c>
      <c r="W1571">
        <v>-3.1867000000000001</v>
      </c>
      <c r="X1571">
        <v>3.5758999999999999</v>
      </c>
      <c r="Y1571">
        <v>-0.9657</v>
      </c>
      <c r="Z1571">
        <v>3</v>
      </c>
      <c r="AA1571">
        <v>86.3</v>
      </c>
      <c r="AB1571">
        <v>2</v>
      </c>
      <c r="AC1571">
        <v>86.7</v>
      </c>
      <c r="AD1571">
        <v>0</v>
      </c>
      <c r="AE1571">
        <v>0</v>
      </c>
      <c r="AF1571">
        <v>80.359300000000005</v>
      </c>
      <c r="AG1571">
        <v>14</v>
      </c>
      <c r="AH1571">
        <v>0</v>
      </c>
    </row>
    <row r="1572" spans="1:34" x14ac:dyDescent="0.35">
      <c r="A1572" t="s">
        <v>34</v>
      </c>
      <c r="B1572" s="1">
        <v>46146.65625</v>
      </c>
      <c r="C1572" t="s">
        <v>34</v>
      </c>
      <c r="D1572" s="1">
        <v>46153.625</v>
      </c>
      <c r="E1572">
        <v>7270</v>
      </c>
      <c r="F1572" t="s">
        <v>36</v>
      </c>
      <c r="G1572">
        <v>60.43</v>
      </c>
      <c r="H1572">
        <v>98.29</v>
      </c>
      <c r="I1572">
        <v>60.43</v>
      </c>
      <c r="J1572">
        <v>90.63</v>
      </c>
      <c r="K1572">
        <v>28</v>
      </c>
      <c r="L1572">
        <v>21</v>
      </c>
      <c r="M1572">
        <v>87.8</v>
      </c>
      <c r="N1572">
        <v>2</v>
      </c>
      <c r="O1572">
        <v>89.1</v>
      </c>
      <c r="P1572">
        <v>0</v>
      </c>
      <c r="Q1572">
        <v>0</v>
      </c>
      <c r="R1572">
        <v>0</v>
      </c>
      <c r="S1572">
        <v>0</v>
      </c>
      <c r="T1572">
        <v>0.1216</v>
      </c>
      <c r="U1572">
        <v>-0.7006</v>
      </c>
      <c r="V1572">
        <v>2.8999999999999998E-3</v>
      </c>
      <c r="W1572">
        <v>-3.0705</v>
      </c>
      <c r="X1572">
        <v>3.4992000000000001</v>
      </c>
      <c r="Y1572">
        <v>-0.98909999999999998</v>
      </c>
      <c r="Z1572">
        <v>22</v>
      </c>
      <c r="AA1572">
        <v>88.9</v>
      </c>
      <c r="AB1572">
        <v>15</v>
      </c>
      <c r="AC1572">
        <v>90.3</v>
      </c>
      <c r="AD1572">
        <v>0</v>
      </c>
      <c r="AE1572">
        <v>0</v>
      </c>
      <c r="AF1572">
        <v>78.052499999999995</v>
      </c>
      <c r="AG1572">
        <v>33</v>
      </c>
      <c r="AH1572">
        <v>0</v>
      </c>
    </row>
    <row r="1573" spans="1:34" x14ac:dyDescent="0.35">
      <c r="A1573" t="s">
        <v>34</v>
      </c>
      <c r="B1573" s="1">
        <v>46146.65625</v>
      </c>
      <c r="C1573" t="s">
        <v>34</v>
      </c>
      <c r="D1573" s="1">
        <v>46153.625</v>
      </c>
      <c r="E1573">
        <v>7275</v>
      </c>
      <c r="F1573" t="s">
        <v>36</v>
      </c>
      <c r="G1573">
        <v>80.2</v>
      </c>
      <c r="H1573">
        <v>95.1</v>
      </c>
      <c r="I1573">
        <v>64.069999999999993</v>
      </c>
      <c r="J1573">
        <v>87.4</v>
      </c>
      <c r="K1573">
        <v>18</v>
      </c>
      <c r="L1573">
        <v>21</v>
      </c>
      <c r="M1573">
        <v>90.9</v>
      </c>
      <c r="N1573">
        <v>22</v>
      </c>
      <c r="O1573">
        <v>92.3</v>
      </c>
      <c r="P1573">
        <v>0</v>
      </c>
      <c r="Q1573">
        <v>0</v>
      </c>
      <c r="R1573">
        <v>0</v>
      </c>
      <c r="S1573">
        <v>0</v>
      </c>
      <c r="T1573">
        <v>0.12039999999999999</v>
      </c>
      <c r="U1573">
        <v>-0.71660000000000001</v>
      </c>
      <c r="V1573">
        <v>2.8E-3</v>
      </c>
      <c r="W1573">
        <v>-2.9546000000000001</v>
      </c>
      <c r="X1573">
        <v>3.4159999999999999</v>
      </c>
      <c r="Y1573">
        <v>-1.0122</v>
      </c>
      <c r="Z1573">
        <v>24</v>
      </c>
      <c r="AA1573">
        <v>92.1</v>
      </c>
      <c r="AB1573">
        <v>11</v>
      </c>
      <c r="AC1573">
        <v>93.5</v>
      </c>
      <c r="AD1573">
        <v>0</v>
      </c>
      <c r="AE1573">
        <v>0</v>
      </c>
      <c r="AF1573">
        <v>74.323899999999995</v>
      </c>
      <c r="AG1573">
        <v>210</v>
      </c>
      <c r="AH1573">
        <v>0</v>
      </c>
    </row>
    <row r="1574" spans="1:34" x14ac:dyDescent="0.35">
      <c r="A1574" t="s">
        <v>34</v>
      </c>
      <c r="B1574" s="1">
        <v>46146.65625</v>
      </c>
      <c r="C1574" t="s">
        <v>34</v>
      </c>
      <c r="D1574" s="1">
        <v>46153.625</v>
      </c>
      <c r="E1574">
        <v>7280</v>
      </c>
      <c r="F1574" t="s">
        <v>36</v>
      </c>
      <c r="G1574">
        <v>76.81</v>
      </c>
      <c r="H1574">
        <v>104.53</v>
      </c>
      <c r="I1574">
        <v>76.81</v>
      </c>
      <c r="J1574">
        <v>92.6</v>
      </c>
      <c r="K1574">
        <v>17</v>
      </c>
      <c r="L1574">
        <v>22</v>
      </c>
      <c r="M1574">
        <v>94.2</v>
      </c>
      <c r="N1574">
        <v>2</v>
      </c>
      <c r="O1574">
        <v>95.6</v>
      </c>
      <c r="P1574">
        <v>0</v>
      </c>
      <c r="Q1574">
        <v>0</v>
      </c>
      <c r="R1574">
        <v>0</v>
      </c>
      <c r="S1574">
        <v>0</v>
      </c>
      <c r="T1574">
        <v>0.1195</v>
      </c>
      <c r="U1574">
        <v>-0.7319</v>
      </c>
      <c r="V1574">
        <v>2.8E-3</v>
      </c>
      <c r="W1574">
        <v>-2.8456999999999999</v>
      </c>
      <c r="X1574">
        <v>3.3306</v>
      </c>
      <c r="Y1574">
        <v>-1.0339</v>
      </c>
      <c r="Z1574">
        <v>24</v>
      </c>
      <c r="AA1574">
        <v>95.4</v>
      </c>
      <c r="AB1574">
        <v>18</v>
      </c>
      <c r="AC1574">
        <v>96.9</v>
      </c>
      <c r="AD1574">
        <v>0</v>
      </c>
      <c r="AE1574">
        <v>0</v>
      </c>
      <c r="AF1574">
        <v>95.673500000000004</v>
      </c>
      <c r="AG1574">
        <v>17</v>
      </c>
      <c r="AH1574">
        <v>0</v>
      </c>
    </row>
    <row r="1575" spans="1:34" x14ac:dyDescent="0.35">
      <c r="A1575" t="s">
        <v>34</v>
      </c>
      <c r="B1575" s="1">
        <v>46146.65625</v>
      </c>
      <c r="C1575" t="s">
        <v>34</v>
      </c>
      <c r="D1575" s="1">
        <v>46153.625</v>
      </c>
      <c r="E1575">
        <v>7285</v>
      </c>
      <c r="F1575" t="s">
        <v>36</v>
      </c>
      <c r="G1575">
        <v>85.41</v>
      </c>
      <c r="H1575">
        <v>98.77</v>
      </c>
      <c r="I1575">
        <v>79.83</v>
      </c>
      <c r="J1575">
        <v>98.77</v>
      </c>
      <c r="K1575">
        <v>22</v>
      </c>
      <c r="L1575">
        <v>1</v>
      </c>
      <c r="M1575">
        <v>96.1</v>
      </c>
      <c r="N1575">
        <v>7</v>
      </c>
      <c r="O1575">
        <v>100.2</v>
      </c>
      <c r="P1575">
        <v>0</v>
      </c>
      <c r="Q1575">
        <v>0</v>
      </c>
      <c r="R1575">
        <v>0</v>
      </c>
      <c r="S1575">
        <v>0</v>
      </c>
      <c r="T1575">
        <v>0.1182</v>
      </c>
      <c r="U1575">
        <v>-0.74750000000000005</v>
      </c>
      <c r="V1575">
        <v>2.7000000000000001E-3</v>
      </c>
      <c r="W1575">
        <v>-2.7214999999999998</v>
      </c>
      <c r="X1575">
        <v>3.2376</v>
      </c>
      <c r="Y1575">
        <v>-1.0562</v>
      </c>
      <c r="Z1575">
        <v>18</v>
      </c>
      <c r="AA1575">
        <v>98.8</v>
      </c>
      <c r="AB1575">
        <v>18</v>
      </c>
      <c r="AC1575">
        <v>100.4</v>
      </c>
      <c r="AD1575">
        <v>0</v>
      </c>
      <c r="AE1575">
        <v>0</v>
      </c>
      <c r="AF1575">
        <v>97.3018</v>
      </c>
      <c r="AG1575">
        <v>2</v>
      </c>
      <c r="AH1575">
        <v>0</v>
      </c>
    </row>
    <row r="1576" spans="1:34" x14ac:dyDescent="0.35">
      <c r="A1576" t="s">
        <v>34</v>
      </c>
      <c r="B1576" s="1">
        <v>46146.65625</v>
      </c>
      <c r="C1576" t="s">
        <v>34</v>
      </c>
      <c r="D1576" s="1">
        <v>46153.625</v>
      </c>
      <c r="E1576">
        <v>7290</v>
      </c>
      <c r="F1576" t="s">
        <v>36</v>
      </c>
      <c r="G1576">
        <v>82.02</v>
      </c>
      <c r="H1576">
        <v>82.02</v>
      </c>
      <c r="I1576">
        <v>82.02</v>
      </c>
      <c r="J1576">
        <v>82.02</v>
      </c>
      <c r="K1576">
        <v>2</v>
      </c>
      <c r="L1576">
        <v>1</v>
      </c>
      <c r="M1576">
        <v>99.4</v>
      </c>
      <c r="N1576">
        <v>7</v>
      </c>
      <c r="O1576">
        <v>103.5</v>
      </c>
      <c r="P1576">
        <v>0</v>
      </c>
      <c r="Q1576">
        <v>0</v>
      </c>
      <c r="R1576">
        <v>0</v>
      </c>
      <c r="S1576">
        <v>0</v>
      </c>
      <c r="T1576">
        <v>0.11650000000000001</v>
      </c>
      <c r="U1576">
        <v>-0.76400000000000001</v>
      </c>
      <c r="V1576">
        <v>2.5999999999999999E-3</v>
      </c>
      <c r="W1576">
        <v>-2.5771999999999999</v>
      </c>
      <c r="X1576">
        <v>3.1305000000000001</v>
      </c>
      <c r="Y1576">
        <v>-1.0799000000000001</v>
      </c>
      <c r="Z1576">
        <v>7</v>
      </c>
      <c r="AA1576">
        <v>100.8</v>
      </c>
      <c r="AB1576">
        <v>7</v>
      </c>
      <c r="AC1576">
        <v>105.4</v>
      </c>
      <c r="AD1576">
        <v>0</v>
      </c>
      <c r="AE1576">
        <v>0</v>
      </c>
      <c r="AF1576">
        <v>82.02</v>
      </c>
      <c r="AG1576">
        <v>3</v>
      </c>
      <c r="AH1576">
        <v>0</v>
      </c>
    </row>
    <row r="1577" spans="1:34" x14ac:dyDescent="0.35">
      <c r="A1577" t="s">
        <v>34</v>
      </c>
      <c r="B1577" s="1">
        <v>46146.65625</v>
      </c>
      <c r="C1577" t="s">
        <v>34</v>
      </c>
      <c r="D1577" s="1">
        <v>46153.625</v>
      </c>
      <c r="E1577">
        <v>7295</v>
      </c>
      <c r="F1577" t="s">
        <v>36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1</v>
      </c>
      <c r="M1577">
        <v>103.3</v>
      </c>
      <c r="N1577">
        <v>1</v>
      </c>
      <c r="O1577">
        <v>107.1</v>
      </c>
      <c r="P1577">
        <v>0</v>
      </c>
      <c r="Q1577">
        <v>0</v>
      </c>
      <c r="R1577">
        <v>0</v>
      </c>
      <c r="S1577">
        <v>0</v>
      </c>
      <c r="T1577">
        <v>0.1167</v>
      </c>
      <c r="U1577">
        <v>-0.77580000000000005</v>
      </c>
      <c r="V1577">
        <v>2.5999999999999999E-3</v>
      </c>
      <c r="W1577">
        <v>-2.5013000000000001</v>
      </c>
      <c r="X1577">
        <v>3.0470999999999999</v>
      </c>
      <c r="Y1577">
        <v>-1.0972999999999999</v>
      </c>
      <c r="Z1577">
        <v>7</v>
      </c>
      <c r="AA1577">
        <v>104.3</v>
      </c>
      <c r="AB1577">
        <v>7</v>
      </c>
      <c r="AC1577">
        <v>109.1</v>
      </c>
      <c r="AD1577">
        <v>0</v>
      </c>
      <c r="AE1577">
        <v>0</v>
      </c>
      <c r="AF1577">
        <v>0</v>
      </c>
      <c r="AG1577">
        <v>0</v>
      </c>
      <c r="AH1577">
        <v>0</v>
      </c>
    </row>
    <row r="1578" spans="1:34" x14ac:dyDescent="0.35">
      <c r="A1578" t="s">
        <v>34</v>
      </c>
      <c r="B1578" s="1">
        <v>46146.65625</v>
      </c>
      <c r="C1578" t="s">
        <v>34</v>
      </c>
      <c r="D1578" s="1">
        <v>46153.625</v>
      </c>
      <c r="E1578">
        <v>7300</v>
      </c>
      <c r="F1578" t="s">
        <v>36</v>
      </c>
      <c r="G1578">
        <v>88.07</v>
      </c>
      <c r="H1578">
        <v>120.43</v>
      </c>
      <c r="I1578">
        <v>78.400000000000006</v>
      </c>
      <c r="J1578">
        <v>111.25</v>
      </c>
      <c r="K1578">
        <v>65</v>
      </c>
      <c r="L1578">
        <v>3</v>
      </c>
      <c r="M1578">
        <v>107.6</v>
      </c>
      <c r="N1578">
        <v>7</v>
      </c>
      <c r="O1578">
        <v>110.8</v>
      </c>
      <c r="P1578">
        <v>0</v>
      </c>
      <c r="Q1578">
        <v>0</v>
      </c>
      <c r="R1578">
        <v>0</v>
      </c>
      <c r="S1578">
        <v>0</v>
      </c>
      <c r="T1578">
        <v>0.1163</v>
      </c>
      <c r="U1578">
        <v>-0.78969999999999996</v>
      </c>
      <c r="V1578">
        <v>2.5000000000000001E-3</v>
      </c>
      <c r="W1578">
        <v>-2.3923000000000001</v>
      </c>
      <c r="X1578">
        <v>2.9441000000000002</v>
      </c>
      <c r="Y1578">
        <v>-1.1172</v>
      </c>
      <c r="Z1578">
        <v>7</v>
      </c>
      <c r="AA1578">
        <v>108</v>
      </c>
      <c r="AB1578">
        <v>7</v>
      </c>
      <c r="AC1578">
        <v>112.7</v>
      </c>
      <c r="AD1578">
        <v>0</v>
      </c>
      <c r="AE1578">
        <v>0</v>
      </c>
      <c r="AF1578">
        <v>106.3342</v>
      </c>
      <c r="AG1578">
        <v>11</v>
      </c>
      <c r="AH1578">
        <v>0</v>
      </c>
    </row>
    <row r="1579" spans="1:34" x14ac:dyDescent="0.35">
      <c r="A1579" t="s">
        <v>34</v>
      </c>
      <c r="B1579" s="1">
        <v>46146.65625</v>
      </c>
      <c r="C1579" t="s">
        <v>34</v>
      </c>
      <c r="D1579" s="1">
        <v>46153.625</v>
      </c>
      <c r="E1579">
        <v>7305</v>
      </c>
      <c r="F1579" t="s">
        <v>36</v>
      </c>
      <c r="G1579">
        <v>98.75</v>
      </c>
      <c r="H1579">
        <v>98.75</v>
      </c>
      <c r="I1579">
        <v>98.75</v>
      </c>
      <c r="J1579">
        <v>98.75</v>
      </c>
      <c r="K1579">
        <v>1</v>
      </c>
      <c r="L1579">
        <v>1</v>
      </c>
      <c r="M1579">
        <v>110.6</v>
      </c>
      <c r="N1579">
        <v>1</v>
      </c>
      <c r="O1579">
        <v>114.6</v>
      </c>
      <c r="P1579">
        <v>0</v>
      </c>
      <c r="Q1579">
        <v>0</v>
      </c>
      <c r="R1579">
        <v>0</v>
      </c>
      <c r="S1579">
        <v>0</v>
      </c>
      <c r="T1579">
        <v>0.1148</v>
      </c>
      <c r="U1579">
        <v>-0.80420000000000003</v>
      </c>
      <c r="V1579">
        <v>2.3999999999999998E-3</v>
      </c>
      <c r="W1579">
        <v>-2.2530999999999999</v>
      </c>
      <c r="X1579">
        <v>2.8317000000000001</v>
      </c>
      <c r="Y1579">
        <v>-1.1379999999999999</v>
      </c>
      <c r="Z1579">
        <v>7</v>
      </c>
      <c r="AA1579">
        <v>111.6</v>
      </c>
      <c r="AB1579">
        <v>7</v>
      </c>
      <c r="AC1579">
        <v>116.6</v>
      </c>
      <c r="AD1579">
        <v>0</v>
      </c>
      <c r="AE1579">
        <v>0</v>
      </c>
      <c r="AF1579">
        <v>98.75</v>
      </c>
      <c r="AG1579">
        <v>1</v>
      </c>
      <c r="AH1579">
        <v>0</v>
      </c>
    </row>
    <row r="1580" spans="1:34" x14ac:dyDescent="0.35">
      <c r="A1580" t="s">
        <v>34</v>
      </c>
      <c r="B1580" s="1">
        <v>46146.65625</v>
      </c>
      <c r="C1580" t="s">
        <v>34</v>
      </c>
      <c r="D1580" s="1">
        <v>46153.625</v>
      </c>
      <c r="E1580">
        <v>7310</v>
      </c>
      <c r="F1580" t="s">
        <v>36</v>
      </c>
      <c r="G1580">
        <v>113.79</v>
      </c>
      <c r="H1580">
        <v>116.91</v>
      </c>
      <c r="I1580">
        <v>113.79</v>
      </c>
      <c r="J1580">
        <v>116.91</v>
      </c>
      <c r="K1580">
        <v>11</v>
      </c>
      <c r="L1580">
        <v>1</v>
      </c>
      <c r="M1580">
        <v>114.2</v>
      </c>
      <c r="N1580">
        <v>7</v>
      </c>
      <c r="O1580">
        <v>118.7</v>
      </c>
      <c r="P1580">
        <v>0</v>
      </c>
      <c r="Q1580">
        <v>0</v>
      </c>
      <c r="R1580">
        <v>0</v>
      </c>
      <c r="S1580">
        <v>0</v>
      </c>
      <c r="T1580">
        <v>0.1132</v>
      </c>
      <c r="U1580">
        <v>-0.81979999999999997</v>
      </c>
      <c r="V1580">
        <v>2.3E-3</v>
      </c>
      <c r="W1580">
        <v>-2.0994999999999999</v>
      </c>
      <c r="X1580">
        <v>2.7008000000000001</v>
      </c>
      <c r="Y1580">
        <v>-1.1606000000000001</v>
      </c>
      <c r="Z1580">
        <v>7</v>
      </c>
      <c r="AA1580">
        <v>115.5</v>
      </c>
      <c r="AB1580">
        <v>7</v>
      </c>
      <c r="AC1580">
        <v>120.4</v>
      </c>
      <c r="AD1580">
        <v>0</v>
      </c>
      <c r="AE1580">
        <v>0</v>
      </c>
      <c r="AF1580">
        <v>116.6264</v>
      </c>
      <c r="AG1580">
        <v>32</v>
      </c>
      <c r="AH1580">
        <v>0</v>
      </c>
    </row>
    <row r="1581" spans="1:34" x14ac:dyDescent="0.35">
      <c r="A1581" t="s">
        <v>34</v>
      </c>
      <c r="B1581" s="1">
        <v>46146.65625</v>
      </c>
      <c r="C1581" t="s">
        <v>34</v>
      </c>
      <c r="D1581" s="1">
        <v>46153.625</v>
      </c>
      <c r="E1581">
        <v>7315</v>
      </c>
      <c r="F1581" t="s">
        <v>36</v>
      </c>
      <c r="G1581">
        <v>121.11</v>
      </c>
      <c r="H1581">
        <v>121.11</v>
      </c>
      <c r="I1581">
        <v>121.11</v>
      </c>
      <c r="J1581">
        <v>121.11</v>
      </c>
      <c r="K1581">
        <v>1</v>
      </c>
      <c r="L1581">
        <v>1</v>
      </c>
      <c r="M1581">
        <v>118</v>
      </c>
      <c r="N1581">
        <v>6</v>
      </c>
      <c r="O1581">
        <v>122.7</v>
      </c>
      <c r="P1581">
        <v>0</v>
      </c>
      <c r="Q1581">
        <v>0</v>
      </c>
      <c r="R1581">
        <v>0</v>
      </c>
      <c r="S1581">
        <v>0</v>
      </c>
      <c r="T1581">
        <v>0.11219999999999999</v>
      </c>
      <c r="U1581">
        <v>-0.83309999999999995</v>
      </c>
      <c r="V1581">
        <v>2.2000000000000001E-3</v>
      </c>
      <c r="W1581">
        <v>-1.9713000000000001</v>
      </c>
      <c r="X1581">
        <v>2.5804999999999998</v>
      </c>
      <c r="Y1581">
        <v>-1.1798999999999999</v>
      </c>
      <c r="Z1581">
        <v>6</v>
      </c>
      <c r="AA1581">
        <v>119.3</v>
      </c>
      <c r="AB1581">
        <v>6</v>
      </c>
      <c r="AC1581">
        <v>124.5</v>
      </c>
      <c r="AD1581">
        <v>0</v>
      </c>
      <c r="AE1581">
        <v>0</v>
      </c>
      <c r="AF1581">
        <v>121.11</v>
      </c>
      <c r="AG1581">
        <v>0</v>
      </c>
      <c r="AH1581">
        <v>0</v>
      </c>
    </row>
    <row r="1582" spans="1:34" x14ac:dyDescent="0.35">
      <c r="A1582" t="s">
        <v>34</v>
      </c>
      <c r="B1582" s="1">
        <v>46146.65625</v>
      </c>
      <c r="C1582" t="s">
        <v>34</v>
      </c>
      <c r="D1582" s="1">
        <v>46153.625</v>
      </c>
      <c r="E1582">
        <v>7320</v>
      </c>
      <c r="F1582" t="s">
        <v>36</v>
      </c>
      <c r="G1582">
        <v>121.82</v>
      </c>
      <c r="H1582">
        <v>121.82</v>
      </c>
      <c r="I1582">
        <v>121.82</v>
      </c>
      <c r="J1582">
        <v>121.82</v>
      </c>
      <c r="K1582">
        <v>1</v>
      </c>
      <c r="L1582">
        <v>1</v>
      </c>
      <c r="M1582">
        <v>122.3</v>
      </c>
      <c r="N1582">
        <v>6</v>
      </c>
      <c r="O1582">
        <v>126.7</v>
      </c>
      <c r="P1582">
        <v>0</v>
      </c>
      <c r="Q1582">
        <v>0</v>
      </c>
      <c r="R1582">
        <v>0</v>
      </c>
      <c r="S1582">
        <v>0</v>
      </c>
      <c r="T1582">
        <v>0.1119</v>
      </c>
      <c r="U1582">
        <v>-0.84440000000000004</v>
      </c>
      <c r="V1582">
        <v>2.0999999999999999E-3</v>
      </c>
      <c r="W1582">
        <v>-1.8695999999999999</v>
      </c>
      <c r="X1582">
        <v>2.4740000000000002</v>
      </c>
      <c r="Y1582">
        <v>-1.1962999999999999</v>
      </c>
      <c r="Z1582">
        <v>6</v>
      </c>
      <c r="AA1582">
        <v>123.3</v>
      </c>
      <c r="AB1582">
        <v>6</v>
      </c>
      <c r="AC1582">
        <v>128.5</v>
      </c>
      <c r="AD1582">
        <v>0</v>
      </c>
      <c r="AE1582">
        <v>0</v>
      </c>
      <c r="AF1582">
        <v>121.82</v>
      </c>
      <c r="AG1582">
        <v>0</v>
      </c>
      <c r="AH1582">
        <v>0</v>
      </c>
    </row>
    <row r="1583" spans="1:34" x14ac:dyDescent="0.35">
      <c r="A1583" t="s">
        <v>34</v>
      </c>
      <c r="B1583" s="1">
        <v>46146.65625</v>
      </c>
      <c r="C1583" t="s">
        <v>34</v>
      </c>
      <c r="D1583" s="1">
        <v>46153.625</v>
      </c>
      <c r="E1583">
        <v>7325</v>
      </c>
      <c r="F1583" t="s">
        <v>36</v>
      </c>
      <c r="G1583">
        <v>106.22</v>
      </c>
      <c r="H1583">
        <v>106.22</v>
      </c>
      <c r="I1583">
        <v>106.22</v>
      </c>
      <c r="J1583">
        <v>106.22</v>
      </c>
      <c r="K1583">
        <v>1</v>
      </c>
      <c r="L1583">
        <v>1</v>
      </c>
      <c r="M1583">
        <v>126.4</v>
      </c>
      <c r="N1583">
        <v>6</v>
      </c>
      <c r="O1583">
        <v>130.80000000000001</v>
      </c>
      <c r="P1583">
        <v>0</v>
      </c>
      <c r="Q1583">
        <v>0</v>
      </c>
      <c r="R1583">
        <v>0</v>
      </c>
      <c r="S1583">
        <v>0</v>
      </c>
      <c r="T1583">
        <v>0.11210000000000001</v>
      </c>
      <c r="U1583">
        <v>-0.8538</v>
      </c>
      <c r="V1583">
        <v>2E-3</v>
      </c>
      <c r="W1583">
        <v>-1.7886</v>
      </c>
      <c r="X1583">
        <v>2.3814000000000002</v>
      </c>
      <c r="Y1583">
        <v>-1.2102999999999999</v>
      </c>
      <c r="Z1583">
        <v>6</v>
      </c>
      <c r="AA1583">
        <v>127.4</v>
      </c>
      <c r="AB1583">
        <v>6</v>
      </c>
      <c r="AC1583">
        <v>132.6</v>
      </c>
      <c r="AD1583">
        <v>0</v>
      </c>
      <c r="AE1583">
        <v>0</v>
      </c>
      <c r="AF1583">
        <v>106.22</v>
      </c>
      <c r="AG1583">
        <v>12</v>
      </c>
      <c r="AH1583">
        <v>0</v>
      </c>
    </row>
    <row r="1584" spans="1:34" x14ac:dyDescent="0.35">
      <c r="A1584" t="s">
        <v>34</v>
      </c>
      <c r="B1584" s="1">
        <v>46146.65625</v>
      </c>
      <c r="C1584" t="s">
        <v>34</v>
      </c>
      <c r="D1584" s="1">
        <v>46153.625</v>
      </c>
      <c r="E1584">
        <v>7330</v>
      </c>
      <c r="F1584" t="s">
        <v>36</v>
      </c>
      <c r="G1584">
        <v>99.72</v>
      </c>
      <c r="H1584">
        <v>99.72</v>
      </c>
      <c r="I1584">
        <v>99.72</v>
      </c>
      <c r="J1584">
        <v>99.72</v>
      </c>
      <c r="K1584">
        <v>2</v>
      </c>
      <c r="L1584">
        <v>1</v>
      </c>
      <c r="M1584">
        <v>130.5</v>
      </c>
      <c r="N1584">
        <v>6</v>
      </c>
      <c r="O1584">
        <v>135.19999999999999</v>
      </c>
      <c r="P1584">
        <v>0</v>
      </c>
      <c r="Q1584">
        <v>0</v>
      </c>
      <c r="R1584">
        <v>0</v>
      </c>
      <c r="S1584">
        <v>0</v>
      </c>
      <c r="T1584">
        <v>0.1108</v>
      </c>
      <c r="U1584">
        <v>-0.86680000000000001</v>
      </c>
      <c r="V1584">
        <v>1.9E-3</v>
      </c>
      <c r="W1584">
        <v>-1.6485000000000001</v>
      </c>
      <c r="X1584">
        <v>2.246</v>
      </c>
      <c r="Y1584">
        <v>-1.2294</v>
      </c>
      <c r="Z1584">
        <v>6</v>
      </c>
      <c r="AA1584">
        <v>131.6</v>
      </c>
      <c r="AB1584">
        <v>6</v>
      </c>
      <c r="AC1584">
        <v>136.80000000000001</v>
      </c>
      <c r="AD1584">
        <v>0</v>
      </c>
      <c r="AE1584">
        <v>0</v>
      </c>
      <c r="AF1584">
        <v>99.72</v>
      </c>
      <c r="AG1584">
        <v>6</v>
      </c>
      <c r="AH1584">
        <v>0</v>
      </c>
    </row>
    <row r="1585" spans="1:34" x14ac:dyDescent="0.35">
      <c r="A1585" t="s">
        <v>34</v>
      </c>
      <c r="B1585" s="1">
        <v>46146.65625</v>
      </c>
      <c r="C1585" t="s">
        <v>34</v>
      </c>
      <c r="D1585" s="1">
        <v>46153.625</v>
      </c>
      <c r="E1585">
        <v>7335</v>
      </c>
      <c r="F1585" t="s">
        <v>36</v>
      </c>
      <c r="G1585">
        <v>108.68</v>
      </c>
      <c r="H1585">
        <v>115.77</v>
      </c>
      <c r="I1585">
        <v>108.68</v>
      </c>
      <c r="J1585">
        <v>115.77</v>
      </c>
      <c r="K1585">
        <v>2</v>
      </c>
      <c r="L1585">
        <v>1</v>
      </c>
      <c r="M1585">
        <v>134.6</v>
      </c>
      <c r="N1585">
        <v>6</v>
      </c>
      <c r="O1585">
        <v>139.5</v>
      </c>
      <c r="P1585">
        <v>0</v>
      </c>
      <c r="Q1585">
        <v>0</v>
      </c>
      <c r="R1585">
        <v>0</v>
      </c>
      <c r="S1585">
        <v>0</v>
      </c>
      <c r="T1585">
        <v>0.1101</v>
      </c>
      <c r="U1585">
        <v>-0.87770000000000004</v>
      </c>
      <c r="V1585">
        <v>1.8E-3</v>
      </c>
      <c r="W1585">
        <v>-1.5338000000000001</v>
      </c>
      <c r="X1585">
        <v>2.1265999999999998</v>
      </c>
      <c r="Y1585">
        <v>-1.2451000000000001</v>
      </c>
      <c r="Z1585">
        <v>6</v>
      </c>
      <c r="AA1585">
        <v>135.6</v>
      </c>
      <c r="AB1585">
        <v>6</v>
      </c>
      <c r="AC1585">
        <v>141.1</v>
      </c>
      <c r="AD1585">
        <v>0</v>
      </c>
      <c r="AE1585">
        <v>0</v>
      </c>
      <c r="AF1585">
        <v>112.22499999999999</v>
      </c>
      <c r="AG1585">
        <v>0</v>
      </c>
      <c r="AH1585">
        <v>0</v>
      </c>
    </row>
    <row r="1586" spans="1:34" x14ac:dyDescent="0.35">
      <c r="A1586" t="s">
        <v>34</v>
      </c>
      <c r="B1586" s="1">
        <v>46146.65625</v>
      </c>
      <c r="C1586" t="s">
        <v>34</v>
      </c>
      <c r="D1586" s="1">
        <v>46153.625</v>
      </c>
      <c r="E1586">
        <v>7340</v>
      </c>
      <c r="F1586" t="s">
        <v>36</v>
      </c>
      <c r="G1586">
        <v>112.63</v>
      </c>
      <c r="H1586">
        <v>119.77</v>
      </c>
      <c r="I1586">
        <v>112.63</v>
      </c>
      <c r="J1586">
        <v>119.77</v>
      </c>
      <c r="K1586">
        <v>2</v>
      </c>
      <c r="L1586">
        <v>1</v>
      </c>
      <c r="M1586">
        <v>139</v>
      </c>
      <c r="N1586">
        <v>6</v>
      </c>
      <c r="O1586">
        <v>143.4</v>
      </c>
      <c r="P1586">
        <v>0</v>
      </c>
      <c r="Q1586">
        <v>0</v>
      </c>
      <c r="R1586">
        <v>0</v>
      </c>
      <c r="S1586">
        <v>0</v>
      </c>
      <c r="T1586">
        <v>0.1086</v>
      </c>
      <c r="U1586">
        <v>-0.88970000000000005</v>
      </c>
      <c r="V1586">
        <v>1.6999999999999999E-3</v>
      </c>
      <c r="W1586">
        <v>-1.3956</v>
      </c>
      <c r="X1586">
        <v>1.9899</v>
      </c>
      <c r="Y1586">
        <v>-1.2625</v>
      </c>
      <c r="Z1586">
        <v>6</v>
      </c>
      <c r="AA1586">
        <v>140</v>
      </c>
      <c r="AB1586">
        <v>6</v>
      </c>
      <c r="AC1586">
        <v>145.5</v>
      </c>
      <c r="AD1586">
        <v>0</v>
      </c>
      <c r="AE1586">
        <v>0</v>
      </c>
      <c r="AF1586">
        <v>116.2</v>
      </c>
      <c r="AG1586">
        <v>3</v>
      </c>
      <c r="AH1586">
        <v>0</v>
      </c>
    </row>
    <row r="1587" spans="1:34" x14ac:dyDescent="0.35">
      <c r="A1587" t="s">
        <v>34</v>
      </c>
      <c r="B1587" s="1">
        <v>46146.65625</v>
      </c>
      <c r="C1587" t="s">
        <v>34</v>
      </c>
      <c r="D1587" s="1">
        <v>46153.625</v>
      </c>
      <c r="E1587">
        <v>7345</v>
      </c>
      <c r="F1587" t="s">
        <v>36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1</v>
      </c>
      <c r="M1587">
        <v>143.30000000000001</v>
      </c>
      <c r="N1587">
        <v>6</v>
      </c>
      <c r="O1587">
        <v>148.1</v>
      </c>
      <c r="P1587">
        <v>0</v>
      </c>
      <c r="Q1587">
        <v>0</v>
      </c>
      <c r="R1587">
        <v>0</v>
      </c>
      <c r="S1587">
        <v>0</v>
      </c>
      <c r="T1587">
        <v>0.1085</v>
      </c>
      <c r="U1587">
        <v>-0.89810000000000001</v>
      </c>
      <c r="V1587">
        <v>1.6000000000000001E-3</v>
      </c>
      <c r="W1587">
        <v>-1.3083</v>
      </c>
      <c r="X1587">
        <v>1.887</v>
      </c>
      <c r="Y1587">
        <v>-1.2753000000000001</v>
      </c>
      <c r="Z1587">
        <v>6</v>
      </c>
      <c r="AA1587">
        <v>144.30000000000001</v>
      </c>
      <c r="AB1587">
        <v>6</v>
      </c>
      <c r="AC1587">
        <v>149.9</v>
      </c>
      <c r="AD1587">
        <v>0</v>
      </c>
      <c r="AE1587">
        <v>0</v>
      </c>
      <c r="AF1587">
        <v>0</v>
      </c>
      <c r="AG1587">
        <v>0</v>
      </c>
      <c r="AH1587">
        <v>0</v>
      </c>
    </row>
    <row r="1588" spans="1:34" x14ac:dyDescent="0.35">
      <c r="A1588" t="s">
        <v>34</v>
      </c>
      <c r="B1588" s="1">
        <v>46146.65625</v>
      </c>
      <c r="C1588" t="s">
        <v>34</v>
      </c>
      <c r="D1588" s="1">
        <v>46153.625</v>
      </c>
      <c r="E1588">
        <v>7350</v>
      </c>
      <c r="F1588" t="s">
        <v>36</v>
      </c>
      <c r="G1588">
        <v>120.9</v>
      </c>
      <c r="H1588">
        <v>169.6</v>
      </c>
      <c r="I1588">
        <v>120.9</v>
      </c>
      <c r="J1588">
        <v>152.47</v>
      </c>
      <c r="K1588">
        <v>11</v>
      </c>
      <c r="L1588">
        <v>1</v>
      </c>
      <c r="M1588">
        <v>147.5</v>
      </c>
      <c r="N1588">
        <v>6</v>
      </c>
      <c r="O1588">
        <v>152.5</v>
      </c>
      <c r="P1588">
        <v>0</v>
      </c>
      <c r="Q1588">
        <v>0</v>
      </c>
      <c r="R1588">
        <v>0</v>
      </c>
      <c r="S1588">
        <v>0</v>
      </c>
      <c r="T1588">
        <v>0.1071</v>
      </c>
      <c r="U1588">
        <v>-0.90869999999999995</v>
      </c>
      <c r="V1588">
        <v>1.5E-3</v>
      </c>
      <c r="W1588">
        <v>-1.1805000000000001</v>
      </c>
      <c r="X1588">
        <v>1.7517</v>
      </c>
      <c r="Y1588">
        <v>-1.2908999999999999</v>
      </c>
      <c r="Z1588">
        <v>6</v>
      </c>
      <c r="AA1588">
        <v>148.69999999999999</v>
      </c>
      <c r="AB1588">
        <v>6</v>
      </c>
      <c r="AC1588">
        <v>154.30000000000001</v>
      </c>
      <c r="AD1588">
        <v>0</v>
      </c>
      <c r="AE1588">
        <v>0</v>
      </c>
      <c r="AF1588">
        <v>145.9409</v>
      </c>
      <c r="AG1588">
        <v>0</v>
      </c>
      <c r="AH1588">
        <v>0</v>
      </c>
    </row>
    <row r="1589" spans="1:34" x14ac:dyDescent="0.35">
      <c r="A1589" t="s">
        <v>34</v>
      </c>
      <c r="B1589" s="1">
        <v>46146.65625</v>
      </c>
      <c r="C1589" t="s">
        <v>34</v>
      </c>
      <c r="D1589" s="1">
        <v>46153.625</v>
      </c>
      <c r="E1589">
        <v>7355</v>
      </c>
      <c r="F1589" t="s">
        <v>36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1</v>
      </c>
      <c r="M1589">
        <v>151.9</v>
      </c>
      <c r="N1589">
        <v>6</v>
      </c>
      <c r="O1589">
        <v>157.1</v>
      </c>
      <c r="P1589">
        <v>0</v>
      </c>
      <c r="Q1589">
        <v>0</v>
      </c>
      <c r="R1589">
        <v>0</v>
      </c>
      <c r="S1589">
        <v>0</v>
      </c>
      <c r="T1589">
        <v>0.1081</v>
      </c>
      <c r="U1589">
        <v>-0.91379999999999995</v>
      </c>
      <c r="V1589">
        <v>1.5E-3</v>
      </c>
      <c r="W1589">
        <v>-1.1361000000000001</v>
      </c>
      <c r="X1589">
        <v>1.6836</v>
      </c>
      <c r="Y1589">
        <v>-1.2988</v>
      </c>
      <c r="Z1589">
        <v>6</v>
      </c>
      <c r="AA1589">
        <v>153.19999999999999</v>
      </c>
      <c r="AB1589">
        <v>6</v>
      </c>
      <c r="AC1589">
        <v>158.9</v>
      </c>
      <c r="AD1589">
        <v>0</v>
      </c>
      <c r="AE1589">
        <v>0</v>
      </c>
      <c r="AF1589">
        <v>0</v>
      </c>
      <c r="AG1589">
        <v>0</v>
      </c>
      <c r="AH1589">
        <v>0</v>
      </c>
    </row>
    <row r="1590" spans="1:34" x14ac:dyDescent="0.35">
      <c r="A1590" t="s">
        <v>34</v>
      </c>
      <c r="B1590" s="1">
        <v>46146.65625</v>
      </c>
      <c r="C1590" t="s">
        <v>34</v>
      </c>
      <c r="D1590" s="1">
        <v>46153.625</v>
      </c>
      <c r="E1590">
        <v>7360</v>
      </c>
      <c r="F1590" t="s">
        <v>36</v>
      </c>
      <c r="G1590">
        <v>124.88</v>
      </c>
      <c r="H1590">
        <v>153.21</v>
      </c>
      <c r="I1590">
        <v>123.37</v>
      </c>
      <c r="J1590">
        <v>153.21</v>
      </c>
      <c r="K1590">
        <v>7</v>
      </c>
      <c r="L1590">
        <v>1</v>
      </c>
      <c r="M1590">
        <v>156.5</v>
      </c>
      <c r="N1590">
        <v>6</v>
      </c>
      <c r="O1590">
        <v>161.6</v>
      </c>
      <c r="P1590">
        <v>0</v>
      </c>
      <c r="Q1590">
        <v>0</v>
      </c>
      <c r="R1590">
        <v>0</v>
      </c>
      <c r="S1590">
        <v>0</v>
      </c>
      <c r="T1590">
        <v>0.1055</v>
      </c>
      <c r="U1590">
        <v>-0.92610000000000003</v>
      </c>
      <c r="V1590">
        <v>1.2999999999999999E-3</v>
      </c>
      <c r="W1590">
        <v>-0.97350000000000003</v>
      </c>
      <c r="X1590">
        <v>1.5149999999999999</v>
      </c>
      <c r="Y1590">
        <v>-1.3169</v>
      </c>
      <c r="Z1590">
        <v>6</v>
      </c>
      <c r="AA1590">
        <v>157.69999999999999</v>
      </c>
      <c r="AB1590">
        <v>6</v>
      </c>
      <c r="AC1590">
        <v>163.4</v>
      </c>
      <c r="AD1590">
        <v>0</v>
      </c>
      <c r="AE1590">
        <v>0</v>
      </c>
      <c r="AF1590">
        <v>132.1114</v>
      </c>
      <c r="AG1590">
        <v>0</v>
      </c>
      <c r="AH1590">
        <v>0</v>
      </c>
    </row>
    <row r="1591" spans="1:34" x14ac:dyDescent="0.35">
      <c r="A1591" t="s">
        <v>34</v>
      </c>
      <c r="B1591" s="1">
        <v>46146.65625</v>
      </c>
      <c r="C1591" t="s">
        <v>34</v>
      </c>
      <c r="D1591" s="1">
        <v>46153.625</v>
      </c>
      <c r="E1591">
        <v>7365</v>
      </c>
      <c r="F1591" t="s">
        <v>36</v>
      </c>
      <c r="G1591">
        <v>129.18</v>
      </c>
      <c r="H1591">
        <v>129.18</v>
      </c>
      <c r="I1591">
        <v>129.18</v>
      </c>
      <c r="J1591">
        <v>129.18</v>
      </c>
      <c r="K1591">
        <v>1</v>
      </c>
      <c r="L1591">
        <v>6</v>
      </c>
      <c r="M1591">
        <v>160.69999999999999</v>
      </c>
      <c r="N1591">
        <v>6</v>
      </c>
      <c r="O1591">
        <v>166.5</v>
      </c>
      <c r="P1591">
        <v>0</v>
      </c>
      <c r="Q1591">
        <v>0</v>
      </c>
      <c r="R1591">
        <v>0</v>
      </c>
      <c r="S1591">
        <v>0</v>
      </c>
      <c r="T1591">
        <v>0.1056</v>
      </c>
      <c r="U1591">
        <v>-0.93200000000000005</v>
      </c>
      <c r="V1591">
        <v>1.1999999999999999E-3</v>
      </c>
      <c r="W1591">
        <v>-0.90700000000000003</v>
      </c>
      <c r="X1591">
        <v>1.4277</v>
      </c>
      <c r="Y1591">
        <v>-1.3260000000000001</v>
      </c>
      <c r="Z1591">
        <v>6</v>
      </c>
      <c r="AA1591">
        <v>162.19999999999999</v>
      </c>
      <c r="AB1591">
        <v>6</v>
      </c>
      <c r="AC1591">
        <v>168.1</v>
      </c>
      <c r="AD1591">
        <v>0</v>
      </c>
      <c r="AE1591">
        <v>0</v>
      </c>
      <c r="AF1591">
        <v>129.18</v>
      </c>
      <c r="AG1591">
        <v>0</v>
      </c>
      <c r="AH1591">
        <v>0</v>
      </c>
    </row>
    <row r="1592" spans="1:34" x14ac:dyDescent="0.35">
      <c r="A1592" t="s">
        <v>34</v>
      </c>
      <c r="B1592" s="1">
        <v>46146.65625</v>
      </c>
      <c r="C1592" t="s">
        <v>34</v>
      </c>
      <c r="D1592" s="1">
        <v>46153.625</v>
      </c>
      <c r="E1592">
        <v>7370</v>
      </c>
      <c r="F1592" t="s">
        <v>36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6</v>
      </c>
      <c r="M1592">
        <v>165.1</v>
      </c>
      <c r="N1592">
        <v>6</v>
      </c>
      <c r="O1592">
        <v>170.9</v>
      </c>
      <c r="P1592">
        <v>0</v>
      </c>
      <c r="Q1592">
        <v>0</v>
      </c>
      <c r="R1592">
        <v>0</v>
      </c>
      <c r="S1592">
        <v>0</v>
      </c>
      <c r="T1592">
        <v>0.1055</v>
      </c>
      <c r="U1592">
        <v>-0.93779999999999997</v>
      </c>
      <c r="V1592">
        <v>1.1999999999999999E-3</v>
      </c>
      <c r="W1592">
        <v>-0.83919999999999995</v>
      </c>
      <c r="X1592">
        <v>1.3404</v>
      </c>
      <c r="Y1592">
        <v>-1.3348</v>
      </c>
      <c r="Z1592">
        <v>5</v>
      </c>
      <c r="AA1592">
        <v>167.2</v>
      </c>
      <c r="AB1592">
        <v>6</v>
      </c>
      <c r="AC1592">
        <v>172.7</v>
      </c>
      <c r="AD1592">
        <v>0</v>
      </c>
      <c r="AE1592">
        <v>0</v>
      </c>
      <c r="AF1592">
        <v>0</v>
      </c>
      <c r="AG1592">
        <v>0</v>
      </c>
      <c r="AH1592">
        <v>0</v>
      </c>
    </row>
    <row r="1593" spans="1:34" x14ac:dyDescent="0.35">
      <c r="A1593" t="s">
        <v>34</v>
      </c>
      <c r="B1593" s="1">
        <v>46146.65625</v>
      </c>
      <c r="C1593" t="s">
        <v>34</v>
      </c>
      <c r="D1593" s="1">
        <v>46153.625</v>
      </c>
      <c r="E1593">
        <v>7375</v>
      </c>
      <c r="F1593" t="s">
        <v>36</v>
      </c>
      <c r="G1593">
        <v>142.19999999999999</v>
      </c>
      <c r="H1593">
        <v>192.65</v>
      </c>
      <c r="I1593">
        <v>142.19999999999999</v>
      </c>
      <c r="J1593">
        <v>192.65</v>
      </c>
      <c r="K1593">
        <v>8</v>
      </c>
      <c r="L1593">
        <v>6</v>
      </c>
      <c r="M1593">
        <v>169.6</v>
      </c>
      <c r="N1593">
        <v>6</v>
      </c>
      <c r="O1593">
        <v>175.4</v>
      </c>
      <c r="P1593">
        <v>0</v>
      </c>
      <c r="Q1593">
        <v>0</v>
      </c>
      <c r="R1593">
        <v>0</v>
      </c>
      <c r="S1593">
        <v>0</v>
      </c>
      <c r="T1593">
        <v>9.9500000000000005E-2</v>
      </c>
      <c r="U1593">
        <v>-0.95389999999999997</v>
      </c>
      <c r="V1593">
        <v>1E-3</v>
      </c>
      <c r="W1593">
        <v>-0.60570000000000002</v>
      </c>
      <c r="X1593">
        <v>1.0852999999999999</v>
      </c>
      <c r="Y1593">
        <v>-1.3579000000000001</v>
      </c>
      <c r="Z1593">
        <v>6</v>
      </c>
      <c r="AA1593">
        <v>171.3</v>
      </c>
      <c r="AB1593">
        <v>6</v>
      </c>
      <c r="AC1593">
        <v>177.4</v>
      </c>
      <c r="AD1593">
        <v>0</v>
      </c>
      <c r="AE1593">
        <v>0</v>
      </c>
      <c r="AF1593">
        <v>167.07499999999999</v>
      </c>
      <c r="AG1593">
        <v>0</v>
      </c>
      <c r="AH1593">
        <v>0</v>
      </c>
    </row>
    <row r="1594" spans="1:34" x14ac:dyDescent="0.35">
      <c r="A1594" t="s">
        <v>34</v>
      </c>
      <c r="B1594" s="1">
        <v>46146.65625</v>
      </c>
      <c r="C1594" t="s">
        <v>34</v>
      </c>
      <c r="D1594" s="1">
        <v>46153.625</v>
      </c>
      <c r="E1594">
        <v>7380</v>
      </c>
      <c r="F1594" t="s">
        <v>36</v>
      </c>
      <c r="G1594">
        <v>171.41</v>
      </c>
      <c r="H1594">
        <v>171.41</v>
      </c>
      <c r="I1594">
        <v>171.41</v>
      </c>
      <c r="J1594">
        <v>171.41</v>
      </c>
      <c r="K1594">
        <v>2</v>
      </c>
      <c r="L1594">
        <v>6</v>
      </c>
      <c r="M1594">
        <v>174.7</v>
      </c>
      <c r="N1594">
        <v>6</v>
      </c>
      <c r="O1594">
        <v>180.3</v>
      </c>
      <c r="P1594">
        <v>0</v>
      </c>
      <c r="Q1594">
        <v>0</v>
      </c>
      <c r="R1594">
        <v>0</v>
      </c>
      <c r="S1594">
        <v>0</v>
      </c>
      <c r="T1594">
        <v>0.10299999999999999</v>
      </c>
      <c r="U1594">
        <v>-0.95279999999999998</v>
      </c>
      <c r="V1594">
        <v>1E-3</v>
      </c>
      <c r="W1594">
        <v>-0.63980000000000004</v>
      </c>
      <c r="X1594">
        <v>1.0991</v>
      </c>
      <c r="Y1594">
        <v>-1.3575999999999999</v>
      </c>
      <c r="Z1594">
        <v>6</v>
      </c>
      <c r="AA1594">
        <v>176.3</v>
      </c>
      <c r="AB1594">
        <v>6</v>
      </c>
      <c r="AC1594">
        <v>182.2</v>
      </c>
      <c r="AD1594">
        <v>0</v>
      </c>
      <c r="AE1594">
        <v>0</v>
      </c>
      <c r="AF1594">
        <v>171.41</v>
      </c>
      <c r="AG1594">
        <v>0</v>
      </c>
      <c r="AH1594">
        <v>0</v>
      </c>
    </row>
    <row r="1595" spans="1:34" x14ac:dyDescent="0.35">
      <c r="A1595" t="s">
        <v>34</v>
      </c>
      <c r="B1595" s="1">
        <v>46146.65625</v>
      </c>
      <c r="C1595" t="s">
        <v>34</v>
      </c>
      <c r="D1595" s="1">
        <v>46153.625</v>
      </c>
      <c r="E1595">
        <v>7390</v>
      </c>
      <c r="F1595" t="s">
        <v>36</v>
      </c>
      <c r="G1595">
        <v>153.13</v>
      </c>
      <c r="H1595">
        <v>153.13</v>
      </c>
      <c r="I1595">
        <v>153.13</v>
      </c>
      <c r="J1595">
        <v>153.13</v>
      </c>
      <c r="K1595">
        <v>2</v>
      </c>
      <c r="L1595">
        <v>6</v>
      </c>
      <c r="M1595">
        <v>183.9</v>
      </c>
      <c r="N1595">
        <v>6</v>
      </c>
      <c r="O1595">
        <v>189.8</v>
      </c>
      <c r="P1595">
        <v>0</v>
      </c>
      <c r="Q1595">
        <v>0</v>
      </c>
      <c r="R1595">
        <v>0</v>
      </c>
      <c r="S1595">
        <v>0</v>
      </c>
      <c r="T1595">
        <v>0.10100000000000001</v>
      </c>
      <c r="U1595">
        <v>-0.96430000000000005</v>
      </c>
      <c r="V1595">
        <v>8.0000000000000004E-4</v>
      </c>
      <c r="W1595">
        <v>-0.4854</v>
      </c>
      <c r="X1595">
        <v>0.89629999999999999</v>
      </c>
      <c r="Y1595">
        <v>-1.3753</v>
      </c>
      <c r="Z1595">
        <v>6</v>
      </c>
      <c r="AA1595">
        <v>185.8</v>
      </c>
      <c r="AB1595">
        <v>6</v>
      </c>
      <c r="AC1595">
        <v>191.8</v>
      </c>
      <c r="AD1595">
        <v>0</v>
      </c>
      <c r="AE1595">
        <v>0</v>
      </c>
      <c r="AF1595">
        <v>153.13</v>
      </c>
      <c r="AG1595">
        <v>0</v>
      </c>
      <c r="AH1595">
        <v>0</v>
      </c>
    </row>
    <row r="1596" spans="1:34" x14ac:dyDescent="0.35">
      <c r="A1596" t="s">
        <v>34</v>
      </c>
      <c r="B1596" s="1">
        <v>46146.65625</v>
      </c>
      <c r="C1596" t="s">
        <v>34</v>
      </c>
      <c r="D1596" s="1">
        <v>46153.625</v>
      </c>
      <c r="E1596">
        <v>7400</v>
      </c>
      <c r="F1596" t="s">
        <v>36</v>
      </c>
      <c r="G1596">
        <v>162.27000000000001</v>
      </c>
      <c r="H1596">
        <v>194.15</v>
      </c>
      <c r="I1596">
        <v>162.27000000000001</v>
      </c>
      <c r="J1596">
        <v>194.15</v>
      </c>
      <c r="K1596">
        <v>3</v>
      </c>
      <c r="L1596">
        <v>6</v>
      </c>
      <c r="M1596">
        <v>193.9</v>
      </c>
      <c r="N1596">
        <v>6</v>
      </c>
      <c r="O1596">
        <v>199.5</v>
      </c>
      <c r="P1596">
        <v>0</v>
      </c>
      <c r="Q1596">
        <v>0</v>
      </c>
      <c r="R1596">
        <v>0</v>
      </c>
      <c r="S1596">
        <v>0</v>
      </c>
      <c r="T1596">
        <v>0.1027</v>
      </c>
      <c r="U1596">
        <v>-0.96909999999999996</v>
      </c>
      <c r="V1596">
        <v>6.9999999999999999E-4</v>
      </c>
      <c r="W1596">
        <v>-0.43020000000000003</v>
      </c>
      <c r="X1596">
        <v>0.80149999999999999</v>
      </c>
      <c r="Y1596">
        <v>-1.3841000000000001</v>
      </c>
      <c r="Z1596">
        <v>6</v>
      </c>
      <c r="AA1596">
        <v>195.4</v>
      </c>
      <c r="AB1596">
        <v>6</v>
      </c>
      <c r="AC1596">
        <v>201.5</v>
      </c>
      <c r="AD1596">
        <v>0</v>
      </c>
      <c r="AE1596">
        <v>0</v>
      </c>
      <c r="AF1596">
        <v>172.89670000000001</v>
      </c>
      <c r="AG1596">
        <v>7</v>
      </c>
      <c r="AH1596">
        <v>0</v>
      </c>
    </row>
    <row r="1597" spans="1:34" x14ac:dyDescent="0.35">
      <c r="A1597" t="s">
        <v>34</v>
      </c>
      <c r="B1597" s="1">
        <v>46146.65625</v>
      </c>
      <c r="C1597" t="s">
        <v>34</v>
      </c>
      <c r="D1597" s="1">
        <v>46153.625</v>
      </c>
      <c r="E1597">
        <v>7410</v>
      </c>
      <c r="F1597" t="s">
        <v>36</v>
      </c>
      <c r="G1597">
        <v>168.02</v>
      </c>
      <c r="H1597">
        <v>168.02</v>
      </c>
      <c r="I1597">
        <v>168.02</v>
      </c>
      <c r="J1597">
        <v>168.02</v>
      </c>
      <c r="K1597">
        <v>2</v>
      </c>
      <c r="L1597">
        <v>1</v>
      </c>
      <c r="M1597">
        <v>200.1</v>
      </c>
      <c r="N1597">
        <v>2</v>
      </c>
      <c r="O1597">
        <v>212.6</v>
      </c>
      <c r="P1597">
        <v>0</v>
      </c>
      <c r="Q1597">
        <v>0</v>
      </c>
      <c r="R1597">
        <v>0</v>
      </c>
      <c r="S1597">
        <v>0</v>
      </c>
      <c r="T1597">
        <v>0.1048</v>
      </c>
      <c r="U1597">
        <v>-0.97260000000000002</v>
      </c>
      <c r="V1597">
        <v>5.9999999999999995E-4</v>
      </c>
      <c r="W1597">
        <v>-0.39079999999999998</v>
      </c>
      <c r="X1597">
        <v>0.7288</v>
      </c>
      <c r="Y1597">
        <v>-1.391</v>
      </c>
      <c r="Z1597">
        <v>4</v>
      </c>
      <c r="AA1597">
        <v>200.2</v>
      </c>
      <c r="AB1597">
        <v>3</v>
      </c>
      <c r="AC1597">
        <v>216</v>
      </c>
      <c r="AD1597">
        <v>0</v>
      </c>
      <c r="AE1597">
        <v>0</v>
      </c>
      <c r="AF1597">
        <v>168.02</v>
      </c>
      <c r="AG1597">
        <v>1</v>
      </c>
      <c r="AH1597">
        <v>0</v>
      </c>
    </row>
    <row r="1598" spans="1:34" x14ac:dyDescent="0.35">
      <c r="A1598" t="s">
        <v>34</v>
      </c>
      <c r="B1598" s="1">
        <v>46146.65625</v>
      </c>
      <c r="C1598" t="s">
        <v>34</v>
      </c>
      <c r="D1598" s="1">
        <v>46153.625</v>
      </c>
      <c r="E1598">
        <v>7420</v>
      </c>
      <c r="F1598" t="s">
        <v>36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1</v>
      </c>
      <c r="M1598">
        <v>209.9</v>
      </c>
      <c r="N1598">
        <v>1</v>
      </c>
      <c r="O1598">
        <v>222.9</v>
      </c>
      <c r="P1598">
        <v>0</v>
      </c>
      <c r="Q1598">
        <v>0</v>
      </c>
      <c r="R1598">
        <v>0</v>
      </c>
      <c r="S1598">
        <v>0</v>
      </c>
      <c r="T1598">
        <v>0.1069</v>
      </c>
      <c r="U1598">
        <v>-0.9758</v>
      </c>
      <c r="V1598">
        <v>5.0000000000000001E-4</v>
      </c>
      <c r="W1598">
        <v>-0.35260000000000002</v>
      </c>
      <c r="X1598">
        <v>0.65980000000000005</v>
      </c>
      <c r="Y1598">
        <v>-1.3976999999999999</v>
      </c>
      <c r="Z1598">
        <v>1</v>
      </c>
      <c r="AA1598">
        <v>208.6</v>
      </c>
      <c r="AB1598">
        <v>1</v>
      </c>
      <c r="AC1598">
        <v>231.2</v>
      </c>
      <c r="AD1598">
        <v>0</v>
      </c>
      <c r="AE1598">
        <v>0</v>
      </c>
      <c r="AF1598">
        <v>0</v>
      </c>
      <c r="AG1598">
        <v>0</v>
      </c>
      <c r="AH1598">
        <v>0</v>
      </c>
    </row>
    <row r="1599" spans="1:34" x14ac:dyDescent="0.35">
      <c r="A1599" t="s">
        <v>34</v>
      </c>
      <c r="B1599" s="1">
        <v>46146.65625</v>
      </c>
      <c r="C1599" t="s">
        <v>34</v>
      </c>
      <c r="D1599" s="1">
        <v>46153.625</v>
      </c>
      <c r="E1599">
        <v>7425</v>
      </c>
      <c r="F1599" t="s">
        <v>36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1</v>
      </c>
      <c r="M1599">
        <v>210.8</v>
      </c>
      <c r="N1599">
        <v>1</v>
      </c>
      <c r="O1599">
        <v>230.8</v>
      </c>
      <c r="P1599">
        <v>0</v>
      </c>
      <c r="Q1599">
        <v>0</v>
      </c>
      <c r="R1599">
        <v>0</v>
      </c>
      <c r="S1599">
        <v>0</v>
      </c>
      <c r="T1599">
        <v>0.1018</v>
      </c>
      <c r="U1599">
        <v>-0.98299999999999998</v>
      </c>
      <c r="V1599">
        <v>4.0000000000000002E-4</v>
      </c>
      <c r="W1599">
        <v>-0.23480000000000001</v>
      </c>
      <c r="X1599">
        <v>0.50629999999999997</v>
      </c>
      <c r="Y1599">
        <v>-1.4085000000000001</v>
      </c>
      <c r="Z1599">
        <v>3</v>
      </c>
      <c r="AA1599">
        <v>212.2</v>
      </c>
      <c r="AB1599">
        <v>1</v>
      </c>
      <c r="AC1599">
        <v>230.8</v>
      </c>
      <c r="AD1599">
        <v>0</v>
      </c>
      <c r="AE1599">
        <v>0</v>
      </c>
      <c r="AF1599">
        <v>0</v>
      </c>
      <c r="AG1599">
        <v>10</v>
      </c>
      <c r="AH1599">
        <v>0</v>
      </c>
    </row>
    <row r="1600" spans="1:34" x14ac:dyDescent="0.35">
      <c r="A1600" t="s">
        <v>34</v>
      </c>
      <c r="B1600" s="1">
        <v>46146.65625</v>
      </c>
      <c r="C1600" t="s">
        <v>34</v>
      </c>
      <c r="D1600" s="1">
        <v>46153.625</v>
      </c>
      <c r="E1600">
        <v>7430</v>
      </c>
      <c r="F1600" t="s">
        <v>36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1</v>
      </c>
      <c r="M1600">
        <v>216.4</v>
      </c>
      <c r="N1600">
        <v>1</v>
      </c>
      <c r="O1600">
        <v>235</v>
      </c>
      <c r="P1600">
        <v>0</v>
      </c>
      <c r="Q1600">
        <v>0</v>
      </c>
      <c r="R1600">
        <v>0</v>
      </c>
      <c r="S1600">
        <v>0</v>
      </c>
      <c r="T1600">
        <v>0.1012</v>
      </c>
      <c r="U1600">
        <v>-0.98540000000000005</v>
      </c>
      <c r="V1600">
        <v>4.0000000000000002E-4</v>
      </c>
      <c r="W1600">
        <v>-0.19889999999999999</v>
      </c>
      <c r="X1600">
        <v>0.4501</v>
      </c>
      <c r="Y1600">
        <v>-1.4128000000000001</v>
      </c>
      <c r="Z1600">
        <v>1</v>
      </c>
      <c r="AA1600">
        <v>218.2</v>
      </c>
      <c r="AB1600">
        <v>1</v>
      </c>
      <c r="AC1600">
        <v>241</v>
      </c>
      <c r="AD1600">
        <v>0</v>
      </c>
      <c r="AE1600">
        <v>0</v>
      </c>
      <c r="AF1600">
        <v>0</v>
      </c>
      <c r="AG1600">
        <v>0</v>
      </c>
      <c r="AH1600">
        <v>0</v>
      </c>
    </row>
    <row r="1601" spans="1:34" x14ac:dyDescent="0.35">
      <c r="A1601" t="s">
        <v>34</v>
      </c>
      <c r="B1601" s="1">
        <v>46146.65625</v>
      </c>
      <c r="C1601" t="s">
        <v>34</v>
      </c>
      <c r="D1601" s="1">
        <v>46153.625</v>
      </c>
      <c r="E1601">
        <v>7440</v>
      </c>
      <c r="F1601" t="s">
        <v>36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1</v>
      </c>
      <c r="M1601">
        <v>225.5</v>
      </c>
      <c r="N1601">
        <v>1</v>
      </c>
      <c r="O1601">
        <v>245.4</v>
      </c>
      <c r="P1601">
        <v>0</v>
      </c>
      <c r="Q1601">
        <v>0</v>
      </c>
      <c r="R1601">
        <v>0</v>
      </c>
      <c r="S1601">
        <v>0</v>
      </c>
      <c r="T1601">
        <v>0.18679999999999999</v>
      </c>
      <c r="U1601">
        <v>-0.88959999999999995</v>
      </c>
      <c r="V1601">
        <v>1E-3</v>
      </c>
      <c r="W1601">
        <v>-2.3992</v>
      </c>
      <c r="X1601">
        <v>1.9406000000000001</v>
      </c>
      <c r="Y1601">
        <v>-1.2861</v>
      </c>
      <c r="Z1601">
        <v>2</v>
      </c>
      <c r="AA1601">
        <v>227.1</v>
      </c>
      <c r="AB1601">
        <v>1</v>
      </c>
      <c r="AC1601">
        <v>246.3</v>
      </c>
      <c r="AD1601">
        <v>0</v>
      </c>
      <c r="AE1601">
        <v>0</v>
      </c>
      <c r="AF1601">
        <v>0</v>
      </c>
      <c r="AG1601">
        <v>0</v>
      </c>
      <c r="AH1601">
        <v>0</v>
      </c>
    </row>
    <row r="1602" spans="1:34" x14ac:dyDescent="0.35">
      <c r="A1602" t="s">
        <v>34</v>
      </c>
      <c r="B1602" s="1">
        <v>46146.65625</v>
      </c>
      <c r="C1602" t="s">
        <v>34</v>
      </c>
      <c r="D1602" s="1">
        <v>46153.625</v>
      </c>
      <c r="E1602">
        <v>7450</v>
      </c>
      <c r="F1602" t="s">
        <v>36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1</v>
      </c>
      <c r="M1602">
        <v>236.2</v>
      </c>
      <c r="N1602">
        <v>1</v>
      </c>
      <c r="O1602">
        <v>255.2</v>
      </c>
      <c r="P1602">
        <v>0</v>
      </c>
      <c r="Q1602">
        <v>0</v>
      </c>
      <c r="R1602">
        <v>0</v>
      </c>
      <c r="S1602">
        <v>0</v>
      </c>
      <c r="T1602">
        <v>0.10929999999999999</v>
      </c>
      <c r="U1602">
        <v>-0.9859</v>
      </c>
      <c r="V1602">
        <v>2.9999999999999997E-4</v>
      </c>
      <c r="W1602">
        <v>-0.20549999999999999</v>
      </c>
      <c r="X1602">
        <v>0.4294</v>
      </c>
      <c r="Y1602">
        <v>-1.4180999999999999</v>
      </c>
      <c r="Z1602">
        <v>3</v>
      </c>
      <c r="AA1602">
        <v>237</v>
      </c>
      <c r="AB1602">
        <v>1</v>
      </c>
      <c r="AC1602">
        <v>255.6</v>
      </c>
      <c r="AD1602">
        <v>0</v>
      </c>
      <c r="AE1602">
        <v>0</v>
      </c>
      <c r="AF1602">
        <v>0</v>
      </c>
      <c r="AG1602">
        <v>0</v>
      </c>
      <c r="AH1602">
        <v>0</v>
      </c>
    </row>
    <row r="1603" spans="1:34" x14ac:dyDescent="0.35">
      <c r="A1603" t="s">
        <v>34</v>
      </c>
      <c r="B1603" s="1">
        <v>46146.65625</v>
      </c>
      <c r="C1603" t="s">
        <v>34</v>
      </c>
      <c r="D1603" s="1">
        <v>46153.625</v>
      </c>
      <c r="E1603">
        <v>7475</v>
      </c>
      <c r="F1603" t="s">
        <v>36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1</v>
      </c>
      <c r="M1603">
        <v>260.60000000000002</v>
      </c>
      <c r="N1603">
        <v>1</v>
      </c>
      <c r="O1603">
        <v>280.10000000000002</v>
      </c>
      <c r="P1603">
        <v>0</v>
      </c>
      <c r="Q1603">
        <v>0</v>
      </c>
      <c r="R1603">
        <v>0</v>
      </c>
      <c r="S1603">
        <v>0</v>
      </c>
      <c r="T1603">
        <v>0.1047</v>
      </c>
      <c r="U1603">
        <v>-0.99419999999999997</v>
      </c>
      <c r="V1603">
        <v>2.0000000000000001E-4</v>
      </c>
      <c r="W1603">
        <v>-6.5799999999999997E-2</v>
      </c>
      <c r="X1603">
        <v>0.21240000000000001</v>
      </c>
      <c r="Y1603">
        <v>-1.4347000000000001</v>
      </c>
      <c r="Z1603">
        <v>1</v>
      </c>
      <c r="AA1603">
        <v>262.3</v>
      </c>
      <c r="AB1603">
        <v>1</v>
      </c>
      <c r="AC1603">
        <v>280.39999999999998</v>
      </c>
      <c r="AD1603">
        <v>0</v>
      </c>
      <c r="AE1603">
        <v>0</v>
      </c>
      <c r="AF1603">
        <v>0</v>
      </c>
      <c r="AG1603">
        <v>0</v>
      </c>
      <c r="AH1603">
        <v>0</v>
      </c>
    </row>
    <row r="1604" spans="1:34" x14ac:dyDescent="0.35">
      <c r="A1604" t="s">
        <v>34</v>
      </c>
      <c r="B1604" s="1">
        <v>46146.65625</v>
      </c>
      <c r="C1604" t="s">
        <v>34</v>
      </c>
      <c r="D1604" s="1">
        <v>46153.625</v>
      </c>
      <c r="E1604">
        <v>7500</v>
      </c>
      <c r="F1604" t="s">
        <v>36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1</v>
      </c>
      <c r="M1604">
        <v>285.10000000000002</v>
      </c>
      <c r="N1604">
        <v>1</v>
      </c>
      <c r="O1604">
        <v>305.3</v>
      </c>
      <c r="P1604">
        <v>0</v>
      </c>
      <c r="Q1604">
        <v>0</v>
      </c>
      <c r="R1604">
        <v>0</v>
      </c>
      <c r="S1604">
        <v>0</v>
      </c>
      <c r="T1604">
        <v>0.2205</v>
      </c>
      <c r="U1604">
        <v>-0.90200000000000002</v>
      </c>
      <c r="V1604">
        <v>8.0000000000000004E-4</v>
      </c>
      <c r="W1604">
        <v>-2.5712000000000002</v>
      </c>
      <c r="X1604">
        <v>1.7723</v>
      </c>
      <c r="Y1604">
        <v>-1.3166</v>
      </c>
      <c r="Z1604">
        <v>1</v>
      </c>
      <c r="AA1604">
        <v>287.3</v>
      </c>
      <c r="AB1604">
        <v>1</v>
      </c>
      <c r="AC1604">
        <v>305.3</v>
      </c>
      <c r="AD1604">
        <v>0</v>
      </c>
      <c r="AE1604">
        <v>0</v>
      </c>
      <c r="AF1604">
        <v>0</v>
      </c>
      <c r="AG1604">
        <v>3</v>
      </c>
      <c r="AH1604">
        <v>0</v>
      </c>
    </row>
    <row r="1605" spans="1:34" x14ac:dyDescent="0.35">
      <c r="A1605" t="s">
        <v>34</v>
      </c>
      <c r="B1605" s="1">
        <v>46146.65625</v>
      </c>
      <c r="C1605" t="s">
        <v>34</v>
      </c>
      <c r="D1605" s="1">
        <v>46153.625</v>
      </c>
      <c r="E1605">
        <v>7525</v>
      </c>
      <c r="F1605" t="s">
        <v>36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1</v>
      </c>
      <c r="M1605">
        <v>311</v>
      </c>
      <c r="N1605">
        <v>1</v>
      </c>
      <c r="O1605">
        <v>330</v>
      </c>
      <c r="P1605">
        <v>0</v>
      </c>
      <c r="Q1605">
        <v>0</v>
      </c>
      <c r="R1605">
        <v>0</v>
      </c>
      <c r="S1605">
        <v>0</v>
      </c>
      <c r="T1605">
        <v>0.13159999999999999</v>
      </c>
      <c r="U1605">
        <v>-0.99109999999999998</v>
      </c>
      <c r="V1605">
        <v>2.0000000000000001E-4</v>
      </c>
      <c r="W1605">
        <v>-0.14710000000000001</v>
      </c>
      <c r="X1605">
        <v>0.28699999999999998</v>
      </c>
      <c r="Y1605">
        <v>-1.4417</v>
      </c>
      <c r="Z1605">
        <v>3</v>
      </c>
      <c r="AA1605">
        <v>311.7</v>
      </c>
      <c r="AB1605">
        <v>1</v>
      </c>
      <c r="AC1605">
        <v>330.3</v>
      </c>
      <c r="AD1605">
        <v>0</v>
      </c>
      <c r="AE1605">
        <v>0</v>
      </c>
      <c r="AF1605">
        <v>0</v>
      </c>
      <c r="AG1605">
        <v>0</v>
      </c>
      <c r="AH1605">
        <v>0</v>
      </c>
    </row>
    <row r="1606" spans="1:34" x14ac:dyDescent="0.35">
      <c r="A1606" t="s">
        <v>34</v>
      </c>
      <c r="B1606" s="1">
        <v>46146.65625</v>
      </c>
      <c r="C1606" t="s">
        <v>34</v>
      </c>
      <c r="D1606" s="1">
        <v>46153.625</v>
      </c>
      <c r="E1606">
        <v>7550</v>
      </c>
      <c r="F1606" t="s">
        <v>36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335.7</v>
      </c>
      <c r="N1606">
        <v>1</v>
      </c>
      <c r="O1606">
        <v>355</v>
      </c>
      <c r="P1606">
        <v>0</v>
      </c>
      <c r="Q1606">
        <v>0</v>
      </c>
      <c r="R1606">
        <v>0</v>
      </c>
      <c r="S1606">
        <v>0</v>
      </c>
      <c r="T1606">
        <v>0.13350000000000001</v>
      </c>
      <c r="U1606">
        <v>-0.99399999999999999</v>
      </c>
      <c r="V1606">
        <v>1E-4</v>
      </c>
      <c r="W1606">
        <v>-8.7599999999999997E-2</v>
      </c>
      <c r="X1606">
        <v>0.2051</v>
      </c>
      <c r="Y1606">
        <v>-1.4513</v>
      </c>
      <c r="Z1606">
        <v>3</v>
      </c>
      <c r="AA1606">
        <v>336.7</v>
      </c>
      <c r="AB1606">
        <v>1</v>
      </c>
      <c r="AC1606">
        <v>355.3</v>
      </c>
      <c r="AD1606">
        <v>0</v>
      </c>
      <c r="AE1606">
        <v>0</v>
      </c>
      <c r="AF1606">
        <v>0</v>
      </c>
      <c r="AG1606">
        <v>0</v>
      </c>
      <c r="AH1606">
        <v>0</v>
      </c>
    </row>
    <row r="1607" spans="1:34" x14ac:dyDescent="0.35">
      <c r="A1607" t="s">
        <v>34</v>
      </c>
      <c r="B1607" s="1">
        <v>46146.65625</v>
      </c>
      <c r="C1607" t="s">
        <v>34</v>
      </c>
      <c r="D1607" s="1">
        <v>46153.625</v>
      </c>
      <c r="E1607">
        <v>7575</v>
      </c>
      <c r="F1607" t="s">
        <v>36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360.9</v>
      </c>
      <c r="N1607">
        <v>1</v>
      </c>
      <c r="O1607">
        <v>379.9</v>
      </c>
      <c r="P1607">
        <v>0</v>
      </c>
      <c r="Q1607">
        <v>0</v>
      </c>
      <c r="R1607">
        <v>0</v>
      </c>
      <c r="S1607">
        <v>0</v>
      </c>
      <c r="T1607">
        <v>0.1459</v>
      </c>
      <c r="U1607">
        <v>-0.99309999999999998</v>
      </c>
      <c r="V1607">
        <v>1E-4</v>
      </c>
      <c r="W1607">
        <v>-0.1177</v>
      </c>
      <c r="X1607">
        <v>0.22789999999999999</v>
      </c>
      <c r="Y1607">
        <v>-1.4556</v>
      </c>
      <c r="Z1607">
        <v>1</v>
      </c>
      <c r="AA1607">
        <v>361.7</v>
      </c>
      <c r="AB1607">
        <v>1</v>
      </c>
      <c r="AC1607">
        <v>380.3</v>
      </c>
      <c r="AD1607">
        <v>0</v>
      </c>
      <c r="AE1607">
        <v>0</v>
      </c>
      <c r="AF1607">
        <v>0</v>
      </c>
      <c r="AG1607">
        <v>0</v>
      </c>
      <c r="AH1607">
        <v>0</v>
      </c>
    </row>
    <row r="1608" spans="1:34" x14ac:dyDescent="0.35">
      <c r="A1608" t="s">
        <v>34</v>
      </c>
      <c r="B1608" s="1">
        <v>46146.65625</v>
      </c>
      <c r="C1608" t="s">
        <v>34</v>
      </c>
      <c r="D1608" s="1">
        <v>46153.625</v>
      </c>
      <c r="E1608">
        <v>7600</v>
      </c>
      <c r="F1608" t="s">
        <v>36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385</v>
      </c>
      <c r="N1608">
        <v>1</v>
      </c>
      <c r="O1608">
        <v>404.1</v>
      </c>
      <c r="P1608">
        <v>0</v>
      </c>
      <c r="Q1608">
        <v>0</v>
      </c>
      <c r="R1608">
        <v>0</v>
      </c>
      <c r="S1608">
        <v>0</v>
      </c>
      <c r="T1608">
        <v>0.26700000000000002</v>
      </c>
      <c r="U1608">
        <v>-0.92169999999999996</v>
      </c>
      <c r="V1608">
        <v>5.9999999999999995E-4</v>
      </c>
      <c r="W1608">
        <v>-2.5842999999999998</v>
      </c>
      <c r="X1608">
        <v>1.498</v>
      </c>
      <c r="Y1608">
        <v>-1.3657999999999999</v>
      </c>
      <c r="Z1608">
        <v>1</v>
      </c>
      <c r="AA1608">
        <v>387.3</v>
      </c>
      <c r="AB1608">
        <v>3</v>
      </c>
      <c r="AC1608">
        <v>410.6</v>
      </c>
      <c r="AD1608">
        <v>0</v>
      </c>
      <c r="AE1608">
        <v>0</v>
      </c>
      <c r="AF1608">
        <v>0</v>
      </c>
      <c r="AG1608">
        <v>0</v>
      </c>
      <c r="AH1608">
        <v>0</v>
      </c>
    </row>
    <row r="1609" spans="1:34" x14ac:dyDescent="0.35">
      <c r="A1609" t="s">
        <v>34</v>
      </c>
      <c r="B1609" s="1">
        <v>46146.65625</v>
      </c>
      <c r="C1609" t="s">
        <v>34</v>
      </c>
      <c r="D1609" s="1">
        <v>46153.625</v>
      </c>
      <c r="E1609">
        <v>7625</v>
      </c>
      <c r="F1609" t="s">
        <v>36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1</v>
      </c>
      <c r="M1609">
        <v>410.7</v>
      </c>
      <c r="N1609">
        <v>1</v>
      </c>
      <c r="O1609">
        <v>430.2</v>
      </c>
      <c r="P1609">
        <v>0</v>
      </c>
      <c r="Q1609">
        <v>0</v>
      </c>
      <c r="R1609">
        <v>0</v>
      </c>
      <c r="S1609">
        <v>0</v>
      </c>
      <c r="T1609">
        <v>0.16750000000000001</v>
      </c>
      <c r="U1609">
        <v>-0.99229999999999996</v>
      </c>
      <c r="V1609">
        <v>1E-4</v>
      </c>
      <c r="W1609">
        <v>-0.15459999999999999</v>
      </c>
      <c r="X1609">
        <v>0.24229999999999999</v>
      </c>
      <c r="Y1609">
        <v>-1.4657</v>
      </c>
      <c r="Z1609">
        <v>3</v>
      </c>
      <c r="AA1609">
        <v>411.6</v>
      </c>
      <c r="AB1609">
        <v>1</v>
      </c>
      <c r="AC1609">
        <v>430.2</v>
      </c>
      <c r="AD1609">
        <v>0</v>
      </c>
      <c r="AE1609">
        <v>0</v>
      </c>
      <c r="AF1609">
        <v>0</v>
      </c>
      <c r="AG1609">
        <v>0</v>
      </c>
      <c r="AH1609">
        <v>0</v>
      </c>
    </row>
    <row r="1610" spans="1:34" x14ac:dyDescent="0.35">
      <c r="A1610" t="s">
        <v>34</v>
      </c>
      <c r="B1610" s="1">
        <v>46146.65625</v>
      </c>
      <c r="C1610" t="s">
        <v>34</v>
      </c>
      <c r="D1610" s="1">
        <v>46153.625</v>
      </c>
      <c r="E1610">
        <v>7650</v>
      </c>
      <c r="F1610" t="s">
        <v>36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435</v>
      </c>
      <c r="N1610">
        <v>1</v>
      </c>
      <c r="O1610">
        <v>454.5</v>
      </c>
      <c r="P1610">
        <v>0</v>
      </c>
      <c r="Q1610">
        <v>0</v>
      </c>
      <c r="R1610">
        <v>0</v>
      </c>
      <c r="S1610">
        <v>0</v>
      </c>
      <c r="T1610">
        <v>0.29459999999999997</v>
      </c>
      <c r="U1610">
        <v>-0.92510000000000003</v>
      </c>
      <c r="V1610">
        <v>5.0000000000000001E-4</v>
      </c>
      <c r="W1610">
        <v>-2.7431999999999999</v>
      </c>
      <c r="X1610">
        <v>1.4431</v>
      </c>
      <c r="Y1610">
        <v>-1.3816999999999999</v>
      </c>
      <c r="Z1610">
        <v>1</v>
      </c>
      <c r="AA1610">
        <v>438</v>
      </c>
      <c r="AB1610">
        <v>1</v>
      </c>
      <c r="AC1610">
        <v>460.5</v>
      </c>
      <c r="AD1610">
        <v>0</v>
      </c>
      <c r="AE1610">
        <v>0</v>
      </c>
      <c r="AF1610">
        <v>0</v>
      </c>
      <c r="AG1610">
        <v>0</v>
      </c>
      <c r="AH1610">
        <v>0</v>
      </c>
    </row>
    <row r="1611" spans="1:34" x14ac:dyDescent="0.35">
      <c r="A1611" t="s">
        <v>34</v>
      </c>
      <c r="B1611" s="1">
        <v>46146.65625</v>
      </c>
      <c r="C1611" t="s">
        <v>34</v>
      </c>
      <c r="D1611" s="1">
        <v>46153.625</v>
      </c>
      <c r="E1611">
        <v>7675</v>
      </c>
      <c r="F1611" t="s">
        <v>36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1</v>
      </c>
      <c r="M1611">
        <v>460.9</v>
      </c>
      <c r="N1611">
        <v>1</v>
      </c>
      <c r="O1611">
        <v>479.9</v>
      </c>
      <c r="P1611">
        <v>0</v>
      </c>
      <c r="Q1611">
        <v>0</v>
      </c>
      <c r="R1611">
        <v>0</v>
      </c>
      <c r="S1611">
        <v>0</v>
      </c>
      <c r="T1611">
        <v>0.18379999999999999</v>
      </c>
      <c r="U1611">
        <v>-0.99309999999999998</v>
      </c>
      <c r="V1611">
        <v>1E-4</v>
      </c>
      <c r="W1611">
        <v>-0.14680000000000001</v>
      </c>
      <c r="X1611">
        <v>0.21779999999999999</v>
      </c>
      <c r="Y1611">
        <v>-1.478</v>
      </c>
      <c r="Z1611">
        <v>3</v>
      </c>
      <c r="AA1611">
        <v>461.5</v>
      </c>
      <c r="AB1611">
        <v>1</v>
      </c>
      <c r="AC1611">
        <v>480.1</v>
      </c>
      <c r="AD1611">
        <v>0</v>
      </c>
      <c r="AE1611">
        <v>0</v>
      </c>
      <c r="AF1611">
        <v>0</v>
      </c>
      <c r="AG1611">
        <v>0</v>
      </c>
      <c r="AH1611">
        <v>0</v>
      </c>
    </row>
    <row r="1612" spans="1:34" x14ac:dyDescent="0.35">
      <c r="A1612" t="s">
        <v>34</v>
      </c>
      <c r="B1612" s="1">
        <v>46146.65625</v>
      </c>
      <c r="C1612" t="s">
        <v>34</v>
      </c>
      <c r="D1612" s="1">
        <v>46153.625</v>
      </c>
      <c r="E1612">
        <v>7700</v>
      </c>
      <c r="F1612" t="s">
        <v>36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1</v>
      </c>
      <c r="M1612">
        <v>485.8</v>
      </c>
      <c r="N1612">
        <v>1</v>
      </c>
      <c r="O1612">
        <v>504.8</v>
      </c>
      <c r="P1612">
        <v>0</v>
      </c>
      <c r="Q1612">
        <v>0</v>
      </c>
      <c r="R1612">
        <v>0</v>
      </c>
      <c r="S1612">
        <v>0</v>
      </c>
      <c r="T1612">
        <v>0.18720000000000001</v>
      </c>
      <c r="U1612">
        <v>-0.99450000000000005</v>
      </c>
      <c r="V1612">
        <v>1E-4</v>
      </c>
      <c r="W1612">
        <v>-0.108</v>
      </c>
      <c r="X1612">
        <v>0.17929999999999999</v>
      </c>
      <c r="Y1612">
        <v>-1.4854000000000001</v>
      </c>
      <c r="Z1612">
        <v>3</v>
      </c>
      <c r="AA1612">
        <v>486.5</v>
      </c>
      <c r="AB1612">
        <v>1</v>
      </c>
      <c r="AC1612">
        <v>505.2</v>
      </c>
      <c r="AD1612">
        <v>0</v>
      </c>
      <c r="AE1612">
        <v>0</v>
      </c>
      <c r="AF1612">
        <v>0</v>
      </c>
      <c r="AG1612">
        <v>0</v>
      </c>
      <c r="AH1612">
        <v>0</v>
      </c>
    </row>
    <row r="1613" spans="1:34" x14ac:dyDescent="0.35">
      <c r="A1613" t="s">
        <v>34</v>
      </c>
      <c r="B1613" s="1">
        <v>46146.65625</v>
      </c>
      <c r="C1613" t="s">
        <v>34</v>
      </c>
      <c r="D1613" s="1">
        <v>46153.625</v>
      </c>
      <c r="E1613">
        <v>7725</v>
      </c>
      <c r="F1613" t="s">
        <v>36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1</v>
      </c>
      <c r="M1613">
        <v>510.3</v>
      </c>
      <c r="N1613">
        <v>1</v>
      </c>
      <c r="O1613">
        <v>529.70000000000005</v>
      </c>
      <c r="P1613">
        <v>0</v>
      </c>
      <c r="Q1613">
        <v>0</v>
      </c>
      <c r="R1613">
        <v>0</v>
      </c>
      <c r="S1613">
        <v>0</v>
      </c>
      <c r="T1613">
        <v>0.3286</v>
      </c>
      <c r="U1613">
        <v>-0.93330000000000002</v>
      </c>
      <c r="V1613">
        <v>4.0000000000000002E-4</v>
      </c>
      <c r="W1613">
        <v>-2.7663000000000002</v>
      </c>
      <c r="X1613">
        <v>1.3165</v>
      </c>
      <c r="Y1613">
        <v>-1.4100999999999999</v>
      </c>
      <c r="Z1613">
        <v>1</v>
      </c>
      <c r="AA1613">
        <v>512.9</v>
      </c>
      <c r="AB1613">
        <v>2</v>
      </c>
      <c r="AC1613">
        <v>535.5</v>
      </c>
      <c r="AD1613">
        <v>0</v>
      </c>
      <c r="AE1613">
        <v>0</v>
      </c>
      <c r="AF1613">
        <v>0</v>
      </c>
      <c r="AG1613">
        <v>0</v>
      </c>
      <c r="AH1613">
        <v>0</v>
      </c>
    </row>
    <row r="1614" spans="1:34" x14ac:dyDescent="0.35">
      <c r="A1614" t="s">
        <v>34</v>
      </c>
      <c r="B1614" s="1">
        <v>46146.65625</v>
      </c>
      <c r="C1614" t="s">
        <v>34</v>
      </c>
      <c r="D1614" s="1">
        <v>46153.625</v>
      </c>
      <c r="E1614">
        <v>7800</v>
      </c>
      <c r="F1614" t="s">
        <v>36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585.79999999999995</v>
      </c>
      <c r="N1614">
        <v>1</v>
      </c>
      <c r="O1614">
        <v>604.79999999999995</v>
      </c>
      <c r="P1614">
        <v>0</v>
      </c>
      <c r="Q1614">
        <v>0</v>
      </c>
      <c r="R1614">
        <v>0</v>
      </c>
      <c r="S1614">
        <v>0</v>
      </c>
      <c r="T1614">
        <v>0.22450000000000001</v>
      </c>
      <c r="U1614">
        <v>-0.99429999999999996</v>
      </c>
      <c r="V1614">
        <v>1E-4</v>
      </c>
      <c r="W1614">
        <v>-0.1371</v>
      </c>
      <c r="X1614">
        <v>0.18060000000000001</v>
      </c>
      <c r="Y1614">
        <v>-1.5075000000000001</v>
      </c>
      <c r="Z1614">
        <v>3</v>
      </c>
      <c r="AA1614">
        <v>586.4</v>
      </c>
      <c r="AB1614">
        <v>1</v>
      </c>
      <c r="AC1614">
        <v>605.20000000000005</v>
      </c>
      <c r="AD1614">
        <v>0</v>
      </c>
      <c r="AE1614">
        <v>0</v>
      </c>
      <c r="AF1614">
        <v>0</v>
      </c>
      <c r="AG1614">
        <v>0</v>
      </c>
      <c r="AH1614">
        <v>0</v>
      </c>
    </row>
    <row r="1615" spans="1:34" x14ac:dyDescent="0.35">
      <c r="A1615" t="s">
        <v>34</v>
      </c>
      <c r="B1615" s="1">
        <v>46146.65625</v>
      </c>
      <c r="C1615" t="s">
        <v>34</v>
      </c>
      <c r="D1615" s="1">
        <v>46153.625</v>
      </c>
      <c r="E1615">
        <v>7900</v>
      </c>
      <c r="F1615" t="s">
        <v>36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1</v>
      </c>
      <c r="M1615">
        <v>685.7</v>
      </c>
      <c r="N1615">
        <v>1</v>
      </c>
      <c r="O1615">
        <v>704.7</v>
      </c>
      <c r="P1615">
        <v>0</v>
      </c>
      <c r="Q1615">
        <v>0</v>
      </c>
      <c r="R1615">
        <v>0</v>
      </c>
      <c r="S1615">
        <v>0</v>
      </c>
      <c r="T1615">
        <v>0.25459999999999999</v>
      </c>
      <c r="U1615">
        <v>-0.99509999999999998</v>
      </c>
      <c r="V1615">
        <v>1E-4</v>
      </c>
      <c r="W1615">
        <v>-0.11890000000000001</v>
      </c>
      <c r="X1615">
        <v>0.15359999999999999</v>
      </c>
      <c r="Y1615">
        <v>-1.5309999999999999</v>
      </c>
      <c r="Z1615">
        <v>3</v>
      </c>
      <c r="AA1615">
        <v>686.3</v>
      </c>
      <c r="AB1615">
        <v>1</v>
      </c>
      <c r="AC1615">
        <v>704.9</v>
      </c>
      <c r="AD1615">
        <v>0</v>
      </c>
      <c r="AE1615">
        <v>0</v>
      </c>
      <c r="AF1615">
        <v>0</v>
      </c>
      <c r="AG1615">
        <v>0</v>
      </c>
      <c r="AH1615">
        <v>0</v>
      </c>
    </row>
    <row r="1616" spans="1:34" x14ac:dyDescent="0.35">
      <c r="A1616" t="s">
        <v>34</v>
      </c>
      <c r="B1616" s="1">
        <v>46146.65625</v>
      </c>
      <c r="C1616" t="s">
        <v>34</v>
      </c>
      <c r="D1616" s="1">
        <v>46153.625</v>
      </c>
      <c r="E1616">
        <v>8000</v>
      </c>
      <c r="F1616" t="s">
        <v>36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1</v>
      </c>
      <c r="M1616">
        <v>784.7</v>
      </c>
      <c r="N1616">
        <v>1</v>
      </c>
      <c r="O1616">
        <v>804.6</v>
      </c>
      <c r="P1616">
        <v>0</v>
      </c>
      <c r="Q1616">
        <v>0</v>
      </c>
      <c r="R1616">
        <v>0</v>
      </c>
      <c r="S1616">
        <v>0</v>
      </c>
      <c r="T1616">
        <v>0.45779999999999998</v>
      </c>
      <c r="U1616">
        <v>-0.94630000000000003</v>
      </c>
      <c r="V1616">
        <v>2.0000000000000001E-4</v>
      </c>
      <c r="W1616">
        <v>-3.1798999999999999</v>
      </c>
      <c r="X1616">
        <v>1.1031</v>
      </c>
      <c r="Y1616">
        <v>-1.4890000000000001</v>
      </c>
      <c r="Z1616">
        <v>3</v>
      </c>
      <c r="AA1616">
        <v>786.2</v>
      </c>
      <c r="AB1616">
        <v>1</v>
      </c>
      <c r="AC1616">
        <v>805.1</v>
      </c>
      <c r="AD1616">
        <v>0</v>
      </c>
      <c r="AE1616">
        <v>0</v>
      </c>
      <c r="AF1616">
        <v>0</v>
      </c>
      <c r="AG1616">
        <v>0</v>
      </c>
      <c r="AH1616">
        <v>0</v>
      </c>
    </row>
    <row r="1617" spans="1:34" x14ac:dyDescent="0.35">
      <c r="A1617" t="s">
        <v>34</v>
      </c>
      <c r="B1617" s="1">
        <v>46146.65625</v>
      </c>
      <c r="C1617" t="s">
        <v>34</v>
      </c>
      <c r="D1617" s="1">
        <v>46153.625</v>
      </c>
      <c r="E1617">
        <v>8200</v>
      </c>
      <c r="F1617" t="s">
        <v>36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1</v>
      </c>
      <c r="M1617">
        <v>984.5</v>
      </c>
      <c r="N1617">
        <v>1</v>
      </c>
      <c r="O1617">
        <v>1004.3</v>
      </c>
      <c r="P1617">
        <v>0</v>
      </c>
      <c r="Q1617">
        <v>0</v>
      </c>
      <c r="R1617">
        <v>0</v>
      </c>
      <c r="S1617">
        <v>0</v>
      </c>
      <c r="T1617">
        <v>0.54</v>
      </c>
      <c r="U1617">
        <v>-0.95379999999999998</v>
      </c>
      <c r="V1617">
        <v>2.0000000000000001E-4</v>
      </c>
      <c r="W1617">
        <v>-3.2698</v>
      </c>
      <c r="X1617">
        <v>0.97519999999999996</v>
      </c>
      <c r="Y1617">
        <v>-1.5439000000000001</v>
      </c>
      <c r="Z1617">
        <v>3</v>
      </c>
      <c r="AA1617">
        <v>986.1</v>
      </c>
      <c r="AB1617">
        <v>1</v>
      </c>
      <c r="AC1617">
        <v>1004.8</v>
      </c>
      <c r="AD1617">
        <v>0</v>
      </c>
      <c r="AE1617">
        <v>0</v>
      </c>
      <c r="AF1617">
        <v>0</v>
      </c>
      <c r="AG1617">
        <v>0</v>
      </c>
      <c r="AH1617">
        <v>0</v>
      </c>
    </row>
    <row r="1618" spans="1:34" x14ac:dyDescent="0.35">
      <c r="A1618" t="s">
        <v>34</v>
      </c>
      <c r="B1618" s="1">
        <v>46146.65625</v>
      </c>
      <c r="C1618" t="s">
        <v>34</v>
      </c>
      <c r="D1618" s="1">
        <v>46153.625</v>
      </c>
      <c r="E1618">
        <v>8400</v>
      </c>
      <c r="F1618" t="s">
        <v>36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1184.4000000000001</v>
      </c>
      <c r="N1618">
        <v>1</v>
      </c>
      <c r="O1618">
        <v>1203.5</v>
      </c>
      <c r="P1618">
        <v>0</v>
      </c>
      <c r="Q1618">
        <v>0</v>
      </c>
      <c r="R1618">
        <v>0</v>
      </c>
      <c r="S1618">
        <v>0</v>
      </c>
      <c r="T1618">
        <v>0.60509999999999997</v>
      </c>
      <c r="U1618">
        <v>-0.96240000000000003</v>
      </c>
      <c r="V1618">
        <v>1E-4</v>
      </c>
      <c r="W1618">
        <v>-3.0164</v>
      </c>
      <c r="X1618">
        <v>0.82199999999999995</v>
      </c>
      <c r="Y1618">
        <v>-1.6006</v>
      </c>
      <c r="Z1618">
        <v>1</v>
      </c>
      <c r="AA1618">
        <v>1186.7</v>
      </c>
      <c r="AB1618">
        <v>1</v>
      </c>
      <c r="AC1618">
        <v>1209.8</v>
      </c>
      <c r="AD1618">
        <v>0</v>
      </c>
      <c r="AE1618">
        <v>0</v>
      </c>
      <c r="AF1618">
        <v>0</v>
      </c>
      <c r="AG1618">
        <v>0</v>
      </c>
      <c r="AH1618">
        <v>0</v>
      </c>
    </row>
    <row r="1619" spans="1:34" x14ac:dyDescent="0.35">
      <c r="A1619" t="s">
        <v>34</v>
      </c>
      <c r="B1619" s="1">
        <v>46146.65625</v>
      </c>
      <c r="C1619" t="s">
        <v>34</v>
      </c>
      <c r="D1619" s="1">
        <v>46153.625</v>
      </c>
      <c r="E1619">
        <v>8600</v>
      </c>
      <c r="F1619" t="s">
        <v>36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1384.2</v>
      </c>
      <c r="N1619">
        <v>1</v>
      </c>
      <c r="O1619">
        <v>1403.6</v>
      </c>
      <c r="P1619">
        <v>0</v>
      </c>
      <c r="Q1619">
        <v>0</v>
      </c>
      <c r="R1619">
        <v>0</v>
      </c>
      <c r="S1619">
        <v>0</v>
      </c>
      <c r="T1619">
        <v>0.68989999999999996</v>
      </c>
      <c r="U1619">
        <v>-0.96360000000000001</v>
      </c>
      <c r="V1619">
        <v>1E-4</v>
      </c>
      <c r="W1619">
        <v>-3.3332000000000002</v>
      </c>
      <c r="X1619">
        <v>0.79800000000000004</v>
      </c>
      <c r="Y1619">
        <v>-1.6467000000000001</v>
      </c>
      <c r="Z1619">
        <v>1</v>
      </c>
      <c r="AA1619">
        <v>1387.2</v>
      </c>
      <c r="AB1619">
        <v>2</v>
      </c>
      <c r="AC1619">
        <v>1409.7</v>
      </c>
      <c r="AD1619">
        <v>0</v>
      </c>
      <c r="AE1619">
        <v>0</v>
      </c>
      <c r="AF1619">
        <v>0</v>
      </c>
      <c r="AG1619">
        <v>0</v>
      </c>
      <c r="AH1619">
        <v>0</v>
      </c>
    </row>
    <row r="1620" spans="1:34" x14ac:dyDescent="0.35">
      <c r="A1620" t="s">
        <v>34</v>
      </c>
      <c r="B1620" s="1">
        <v>46146.65625</v>
      </c>
      <c r="C1620" t="s">
        <v>34</v>
      </c>
      <c r="D1620" s="1">
        <v>46153.625</v>
      </c>
      <c r="E1620">
        <v>8800</v>
      </c>
      <c r="F1620" t="s">
        <v>36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1584.1</v>
      </c>
      <c r="N1620">
        <v>1</v>
      </c>
      <c r="O1620">
        <v>1604.1</v>
      </c>
      <c r="P1620">
        <v>0</v>
      </c>
      <c r="Q1620">
        <v>0</v>
      </c>
      <c r="R1620">
        <v>0</v>
      </c>
      <c r="S1620">
        <v>0</v>
      </c>
      <c r="T1620">
        <v>0.77080000000000004</v>
      </c>
      <c r="U1620">
        <v>-0.96479999999999999</v>
      </c>
      <c r="V1620">
        <v>1E-4</v>
      </c>
      <c r="W1620">
        <v>-3.6013999999999999</v>
      </c>
      <c r="X1620">
        <v>0.77439999999999998</v>
      </c>
      <c r="Y1620">
        <v>-1.6931</v>
      </c>
      <c r="Z1620">
        <v>3</v>
      </c>
      <c r="AA1620">
        <v>1585.6</v>
      </c>
      <c r="AB1620">
        <v>1</v>
      </c>
      <c r="AC1620">
        <v>1604.8</v>
      </c>
      <c r="AD1620">
        <v>0</v>
      </c>
      <c r="AE1620">
        <v>0</v>
      </c>
      <c r="AF1620">
        <v>0</v>
      </c>
      <c r="AG1620">
        <v>0</v>
      </c>
      <c r="AH1620">
        <v>0</v>
      </c>
    </row>
    <row r="1621" spans="1:34" x14ac:dyDescent="0.35">
      <c r="A1621" t="s">
        <v>34</v>
      </c>
      <c r="B1621" s="1">
        <v>46146.65625</v>
      </c>
      <c r="C1621" t="s">
        <v>34</v>
      </c>
      <c r="D1621" s="1">
        <v>46153.625</v>
      </c>
      <c r="E1621">
        <v>9000</v>
      </c>
      <c r="F1621" t="s">
        <v>36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1</v>
      </c>
      <c r="M1621">
        <v>1784.8</v>
      </c>
      <c r="N1621">
        <v>1</v>
      </c>
      <c r="O1621">
        <v>1803.8</v>
      </c>
      <c r="P1621">
        <v>0</v>
      </c>
      <c r="Q1621">
        <v>0</v>
      </c>
      <c r="R1621">
        <v>0</v>
      </c>
      <c r="S1621">
        <v>0</v>
      </c>
      <c r="T1621">
        <v>0.55330000000000001</v>
      </c>
      <c r="U1621">
        <v>-0.99790000000000001</v>
      </c>
      <c r="V1621">
        <v>0</v>
      </c>
      <c r="W1621">
        <v>0</v>
      </c>
      <c r="X1621">
        <v>6.8599999999999994E-2</v>
      </c>
      <c r="Y1621">
        <v>-1.7803</v>
      </c>
      <c r="Z1621">
        <v>1</v>
      </c>
      <c r="AA1621">
        <v>1785.5</v>
      </c>
      <c r="AB1621">
        <v>1</v>
      </c>
      <c r="AC1621">
        <v>1804.1</v>
      </c>
      <c r="AD1621">
        <v>0</v>
      </c>
      <c r="AE1621">
        <v>0</v>
      </c>
      <c r="AF1621">
        <v>0</v>
      </c>
      <c r="AG1621">
        <v>0</v>
      </c>
      <c r="AH1621">
        <v>0</v>
      </c>
    </row>
    <row r="1622" spans="1:34" x14ac:dyDescent="0.35">
      <c r="A1622" t="s">
        <v>34</v>
      </c>
      <c r="B1622" s="1">
        <v>46146.65625</v>
      </c>
      <c r="C1622" t="s">
        <v>34</v>
      </c>
      <c r="D1622" s="1">
        <v>46153.625</v>
      </c>
      <c r="E1622">
        <v>9200</v>
      </c>
      <c r="F1622" t="s">
        <v>36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1</v>
      </c>
      <c r="M1622">
        <v>1984.4</v>
      </c>
      <c r="N1622">
        <v>1</v>
      </c>
      <c r="O1622">
        <v>2003.7</v>
      </c>
      <c r="P1622">
        <v>0</v>
      </c>
      <c r="Q1622">
        <v>0</v>
      </c>
      <c r="R1622">
        <v>0</v>
      </c>
      <c r="S1622">
        <v>0</v>
      </c>
      <c r="T1622">
        <v>0.58389999999999997</v>
      </c>
      <c r="U1622">
        <v>-0.99850000000000005</v>
      </c>
      <c r="V1622">
        <v>0</v>
      </c>
      <c r="W1622">
        <v>0</v>
      </c>
      <c r="X1622">
        <v>4.8399999999999999E-2</v>
      </c>
      <c r="Y1622">
        <v>-1.8258000000000001</v>
      </c>
      <c r="Z1622">
        <v>3</v>
      </c>
      <c r="AA1622">
        <v>1985.3</v>
      </c>
      <c r="AB1622">
        <v>1</v>
      </c>
      <c r="AC1622">
        <v>2003.9</v>
      </c>
      <c r="AD1622">
        <v>0</v>
      </c>
      <c r="AE1622">
        <v>0</v>
      </c>
      <c r="AF1622">
        <v>0</v>
      </c>
      <c r="AG1622">
        <v>0</v>
      </c>
      <c r="AH1622">
        <v>0</v>
      </c>
    </row>
    <row r="1623" spans="1:34" x14ac:dyDescent="0.35">
      <c r="A1623" t="s">
        <v>34</v>
      </c>
      <c r="B1623" s="1">
        <v>46146.65625</v>
      </c>
      <c r="C1623" t="s">
        <v>34</v>
      </c>
      <c r="D1623" s="1">
        <v>46153.625</v>
      </c>
      <c r="E1623">
        <v>9400</v>
      </c>
      <c r="F1623" t="s">
        <v>36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1</v>
      </c>
      <c r="M1623">
        <v>2184.5</v>
      </c>
      <c r="N1623">
        <v>1</v>
      </c>
      <c r="O1623">
        <v>2203.8000000000002</v>
      </c>
      <c r="P1623">
        <v>0</v>
      </c>
      <c r="Q1623">
        <v>0</v>
      </c>
      <c r="R1623">
        <v>0</v>
      </c>
      <c r="S1623">
        <v>0</v>
      </c>
      <c r="T1623">
        <v>0.96689999999999998</v>
      </c>
      <c r="U1623">
        <v>-0.9718</v>
      </c>
      <c r="V1623">
        <v>1E-4</v>
      </c>
      <c r="W1623">
        <v>-3.6236000000000002</v>
      </c>
      <c r="X1623">
        <v>0.64159999999999995</v>
      </c>
      <c r="Y1623">
        <v>-1.837</v>
      </c>
      <c r="Z1623">
        <v>2</v>
      </c>
      <c r="AA1623">
        <v>2185.1</v>
      </c>
      <c r="AB1623">
        <v>1</v>
      </c>
      <c r="AC1623">
        <v>2204.8000000000002</v>
      </c>
      <c r="AD1623">
        <v>0</v>
      </c>
      <c r="AE1623">
        <v>0</v>
      </c>
      <c r="AF1623">
        <v>0</v>
      </c>
      <c r="AG1623">
        <v>0</v>
      </c>
      <c r="AH1623">
        <v>0</v>
      </c>
    </row>
    <row r="1624" spans="1:34" x14ac:dyDescent="0.35">
      <c r="A1624" t="s">
        <v>34</v>
      </c>
      <c r="B1624" s="1">
        <v>46146.65625</v>
      </c>
      <c r="C1624" t="s">
        <v>34</v>
      </c>
      <c r="D1624" s="1">
        <v>46154.625</v>
      </c>
      <c r="E1624">
        <v>2800</v>
      </c>
      <c r="F1624" t="s">
        <v>35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489</v>
      </c>
      <c r="O1624">
        <v>0.05</v>
      </c>
      <c r="P1624">
        <v>0</v>
      </c>
      <c r="Q1624">
        <v>0</v>
      </c>
      <c r="R1624">
        <v>0</v>
      </c>
      <c r="S1624">
        <v>0</v>
      </c>
      <c r="T1624">
        <v>1.7226999999999999</v>
      </c>
      <c r="U1624">
        <v>-1E-4</v>
      </c>
      <c r="V1624">
        <v>0</v>
      </c>
      <c r="W1624">
        <v>-1.7500000000000002E-2</v>
      </c>
      <c r="X1624">
        <v>2.5999999999999999E-3</v>
      </c>
      <c r="Y1624">
        <v>-1E-4</v>
      </c>
      <c r="Z1624">
        <v>0</v>
      </c>
      <c r="AA1624">
        <v>0</v>
      </c>
      <c r="AB1624">
        <v>415</v>
      </c>
      <c r="AC1624">
        <v>0.1</v>
      </c>
      <c r="AD1624">
        <v>0</v>
      </c>
      <c r="AE1624">
        <v>0</v>
      </c>
      <c r="AF1624">
        <v>0</v>
      </c>
      <c r="AG1624">
        <v>1</v>
      </c>
      <c r="AH1624">
        <v>0</v>
      </c>
    </row>
    <row r="1625" spans="1:34" x14ac:dyDescent="0.35">
      <c r="A1625" t="s">
        <v>34</v>
      </c>
      <c r="B1625" s="1">
        <v>46146.65625</v>
      </c>
      <c r="C1625" t="s">
        <v>34</v>
      </c>
      <c r="D1625" s="1">
        <v>46154.625</v>
      </c>
      <c r="E1625">
        <v>3000</v>
      </c>
      <c r="F1625" t="s">
        <v>35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505</v>
      </c>
      <c r="O1625">
        <v>0.05</v>
      </c>
      <c r="P1625">
        <v>0</v>
      </c>
      <c r="Q1625">
        <v>0</v>
      </c>
      <c r="R1625">
        <v>0</v>
      </c>
      <c r="S1625">
        <v>0</v>
      </c>
      <c r="T1625">
        <v>1.6008</v>
      </c>
      <c r="U1625">
        <v>-1E-4</v>
      </c>
      <c r="V1625">
        <v>0</v>
      </c>
      <c r="W1625">
        <v>-1.7500000000000002E-2</v>
      </c>
      <c r="X1625">
        <v>2.8E-3</v>
      </c>
      <c r="Y1625">
        <v>-1E-4</v>
      </c>
      <c r="Z1625">
        <v>0</v>
      </c>
      <c r="AA1625">
        <v>0</v>
      </c>
      <c r="AB1625">
        <v>440</v>
      </c>
      <c r="AC1625">
        <v>0.1</v>
      </c>
      <c r="AD1625">
        <v>0</v>
      </c>
      <c r="AE1625">
        <v>0</v>
      </c>
      <c r="AF1625">
        <v>0</v>
      </c>
      <c r="AG1625">
        <v>10</v>
      </c>
      <c r="AH1625">
        <v>0</v>
      </c>
    </row>
    <row r="1626" spans="1:34" x14ac:dyDescent="0.35">
      <c r="A1626" t="s">
        <v>34</v>
      </c>
      <c r="B1626" s="1">
        <v>46146.65625</v>
      </c>
      <c r="C1626" t="s">
        <v>34</v>
      </c>
      <c r="D1626" s="1">
        <v>46154.625</v>
      </c>
      <c r="E1626">
        <v>3200</v>
      </c>
      <c r="F1626" t="s">
        <v>35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485</v>
      </c>
      <c r="O1626">
        <v>0.05</v>
      </c>
      <c r="P1626">
        <v>0</v>
      </c>
      <c r="Q1626">
        <v>0</v>
      </c>
      <c r="R1626">
        <v>0</v>
      </c>
      <c r="S1626">
        <v>0</v>
      </c>
      <c r="T1626">
        <v>1.4866999999999999</v>
      </c>
      <c r="U1626">
        <v>-1E-4</v>
      </c>
      <c r="V1626">
        <v>0</v>
      </c>
      <c r="W1626">
        <v>-1.7399999999999999E-2</v>
      </c>
      <c r="X1626">
        <v>3.0000000000000001E-3</v>
      </c>
      <c r="Y1626">
        <v>-1E-4</v>
      </c>
      <c r="Z1626">
        <v>0</v>
      </c>
      <c r="AA1626">
        <v>0</v>
      </c>
      <c r="AB1626">
        <v>432</v>
      </c>
      <c r="AC1626">
        <v>0.1</v>
      </c>
      <c r="AD1626">
        <v>0</v>
      </c>
      <c r="AE1626">
        <v>0</v>
      </c>
      <c r="AF1626">
        <v>0</v>
      </c>
      <c r="AG1626">
        <v>3</v>
      </c>
      <c r="AH1626">
        <v>0</v>
      </c>
    </row>
    <row r="1627" spans="1:34" x14ac:dyDescent="0.35">
      <c r="A1627" t="s">
        <v>34</v>
      </c>
      <c r="B1627" s="1">
        <v>46146.65625</v>
      </c>
      <c r="C1627" t="s">
        <v>34</v>
      </c>
      <c r="D1627" s="1">
        <v>46154.625</v>
      </c>
      <c r="E1627">
        <v>3400</v>
      </c>
      <c r="F1627" t="s">
        <v>35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428</v>
      </c>
      <c r="O1627">
        <v>0.05</v>
      </c>
      <c r="P1627">
        <v>0</v>
      </c>
      <c r="Q1627">
        <v>0</v>
      </c>
      <c r="R1627">
        <v>0</v>
      </c>
      <c r="S1627">
        <v>0</v>
      </c>
      <c r="T1627">
        <v>1.3794</v>
      </c>
      <c r="U1627">
        <v>-1E-4</v>
      </c>
      <c r="V1627">
        <v>0</v>
      </c>
      <c r="W1627">
        <v>-1.7399999999999999E-2</v>
      </c>
      <c r="X1627">
        <v>3.2000000000000002E-3</v>
      </c>
      <c r="Y1627">
        <v>-1E-4</v>
      </c>
      <c r="Z1627">
        <v>0</v>
      </c>
      <c r="AA1627">
        <v>0</v>
      </c>
      <c r="AB1627">
        <v>423</v>
      </c>
      <c r="AC1627">
        <v>0.1</v>
      </c>
      <c r="AD1627">
        <v>0</v>
      </c>
      <c r="AE1627">
        <v>0</v>
      </c>
      <c r="AF1627">
        <v>0</v>
      </c>
      <c r="AG1627">
        <v>7</v>
      </c>
      <c r="AH1627">
        <v>0</v>
      </c>
    </row>
    <row r="1628" spans="1:34" x14ac:dyDescent="0.35">
      <c r="A1628" t="s">
        <v>34</v>
      </c>
      <c r="B1628" s="1">
        <v>46146.65625</v>
      </c>
      <c r="C1628" t="s">
        <v>34</v>
      </c>
      <c r="D1628" s="1">
        <v>46154.625</v>
      </c>
      <c r="E1628">
        <v>3600</v>
      </c>
      <c r="F1628" t="s">
        <v>36</v>
      </c>
      <c r="G1628">
        <v>0.05</v>
      </c>
      <c r="H1628">
        <v>0.05</v>
      </c>
      <c r="I1628">
        <v>0.05</v>
      </c>
      <c r="J1628">
        <v>0.05</v>
      </c>
      <c r="K1628">
        <v>1</v>
      </c>
      <c r="L1628">
        <v>0</v>
      </c>
      <c r="M1628">
        <v>0</v>
      </c>
      <c r="N1628">
        <v>430</v>
      </c>
      <c r="O1628">
        <v>0.05</v>
      </c>
      <c r="P1628">
        <v>0</v>
      </c>
      <c r="Q1628">
        <v>0</v>
      </c>
      <c r="R1628">
        <v>0</v>
      </c>
      <c r="S1628">
        <v>0</v>
      </c>
      <c r="T1628">
        <v>1.2783</v>
      </c>
      <c r="U1628">
        <v>-1E-4</v>
      </c>
      <c r="V1628">
        <v>0</v>
      </c>
      <c r="W1628">
        <v>-1.7299999999999999E-2</v>
      </c>
      <c r="X1628">
        <v>3.3999999999999998E-3</v>
      </c>
      <c r="Y1628">
        <v>-1E-4</v>
      </c>
      <c r="Z1628">
        <v>0</v>
      </c>
      <c r="AA1628">
        <v>0</v>
      </c>
      <c r="AB1628">
        <v>412</v>
      </c>
      <c r="AC1628">
        <v>0.1</v>
      </c>
      <c r="AD1628">
        <v>0</v>
      </c>
      <c r="AE1628">
        <v>0</v>
      </c>
      <c r="AF1628">
        <v>0.05</v>
      </c>
      <c r="AG1628">
        <v>12</v>
      </c>
      <c r="AH1628">
        <v>0</v>
      </c>
    </row>
    <row r="1629" spans="1:34" x14ac:dyDescent="0.35">
      <c r="A1629" t="s">
        <v>34</v>
      </c>
      <c r="B1629" s="1">
        <v>46146.65625</v>
      </c>
      <c r="C1629" t="s">
        <v>34</v>
      </c>
      <c r="D1629" s="1">
        <v>46154.625</v>
      </c>
      <c r="E1629">
        <v>3800</v>
      </c>
      <c r="F1629" t="s">
        <v>36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395</v>
      </c>
      <c r="O1629">
        <v>0.05</v>
      </c>
      <c r="P1629">
        <v>0</v>
      </c>
      <c r="Q1629">
        <v>0</v>
      </c>
      <c r="R1629">
        <v>0</v>
      </c>
      <c r="S1629">
        <v>0</v>
      </c>
      <c r="T1629">
        <v>1.1825000000000001</v>
      </c>
      <c r="U1629">
        <v>-1E-4</v>
      </c>
      <c r="V1629">
        <v>0</v>
      </c>
      <c r="W1629">
        <v>-1.7299999999999999E-2</v>
      </c>
      <c r="X1629">
        <v>3.7000000000000002E-3</v>
      </c>
      <c r="Y1629">
        <v>-1E-4</v>
      </c>
      <c r="Z1629">
        <v>0</v>
      </c>
      <c r="AA1629">
        <v>0</v>
      </c>
      <c r="AB1629">
        <v>401</v>
      </c>
      <c r="AC1629">
        <v>0.1</v>
      </c>
      <c r="AD1629">
        <v>0</v>
      </c>
      <c r="AE1629">
        <v>0</v>
      </c>
      <c r="AF1629">
        <v>0</v>
      </c>
      <c r="AG1629">
        <v>150</v>
      </c>
      <c r="AH1629">
        <v>0</v>
      </c>
    </row>
    <row r="1630" spans="1:34" x14ac:dyDescent="0.35">
      <c r="A1630" t="s">
        <v>34</v>
      </c>
      <c r="B1630" s="1">
        <v>46146.65625</v>
      </c>
      <c r="C1630" t="s">
        <v>34</v>
      </c>
      <c r="D1630" s="1">
        <v>46154.625</v>
      </c>
      <c r="E1630">
        <v>4000</v>
      </c>
      <c r="F1630" t="s">
        <v>36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319</v>
      </c>
      <c r="O1630">
        <v>0.05</v>
      </c>
      <c r="P1630">
        <v>0</v>
      </c>
      <c r="Q1630">
        <v>0</v>
      </c>
      <c r="R1630">
        <v>0</v>
      </c>
      <c r="S1630">
        <v>0</v>
      </c>
      <c r="T1630">
        <v>1.0914999999999999</v>
      </c>
      <c r="U1630">
        <v>-1E-4</v>
      </c>
      <c r="V1630">
        <v>0</v>
      </c>
      <c r="W1630">
        <v>-1.72E-2</v>
      </c>
      <c r="X1630">
        <v>4.0000000000000001E-3</v>
      </c>
      <c r="Y1630">
        <v>-2.0000000000000001E-4</v>
      </c>
      <c r="Z1630">
        <v>0</v>
      </c>
      <c r="AA1630">
        <v>0</v>
      </c>
      <c r="AB1630">
        <v>387</v>
      </c>
      <c r="AC1630">
        <v>0.1</v>
      </c>
      <c r="AD1630">
        <v>0</v>
      </c>
      <c r="AE1630">
        <v>0</v>
      </c>
      <c r="AF1630">
        <v>0</v>
      </c>
      <c r="AG1630">
        <v>131</v>
      </c>
      <c r="AH1630">
        <v>0</v>
      </c>
    </row>
    <row r="1631" spans="1:34" x14ac:dyDescent="0.35">
      <c r="A1631" t="s">
        <v>34</v>
      </c>
      <c r="B1631" s="1">
        <v>46146.65625</v>
      </c>
      <c r="C1631" t="s">
        <v>34</v>
      </c>
      <c r="D1631" s="1">
        <v>46154.625</v>
      </c>
      <c r="E1631">
        <v>4200</v>
      </c>
      <c r="F1631" t="s">
        <v>36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248</v>
      </c>
      <c r="O1631">
        <v>0.05</v>
      </c>
      <c r="P1631">
        <v>0</v>
      </c>
      <c r="Q1631">
        <v>0</v>
      </c>
      <c r="R1631">
        <v>0</v>
      </c>
      <c r="S1631">
        <v>0</v>
      </c>
      <c r="T1631">
        <v>1.0046999999999999</v>
      </c>
      <c r="U1631">
        <v>-1E-4</v>
      </c>
      <c r="V1631">
        <v>0</v>
      </c>
      <c r="W1631">
        <v>-1.72E-2</v>
      </c>
      <c r="X1631">
        <v>4.4000000000000003E-3</v>
      </c>
      <c r="Y1631">
        <v>-2.0000000000000001E-4</v>
      </c>
      <c r="Z1631">
        <v>0</v>
      </c>
      <c r="AA1631">
        <v>0</v>
      </c>
      <c r="AB1631">
        <v>365</v>
      </c>
      <c r="AC1631">
        <v>0.1</v>
      </c>
      <c r="AD1631">
        <v>0</v>
      </c>
      <c r="AE1631">
        <v>0</v>
      </c>
      <c r="AF1631">
        <v>0</v>
      </c>
      <c r="AG1631">
        <v>1043</v>
      </c>
      <c r="AH1631">
        <v>0</v>
      </c>
    </row>
    <row r="1632" spans="1:34" x14ac:dyDescent="0.35">
      <c r="A1632" t="s">
        <v>34</v>
      </c>
      <c r="B1632" s="1">
        <v>46146.65625</v>
      </c>
      <c r="C1632" t="s">
        <v>34</v>
      </c>
      <c r="D1632" s="1">
        <v>46154.625</v>
      </c>
      <c r="E1632">
        <v>4400</v>
      </c>
      <c r="F1632" t="s">
        <v>36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142</v>
      </c>
      <c r="O1632">
        <v>0.05</v>
      </c>
      <c r="P1632">
        <v>0</v>
      </c>
      <c r="Q1632">
        <v>0</v>
      </c>
      <c r="R1632">
        <v>0</v>
      </c>
      <c r="S1632">
        <v>0</v>
      </c>
      <c r="T1632">
        <v>0.92190000000000005</v>
      </c>
      <c r="U1632">
        <v>-1E-4</v>
      </c>
      <c r="V1632">
        <v>0</v>
      </c>
      <c r="W1632">
        <v>-1.7100000000000001E-2</v>
      </c>
      <c r="X1632">
        <v>4.7999999999999996E-3</v>
      </c>
      <c r="Y1632">
        <v>-2.0000000000000001E-4</v>
      </c>
      <c r="Z1632">
        <v>0</v>
      </c>
      <c r="AA1632">
        <v>0</v>
      </c>
      <c r="AB1632">
        <v>345</v>
      </c>
      <c r="AC1632">
        <v>0.1</v>
      </c>
      <c r="AD1632">
        <v>0</v>
      </c>
      <c r="AE1632">
        <v>0</v>
      </c>
      <c r="AF1632">
        <v>0</v>
      </c>
      <c r="AG1632">
        <v>17</v>
      </c>
      <c r="AH1632">
        <v>0</v>
      </c>
    </row>
    <row r="1633" spans="1:34" x14ac:dyDescent="0.35">
      <c r="A1633" t="s">
        <v>34</v>
      </c>
      <c r="B1633" s="1">
        <v>46146.65625</v>
      </c>
      <c r="C1633" t="s">
        <v>34</v>
      </c>
      <c r="D1633" s="1">
        <v>46154.625</v>
      </c>
      <c r="E1633">
        <v>4600</v>
      </c>
      <c r="F1633" t="s">
        <v>36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1</v>
      </c>
      <c r="O1633">
        <v>0.05</v>
      </c>
      <c r="P1633">
        <v>0</v>
      </c>
      <c r="Q1633">
        <v>0</v>
      </c>
      <c r="R1633">
        <v>0</v>
      </c>
      <c r="S1633">
        <v>0</v>
      </c>
      <c r="T1633">
        <v>0.84250000000000003</v>
      </c>
      <c r="U1633">
        <v>-1E-4</v>
      </c>
      <c r="V1633">
        <v>0</v>
      </c>
      <c r="W1633">
        <v>-1.7000000000000001E-2</v>
      </c>
      <c r="X1633">
        <v>5.1999999999999998E-3</v>
      </c>
      <c r="Y1633">
        <v>-2.0000000000000001E-4</v>
      </c>
      <c r="Z1633">
        <v>0</v>
      </c>
      <c r="AA1633">
        <v>0</v>
      </c>
      <c r="AB1633">
        <v>1</v>
      </c>
      <c r="AC1633">
        <v>0.05</v>
      </c>
      <c r="AD1633">
        <v>0</v>
      </c>
      <c r="AE1633">
        <v>0</v>
      </c>
      <c r="AF1633">
        <v>0</v>
      </c>
      <c r="AG1633">
        <v>78</v>
      </c>
      <c r="AH1633">
        <v>0</v>
      </c>
    </row>
    <row r="1634" spans="1:34" x14ac:dyDescent="0.35">
      <c r="A1634" t="s">
        <v>34</v>
      </c>
      <c r="B1634" s="1">
        <v>46146.65625</v>
      </c>
      <c r="C1634" t="s">
        <v>34</v>
      </c>
      <c r="D1634" s="1">
        <v>46154.625</v>
      </c>
      <c r="E1634">
        <v>4800</v>
      </c>
      <c r="F1634" t="s">
        <v>36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646</v>
      </c>
      <c r="O1634">
        <v>0.1</v>
      </c>
      <c r="P1634">
        <v>0</v>
      </c>
      <c r="Q1634">
        <v>0</v>
      </c>
      <c r="R1634">
        <v>0</v>
      </c>
      <c r="S1634">
        <v>0</v>
      </c>
      <c r="T1634">
        <v>0.80169999999999997</v>
      </c>
      <c r="U1634">
        <v>-2.9999999999999997E-4</v>
      </c>
      <c r="V1634">
        <v>0</v>
      </c>
      <c r="W1634">
        <v>-3.2500000000000001E-2</v>
      </c>
      <c r="X1634">
        <v>0.01</v>
      </c>
      <c r="Y1634">
        <v>-4.0000000000000002E-4</v>
      </c>
      <c r="Z1634">
        <v>0</v>
      </c>
      <c r="AA1634">
        <v>0</v>
      </c>
      <c r="AB1634">
        <v>25</v>
      </c>
      <c r="AC1634">
        <v>0.05</v>
      </c>
      <c r="AD1634">
        <v>0</v>
      </c>
      <c r="AE1634">
        <v>0</v>
      </c>
      <c r="AF1634">
        <v>0</v>
      </c>
      <c r="AG1634">
        <v>335</v>
      </c>
      <c r="AH1634">
        <v>0</v>
      </c>
    </row>
    <row r="1635" spans="1:34" x14ac:dyDescent="0.35">
      <c r="A1635" t="s">
        <v>34</v>
      </c>
      <c r="B1635" s="1">
        <v>46146.65625</v>
      </c>
      <c r="C1635" t="s">
        <v>34</v>
      </c>
      <c r="D1635" s="1">
        <v>46154.625</v>
      </c>
      <c r="E1635">
        <v>5000</v>
      </c>
      <c r="F1635" t="s">
        <v>36</v>
      </c>
      <c r="G1635">
        <v>0.05</v>
      </c>
      <c r="H1635">
        <v>7.0000000000000007E-2</v>
      </c>
      <c r="I1635">
        <v>0.05</v>
      </c>
      <c r="J1635">
        <v>0.05</v>
      </c>
      <c r="K1635">
        <v>38</v>
      </c>
      <c r="L1635">
        <v>0</v>
      </c>
      <c r="M1635">
        <v>0</v>
      </c>
      <c r="N1635">
        <v>275</v>
      </c>
      <c r="O1635">
        <v>0.1</v>
      </c>
      <c r="P1635">
        <v>0</v>
      </c>
      <c r="Q1635">
        <v>0</v>
      </c>
      <c r="R1635">
        <v>0</v>
      </c>
      <c r="S1635">
        <v>0</v>
      </c>
      <c r="T1635">
        <v>0.72529999999999994</v>
      </c>
      <c r="U1635">
        <v>-2.9999999999999997E-4</v>
      </c>
      <c r="V1635">
        <v>0</v>
      </c>
      <c r="W1635">
        <v>-3.2300000000000002E-2</v>
      </c>
      <c r="X1635">
        <v>1.0999999999999999E-2</v>
      </c>
      <c r="Y1635">
        <v>-4.0000000000000002E-4</v>
      </c>
      <c r="Z1635">
        <v>10</v>
      </c>
      <c r="AA1635">
        <v>0.05</v>
      </c>
      <c r="AB1635">
        <v>1</v>
      </c>
      <c r="AC1635">
        <v>0.1</v>
      </c>
      <c r="AD1635">
        <v>0</v>
      </c>
      <c r="AE1635">
        <v>0</v>
      </c>
      <c r="AF1635">
        <v>5.6800000000000003E-2</v>
      </c>
      <c r="AG1635">
        <v>171</v>
      </c>
      <c r="AH1635">
        <v>0</v>
      </c>
    </row>
    <row r="1636" spans="1:34" x14ac:dyDescent="0.35">
      <c r="A1636" t="s">
        <v>34</v>
      </c>
      <c r="B1636" s="1">
        <v>46146.65625</v>
      </c>
      <c r="C1636" t="s">
        <v>34</v>
      </c>
      <c r="D1636" s="1">
        <v>46154.625</v>
      </c>
      <c r="E1636">
        <v>5200</v>
      </c>
      <c r="F1636" t="s">
        <v>36</v>
      </c>
      <c r="G1636">
        <v>0.1</v>
      </c>
      <c r="H1636">
        <v>0.1</v>
      </c>
      <c r="I1636">
        <v>0.1</v>
      </c>
      <c r="J1636">
        <v>0.1</v>
      </c>
      <c r="K1636">
        <v>1</v>
      </c>
      <c r="L1636">
        <v>5</v>
      </c>
      <c r="M1636">
        <v>0.05</v>
      </c>
      <c r="N1636">
        <v>559</v>
      </c>
      <c r="O1636">
        <v>0.15</v>
      </c>
      <c r="P1636">
        <v>0</v>
      </c>
      <c r="Q1636">
        <v>0</v>
      </c>
      <c r="R1636">
        <v>0</v>
      </c>
      <c r="S1636">
        <v>0</v>
      </c>
      <c r="T1636">
        <v>0.68500000000000005</v>
      </c>
      <c r="U1636">
        <v>-5.9999999999999995E-4</v>
      </c>
      <c r="V1636">
        <v>0</v>
      </c>
      <c r="W1636">
        <v>-6.0999999999999999E-2</v>
      </c>
      <c r="X1636">
        <v>2.1000000000000001E-2</v>
      </c>
      <c r="Y1636">
        <v>-8.0000000000000004E-4</v>
      </c>
      <c r="Z1636">
        <v>5</v>
      </c>
      <c r="AA1636">
        <v>0.05</v>
      </c>
      <c r="AB1636">
        <v>268</v>
      </c>
      <c r="AC1636">
        <v>0.15</v>
      </c>
      <c r="AD1636">
        <v>0</v>
      </c>
      <c r="AE1636">
        <v>0</v>
      </c>
      <c r="AF1636">
        <v>0.1</v>
      </c>
      <c r="AG1636">
        <v>1031</v>
      </c>
      <c r="AH1636">
        <v>0</v>
      </c>
    </row>
    <row r="1637" spans="1:34" x14ac:dyDescent="0.35">
      <c r="A1637" t="s">
        <v>34</v>
      </c>
      <c r="B1637" s="1">
        <v>46146.65625</v>
      </c>
      <c r="C1637" t="s">
        <v>34</v>
      </c>
      <c r="D1637" s="1">
        <v>46154.625</v>
      </c>
      <c r="E1637">
        <v>5300</v>
      </c>
      <c r="F1637" t="s">
        <v>36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353</v>
      </c>
      <c r="O1637">
        <v>0.15</v>
      </c>
      <c r="P1637">
        <v>0</v>
      </c>
      <c r="Q1637">
        <v>0</v>
      </c>
      <c r="R1637">
        <v>0</v>
      </c>
      <c r="S1637">
        <v>0</v>
      </c>
      <c r="T1637">
        <v>0.63380000000000003</v>
      </c>
      <c r="U1637">
        <v>-5.0000000000000001E-4</v>
      </c>
      <c r="V1637">
        <v>0</v>
      </c>
      <c r="W1637">
        <v>-4.6600000000000003E-2</v>
      </c>
      <c r="X1637">
        <v>1.77E-2</v>
      </c>
      <c r="Y1637">
        <v>-6.9999999999999999E-4</v>
      </c>
      <c r="Z1637">
        <v>0</v>
      </c>
      <c r="AA1637">
        <v>0</v>
      </c>
      <c r="AB1637">
        <v>195</v>
      </c>
      <c r="AC1637">
        <v>0.15</v>
      </c>
      <c r="AD1637">
        <v>0</v>
      </c>
      <c r="AE1637">
        <v>0</v>
      </c>
      <c r="AF1637">
        <v>0</v>
      </c>
      <c r="AG1637">
        <v>678</v>
      </c>
      <c r="AH1637">
        <v>0</v>
      </c>
    </row>
    <row r="1638" spans="1:34" x14ac:dyDescent="0.35">
      <c r="A1638" t="s">
        <v>34</v>
      </c>
      <c r="B1638" s="1">
        <v>46146.65625</v>
      </c>
      <c r="C1638" t="s">
        <v>34</v>
      </c>
      <c r="D1638" s="1">
        <v>46154.625</v>
      </c>
      <c r="E1638">
        <v>5400</v>
      </c>
      <c r="F1638" t="s">
        <v>36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279</v>
      </c>
      <c r="M1638">
        <v>0.05</v>
      </c>
      <c r="N1638">
        <v>188</v>
      </c>
      <c r="O1638">
        <v>0.15</v>
      </c>
      <c r="P1638">
        <v>0</v>
      </c>
      <c r="Q1638">
        <v>0</v>
      </c>
      <c r="R1638">
        <v>0</v>
      </c>
      <c r="S1638">
        <v>0</v>
      </c>
      <c r="T1638">
        <v>0.61050000000000004</v>
      </c>
      <c r="U1638">
        <v>-5.9999999999999995E-4</v>
      </c>
      <c r="V1638">
        <v>0</v>
      </c>
      <c r="W1638">
        <v>-6.0499999999999998E-2</v>
      </c>
      <c r="X1638">
        <v>2.3400000000000001E-2</v>
      </c>
      <c r="Y1638">
        <v>-8.9999999999999998E-4</v>
      </c>
      <c r="Z1638">
        <v>0</v>
      </c>
      <c r="AA1638">
        <v>0</v>
      </c>
      <c r="AB1638">
        <v>324</v>
      </c>
      <c r="AC1638">
        <v>0.2</v>
      </c>
      <c r="AD1638">
        <v>0</v>
      </c>
      <c r="AE1638">
        <v>0</v>
      </c>
      <c r="AF1638">
        <v>0</v>
      </c>
      <c r="AG1638">
        <v>138</v>
      </c>
      <c r="AH1638">
        <v>0</v>
      </c>
    </row>
    <row r="1639" spans="1:34" x14ac:dyDescent="0.35">
      <c r="A1639" t="s">
        <v>34</v>
      </c>
      <c r="B1639" s="1">
        <v>46146.65625</v>
      </c>
      <c r="C1639" t="s">
        <v>34</v>
      </c>
      <c r="D1639" s="1">
        <v>46154.625</v>
      </c>
      <c r="E1639">
        <v>5500</v>
      </c>
      <c r="F1639" t="s">
        <v>36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654</v>
      </c>
      <c r="M1639">
        <v>0.05</v>
      </c>
      <c r="N1639">
        <v>547</v>
      </c>
      <c r="O1639">
        <v>0.2</v>
      </c>
      <c r="P1639">
        <v>0</v>
      </c>
      <c r="Q1639">
        <v>0</v>
      </c>
      <c r="R1639">
        <v>0</v>
      </c>
      <c r="S1639">
        <v>0</v>
      </c>
      <c r="T1639">
        <v>0.58420000000000005</v>
      </c>
      <c r="U1639">
        <v>-8.0000000000000004E-4</v>
      </c>
      <c r="V1639">
        <v>0</v>
      </c>
      <c r="W1639">
        <v>-7.3899999999999993E-2</v>
      </c>
      <c r="X1639">
        <v>2.9399999999999999E-2</v>
      </c>
      <c r="Y1639">
        <v>-1.1999999999999999E-3</v>
      </c>
      <c r="Z1639">
        <v>222</v>
      </c>
      <c r="AA1639">
        <v>0.05</v>
      </c>
      <c r="AB1639">
        <v>201</v>
      </c>
      <c r="AC1639">
        <v>0.2</v>
      </c>
      <c r="AD1639">
        <v>0</v>
      </c>
      <c r="AE1639">
        <v>0</v>
      </c>
      <c r="AF1639">
        <v>0</v>
      </c>
      <c r="AG1639">
        <v>204</v>
      </c>
      <c r="AH1639">
        <v>0</v>
      </c>
    </row>
    <row r="1640" spans="1:34" x14ac:dyDescent="0.35">
      <c r="A1640" t="s">
        <v>34</v>
      </c>
      <c r="B1640" s="1">
        <v>46146.65625</v>
      </c>
      <c r="C1640" t="s">
        <v>34</v>
      </c>
      <c r="D1640" s="1">
        <v>46154.625</v>
      </c>
      <c r="E1640">
        <v>5600</v>
      </c>
      <c r="F1640" t="s">
        <v>36</v>
      </c>
      <c r="G1640">
        <v>0.14000000000000001</v>
      </c>
      <c r="H1640">
        <v>0.14000000000000001</v>
      </c>
      <c r="I1640">
        <v>0.14000000000000001</v>
      </c>
      <c r="J1640">
        <v>0.14000000000000001</v>
      </c>
      <c r="K1640">
        <v>60</v>
      </c>
      <c r="L1640">
        <v>172</v>
      </c>
      <c r="M1640">
        <v>0.1</v>
      </c>
      <c r="N1640">
        <v>314</v>
      </c>
      <c r="O1640">
        <v>0.2</v>
      </c>
      <c r="P1640">
        <v>0</v>
      </c>
      <c r="Q1640">
        <v>0</v>
      </c>
      <c r="R1640">
        <v>0</v>
      </c>
      <c r="S1640">
        <v>0</v>
      </c>
      <c r="T1640">
        <v>0.55569999999999997</v>
      </c>
      <c r="U1640">
        <v>-1E-3</v>
      </c>
      <c r="V1640">
        <v>0</v>
      </c>
      <c r="W1640">
        <v>-8.6900000000000005E-2</v>
      </c>
      <c r="X1640">
        <v>3.61E-2</v>
      </c>
      <c r="Y1640">
        <v>-1.5E-3</v>
      </c>
      <c r="Z1640">
        <v>144</v>
      </c>
      <c r="AA1640">
        <v>0.05</v>
      </c>
      <c r="AB1640">
        <v>313</v>
      </c>
      <c r="AC1640">
        <v>0.25</v>
      </c>
      <c r="AD1640">
        <v>0</v>
      </c>
      <c r="AE1640">
        <v>0</v>
      </c>
      <c r="AF1640">
        <v>0.14000000000000001</v>
      </c>
      <c r="AG1640">
        <v>1002</v>
      </c>
      <c r="AH1640">
        <v>0</v>
      </c>
    </row>
    <row r="1641" spans="1:34" x14ac:dyDescent="0.35">
      <c r="A1641" t="s">
        <v>34</v>
      </c>
      <c r="B1641" s="1">
        <v>46146.65625</v>
      </c>
      <c r="C1641" t="s">
        <v>34</v>
      </c>
      <c r="D1641" s="1">
        <v>46154.625</v>
      </c>
      <c r="E1641">
        <v>5700</v>
      </c>
      <c r="F1641" t="s">
        <v>36</v>
      </c>
      <c r="G1641">
        <v>0.14000000000000001</v>
      </c>
      <c r="H1641">
        <v>0.15</v>
      </c>
      <c r="I1641">
        <v>0.14000000000000001</v>
      </c>
      <c r="J1641">
        <v>0.15</v>
      </c>
      <c r="K1641">
        <v>2</v>
      </c>
      <c r="L1641">
        <v>588</v>
      </c>
      <c r="M1641">
        <v>0.1</v>
      </c>
      <c r="N1641">
        <v>394</v>
      </c>
      <c r="O1641">
        <v>0.25</v>
      </c>
      <c r="P1641">
        <v>0</v>
      </c>
      <c r="Q1641">
        <v>0</v>
      </c>
      <c r="R1641">
        <v>0</v>
      </c>
      <c r="S1641">
        <v>0</v>
      </c>
      <c r="T1641">
        <v>0.52639999999999998</v>
      </c>
      <c r="U1641">
        <v>-1.1999999999999999E-3</v>
      </c>
      <c r="V1641">
        <v>0</v>
      </c>
      <c r="W1641">
        <v>-9.9500000000000005E-2</v>
      </c>
      <c r="X1641">
        <v>4.3099999999999999E-2</v>
      </c>
      <c r="Y1641">
        <v>-1.8E-3</v>
      </c>
      <c r="Z1641">
        <v>45</v>
      </c>
      <c r="AA1641">
        <v>0.1</v>
      </c>
      <c r="AB1641">
        <v>197</v>
      </c>
      <c r="AC1641">
        <v>0.25</v>
      </c>
      <c r="AD1641">
        <v>0</v>
      </c>
      <c r="AE1641">
        <v>0</v>
      </c>
      <c r="AF1641">
        <v>0.14499999999999999</v>
      </c>
      <c r="AG1641">
        <v>335</v>
      </c>
      <c r="AH1641">
        <v>0</v>
      </c>
    </row>
    <row r="1642" spans="1:34" x14ac:dyDescent="0.35">
      <c r="A1642" t="s">
        <v>34</v>
      </c>
      <c r="B1642" s="1">
        <v>46146.65625</v>
      </c>
      <c r="C1642" t="s">
        <v>34</v>
      </c>
      <c r="D1642" s="1">
        <v>46154.625</v>
      </c>
      <c r="E1642">
        <v>5725</v>
      </c>
      <c r="F1642" t="s">
        <v>36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476</v>
      </c>
      <c r="M1642">
        <v>0.1</v>
      </c>
      <c r="N1642">
        <v>331</v>
      </c>
      <c r="O1642">
        <v>0.25</v>
      </c>
      <c r="P1642">
        <v>0</v>
      </c>
      <c r="Q1642">
        <v>0</v>
      </c>
      <c r="R1642">
        <v>0</v>
      </c>
      <c r="S1642">
        <v>0</v>
      </c>
      <c r="T1642">
        <v>0.51729999999999998</v>
      </c>
      <c r="U1642">
        <v>-1.1999999999999999E-3</v>
      </c>
      <c r="V1642">
        <v>0</v>
      </c>
      <c r="W1642">
        <v>-9.9299999999999999E-2</v>
      </c>
      <c r="X1642">
        <v>4.3799999999999999E-2</v>
      </c>
      <c r="Y1642">
        <v>-1.8E-3</v>
      </c>
      <c r="Z1642">
        <v>73</v>
      </c>
      <c r="AA1642">
        <v>0.1</v>
      </c>
      <c r="AB1642">
        <v>202</v>
      </c>
      <c r="AC1642">
        <v>0.25</v>
      </c>
      <c r="AD1642">
        <v>0</v>
      </c>
      <c r="AE1642">
        <v>0</v>
      </c>
      <c r="AF1642">
        <v>0</v>
      </c>
      <c r="AG1642">
        <v>179</v>
      </c>
      <c r="AH1642">
        <v>0</v>
      </c>
    </row>
    <row r="1643" spans="1:34" x14ac:dyDescent="0.35">
      <c r="A1643" t="s">
        <v>34</v>
      </c>
      <c r="B1643" s="1">
        <v>46146.65625</v>
      </c>
      <c r="C1643" t="s">
        <v>34</v>
      </c>
      <c r="D1643" s="1">
        <v>46154.625</v>
      </c>
      <c r="E1643">
        <v>5750</v>
      </c>
      <c r="F1643" t="s">
        <v>36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676</v>
      </c>
      <c r="M1643">
        <v>0.1</v>
      </c>
      <c r="N1643">
        <v>203</v>
      </c>
      <c r="O1643">
        <v>0.25</v>
      </c>
      <c r="P1643">
        <v>0</v>
      </c>
      <c r="Q1643">
        <v>0</v>
      </c>
      <c r="R1643">
        <v>0</v>
      </c>
      <c r="S1643">
        <v>0</v>
      </c>
      <c r="T1643">
        <v>0.50819999999999999</v>
      </c>
      <c r="U1643">
        <v>-1.1999999999999999E-3</v>
      </c>
      <c r="V1643">
        <v>0</v>
      </c>
      <c r="W1643">
        <v>-9.9199999999999997E-2</v>
      </c>
      <c r="X1643">
        <v>4.4499999999999998E-2</v>
      </c>
      <c r="Y1643">
        <v>-1.9E-3</v>
      </c>
      <c r="Z1643">
        <v>133</v>
      </c>
      <c r="AA1643">
        <v>0.1</v>
      </c>
      <c r="AB1643">
        <v>289</v>
      </c>
      <c r="AC1643">
        <v>0.3</v>
      </c>
      <c r="AD1643">
        <v>0</v>
      </c>
      <c r="AE1643">
        <v>0</v>
      </c>
      <c r="AF1643">
        <v>0</v>
      </c>
      <c r="AG1643">
        <v>181</v>
      </c>
      <c r="AH1643">
        <v>0</v>
      </c>
    </row>
    <row r="1644" spans="1:34" x14ac:dyDescent="0.35">
      <c r="A1644" t="s">
        <v>34</v>
      </c>
      <c r="B1644" s="1">
        <v>46146.65625</v>
      </c>
      <c r="C1644" t="s">
        <v>34</v>
      </c>
      <c r="D1644" s="1">
        <v>46154.625</v>
      </c>
      <c r="E1644">
        <v>5775</v>
      </c>
      <c r="F1644" t="s">
        <v>36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303</v>
      </c>
      <c r="M1644">
        <v>0.15</v>
      </c>
      <c r="N1644">
        <v>471</v>
      </c>
      <c r="O1644">
        <v>0.3</v>
      </c>
      <c r="P1644">
        <v>0</v>
      </c>
      <c r="Q1644">
        <v>0</v>
      </c>
      <c r="R1644">
        <v>0</v>
      </c>
      <c r="S1644">
        <v>0</v>
      </c>
      <c r="T1644">
        <v>0.5101</v>
      </c>
      <c r="U1644">
        <v>-1.5E-3</v>
      </c>
      <c r="V1644">
        <v>0</v>
      </c>
      <c r="W1644">
        <v>-0.1244</v>
      </c>
      <c r="X1644">
        <v>5.4699999999999999E-2</v>
      </c>
      <c r="Y1644">
        <v>-2.3E-3</v>
      </c>
      <c r="Z1644">
        <v>144</v>
      </c>
      <c r="AA1644">
        <v>0.1</v>
      </c>
      <c r="AB1644">
        <v>249</v>
      </c>
      <c r="AC1644">
        <v>0.3</v>
      </c>
      <c r="AD1644">
        <v>0</v>
      </c>
      <c r="AE1644">
        <v>0</v>
      </c>
      <c r="AF1644">
        <v>0</v>
      </c>
      <c r="AG1644">
        <v>155</v>
      </c>
      <c r="AH1644">
        <v>0</v>
      </c>
    </row>
    <row r="1645" spans="1:34" x14ac:dyDescent="0.35">
      <c r="A1645" t="s">
        <v>34</v>
      </c>
      <c r="B1645" s="1">
        <v>46146.65625</v>
      </c>
      <c r="C1645" t="s">
        <v>34</v>
      </c>
      <c r="D1645" s="1">
        <v>46154.625</v>
      </c>
      <c r="E1645">
        <v>5800</v>
      </c>
      <c r="F1645" t="s">
        <v>36</v>
      </c>
      <c r="G1645">
        <v>0.19</v>
      </c>
      <c r="H1645">
        <v>0.3</v>
      </c>
      <c r="I1645">
        <v>0.19</v>
      </c>
      <c r="J1645">
        <v>0.3</v>
      </c>
      <c r="K1645">
        <v>5</v>
      </c>
      <c r="L1645">
        <v>511</v>
      </c>
      <c r="M1645">
        <v>0.15</v>
      </c>
      <c r="N1645">
        <v>405</v>
      </c>
      <c r="O1645">
        <v>0.3</v>
      </c>
      <c r="P1645">
        <v>0</v>
      </c>
      <c r="Q1645">
        <v>0</v>
      </c>
      <c r="R1645">
        <v>0</v>
      </c>
      <c r="S1645">
        <v>0</v>
      </c>
      <c r="T1645">
        <v>0.50090000000000001</v>
      </c>
      <c r="U1645">
        <v>-1.6000000000000001E-3</v>
      </c>
      <c r="V1645">
        <v>0</v>
      </c>
      <c r="W1645">
        <v>-0.1242</v>
      </c>
      <c r="X1645">
        <v>5.5599999999999997E-2</v>
      </c>
      <c r="Y1645">
        <v>-2.3999999999999998E-3</v>
      </c>
      <c r="Z1645">
        <v>152</v>
      </c>
      <c r="AA1645">
        <v>0.1</v>
      </c>
      <c r="AB1645">
        <v>208</v>
      </c>
      <c r="AC1645">
        <v>0.3</v>
      </c>
      <c r="AD1645">
        <v>0</v>
      </c>
      <c r="AE1645">
        <v>0</v>
      </c>
      <c r="AF1645">
        <v>0.25800000000000001</v>
      </c>
      <c r="AG1645">
        <v>287</v>
      </c>
      <c r="AH1645">
        <v>0</v>
      </c>
    </row>
    <row r="1646" spans="1:34" x14ac:dyDescent="0.35">
      <c r="A1646" t="s">
        <v>34</v>
      </c>
      <c r="B1646" s="1">
        <v>46146.65625</v>
      </c>
      <c r="C1646" t="s">
        <v>34</v>
      </c>
      <c r="D1646" s="1">
        <v>46154.625</v>
      </c>
      <c r="E1646">
        <v>5825</v>
      </c>
      <c r="F1646" t="s">
        <v>36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402</v>
      </c>
      <c r="M1646">
        <v>0.15</v>
      </c>
      <c r="N1646">
        <v>331</v>
      </c>
      <c r="O1646">
        <v>0.3</v>
      </c>
      <c r="P1646">
        <v>0</v>
      </c>
      <c r="Q1646">
        <v>0</v>
      </c>
      <c r="R1646">
        <v>0</v>
      </c>
      <c r="S1646">
        <v>0</v>
      </c>
      <c r="T1646">
        <v>0.49170000000000003</v>
      </c>
      <c r="U1646">
        <v>-1.6000000000000001E-3</v>
      </c>
      <c r="V1646">
        <v>0</v>
      </c>
      <c r="W1646">
        <v>-0.124</v>
      </c>
      <c r="X1646">
        <v>5.6599999999999998E-2</v>
      </c>
      <c r="Y1646">
        <v>-2.3999999999999998E-3</v>
      </c>
      <c r="Z1646">
        <v>18</v>
      </c>
      <c r="AA1646">
        <v>0.15</v>
      </c>
      <c r="AB1646">
        <v>174</v>
      </c>
      <c r="AC1646">
        <v>0.3</v>
      </c>
      <c r="AD1646">
        <v>0</v>
      </c>
      <c r="AE1646">
        <v>0</v>
      </c>
      <c r="AF1646">
        <v>0</v>
      </c>
      <c r="AG1646">
        <v>7</v>
      </c>
      <c r="AH1646">
        <v>0</v>
      </c>
    </row>
    <row r="1647" spans="1:34" x14ac:dyDescent="0.35">
      <c r="A1647" t="s">
        <v>34</v>
      </c>
      <c r="B1647" s="1">
        <v>46146.65625</v>
      </c>
      <c r="C1647" t="s">
        <v>34</v>
      </c>
      <c r="D1647" s="1">
        <v>46154.625</v>
      </c>
      <c r="E1647">
        <v>5850</v>
      </c>
      <c r="F1647" t="s">
        <v>36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621</v>
      </c>
      <c r="M1647">
        <v>0.15</v>
      </c>
      <c r="N1647">
        <v>428</v>
      </c>
      <c r="O1647">
        <v>0.3</v>
      </c>
      <c r="P1647">
        <v>0</v>
      </c>
      <c r="Q1647">
        <v>0</v>
      </c>
      <c r="R1647">
        <v>0</v>
      </c>
      <c r="S1647">
        <v>0</v>
      </c>
      <c r="T1647">
        <v>0.48259999999999997</v>
      </c>
      <c r="U1647">
        <v>-1.6000000000000001E-3</v>
      </c>
      <c r="V1647">
        <v>0</v>
      </c>
      <c r="W1647">
        <v>-0.12379999999999999</v>
      </c>
      <c r="X1647">
        <v>5.7599999999999998E-2</v>
      </c>
      <c r="Y1647">
        <v>-2.5000000000000001E-3</v>
      </c>
      <c r="Z1647">
        <v>59</v>
      </c>
      <c r="AA1647">
        <v>0.15</v>
      </c>
      <c r="AB1647">
        <v>169</v>
      </c>
      <c r="AC1647">
        <v>0.3</v>
      </c>
      <c r="AD1647">
        <v>0</v>
      </c>
      <c r="AE1647">
        <v>0</v>
      </c>
      <c r="AF1647">
        <v>0</v>
      </c>
      <c r="AG1647">
        <v>57</v>
      </c>
      <c r="AH1647">
        <v>0</v>
      </c>
    </row>
    <row r="1648" spans="1:34" x14ac:dyDescent="0.35">
      <c r="A1648" t="s">
        <v>34</v>
      </c>
      <c r="B1648" s="1">
        <v>46146.65625</v>
      </c>
      <c r="C1648" t="s">
        <v>34</v>
      </c>
      <c r="D1648" s="1">
        <v>46154.625</v>
      </c>
      <c r="E1648">
        <v>5875</v>
      </c>
      <c r="F1648" t="s">
        <v>36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170</v>
      </c>
      <c r="M1648">
        <v>0.2</v>
      </c>
      <c r="N1648">
        <v>182</v>
      </c>
      <c r="O1648">
        <v>0.3</v>
      </c>
      <c r="P1648">
        <v>0</v>
      </c>
      <c r="Q1648">
        <v>0</v>
      </c>
      <c r="R1648">
        <v>0</v>
      </c>
      <c r="S1648">
        <v>0</v>
      </c>
      <c r="T1648">
        <v>0.47760000000000002</v>
      </c>
      <c r="U1648">
        <v>-1.8E-3</v>
      </c>
      <c r="V1648">
        <v>0</v>
      </c>
      <c r="W1648">
        <v>-0.13589999999999999</v>
      </c>
      <c r="X1648">
        <v>6.3500000000000001E-2</v>
      </c>
      <c r="Y1648">
        <v>-2.7000000000000001E-3</v>
      </c>
      <c r="Z1648">
        <v>66</v>
      </c>
      <c r="AA1648">
        <v>0.15</v>
      </c>
      <c r="AB1648">
        <v>165</v>
      </c>
      <c r="AC1648">
        <v>0.3</v>
      </c>
      <c r="AD1648">
        <v>0</v>
      </c>
      <c r="AE1648">
        <v>0</v>
      </c>
      <c r="AF1648">
        <v>0</v>
      </c>
      <c r="AG1648">
        <v>19</v>
      </c>
      <c r="AH1648">
        <v>0</v>
      </c>
    </row>
    <row r="1649" spans="1:34" x14ac:dyDescent="0.35">
      <c r="A1649" t="s">
        <v>34</v>
      </c>
      <c r="B1649" s="1">
        <v>46146.65625</v>
      </c>
      <c r="C1649" t="s">
        <v>34</v>
      </c>
      <c r="D1649" s="1">
        <v>46154.625</v>
      </c>
      <c r="E1649">
        <v>5900</v>
      </c>
      <c r="F1649" t="s">
        <v>36</v>
      </c>
      <c r="G1649">
        <v>0.23</v>
      </c>
      <c r="H1649">
        <v>0.37</v>
      </c>
      <c r="I1649">
        <v>0.2</v>
      </c>
      <c r="J1649">
        <v>0.27</v>
      </c>
      <c r="K1649">
        <v>44</v>
      </c>
      <c r="L1649">
        <v>230</v>
      </c>
      <c r="M1649">
        <v>0.2</v>
      </c>
      <c r="N1649">
        <v>178</v>
      </c>
      <c r="O1649">
        <v>0.3</v>
      </c>
      <c r="P1649">
        <v>0</v>
      </c>
      <c r="Q1649">
        <v>0</v>
      </c>
      <c r="R1649">
        <v>0</v>
      </c>
      <c r="S1649">
        <v>0</v>
      </c>
      <c r="T1649">
        <v>0.46870000000000001</v>
      </c>
      <c r="U1649">
        <v>-1.8E-3</v>
      </c>
      <c r="V1649">
        <v>0</v>
      </c>
      <c r="W1649">
        <v>-0.1356</v>
      </c>
      <c r="X1649">
        <v>6.4600000000000005E-2</v>
      </c>
      <c r="Y1649">
        <v>-2.8E-3</v>
      </c>
      <c r="Z1649">
        <v>136</v>
      </c>
      <c r="AA1649">
        <v>0.15</v>
      </c>
      <c r="AB1649">
        <v>232</v>
      </c>
      <c r="AC1649">
        <v>0.35</v>
      </c>
      <c r="AD1649">
        <v>0</v>
      </c>
      <c r="AE1649">
        <v>0</v>
      </c>
      <c r="AF1649">
        <v>0.26390000000000002</v>
      </c>
      <c r="AG1649">
        <v>207</v>
      </c>
      <c r="AH1649">
        <v>0</v>
      </c>
    </row>
    <row r="1650" spans="1:34" x14ac:dyDescent="0.35">
      <c r="A1650" t="s">
        <v>34</v>
      </c>
      <c r="B1650" s="1">
        <v>46146.65625</v>
      </c>
      <c r="C1650" t="s">
        <v>34</v>
      </c>
      <c r="D1650" s="1">
        <v>46154.625</v>
      </c>
      <c r="E1650">
        <v>5925</v>
      </c>
      <c r="F1650" t="s">
        <v>36</v>
      </c>
      <c r="G1650">
        <v>0.25</v>
      </c>
      <c r="H1650">
        <v>0.25</v>
      </c>
      <c r="I1650">
        <v>0.25</v>
      </c>
      <c r="J1650">
        <v>0.25</v>
      </c>
      <c r="K1650">
        <v>1</v>
      </c>
      <c r="L1650">
        <v>533</v>
      </c>
      <c r="M1650">
        <v>0.2</v>
      </c>
      <c r="N1650">
        <v>292</v>
      </c>
      <c r="O1650">
        <v>0.35</v>
      </c>
      <c r="P1650">
        <v>0</v>
      </c>
      <c r="Q1650">
        <v>0</v>
      </c>
      <c r="R1650">
        <v>0</v>
      </c>
      <c r="S1650">
        <v>0</v>
      </c>
      <c r="T1650">
        <v>0.46339999999999998</v>
      </c>
      <c r="U1650">
        <v>-2E-3</v>
      </c>
      <c r="V1650">
        <v>0</v>
      </c>
      <c r="W1650">
        <v>-0.14749999999999999</v>
      </c>
      <c r="X1650">
        <v>7.0599999999999996E-2</v>
      </c>
      <c r="Y1650">
        <v>-3.0999999999999999E-3</v>
      </c>
      <c r="Z1650">
        <v>147</v>
      </c>
      <c r="AA1650">
        <v>0.15</v>
      </c>
      <c r="AB1650">
        <v>167</v>
      </c>
      <c r="AC1650">
        <v>0.35</v>
      </c>
      <c r="AD1650">
        <v>0</v>
      </c>
      <c r="AE1650">
        <v>0</v>
      </c>
      <c r="AF1650">
        <v>0.25</v>
      </c>
      <c r="AG1650">
        <v>281</v>
      </c>
      <c r="AH1650">
        <v>0</v>
      </c>
    </row>
    <row r="1651" spans="1:34" x14ac:dyDescent="0.35">
      <c r="A1651" t="s">
        <v>34</v>
      </c>
      <c r="B1651" s="1">
        <v>46146.65625</v>
      </c>
      <c r="C1651" t="s">
        <v>34</v>
      </c>
      <c r="D1651" s="1">
        <v>46154.625</v>
      </c>
      <c r="E1651">
        <v>5950</v>
      </c>
      <c r="F1651" t="s">
        <v>36</v>
      </c>
      <c r="G1651">
        <v>0.3</v>
      </c>
      <c r="H1651">
        <v>0.3</v>
      </c>
      <c r="I1651">
        <v>0.3</v>
      </c>
      <c r="J1651">
        <v>0.3</v>
      </c>
      <c r="K1651">
        <v>1</v>
      </c>
      <c r="L1651">
        <v>593</v>
      </c>
      <c r="M1651">
        <v>0.2</v>
      </c>
      <c r="N1651">
        <v>181</v>
      </c>
      <c r="O1651">
        <v>0.35</v>
      </c>
      <c r="P1651">
        <v>0</v>
      </c>
      <c r="Q1651">
        <v>0</v>
      </c>
      <c r="R1651">
        <v>0</v>
      </c>
      <c r="S1651">
        <v>0</v>
      </c>
      <c r="T1651">
        <v>0.4546</v>
      </c>
      <c r="U1651">
        <v>-2E-3</v>
      </c>
      <c r="V1651">
        <v>0</v>
      </c>
      <c r="W1651">
        <v>-0.1472</v>
      </c>
      <c r="X1651">
        <v>7.1900000000000006E-2</v>
      </c>
      <c r="Y1651">
        <v>-3.0999999999999999E-3</v>
      </c>
      <c r="Z1651">
        <v>159</v>
      </c>
      <c r="AA1651">
        <v>0.15</v>
      </c>
      <c r="AB1651">
        <v>153</v>
      </c>
      <c r="AC1651">
        <v>0.35</v>
      </c>
      <c r="AD1651">
        <v>0</v>
      </c>
      <c r="AE1651">
        <v>0</v>
      </c>
      <c r="AF1651">
        <v>0.3</v>
      </c>
      <c r="AG1651">
        <v>280</v>
      </c>
      <c r="AH1651">
        <v>0</v>
      </c>
    </row>
    <row r="1652" spans="1:34" x14ac:dyDescent="0.35">
      <c r="A1652" t="s">
        <v>34</v>
      </c>
      <c r="B1652" s="1">
        <v>46146.65625</v>
      </c>
      <c r="C1652" t="s">
        <v>34</v>
      </c>
      <c r="D1652" s="1">
        <v>46154.625</v>
      </c>
      <c r="E1652">
        <v>5975</v>
      </c>
      <c r="F1652" t="s">
        <v>36</v>
      </c>
      <c r="G1652">
        <v>0.25</v>
      </c>
      <c r="H1652">
        <v>0.25</v>
      </c>
      <c r="I1652">
        <v>0.25</v>
      </c>
      <c r="J1652">
        <v>0.25</v>
      </c>
      <c r="K1652">
        <v>1</v>
      </c>
      <c r="L1652">
        <v>165</v>
      </c>
      <c r="M1652">
        <v>0.25</v>
      </c>
      <c r="N1652">
        <v>167</v>
      </c>
      <c r="O1652">
        <v>0.35</v>
      </c>
      <c r="P1652">
        <v>0</v>
      </c>
      <c r="Q1652">
        <v>0</v>
      </c>
      <c r="R1652">
        <v>0</v>
      </c>
      <c r="S1652">
        <v>0</v>
      </c>
      <c r="T1652">
        <v>0.4491</v>
      </c>
      <c r="U1652">
        <v>-2.2000000000000001E-3</v>
      </c>
      <c r="V1652">
        <v>0</v>
      </c>
      <c r="W1652">
        <v>-0.1588</v>
      </c>
      <c r="X1652">
        <v>7.8E-2</v>
      </c>
      <c r="Y1652">
        <v>-3.3999999999999998E-3</v>
      </c>
      <c r="Z1652">
        <v>59</v>
      </c>
      <c r="AA1652">
        <v>0.2</v>
      </c>
      <c r="AB1652">
        <v>150</v>
      </c>
      <c r="AC1652">
        <v>0.35</v>
      </c>
      <c r="AD1652">
        <v>0</v>
      </c>
      <c r="AE1652">
        <v>0</v>
      </c>
      <c r="AF1652">
        <v>0.25</v>
      </c>
      <c r="AG1652">
        <v>47</v>
      </c>
      <c r="AH1652">
        <v>0</v>
      </c>
    </row>
    <row r="1653" spans="1:34" x14ac:dyDescent="0.35">
      <c r="A1653" t="s">
        <v>34</v>
      </c>
      <c r="B1653" s="1">
        <v>46146.65625</v>
      </c>
      <c r="C1653" t="s">
        <v>34</v>
      </c>
      <c r="D1653" s="1">
        <v>46154.625</v>
      </c>
      <c r="E1653">
        <v>6000</v>
      </c>
      <c r="F1653" t="s">
        <v>36</v>
      </c>
      <c r="G1653">
        <v>0.35</v>
      </c>
      <c r="H1653">
        <v>0.37</v>
      </c>
      <c r="I1653">
        <v>0.35</v>
      </c>
      <c r="J1653">
        <v>0.37</v>
      </c>
      <c r="K1653">
        <v>6</v>
      </c>
      <c r="L1653">
        <v>264</v>
      </c>
      <c r="M1653">
        <v>0.25</v>
      </c>
      <c r="N1653">
        <v>134</v>
      </c>
      <c r="O1653">
        <v>0.35</v>
      </c>
      <c r="P1653">
        <v>0</v>
      </c>
      <c r="Q1653">
        <v>0</v>
      </c>
      <c r="R1653">
        <v>0</v>
      </c>
      <c r="S1653">
        <v>0</v>
      </c>
      <c r="T1653">
        <v>0.43980000000000002</v>
      </c>
      <c r="U1653">
        <v>-2.3E-3</v>
      </c>
      <c r="V1653">
        <v>0</v>
      </c>
      <c r="W1653">
        <v>-0.1585</v>
      </c>
      <c r="X1653">
        <v>7.9500000000000001E-2</v>
      </c>
      <c r="Y1653">
        <v>-3.5000000000000001E-3</v>
      </c>
      <c r="Z1653">
        <v>131</v>
      </c>
      <c r="AA1653">
        <v>0.2</v>
      </c>
      <c r="AB1653">
        <v>146</v>
      </c>
      <c r="AC1653">
        <v>0.35</v>
      </c>
      <c r="AD1653">
        <v>0</v>
      </c>
      <c r="AE1653">
        <v>0</v>
      </c>
      <c r="AF1653">
        <v>0.36</v>
      </c>
      <c r="AG1653">
        <v>174</v>
      </c>
      <c r="AH1653">
        <v>0</v>
      </c>
    </row>
    <row r="1654" spans="1:34" x14ac:dyDescent="0.35">
      <c r="A1654" t="s">
        <v>34</v>
      </c>
      <c r="B1654" s="1">
        <v>46146.65625</v>
      </c>
      <c r="C1654" t="s">
        <v>34</v>
      </c>
      <c r="D1654" s="1">
        <v>46154.625</v>
      </c>
      <c r="E1654">
        <v>6025</v>
      </c>
      <c r="F1654" t="s">
        <v>36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369</v>
      </c>
      <c r="M1654">
        <v>0.25</v>
      </c>
      <c r="N1654">
        <v>393</v>
      </c>
      <c r="O1654">
        <v>0.4</v>
      </c>
      <c r="P1654">
        <v>0</v>
      </c>
      <c r="Q1654">
        <v>0</v>
      </c>
      <c r="R1654">
        <v>0</v>
      </c>
      <c r="S1654">
        <v>0</v>
      </c>
      <c r="T1654">
        <v>0.434</v>
      </c>
      <c r="U1654">
        <v>-2.5000000000000001E-3</v>
      </c>
      <c r="V1654">
        <v>0</v>
      </c>
      <c r="W1654">
        <v>-0.17</v>
      </c>
      <c r="X1654">
        <v>8.5800000000000001E-2</v>
      </c>
      <c r="Y1654">
        <v>-3.8E-3</v>
      </c>
      <c r="Z1654">
        <v>142</v>
      </c>
      <c r="AA1654">
        <v>0.2</v>
      </c>
      <c r="AB1654">
        <v>142</v>
      </c>
      <c r="AC1654">
        <v>0.4</v>
      </c>
      <c r="AD1654">
        <v>0</v>
      </c>
      <c r="AE1654">
        <v>0</v>
      </c>
      <c r="AF1654">
        <v>0</v>
      </c>
      <c r="AG1654">
        <v>31</v>
      </c>
      <c r="AH1654">
        <v>0</v>
      </c>
    </row>
    <row r="1655" spans="1:34" x14ac:dyDescent="0.35">
      <c r="A1655" t="s">
        <v>34</v>
      </c>
      <c r="B1655" s="1">
        <v>46146.65625</v>
      </c>
      <c r="C1655" t="s">
        <v>34</v>
      </c>
      <c r="D1655" s="1">
        <v>46154.625</v>
      </c>
      <c r="E1655">
        <v>6050</v>
      </c>
      <c r="F1655" t="s">
        <v>36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432</v>
      </c>
      <c r="M1655">
        <v>0.25</v>
      </c>
      <c r="N1655">
        <v>157</v>
      </c>
      <c r="O1655">
        <v>0.4</v>
      </c>
      <c r="P1655">
        <v>0</v>
      </c>
      <c r="Q1655">
        <v>0</v>
      </c>
      <c r="R1655">
        <v>0</v>
      </c>
      <c r="S1655">
        <v>0</v>
      </c>
      <c r="T1655">
        <v>0.42480000000000001</v>
      </c>
      <c r="U1655">
        <v>-2.5000000000000001E-3</v>
      </c>
      <c r="V1655">
        <v>0</v>
      </c>
      <c r="W1655">
        <v>-0.1696</v>
      </c>
      <c r="X1655">
        <v>8.7499999999999994E-2</v>
      </c>
      <c r="Y1655">
        <v>-3.8999999999999998E-3</v>
      </c>
      <c r="Z1655">
        <v>53</v>
      </c>
      <c r="AA1655">
        <v>0.25</v>
      </c>
      <c r="AB1655">
        <v>149</v>
      </c>
      <c r="AC1655">
        <v>0.4</v>
      </c>
      <c r="AD1655">
        <v>0</v>
      </c>
      <c r="AE1655">
        <v>0</v>
      </c>
      <c r="AF1655">
        <v>0</v>
      </c>
      <c r="AG1655">
        <v>48</v>
      </c>
      <c r="AH1655">
        <v>0</v>
      </c>
    </row>
    <row r="1656" spans="1:34" x14ac:dyDescent="0.35">
      <c r="A1656" t="s">
        <v>34</v>
      </c>
      <c r="B1656" s="1">
        <v>46146.65625</v>
      </c>
      <c r="C1656" t="s">
        <v>34</v>
      </c>
      <c r="D1656" s="1">
        <v>46154.625</v>
      </c>
      <c r="E1656">
        <v>6075</v>
      </c>
      <c r="F1656" t="s">
        <v>36</v>
      </c>
      <c r="G1656">
        <v>0.5</v>
      </c>
      <c r="H1656">
        <v>0.5</v>
      </c>
      <c r="I1656">
        <v>0.5</v>
      </c>
      <c r="J1656">
        <v>0.5</v>
      </c>
      <c r="K1656">
        <v>40</v>
      </c>
      <c r="L1656">
        <v>405</v>
      </c>
      <c r="M1656">
        <v>0.3</v>
      </c>
      <c r="N1656">
        <v>124</v>
      </c>
      <c r="O1656">
        <v>0.4</v>
      </c>
      <c r="P1656">
        <v>0</v>
      </c>
      <c r="Q1656">
        <v>0</v>
      </c>
      <c r="R1656">
        <v>0</v>
      </c>
      <c r="S1656">
        <v>0</v>
      </c>
      <c r="T1656">
        <v>0.41860000000000003</v>
      </c>
      <c r="U1656">
        <v>-2.7000000000000001E-3</v>
      </c>
      <c r="V1656">
        <v>0</v>
      </c>
      <c r="W1656">
        <v>-0.18079999999999999</v>
      </c>
      <c r="X1656">
        <v>9.4299999999999995E-2</v>
      </c>
      <c r="Y1656">
        <v>-4.1999999999999997E-3</v>
      </c>
      <c r="Z1656">
        <v>56</v>
      </c>
      <c r="AA1656">
        <v>0.25</v>
      </c>
      <c r="AB1656">
        <v>136</v>
      </c>
      <c r="AC1656">
        <v>0.4</v>
      </c>
      <c r="AD1656">
        <v>0</v>
      </c>
      <c r="AE1656">
        <v>0</v>
      </c>
      <c r="AF1656">
        <v>0.5</v>
      </c>
      <c r="AG1656">
        <v>239</v>
      </c>
      <c r="AH1656">
        <v>0</v>
      </c>
    </row>
    <row r="1657" spans="1:34" x14ac:dyDescent="0.35">
      <c r="A1657" t="s">
        <v>34</v>
      </c>
      <c r="B1657" s="1">
        <v>46146.65625</v>
      </c>
      <c r="C1657" t="s">
        <v>34</v>
      </c>
      <c r="D1657" s="1">
        <v>46154.625</v>
      </c>
      <c r="E1657">
        <v>6100</v>
      </c>
      <c r="F1657" t="s">
        <v>36</v>
      </c>
      <c r="G1657">
        <v>0.4</v>
      </c>
      <c r="H1657">
        <v>0.4</v>
      </c>
      <c r="I1657">
        <v>0.4</v>
      </c>
      <c r="J1657">
        <v>0.4</v>
      </c>
      <c r="K1657">
        <v>1</v>
      </c>
      <c r="L1657">
        <v>518</v>
      </c>
      <c r="M1657">
        <v>0.3</v>
      </c>
      <c r="N1657">
        <v>366</v>
      </c>
      <c r="O1657">
        <v>0.45</v>
      </c>
      <c r="P1657">
        <v>0</v>
      </c>
      <c r="Q1657">
        <v>0</v>
      </c>
      <c r="R1657">
        <v>0</v>
      </c>
      <c r="S1657">
        <v>0</v>
      </c>
      <c r="T1657">
        <v>0.4123</v>
      </c>
      <c r="U1657">
        <v>-3.0000000000000001E-3</v>
      </c>
      <c r="V1657">
        <v>0</v>
      </c>
      <c r="W1657">
        <v>-0.1918</v>
      </c>
      <c r="X1657">
        <v>0.1012</v>
      </c>
      <c r="Y1657">
        <v>-4.5999999999999999E-3</v>
      </c>
      <c r="Z1657">
        <v>135</v>
      </c>
      <c r="AA1657">
        <v>0.25</v>
      </c>
      <c r="AB1657">
        <v>132</v>
      </c>
      <c r="AC1657">
        <v>0.45</v>
      </c>
      <c r="AD1657">
        <v>0</v>
      </c>
      <c r="AE1657">
        <v>0</v>
      </c>
      <c r="AF1657">
        <v>0.4</v>
      </c>
      <c r="AG1657">
        <v>283</v>
      </c>
      <c r="AH1657">
        <v>0</v>
      </c>
    </row>
    <row r="1658" spans="1:34" x14ac:dyDescent="0.35">
      <c r="A1658" t="s">
        <v>34</v>
      </c>
      <c r="B1658" s="1">
        <v>46146.65625</v>
      </c>
      <c r="C1658" t="s">
        <v>34</v>
      </c>
      <c r="D1658" s="1">
        <v>46154.625</v>
      </c>
      <c r="E1658">
        <v>6125</v>
      </c>
      <c r="F1658" t="s">
        <v>36</v>
      </c>
      <c r="G1658">
        <v>0.55000000000000004</v>
      </c>
      <c r="H1658">
        <v>0.55000000000000004</v>
      </c>
      <c r="I1658">
        <v>0.55000000000000004</v>
      </c>
      <c r="J1658">
        <v>0.55000000000000004</v>
      </c>
      <c r="K1658">
        <v>90</v>
      </c>
      <c r="L1658">
        <v>147</v>
      </c>
      <c r="M1658">
        <v>0.35</v>
      </c>
      <c r="N1658">
        <v>147</v>
      </c>
      <c r="O1658">
        <v>0.45</v>
      </c>
      <c r="P1658">
        <v>0</v>
      </c>
      <c r="Q1658">
        <v>0</v>
      </c>
      <c r="R1658">
        <v>0</v>
      </c>
      <c r="S1658">
        <v>0</v>
      </c>
      <c r="T1658">
        <v>0.40560000000000002</v>
      </c>
      <c r="U1658">
        <v>-3.2000000000000002E-3</v>
      </c>
      <c r="V1658">
        <v>0</v>
      </c>
      <c r="W1658">
        <v>-0.2026</v>
      </c>
      <c r="X1658">
        <v>0.10829999999999999</v>
      </c>
      <c r="Y1658">
        <v>-4.8999999999999998E-3</v>
      </c>
      <c r="Z1658">
        <v>51</v>
      </c>
      <c r="AA1658">
        <v>0.3</v>
      </c>
      <c r="AB1658">
        <v>129</v>
      </c>
      <c r="AC1658">
        <v>0.45</v>
      </c>
      <c r="AD1658">
        <v>0</v>
      </c>
      <c r="AE1658">
        <v>0</v>
      </c>
      <c r="AF1658">
        <v>0.55000000000000004</v>
      </c>
      <c r="AG1658">
        <v>94</v>
      </c>
      <c r="AH1658">
        <v>0</v>
      </c>
    </row>
    <row r="1659" spans="1:34" x14ac:dyDescent="0.35">
      <c r="A1659" t="s">
        <v>34</v>
      </c>
      <c r="B1659" s="1">
        <v>46146.65625</v>
      </c>
      <c r="C1659" t="s">
        <v>34</v>
      </c>
      <c r="D1659" s="1">
        <v>46154.625</v>
      </c>
      <c r="E1659">
        <v>6150</v>
      </c>
      <c r="F1659" t="s">
        <v>36</v>
      </c>
      <c r="G1659">
        <v>0.5</v>
      </c>
      <c r="H1659">
        <v>0.5</v>
      </c>
      <c r="I1659">
        <v>0.47</v>
      </c>
      <c r="J1659">
        <v>0.47</v>
      </c>
      <c r="K1659">
        <v>16</v>
      </c>
      <c r="L1659">
        <v>455</v>
      </c>
      <c r="M1659">
        <v>0.35</v>
      </c>
      <c r="N1659">
        <v>238</v>
      </c>
      <c r="O1659">
        <v>0.5</v>
      </c>
      <c r="P1659">
        <v>0</v>
      </c>
      <c r="Q1659">
        <v>0</v>
      </c>
      <c r="R1659">
        <v>0</v>
      </c>
      <c r="S1659">
        <v>0</v>
      </c>
      <c r="T1659">
        <v>0.39879999999999999</v>
      </c>
      <c r="U1659">
        <v>-3.3999999999999998E-3</v>
      </c>
      <c r="V1659">
        <v>0</v>
      </c>
      <c r="W1659">
        <v>-0.21329999999999999</v>
      </c>
      <c r="X1659">
        <v>0.1154</v>
      </c>
      <c r="Y1659">
        <v>-5.3E-3</v>
      </c>
      <c r="Z1659">
        <v>59</v>
      </c>
      <c r="AA1659">
        <v>0.3</v>
      </c>
      <c r="AB1659">
        <v>146</v>
      </c>
      <c r="AC1659">
        <v>0.5</v>
      </c>
      <c r="AD1659">
        <v>0</v>
      </c>
      <c r="AE1659">
        <v>0</v>
      </c>
      <c r="AF1659">
        <v>0.47560000000000002</v>
      </c>
      <c r="AG1659">
        <v>74</v>
      </c>
      <c r="AH1659">
        <v>0</v>
      </c>
    </row>
    <row r="1660" spans="1:34" x14ac:dyDescent="0.35">
      <c r="A1660" t="s">
        <v>34</v>
      </c>
      <c r="B1660" s="1">
        <v>46146.65625</v>
      </c>
      <c r="C1660" t="s">
        <v>34</v>
      </c>
      <c r="D1660" s="1">
        <v>46154.625</v>
      </c>
      <c r="E1660">
        <v>6175</v>
      </c>
      <c r="F1660" t="s">
        <v>36</v>
      </c>
      <c r="G1660">
        <v>0.38</v>
      </c>
      <c r="H1660">
        <v>0.5</v>
      </c>
      <c r="I1660">
        <v>0.35</v>
      </c>
      <c r="J1660">
        <v>0.5</v>
      </c>
      <c r="K1660">
        <v>11</v>
      </c>
      <c r="L1660">
        <v>432</v>
      </c>
      <c r="M1660">
        <v>0.35</v>
      </c>
      <c r="N1660">
        <v>142</v>
      </c>
      <c r="O1660">
        <v>0.5</v>
      </c>
      <c r="P1660">
        <v>0</v>
      </c>
      <c r="Q1660">
        <v>0</v>
      </c>
      <c r="R1660">
        <v>0</v>
      </c>
      <c r="S1660">
        <v>0</v>
      </c>
      <c r="T1660">
        <v>0.38950000000000001</v>
      </c>
      <c r="U1660">
        <v>-3.5000000000000001E-3</v>
      </c>
      <c r="V1660">
        <v>0</v>
      </c>
      <c r="W1660">
        <v>-0.2127</v>
      </c>
      <c r="X1660">
        <v>0.1179</v>
      </c>
      <c r="Y1660">
        <v>-5.4000000000000003E-3</v>
      </c>
      <c r="Z1660">
        <v>50</v>
      </c>
      <c r="AA1660">
        <v>0.35</v>
      </c>
      <c r="AB1660">
        <v>123</v>
      </c>
      <c r="AC1660">
        <v>0.5</v>
      </c>
      <c r="AD1660">
        <v>0</v>
      </c>
      <c r="AE1660">
        <v>0</v>
      </c>
      <c r="AF1660">
        <v>0.43730000000000002</v>
      </c>
      <c r="AG1660">
        <v>22</v>
      </c>
      <c r="AH1660">
        <v>0</v>
      </c>
    </row>
    <row r="1661" spans="1:34" x14ac:dyDescent="0.35">
      <c r="A1661" t="s">
        <v>34</v>
      </c>
      <c r="B1661" s="1">
        <v>46146.65625</v>
      </c>
      <c r="C1661" t="s">
        <v>34</v>
      </c>
      <c r="D1661" s="1">
        <v>46154.625</v>
      </c>
      <c r="E1661">
        <v>6200</v>
      </c>
      <c r="F1661" t="s">
        <v>36</v>
      </c>
      <c r="G1661">
        <v>0.42</v>
      </c>
      <c r="H1661">
        <v>0.52</v>
      </c>
      <c r="I1661">
        <v>0.37</v>
      </c>
      <c r="J1661">
        <v>0.52</v>
      </c>
      <c r="K1661">
        <v>47</v>
      </c>
      <c r="L1661">
        <v>451</v>
      </c>
      <c r="M1661">
        <v>0.4</v>
      </c>
      <c r="N1661">
        <v>266</v>
      </c>
      <c r="O1661">
        <v>0.55000000000000004</v>
      </c>
      <c r="P1661">
        <v>0</v>
      </c>
      <c r="Q1661">
        <v>0</v>
      </c>
      <c r="R1661">
        <v>0</v>
      </c>
      <c r="S1661">
        <v>0</v>
      </c>
      <c r="T1661">
        <v>0.38469999999999999</v>
      </c>
      <c r="U1661">
        <v>-3.8999999999999998E-3</v>
      </c>
      <c r="V1661">
        <v>0</v>
      </c>
      <c r="W1661">
        <v>-0.2341</v>
      </c>
      <c r="X1661">
        <v>0.13020000000000001</v>
      </c>
      <c r="Y1661">
        <v>-6.0000000000000001E-3</v>
      </c>
      <c r="Z1661">
        <v>50</v>
      </c>
      <c r="AA1661">
        <v>0.35</v>
      </c>
      <c r="AB1661">
        <v>326</v>
      </c>
      <c r="AC1661">
        <v>0.55000000000000004</v>
      </c>
      <c r="AD1661">
        <v>0</v>
      </c>
      <c r="AE1661">
        <v>0</v>
      </c>
      <c r="AF1661">
        <v>0.41639999999999999</v>
      </c>
      <c r="AG1661">
        <v>103</v>
      </c>
      <c r="AH1661">
        <v>0</v>
      </c>
    </row>
    <row r="1662" spans="1:34" x14ac:dyDescent="0.35">
      <c r="A1662" t="s">
        <v>34</v>
      </c>
      <c r="B1662" s="1">
        <v>46146.65625</v>
      </c>
      <c r="C1662" t="s">
        <v>34</v>
      </c>
      <c r="D1662" s="1">
        <v>46154.625</v>
      </c>
      <c r="E1662">
        <v>6225</v>
      </c>
      <c r="F1662" t="s">
        <v>36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143</v>
      </c>
      <c r="M1662">
        <v>0.45</v>
      </c>
      <c r="N1662">
        <v>318</v>
      </c>
      <c r="O1662">
        <v>0.6</v>
      </c>
      <c r="P1662">
        <v>0</v>
      </c>
      <c r="Q1662">
        <v>0</v>
      </c>
      <c r="R1662">
        <v>0</v>
      </c>
      <c r="S1662">
        <v>0</v>
      </c>
      <c r="T1662">
        <v>0.37930000000000003</v>
      </c>
      <c r="U1662">
        <v>-4.3E-3</v>
      </c>
      <c r="V1662">
        <v>0</v>
      </c>
      <c r="W1662">
        <v>-0.255</v>
      </c>
      <c r="X1662">
        <v>0.14269999999999999</v>
      </c>
      <c r="Y1662">
        <v>-6.7000000000000002E-3</v>
      </c>
      <c r="Z1662">
        <v>49</v>
      </c>
      <c r="AA1662">
        <v>0.4</v>
      </c>
      <c r="AB1662">
        <v>117</v>
      </c>
      <c r="AC1662">
        <v>0.55000000000000004</v>
      </c>
      <c r="AD1662">
        <v>0</v>
      </c>
      <c r="AE1662">
        <v>0</v>
      </c>
      <c r="AF1662">
        <v>0</v>
      </c>
      <c r="AG1662">
        <v>82</v>
      </c>
      <c r="AH1662">
        <v>0</v>
      </c>
    </row>
    <row r="1663" spans="1:34" x14ac:dyDescent="0.35">
      <c r="A1663" t="s">
        <v>34</v>
      </c>
      <c r="B1663" s="1">
        <v>46146.65625</v>
      </c>
      <c r="C1663" t="s">
        <v>34</v>
      </c>
      <c r="D1663" s="1">
        <v>46154.625</v>
      </c>
      <c r="E1663">
        <v>6250</v>
      </c>
      <c r="F1663" t="s">
        <v>36</v>
      </c>
      <c r="G1663">
        <v>0.47</v>
      </c>
      <c r="H1663">
        <v>0.47</v>
      </c>
      <c r="I1663">
        <v>0.47</v>
      </c>
      <c r="J1663">
        <v>0.47</v>
      </c>
      <c r="K1663">
        <v>10</v>
      </c>
      <c r="L1663">
        <v>416</v>
      </c>
      <c r="M1663">
        <v>0.45</v>
      </c>
      <c r="N1663">
        <v>221</v>
      </c>
      <c r="O1663">
        <v>0.6</v>
      </c>
      <c r="P1663">
        <v>0</v>
      </c>
      <c r="Q1663">
        <v>0</v>
      </c>
      <c r="R1663">
        <v>0</v>
      </c>
      <c r="S1663">
        <v>0</v>
      </c>
      <c r="T1663">
        <v>0.36980000000000002</v>
      </c>
      <c r="U1663">
        <v>-4.4000000000000003E-3</v>
      </c>
      <c r="V1663">
        <v>0</v>
      </c>
      <c r="W1663">
        <v>-0.25419999999999998</v>
      </c>
      <c r="X1663">
        <v>0.14599999999999999</v>
      </c>
      <c r="Y1663">
        <v>-6.8999999999999999E-3</v>
      </c>
      <c r="Z1663">
        <v>115</v>
      </c>
      <c r="AA1663">
        <v>0.4</v>
      </c>
      <c r="AB1663">
        <v>124</v>
      </c>
      <c r="AC1663">
        <v>0.6</v>
      </c>
      <c r="AD1663">
        <v>0</v>
      </c>
      <c r="AE1663">
        <v>0</v>
      </c>
      <c r="AF1663">
        <v>0.47</v>
      </c>
      <c r="AG1663">
        <v>76</v>
      </c>
      <c r="AH1663">
        <v>0</v>
      </c>
    </row>
    <row r="1664" spans="1:34" x14ac:dyDescent="0.35">
      <c r="A1664" t="s">
        <v>34</v>
      </c>
      <c r="B1664" s="1">
        <v>46146.65625</v>
      </c>
      <c r="C1664" t="s">
        <v>34</v>
      </c>
      <c r="D1664" s="1">
        <v>46154.625</v>
      </c>
      <c r="E1664">
        <v>6275</v>
      </c>
      <c r="F1664" t="s">
        <v>36</v>
      </c>
      <c r="G1664">
        <v>0.5</v>
      </c>
      <c r="H1664">
        <v>0.6</v>
      </c>
      <c r="I1664">
        <v>0.5</v>
      </c>
      <c r="J1664">
        <v>0.6</v>
      </c>
      <c r="K1664">
        <v>2</v>
      </c>
      <c r="L1664">
        <v>147</v>
      </c>
      <c r="M1664">
        <v>0.5</v>
      </c>
      <c r="N1664">
        <v>272</v>
      </c>
      <c r="O1664">
        <v>0.65</v>
      </c>
      <c r="P1664">
        <v>0</v>
      </c>
      <c r="Q1664">
        <v>0</v>
      </c>
      <c r="R1664">
        <v>0</v>
      </c>
      <c r="S1664">
        <v>0</v>
      </c>
      <c r="T1664">
        <v>0.36409999999999998</v>
      </c>
      <c r="U1664">
        <v>-4.8999999999999998E-3</v>
      </c>
      <c r="V1664">
        <v>0</v>
      </c>
      <c r="W1664">
        <v>-0.27460000000000001</v>
      </c>
      <c r="X1664">
        <v>0.1593</v>
      </c>
      <c r="Y1664">
        <v>-7.6E-3</v>
      </c>
      <c r="Z1664">
        <v>48</v>
      </c>
      <c r="AA1664">
        <v>0.45</v>
      </c>
      <c r="AB1664">
        <v>122</v>
      </c>
      <c r="AC1664">
        <v>0.6</v>
      </c>
      <c r="AD1664">
        <v>0</v>
      </c>
      <c r="AE1664">
        <v>0</v>
      </c>
      <c r="AF1664">
        <v>0.55000000000000004</v>
      </c>
      <c r="AG1664">
        <v>28</v>
      </c>
      <c r="AH1664">
        <v>0</v>
      </c>
    </row>
    <row r="1665" spans="1:34" x14ac:dyDescent="0.35">
      <c r="A1665" t="s">
        <v>34</v>
      </c>
      <c r="B1665" s="1">
        <v>46146.65625</v>
      </c>
      <c r="C1665" t="s">
        <v>34</v>
      </c>
      <c r="D1665" s="1">
        <v>46154.625</v>
      </c>
      <c r="E1665">
        <v>6300</v>
      </c>
      <c r="F1665" t="s">
        <v>36</v>
      </c>
      <c r="G1665">
        <v>0.5</v>
      </c>
      <c r="H1665">
        <v>0.62</v>
      </c>
      <c r="I1665">
        <v>0.5</v>
      </c>
      <c r="J1665">
        <v>0.55000000000000004</v>
      </c>
      <c r="K1665">
        <v>4</v>
      </c>
      <c r="L1665">
        <v>103</v>
      </c>
      <c r="M1665">
        <v>0.55000000000000004</v>
      </c>
      <c r="N1665">
        <v>319</v>
      </c>
      <c r="O1665">
        <v>0.7</v>
      </c>
      <c r="P1665">
        <v>0</v>
      </c>
      <c r="Q1665">
        <v>0</v>
      </c>
      <c r="R1665">
        <v>0</v>
      </c>
      <c r="S1665">
        <v>0</v>
      </c>
      <c r="T1665">
        <v>0.35780000000000001</v>
      </c>
      <c r="U1665">
        <v>-5.4000000000000003E-3</v>
      </c>
      <c r="V1665">
        <v>0</v>
      </c>
      <c r="W1665">
        <v>-0.2944</v>
      </c>
      <c r="X1665">
        <v>0.1729</v>
      </c>
      <c r="Y1665">
        <v>-8.3000000000000001E-3</v>
      </c>
      <c r="Z1665">
        <v>48</v>
      </c>
      <c r="AA1665">
        <v>0.5</v>
      </c>
      <c r="AB1665">
        <v>109</v>
      </c>
      <c r="AC1665">
        <v>0.65</v>
      </c>
      <c r="AD1665">
        <v>0</v>
      </c>
      <c r="AE1665">
        <v>0</v>
      </c>
      <c r="AF1665">
        <v>0.57250000000000001</v>
      </c>
      <c r="AG1665">
        <v>352</v>
      </c>
      <c r="AH1665">
        <v>0</v>
      </c>
    </row>
    <row r="1666" spans="1:34" x14ac:dyDescent="0.35">
      <c r="A1666" t="s">
        <v>34</v>
      </c>
      <c r="B1666" s="1">
        <v>46146.65625</v>
      </c>
      <c r="C1666" t="s">
        <v>34</v>
      </c>
      <c r="D1666" s="1">
        <v>46154.625</v>
      </c>
      <c r="E1666">
        <v>6325</v>
      </c>
      <c r="F1666" t="s">
        <v>36</v>
      </c>
      <c r="G1666">
        <v>0.5</v>
      </c>
      <c r="H1666">
        <v>0.59</v>
      </c>
      <c r="I1666">
        <v>0.5</v>
      </c>
      <c r="J1666">
        <v>0.59</v>
      </c>
      <c r="K1666">
        <v>12</v>
      </c>
      <c r="L1666">
        <v>211</v>
      </c>
      <c r="M1666">
        <v>0.55000000000000004</v>
      </c>
      <c r="N1666">
        <v>312</v>
      </c>
      <c r="O1666">
        <v>0.7</v>
      </c>
      <c r="P1666">
        <v>0</v>
      </c>
      <c r="Q1666">
        <v>0</v>
      </c>
      <c r="R1666">
        <v>0</v>
      </c>
      <c r="S1666">
        <v>0</v>
      </c>
      <c r="T1666">
        <v>0.34839999999999999</v>
      </c>
      <c r="U1666">
        <v>-5.4999999999999997E-3</v>
      </c>
      <c r="V1666">
        <v>0</v>
      </c>
      <c r="W1666">
        <v>-0.29339999999999999</v>
      </c>
      <c r="X1666">
        <v>0.17710000000000001</v>
      </c>
      <c r="Y1666">
        <v>-8.5000000000000006E-3</v>
      </c>
      <c r="Z1666">
        <v>18</v>
      </c>
      <c r="AA1666">
        <v>0.55000000000000004</v>
      </c>
      <c r="AB1666">
        <v>246</v>
      </c>
      <c r="AC1666">
        <v>0.7</v>
      </c>
      <c r="AD1666">
        <v>0</v>
      </c>
      <c r="AE1666">
        <v>0</v>
      </c>
      <c r="AF1666">
        <v>0.51500000000000001</v>
      </c>
      <c r="AG1666">
        <v>124</v>
      </c>
      <c r="AH1666">
        <v>0</v>
      </c>
    </row>
    <row r="1667" spans="1:34" x14ac:dyDescent="0.35">
      <c r="A1667" t="s">
        <v>34</v>
      </c>
      <c r="B1667" s="1">
        <v>46146.65625</v>
      </c>
      <c r="C1667" t="s">
        <v>34</v>
      </c>
      <c r="D1667" s="1">
        <v>46154.625</v>
      </c>
      <c r="E1667">
        <v>6350</v>
      </c>
      <c r="F1667" t="s">
        <v>36</v>
      </c>
      <c r="G1667">
        <v>0.9</v>
      </c>
      <c r="H1667">
        <v>0.9</v>
      </c>
      <c r="I1667">
        <v>0.72</v>
      </c>
      <c r="J1667">
        <v>0.72</v>
      </c>
      <c r="K1667">
        <v>3</v>
      </c>
      <c r="L1667">
        <v>155</v>
      </c>
      <c r="M1667">
        <v>0.6</v>
      </c>
      <c r="N1667">
        <v>217</v>
      </c>
      <c r="O1667">
        <v>0.75</v>
      </c>
      <c r="P1667">
        <v>0</v>
      </c>
      <c r="Q1667">
        <v>0</v>
      </c>
      <c r="R1667">
        <v>0</v>
      </c>
      <c r="S1667">
        <v>0</v>
      </c>
      <c r="T1667">
        <v>0.34179999999999999</v>
      </c>
      <c r="U1667">
        <v>-6.0000000000000001E-3</v>
      </c>
      <c r="V1667">
        <v>1E-4</v>
      </c>
      <c r="W1667">
        <v>-0.31269999999999998</v>
      </c>
      <c r="X1667">
        <v>0.1913</v>
      </c>
      <c r="Y1667">
        <v>-9.2999999999999992E-3</v>
      </c>
      <c r="Z1667">
        <v>103</v>
      </c>
      <c r="AA1667">
        <v>0.55000000000000004</v>
      </c>
      <c r="AB1667">
        <v>321</v>
      </c>
      <c r="AC1667">
        <v>0.75</v>
      </c>
      <c r="AD1667">
        <v>0</v>
      </c>
      <c r="AE1667">
        <v>0</v>
      </c>
      <c r="AF1667">
        <v>0.78</v>
      </c>
      <c r="AG1667">
        <v>257</v>
      </c>
      <c r="AH1667">
        <v>0</v>
      </c>
    </row>
    <row r="1668" spans="1:34" x14ac:dyDescent="0.35">
      <c r="A1668" t="s">
        <v>34</v>
      </c>
      <c r="B1668" s="1">
        <v>46146.65625</v>
      </c>
      <c r="C1668" t="s">
        <v>34</v>
      </c>
      <c r="D1668" s="1">
        <v>46154.625</v>
      </c>
      <c r="E1668">
        <v>6375</v>
      </c>
      <c r="F1668" t="s">
        <v>36</v>
      </c>
      <c r="G1668">
        <v>0.56999999999999995</v>
      </c>
      <c r="H1668">
        <v>0.72</v>
      </c>
      <c r="I1668">
        <v>0.56999999999999995</v>
      </c>
      <c r="J1668">
        <v>0.72</v>
      </c>
      <c r="K1668">
        <v>18</v>
      </c>
      <c r="L1668">
        <v>146</v>
      </c>
      <c r="M1668">
        <v>0.65</v>
      </c>
      <c r="N1668">
        <v>229</v>
      </c>
      <c r="O1668">
        <v>0.8</v>
      </c>
      <c r="P1668">
        <v>0</v>
      </c>
      <c r="Q1668">
        <v>0</v>
      </c>
      <c r="R1668">
        <v>0</v>
      </c>
      <c r="S1668">
        <v>0</v>
      </c>
      <c r="T1668">
        <v>0.33510000000000001</v>
      </c>
      <c r="U1668">
        <v>-6.4999999999999997E-3</v>
      </c>
      <c r="V1668">
        <v>1E-4</v>
      </c>
      <c r="W1668">
        <v>-0.33150000000000002</v>
      </c>
      <c r="X1668">
        <v>0.20569999999999999</v>
      </c>
      <c r="Y1668">
        <v>-1.01E-2</v>
      </c>
      <c r="Z1668">
        <v>100</v>
      </c>
      <c r="AA1668">
        <v>0.6</v>
      </c>
      <c r="AB1668">
        <v>101</v>
      </c>
      <c r="AC1668">
        <v>0.75</v>
      </c>
      <c r="AD1668">
        <v>0</v>
      </c>
      <c r="AE1668">
        <v>0</v>
      </c>
      <c r="AF1668">
        <v>0.63670000000000004</v>
      </c>
      <c r="AG1668">
        <v>129</v>
      </c>
      <c r="AH1668">
        <v>0</v>
      </c>
    </row>
    <row r="1669" spans="1:34" x14ac:dyDescent="0.35">
      <c r="A1669" t="s">
        <v>34</v>
      </c>
      <c r="B1669" s="1">
        <v>46146.65625</v>
      </c>
      <c r="C1669" t="s">
        <v>34</v>
      </c>
      <c r="D1669" s="1">
        <v>46154.625</v>
      </c>
      <c r="E1669">
        <v>6400</v>
      </c>
      <c r="F1669" t="s">
        <v>36</v>
      </c>
      <c r="G1669">
        <v>0.65</v>
      </c>
      <c r="H1669">
        <v>1.3</v>
      </c>
      <c r="I1669">
        <v>0.65</v>
      </c>
      <c r="J1669">
        <v>0.83</v>
      </c>
      <c r="K1669">
        <v>12</v>
      </c>
      <c r="L1669">
        <v>61</v>
      </c>
      <c r="M1669">
        <v>0.7</v>
      </c>
      <c r="N1669">
        <v>224</v>
      </c>
      <c r="O1669">
        <v>0.85</v>
      </c>
      <c r="P1669">
        <v>0</v>
      </c>
      <c r="Q1669">
        <v>0</v>
      </c>
      <c r="R1669">
        <v>0</v>
      </c>
      <c r="S1669">
        <v>0</v>
      </c>
      <c r="T1669">
        <v>0.32800000000000001</v>
      </c>
      <c r="U1669">
        <v>-7.0000000000000001E-3</v>
      </c>
      <c r="V1669">
        <v>1E-4</v>
      </c>
      <c r="W1669">
        <v>-0.34989999999999999</v>
      </c>
      <c r="X1669">
        <v>0.22070000000000001</v>
      </c>
      <c r="Y1669">
        <v>-1.09E-2</v>
      </c>
      <c r="Z1669">
        <v>48</v>
      </c>
      <c r="AA1669">
        <v>0.65</v>
      </c>
      <c r="AB1669">
        <v>108</v>
      </c>
      <c r="AC1669">
        <v>0.8</v>
      </c>
      <c r="AD1669">
        <v>0</v>
      </c>
      <c r="AE1669">
        <v>0</v>
      </c>
      <c r="AF1669">
        <v>0.90580000000000005</v>
      </c>
      <c r="AG1669">
        <v>281</v>
      </c>
      <c r="AH1669">
        <v>0</v>
      </c>
    </row>
    <row r="1670" spans="1:34" x14ac:dyDescent="0.35">
      <c r="A1670" t="s">
        <v>34</v>
      </c>
      <c r="B1670" s="1">
        <v>46146.65625</v>
      </c>
      <c r="C1670" t="s">
        <v>34</v>
      </c>
      <c r="D1670" s="1">
        <v>46154.625</v>
      </c>
      <c r="E1670">
        <v>6425</v>
      </c>
      <c r="F1670" t="s">
        <v>36</v>
      </c>
      <c r="G1670">
        <v>0.68</v>
      </c>
      <c r="H1670">
        <v>0.68</v>
      </c>
      <c r="I1670">
        <v>0.68</v>
      </c>
      <c r="J1670">
        <v>0.68</v>
      </c>
      <c r="K1670">
        <v>20</v>
      </c>
      <c r="L1670">
        <v>61</v>
      </c>
      <c r="M1670">
        <v>0.75</v>
      </c>
      <c r="N1670">
        <v>206</v>
      </c>
      <c r="O1670">
        <v>0.9</v>
      </c>
      <c r="P1670">
        <v>0</v>
      </c>
      <c r="Q1670">
        <v>0</v>
      </c>
      <c r="R1670">
        <v>0</v>
      </c>
      <c r="S1670">
        <v>0</v>
      </c>
      <c r="T1670">
        <v>0.32069999999999999</v>
      </c>
      <c r="U1670">
        <v>-7.6E-3</v>
      </c>
      <c r="V1670">
        <v>1E-4</v>
      </c>
      <c r="W1670">
        <v>-0.3679</v>
      </c>
      <c r="X1670">
        <v>0.23619999999999999</v>
      </c>
      <c r="Y1670">
        <v>-1.18E-2</v>
      </c>
      <c r="Z1670">
        <v>48</v>
      </c>
      <c r="AA1670">
        <v>0.7</v>
      </c>
      <c r="AB1670">
        <v>96</v>
      </c>
      <c r="AC1670">
        <v>0.85</v>
      </c>
      <c r="AD1670">
        <v>0</v>
      </c>
      <c r="AE1670">
        <v>0</v>
      </c>
      <c r="AF1670">
        <v>0.68</v>
      </c>
      <c r="AG1670">
        <v>29</v>
      </c>
      <c r="AH1670">
        <v>0</v>
      </c>
    </row>
    <row r="1671" spans="1:34" x14ac:dyDescent="0.35">
      <c r="A1671" t="s">
        <v>34</v>
      </c>
      <c r="B1671" s="1">
        <v>46146.65625</v>
      </c>
      <c r="C1671" t="s">
        <v>34</v>
      </c>
      <c r="D1671" s="1">
        <v>46154.625</v>
      </c>
      <c r="E1671">
        <v>6450</v>
      </c>
      <c r="F1671" t="s">
        <v>36</v>
      </c>
      <c r="G1671">
        <v>0.7</v>
      </c>
      <c r="H1671">
        <v>0.7</v>
      </c>
      <c r="I1671">
        <v>0.7</v>
      </c>
      <c r="J1671">
        <v>0.7</v>
      </c>
      <c r="K1671">
        <v>1</v>
      </c>
      <c r="L1671">
        <v>145</v>
      </c>
      <c r="M1671">
        <v>0.8</v>
      </c>
      <c r="N1671">
        <v>287</v>
      </c>
      <c r="O1671">
        <v>0.95</v>
      </c>
      <c r="P1671">
        <v>0</v>
      </c>
      <c r="Q1671">
        <v>0</v>
      </c>
      <c r="R1671">
        <v>0</v>
      </c>
      <c r="S1671">
        <v>0</v>
      </c>
      <c r="T1671">
        <v>0.31340000000000001</v>
      </c>
      <c r="U1671">
        <v>-8.2000000000000007E-3</v>
      </c>
      <c r="V1671">
        <v>1E-4</v>
      </c>
      <c r="W1671">
        <v>-0.38540000000000002</v>
      </c>
      <c r="X1671">
        <v>0.25240000000000001</v>
      </c>
      <c r="Y1671">
        <v>-1.2699999999999999E-2</v>
      </c>
      <c r="Z1671">
        <v>93</v>
      </c>
      <c r="AA1671">
        <v>0.75</v>
      </c>
      <c r="AB1671">
        <v>100</v>
      </c>
      <c r="AC1671">
        <v>0.9</v>
      </c>
      <c r="AD1671">
        <v>0</v>
      </c>
      <c r="AE1671">
        <v>0</v>
      </c>
      <c r="AF1671">
        <v>0.7</v>
      </c>
      <c r="AG1671">
        <v>71</v>
      </c>
      <c r="AH1671">
        <v>0</v>
      </c>
    </row>
    <row r="1672" spans="1:34" x14ac:dyDescent="0.35">
      <c r="A1672" t="s">
        <v>34</v>
      </c>
      <c r="B1672" s="1">
        <v>46146.65625</v>
      </c>
      <c r="C1672" t="s">
        <v>34</v>
      </c>
      <c r="D1672" s="1">
        <v>46154.625</v>
      </c>
      <c r="E1672">
        <v>6475</v>
      </c>
      <c r="F1672" t="s">
        <v>36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185</v>
      </c>
      <c r="M1672">
        <v>0.85</v>
      </c>
      <c r="N1672">
        <v>196</v>
      </c>
      <c r="O1672">
        <v>1</v>
      </c>
      <c r="P1672">
        <v>0</v>
      </c>
      <c r="Q1672">
        <v>0</v>
      </c>
      <c r="R1672">
        <v>0</v>
      </c>
      <c r="S1672">
        <v>0</v>
      </c>
      <c r="T1672">
        <v>0.30570000000000003</v>
      </c>
      <c r="U1672">
        <v>-8.8000000000000005E-3</v>
      </c>
      <c r="V1672">
        <v>1E-4</v>
      </c>
      <c r="W1672">
        <v>-0.40250000000000002</v>
      </c>
      <c r="X1672">
        <v>0.26939999999999997</v>
      </c>
      <c r="Y1672">
        <v>-1.3599999999999999E-2</v>
      </c>
      <c r="Z1672">
        <v>90</v>
      </c>
      <c r="AA1672">
        <v>0.8</v>
      </c>
      <c r="AB1672">
        <v>192</v>
      </c>
      <c r="AC1672">
        <v>1</v>
      </c>
      <c r="AD1672">
        <v>0</v>
      </c>
      <c r="AE1672">
        <v>0</v>
      </c>
      <c r="AF1672">
        <v>0</v>
      </c>
      <c r="AG1672">
        <v>32</v>
      </c>
      <c r="AH1672">
        <v>0</v>
      </c>
    </row>
    <row r="1673" spans="1:34" x14ac:dyDescent="0.35">
      <c r="A1673" t="s">
        <v>34</v>
      </c>
      <c r="B1673" s="1">
        <v>46146.65625</v>
      </c>
      <c r="C1673" t="s">
        <v>34</v>
      </c>
      <c r="D1673" s="1">
        <v>46154.625</v>
      </c>
      <c r="E1673">
        <v>6480</v>
      </c>
      <c r="F1673" t="s">
        <v>36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145</v>
      </c>
      <c r="M1673">
        <v>0.9</v>
      </c>
      <c r="N1673">
        <v>200</v>
      </c>
      <c r="O1673">
        <v>1.05</v>
      </c>
      <c r="P1673">
        <v>0</v>
      </c>
      <c r="Q1673">
        <v>0</v>
      </c>
      <c r="R1673">
        <v>0</v>
      </c>
      <c r="S1673">
        <v>0</v>
      </c>
      <c r="T1673">
        <v>0.30580000000000002</v>
      </c>
      <c r="U1673">
        <v>-9.1999999999999998E-3</v>
      </c>
      <c r="V1673">
        <v>1E-4</v>
      </c>
      <c r="W1673">
        <v>-0.42080000000000001</v>
      </c>
      <c r="X1673">
        <v>0.28039999999999998</v>
      </c>
      <c r="Y1673">
        <v>-1.43E-2</v>
      </c>
      <c r="Z1673">
        <v>47</v>
      </c>
      <c r="AA1673">
        <v>0.85</v>
      </c>
      <c r="AB1673">
        <v>169</v>
      </c>
      <c r="AC1673">
        <v>1</v>
      </c>
      <c r="AD1673">
        <v>0</v>
      </c>
      <c r="AE1673">
        <v>0</v>
      </c>
      <c r="AF1673">
        <v>0</v>
      </c>
      <c r="AG1673">
        <v>89</v>
      </c>
      <c r="AH1673">
        <v>0</v>
      </c>
    </row>
    <row r="1674" spans="1:34" x14ac:dyDescent="0.35">
      <c r="A1674" t="s">
        <v>34</v>
      </c>
      <c r="B1674" s="1">
        <v>46146.65625</v>
      </c>
      <c r="C1674" t="s">
        <v>34</v>
      </c>
      <c r="D1674" s="1">
        <v>46154.625</v>
      </c>
      <c r="E1674">
        <v>6490</v>
      </c>
      <c r="F1674" t="s">
        <v>36</v>
      </c>
      <c r="G1674">
        <v>1.27</v>
      </c>
      <c r="H1674">
        <v>1.27</v>
      </c>
      <c r="I1674">
        <v>1.27</v>
      </c>
      <c r="J1674">
        <v>1.27</v>
      </c>
      <c r="K1674">
        <v>2</v>
      </c>
      <c r="L1674">
        <v>145</v>
      </c>
      <c r="M1674">
        <v>0.9</v>
      </c>
      <c r="N1674">
        <v>148</v>
      </c>
      <c r="O1674">
        <v>1.05</v>
      </c>
      <c r="P1674">
        <v>0</v>
      </c>
      <c r="Q1674">
        <v>0</v>
      </c>
      <c r="R1674">
        <v>0</v>
      </c>
      <c r="S1674">
        <v>0</v>
      </c>
      <c r="T1674">
        <v>0.30180000000000001</v>
      </c>
      <c r="U1674">
        <v>-9.2999999999999992E-3</v>
      </c>
      <c r="V1674">
        <v>1E-4</v>
      </c>
      <c r="W1674">
        <v>-0.4199</v>
      </c>
      <c r="X1674">
        <v>0.28370000000000001</v>
      </c>
      <c r="Y1674">
        <v>-1.4500000000000001E-2</v>
      </c>
      <c r="Z1674">
        <v>81</v>
      </c>
      <c r="AA1674">
        <v>0.85</v>
      </c>
      <c r="AB1674">
        <v>198</v>
      </c>
      <c r="AC1674">
        <v>1.05</v>
      </c>
      <c r="AD1674">
        <v>0</v>
      </c>
      <c r="AE1674">
        <v>0</v>
      </c>
      <c r="AF1674">
        <v>1.27</v>
      </c>
      <c r="AG1674">
        <v>72</v>
      </c>
      <c r="AH1674">
        <v>0</v>
      </c>
    </row>
    <row r="1675" spans="1:34" x14ac:dyDescent="0.35">
      <c r="A1675" t="s">
        <v>34</v>
      </c>
      <c r="B1675" s="1">
        <v>46146.65625</v>
      </c>
      <c r="C1675" t="s">
        <v>34</v>
      </c>
      <c r="D1675" s="1">
        <v>46154.625</v>
      </c>
      <c r="E1675">
        <v>6500</v>
      </c>
      <c r="F1675" t="s">
        <v>36</v>
      </c>
      <c r="G1675">
        <v>0.94</v>
      </c>
      <c r="H1675">
        <v>1.8</v>
      </c>
      <c r="I1675">
        <v>0.85</v>
      </c>
      <c r="J1675">
        <v>1</v>
      </c>
      <c r="K1675">
        <v>15</v>
      </c>
      <c r="L1675">
        <v>139</v>
      </c>
      <c r="M1675">
        <v>0.95</v>
      </c>
      <c r="N1675">
        <v>220</v>
      </c>
      <c r="O1675">
        <v>1.1000000000000001</v>
      </c>
      <c r="P1675">
        <v>0</v>
      </c>
      <c r="Q1675">
        <v>0</v>
      </c>
      <c r="R1675">
        <v>0</v>
      </c>
      <c r="S1675">
        <v>0</v>
      </c>
      <c r="T1675">
        <v>0.29980000000000001</v>
      </c>
      <c r="U1675">
        <v>-9.7999999999999997E-3</v>
      </c>
      <c r="V1675">
        <v>1E-4</v>
      </c>
      <c r="W1675">
        <v>-0.4375</v>
      </c>
      <c r="X1675">
        <v>0.29630000000000001</v>
      </c>
      <c r="Y1675">
        <v>-1.52E-2</v>
      </c>
      <c r="Z1675">
        <v>36</v>
      </c>
      <c r="AA1675">
        <v>0.9</v>
      </c>
      <c r="AB1675">
        <v>83</v>
      </c>
      <c r="AC1675">
        <v>1.05</v>
      </c>
      <c r="AD1675">
        <v>0</v>
      </c>
      <c r="AE1675">
        <v>0</v>
      </c>
      <c r="AF1675">
        <v>0.98470000000000002</v>
      </c>
      <c r="AG1675">
        <v>191</v>
      </c>
      <c r="AH1675">
        <v>0</v>
      </c>
    </row>
    <row r="1676" spans="1:34" x14ac:dyDescent="0.35">
      <c r="A1676" t="s">
        <v>34</v>
      </c>
      <c r="B1676" s="1">
        <v>46146.65625</v>
      </c>
      <c r="C1676" t="s">
        <v>34</v>
      </c>
      <c r="D1676" s="1">
        <v>46154.625</v>
      </c>
      <c r="E1676">
        <v>6510</v>
      </c>
      <c r="F1676" t="s">
        <v>36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107</v>
      </c>
      <c r="M1676">
        <v>0.95</v>
      </c>
      <c r="N1676">
        <v>203</v>
      </c>
      <c r="O1676">
        <v>1.1499999999999999</v>
      </c>
      <c r="P1676">
        <v>0</v>
      </c>
      <c r="Q1676">
        <v>0</v>
      </c>
      <c r="R1676">
        <v>0</v>
      </c>
      <c r="S1676">
        <v>0</v>
      </c>
      <c r="T1676">
        <v>0.29680000000000001</v>
      </c>
      <c r="U1676">
        <v>-1.01E-2</v>
      </c>
      <c r="V1676">
        <v>1E-4</v>
      </c>
      <c r="W1676">
        <v>-0.44569999999999999</v>
      </c>
      <c r="X1676">
        <v>0.3044</v>
      </c>
      <c r="Y1676">
        <v>-1.5699999999999999E-2</v>
      </c>
      <c r="Z1676">
        <v>75</v>
      </c>
      <c r="AA1676">
        <v>0.9</v>
      </c>
      <c r="AB1676">
        <v>171</v>
      </c>
      <c r="AC1676">
        <v>1.1000000000000001</v>
      </c>
      <c r="AD1676">
        <v>0</v>
      </c>
      <c r="AE1676">
        <v>0</v>
      </c>
      <c r="AF1676">
        <v>0</v>
      </c>
      <c r="AG1676">
        <v>43</v>
      </c>
      <c r="AH1676">
        <v>0</v>
      </c>
    </row>
    <row r="1677" spans="1:34" x14ac:dyDescent="0.35">
      <c r="A1677" t="s">
        <v>34</v>
      </c>
      <c r="B1677" s="1">
        <v>46146.65625</v>
      </c>
      <c r="C1677" t="s">
        <v>34</v>
      </c>
      <c r="D1677" s="1">
        <v>46154.625</v>
      </c>
      <c r="E1677">
        <v>6520</v>
      </c>
      <c r="F1677" t="s">
        <v>36</v>
      </c>
      <c r="G1677">
        <v>1.42</v>
      </c>
      <c r="H1677">
        <v>1.42</v>
      </c>
      <c r="I1677">
        <v>1.42</v>
      </c>
      <c r="J1677">
        <v>1.42</v>
      </c>
      <c r="K1677">
        <v>2</v>
      </c>
      <c r="L1677">
        <v>132</v>
      </c>
      <c r="M1677">
        <v>1</v>
      </c>
      <c r="N1677">
        <v>260</v>
      </c>
      <c r="O1677">
        <v>1.1499999999999999</v>
      </c>
      <c r="P1677">
        <v>0</v>
      </c>
      <c r="Q1677">
        <v>0</v>
      </c>
      <c r="R1677">
        <v>0</v>
      </c>
      <c r="S1677">
        <v>0</v>
      </c>
      <c r="T1677">
        <v>0.29370000000000002</v>
      </c>
      <c r="U1677">
        <v>-1.04E-2</v>
      </c>
      <c r="V1677">
        <v>1E-4</v>
      </c>
      <c r="W1677">
        <v>-0.45379999999999998</v>
      </c>
      <c r="X1677">
        <v>0.3125</v>
      </c>
      <c r="Y1677">
        <v>-1.6199999999999999E-2</v>
      </c>
      <c r="Z1677">
        <v>36</v>
      </c>
      <c r="AA1677">
        <v>0.95</v>
      </c>
      <c r="AB1677">
        <v>89</v>
      </c>
      <c r="AC1677">
        <v>1.1000000000000001</v>
      </c>
      <c r="AD1677">
        <v>0</v>
      </c>
      <c r="AE1677">
        <v>0</v>
      </c>
      <c r="AF1677">
        <v>1.42</v>
      </c>
      <c r="AG1677">
        <v>101</v>
      </c>
      <c r="AH1677">
        <v>0</v>
      </c>
    </row>
    <row r="1678" spans="1:34" x14ac:dyDescent="0.35">
      <c r="A1678" t="s">
        <v>34</v>
      </c>
      <c r="B1678" s="1">
        <v>46146.65625</v>
      </c>
      <c r="C1678" t="s">
        <v>34</v>
      </c>
      <c r="D1678" s="1">
        <v>46154.625</v>
      </c>
      <c r="E1678">
        <v>6525</v>
      </c>
      <c r="F1678" t="s">
        <v>36</v>
      </c>
      <c r="G1678">
        <v>0.9</v>
      </c>
      <c r="H1678">
        <v>1.26</v>
      </c>
      <c r="I1678">
        <v>0.9</v>
      </c>
      <c r="J1678">
        <v>1.26</v>
      </c>
      <c r="K1678">
        <v>2</v>
      </c>
      <c r="L1678">
        <v>2</v>
      </c>
      <c r="M1678">
        <v>1.05</v>
      </c>
      <c r="N1678">
        <v>192</v>
      </c>
      <c r="O1678">
        <v>1.2</v>
      </c>
      <c r="P1678">
        <v>0</v>
      </c>
      <c r="Q1678">
        <v>0</v>
      </c>
      <c r="R1678">
        <v>0</v>
      </c>
      <c r="S1678">
        <v>0</v>
      </c>
      <c r="T1678">
        <v>0.29260000000000003</v>
      </c>
      <c r="U1678">
        <v>-1.0699999999999999E-2</v>
      </c>
      <c r="V1678">
        <v>1E-4</v>
      </c>
      <c r="W1678">
        <v>-0.46239999999999998</v>
      </c>
      <c r="X1678">
        <v>0.31900000000000001</v>
      </c>
      <c r="Y1678">
        <v>-1.66E-2</v>
      </c>
      <c r="Z1678">
        <v>74</v>
      </c>
      <c r="AA1678">
        <v>0.95</v>
      </c>
      <c r="AB1678">
        <v>167</v>
      </c>
      <c r="AC1678">
        <v>1.1499999999999999</v>
      </c>
      <c r="AD1678">
        <v>0</v>
      </c>
      <c r="AE1678">
        <v>0</v>
      </c>
      <c r="AF1678">
        <v>1.08</v>
      </c>
      <c r="AG1678">
        <v>71</v>
      </c>
      <c r="AH1678">
        <v>0</v>
      </c>
    </row>
    <row r="1679" spans="1:34" x14ac:dyDescent="0.35">
      <c r="A1679" t="s">
        <v>34</v>
      </c>
      <c r="B1679" s="1">
        <v>46146.65625</v>
      </c>
      <c r="C1679" t="s">
        <v>34</v>
      </c>
      <c r="D1679" s="1">
        <v>46154.625</v>
      </c>
      <c r="E1679">
        <v>6530</v>
      </c>
      <c r="F1679" t="s">
        <v>36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132</v>
      </c>
      <c r="M1679">
        <v>1.05</v>
      </c>
      <c r="N1679">
        <v>253</v>
      </c>
      <c r="O1679">
        <v>1.2</v>
      </c>
      <c r="P1679">
        <v>0</v>
      </c>
      <c r="Q1679">
        <v>0</v>
      </c>
      <c r="R1679">
        <v>0</v>
      </c>
      <c r="S1679">
        <v>0</v>
      </c>
      <c r="T1679">
        <v>0.29139999999999999</v>
      </c>
      <c r="U1679">
        <v>-1.09E-2</v>
      </c>
      <c r="V1679">
        <v>1E-4</v>
      </c>
      <c r="W1679">
        <v>-0.47089999999999999</v>
      </c>
      <c r="X1679">
        <v>0.32550000000000001</v>
      </c>
      <c r="Y1679">
        <v>-1.7000000000000001E-2</v>
      </c>
      <c r="Z1679">
        <v>37</v>
      </c>
      <c r="AA1679">
        <v>1</v>
      </c>
      <c r="AB1679">
        <v>89</v>
      </c>
      <c r="AC1679">
        <v>1.1499999999999999</v>
      </c>
      <c r="AD1679">
        <v>0</v>
      </c>
      <c r="AE1679">
        <v>0</v>
      </c>
      <c r="AF1679">
        <v>0</v>
      </c>
      <c r="AG1679">
        <v>7</v>
      </c>
      <c r="AH1679">
        <v>0</v>
      </c>
    </row>
    <row r="1680" spans="1:34" x14ac:dyDescent="0.35">
      <c r="A1680" t="s">
        <v>34</v>
      </c>
      <c r="B1680" s="1">
        <v>46146.65625</v>
      </c>
      <c r="C1680" t="s">
        <v>34</v>
      </c>
      <c r="D1680" s="1">
        <v>46154.625</v>
      </c>
      <c r="E1680">
        <v>6540</v>
      </c>
      <c r="F1680" t="s">
        <v>36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147</v>
      </c>
      <c r="M1680">
        <v>1.1000000000000001</v>
      </c>
      <c r="N1680">
        <v>169</v>
      </c>
      <c r="O1680">
        <v>1.25</v>
      </c>
      <c r="P1680">
        <v>0</v>
      </c>
      <c r="Q1680">
        <v>0</v>
      </c>
      <c r="R1680">
        <v>0</v>
      </c>
      <c r="S1680">
        <v>0</v>
      </c>
      <c r="T1680">
        <v>0.28910000000000002</v>
      </c>
      <c r="U1680">
        <v>-1.15E-2</v>
      </c>
      <c r="V1680">
        <v>1E-4</v>
      </c>
      <c r="W1680">
        <v>-0.48759999999999998</v>
      </c>
      <c r="X1680">
        <v>0.33860000000000001</v>
      </c>
      <c r="Y1680">
        <v>-1.78E-2</v>
      </c>
      <c r="Z1680">
        <v>74</v>
      </c>
      <c r="AA1680">
        <v>1</v>
      </c>
      <c r="AB1680">
        <v>160</v>
      </c>
      <c r="AC1680">
        <v>1.2</v>
      </c>
      <c r="AD1680">
        <v>0</v>
      </c>
      <c r="AE1680">
        <v>0</v>
      </c>
      <c r="AF1680">
        <v>0</v>
      </c>
      <c r="AG1680">
        <v>12</v>
      </c>
      <c r="AH1680">
        <v>0</v>
      </c>
    </row>
    <row r="1681" spans="1:34" x14ac:dyDescent="0.35">
      <c r="A1681" t="s">
        <v>34</v>
      </c>
      <c r="B1681" s="1">
        <v>46146.65625</v>
      </c>
      <c r="C1681" t="s">
        <v>34</v>
      </c>
      <c r="D1681" s="1">
        <v>46154.625</v>
      </c>
      <c r="E1681">
        <v>6550</v>
      </c>
      <c r="F1681" t="s">
        <v>36</v>
      </c>
      <c r="G1681">
        <v>1.1499999999999999</v>
      </c>
      <c r="H1681">
        <v>1.72</v>
      </c>
      <c r="I1681">
        <v>1.05</v>
      </c>
      <c r="J1681">
        <v>1.33</v>
      </c>
      <c r="K1681">
        <v>9</v>
      </c>
      <c r="L1681">
        <v>178</v>
      </c>
      <c r="M1681">
        <v>1.1000000000000001</v>
      </c>
      <c r="N1681">
        <v>186</v>
      </c>
      <c r="O1681">
        <v>1.3</v>
      </c>
      <c r="P1681">
        <v>0</v>
      </c>
      <c r="Q1681">
        <v>0</v>
      </c>
      <c r="R1681">
        <v>0</v>
      </c>
      <c r="S1681">
        <v>0</v>
      </c>
      <c r="T1681">
        <v>0.28589999999999999</v>
      </c>
      <c r="U1681">
        <v>-1.18E-2</v>
      </c>
      <c r="V1681">
        <v>1E-4</v>
      </c>
      <c r="W1681">
        <v>-0.49530000000000002</v>
      </c>
      <c r="X1681">
        <v>0.34720000000000001</v>
      </c>
      <c r="Y1681">
        <v>-1.83E-2</v>
      </c>
      <c r="Z1681">
        <v>73</v>
      </c>
      <c r="AA1681">
        <v>1.05</v>
      </c>
      <c r="AB1681">
        <v>175</v>
      </c>
      <c r="AC1681">
        <v>1.25</v>
      </c>
      <c r="AD1681">
        <v>0</v>
      </c>
      <c r="AE1681">
        <v>0</v>
      </c>
      <c r="AF1681">
        <v>1.3022</v>
      </c>
      <c r="AG1681">
        <v>102</v>
      </c>
      <c r="AH1681">
        <v>0</v>
      </c>
    </row>
    <row r="1682" spans="1:34" x14ac:dyDescent="0.35">
      <c r="A1682" t="s">
        <v>34</v>
      </c>
      <c r="B1682" s="1">
        <v>46146.65625</v>
      </c>
      <c r="C1682" t="s">
        <v>34</v>
      </c>
      <c r="D1682" s="1">
        <v>46154.625</v>
      </c>
      <c r="E1682">
        <v>6560</v>
      </c>
      <c r="F1682" t="s">
        <v>36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131</v>
      </c>
      <c r="M1682">
        <v>1.1499999999999999</v>
      </c>
      <c r="N1682">
        <v>72</v>
      </c>
      <c r="O1682">
        <v>1.3</v>
      </c>
      <c r="P1682">
        <v>0</v>
      </c>
      <c r="Q1682">
        <v>0</v>
      </c>
      <c r="R1682">
        <v>0</v>
      </c>
      <c r="S1682">
        <v>0</v>
      </c>
      <c r="T1682">
        <v>0.28249999999999997</v>
      </c>
      <c r="U1682">
        <v>-1.21E-2</v>
      </c>
      <c r="V1682">
        <v>1E-4</v>
      </c>
      <c r="W1682">
        <v>-0.50290000000000001</v>
      </c>
      <c r="X1682">
        <v>0.35630000000000001</v>
      </c>
      <c r="Y1682">
        <v>-1.8800000000000001E-2</v>
      </c>
      <c r="Z1682">
        <v>38</v>
      </c>
      <c r="AA1682">
        <v>1.1000000000000001</v>
      </c>
      <c r="AB1682">
        <v>84</v>
      </c>
      <c r="AC1682">
        <v>1.25</v>
      </c>
      <c r="AD1682">
        <v>0</v>
      </c>
      <c r="AE1682">
        <v>0</v>
      </c>
      <c r="AF1682">
        <v>0</v>
      </c>
      <c r="AG1682">
        <v>25</v>
      </c>
      <c r="AH1682">
        <v>0</v>
      </c>
    </row>
    <row r="1683" spans="1:34" x14ac:dyDescent="0.35">
      <c r="A1683" t="s">
        <v>34</v>
      </c>
      <c r="B1683" s="1">
        <v>46146.65625</v>
      </c>
      <c r="C1683" t="s">
        <v>34</v>
      </c>
      <c r="D1683" s="1">
        <v>46154.625</v>
      </c>
      <c r="E1683">
        <v>6570</v>
      </c>
      <c r="F1683" t="s">
        <v>36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131</v>
      </c>
      <c r="M1683">
        <v>1.2</v>
      </c>
      <c r="N1683">
        <v>177</v>
      </c>
      <c r="O1683">
        <v>1.35</v>
      </c>
      <c r="P1683">
        <v>0</v>
      </c>
      <c r="Q1683">
        <v>0</v>
      </c>
      <c r="R1683">
        <v>0</v>
      </c>
      <c r="S1683">
        <v>0</v>
      </c>
      <c r="T1683">
        <v>0.28010000000000002</v>
      </c>
      <c r="U1683">
        <v>-1.2699999999999999E-2</v>
      </c>
      <c r="V1683">
        <v>1E-4</v>
      </c>
      <c r="W1683">
        <v>-0.51910000000000001</v>
      </c>
      <c r="X1683">
        <v>0.36990000000000001</v>
      </c>
      <c r="Y1683">
        <v>-1.9699999999999999E-2</v>
      </c>
      <c r="Z1683">
        <v>38</v>
      </c>
      <c r="AA1683">
        <v>1.1499999999999999</v>
      </c>
      <c r="AB1683">
        <v>81</v>
      </c>
      <c r="AC1683">
        <v>1.3</v>
      </c>
      <c r="AD1683">
        <v>0</v>
      </c>
      <c r="AE1683">
        <v>0</v>
      </c>
      <c r="AF1683">
        <v>0</v>
      </c>
      <c r="AG1683">
        <v>5</v>
      </c>
      <c r="AH1683">
        <v>0</v>
      </c>
    </row>
    <row r="1684" spans="1:34" x14ac:dyDescent="0.35">
      <c r="A1684" t="s">
        <v>34</v>
      </c>
      <c r="B1684" s="1">
        <v>46146.65625</v>
      </c>
      <c r="C1684" t="s">
        <v>34</v>
      </c>
      <c r="D1684" s="1">
        <v>46154.625</v>
      </c>
      <c r="E1684">
        <v>6575</v>
      </c>
      <c r="F1684" t="s">
        <v>36</v>
      </c>
      <c r="G1684">
        <v>1.42</v>
      </c>
      <c r="H1684">
        <v>1.42</v>
      </c>
      <c r="I1684">
        <v>1.42</v>
      </c>
      <c r="J1684">
        <v>1.42</v>
      </c>
      <c r="K1684">
        <v>1</v>
      </c>
      <c r="L1684">
        <v>17</v>
      </c>
      <c r="M1684">
        <v>1.25</v>
      </c>
      <c r="N1684">
        <v>159</v>
      </c>
      <c r="O1684">
        <v>1.4</v>
      </c>
      <c r="P1684">
        <v>0</v>
      </c>
      <c r="Q1684">
        <v>0</v>
      </c>
      <c r="R1684">
        <v>0</v>
      </c>
      <c r="S1684">
        <v>0</v>
      </c>
      <c r="T1684">
        <v>0.27889999999999998</v>
      </c>
      <c r="U1684">
        <v>-1.29E-2</v>
      </c>
      <c r="V1684">
        <v>1E-4</v>
      </c>
      <c r="W1684">
        <v>-0.52710000000000001</v>
      </c>
      <c r="X1684">
        <v>0.37680000000000002</v>
      </c>
      <c r="Y1684">
        <v>-2.01E-2</v>
      </c>
      <c r="Z1684">
        <v>71</v>
      </c>
      <c r="AA1684">
        <v>1.1499999999999999</v>
      </c>
      <c r="AB1684">
        <v>161</v>
      </c>
      <c r="AC1684">
        <v>1.35</v>
      </c>
      <c r="AD1684">
        <v>0</v>
      </c>
      <c r="AE1684">
        <v>0</v>
      </c>
      <c r="AF1684">
        <v>1.42</v>
      </c>
      <c r="AG1684">
        <v>27</v>
      </c>
      <c r="AH1684">
        <v>0</v>
      </c>
    </row>
    <row r="1685" spans="1:34" x14ac:dyDescent="0.35">
      <c r="A1685" t="s">
        <v>34</v>
      </c>
      <c r="B1685" s="1">
        <v>46146.65625</v>
      </c>
      <c r="C1685" t="s">
        <v>34</v>
      </c>
      <c r="D1685" s="1">
        <v>46154.625</v>
      </c>
      <c r="E1685">
        <v>6580</v>
      </c>
      <c r="F1685" t="s">
        <v>36</v>
      </c>
      <c r="G1685">
        <v>1.2</v>
      </c>
      <c r="H1685">
        <v>1.2</v>
      </c>
      <c r="I1685">
        <v>1.2</v>
      </c>
      <c r="J1685">
        <v>1.2</v>
      </c>
      <c r="K1685">
        <v>3</v>
      </c>
      <c r="L1685">
        <v>131</v>
      </c>
      <c r="M1685">
        <v>1.25</v>
      </c>
      <c r="N1685">
        <v>163</v>
      </c>
      <c r="O1685">
        <v>1.4</v>
      </c>
      <c r="P1685">
        <v>0</v>
      </c>
      <c r="Q1685">
        <v>0</v>
      </c>
      <c r="R1685">
        <v>0</v>
      </c>
      <c r="S1685">
        <v>0</v>
      </c>
      <c r="T1685">
        <v>0.27760000000000001</v>
      </c>
      <c r="U1685">
        <v>-1.32E-2</v>
      </c>
      <c r="V1685">
        <v>1E-4</v>
      </c>
      <c r="W1685">
        <v>-0.53500000000000003</v>
      </c>
      <c r="X1685">
        <v>0.38379999999999997</v>
      </c>
      <c r="Y1685">
        <v>-2.0500000000000001E-2</v>
      </c>
      <c r="Z1685">
        <v>38</v>
      </c>
      <c r="AA1685">
        <v>1.2</v>
      </c>
      <c r="AB1685">
        <v>75</v>
      </c>
      <c r="AC1685">
        <v>1.35</v>
      </c>
      <c r="AD1685">
        <v>0</v>
      </c>
      <c r="AE1685">
        <v>0</v>
      </c>
      <c r="AF1685">
        <v>1.2</v>
      </c>
      <c r="AG1685">
        <v>26</v>
      </c>
      <c r="AH1685">
        <v>0</v>
      </c>
    </row>
    <row r="1686" spans="1:34" x14ac:dyDescent="0.35">
      <c r="A1686" t="s">
        <v>34</v>
      </c>
      <c r="B1686" s="1">
        <v>46146.65625</v>
      </c>
      <c r="C1686" t="s">
        <v>34</v>
      </c>
      <c r="D1686" s="1">
        <v>46154.625</v>
      </c>
      <c r="E1686">
        <v>6590</v>
      </c>
      <c r="F1686" t="s">
        <v>36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131</v>
      </c>
      <c r="M1686">
        <v>1.3</v>
      </c>
      <c r="N1686">
        <v>161</v>
      </c>
      <c r="O1686">
        <v>1.45</v>
      </c>
      <c r="P1686">
        <v>0</v>
      </c>
      <c r="Q1686">
        <v>0</v>
      </c>
      <c r="R1686">
        <v>0</v>
      </c>
      <c r="S1686">
        <v>0</v>
      </c>
      <c r="T1686">
        <v>0.27489999999999998</v>
      </c>
      <c r="U1686">
        <v>-1.38E-2</v>
      </c>
      <c r="V1686">
        <v>1E-4</v>
      </c>
      <c r="W1686">
        <v>-0.55069999999999997</v>
      </c>
      <c r="X1686">
        <v>0.39789999999999998</v>
      </c>
      <c r="Y1686">
        <v>-2.1399999999999999E-2</v>
      </c>
      <c r="Z1686">
        <v>69</v>
      </c>
      <c r="AA1686">
        <v>1.2</v>
      </c>
      <c r="AB1686">
        <v>80</v>
      </c>
      <c r="AC1686">
        <v>1.4</v>
      </c>
      <c r="AD1686">
        <v>0</v>
      </c>
      <c r="AE1686">
        <v>0</v>
      </c>
      <c r="AF1686">
        <v>0</v>
      </c>
      <c r="AG1686">
        <v>20</v>
      </c>
      <c r="AH1686">
        <v>0</v>
      </c>
    </row>
    <row r="1687" spans="1:34" x14ac:dyDescent="0.35">
      <c r="A1687" t="s">
        <v>34</v>
      </c>
      <c r="B1687" s="1">
        <v>46146.65625</v>
      </c>
      <c r="C1687" t="s">
        <v>34</v>
      </c>
      <c r="D1687" s="1">
        <v>46154.625</v>
      </c>
      <c r="E1687">
        <v>6600</v>
      </c>
      <c r="F1687" t="s">
        <v>36</v>
      </c>
      <c r="G1687">
        <v>1.1399999999999999</v>
      </c>
      <c r="H1687">
        <v>2.1</v>
      </c>
      <c r="I1687">
        <v>1.1399999999999999</v>
      </c>
      <c r="J1687">
        <v>1.35</v>
      </c>
      <c r="K1687">
        <v>40</v>
      </c>
      <c r="L1687">
        <v>165</v>
      </c>
      <c r="M1687">
        <v>1.35</v>
      </c>
      <c r="N1687">
        <v>201</v>
      </c>
      <c r="O1687">
        <v>1.5</v>
      </c>
      <c r="P1687">
        <v>0</v>
      </c>
      <c r="Q1687">
        <v>0</v>
      </c>
      <c r="R1687">
        <v>0</v>
      </c>
      <c r="S1687">
        <v>0</v>
      </c>
      <c r="T1687">
        <v>0.27200000000000002</v>
      </c>
      <c r="U1687">
        <v>-1.44E-2</v>
      </c>
      <c r="V1687">
        <v>1E-4</v>
      </c>
      <c r="W1687">
        <v>-0.56610000000000005</v>
      </c>
      <c r="X1687">
        <v>0.41239999999999999</v>
      </c>
      <c r="Y1687">
        <v>-2.23E-2</v>
      </c>
      <c r="Z1687">
        <v>39</v>
      </c>
      <c r="AA1687">
        <v>1.3</v>
      </c>
      <c r="AB1687">
        <v>78</v>
      </c>
      <c r="AC1687">
        <v>1.45</v>
      </c>
      <c r="AD1687">
        <v>0</v>
      </c>
      <c r="AE1687">
        <v>0</v>
      </c>
      <c r="AF1687">
        <v>1.9368000000000001</v>
      </c>
      <c r="AG1687">
        <v>67</v>
      </c>
      <c r="AH1687">
        <v>0</v>
      </c>
    </row>
    <row r="1688" spans="1:34" x14ac:dyDescent="0.35">
      <c r="A1688" t="s">
        <v>34</v>
      </c>
      <c r="B1688" s="1">
        <v>46146.65625</v>
      </c>
      <c r="C1688" t="s">
        <v>34</v>
      </c>
      <c r="D1688" s="1">
        <v>46154.625</v>
      </c>
      <c r="E1688">
        <v>6610</v>
      </c>
      <c r="F1688" t="s">
        <v>36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139</v>
      </c>
      <c r="M1688">
        <v>1.4</v>
      </c>
      <c r="N1688">
        <v>67</v>
      </c>
      <c r="O1688">
        <v>1.55</v>
      </c>
      <c r="P1688">
        <v>0</v>
      </c>
      <c r="Q1688">
        <v>0</v>
      </c>
      <c r="R1688">
        <v>0</v>
      </c>
      <c r="S1688">
        <v>0</v>
      </c>
      <c r="T1688">
        <v>0.26889999999999997</v>
      </c>
      <c r="U1688">
        <v>-1.4999999999999999E-2</v>
      </c>
      <c r="V1688">
        <v>1E-4</v>
      </c>
      <c r="W1688">
        <v>-0.58109999999999995</v>
      </c>
      <c r="X1688">
        <v>0.42720000000000002</v>
      </c>
      <c r="Y1688">
        <v>-2.3300000000000001E-2</v>
      </c>
      <c r="Z1688">
        <v>39</v>
      </c>
      <c r="AA1688">
        <v>1.35</v>
      </c>
      <c r="AB1688">
        <v>73</v>
      </c>
      <c r="AC1688">
        <v>1.5</v>
      </c>
      <c r="AD1688">
        <v>0</v>
      </c>
      <c r="AE1688">
        <v>0</v>
      </c>
      <c r="AF1688">
        <v>0</v>
      </c>
      <c r="AG1688">
        <v>4</v>
      </c>
      <c r="AH1688">
        <v>0</v>
      </c>
    </row>
    <row r="1689" spans="1:34" x14ac:dyDescent="0.35">
      <c r="A1689" t="s">
        <v>34</v>
      </c>
      <c r="B1689" s="1">
        <v>46146.65625</v>
      </c>
      <c r="C1689" t="s">
        <v>34</v>
      </c>
      <c r="D1689" s="1">
        <v>46154.625</v>
      </c>
      <c r="E1689">
        <v>6620</v>
      </c>
      <c r="F1689" t="s">
        <v>36</v>
      </c>
      <c r="G1689">
        <v>2.2999999999999998</v>
      </c>
      <c r="H1689">
        <v>2.2999999999999998</v>
      </c>
      <c r="I1689">
        <v>2.2999999999999998</v>
      </c>
      <c r="J1689">
        <v>2.2999999999999998</v>
      </c>
      <c r="K1689">
        <v>2</v>
      </c>
      <c r="L1689">
        <v>130</v>
      </c>
      <c r="M1689">
        <v>1.45</v>
      </c>
      <c r="N1689">
        <v>321</v>
      </c>
      <c r="O1689">
        <v>1.65</v>
      </c>
      <c r="P1689">
        <v>0</v>
      </c>
      <c r="Q1689">
        <v>0</v>
      </c>
      <c r="R1689">
        <v>0</v>
      </c>
      <c r="S1689">
        <v>0</v>
      </c>
      <c r="T1689">
        <v>0.26719999999999999</v>
      </c>
      <c r="U1689">
        <v>-1.5699999999999999E-2</v>
      </c>
      <c r="V1689">
        <v>1E-4</v>
      </c>
      <c r="W1689">
        <v>-0.60450000000000004</v>
      </c>
      <c r="X1689">
        <v>0.44540000000000002</v>
      </c>
      <c r="Y1689">
        <v>-2.4500000000000001E-2</v>
      </c>
      <c r="Z1689">
        <v>40</v>
      </c>
      <c r="AA1689">
        <v>1.4</v>
      </c>
      <c r="AB1689">
        <v>77</v>
      </c>
      <c r="AC1689">
        <v>1.55</v>
      </c>
      <c r="AD1689">
        <v>0</v>
      </c>
      <c r="AE1689">
        <v>0</v>
      </c>
      <c r="AF1689">
        <v>2.2999999999999998</v>
      </c>
      <c r="AG1689">
        <v>67</v>
      </c>
      <c r="AH1689">
        <v>0</v>
      </c>
    </row>
    <row r="1690" spans="1:34" x14ac:dyDescent="0.35">
      <c r="A1690" t="s">
        <v>34</v>
      </c>
      <c r="B1690" s="1">
        <v>46146.65625</v>
      </c>
      <c r="C1690" t="s">
        <v>34</v>
      </c>
      <c r="D1690" s="1">
        <v>46154.625</v>
      </c>
      <c r="E1690">
        <v>6625</v>
      </c>
      <c r="F1690" t="s">
        <v>36</v>
      </c>
      <c r="G1690">
        <v>1.51</v>
      </c>
      <c r="H1690">
        <v>1.6</v>
      </c>
      <c r="I1690">
        <v>1.35</v>
      </c>
      <c r="J1690">
        <v>1.6</v>
      </c>
      <c r="K1690">
        <v>5</v>
      </c>
      <c r="L1690">
        <v>130</v>
      </c>
      <c r="M1690">
        <v>1.5</v>
      </c>
      <c r="N1690">
        <v>155</v>
      </c>
      <c r="O1690">
        <v>1.65</v>
      </c>
      <c r="P1690">
        <v>0</v>
      </c>
      <c r="Q1690">
        <v>0</v>
      </c>
      <c r="R1690">
        <v>0</v>
      </c>
      <c r="S1690">
        <v>0</v>
      </c>
      <c r="T1690">
        <v>0.26569999999999999</v>
      </c>
      <c r="U1690">
        <v>-1.6E-2</v>
      </c>
      <c r="V1690">
        <v>1E-4</v>
      </c>
      <c r="W1690">
        <v>-0.6119</v>
      </c>
      <c r="X1690">
        <v>0.45279999999999998</v>
      </c>
      <c r="Y1690">
        <v>-2.5000000000000001E-2</v>
      </c>
      <c r="Z1690">
        <v>69</v>
      </c>
      <c r="AA1690">
        <v>1.4</v>
      </c>
      <c r="AB1690">
        <v>143</v>
      </c>
      <c r="AC1690">
        <v>1.6</v>
      </c>
      <c r="AD1690">
        <v>0</v>
      </c>
      <c r="AE1690">
        <v>0</v>
      </c>
      <c r="AF1690">
        <v>1.532</v>
      </c>
      <c r="AG1690">
        <v>40</v>
      </c>
      <c r="AH1690">
        <v>0</v>
      </c>
    </row>
    <row r="1691" spans="1:34" x14ac:dyDescent="0.35">
      <c r="A1691" t="s">
        <v>34</v>
      </c>
      <c r="B1691" s="1">
        <v>46146.65625</v>
      </c>
      <c r="C1691" t="s">
        <v>34</v>
      </c>
      <c r="D1691" s="1">
        <v>46154.625</v>
      </c>
      <c r="E1691">
        <v>6630</v>
      </c>
      <c r="F1691" t="s">
        <v>36</v>
      </c>
      <c r="G1691">
        <v>3</v>
      </c>
      <c r="H1691">
        <v>3</v>
      </c>
      <c r="I1691">
        <v>1.71</v>
      </c>
      <c r="J1691">
        <v>1.71</v>
      </c>
      <c r="K1691">
        <v>3</v>
      </c>
      <c r="L1691">
        <v>17</v>
      </c>
      <c r="M1691">
        <v>1.55</v>
      </c>
      <c r="N1691">
        <v>198</v>
      </c>
      <c r="O1691">
        <v>1.7</v>
      </c>
      <c r="P1691">
        <v>0</v>
      </c>
      <c r="Q1691">
        <v>0</v>
      </c>
      <c r="R1691">
        <v>0</v>
      </c>
      <c r="S1691">
        <v>0</v>
      </c>
      <c r="T1691">
        <v>0.26479999999999998</v>
      </c>
      <c r="U1691">
        <v>-1.6500000000000001E-2</v>
      </c>
      <c r="V1691">
        <v>1E-4</v>
      </c>
      <c r="W1691">
        <v>-0.62729999999999997</v>
      </c>
      <c r="X1691">
        <v>0.46450000000000002</v>
      </c>
      <c r="Y1691">
        <v>-2.5700000000000001E-2</v>
      </c>
      <c r="Z1691">
        <v>40</v>
      </c>
      <c r="AA1691">
        <v>1.45</v>
      </c>
      <c r="AB1691">
        <v>27</v>
      </c>
      <c r="AC1691">
        <v>1.6</v>
      </c>
      <c r="AD1691">
        <v>0</v>
      </c>
      <c r="AE1691">
        <v>0</v>
      </c>
      <c r="AF1691">
        <v>2.14</v>
      </c>
      <c r="AG1691">
        <v>33</v>
      </c>
      <c r="AH1691">
        <v>0</v>
      </c>
    </row>
    <row r="1692" spans="1:34" x14ac:dyDescent="0.35">
      <c r="A1692" t="s">
        <v>34</v>
      </c>
      <c r="B1692" s="1">
        <v>46146.65625</v>
      </c>
      <c r="C1692" t="s">
        <v>34</v>
      </c>
      <c r="D1692" s="1">
        <v>46154.625</v>
      </c>
      <c r="E1692">
        <v>6640</v>
      </c>
      <c r="F1692" t="s">
        <v>36</v>
      </c>
      <c r="G1692">
        <v>1.4</v>
      </c>
      <c r="H1692">
        <v>2.85</v>
      </c>
      <c r="I1692">
        <v>1.4</v>
      </c>
      <c r="J1692">
        <v>2.85</v>
      </c>
      <c r="K1692">
        <v>4</v>
      </c>
      <c r="L1692">
        <v>130</v>
      </c>
      <c r="M1692">
        <v>1.6</v>
      </c>
      <c r="N1692">
        <v>124</v>
      </c>
      <c r="O1692">
        <v>1.75</v>
      </c>
      <c r="P1692">
        <v>0</v>
      </c>
      <c r="Q1692">
        <v>0</v>
      </c>
      <c r="R1692">
        <v>0</v>
      </c>
      <c r="S1692">
        <v>0</v>
      </c>
      <c r="T1692">
        <v>0.26179999999999998</v>
      </c>
      <c r="U1692">
        <v>-1.7100000000000001E-2</v>
      </c>
      <c r="V1692">
        <v>2.0000000000000001E-4</v>
      </c>
      <c r="W1692">
        <v>-0.64149999999999996</v>
      </c>
      <c r="X1692">
        <v>0.47920000000000001</v>
      </c>
      <c r="Y1692">
        <v>-2.6700000000000002E-2</v>
      </c>
      <c r="Z1692">
        <v>68</v>
      </c>
      <c r="AA1692">
        <v>1.5</v>
      </c>
      <c r="AB1692">
        <v>144</v>
      </c>
      <c r="AC1692">
        <v>1.7</v>
      </c>
      <c r="AD1692">
        <v>0</v>
      </c>
      <c r="AE1692">
        <v>0</v>
      </c>
      <c r="AF1692">
        <v>2.125</v>
      </c>
      <c r="AG1692">
        <v>31</v>
      </c>
      <c r="AH1692">
        <v>0</v>
      </c>
    </row>
    <row r="1693" spans="1:34" x14ac:dyDescent="0.35">
      <c r="A1693" t="s">
        <v>34</v>
      </c>
      <c r="B1693" s="1">
        <v>46146.65625</v>
      </c>
      <c r="C1693" t="s">
        <v>34</v>
      </c>
      <c r="D1693" s="1">
        <v>46154.625</v>
      </c>
      <c r="E1693">
        <v>6650</v>
      </c>
      <c r="F1693" t="s">
        <v>36</v>
      </c>
      <c r="G1693">
        <v>2.69</v>
      </c>
      <c r="H1693">
        <v>2.89</v>
      </c>
      <c r="I1693">
        <v>1.85</v>
      </c>
      <c r="J1693">
        <v>1.9</v>
      </c>
      <c r="K1693">
        <v>116</v>
      </c>
      <c r="L1693">
        <v>163</v>
      </c>
      <c r="M1693">
        <v>1.65</v>
      </c>
      <c r="N1693">
        <v>56</v>
      </c>
      <c r="O1693">
        <v>1.8</v>
      </c>
      <c r="P1693">
        <v>0</v>
      </c>
      <c r="Q1693">
        <v>0</v>
      </c>
      <c r="R1693">
        <v>0</v>
      </c>
      <c r="S1693">
        <v>0</v>
      </c>
      <c r="T1693">
        <v>0.2586</v>
      </c>
      <c r="U1693">
        <v>-1.78E-2</v>
      </c>
      <c r="V1693">
        <v>2.0000000000000001E-4</v>
      </c>
      <c r="W1693">
        <v>-0.65549999999999997</v>
      </c>
      <c r="X1693">
        <v>0.49440000000000001</v>
      </c>
      <c r="Y1693">
        <v>-2.7699999999999999E-2</v>
      </c>
      <c r="Z1693">
        <v>16</v>
      </c>
      <c r="AA1693">
        <v>1.6</v>
      </c>
      <c r="AB1693">
        <v>74</v>
      </c>
      <c r="AC1693">
        <v>1.75</v>
      </c>
      <c r="AD1693">
        <v>0</v>
      </c>
      <c r="AE1693">
        <v>0</v>
      </c>
      <c r="AF1693">
        <v>1.9181999999999999</v>
      </c>
      <c r="AG1693">
        <v>55</v>
      </c>
      <c r="AH1693">
        <v>0</v>
      </c>
    </row>
    <row r="1694" spans="1:34" x14ac:dyDescent="0.35">
      <c r="A1694" t="s">
        <v>34</v>
      </c>
      <c r="B1694" s="1">
        <v>46146.65625</v>
      </c>
      <c r="C1694" t="s">
        <v>34</v>
      </c>
      <c r="D1694" s="1">
        <v>46154.625</v>
      </c>
      <c r="E1694">
        <v>6660</v>
      </c>
      <c r="F1694" t="s">
        <v>36</v>
      </c>
      <c r="G1694">
        <v>1.84</v>
      </c>
      <c r="H1694">
        <v>1.84</v>
      </c>
      <c r="I1694">
        <v>1.84</v>
      </c>
      <c r="J1694">
        <v>1.84</v>
      </c>
      <c r="K1694">
        <v>2</v>
      </c>
      <c r="L1694">
        <v>126</v>
      </c>
      <c r="M1694">
        <v>1.75</v>
      </c>
      <c r="N1694">
        <v>189</v>
      </c>
      <c r="O1694">
        <v>1.9</v>
      </c>
      <c r="P1694">
        <v>0</v>
      </c>
      <c r="Q1694">
        <v>0</v>
      </c>
      <c r="R1694">
        <v>0</v>
      </c>
      <c r="S1694">
        <v>0</v>
      </c>
      <c r="T1694">
        <v>0.25669999999999998</v>
      </c>
      <c r="U1694">
        <v>-1.8800000000000001E-2</v>
      </c>
      <c r="V1694">
        <v>2.0000000000000001E-4</v>
      </c>
      <c r="W1694">
        <v>-0.68520000000000003</v>
      </c>
      <c r="X1694">
        <v>0.51829999999999998</v>
      </c>
      <c r="Y1694">
        <v>-2.93E-2</v>
      </c>
      <c r="Z1694">
        <v>41</v>
      </c>
      <c r="AA1694">
        <v>1.65</v>
      </c>
      <c r="AB1694">
        <v>140</v>
      </c>
      <c r="AC1694">
        <v>1.85</v>
      </c>
      <c r="AD1694">
        <v>0</v>
      </c>
      <c r="AE1694">
        <v>0</v>
      </c>
      <c r="AF1694">
        <v>1.84</v>
      </c>
      <c r="AG1694">
        <v>215</v>
      </c>
      <c r="AH1694">
        <v>0</v>
      </c>
    </row>
    <row r="1695" spans="1:34" x14ac:dyDescent="0.35">
      <c r="A1695" t="s">
        <v>34</v>
      </c>
      <c r="B1695" s="1">
        <v>46146.65625</v>
      </c>
      <c r="C1695" t="s">
        <v>34</v>
      </c>
      <c r="D1695" s="1">
        <v>46154.625</v>
      </c>
      <c r="E1695">
        <v>6670</v>
      </c>
      <c r="F1695" t="s">
        <v>36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17</v>
      </c>
      <c r="M1695">
        <v>1.85</v>
      </c>
      <c r="N1695">
        <v>290</v>
      </c>
      <c r="O1695">
        <v>2</v>
      </c>
      <c r="P1695">
        <v>0</v>
      </c>
      <c r="Q1695">
        <v>0</v>
      </c>
      <c r="R1695">
        <v>0</v>
      </c>
      <c r="S1695">
        <v>0</v>
      </c>
      <c r="T1695">
        <v>0.254</v>
      </c>
      <c r="U1695">
        <v>-1.9699999999999999E-2</v>
      </c>
      <c r="V1695">
        <v>2.0000000000000001E-4</v>
      </c>
      <c r="W1695">
        <v>-0.70630000000000004</v>
      </c>
      <c r="X1695">
        <v>0.53839999999999999</v>
      </c>
      <c r="Y1695">
        <v>-3.0599999999999999E-2</v>
      </c>
      <c r="Z1695">
        <v>16</v>
      </c>
      <c r="AA1695">
        <v>1.75</v>
      </c>
      <c r="AB1695">
        <v>71</v>
      </c>
      <c r="AC1695">
        <v>1.9</v>
      </c>
      <c r="AD1695">
        <v>0</v>
      </c>
      <c r="AE1695">
        <v>0</v>
      </c>
      <c r="AF1695">
        <v>0</v>
      </c>
      <c r="AG1695">
        <v>10</v>
      </c>
      <c r="AH1695">
        <v>0</v>
      </c>
    </row>
    <row r="1696" spans="1:34" x14ac:dyDescent="0.35">
      <c r="A1696" t="s">
        <v>34</v>
      </c>
      <c r="B1696" s="1">
        <v>46146.65625</v>
      </c>
      <c r="C1696" t="s">
        <v>34</v>
      </c>
      <c r="D1696" s="1">
        <v>46154.625</v>
      </c>
      <c r="E1696">
        <v>6675</v>
      </c>
      <c r="F1696" t="s">
        <v>36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129</v>
      </c>
      <c r="M1696">
        <v>1.85</v>
      </c>
      <c r="N1696">
        <v>37</v>
      </c>
      <c r="O1696">
        <v>2</v>
      </c>
      <c r="P1696">
        <v>0</v>
      </c>
      <c r="Q1696">
        <v>0</v>
      </c>
      <c r="R1696">
        <v>0</v>
      </c>
      <c r="S1696">
        <v>0</v>
      </c>
      <c r="T1696">
        <v>0.2525</v>
      </c>
      <c r="U1696">
        <v>-0.02</v>
      </c>
      <c r="V1696">
        <v>2.0000000000000001E-4</v>
      </c>
      <c r="W1696">
        <v>-0.71289999999999998</v>
      </c>
      <c r="X1696">
        <v>0.54630000000000001</v>
      </c>
      <c r="Y1696">
        <v>-3.1199999999999999E-2</v>
      </c>
      <c r="Z1696">
        <v>77</v>
      </c>
      <c r="AA1696">
        <v>1.75</v>
      </c>
      <c r="AB1696">
        <v>73</v>
      </c>
      <c r="AC1696">
        <v>1.95</v>
      </c>
      <c r="AD1696">
        <v>0</v>
      </c>
      <c r="AE1696">
        <v>0</v>
      </c>
      <c r="AF1696">
        <v>0</v>
      </c>
      <c r="AG1696">
        <v>37</v>
      </c>
      <c r="AH1696">
        <v>0</v>
      </c>
    </row>
    <row r="1697" spans="1:34" x14ac:dyDescent="0.35">
      <c r="A1697" t="s">
        <v>34</v>
      </c>
      <c r="B1697" s="1">
        <v>46146.65625</v>
      </c>
      <c r="C1697" t="s">
        <v>34</v>
      </c>
      <c r="D1697" s="1">
        <v>46154.625</v>
      </c>
      <c r="E1697">
        <v>6680</v>
      </c>
      <c r="F1697" t="s">
        <v>36</v>
      </c>
      <c r="G1697">
        <v>2.13</v>
      </c>
      <c r="H1697">
        <v>2.13</v>
      </c>
      <c r="I1697">
        <v>1.85</v>
      </c>
      <c r="J1697">
        <v>1.85</v>
      </c>
      <c r="K1697">
        <v>3</v>
      </c>
      <c r="L1697">
        <v>129</v>
      </c>
      <c r="M1697">
        <v>1.9</v>
      </c>
      <c r="N1697">
        <v>63</v>
      </c>
      <c r="O1697">
        <v>2.0499999999999998</v>
      </c>
      <c r="P1697">
        <v>0</v>
      </c>
      <c r="Q1697">
        <v>0</v>
      </c>
      <c r="R1697">
        <v>0</v>
      </c>
      <c r="S1697">
        <v>0</v>
      </c>
      <c r="T1697">
        <v>0.25130000000000002</v>
      </c>
      <c r="U1697">
        <v>-2.0500000000000001E-2</v>
      </c>
      <c r="V1697">
        <v>2.0000000000000001E-4</v>
      </c>
      <c r="W1697">
        <v>-0.72709999999999997</v>
      </c>
      <c r="X1697">
        <v>0.55869999999999997</v>
      </c>
      <c r="Y1697">
        <v>-3.2000000000000001E-2</v>
      </c>
      <c r="Z1697">
        <v>69</v>
      </c>
      <c r="AA1697">
        <v>1.8</v>
      </c>
      <c r="AB1697">
        <v>70</v>
      </c>
      <c r="AC1697">
        <v>2</v>
      </c>
      <c r="AD1697">
        <v>0</v>
      </c>
      <c r="AE1697">
        <v>0</v>
      </c>
      <c r="AF1697">
        <v>2.0367000000000002</v>
      </c>
      <c r="AG1697">
        <v>235</v>
      </c>
      <c r="AH1697">
        <v>0</v>
      </c>
    </row>
    <row r="1698" spans="1:34" x14ac:dyDescent="0.35">
      <c r="A1698" t="s">
        <v>34</v>
      </c>
      <c r="B1698" s="1">
        <v>46146.65625</v>
      </c>
      <c r="C1698" t="s">
        <v>34</v>
      </c>
      <c r="D1698" s="1">
        <v>46154.625</v>
      </c>
      <c r="E1698">
        <v>6690</v>
      </c>
      <c r="F1698" t="s">
        <v>36</v>
      </c>
      <c r="G1698">
        <v>2</v>
      </c>
      <c r="H1698">
        <v>2</v>
      </c>
      <c r="I1698">
        <v>2</v>
      </c>
      <c r="J1698">
        <v>2</v>
      </c>
      <c r="K1698">
        <v>290</v>
      </c>
      <c r="L1698">
        <v>127</v>
      </c>
      <c r="M1698">
        <v>2</v>
      </c>
      <c r="N1698">
        <v>62</v>
      </c>
      <c r="O1698">
        <v>2.15</v>
      </c>
      <c r="P1698">
        <v>0</v>
      </c>
      <c r="Q1698">
        <v>0</v>
      </c>
      <c r="R1698">
        <v>0</v>
      </c>
      <c r="S1698">
        <v>0</v>
      </c>
      <c r="T1698">
        <v>0.249</v>
      </c>
      <c r="U1698">
        <v>-2.1600000000000001E-2</v>
      </c>
      <c r="V1698">
        <v>2.0000000000000001E-4</v>
      </c>
      <c r="W1698">
        <v>-0.755</v>
      </c>
      <c r="X1698">
        <v>0.58360000000000001</v>
      </c>
      <c r="Y1698">
        <v>-3.3700000000000001E-2</v>
      </c>
      <c r="Z1698">
        <v>42</v>
      </c>
      <c r="AA1698">
        <v>1.9</v>
      </c>
      <c r="AB1698">
        <v>25</v>
      </c>
      <c r="AC1698">
        <v>2.0499999999999998</v>
      </c>
      <c r="AD1698">
        <v>0</v>
      </c>
      <c r="AE1698">
        <v>0</v>
      </c>
      <c r="AF1698">
        <v>2</v>
      </c>
      <c r="AG1698">
        <v>62</v>
      </c>
      <c r="AH1698">
        <v>0</v>
      </c>
    </row>
    <row r="1699" spans="1:34" x14ac:dyDescent="0.35">
      <c r="A1699" t="s">
        <v>34</v>
      </c>
      <c r="B1699" s="1">
        <v>46146.65625</v>
      </c>
      <c r="C1699" t="s">
        <v>34</v>
      </c>
      <c r="D1699" s="1">
        <v>46154.625</v>
      </c>
      <c r="E1699">
        <v>6700</v>
      </c>
      <c r="F1699" t="s">
        <v>36</v>
      </c>
      <c r="G1699">
        <v>2.0699999999999998</v>
      </c>
      <c r="H1699">
        <v>3.09</v>
      </c>
      <c r="I1699">
        <v>1.7</v>
      </c>
      <c r="J1699">
        <v>2.1</v>
      </c>
      <c r="K1699">
        <v>25</v>
      </c>
      <c r="L1699">
        <v>127</v>
      </c>
      <c r="M1699">
        <v>2.1</v>
      </c>
      <c r="N1699">
        <v>61</v>
      </c>
      <c r="O1699">
        <v>2.25</v>
      </c>
      <c r="P1699">
        <v>0</v>
      </c>
      <c r="Q1699">
        <v>0</v>
      </c>
      <c r="R1699">
        <v>0</v>
      </c>
      <c r="S1699">
        <v>0</v>
      </c>
      <c r="T1699">
        <v>0.2465</v>
      </c>
      <c r="U1699">
        <v>-2.2700000000000001E-2</v>
      </c>
      <c r="V1699">
        <v>2.0000000000000001E-4</v>
      </c>
      <c r="W1699">
        <v>-0.7823</v>
      </c>
      <c r="X1699">
        <v>0.60870000000000002</v>
      </c>
      <c r="Y1699">
        <v>-3.5499999999999997E-2</v>
      </c>
      <c r="Z1699">
        <v>16</v>
      </c>
      <c r="AA1699">
        <v>2</v>
      </c>
      <c r="AB1699">
        <v>25</v>
      </c>
      <c r="AC1699">
        <v>2.15</v>
      </c>
      <c r="AD1699">
        <v>0</v>
      </c>
      <c r="AE1699">
        <v>0</v>
      </c>
      <c r="AF1699">
        <v>2.0823999999999998</v>
      </c>
      <c r="AG1699">
        <v>132</v>
      </c>
      <c r="AH1699">
        <v>0</v>
      </c>
    </row>
    <row r="1700" spans="1:34" x14ac:dyDescent="0.35">
      <c r="A1700" t="s">
        <v>34</v>
      </c>
      <c r="B1700" s="1">
        <v>46146.65625</v>
      </c>
      <c r="C1700" t="s">
        <v>34</v>
      </c>
      <c r="D1700" s="1">
        <v>46154.625</v>
      </c>
      <c r="E1700">
        <v>6710</v>
      </c>
      <c r="F1700" t="s">
        <v>36</v>
      </c>
      <c r="G1700">
        <v>3.38</v>
      </c>
      <c r="H1700">
        <v>3.38</v>
      </c>
      <c r="I1700">
        <v>2.54</v>
      </c>
      <c r="J1700">
        <v>2.54</v>
      </c>
      <c r="K1700">
        <v>242</v>
      </c>
      <c r="L1700">
        <v>168</v>
      </c>
      <c r="M1700">
        <v>2.2000000000000002</v>
      </c>
      <c r="N1700">
        <v>64</v>
      </c>
      <c r="O1700">
        <v>2.35</v>
      </c>
      <c r="P1700">
        <v>0</v>
      </c>
      <c r="Q1700">
        <v>0</v>
      </c>
      <c r="R1700">
        <v>0</v>
      </c>
      <c r="S1700">
        <v>0</v>
      </c>
      <c r="T1700">
        <v>0.24390000000000001</v>
      </c>
      <c r="U1700">
        <v>-2.3900000000000001E-2</v>
      </c>
      <c r="V1700">
        <v>2.0000000000000001E-4</v>
      </c>
      <c r="W1700">
        <v>-0.80900000000000005</v>
      </c>
      <c r="X1700">
        <v>0.63390000000000002</v>
      </c>
      <c r="Y1700">
        <v>-3.73E-2</v>
      </c>
      <c r="Z1700">
        <v>42</v>
      </c>
      <c r="AA1700">
        <v>2.1</v>
      </c>
      <c r="AB1700">
        <v>25</v>
      </c>
      <c r="AC1700">
        <v>2.25</v>
      </c>
      <c r="AD1700">
        <v>0</v>
      </c>
      <c r="AE1700">
        <v>0</v>
      </c>
      <c r="AF1700">
        <v>3.2342</v>
      </c>
      <c r="AG1700">
        <v>23</v>
      </c>
      <c r="AH1700">
        <v>0</v>
      </c>
    </row>
    <row r="1701" spans="1:34" x14ac:dyDescent="0.35">
      <c r="A1701" t="s">
        <v>34</v>
      </c>
      <c r="B1701" s="1">
        <v>46146.65625</v>
      </c>
      <c r="C1701" t="s">
        <v>34</v>
      </c>
      <c r="D1701" s="1">
        <v>46154.625</v>
      </c>
      <c r="E1701">
        <v>6720</v>
      </c>
      <c r="F1701" t="s">
        <v>36</v>
      </c>
      <c r="G1701">
        <v>2.4300000000000002</v>
      </c>
      <c r="H1701">
        <v>2.4300000000000002</v>
      </c>
      <c r="I1701">
        <v>2.4</v>
      </c>
      <c r="J1701">
        <v>2.4</v>
      </c>
      <c r="K1701">
        <v>4</v>
      </c>
      <c r="L1701">
        <v>127</v>
      </c>
      <c r="M1701">
        <v>2.2999999999999998</v>
      </c>
      <c r="N1701">
        <v>172</v>
      </c>
      <c r="O1701">
        <v>2.5</v>
      </c>
      <c r="P1701">
        <v>0</v>
      </c>
      <c r="Q1701">
        <v>0</v>
      </c>
      <c r="R1701">
        <v>0</v>
      </c>
      <c r="S1701">
        <v>0</v>
      </c>
      <c r="T1701">
        <v>0.24129999999999999</v>
      </c>
      <c r="U1701">
        <v>-2.5000000000000001E-2</v>
      </c>
      <c r="V1701">
        <v>2.0000000000000001E-4</v>
      </c>
      <c r="W1701">
        <v>-0.83499999999999996</v>
      </c>
      <c r="X1701">
        <v>0.65910000000000002</v>
      </c>
      <c r="Y1701">
        <v>-3.9100000000000003E-2</v>
      </c>
      <c r="Z1701">
        <v>72</v>
      </c>
      <c r="AA1701">
        <v>2.2000000000000002</v>
      </c>
      <c r="AB1701">
        <v>66</v>
      </c>
      <c r="AC1701">
        <v>2.4</v>
      </c>
      <c r="AD1701">
        <v>0</v>
      </c>
      <c r="AE1701">
        <v>0</v>
      </c>
      <c r="AF1701">
        <v>2.415</v>
      </c>
      <c r="AG1701">
        <v>9</v>
      </c>
      <c r="AH1701">
        <v>0</v>
      </c>
    </row>
    <row r="1702" spans="1:34" x14ac:dyDescent="0.35">
      <c r="A1702" t="s">
        <v>34</v>
      </c>
      <c r="B1702" s="1">
        <v>46146.65625</v>
      </c>
      <c r="C1702" t="s">
        <v>34</v>
      </c>
      <c r="D1702" s="1">
        <v>46154.625</v>
      </c>
      <c r="E1702">
        <v>6725</v>
      </c>
      <c r="F1702" t="s">
        <v>36</v>
      </c>
      <c r="G1702">
        <v>2.25</v>
      </c>
      <c r="H1702">
        <v>2.4500000000000002</v>
      </c>
      <c r="I1702">
        <v>2</v>
      </c>
      <c r="J1702">
        <v>2.4</v>
      </c>
      <c r="K1702">
        <v>21</v>
      </c>
      <c r="L1702">
        <v>112</v>
      </c>
      <c r="M1702">
        <v>2.35</v>
      </c>
      <c r="N1702">
        <v>142</v>
      </c>
      <c r="O1702">
        <v>2.5499999999999998</v>
      </c>
      <c r="P1702">
        <v>0</v>
      </c>
      <c r="Q1702">
        <v>0</v>
      </c>
      <c r="R1702">
        <v>0</v>
      </c>
      <c r="S1702">
        <v>0</v>
      </c>
      <c r="T1702">
        <v>0.24030000000000001</v>
      </c>
      <c r="U1702">
        <v>-2.58E-2</v>
      </c>
      <c r="V1702">
        <v>2.0000000000000001E-4</v>
      </c>
      <c r="W1702">
        <v>-0.85499999999999998</v>
      </c>
      <c r="X1702">
        <v>0.67579999999999996</v>
      </c>
      <c r="Y1702">
        <v>-4.0399999999999998E-2</v>
      </c>
      <c r="Z1702">
        <v>66</v>
      </c>
      <c r="AA1702">
        <v>2.25</v>
      </c>
      <c r="AB1702">
        <v>48</v>
      </c>
      <c r="AC1702">
        <v>2.4500000000000002</v>
      </c>
      <c r="AD1702">
        <v>0</v>
      </c>
      <c r="AE1702">
        <v>0</v>
      </c>
      <c r="AF1702">
        <v>2.2290000000000001</v>
      </c>
      <c r="AG1702">
        <v>224</v>
      </c>
      <c r="AH1702">
        <v>0</v>
      </c>
    </row>
    <row r="1703" spans="1:34" x14ac:dyDescent="0.35">
      <c r="A1703" t="s">
        <v>34</v>
      </c>
      <c r="B1703" s="1">
        <v>46146.65625</v>
      </c>
      <c r="C1703" t="s">
        <v>34</v>
      </c>
      <c r="D1703" s="1">
        <v>46154.625</v>
      </c>
      <c r="E1703">
        <v>6730</v>
      </c>
      <c r="F1703" t="s">
        <v>36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17</v>
      </c>
      <c r="M1703">
        <v>2.4500000000000002</v>
      </c>
      <c r="N1703">
        <v>34</v>
      </c>
      <c r="O1703">
        <v>2.6</v>
      </c>
      <c r="P1703">
        <v>0</v>
      </c>
      <c r="Q1703">
        <v>0</v>
      </c>
      <c r="R1703">
        <v>0</v>
      </c>
      <c r="S1703">
        <v>0</v>
      </c>
      <c r="T1703">
        <v>0.2389</v>
      </c>
      <c r="U1703">
        <v>-2.64E-2</v>
      </c>
      <c r="V1703">
        <v>2.0000000000000001E-4</v>
      </c>
      <c r="W1703">
        <v>-0.86760000000000004</v>
      </c>
      <c r="X1703">
        <v>0.6885</v>
      </c>
      <c r="Y1703">
        <v>-4.1300000000000003E-2</v>
      </c>
      <c r="Z1703">
        <v>65</v>
      </c>
      <c r="AA1703">
        <v>2.2999999999999998</v>
      </c>
      <c r="AB1703">
        <v>24</v>
      </c>
      <c r="AC1703">
        <v>2.5</v>
      </c>
      <c r="AD1703">
        <v>0</v>
      </c>
      <c r="AE1703">
        <v>0</v>
      </c>
      <c r="AF1703">
        <v>0</v>
      </c>
      <c r="AG1703">
        <v>16</v>
      </c>
      <c r="AH1703">
        <v>0</v>
      </c>
    </row>
    <row r="1704" spans="1:34" x14ac:dyDescent="0.35">
      <c r="A1704" t="s">
        <v>34</v>
      </c>
      <c r="B1704" s="1">
        <v>46146.65625</v>
      </c>
      <c r="C1704" t="s">
        <v>34</v>
      </c>
      <c r="D1704" s="1">
        <v>46154.625</v>
      </c>
      <c r="E1704">
        <v>6740</v>
      </c>
      <c r="F1704" t="s">
        <v>36</v>
      </c>
      <c r="G1704">
        <v>4.7</v>
      </c>
      <c r="H1704">
        <v>4.7</v>
      </c>
      <c r="I1704">
        <v>2.9</v>
      </c>
      <c r="J1704">
        <v>2.9</v>
      </c>
      <c r="K1704">
        <v>2</v>
      </c>
      <c r="L1704">
        <v>108</v>
      </c>
      <c r="M1704">
        <v>2.5499999999999998</v>
      </c>
      <c r="N1704">
        <v>144</v>
      </c>
      <c r="O1704">
        <v>2.75</v>
      </c>
      <c r="P1704">
        <v>0</v>
      </c>
      <c r="Q1704">
        <v>0</v>
      </c>
      <c r="R1704">
        <v>0</v>
      </c>
      <c r="S1704">
        <v>0</v>
      </c>
      <c r="T1704">
        <v>0.23680000000000001</v>
      </c>
      <c r="U1704">
        <v>-2.8000000000000001E-2</v>
      </c>
      <c r="V1704">
        <v>2.9999999999999997E-4</v>
      </c>
      <c r="W1704">
        <v>-0.90639999999999998</v>
      </c>
      <c r="X1704">
        <v>0.72209999999999996</v>
      </c>
      <c r="Y1704">
        <v>-4.3799999999999999E-2</v>
      </c>
      <c r="Z1704">
        <v>71</v>
      </c>
      <c r="AA1704">
        <v>2.4500000000000002</v>
      </c>
      <c r="AB1704">
        <v>65</v>
      </c>
      <c r="AC1704">
        <v>2.65</v>
      </c>
      <c r="AD1704">
        <v>0</v>
      </c>
      <c r="AE1704">
        <v>0</v>
      </c>
      <c r="AF1704">
        <v>3.8</v>
      </c>
      <c r="AG1704">
        <v>24</v>
      </c>
      <c r="AH1704">
        <v>0</v>
      </c>
    </row>
    <row r="1705" spans="1:34" x14ac:dyDescent="0.35">
      <c r="A1705" t="s">
        <v>34</v>
      </c>
      <c r="B1705" s="1">
        <v>46146.65625</v>
      </c>
      <c r="C1705" t="s">
        <v>34</v>
      </c>
      <c r="D1705" s="1">
        <v>46154.625</v>
      </c>
      <c r="E1705">
        <v>6750</v>
      </c>
      <c r="F1705" t="s">
        <v>36</v>
      </c>
      <c r="G1705">
        <v>2.7</v>
      </c>
      <c r="H1705">
        <v>4.04</v>
      </c>
      <c r="I1705">
        <v>2.02</v>
      </c>
      <c r="J1705">
        <v>4.04</v>
      </c>
      <c r="K1705">
        <v>30</v>
      </c>
      <c r="L1705">
        <v>136</v>
      </c>
      <c r="M1705">
        <v>2.7</v>
      </c>
      <c r="N1705">
        <v>29</v>
      </c>
      <c r="O1705">
        <v>2.85</v>
      </c>
      <c r="P1705">
        <v>0</v>
      </c>
      <c r="Q1705">
        <v>0</v>
      </c>
      <c r="R1705">
        <v>0</v>
      </c>
      <c r="S1705">
        <v>0</v>
      </c>
      <c r="T1705">
        <v>0.23419999999999999</v>
      </c>
      <c r="U1705">
        <v>-2.9399999999999999E-2</v>
      </c>
      <c r="V1705">
        <v>2.9999999999999997E-4</v>
      </c>
      <c r="W1705">
        <v>-0.93730000000000002</v>
      </c>
      <c r="X1705">
        <v>0.75219999999999998</v>
      </c>
      <c r="Y1705">
        <v>-4.5999999999999999E-2</v>
      </c>
      <c r="Z1705">
        <v>63</v>
      </c>
      <c r="AA1705">
        <v>2.5499999999999998</v>
      </c>
      <c r="AB1705">
        <v>140</v>
      </c>
      <c r="AC1705">
        <v>2.8</v>
      </c>
      <c r="AD1705">
        <v>0</v>
      </c>
      <c r="AE1705">
        <v>0</v>
      </c>
      <c r="AF1705">
        <v>2.4533</v>
      </c>
      <c r="AG1705">
        <v>142</v>
      </c>
      <c r="AH1705">
        <v>0</v>
      </c>
    </row>
    <row r="1706" spans="1:34" x14ac:dyDescent="0.35">
      <c r="A1706" t="s">
        <v>34</v>
      </c>
      <c r="B1706" s="1">
        <v>46146.65625</v>
      </c>
      <c r="C1706" t="s">
        <v>34</v>
      </c>
      <c r="D1706" s="1">
        <v>46154.625</v>
      </c>
      <c r="E1706">
        <v>6760</v>
      </c>
      <c r="F1706" t="s">
        <v>36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135</v>
      </c>
      <c r="M1706">
        <v>2.85</v>
      </c>
      <c r="N1706">
        <v>220</v>
      </c>
      <c r="O1706">
        <v>3.1</v>
      </c>
      <c r="P1706">
        <v>0</v>
      </c>
      <c r="Q1706">
        <v>0</v>
      </c>
      <c r="R1706">
        <v>0</v>
      </c>
      <c r="S1706">
        <v>0</v>
      </c>
      <c r="T1706">
        <v>0.23169999999999999</v>
      </c>
      <c r="U1706">
        <v>-3.1099999999999999E-2</v>
      </c>
      <c r="V1706">
        <v>2.9999999999999997E-4</v>
      </c>
      <c r="W1706">
        <v>-0.97409999999999997</v>
      </c>
      <c r="X1706">
        <v>0.78700000000000003</v>
      </c>
      <c r="Y1706">
        <v>-4.8599999999999997E-2</v>
      </c>
      <c r="Z1706">
        <v>63</v>
      </c>
      <c r="AA1706">
        <v>2.7</v>
      </c>
      <c r="AB1706">
        <v>62</v>
      </c>
      <c r="AC1706">
        <v>2.95</v>
      </c>
      <c r="AD1706">
        <v>0</v>
      </c>
      <c r="AE1706">
        <v>0</v>
      </c>
      <c r="AF1706">
        <v>0</v>
      </c>
      <c r="AG1706">
        <v>202</v>
      </c>
      <c r="AH1706">
        <v>0</v>
      </c>
    </row>
    <row r="1707" spans="1:34" x14ac:dyDescent="0.35">
      <c r="A1707" t="s">
        <v>34</v>
      </c>
      <c r="B1707" s="1">
        <v>46146.65625</v>
      </c>
      <c r="C1707" t="s">
        <v>34</v>
      </c>
      <c r="D1707" s="1">
        <v>46154.625</v>
      </c>
      <c r="E1707">
        <v>6770</v>
      </c>
      <c r="F1707" t="s">
        <v>36</v>
      </c>
      <c r="G1707">
        <v>5.9</v>
      </c>
      <c r="H1707">
        <v>5.9</v>
      </c>
      <c r="I1707">
        <v>5.9</v>
      </c>
      <c r="J1707">
        <v>5.9</v>
      </c>
      <c r="K1707">
        <v>2</v>
      </c>
      <c r="L1707">
        <v>181</v>
      </c>
      <c r="M1707">
        <v>3</v>
      </c>
      <c r="N1707">
        <v>32</v>
      </c>
      <c r="O1707">
        <v>3.2</v>
      </c>
      <c r="P1707">
        <v>0</v>
      </c>
      <c r="Q1707">
        <v>0</v>
      </c>
      <c r="R1707">
        <v>0</v>
      </c>
      <c r="S1707">
        <v>0</v>
      </c>
      <c r="T1707">
        <v>0.22969999999999999</v>
      </c>
      <c r="U1707">
        <v>-3.2899999999999999E-2</v>
      </c>
      <c r="V1707">
        <v>2.9999999999999997E-4</v>
      </c>
      <c r="W1707">
        <v>-1.0166999999999999</v>
      </c>
      <c r="X1707">
        <v>0.82550000000000001</v>
      </c>
      <c r="Y1707">
        <v>-5.1499999999999997E-2</v>
      </c>
      <c r="Z1707">
        <v>61</v>
      </c>
      <c r="AA1707">
        <v>2.85</v>
      </c>
      <c r="AB1707">
        <v>23</v>
      </c>
      <c r="AC1707">
        <v>3.1</v>
      </c>
      <c r="AD1707">
        <v>0</v>
      </c>
      <c r="AE1707">
        <v>0</v>
      </c>
      <c r="AF1707">
        <v>5.9</v>
      </c>
      <c r="AG1707">
        <v>24</v>
      </c>
      <c r="AH1707">
        <v>0</v>
      </c>
    </row>
    <row r="1708" spans="1:34" x14ac:dyDescent="0.35">
      <c r="A1708" t="s">
        <v>34</v>
      </c>
      <c r="B1708" s="1">
        <v>46146.65625</v>
      </c>
      <c r="C1708" t="s">
        <v>34</v>
      </c>
      <c r="D1708" s="1">
        <v>46154.625</v>
      </c>
      <c r="E1708">
        <v>6775</v>
      </c>
      <c r="F1708" t="s">
        <v>36</v>
      </c>
      <c r="G1708">
        <v>2.27</v>
      </c>
      <c r="H1708">
        <v>5.4</v>
      </c>
      <c r="I1708">
        <v>2.27</v>
      </c>
      <c r="J1708">
        <v>3.99</v>
      </c>
      <c r="K1708">
        <v>28</v>
      </c>
      <c r="L1708">
        <v>119</v>
      </c>
      <c r="M1708">
        <v>3.1</v>
      </c>
      <c r="N1708">
        <v>93</v>
      </c>
      <c r="O1708">
        <v>3.3</v>
      </c>
      <c r="P1708">
        <v>0</v>
      </c>
      <c r="Q1708">
        <v>0</v>
      </c>
      <c r="R1708">
        <v>0</v>
      </c>
      <c r="S1708">
        <v>0</v>
      </c>
      <c r="T1708">
        <v>0.22869999999999999</v>
      </c>
      <c r="U1708">
        <v>-3.4000000000000002E-2</v>
      </c>
      <c r="V1708">
        <v>2.9999999999999997E-4</v>
      </c>
      <c r="W1708">
        <v>-1.0407</v>
      </c>
      <c r="X1708">
        <v>0.84670000000000001</v>
      </c>
      <c r="Y1708">
        <v>-5.3199999999999997E-2</v>
      </c>
      <c r="Z1708">
        <v>61</v>
      </c>
      <c r="AA1708">
        <v>2.95</v>
      </c>
      <c r="AB1708">
        <v>59</v>
      </c>
      <c r="AC1708">
        <v>3.2</v>
      </c>
      <c r="AD1708">
        <v>0</v>
      </c>
      <c r="AE1708">
        <v>0</v>
      </c>
      <c r="AF1708">
        <v>4.5914000000000001</v>
      </c>
      <c r="AG1708">
        <v>154</v>
      </c>
      <c r="AH1708">
        <v>0</v>
      </c>
    </row>
    <row r="1709" spans="1:34" x14ac:dyDescent="0.35">
      <c r="A1709" t="s">
        <v>34</v>
      </c>
      <c r="B1709" s="1">
        <v>46146.65625</v>
      </c>
      <c r="C1709" t="s">
        <v>34</v>
      </c>
      <c r="D1709" s="1">
        <v>46154.625</v>
      </c>
      <c r="E1709">
        <v>6780</v>
      </c>
      <c r="F1709" t="s">
        <v>36</v>
      </c>
      <c r="G1709">
        <v>2.59</v>
      </c>
      <c r="H1709">
        <v>5.0999999999999996</v>
      </c>
      <c r="I1709">
        <v>2.37</v>
      </c>
      <c r="J1709">
        <v>4.0999999999999996</v>
      </c>
      <c r="K1709">
        <v>180</v>
      </c>
      <c r="L1709">
        <v>91</v>
      </c>
      <c r="M1709">
        <v>3.2</v>
      </c>
      <c r="N1709">
        <v>126</v>
      </c>
      <c r="O1709">
        <v>3.4</v>
      </c>
      <c r="P1709">
        <v>0</v>
      </c>
      <c r="Q1709">
        <v>0</v>
      </c>
      <c r="R1709">
        <v>0</v>
      </c>
      <c r="S1709">
        <v>0</v>
      </c>
      <c r="T1709">
        <v>0.2276</v>
      </c>
      <c r="U1709">
        <v>-3.5000000000000003E-2</v>
      </c>
      <c r="V1709">
        <v>2.9999999999999997E-4</v>
      </c>
      <c r="W1709">
        <v>-1.0643</v>
      </c>
      <c r="X1709">
        <v>0.86809999999999998</v>
      </c>
      <c r="Y1709">
        <v>-5.4899999999999997E-2</v>
      </c>
      <c r="Z1709">
        <v>69</v>
      </c>
      <c r="AA1709">
        <v>3</v>
      </c>
      <c r="AB1709">
        <v>59</v>
      </c>
      <c r="AC1709">
        <v>3.3</v>
      </c>
      <c r="AD1709">
        <v>0</v>
      </c>
      <c r="AE1709">
        <v>0</v>
      </c>
      <c r="AF1709">
        <v>4.4579000000000004</v>
      </c>
      <c r="AG1709">
        <v>62</v>
      </c>
      <c r="AH1709">
        <v>0</v>
      </c>
    </row>
    <row r="1710" spans="1:34" x14ac:dyDescent="0.35">
      <c r="A1710" t="s">
        <v>34</v>
      </c>
      <c r="B1710" s="1">
        <v>46146.65625</v>
      </c>
      <c r="C1710" t="s">
        <v>34</v>
      </c>
      <c r="D1710" s="1">
        <v>46154.625</v>
      </c>
      <c r="E1710">
        <v>6790</v>
      </c>
      <c r="F1710" t="s">
        <v>36</v>
      </c>
      <c r="G1710">
        <v>2.79</v>
      </c>
      <c r="H1710">
        <v>5.7</v>
      </c>
      <c r="I1710">
        <v>2.72</v>
      </c>
      <c r="J1710">
        <v>5.36</v>
      </c>
      <c r="K1710">
        <v>32</v>
      </c>
      <c r="L1710">
        <v>275</v>
      </c>
      <c r="M1710">
        <v>3.3</v>
      </c>
      <c r="N1710">
        <v>119</v>
      </c>
      <c r="O1710">
        <v>3.6</v>
      </c>
      <c r="P1710">
        <v>0</v>
      </c>
      <c r="Q1710">
        <v>0</v>
      </c>
      <c r="R1710">
        <v>0</v>
      </c>
      <c r="S1710">
        <v>0</v>
      </c>
      <c r="T1710">
        <v>0.22470000000000001</v>
      </c>
      <c r="U1710">
        <v>-3.6799999999999999E-2</v>
      </c>
      <c r="V1710">
        <v>2.9999999999999997E-4</v>
      </c>
      <c r="W1710">
        <v>-1.0975999999999999</v>
      </c>
      <c r="X1710">
        <v>0.90359999999999996</v>
      </c>
      <c r="Y1710">
        <v>-5.7700000000000001E-2</v>
      </c>
      <c r="Z1710">
        <v>69</v>
      </c>
      <c r="AA1710">
        <v>3.2</v>
      </c>
      <c r="AB1710">
        <v>60</v>
      </c>
      <c r="AC1710">
        <v>3.5</v>
      </c>
      <c r="AD1710">
        <v>0</v>
      </c>
      <c r="AE1710">
        <v>0</v>
      </c>
      <c r="AF1710">
        <v>5.2022000000000004</v>
      </c>
      <c r="AG1710">
        <v>13</v>
      </c>
      <c r="AH1710">
        <v>0</v>
      </c>
    </row>
    <row r="1711" spans="1:34" x14ac:dyDescent="0.35">
      <c r="A1711" t="s">
        <v>34</v>
      </c>
      <c r="B1711" s="1">
        <v>46146.65625</v>
      </c>
      <c r="C1711" t="s">
        <v>34</v>
      </c>
      <c r="D1711" s="1">
        <v>46154.625</v>
      </c>
      <c r="E1711">
        <v>6800</v>
      </c>
      <c r="F1711" t="s">
        <v>36</v>
      </c>
      <c r="G1711">
        <v>3.36</v>
      </c>
      <c r="H1711">
        <v>6.64</v>
      </c>
      <c r="I1711">
        <v>2.62</v>
      </c>
      <c r="J1711">
        <v>3.9</v>
      </c>
      <c r="K1711">
        <v>168</v>
      </c>
      <c r="L1711">
        <v>269</v>
      </c>
      <c r="M1711">
        <v>3.5</v>
      </c>
      <c r="N1711">
        <v>57</v>
      </c>
      <c r="O1711">
        <v>3.8</v>
      </c>
      <c r="P1711">
        <v>0</v>
      </c>
      <c r="Q1711">
        <v>0</v>
      </c>
      <c r="R1711">
        <v>0</v>
      </c>
      <c r="S1711">
        <v>0</v>
      </c>
      <c r="T1711">
        <v>0.22239999999999999</v>
      </c>
      <c r="U1711">
        <v>-3.9E-2</v>
      </c>
      <c r="V1711">
        <v>4.0000000000000002E-4</v>
      </c>
      <c r="W1711">
        <v>-1.1427</v>
      </c>
      <c r="X1711">
        <v>0.9456</v>
      </c>
      <c r="Y1711">
        <v>-6.1199999999999997E-2</v>
      </c>
      <c r="Z1711">
        <v>66</v>
      </c>
      <c r="AA1711">
        <v>3.4</v>
      </c>
      <c r="AB1711">
        <v>57</v>
      </c>
      <c r="AC1711">
        <v>3.7</v>
      </c>
      <c r="AD1711">
        <v>0</v>
      </c>
      <c r="AE1711">
        <v>0</v>
      </c>
      <c r="AF1711">
        <v>4.7637</v>
      </c>
      <c r="AG1711">
        <v>601</v>
      </c>
      <c r="AH1711">
        <v>0</v>
      </c>
    </row>
    <row r="1712" spans="1:34" x14ac:dyDescent="0.35">
      <c r="A1712" t="s">
        <v>34</v>
      </c>
      <c r="B1712" s="1">
        <v>46146.65625</v>
      </c>
      <c r="C1712" t="s">
        <v>34</v>
      </c>
      <c r="D1712" s="1">
        <v>46154.625</v>
      </c>
      <c r="E1712">
        <v>6810</v>
      </c>
      <c r="F1712" t="s">
        <v>36</v>
      </c>
      <c r="G1712">
        <v>6.1</v>
      </c>
      <c r="H1712">
        <v>6.3</v>
      </c>
      <c r="I1712">
        <v>6.1</v>
      </c>
      <c r="J1712">
        <v>6.2</v>
      </c>
      <c r="K1712">
        <v>20</v>
      </c>
      <c r="L1712">
        <v>160</v>
      </c>
      <c r="M1712">
        <v>3.8</v>
      </c>
      <c r="N1712">
        <v>29</v>
      </c>
      <c r="O1712">
        <v>4</v>
      </c>
      <c r="P1712">
        <v>0</v>
      </c>
      <c r="Q1712">
        <v>0</v>
      </c>
      <c r="R1712">
        <v>0</v>
      </c>
      <c r="S1712">
        <v>0</v>
      </c>
      <c r="T1712">
        <v>0.22070000000000001</v>
      </c>
      <c r="U1712">
        <v>-4.1500000000000002E-2</v>
      </c>
      <c r="V1712">
        <v>4.0000000000000002E-4</v>
      </c>
      <c r="W1712">
        <v>-1.1989000000000001</v>
      </c>
      <c r="X1712">
        <v>0.99409999999999998</v>
      </c>
      <c r="Y1712">
        <v>-6.5199999999999994E-2</v>
      </c>
      <c r="Z1712">
        <v>58</v>
      </c>
      <c r="AA1712">
        <v>3.6</v>
      </c>
      <c r="AB1712">
        <v>21</v>
      </c>
      <c r="AC1712">
        <v>3.9</v>
      </c>
      <c r="AD1712">
        <v>0</v>
      </c>
      <c r="AE1712">
        <v>0</v>
      </c>
      <c r="AF1712">
        <v>6.2350000000000003</v>
      </c>
      <c r="AG1712">
        <v>34</v>
      </c>
      <c r="AH1712">
        <v>0</v>
      </c>
    </row>
    <row r="1713" spans="1:34" x14ac:dyDescent="0.35">
      <c r="A1713" t="s">
        <v>34</v>
      </c>
      <c r="B1713" s="1">
        <v>46146.65625</v>
      </c>
      <c r="C1713" t="s">
        <v>34</v>
      </c>
      <c r="D1713" s="1">
        <v>46154.625</v>
      </c>
      <c r="E1713">
        <v>6820</v>
      </c>
      <c r="F1713" t="s">
        <v>36</v>
      </c>
      <c r="G1713">
        <v>3.35</v>
      </c>
      <c r="H1713">
        <v>4.8</v>
      </c>
      <c r="I1713">
        <v>3</v>
      </c>
      <c r="J1713">
        <v>4.49</v>
      </c>
      <c r="K1713">
        <v>23</v>
      </c>
      <c r="L1713">
        <v>233</v>
      </c>
      <c r="M1713">
        <v>4</v>
      </c>
      <c r="N1713">
        <v>103</v>
      </c>
      <c r="O1713">
        <v>4.3</v>
      </c>
      <c r="P1713">
        <v>0</v>
      </c>
      <c r="Q1713">
        <v>0</v>
      </c>
      <c r="R1713">
        <v>0</v>
      </c>
      <c r="S1713">
        <v>0</v>
      </c>
      <c r="T1713">
        <v>0.21859999999999999</v>
      </c>
      <c r="U1713">
        <v>-4.4200000000000003E-2</v>
      </c>
      <c r="V1713">
        <v>4.0000000000000002E-4</v>
      </c>
      <c r="W1713">
        <v>-1.2528999999999999</v>
      </c>
      <c r="X1713">
        <v>1.0435000000000001</v>
      </c>
      <c r="Y1713">
        <v>-6.93E-2</v>
      </c>
      <c r="Z1713">
        <v>56</v>
      </c>
      <c r="AA1713">
        <v>3.9</v>
      </c>
      <c r="AB1713">
        <v>57</v>
      </c>
      <c r="AC1713">
        <v>4.2</v>
      </c>
      <c r="AD1713">
        <v>0</v>
      </c>
      <c r="AE1713">
        <v>0</v>
      </c>
      <c r="AF1713">
        <v>4.3960999999999997</v>
      </c>
      <c r="AG1713">
        <v>111</v>
      </c>
      <c r="AH1713">
        <v>0</v>
      </c>
    </row>
    <row r="1714" spans="1:34" x14ac:dyDescent="0.35">
      <c r="A1714" t="s">
        <v>34</v>
      </c>
      <c r="B1714" s="1">
        <v>46146.65625</v>
      </c>
      <c r="C1714" t="s">
        <v>34</v>
      </c>
      <c r="D1714" s="1">
        <v>46154.625</v>
      </c>
      <c r="E1714">
        <v>6825</v>
      </c>
      <c r="F1714" t="s">
        <v>36</v>
      </c>
      <c r="G1714">
        <v>3.9</v>
      </c>
      <c r="H1714">
        <v>5.72</v>
      </c>
      <c r="I1714">
        <v>2.9</v>
      </c>
      <c r="J1714">
        <v>4.37</v>
      </c>
      <c r="K1714">
        <v>112</v>
      </c>
      <c r="L1714">
        <v>96</v>
      </c>
      <c r="M1714">
        <v>4.2</v>
      </c>
      <c r="N1714">
        <v>46</v>
      </c>
      <c r="O1714">
        <v>4.4000000000000004</v>
      </c>
      <c r="P1714">
        <v>0</v>
      </c>
      <c r="Q1714">
        <v>0</v>
      </c>
      <c r="R1714">
        <v>0</v>
      </c>
      <c r="S1714">
        <v>0</v>
      </c>
      <c r="T1714">
        <v>0.21709999999999999</v>
      </c>
      <c r="U1714">
        <v>-4.53E-2</v>
      </c>
      <c r="V1714">
        <v>4.0000000000000002E-4</v>
      </c>
      <c r="W1714">
        <v>-1.2730999999999999</v>
      </c>
      <c r="X1714">
        <v>1.0657000000000001</v>
      </c>
      <c r="Y1714">
        <v>-7.1199999999999999E-2</v>
      </c>
      <c r="Z1714">
        <v>66</v>
      </c>
      <c r="AA1714">
        <v>4</v>
      </c>
      <c r="AB1714">
        <v>29</v>
      </c>
      <c r="AC1714">
        <v>4.3</v>
      </c>
      <c r="AD1714">
        <v>0</v>
      </c>
      <c r="AE1714">
        <v>0</v>
      </c>
      <c r="AF1714">
        <v>4.5145999999999997</v>
      </c>
      <c r="AG1714">
        <v>2250</v>
      </c>
      <c r="AH1714">
        <v>0</v>
      </c>
    </row>
    <row r="1715" spans="1:34" x14ac:dyDescent="0.35">
      <c r="A1715" t="s">
        <v>34</v>
      </c>
      <c r="B1715" s="1">
        <v>46146.65625</v>
      </c>
      <c r="C1715" t="s">
        <v>34</v>
      </c>
      <c r="D1715" s="1">
        <v>46154.625</v>
      </c>
      <c r="E1715">
        <v>6830</v>
      </c>
      <c r="F1715" t="s">
        <v>36</v>
      </c>
      <c r="G1715">
        <v>3.55</v>
      </c>
      <c r="H1715">
        <v>5.0999999999999996</v>
      </c>
      <c r="I1715">
        <v>3.3</v>
      </c>
      <c r="J1715">
        <v>4.5</v>
      </c>
      <c r="K1715">
        <v>78</v>
      </c>
      <c r="L1715">
        <v>142</v>
      </c>
      <c r="M1715">
        <v>4.3</v>
      </c>
      <c r="N1715">
        <v>137</v>
      </c>
      <c r="O1715">
        <v>4.5999999999999996</v>
      </c>
      <c r="P1715">
        <v>0</v>
      </c>
      <c r="Q1715">
        <v>0</v>
      </c>
      <c r="R1715">
        <v>0</v>
      </c>
      <c r="S1715">
        <v>0</v>
      </c>
      <c r="T1715">
        <v>0.2162</v>
      </c>
      <c r="U1715">
        <v>-4.6899999999999997E-2</v>
      </c>
      <c r="V1715">
        <v>4.0000000000000002E-4</v>
      </c>
      <c r="W1715">
        <v>-1.3047</v>
      </c>
      <c r="X1715">
        <v>1.0941000000000001</v>
      </c>
      <c r="Y1715">
        <v>-7.3599999999999999E-2</v>
      </c>
      <c r="Z1715">
        <v>61</v>
      </c>
      <c r="AA1715">
        <v>4.0999999999999996</v>
      </c>
      <c r="AB1715">
        <v>19</v>
      </c>
      <c r="AC1715">
        <v>4.4000000000000004</v>
      </c>
      <c r="AD1715">
        <v>0</v>
      </c>
      <c r="AE1715">
        <v>0</v>
      </c>
      <c r="AF1715">
        <v>4.6007999999999996</v>
      </c>
      <c r="AG1715">
        <v>114</v>
      </c>
      <c r="AH1715">
        <v>0</v>
      </c>
    </row>
    <row r="1716" spans="1:34" x14ac:dyDescent="0.35">
      <c r="A1716" t="s">
        <v>34</v>
      </c>
      <c r="B1716" s="1">
        <v>46146.65625</v>
      </c>
      <c r="C1716" t="s">
        <v>34</v>
      </c>
      <c r="D1716" s="1">
        <v>46154.625</v>
      </c>
      <c r="E1716">
        <v>6840</v>
      </c>
      <c r="F1716" t="s">
        <v>36</v>
      </c>
      <c r="G1716">
        <v>4.3</v>
      </c>
      <c r="H1716">
        <v>7.28</v>
      </c>
      <c r="I1716">
        <v>4.3</v>
      </c>
      <c r="J1716">
        <v>4.7</v>
      </c>
      <c r="K1716">
        <v>92</v>
      </c>
      <c r="L1716">
        <v>156</v>
      </c>
      <c r="M1716">
        <v>4.5999999999999996</v>
      </c>
      <c r="N1716">
        <v>14</v>
      </c>
      <c r="O1716">
        <v>4.8</v>
      </c>
      <c r="P1716">
        <v>0</v>
      </c>
      <c r="Q1716">
        <v>0</v>
      </c>
      <c r="R1716">
        <v>0</v>
      </c>
      <c r="S1716">
        <v>0</v>
      </c>
      <c r="T1716">
        <v>0.21429999999999999</v>
      </c>
      <c r="U1716">
        <v>-0.05</v>
      </c>
      <c r="V1716">
        <v>5.0000000000000001E-4</v>
      </c>
      <c r="W1716">
        <v>-1.3664000000000001</v>
      </c>
      <c r="X1716">
        <v>1.1507000000000001</v>
      </c>
      <c r="Y1716">
        <v>-7.85E-2</v>
      </c>
      <c r="Z1716">
        <v>9</v>
      </c>
      <c r="AA1716">
        <v>4.5</v>
      </c>
      <c r="AB1716">
        <v>28</v>
      </c>
      <c r="AC1716">
        <v>4.7</v>
      </c>
      <c r="AD1716">
        <v>0</v>
      </c>
      <c r="AE1716">
        <v>0</v>
      </c>
      <c r="AF1716">
        <v>5.1298000000000004</v>
      </c>
      <c r="AG1716">
        <v>241</v>
      </c>
      <c r="AH1716">
        <v>0</v>
      </c>
    </row>
    <row r="1717" spans="1:34" x14ac:dyDescent="0.35">
      <c r="A1717" t="s">
        <v>34</v>
      </c>
      <c r="B1717" s="1">
        <v>46146.65625</v>
      </c>
      <c r="C1717" t="s">
        <v>34</v>
      </c>
      <c r="D1717" s="1">
        <v>46154.625</v>
      </c>
      <c r="E1717">
        <v>6850</v>
      </c>
      <c r="F1717" t="s">
        <v>36</v>
      </c>
      <c r="G1717">
        <v>3.9</v>
      </c>
      <c r="H1717">
        <v>8.8000000000000007</v>
      </c>
      <c r="I1717">
        <v>3.9</v>
      </c>
      <c r="J1717">
        <v>5.2</v>
      </c>
      <c r="K1717">
        <v>90</v>
      </c>
      <c r="L1717">
        <v>150</v>
      </c>
      <c r="M1717">
        <v>4.9000000000000004</v>
      </c>
      <c r="N1717">
        <v>86</v>
      </c>
      <c r="O1717">
        <v>5.2</v>
      </c>
      <c r="P1717">
        <v>0</v>
      </c>
      <c r="Q1717">
        <v>0</v>
      </c>
      <c r="R1717">
        <v>0</v>
      </c>
      <c r="S1717">
        <v>0</v>
      </c>
      <c r="T1717">
        <v>0.21260000000000001</v>
      </c>
      <c r="U1717">
        <v>-5.3499999999999999E-2</v>
      </c>
      <c r="V1717">
        <v>5.0000000000000001E-4</v>
      </c>
      <c r="W1717">
        <v>-1.4368000000000001</v>
      </c>
      <c r="X1717">
        <v>1.2128000000000001</v>
      </c>
      <c r="Y1717">
        <v>-8.4099999999999994E-2</v>
      </c>
      <c r="Z1717">
        <v>39</v>
      </c>
      <c r="AA1717">
        <v>4.7</v>
      </c>
      <c r="AB1717">
        <v>39</v>
      </c>
      <c r="AC1717">
        <v>5.0999999999999996</v>
      </c>
      <c r="AD1717">
        <v>0</v>
      </c>
      <c r="AE1717">
        <v>0</v>
      </c>
      <c r="AF1717">
        <v>5.1801000000000004</v>
      </c>
      <c r="AG1717">
        <v>159</v>
      </c>
      <c r="AH1717">
        <v>0</v>
      </c>
    </row>
    <row r="1718" spans="1:34" x14ac:dyDescent="0.35">
      <c r="A1718" t="s">
        <v>34</v>
      </c>
      <c r="B1718" s="1">
        <v>46146.65625</v>
      </c>
      <c r="C1718" t="s">
        <v>34</v>
      </c>
      <c r="D1718" s="1">
        <v>46154.625</v>
      </c>
      <c r="E1718">
        <v>6855</v>
      </c>
      <c r="F1718" t="s">
        <v>36</v>
      </c>
      <c r="G1718">
        <v>4</v>
      </c>
      <c r="H1718">
        <v>5.16</v>
      </c>
      <c r="I1718">
        <v>4</v>
      </c>
      <c r="J1718">
        <v>5.16</v>
      </c>
      <c r="K1718">
        <v>5</v>
      </c>
      <c r="L1718">
        <v>25</v>
      </c>
      <c r="M1718">
        <v>5.0999999999999996</v>
      </c>
      <c r="N1718">
        <v>91</v>
      </c>
      <c r="O1718">
        <v>5.4</v>
      </c>
      <c r="P1718">
        <v>0</v>
      </c>
      <c r="Q1718">
        <v>0</v>
      </c>
      <c r="R1718">
        <v>0</v>
      </c>
      <c r="S1718">
        <v>0</v>
      </c>
      <c r="T1718">
        <v>0.21079999999999999</v>
      </c>
      <c r="U1718">
        <v>-5.4800000000000001E-2</v>
      </c>
      <c r="V1718">
        <v>5.0000000000000001E-4</v>
      </c>
      <c r="W1718">
        <v>-1.4539</v>
      </c>
      <c r="X1718">
        <v>1.2357</v>
      </c>
      <c r="Y1718">
        <v>-8.6199999999999999E-2</v>
      </c>
      <c r="Z1718">
        <v>19</v>
      </c>
      <c r="AA1718">
        <v>4.9000000000000004</v>
      </c>
      <c r="AB1718">
        <v>19</v>
      </c>
      <c r="AC1718">
        <v>5.2</v>
      </c>
      <c r="AD1718">
        <v>0</v>
      </c>
      <c r="AE1718">
        <v>0</v>
      </c>
      <c r="AF1718">
        <v>4.9160000000000004</v>
      </c>
      <c r="AG1718">
        <v>11</v>
      </c>
      <c r="AH1718">
        <v>0</v>
      </c>
    </row>
    <row r="1719" spans="1:34" x14ac:dyDescent="0.35">
      <c r="A1719" t="s">
        <v>34</v>
      </c>
      <c r="B1719" s="1">
        <v>46146.65625</v>
      </c>
      <c r="C1719" t="s">
        <v>34</v>
      </c>
      <c r="D1719" s="1">
        <v>46154.625</v>
      </c>
      <c r="E1719">
        <v>6860</v>
      </c>
      <c r="F1719" t="s">
        <v>36</v>
      </c>
      <c r="G1719">
        <v>4.0999999999999996</v>
      </c>
      <c r="H1719">
        <v>7.36</v>
      </c>
      <c r="I1719">
        <v>4.0999999999999996</v>
      </c>
      <c r="J1719">
        <v>7.36</v>
      </c>
      <c r="K1719">
        <v>4</v>
      </c>
      <c r="L1719">
        <v>118</v>
      </c>
      <c r="M1719">
        <v>5.2</v>
      </c>
      <c r="N1719">
        <v>25</v>
      </c>
      <c r="O1719">
        <v>5.5</v>
      </c>
      <c r="P1719">
        <v>0</v>
      </c>
      <c r="Q1719">
        <v>0</v>
      </c>
      <c r="R1719">
        <v>0</v>
      </c>
      <c r="S1719">
        <v>0</v>
      </c>
      <c r="T1719">
        <v>0.21010000000000001</v>
      </c>
      <c r="U1719">
        <v>-5.67E-2</v>
      </c>
      <c r="V1719">
        <v>5.0000000000000001E-4</v>
      </c>
      <c r="W1719">
        <v>-1.4930000000000001</v>
      </c>
      <c r="X1719">
        <v>1.2690999999999999</v>
      </c>
      <c r="Y1719">
        <v>-8.9300000000000004E-2</v>
      </c>
      <c r="Z1719">
        <v>38</v>
      </c>
      <c r="AA1719">
        <v>5.0999999999999996</v>
      </c>
      <c r="AB1719">
        <v>38</v>
      </c>
      <c r="AC1719">
        <v>5.4</v>
      </c>
      <c r="AD1719">
        <v>0</v>
      </c>
      <c r="AE1719">
        <v>0</v>
      </c>
      <c r="AF1719">
        <v>6.0075000000000003</v>
      </c>
      <c r="AG1719">
        <v>36</v>
      </c>
      <c r="AH1719">
        <v>0</v>
      </c>
    </row>
    <row r="1720" spans="1:34" x14ac:dyDescent="0.35">
      <c r="A1720" t="s">
        <v>34</v>
      </c>
      <c r="B1720" s="1">
        <v>46146.65625</v>
      </c>
      <c r="C1720" t="s">
        <v>34</v>
      </c>
      <c r="D1720" s="1">
        <v>46154.625</v>
      </c>
      <c r="E1720">
        <v>6865</v>
      </c>
      <c r="F1720" t="s">
        <v>36</v>
      </c>
      <c r="G1720">
        <v>4.2</v>
      </c>
      <c r="H1720">
        <v>7.33</v>
      </c>
      <c r="I1720">
        <v>4.2</v>
      </c>
      <c r="J1720">
        <v>7.33</v>
      </c>
      <c r="K1720">
        <v>2</v>
      </c>
      <c r="L1720">
        <v>119</v>
      </c>
      <c r="M1720">
        <v>5.4</v>
      </c>
      <c r="N1720">
        <v>26</v>
      </c>
      <c r="O1720">
        <v>5.7</v>
      </c>
      <c r="P1720">
        <v>0</v>
      </c>
      <c r="Q1720">
        <v>0</v>
      </c>
      <c r="R1720">
        <v>0</v>
      </c>
      <c r="S1720">
        <v>0</v>
      </c>
      <c r="T1720">
        <v>0.20949999999999999</v>
      </c>
      <c r="U1720">
        <v>-5.8700000000000002E-2</v>
      </c>
      <c r="V1720">
        <v>5.0000000000000001E-4</v>
      </c>
      <c r="W1720">
        <v>-1.5316000000000001</v>
      </c>
      <c r="X1720">
        <v>1.3019000000000001</v>
      </c>
      <c r="Y1720">
        <v>-9.2399999999999996E-2</v>
      </c>
      <c r="Z1720">
        <v>20</v>
      </c>
      <c r="AA1720">
        <v>5.2</v>
      </c>
      <c r="AB1720">
        <v>18</v>
      </c>
      <c r="AC1720">
        <v>5.6</v>
      </c>
      <c r="AD1720">
        <v>0</v>
      </c>
      <c r="AE1720">
        <v>0</v>
      </c>
      <c r="AF1720">
        <v>5.7649999999999997</v>
      </c>
      <c r="AG1720">
        <v>1</v>
      </c>
      <c r="AH1720">
        <v>0</v>
      </c>
    </row>
    <row r="1721" spans="1:34" x14ac:dyDescent="0.35">
      <c r="A1721" t="s">
        <v>34</v>
      </c>
      <c r="B1721" s="1">
        <v>46146.65625</v>
      </c>
      <c r="C1721" t="s">
        <v>34</v>
      </c>
      <c r="D1721" s="1">
        <v>46154.625</v>
      </c>
      <c r="E1721">
        <v>6870</v>
      </c>
      <c r="F1721" t="s">
        <v>36</v>
      </c>
      <c r="G1721">
        <v>4.3</v>
      </c>
      <c r="H1721">
        <v>4.3</v>
      </c>
      <c r="I1721">
        <v>4</v>
      </c>
      <c r="J1721">
        <v>4.0999999999999996</v>
      </c>
      <c r="K1721">
        <v>4</v>
      </c>
      <c r="L1721">
        <v>136</v>
      </c>
      <c r="M1721">
        <v>5.6</v>
      </c>
      <c r="N1721">
        <v>79</v>
      </c>
      <c r="O1721">
        <v>5.9</v>
      </c>
      <c r="P1721">
        <v>0</v>
      </c>
      <c r="Q1721">
        <v>0</v>
      </c>
      <c r="R1721">
        <v>0</v>
      </c>
      <c r="S1721">
        <v>0</v>
      </c>
      <c r="T1721">
        <v>0.20860000000000001</v>
      </c>
      <c r="U1721">
        <v>-6.0699999999999997E-2</v>
      </c>
      <c r="V1721">
        <v>5.0000000000000001E-4</v>
      </c>
      <c r="W1721">
        <v>-1.5689</v>
      </c>
      <c r="X1721">
        <v>1.3352999999999999</v>
      </c>
      <c r="Y1721">
        <v>-9.5600000000000004E-2</v>
      </c>
      <c r="Z1721">
        <v>37</v>
      </c>
      <c r="AA1721">
        <v>5.4</v>
      </c>
      <c r="AB1721">
        <v>38</v>
      </c>
      <c r="AC1721">
        <v>5.8</v>
      </c>
      <c r="AD1721">
        <v>0</v>
      </c>
      <c r="AE1721">
        <v>0</v>
      </c>
      <c r="AF1721">
        <v>4.125</v>
      </c>
      <c r="AG1721">
        <v>82</v>
      </c>
      <c r="AH1721">
        <v>0</v>
      </c>
    </row>
    <row r="1722" spans="1:34" x14ac:dyDescent="0.35">
      <c r="A1722" t="s">
        <v>34</v>
      </c>
      <c r="B1722" s="1">
        <v>46146.65625</v>
      </c>
      <c r="C1722" t="s">
        <v>34</v>
      </c>
      <c r="D1722" s="1">
        <v>46154.625</v>
      </c>
      <c r="E1722">
        <v>6875</v>
      </c>
      <c r="F1722" t="s">
        <v>36</v>
      </c>
      <c r="G1722">
        <v>4.57</v>
      </c>
      <c r="H1722">
        <v>7.44</v>
      </c>
      <c r="I1722">
        <v>3.89</v>
      </c>
      <c r="J1722">
        <v>5.85</v>
      </c>
      <c r="K1722">
        <v>218</v>
      </c>
      <c r="L1722">
        <v>63</v>
      </c>
      <c r="M1722">
        <v>5.8</v>
      </c>
      <c r="N1722">
        <v>79</v>
      </c>
      <c r="O1722">
        <v>6.1</v>
      </c>
      <c r="P1722">
        <v>0</v>
      </c>
      <c r="Q1722">
        <v>0</v>
      </c>
      <c r="R1722">
        <v>0</v>
      </c>
      <c r="S1722">
        <v>0</v>
      </c>
      <c r="T1722">
        <v>0.20760000000000001</v>
      </c>
      <c r="U1722">
        <v>-6.2700000000000006E-2</v>
      </c>
      <c r="V1722">
        <v>5.9999999999999995E-4</v>
      </c>
      <c r="W1722">
        <v>-1.6053999999999999</v>
      </c>
      <c r="X1722">
        <v>1.3689</v>
      </c>
      <c r="Y1722">
        <v>-9.8699999999999996E-2</v>
      </c>
      <c r="Z1722">
        <v>37</v>
      </c>
      <c r="AA1722">
        <v>5.6</v>
      </c>
      <c r="AB1722">
        <v>37</v>
      </c>
      <c r="AC1722">
        <v>6</v>
      </c>
      <c r="AD1722">
        <v>0</v>
      </c>
      <c r="AE1722">
        <v>0</v>
      </c>
      <c r="AF1722">
        <v>4.7401</v>
      </c>
      <c r="AG1722">
        <v>166</v>
      </c>
      <c r="AH1722">
        <v>0</v>
      </c>
    </row>
    <row r="1723" spans="1:34" x14ac:dyDescent="0.35">
      <c r="A1723" t="s">
        <v>34</v>
      </c>
      <c r="B1723" s="1">
        <v>46146.65625</v>
      </c>
      <c r="C1723" t="s">
        <v>34</v>
      </c>
      <c r="D1723" s="1">
        <v>46154.625</v>
      </c>
      <c r="E1723">
        <v>6880</v>
      </c>
      <c r="F1723" t="s">
        <v>36</v>
      </c>
      <c r="G1723">
        <v>4.92</v>
      </c>
      <c r="H1723">
        <v>10.75</v>
      </c>
      <c r="I1723">
        <v>4.9000000000000004</v>
      </c>
      <c r="J1723">
        <v>5.95</v>
      </c>
      <c r="K1723">
        <v>28</v>
      </c>
      <c r="L1723">
        <v>63</v>
      </c>
      <c r="M1723">
        <v>6</v>
      </c>
      <c r="N1723">
        <v>75</v>
      </c>
      <c r="O1723">
        <v>6.3</v>
      </c>
      <c r="P1723">
        <v>0</v>
      </c>
      <c r="Q1723">
        <v>0</v>
      </c>
      <c r="R1723">
        <v>0</v>
      </c>
      <c r="S1723">
        <v>0</v>
      </c>
      <c r="T1723">
        <v>0.20660000000000001</v>
      </c>
      <c r="U1723">
        <v>-6.4699999999999994E-2</v>
      </c>
      <c r="V1723">
        <v>5.9999999999999995E-4</v>
      </c>
      <c r="W1723">
        <v>-1.641</v>
      </c>
      <c r="X1723">
        <v>1.4027000000000001</v>
      </c>
      <c r="Y1723">
        <v>-0.1019</v>
      </c>
      <c r="Z1723">
        <v>37</v>
      </c>
      <c r="AA1723">
        <v>5.8</v>
      </c>
      <c r="AB1723">
        <v>37</v>
      </c>
      <c r="AC1723">
        <v>6.2</v>
      </c>
      <c r="AD1723">
        <v>0</v>
      </c>
      <c r="AE1723">
        <v>0</v>
      </c>
      <c r="AF1723">
        <v>7.6181999999999999</v>
      </c>
      <c r="AG1723">
        <v>215</v>
      </c>
      <c r="AH1723">
        <v>0</v>
      </c>
    </row>
    <row r="1724" spans="1:34" x14ac:dyDescent="0.35">
      <c r="A1724" t="s">
        <v>34</v>
      </c>
      <c r="B1724" s="1">
        <v>46146.65625</v>
      </c>
      <c r="C1724" t="s">
        <v>34</v>
      </c>
      <c r="D1724" s="1">
        <v>46154.625</v>
      </c>
      <c r="E1724">
        <v>6885</v>
      </c>
      <c r="F1724" t="s">
        <v>36</v>
      </c>
      <c r="G1724">
        <v>4.5</v>
      </c>
      <c r="H1724">
        <v>4.5</v>
      </c>
      <c r="I1724">
        <v>4.5</v>
      </c>
      <c r="J1724">
        <v>4.5</v>
      </c>
      <c r="K1724">
        <v>2</v>
      </c>
      <c r="L1724">
        <v>43</v>
      </c>
      <c r="M1724">
        <v>6.2</v>
      </c>
      <c r="N1724">
        <v>25</v>
      </c>
      <c r="O1724">
        <v>6.5</v>
      </c>
      <c r="P1724">
        <v>0</v>
      </c>
      <c r="Q1724">
        <v>0</v>
      </c>
      <c r="R1724">
        <v>0</v>
      </c>
      <c r="S1724">
        <v>0</v>
      </c>
      <c r="T1724">
        <v>0.20549999999999999</v>
      </c>
      <c r="U1724">
        <v>-6.6799999999999998E-2</v>
      </c>
      <c r="V1724">
        <v>5.9999999999999995E-4</v>
      </c>
      <c r="W1724">
        <v>-1.6758</v>
      </c>
      <c r="X1724">
        <v>1.4366000000000001</v>
      </c>
      <c r="Y1724">
        <v>-0.1052</v>
      </c>
      <c r="Z1724">
        <v>19</v>
      </c>
      <c r="AA1724">
        <v>6</v>
      </c>
      <c r="AB1724">
        <v>18</v>
      </c>
      <c r="AC1724">
        <v>6.4</v>
      </c>
      <c r="AD1724">
        <v>0</v>
      </c>
      <c r="AE1724">
        <v>0</v>
      </c>
      <c r="AF1724">
        <v>4.5</v>
      </c>
      <c r="AG1724">
        <v>14</v>
      </c>
      <c r="AH1724">
        <v>0</v>
      </c>
    </row>
    <row r="1725" spans="1:34" x14ac:dyDescent="0.35">
      <c r="A1725" t="s">
        <v>34</v>
      </c>
      <c r="B1725" s="1">
        <v>46146.65625</v>
      </c>
      <c r="C1725" t="s">
        <v>34</v>
      </c>
      <c r="D1725" s="1">
        <v>46154.625</v>
      </c>
      <c r="E1725">
        <v>6890</v>
      </c>
      <c r="F1725" t="s">
        <v>36</v>
      </c>
      <c r="G1725">
        <v>8.7200000000000006</v>
      </c>
      <c r="H1725">
        <v>8.7200000000000006</v>
      </c>
      <c r="I1725">
        <v>8.7200000000000006</v>
      </c>
      <c r="J1725">
        <v>8.7200000000000006</v>
      </c>
      <c r="K1725">
        <v>1</v>
      </c>
      <c r="L1725">
        <v>95</v>
      </c>
      <c r="M1725">
        <v>6.4</v>
      </c>
      <c r="N1725">
        <v>23</v>
      </c>
      <c r="O1725">
        <v>6.7</v>
      </c>
      <c r="P1725">
        <v>0</v>
      </c>
      <c r="Q1725">
        <v>0</v>
      </c>
      <c r="R1725">
        <v>0</v>
      </c>
      <c r="S1725">
        <v>0</v>
      </c>
      <c r="T1725">
        <v>0.2044</v>
      </c>
      <c r="U1725">
        <v>-6.8900000000000003E-2</v>
      </c>
      <c r="V1725">
        <v>5.9999999999999995E-4</v>
      </c>
      <c r="W1725">
        <v>-1.7098</v>
      </c>
      <c r="X1725">
        <v>1.4705999999999999</v>
      </c>
      <c r="Y1725">
        <v>-0.1085</v>
      </c>
      <c r="Z1725">
        <v>36</v>
      </c>
      <c r="AA1725">
        <v>6.3</v>
      </c>
      <c r="AB1725">
        <v>36</v>
      </c>
      <c r="AC1725">
        <v>6.6</v>
      </c>
      <c r="AD1725">
        <v>0</v>
      </c>
      <c r="AE1725">
        <v>0</v>
      </c>
      <c r="AF1725">
        <v>8.7200000000000006</v>
      </c>
      <c r="AG1725">
        <v>90</v>
      </c>
      <c r="AH1725">
        <v>0</v>
      </c>
    </row>
    <row r="1726" spans="1:34" x14ac:dyDescent="0.35">
      <c r="A1726" t="s">
        <v>34</v>
      </c>
      <c r="B1726" s="1">
        <v>46146.65625</v>
      </c>
      <c r="C1726" t="s">
        <v>34</v>
      </c>
      <c r="D1726" s="1">
        <v>46154.625</v>
      </c>
      <c r="E1726">
        <v>6895</v>
      </c>
      <c r="F1726" t="s">
        <v>36</v>
      </c>
      <c r="G1726">
        <v>9.01</v>
      </c>
      <c r="H1726">
        <v>9.6300000000000008</v>
      </c>
      <c r="I1726">
        <v>9.01</v>
      </c>
      <c r="J1726">
        <v>9.6300000000000008</v>
      </c>
      <c r="K1726">
        <v>26</v>
      </c>
      <c r="L1726">
        <v>41</v>
      </c>
      <c r="M1726">
        <v>6.7</v>
      </c>
      <c r="N1726">
        <v>61</v>
      </c>
      <c r="O1726">
        <v>7</v>
      </c>
      <c r="P1726">
        <v>0</v>
      </c>
      <c r="Q1726">
        <v>0</v>
      </c>
      <c r="R1726">
        <v>0</v>
      </c>
      <c r="S1726">
        <v>0</v>
      </c>
      <c r="T1726">
        <v>0.20349999999999999</v>
      </c>
      <c r="U1726">
        <v>-7.1400000000000005E-2</v>
      </c>
      <c r="V1726">
        <v>5.9999999999999995E-4</v>
      </c>
      <c r="W1726">
        <v>-1.7525999999999999</v>
      </c>
      <c r="X1726">
        <v>1.5103</v>
      </c>
      <c r="Y1726">
        <v>-0.1125</v>
      </c>
      <c r="Z1726">
        <v>18</v>
      </c>
      <c r="AA1726">
        <v>6.5</v>
      </c>
      <c r="AB1726">
        <v>17</v>
      </c>
      <c r="AC1726">
        <v>6.8</v>
      </c>
      <c r="AD1726">
        <v>0</v>
      </c>
      <c r="AE1726">
        <v>0</v>
      </c>
      <c r="AF1726">
        <v>9.3341999999999992</v>
      </c>
      <c r="AG1726">
        <v>5</v>
      </c>
      <c r="AH1726">
        <v>0</v>
      </c>
    </row>
    <row r="1727" spans="1:34" x14ac:dyDescent="0.35">
      <c r="A1727" t="s">
        <v>34</v>
      </c>
      <c r="B1727" s="1">
        <v>46146.65625</v>
      </c>
      <c r="C1727" t="s">
        <v>34</v>
      </c>
      <c r="D1727" s="1">
        <v>46154.625</v>
      </c>
      <c r="E1727">
        <v>6900</v>
      </c>
      <c r="F1727" t="s">
        <v>36</v>
      </c>
      <c r="G1727">
        <v>5.57</v>
      </c>
      <c r="H1727">
        <v>12.05</v>
      </c>
      <c r="I1727">
        <v>4.51</v>
      </c>
      <c r="J1727">
        <v>6.8</v>
      </c>
      <c r="K1727">
        <v>81</v>
      </c>
      <c r="L1727">
        <v>67</v>
      </c>
      <c r="M1727">
        <v>6.9</v>
      </c>
      <c r="N1727">
        <v>40</v>
      </c>
      <c r="O1727">
        <v>7.2</v>
      </c>
      <c r="P1727">
        <v>0</v>
      </c>
      <c r="Q1727">
        <v>0</v>
      </c>
      <c r="R1727">
        <v>0</v>
      </c>
      <c r="S1727">
        <v>0</v>
      </c>
      <c r="T1727">
        <v>0.20269999999999999</v>
      </c>
      <c r="U1727">
        <v>-7.3800000000000004E-2</v>
      </c>
      <c r="V1727">
        <v>5.9999999999999995E-4</v>
      </c>
      <c r="W1727">
        <v>-1.7948</v>
      </c>
      <c r="X1727">
        <v>1.5485</v>
      </c>
      <c r="Y1727">
        <v>-0.1164</v>
      </c>
      <c r="Z1727">
        <v>44</v>
      </c>
      <c r="AA1727">
        <v>6.7</v>
      </c>
      <c r="AB1727">
        <v>8</v>
      </c>
      <c r="AC1727">
        <v>7</v>
      </c>
      <c r="AD1727">
        <v>0</v>
      </c>
      <c r="AE1727">
        <v>0</v>
      </c>
      <c r="AF1727">
        <v>8.0737000000000005</v>
      </c>
      <c r="AG1727">
        <v>1740</v>
      </c>
      <c r="AH1727">
        <v>0</v>
      </c>
    </row>
    <row r="1728" spans="1:34" x14ac:dyDescent="0.35">
      <c r="A1728" t="s">
        <v>34</v>
      </c>
      <c r="B1728" s="1">
        <v>46146.65625</v>
      </c>
      <c r="C1728" t="s">
        <v>34</v>
      </c>
      <c r="D1728" s="1">
        <v>46154.625</v>
      </c>
      <c r="E1728">
        <v>6905</v>
      </c>
      <c r="F1728" t="s">
        <v>36</v>
      </c>
      <c r="G1728">
        <v>10</v>
      </c>
      <c r="H1728">
        <v>10</v>
      </c>
      <c r="I1728">
        <v>8.26</v>
      </c>
      <c r="J1728">
        <v>8.26</v>
      </c>
      <c r="K1728">
        <v>17</v>
      </c>
      <c r="L1728">
        <v>22</v>
      </c>
      <c r="M1728">
        <v>7.2</v>
      </c>
      <c r="N1728">
        <v>59</v>
      </c>
      <c r="O1728">
        <v>7.5</v>
      </c>
      <c r="P1728">
        <v>0</v>
      </c>
      <c r="Q1728">
        <v>0</v>
      </c>
      <c r="R1728">
        <v>0</v>
      </c>
      <c r="S1728">
        <v>0</v>
      </c>
      <c r="T1728">
        <v>0.20130000000000001</v>
      </c>
      <c r="U1728">
        <v>-7.5999999999999998E-2</v>
      </c>
      <c r="V1728">
        <v>6.9999999999999999E-4</v>
      </c>
      <c r="W1728">
        <v>-1.8257000000000001</v>
      </c>
      <c r="X1728">
        <v>1.5826</v>
      </c>
      <c r="Y1728">
        <v>-0.11990000000000001</v>
      </c>
      <c r="Z1728">
        <v>18</v>
      </c>
      <c r="AA1728">
        <v>7</v>
      </c>
      <c r="AB1728">
        <v>17</v>
      </c>
      <c r="AC1728">
        <v>7.3</v>
      </c>
      <c r="AD1728">
        <v>0</v>
      </c>
      <c r="AE1728">
        <v>0</v>
      </c>
      <c r="AF1728">
        <v>9.1376000000000008</v>
      </c>
      <c r="AG1728">
        <v>17</v>
      </c>
      <c r="AH1728">
        <v>0</v>
      </c>
    </row>
    <row r="1729" spans="1:34" x14ac:dyDescent="0.35">
      <c r="A1729" t="s">
        <v>34</v>
      </c>
      <c r="B1729" s="1">
        <v>46146.65625</v>
      </c>
      <c r="C1729" t="s">
        <v>34</v>
      </c>
      <c r="D1729" s="1">
        <v>46154.625</v>
      </c>
      <c r="E1729">
        <v>6910</v>
      </c>
      <c r="F1729" t="s">
        <v>36</v>
      </c>
      <c r="G1729">
        <v>7.47</v>
      </c>
      <c r="H1729">
        <v>10.74</v>
      </c>
      <c r="I1729">
        <v>7.47</v>
      </c>
      <c r="J1729">
        <v>7.88</v>
      </c>
      <c r="K1729">
        <v>40</v>
      </c>
      <c r="L1729">
        <v>57</v>
      </c>
      <c r="M1729">
        <v>7.4</v>
      </c>
      <c r="N1729">
        <v>22</v>
      </c>
      <c r="O1729">
        <v>7.7</v>
      </c>
      <c r="P1729">
        <v>0</v>
      </c>
      <c r="Q1729">
        <v>0</v>
      </c>
      <c r="R1729">
        <v>0</v>
      </c>
      <c r="S1729">
        <v>0</v>
      </c>
      <c r="T1729">
        <v>0.20069999999999999</v>
      </c>
      <c r="U1729">
        <v>-7.8799999999999995E-2</v>
      </c>
      <c r="V1729">
        <v>6.9999999999999999E-4</v>
      </c>
      <c r="W1729">
        <v>-1.8753</v>
      </c>
      <c r="X1729">
        <v>1.625</v>
      </c>
      <c r="Y1729">
        <v>-0.1244</v>
      </c>
      <c r="Z1729">
        <v>35</v>
      </c>
      <c r="AA1729">
        <v>7.2</v>
      </c>
      <c r="AB1729">
        <v>36</v>
      </c>
      <c r="AC1729">
        <v>7.6</v>
      </c>
      <c r="AD1729">
        <v>0</v>
      </c>
      <c r="AE1729">
        <v>0</v>
      </c>
      <c r="AF1729">
        <v>8.1918000000000006</v>
      </c>
      <c r="AG1729">
        <v>50</v>
      </c>
      <c r="AH1729">
        <v>0</v>
      </c>
    </row>
    <row r="1730" spans="1:34" x14ac:dyDescent="0.35">
      <c r="A1730" t="s">
        <v>34</v>
      </c>
      <c r="B1730" s="1">
        <v>46146.65625</v>
      </c>
      <c r="C1730" t="s">
        <v>34</v>
      </c>
      <c r="D1730" s="1">
        <v>46154.625</v>
      </c>
      <c r="E1730">
        <v>6915</v>
      </c>
      <c r="F1730" t="s">
        <v>36</v>
      </c>
      <c r="G1730">
        <v>5.7</v>
      </c>
      <c r="H1730">
        <v>10.65</v>
      </c>
      <c r="I1730">
        <v>5.7</v>
      </c>
      <c r="J1730">
        <v>10.65</v>
      </c>
      <c r="K1730">
        <v>6</v>
      </c>
      <c r="L1730">
        <v>45</v>
      </c>
      <c r="M1730">
        <v>7.7</v>
      </c>
      <c r="N1730">
        <v>29</v>
      </c>
      <c r="O1730">
        <v>8</v>
      </c>
      <c r="P1730">
        <v>0</v>
      </c>
      <c r="Q1730">
        <v>0</v>
      </c>
      <c r="R1730">
        <v>0</v>
      </c>
      <c r="S1730">
        <v>0</v>
      </c>
      <c r="T1730">
        <v>0.2</v>
      </c>
      <c r="U1730">
        <v>-8.1600000000000006E-2</v>
      </c>
      <c r="V1730">
        <v>6.9999999999999999E-4</v>
      </c>
      <c r="W1730">
        <v>-1.9232</v>
      </c>
      <c r="X1730">
        <v>1.6674</v>
      </c>
      <c r="Y1730">
        <v>-0.12889999999999999</v>
      </c>
      <c r="Z1730">
        <v>17</v>
      </c>
      <c r="AA1730">
        <v>7.5</v>
      </c>
      <c r="AB1730">
        <v>15</v>
      </c>
      <c r="AC1730">
        <v>7.8</v>
      </c>
      <c r="AD1730">
        <v>0</v>
      </c>
      <c r="AE1730">
        <v>0</v>
      </c>
      <c r="AF1730">
        <v>9.8249999999999993</v>
      </c>
      <c r="AG1730">
        <v>1</v>
      </c>
      <c r="AH1730">
        <v>0</v>
      </c>
    </row>
    <row r="1731" spans="1:34" x14ac:dyDescent="0.35">
      <c r="A1731" t="s">
        <v>34</v>
      </c>
      <c r="B1731" s="1">
        <v>46146.65625</v>
      </c>
      <c r="C1731" t="s">
        <v>34</v>
      </c>
      <c r="D1731" s="1">
        <v>46154.625</v>
      </c>
      <c r="E1731">
        <v>6920</v>
      </c>
      <c r="F1731" t="s">
        <v>36</v>
      </c>
      <c r="G1731">
        <v>9.69</v>
      </c>
      <c r="H1731">
        <v>11.89</v>
      </c>
      <c r="I1731">
        <v>8.59</v>
      </c>
      <c r="J1731">
        <v>8.59</v>
      </c>
      <c r="K1731">
        <v>27</v>
      </c>
      <c r="L1731">
        <v>80</v>
      </c>
      <c r="M1731">
        <v>8</v>
      </c>
      <c r="N1731">
        <v>46</v>
      </c>
      <c r="O1731">
        <v>8.3000000000000007</v>
      </c>
      <c r="P1731">
        <v>0</v>
      </c>
      <c r="Q1731">
        <v>0</v>
      </c>
      <c r="R1731">
        <v>0</v>
      </c>
      <c r="S1731">
        <v>0</v>
      </c>
      <c r="T1731">
        <v>0.1988</v>
      </c>
      <c r="U1731">
        <v>-8.4199999999999997E-2</v>
      </c>
      <c r="V1731">
        <v>6.9999999999999999E-4</v>
      </c>
      <c r="W1731">
        <v>-1.9603999999999999</v>
      </c>
      <c r="X1731">
        <v>1.7056</v>
      </c>
      <c r="Y1731">
        <v>-0.13300000000000001</v>
      </c>
      <c r="Z1731">
        <v>43</v>
      </c>
      <c r="AA1731">
        <v>7.8</v>
      </c>
      <c r="AB1731">
        <v>31</v>
      </c>
      <c r="AC1731">
        <v>8.1</v>
      </c>
      <c r="AD1731">
        <v>0</v>
      </c>
      <c r="AE1731">
        <v>0</v>
      </c>
      <c r="AF1731">
        <v>10.542199999999999</v>
      </c>
      <c r="AG1731">
        <v>134</v>
      </c>
      <c r="AH1731">
        <v>0</v>
      </c>
    </row>
    <row r="1732" spans="1:34" x14ac:dyDescent="0.35">
      <c r="A1732" t="s">
        <v>34</v>
      </c>
      <c r="B1732" s="1">
        <v>46146.65625</v>
      </c>
      <c r="C1732" t="s">
        <v>34</v>
      </c>
      <c r="D1732" s="1">
        <v>46154.625</v>
      </c>
      <c r="E1732">
        <v>6925</v>
      </c>
      <c r="F1732" t="s">
        <v>36</v>
      </c>
      <c r="G1732">
        <v>6.13</v>
      </c>
      <c r="H1732">
        <v>11.74</v>
      </c>
      <c r="I1732">
        <v>5.7</v>
      </c>
      <c r="J1732">
        <v>8</v>
      </c>
      <c r="K1732">
        <v>256</v>
      </c>
      <c r="L1732">
        <v>61</v>
      </c>
      <c r="M1732">
        <v>8.3000000000000007</v>
      </c>
      <c r="N1732">
        <v>46</v>
      </c>
      <c r="O1732">
        <v>8.6</v>
      </c>
      <c r="P1732">
        <v>0</v>
      </c>
      <c r="Q1732">
        <v>0</v>
      </c>
      <c r="R1732">
        <v>0</v>
      </c>
      <c r="S1732">
        <v>0</v>
      </c>
      <c r="T1732">
        <v>0.19789999999999999</v>
      </c>
      <c r="U1732">
        <v>-8.7099999999999997E-2</v>
      </c>
      <c r="V1732">
        <v>8.0000000000000004E-4</v>
      </c>
      <c r="W1732">
        <v>-2.0057999999999998</v>
      </c>
      <c r="X1732">
        <v>1.7479</v>
      </c>
      <c r="Y1732">
        <v>-0.1376</v>
      </c>
      <c r="Z1732">
        <v>43</v>
      </c>
      <c r="AA1732">
        <v>8.1</v>
      </c>
      <c r="AB1732">
        <v>30</v>
      </c>
      <c r="AC1732">
        <v>8.4</v>
      </c>
      <c r="AD1732">
        <v>0</v>
      </c>
      <c r="AE1732">
        <v>0</v>
      </c>
      <c r="AF1732">
        <v>7.0128000000000004</v>
      </c>
      <c r="AG1732">
        <v>685</v>
      </c>
      <c r="AH1732">
        <v>0</v>
      </c>
    </row>
    <row r="1733" spans="1:34" x14ac:dyDescent="0.35">
      <c r="A1733" t="s">
        <v>34</v>
      </c>
      <c r="B1733" s="1">
        <v>46146.65625</v>
      </c>
      <c r="C1733" t="s">
        <v>34</v>
      </c>
      <c r="D1733" s="1">
        <v>46154.625</v>
      </c>
      <c r="E1733">
        <v>6930</v>
      </c>
      <c r="F1733" t="s">
        <v>36</v>
      </c>
      <c r="G1733">
        <v>11.28</v>
      </c>
      <c r="H1733">
        <v>11.28</v>
      </c>
      <c r="I1733">
        <v>8.75</v>
      </c>
      <c r="J1733">
        <v>8.76</v>
      </c>
      <c r="K1733">
        <v>16</v>
      </c>
      <c r="L1733">
        <v>44</v>
      </c>
      <c r="M1733">
        <v>8.6</v>
      </c>
      <c r="N1733">
        <v>30</v>
      </c>
      <c r="O1733">
        <v>8.9</v>
      </c>
      <c r="P1733">
        <v>0</v>
      </c>
      <c r="Q1733">
        <v>0</v>
      </c>
      <c r="R1733">
        <v>0</v>
      </c>
      <c r="S1733">
        <v>0</v>
      </c>
      <c r="T1733">
        <v>0.19719999999999999</v>
      </c>
      <c r="U1733">
        <v>-9.0399999999999994E-2</v>
      </c>
      <c r="V1733">
        <v>8.0000000000000004E-4</v>
      </c>
      <c r="W1733">
        <v>-2.0586000000000002</v>
      </c>
      <c r="X1733">
        <v>1.7945</v>
      </c>
      <c r="Y1733">
        <v>-0.14269999999999999</v>
      </c>
      <c r="Z1733">
        <v>36</v>
      </c>
      <c r="AA1733">
        <v>8.4</v>
      </c>
      <c r="AB1733">
        <v>23</v>
      </c>
      <c r="AC1733">
        <v>8.6999999999999993</v>
      </c>
      <c r="AD1733">
        <v>0</v>
      </c>
      <c r="AE1733">
        <v>0</v>
      </c>
      <c r="AF1733">
        <v>9.8519000000000005</v>
      </c>
      <c r="AG1733">
        <v>142</v>
      </c>
      <c r="AH1733">
        <v>0</v>
      </c>
    </row>
    <row r="1734" spans="1:34" x14ac:dyDescent="0.35">
      <c r="A1734" t="s">
        <v>34</v>
      </c>
      <c r="B1734" s="1">
        <v>46146.65625</v>
      </c>
      <c r="C1734" t="s">
        <v>34</v>
      </c>
      <c r="D1734" s="1">
        <v>46154.625</v>
      </c>
      <c r="E1734">
        <v>6935</v>
      </c>
      <c r="F1734" t="s">
        <v>36</v>
      </c>
      <c r="G1734">
        <v>6.44</v>
      </c>
      <c r="H1734">
        <v>9.1999999999999993</v>
      </c>
      <c r="I1734">
        <v>6</v>
      </c>
      <c r="J1734">
        <v>9.1999999999999993</v>
      </c>
      <c r="K1734">
        <v>8</v>
      </c>
      <c r="L1734">
        <v>43</v>
      </c>
      <c r="M1734">
        <v>8.9</v>
      </c>
      <c r="N1734">
        <v>29</v>
      </c>
      <c r="O1734">
        <v>9.1999999999999993</v>
      </c>
      <c r="P1734">
        <v>0</v>
      </c>
      <c r="Q1734">
        <v>0</v>
      </c>
      <c r="R1734">
        <v>0</v>
      </c>
      <c r="S1734">
        <v>0</v>
      </c>
      <c r="T1734">
        <v>0.19620000000000001</v>
      </c>
      <c r="U1734">
        <v>-9.3299999999999994E-2</v>
      </c>
      <c r="V1734">
        <v>8.0000000000000004E-4</v>
      </c>
      <c r="W1734">
        <v>-2.1013000000000002</v>
      </c>
      <c r="X1734">
        <v>1.8368</v>
      </c>
      <c r="Y1734">
        <v>-0.1474</v>
      </c>
      <c r="Z1734">
        <v>19</v>
      </c>
      <c r="AA1734">
        <v>8.6999999999999993</v>
      </c>
      <c r="AB1734">
        <v>23</v>
      </c>
      <c r="AC1734">
        <v>9</v>
      </c>
      <c r="AD1734">
        <v>0</v>
      </c>
      <c r="AE1734">
        <v>0</v>
      </c>
      <c r="AF1734">
        <v>6.97</v>
      </c>
      <c r="AG1734">
        <v>13</v>
      </c>
      <c r="AH1734">
        <v>0</v>
      </c>
    </row>
    <row r="1735" spans="1:34" x14ac:dyDescent="0.35">
      <c r="A1735" t="s">
        <v>34</v>
      </c>
      <c r="B1735" s="1">
        <v>46146.65625</v>
      </c>
      <c r="C1735" t="s">
        <v>34</v>
      </c>
      <c r="D1735" s="1">
        <v>46154.625</v>
      </c>
      <c r="E1735">
        <v>6940</v>
      </c>
      <c r="F1735" t="s">
        <v>36</v>
      </c>
      <c r="G1735">
        <v>6.78</v>
      </c>
      <c r="H1735">
        <v>10.39</v>
      </c>
      <c r="I1735">
        <v>6.78</v>
      </c>
      <c r="J1735">
        <v>9.1199999999999992</v>
      </c>
      <c r="K1735">
        <v>78</v>
      </c>
      <c r="L1735">
        <v>74</v>
      </c>
      <c r="M1735">
        <v>9.1999999999999993</v>
      </c>
      <c r="N1735">
        <v>36</v>
      </c>
      <c r="O1735">
        <v>9.5</v>
      </c>
      <c r="P1735">
        <v>0</v>
      </c>
      <c r="Q1735">
        <v>0</v>
      </c>
      <c r="R1735">
        <v>0</v>
      </c>
      <c r="S1735">
        <v>0</v>
      </c>
      <c r="T1735">
        <v>0.1951</v>
      </c>
      <c r="U1735">
        <v>-9.6299999999999997E-2</v>
      </c>
      <c r="V1735">
        <v>8.0000000000000004E-4</v>
      </c>
      <c r="W1735">
        <v>-2.1427999999999998</v>
      </c>
      <c r="X1735">
        <v>1.8792</v>
      </c>
      <c r="Y1735">
        <v>-0.15210000000000001</v>
      </c>
      <c r="Z1735">
        <v>43</v>
      </c>
      <c r="AA1735">
        <v>9</v>
      </c>
      <c r="AB1735">
        <v>6</v>
      </c>
      <c r="AC1735">
        <v>9.3000000000000007</v>
      </c>
      <c r="AD1735">
        <v>0</v>
      </c>
      <c r="AE1735">
        <v>0</v>
      </c>
      <c r="AF1735">
        <v>9.3302999999999994</v>
      </c>
      <c r="AG1735">
        <v>140</v>
      </c>
      <c r="AH1735">
        <v>0</v>
      </c>
    </row>
    <row r="1736" spans="1:34" x14ac:dyDescent="0.35">
      <c r="A1736" t="s">
        <v>34</v>
      </c>
      <c r="B1736" s="1">
        <v>46146.65625</v>
      </c>
      <c r="C1736" t="s">
        <v>34</v>
      </c>
      <c r="D1736" s="1">
        <v>46154.625</v>
      </c>
      <c r="E1736">
        <v>6945</v>
      </c>
      <c r="F1736" t="s">
        <v>36</v>
      </c>
      <c r="G1736">
        <v>7.8</v>
      </c>
      <c r="H1736">
        <v>9.24</v>
      </c>
      <c r="I1736">
        <v>7.45</v>
      </c>
      <c r="J1736">
        <v>9.24</v>
      </c>
      <c r="K1736">
        <v>19</v>
      </c>
      <c r="L1736">
        <v>40</v>
      </c>
      <c r="M1736">
        <v>9.6</v>
      </c>
      <c r="N1736">
        <v>30</v>
      </c>
      <c r="O1736">
        <v>9.9</v>
      </c>
      <c r="P1736">
        <v>0</v>
      </c>
      <c r="Q1736">
        <v>0</v>
      </c>
      <c r="R1736">
        <v>0</v>
      </c>
      <c r="S1736">
        <v>0</v>
      </c>
      <c r="T1736">
        <v>0.19420000000000001</v>
      </c>
      <c r="U1736">
        <v>-9.9599999999999994E-2</v>
      </c>
      <c r="V1736">
        <v>8.0000000000000004E-4</v>
      </c>
      <c r="W1736">
        <v>-2.1911</v>
      </c>
      <c r="X1736">
        <v>1.9256</v>
      </c>
      <c r="Y1736">
        <v>-0.1575</v>
      </c>
      <c r="Z1736">
        <v>19</v>
      </c>
      <c r="AA1736">
        <v>9.4</v>
      </c>
      <c r="AB1736">
        <v>23</v>
      </c>
      <c r="AC1736">
        <v>9.6999999999999993</v>
      </c>
      <c r="AD1736">
        <v>0</v>
      </c>
      <c r="AE1736">
        <v>0</v>
      </c>
      <c r="AF1736">
        <v>8.7667999999999999</v>
      </c>
      <c r="AG1736">
        <v>97</v>
      </c>
      <c r="AH1736">
        <v>0</v>
      </c>
    </row>
    <row r="1737" spans="1:34" x14ac:dyDescent="0.35">
      <c r="A1737" t="s">
        <v>34</v>
      </c>
      <c r="B1737" s="1">
        <v>46146.65625</v>
      </c>
      <c r="C1737" t="s">
        <v>34</v>
      </c>
      <c r="D1737" s="1">
        <v>46154.625</v>
      </c>
      <c r="E1737">
        <v>6950</v>
      </c>
      <c r="F1737" t="s">
        <v>36</v>
      </c>
      <c r="G1737">
        <v>8.07</v>
      </c>
      <c r="H1737">
        <v>14.97</v>
      </c>
      <c r="I1737">
        <v>6.52</v>
      </c>
      <c r="J1737">
        <v>9.75</v>
      </c>
      <c r="K1737">
        <v>166</v>
      </c>
      <c r="L1737">
        <v>69</v>
      </c>
      <c r="M1737">
        <v>9.9</v>
      </c>
      <c r="N1737">
        <v>35</v>
      </c>
      <c r="O1737">
        <v>10.199999999999999</v>
      </c>
      <c r="P1737">
        <v>0</v>
      </c>
      <c r="Q1737">
        <v>0</v>
      </c>
      <c r="R1737">
        <v>0</v>
      </c>
      <c r="S1737">
        <v>0</v>
      </c>
      <c r="T1737">
        <v>0.1933</v>
      </c>
      <c r="U1737">
        <v>-0.10299999999999999</v>
      </c>
      <c r="V1737">
        <v>8.9999999999999998E-4</v>
      </c>
      <c r="W1737">
        <v>-2.238</v>
      </c>
      <c r="X1737">
        <v>1.9714</v>
      </c>
      <c r="Y1737">
        <v>-0.16289999999999999</v>
      </c>
      <c r="Z1737">
        <v>43</v>
      </c>
      <c r="AA1737">
        <v>9.6999999999999993</v>
      </c>
      <c r="AB1737">
        <v>6</v>
      </c>
      <c r="AC1737">
        <v>10</v>
      </c>
      <c r="AD1737">
        <v>0</v>
      </c>
      <c r="AE1737">
        <v>0</v>
      </c>
      <c r="AF1737">
        <v>9.6775000000000002</v>
      </c>
      <c r="AG1737">
        <v>137</v>
      </c>
      <c r="AH1737">
        <v>0</v>
      </c>
    </row>
    <row r="1738" spans="1:34" x14ac:dyDescent="0.35">
      <c r="A1738" t="s">
        <v>34</v>
      </c>
      <c r="B1738" s="1">
        <v>46146.65625</v>
      </c>
      <c r="C1738" t="s">
        <v>34</v>
      </c>
      <c r="D1738" s="1">
        <v>46154.625</v>
      </c>
      <c r="E1738">
        <v>6955</v>
      </c>
      <c r="F1738" t="s">
        <v>36</v>
      </c>
      <c r="G1738">
        <v>7.95</v>
      </c>
      <c r="H1738">
        <v>13.13</v>
      </c>
      <c r="I1738">
        <v>7.95</v>
      </c>
      <c r="J1738">
        <v>10.19</v>
      </c>
      <c r="K1738">
        <v>6</v>
      </c>
      <c r="L1738">
        <v>42</v>
      </c>
      <c r="M1738">
        <v>10.3</v>
      </c>
      <c r="N1738">
        <v>31</v>
      </c>
      <c r="O1738">
        <v>10.6</v>
      </c>
      <c r="P1738">
        <v>0</v>
      </c>
      <c r="Q1738">
        <v>0</v>
      </c>
      <c r="R1738">
        <v>0</v>
      </c>
      <c r="S1738">
        <v>0</v>
      </c>
      <c r="T1738">
        <v>0.19270000000000001</v>
      </c>
      <c r="U1738">
        <v>-0.1066</v>
      </c>
      <c r="V1738">
        <v>8.9999999999999998E-4</v>
      </c>
      <c r="W1738">
        <v>-2.2917999999999998</v>
      </c>
      <c r="X1738">
        <v>2.0198</v>
      </c>
      <c r="Y1738">
        <v>-0.16880000000000001</v>
      </c>
      <c r="Z1738">
        <v>18</v>
      </c>
      <c r="AA1738">
        <v>10.1</v>
      </c>
      <c r="AB1738">
        <v>23</v>
      </c>
      <c r="AC1738">
        <v>10.4</v>
      </c>
      <c r="AD1738">
        <v>0</v>
      </c>
      <c r="AE1738">
        <v>0</v>
      </c>
      <c r="AF1738">
        <v>10.45</v>
      </c>
      <c r="AG1738">
        <v>42</v>
      </c>
      <c r="AH1738">
        <v>0</v>
      </c>
    </row>
    <row r="1739" spans="1:34" x14ac:dyDescent="0.35">
      <c r="A1739" t="s">
        <v>34</v>
      </c>
      <c r="B1739" s="1">
        <v>46146.65625</v>
      </c>
      <c r="C1739" t="s">
        <v>34</v>
      </c>
      <c r="D1739" s="1">
        <v>46154.625</v>
      </c>
      <c r="E1739">
        <v>6960</v>
      </c>
      <c r="F1739" t="s">
        <v>36</v>
      </c>
      <c r="G1739">
        <v>8.6300000000000008</v>
      </c>
      <c r="H1739">
        <v>13.05</v>
      </c>
      <c r="I1739">
        <v>6.85</v>
      </c>
      <c r="J1739">
        <v>11.03</v>
      </c>
      <c r="K1739">
        <v>23</v>
      </c>
      <c r="L1739">
        <v>42</v>
      </c>
      <c r="M1739">
        <v>10.7</v>
      </c>
      <c r="N1739">
        <v>30</v>
      </c>
      <c r="O1739">
        <v>11</v>
      </c>
      <c r="P1739">
        <v>0</v>
      </c>
      <c r="Q1739">
        <v>0</v>
      </c>
      <c r="R1739">
        <v>0</v>
      </c>
      <c r="S1739">
        <v>0</v>
      </c>
      <c r="T1739">
        <v>0.19170000000000001</v>
      </c>
      <c r="U1739">
        <v>-0.1104</v>
      </c>
      <c r="V1739">
        <v>8.9999999999999998E-4</v>
      </c>
      <c r="W1739">
        <v>-2.3428</v>
      </c>
      <c r="X1739">
        <v>2.0689000000000002</v>
      </c>
      <c r="Y1739">
        <v>-0.1749</v>
      </c>
      <c r="Z1739">
        <v>18</v>
      </c>
      <c r="AA1739">
        <v>10.5</v>
      </c>
      <c r="AB1739">
        <v>23</v>
      </c>
      <c r="AC1739">
        <v>10.8</v>
      </c>
      <c r="AD1739">
        <v>0</v>
      </c>
      <c r="AE1739">
        <v>0</v>
      </c>
      <c r="AF1739">
        <v>11.405200000000001</v>
      </c>
      <c r="AG1739">
        <v>69</v>
      </c>
      <c r="AH1739">
        <v>0</v>
      </c>
    </row>
    <row r="1740" spans="1:34" x14ac:dyDescent="0.35">
      <c r="A1740" t="s">
        <v>34</v>
      </c>
      <c r="B1740" s="1">
        <v>46146.65625</v>
      </c>
      <c r="C1740" t="s">
        <v>34</v>
      </c>
      <c r="D1740" s="1">
        <v>46154.625</v>
      </c>
      <c r="E1740">
        <v>6965</v>
      </c>
      <c r="F1740" t="s">
        <v>36</v>
      </c>
      <c r="G1740">
        <v>8.69</v>
      </c>
      <c r="H1740">
        <v>14.55</v>
      </c>
      <c r="I1740">
        <v>8.69</v>
      </c>
      <c r="J1740">
        <v>11.07</v>
      </c>
      <c r="K1740">
        <v>6</v>
      </c>
      <c r="L1740">
        <v>39</v>
      </c>
      <c r="M1740">
        <v>11.1</v>
      </c>
      <c r="N1740">
        <v>29</v>
      </c>
      <c r="O1740">
        <v>11.4</v>
      </c>
      <c r="P1740">
        <v>0</v>
      </c>
      <c r="Q1740">
        <v>0</v>
      </c>
      <c r="R1740">
        <v>0</v>
      </c>
      <c r="S1740">
        <v>0</v>
      </c>
      <c r="T1740">
        <v>0.1908</v>
      </c>
      <c r="U1740">
        <v>-0.11409999999999999</v>
      </c>
      <c r="V1740">
        <v>8.9999999999999998E-4</v>
      </c>
      <c r="W1740">
        <v>-2.3923999999999999</v>
      </c>
      <c r="X1740">
        <v>2.1166</v>
      </c>
      <c r="Y1740">
        <v>-0.18079999999999999</v>
      </c>
      <c r="Z1740">
        <v>18</v>
      </c>
      <c r="AA1740">
        <v>10.9</v>
      </c>
      <c r="AB1740">
        <v>23</v>
      </c>
      <c r="AC1740">
        <v>11.2</v>
      </c>
      <c r="AD1740">
        <v>0</v>
      </c>
      <c r="AE1740">
        <v>0</v>
      </c>
      <c r="AF1740">
        <v>11.4133</v>
      </c>
      <c r="AG1740">
        <v>14</v>
      </c>
      <c r="AH1740">
        <v>0</v>
      </c>
    </row>
    <row r="1741" spans="1:34" x14ac:dyDescent="0.35">
      <c r="A1741" t="s">
        <v>34</v>
      </c>
      <c r="B1741" s="1">
        <v>46146.65625</v>
      </c>
      <c r="C1741" t="s">
        <v>34</v>
      </c>
      <c r="D1741" s="1">
        <v>46154.625</v>
      </c>
      <c r="E1741">
        <v>6970</v>
      </c>
      <c r="F1741" t="s">
        <v>36</v>
      </c>
      <c r="G1741">
        <v>9.1</v>
      </c>
      <c r="H1741">
        <v>15.05</v>
      </c>
      <c r="I1741">
        <v>9.1</v>
      </c>
      <c r="J1741">
        <v>11.03</v>
      </c>
      <c r="K1741">
        <v>11</v>
      </c>
      <c r="L1741">
        <v>39</v>
      </c>
      <c r="M1741">
        <v>11.5</v>
      </c>
      <c r="N1741">
        <v>29</v>
      </c>
      <c r="O1741">
        <v>11.8</v>
      </c>
      <c r="P1741">
        <v>0</v>
      </c>
      <c r="Q1741">
        <v>0</v>
      </c>
      <c r="R1741">
        <v>0</v>
      </c>
      <c r="S1741">
        <v>0</v>
      </c>
      <c r="T1741">
        <v>0.1898</v>
      </c>
      <c r="U1741">
        <v>-0.1179</v>
      </c>
      <c r="V1741">
        <v>1E-3</v>
      </c>
      <c r="W1741">
        <v>-2.4403999999999999</v>
      </c>
      <c r="X1741">
        <v>2.1640999999999999</v>
      </c>
      <c r="Y1741">
        <v>-0.18679999999999999</v>
      </c>
      <c r="Z1741">
        <v>17</v>
      </c>
      <c r="AA1741">
        <v>11.3</v>
      </c>
      <c r="AB1741">
        <v>22</v>
      </c>
      <c r="AC1741">
        <v>11.6</v>
      </c>
      <c r="AD1741">
        <v>0</v>
      </c>
      <c r="AE1741">
        <v>0</v>
      </c>
      <c r="AF1741">
        <v>11.2445</v>
      </c>
      <c r="AG1741">
        <v>40</v>
      </c>
      <c r="AH1741">
        <v>0</v>
      </c>
    </row>
    <row r="1742" spans="1:34" x14ac:dyDescent="0.35">
      <c r="A1742" t="s">
        <v>34</v>
      </c>
      <c r="B1742" s="1">
        <v>46146.65625</v>
      </c>
      <c r="C1742" t="s">
        <v>34</v>
      </c>
      <c r="D1742" s="1">
        <v>46154.625</v>
      </c>
      <c r="E1742">
        <v>6975</v>
      </c>
      <c r="F1742" t="s">
        <v>36</v>
      </c>
      <c r="G1742">
        <v>8.6199999999999992</v>
      </c>
      <c r="H1742">
        <v>14.35</v>
      </c>
      <c r="I1742">
        <v>8.4700000000000006</v>
      </c>
      <c r="J1742">
        <v>12.2</v>
      </c>
      <c r="K1742">
        <v>65</v>
      </c>
      <c r="L1742">
        <v>39</v>
      </c>
      <c r="M1742">
        <v>11.9</v>
      </c>
      <c r="N1742">
        <v>20</v>
      </c>
      <c r="O1742">
        <v>12.2</v>
      </c>
      <c r="P1742">
        <v>0</v>
      </c>
      <c r="Q1742">
        <v>0</v>
      </c>
      <c r="R1742">
        <v>0</v>
      </c>
      <c r="S1742">
        <v>0</v>
      </c>
      <c r="T1742">
        <v>0.18890000000000001</v>
      </c>
      <c r="U1742">
        <v>-0.1216</v>
      </c>
      <c r="V1742">
        <v>1E-3</v>
      </c>
      <c r="W1742">
        <v>-2.4872000000000001</v>
      </c>
      <c r="X1742">
        <v>2.2105999999999999</v>
      </c>
      <c r="Y1742">
        <v>-0.19270000000000001</v>
      </c>
      <c r="Z1742">
        <v>17</v>
      </c>
      <c r="AA1742">
        <v>11.7</v>
      </c>
      <c r="AB1742">
        <v>5</v>
      </c>
      <c r="AC1742">
        <v>12</v>
      </c>
      <c r="AD1742">
        <v>0</v>
      </c>
      <c r="AE1742">
        <v>0</v>
      </c>
      <c r="AF1742">
        <v>10.839700000000001</v>
      </c>
      <c r="AG1742">
        <v>147</v>
      </c>
      <c r="AH1742">
        <v>0</v>
      </c>
    </row>
    <row r="1743" spans="1:34" x14ac:dyDescent="0.35">
      <c r="A1743" t="s">
        <v>34</v>
      </c>
      <c r="B1743" s="1">
        <v>46146.65625</v>
      </c>
      <c r="C1743" t="s">
        <v>34</v>
      </c>
      <c r="D1743" s="1">
        <v>46154.625</v>
      </c>
      <c r="E1743">
        <v>6980</v>
      </c>
      <c r="F1743" t="s">
        <v>36</v>
      </c>
      <c r="G1743">
        <v>16.8</v>
      </c>
      <c r="H1743">
        <v>16.8</v>
      </c>
      <c r="I1743">
        <v>12.47</v>
      </c>
      <c r="J1743">
        <v>12.65</v>
      </c>
      <c r="K1743">
        <v>5</v>
      </c>
      <c r="L1743">
        <v>28</v>
      </c>
      <c r="M1743">
        <v>12.4</v>
      </c>
      <c r="N1743">
        <v>28</v>
      </c>
      <c r="O1743">
        <v>12.7</v>
      </c>
      <c r="P1743">
        <v>0</v>
      </c>
      <c r="Q1743">
        <v>0</v>
      </c>
      <c r="R1743">
        <v>0</v>
      </c>
      <c r="S1743">
        <v>0</v>
      </c>
      <c r="T1743">
        <v>0.18790000000000001</v>
      </c>
      <c r="U1743">
        <v>-0.1258</v>
      </c>
      <c r="V1743">
        <v>1E-3</v>
      </c>
      <c r="W1743">
        <v>-2.5383</v>
      </c>
      <c r="X1743">
        <v>2.2625000000000002</v>
      </c>
      <c r="Y1743">
        <v>-0.19939999999999999</v>
      </c>
      <c r="Z1743">
        <v>34</v>
      </c>
      <c r="AA1743">
        <v>12.1</v>
      </c>
      <c r="AB1743">
        <v>22</v>
      </c>
      <c r="AC1743">
        <v>12.5</v>
      </c>
      <c r="AD1743">
        <v>0</v>
      </c>
      <c r="AE1743">
        <v>0</v>
      </c>
      <c r="AF1743">
        <v>13.884</v>
      </c>
      <c r="AG1743">
        <v>206</v>
      </c>
      <c r="AH1743">
        <v>0</v>
      </c>
    </row>
    <row r="1744" spans="1:34" x14ac:dyDescent="0.35">
      <c r="A1744" t="s">
        <v>34</v>
      </c>
      <c r="B1744" s="1">
        <v>46146.65625</v>
      </c>
      <c r="C1744" t="s">
        <v>34</v>
      </c>
      <c r="D1744" s="1">
        <v>46154.625</v>
      </c>
      <c r="E1744">
        <v>6985</v>
      </c>
      <c r="F1744" t="s">
        <v>36</v>
      </c>
      <c r="G1744">
        <v>11.32</v>
      </c>
      <c r="H1744">
        <v>15.88</v>
      </c>
      <c r="I1744">
        <v>9.6999999999999993</v>
      </c>
      <c r="J1744">
        <v>13.96</v>
      </c>
      <c r="K1744">
        <v>6</v>
      </c>
      <c r="L1744">
        <v>37</v>
      </c>
      <c r="M1744">
        <v>12.8</v>
      </c>
      <c r="N1744">
        <v>29</v>
      </c>
      <c r="O1744">
        <v>13.2</v>
      </c>
      <c r="P1744">
        <v>0</v>
      </c>
      <c r="Q1744">
        <v>0</v>
      </c>
      <c r="R1744">
        <v>0</v>
      </c>
      <c r="S1744">
        <v>0</v>
      </c>
      <c r="T1744">
        <v>0.187</v>
      </c>
      <c r="U1744">
        <v>-0.13</v>
      </c>
      <c r="V1744">
        <v>1.1000000000000001E-3</v>
      </c>
      <c r="W1744">
        <v>-2.5880999999999998</v>
      </c>
      <c r="X1744">
        <v>2.3132000000000001</v>
      </c>
      <c r="Y1744">
        <v>-0.20599999999999999</v>
      </c>
      <c r="Z1744">
        <v>17</v>
      </c>
      <c r="AA1744">
        <v>12.6</v>
      </c>
      <c r="AB1744">
        <v>5</v>
      </c>
      <c r="AC1744">
        <v>12.9</v>
      </c>
      <c r="AD1744">
        <v>0</v>
      </c>
      <c r="AE1744">
        <v>0</v>
      </c>
      <c r="AF1744">
        <v>12.808299999999999</v>
      </c>
      <c r="AG1744">
        <v>25</v>
      </c>
      <c r="AH1744">
        <v>0</v>
      </c>
    </row>
    <row r="1745" spans="1:34" x14ac:dyDescent="0.35">
      <c r="A1745" t="s">
        <v>34</v>
      </c>
      <c r="B1745" s="1">
        <v>46146.65625</v>
      </c>
      <c r="C1745" t="s">
        <v>34</v>
      </c>
      <c r="D1745" s="1">
        <v>46154.625</v>
      </c>
      <c r="E1745">
        <v>6990</v>
      </c>
      <c r="F1745" t="s">
        <v>36</v>
      </c>
      <c r="G1745">
        <v>10.1</v>
      </c>
      <c r="H1745">
        <v>19.510000000000002</v>
      </c>
      <c r="I1745">
        <v>8.6999999999999993</v>
      </c>
      <c r="J1745">
        <v>13.12</v>
      </c>
      <c r="K1745">
        <v>67</v>
      </c>
      <c r="L1745">
        <v>48</v>
      </c>
      <c r="M1745">
        <v>13.3</v>
      </c>
      <c r="N1745">
        <v>35</v>
      </c>
      <c r="O1745">
        <v>13.6</v>
      </c>
      <c r="P1745">
        <v>0</v>
      </c>
      <c r="Q1745">
        <v>0</v>
      </c>
      <c r="R1745">
        <v>0</v>
      </c>
      <c r="S1745">
        <v>0</v>
      </c>
      <c r="T1745">
        <v>0.18609999999999999</v>
      </c>
      <c r="U1745">
        <v>-0.13450000000000001</v>
      </c>
      <c r="V1745">
        <v>1.1000000000000001E-3</v>
      </c>
      <c r="W1745">
        <v>-2.6427</v>
      </c>
      <c r="X1745">
        <v>2.367</v>
      </c>
      <c r="Y1745">
        <v>-0.21329999999999999</v>
      </c>
      <c r="Z1745">
        <v>22</v>
      </c>
      <c r="AA1745">
        <v>13.1</v>
      </c>
      <c r="AB1745">
        <v>11</v>
      </c>
      <c r="AC1745">
        <v>13.4</v>
      </c>
      <c r="AD1745">
        <v>0</v>
      </c>
      <c r="AE1745">
        <v>0</v>
      </c>
      <c r="AF1745">
        <v>11.727600000000001</v>
      </c>
      <c r="AG1745">
        <v>215</v>
      </c>
      <c r="AH1745">
        <v>0</v>
      </c>
    </row>
    <row r="1746" spans="1:34" x14ac:dyDescent="0.35">
      <c r="A1746" t="s">
        <v>34</v>
      </c>
      <c r="B1746" s="1">
        <v>46146.65625</v>
      </c>
      <c r="C1746" t="s">
        <v>34</v>
      </c>
      <c r="D1746" s="1">
        <v>46154.625</v>
      </c>
      <c r="E1746">
        <v>6995</v>
      </c>
      <c r="F1746" t="s">
        <v>36</v>
      </c>
      <c r="G1746">
        <v>11</v>
      </c>
      <c r="H1746">
        <v>14.6</v>
      </c>
      <c r="I1746">
        <v>9.8699999999999992</v>
      </c>
      <c r="J1746">
        <v>14.05</v>
      </c>
      <c r="K1746">
        <v>17</v>
      </c>
      <c r="L1746">
        <v>29</v>
      </c>
      <c r="M1746">
        <v>13.8</v>
      </c>
      <c r="N1746">
        <v>22</v>
      </c>
      <c r="O1746">
        <v>14.1</v>
      </c>
      <c r="P1746">
        <v>0</v>
      </c>
      <c r="Q1746">
        <v>0</v>
      </c>
      <c r="R1746">
        <v>0</v>
      </c>
      <c r="S1746">
        <v>0</v>
      </c>
      <c r="T1746">
        <v>0.18529999999999999</v>
      </c>
      <c r="U1746">
        <v>-0.1391</v>
      </c>
      <c r="V1746">
        <v>1.1000000000000001E-3</v>
      </c>
      <c r="W1746">
        <v>-2.6951000000000001</v>
      </c>
      <c r="X1746">
        <v>2.4199000000000002</v>
      </c>
      <c r="Y1746">
        <v>-0.22070000000000001</v>
      </c>
      <c r="Z1746">
        <v>16</v>
      </c>
      <c r="AA1746">
        <v>13.6</v>
      </c>
      <c r="AB1746">
        <v>8</v>
      </c>
      <c r="AC1746">
        <v>13.9</v>
      </c>
      <c r="AD1746">
        <v>0</v>
      </c>
      <c r="AE1746">
        <v>0</v>
      </c>
      <c r="AF1746">
        <v>13.1</v>
      </c>
      <c r="AG1746">
        <v>53</v>
      </c>
      <c r="AH1746">
        <v>0</v>
      </c>
    </row>
    <row r="1747" spans="1:34" x14ac:dyDescent="0.35">
      <c r="A1747" t="s">
        <v>34</v>
      </c>
      <c r="B1747" s="1">
        <v>46146.65625</v>
      </c>
      <c r="C1747" t="s">
        <v>34</v>
      </c>
      <c r="D1747" s="1">
        <v>46154.625</v>
      </c>
      <c r="E1747">
        <v>7000</v>
      </c>
      <c r="F1747" t="s">
        <v>36</v>
      </c>
      <c r="G1747">
        <v>10.3</v>
      </c>
      <c r="H1747">
        <v>20.66</v>
      </c>
      <c r="I1747">
        <v>8.98</v>
      </c>
      <c r="J1747">
        <v>13.84</v>
      </c>
      <c r="K1747">
        <v>99</v>
      </c>
      <c r="L1747">
        <v>45</v>
      </c>
      <c r="M1747">
        <v>14.3</v>
      </c>
      <c r="N1747">
        <v>34</v>
      </c>
      <c r="O1747">
        <v>14.6</v>
      </c>
      <c r="P1747">
        <v>0</v>
      </c>
      <c r="Q1747">
        <v>0</v>
      </c>
      <c r="R1747">
        <v>0</v>
      </c>
      <c r="S1747">
        <v>0</v>
      </c>
      <c r="T1747">
        <v>0.18429999999999999</v>
      </c>
      <c r="U1747">
        <v>-0.14369999999999999</v>
      </c>
      <c r="V1747">
        <v>1.1999999999999999E-3</v>
      </c>
      <c r="W1747">
        <v>-2.7452000000000001</v>
      </c>
      <c r="X1747">
        <v>2.4719000000000002</v>
      </c>
      <c r="Y1747">
        <v>-0.2281</v>
      </c>
      <c r="Z1747">
        <v>22</v>
      </c>
      <c r="AA1747">
        <v>14.1</v>
      </c>
      <c r="AB1747">
        <v>11</v>
      </c>
      <c r="AC1747">
        <v>14.4</v>
      </c>
      <c r="AD1747">
        <v>0</v>
      </c>
      <c r="AE1747">
        <v>0</v>
      </c>
      <c r="AF1747">
        <v>13.3165</v>
      </c>
      <c r="AG1747">
        <v>1835</v>
      </c>
      <c r="AH1747">
        <v>0</v>
      </c>
    </row>
    <row r="1748" spans="1:34" x14ac:dyDescent="0.35">
      <c r="A1748" t="s">
        <v>34</v>
      </c>
      <c r="B1748" s="1">
        <v>46146.65625</v>
      </c>
      <c r="C1748" t="s">
        <v>34</v>
      </c>
      <c r="D1748" s="1">
        <v>46154.625</v>
      </c>
      <c r="E1748">
        <v>7005</v>
      </c>
      <c r="F1748" t="s">
        <v>36</v>
      </c>
      <c r="G1748">
        <v>9.32</v>
      </c>
      <c r="H1748">
        <v>22.27</v>
      </c>
      <c r="I1748">
        <v>9.32</v>
      </c>
      <c r="J1748">
        <v>14.67</v>
      </c>
      <c r="K1748">
        <v>136</v>
      </c>
      <c r="L1748">
        <v>45</v>
      </c>
      <c r="M1748">
        <v>14.8</v>
      </c>
      <c r="N1748">
        <v>37</v>
      </c>
      <c r="O1748">
        <v>15.2</v>
      </c>
      <c r="P1748">
        <v>0</v>
      </c>
      <c r="Q1748">
        <v>0</v>
      </c>
      <c r="R1748">
        <v>0</v>
      </c>
      <c r="S1748">
        <v>0</v>
      </c>
      <c r="T1748">
        <v>0.1832</v>
      </c>
      <c r="U1748">
        <v>-0.14829999999999999</v>
      </c>
      <c r="V1748">
        <v>1.1999999999999999E-3</v>
      </c>
      <c r="W1748">
        <v>-2.7932000000000001</v>
      </c>
      <c r="X1748">
        <v>2.5228999999999999</v>
      </c>
      <c r="Y1748">
        <v>-0.2356</v>
      </c>
      <c r="Z1748">
        <v>21</v>
      </c>
      <c r="AA1748">
        <v>14.6</v>
      </c>
      <c r="AB1748">
        <v>26</v>
      </c>
      <c r="AC1748">
        <v>15</v>
      </c>
      <c r="AD1748">
        <v>0</v>
      </c>
      <c r="AE1748">
        <v>0</v>
      </c>
      <c r="AF1748">
        <v>10.639699999999999</v>
      </c>
      <c r="AG1748">
        <v>43</v>
      </c>
      <c r="AH1748">
        <v>0</v>
      </c>
    </row>
    <row r="1749" spans="1:34" x14ac:dyDescent="0.35">
      <c r="A1749" t="s">
        <v>34</v>
      </c>
      <c r="B1749" s="1">
        <v>46146.65625</v>
      </c>
      <c r="C1749" t="s">
        <v>34</v>
      </c>
      <c r="D1749" s="1">
        <v>46154.625</v>
      </c>
      <c r="E1749">
        <v>7010</v>
      </c>
      <c r="F1749" t="s">
        <v>36</v>
      </c>
      <c r="G1749">
        <v>13.42</v>
      </c>
      <c r="H1749">
        <v>20.96</v>
      </c>
      <c r="I1749">
        <v>10.92</v>
      </c>
      <c r="J1749">
        <v>15.71</v>
      </c>
      <c r="K1749">
        <v>71</v>
      </c>
      <c r="L1749">
        <v>39</v>
      </c>
      <c r="M1749">
        <v>15.4</v>
      </c>
      <c r="N1749">
        <v>33</v>
      </c>
      <c r="O1749">
        <v>15.7</v>
      </c>
      <c r="P1749">
        <v>0</v>
      </c>
      <c r="Q1749">
        <v>0</v>
      </c>
      <c r="R1749">
        <v>0</v>
      </c>
      <c r="S1749">
        <v>0</v>
      </c>
      <c r="T1749">
        <v>0.18229999999999999</v>
      </c>
      <c r="U1749">
        <v>-0.1532</v>
      </c>
      <c r="V1749">
        <v>1.1999999999999999E-3</v>
      </c>
      <c r="W1749">
        <v>-2.8452999999999999</v>
      </c>
      <c r="X1749">
        <v>2.5760000000000001</v>
      </c>
      <c r="Y1749">
        <v>-0.24349999999999999</v>
      </c>
      <c r="Z1749">
        <v>21</v>
      </c>
      <c r="AA1749">
        <v>15.2</v>
      </c>
      <c r="AB1749">
        <v>11</v>
      </c>
      <c r="AC1749">
        <v>15.5</v>
      </c>
      <c r="AD1749">
        <v>0</v>
      </c>
      <c r="AE1749">
        <v>0</v>
      </c>
      <c r="AF1749">
        <v>15.258900000000001</v>
      </c>
      <c r="AG1749">
        <v>80</v>
      </c>
      <c r="AH1749">
        <v>0</v>
      </c>
    </row>
    <row r="1750" spans="1:34" x14ac:dyDescent="0.35">
      <c r="A1750" t="s">
        <v>34</v>
      </c>
      <c r="B1750" s="1">
        <v>46146.65625</v>
      </c>
      <c r="C1750" t="s">
        <v>34</v>
      </c>
      <c r="D1750" s="1">
        <v>46154.625</v>
      </c>
      <c r="E1750">
        <v>7015</v>
      </c>
      <c r="F1750" t="s">
        <v>36</v>
      </c>
      <c r="G1750">
        <v>10.07</v>
      </c>
      <c r="H1750">
        <v>23.67</v>
      </c>
      <c r="I1750">
        <v>9.99</v>
      </c>
      <c r="J1750">
        <v>15.77</v>
      </c>
      <c r="K1750">
        <v>29</v>
      </c>
      <c r="L1750">
        <v>16</v>
      </c>
      <c r="M1750">
        <v>16</v>
      </c>
      <c r="N1750">
        <v>24</v>
      </c>
      <c r="O1750">
        <v>16.3</v>
      </c>
      <c r="P1750">
        <v>0</v>
      </c>
      <c r="Q1750">
        <v>0</v>
      </c>
      <c r="R1750">
        <v>0</v>
      </c>
      <c r="S1750">
        <v>0</v>
      </c>
      <c r="T1750">
        <v>0.18149999999999999</v>
      </c>
      <c r="U1750">
        <v>-0.1585</v>
      </c>
      <c r="V1750">
        <v>1.1999999999999999E-3</v>
      </c>
      <c r="W1750">
        <v>-2.9015</v>
      </c>
      <c r="X1750">
        <v>2.6309</v>
      </c>
      <c r="Y1750">
        <v>-0.25169999999999998</v>
      </c>
      <c r="Z1750">
        <v>15</v>
      </c>
      <c r="AA1750">
        <v>15.7</v>
      </c>
      <c r="AB1750">
        <v>20</v>
      </c>
      <c r="AC1750">
        <v>16.100000000000001</v>
      </c>
      <c r="AD1750">
        <v>0</v>
      </c>
      <c r="AE1750">
        <v>0</v>
      </c>
      <c r="AF1750">
        <v>18.218599999999999</v>
      </c>
      <c r="AG1750">
        <v>80</v>
      </c>
      <c r="AH1750">
        <v>0</v>
      </c>
    </row>
    <row r="1751" spans="1:34" x14ac:dyDescent="0.35">
      <c r="A1751" t="s">
        <v>34</v>
      </c>
      <c r="B1751" s="1">
        <v>46146.65625</v>
      </c>
      <c r="C1751" t="s">
        <v>34</v>
      </c>
      <c r="D1751" s="1">
        <v>46154.625</v>
      </c>
      <c r="E1751">
        <v>7020</v>
      </c>
      <c r="F1751" t="s">
        <v>36</v>
      </c>
      <c r="G1751">
        <v>14.28</v>
      </c>
      <c r="H1751">
        <v>22.61</v>
      </c>
      <c r="I1751">
        <v>13.02</v>
      </c>
      <c r="J1751">
        <v>16.399999999999999</v>
      </c>
      <c r="K1751">
        <v>54</v>
      </c>
      <c r="L1751">
        <v>16</v>
      </c>
      <c r="M1751">
        <v>16.600000000000001</v>
      </c>
      <c r="N1751">
        <v>36</v>
      </c>
      <c r="O1751">
        <v>16.899999999999999</v>
      </c>
      <c r="P1751">
        <v>0</v>
      </c>
      <c r="Q1751">
        <v>0</v>
      </c>
      <c r="R1751">
        <v>0</v>
      </c>
      <c r="S1751">
        <v>0</v>
      </c>
      <c r="T1751">
        <v>0.1804</v>
      </c>
      <c r="U1751">
        <v>-0.16350000000000001</v>
      </c>
      <c r="V1751">
        <v>1.2999999999999999E-3</v>
      </c>
      <c r="W1751">
        <v>-2.9483000000000001</v>
      </c>
      <c r="X1751">
        <v>2.6833999999999998</v>
      </c>
      <c r="Y1751">
        <v>-0.25969999999999999</v>
      </c>
      <c r="Z1751">
        <v>20</v>
      </c>
      <c r="AA1751">
        <v>16.3</v>
      </c>
      <c r="AB1751">
        <v>25</v>
      </c>
      <c r="AC1751">
        <v>16.7</v>
      </c>
      <c r="AD1751">
        <v>0</v>
      </c>
      <c r="AE1751">
        <v>0</v>
      </c>
      <c r="AF1751">
        <v>15.4754</v>
      </c>
      <c r="AG1751">
        <v>107</v>
      </c>
      <c r="AH1751">
        <v>0</v>
      </c>
    </row>
    <row r="1752" spans="1:34" x14ac:dyDescent="0.35">
      <c r="A1752" t="s">
        <v>34</v>
      </c>
      <c r="B1752" s="1">
        <v>46146.65625</v>
      </c>
      <c r="C1752" t="s">
        <v>34</v>
      </c>
      <c r="D1752" s="1">
        <v>46154.625</v>
      </c>
      <c r="E1752">
        <v>7025</v>
      </c>
      <c r="F1752" t="s">
        <v>36</v>
      </c>
      <c r="G1752">
        <v>10.72</v>
      </c>
      <c r="H1752">
        <v>22.77</v>
      </c>
      <c r="I1752">
        <v>10.72</v>
      </c>
      <c r="J1752">
        <v>16.899999999999999</v>
      </c>
      <c r="K1752">
        <v>144</v>
      </c>
      <c r="L1752">
        <v>16</v>
      </c>
      <c r="M1752">
        <v>17.2</v>
      </c>
      <c r="N1752">
        <v>34</v>
      </c>
      <c r="O1752">
        <v>17.5</v>
      </c>
      <c r="P1752">
        <v>0</v>
      </c>
      <c r="Q1752">
        <v>0</v>
      </c>
      <c r="R1752">
        <v>0</v>
      </c>
      <c r="S1752">
        <v>0</v>
      </c>
      <c r="T1752">
        <v>0.17960000000000001</v>
      </c>
      <c r="U1752">
        <v>-0.1691</v>
      </c>
      <c r="V1752">
        <v>1.2999999999999999E-3</v>
      </c>
      <c r="W1752">
        <v>-3.0049999999999999</v>
      </c>
      <c r="X1752">
        <v>2.7406000000000001</v>
      </c>
      <c r="Y1752">
        <v>-0.26869999999999999</v>
      </c>
      <c r="Z1752">
        <v>20</v>
      </c>
      <c r="AA1752">
        <v>16.899999999999999</v>
      </c>
      <c r="AB1752">
        <v>23</v>
      </c>
      <c r="AC1752">
        <v>17.3</v>
      </c>
      <c r="AD1752">
        <v>0</v>
      </c>
      <c r="AE1752">
        <v>0</v>
      </c>
      <c r="AF1752">
        <v>12.601900000000001</v>
      </c>
      <c r="AG1752">
        <v>542</v>
      </c>
      <c r="AH1752">
        <v>0</v>
      </c>
    </row>
    <row r="1753" spans="1:34" x14ac:dyDescent="0.35">
      <c r="A1753" t="s">
        <v>34</v>
      </c>
      <c r="B1753" s="1">
        <v>46146.65625</v>
      </c>
      <c r="C1753" t="s">
        <v>34</v>
      </c>
      <c r="D1753" s="1">
        <v>46154.625</v>
      </c>
      <c r="E1753">
        <v>7030</v>
      </c>
      <c r="F1753" t="s">
        <v>36</v>
      </c>
      <c r="G1753">
        <v>13.97</v>
      </c>
      <c r="H1753">
        <v>26.2</v>
      </c>
      <c r="I1753">
        <v>10.81</v>
      </c>
      <c r="J1753">
        <v>17.760000000000002</v>
      </c>
      <c r="K1753">
        <v>82</v>
      </c>
      <c r="L1753">
        <v>38</v>
      </c>
      <c r="M1753">
        <v>17.8</v>
      </c>
      <c r="N1753">
        <v>31</v>
      </c>
      <c r="O1753">
        <v>18.100000000000001</v>
      </c>
      <c r="P1753">
        <v>0</v>
      </c>
      <c r="Q1753">
        <v>0</v>
      </c>
      <c r="R1753">
        <v>0</v>
      </c>
      <c r="S1753">
        <v>0</v>
      </c>
      <c r="T1753">
        <v>0.17860000000000001</v>
      </c>
      <c r="U1753">
        <v>-0.17449999999999999</v>
      </c>
      <c r="V1753">
        <v>1.2999999999999999E-3</v>
      </c>
      <c r="W1753">
        <v>-3.0528</v>
      </c>
      <c r="X1753">
        <v>2.7949999999999999</v>
      </c>
      <c r="Y1753">
        <v>-0.27739999999999998</v>
      </c>
      <c r="Z1753">
        <v>20</v>
      </c>
      <c r="AA1753">
        <v>17.600000000000001</v>
      </c>
      <c r="AB1753">
        <v>5</v>
      </c>
      <c r="AC1753">
        <v>17.899999999999999</v>
      </c>
      <c r="AD1753">
        <v>0</v>
      </c>
      <c r="AE1753">
        <v>0</v>
      </c>
      <c r="AF1753">
        <v>14.6571</v>
      </c>
      <c r="AG1753">
        <v>141</v>
      </c>
      <c r="AH1753">
        <v>0</v>
      </c>
    </row>
    <row r="1754" spans="1:34" x14ac:dyDescent="0.35">
      <c r="A1754" t="s">
        <v>34</v>
      </c>
      <c r="B1754" s="1">
        <v>46146.65625</v>
      </c>
      <c r="C1754" t="s">
        <v>34</v>
      </c>
      <c r="D1754" s="1">
        <v>46154.625</v>
      </c>
      <c r="E1754">
        <v>7035</v>
      </c>
      <c r="F1754" t="s">
        <v>36</v>
      </c>
      <c r="G1754">
        <v>15.96</v>
      </c>
      <c r="H1754">
        <v>25.7</v>
      </c>
      <c r="I1754">
        <v>11.35</v>
      </c>
      <c r="J1754">
        <v>18.670000000000002</v>
      </c>
      <c r="K1754">
        <v>66</v>
      </c>
      <c r="L1754">
        <v>40</v>
      </c>
      <c r="M1754">
        <v>18.399999999999999</v>
      </c>
      <c r="N1754">
        <v>33</v>
      </c>
      <c r="O1754">
        <v>18.8</v>
      </c>
      <c r="P1754">
        <v>0</v>
      </c>
      <c r="Q1754">
        <v>0</v>
      </c>
      <c r="R1754">
        <v>0</v>
      </c>
      <c r="S1754">
        <v>0</v>
      </c>
      <c r="T1754">
        <v>0.17760000000000001</v>
      </c>
      <c r="U1754">
        <v>-0.1802</v>
      </c>
      <c r="V1754">
        <v>1.4E-3</v>
      </c>
      <c r="W1754">
        <v>-3.1036999999999999</v>
      </c>
      <c r="X1754">
        <v>2.8508</v>
      </c>
      <c r="Y1754">
        <v>-0.28670000000000001</v>
      </c>
      <c r="Z1754">
        <v>20</v>
      </c>
      <c r="AA1754">
        <v>18.2</v>
      </c>
      <c r="AB1754">
        <v>23</v>
      </c>
      <c r="AC1754">
        <v>18.600000000000001</v>
      </c>
      <c r="AD1754">
        <v>0</v>
      </c>
      <c r="AE1754">
        <v>0</v>
      </c>
      <c r="AF1754">
        <v>19.086500000000001</v>
      </c>
      <c r="AG1754">
        <v>57</v>
      </c>
      <c r="AH1754">
        <v>0</v>
      </c>
    </row>
    <row r="1755" spans="1:34" x14ac:dyDescent="0.35">
      <c r="A1755" t="s">
        <v>34</v>
      </c>
      <c r="B1755" s="1">
        <v>46146.65625</v>
      </c>
      <c r="C1755" t="s">
        <v>34</v>
      </c>
      <c r="D1755" s="1">
        <v>46154.625</v>
      </c>
      <c r="E1755">
        <v>7040</v>
      </c>
      <c r="F1755" t="s">
        <v>36</v>
      </c>
      <c r="G1755">
        <v>16.48</v>
      </c>
      <c r="H1755">
        <v>27.35</v>
      </c>
      <c r="I1755">
        <v>11.9</v>
      </c>
      <c r="J1755">
        <v>19.32</v>
      </c>
      <c r="K1755">
        <v>131</v>
      </c>
      <c r="L1755">
        <v>40</v>
      </c>
      <c r="M1755">
        <v>19.100000000000001</v>
      </c>
      <c r="N1755">
        <v>33</v>
      </c>
      <c r="O1755">
        <v>19.5</v>
      </c>
      <c r="P1755">
        <v>0</v>
      </c>
      <c r="Q1755">
        <v>0</v>
      </c>
      <c r="R1755">
        <v>0</v>
      </c>
      <c r="S1755">
        <v>0</v>
      </c>
      <c r="T1755">
        <v>0.17680000000000001</v>
      </c>
      <c r="U1755">
        <v>-0.1862</v>
      </c>
      <c r="V1755">
        <v>1.4E-3</v>
      </c>
      <c r="W1755">
        <v>-3.1573000000000002</v>
      </c>
      <c r="X1755">
        <v>2.9077999999999999</v>
      </c>
      <c r="Y1755">
        <v>-0.2964</v>
      </c>
      <c r="Z1755">
        <v>20</v>
      </c>
      <c r="AA1755">
        <v>18.899999999999999</v>
      </c>
      <c r="AB1755">
        <v>22</v>
      </c>
      <c r="AC1755">
        <v>19.3</v>
      </c>
      <c r="AD1755">
        <v>0</v>
      </c>
      <c r="AE1755">
        <v>0</v>
      </c>
      <c r="AF1755">
        <v>19.241199999999999</v>
      </c>
      <c r="AG1755">
        <v>112</v>
      </c>
      <c r="AH1755">
        <v>0</v>
      </c>
    </row>
    <row r="1756" spans="1:34" x14ac:dyDescent="0.35">
      <c r="A1756" t="s">
        <v>34</v>
      </c>
      <c r="B1756" s="1">
        <v>46146.65625</v>
      </c>
      <c r="C1756" t="s">
        <v>34</v>
      </c>
      <c r="D1756" s="1">
        <v>46154.625</v>
      </c>
      <c r="E1756">
        <v>7045</v>
      </c>
      <c r="F1756" t="s">
        <v>36</v>
      </c>
      <c r="G1756">
        <v>14.17</v>
      </c>
      <c r="H1756">
        <v>24.25</v>
      </c>
      <c r="I1756">
        <v>14.17</v>
      </c>
      <c r="J1756">
        <v>19.7</v>
      </c>
      <c r="K1756">
        <v>22</v>
      </c>
      <c r="L1756">
        <v>25</v>
      </c>
      <c r="M1756">
        <v>19.8</v>
      </c>
      <c r="N1756">
        <v>22</v>
      </c>
      <c r="O1756">
        <v>20.2</v>
      </c>
      <c r="P1756">
        <v>0</v>
      </c>
      <c r="Q1756">
        <v>0</v>
      </c>
      <c r="R1756">
        <v>0</v>
      </c>
      <c r="S1756">
        <v>0</v>
      </c>
      <c r="T1756">
        <v>0.17580000000000001</v>
      </c>
      <c r="U1756">
        <v>-0.1923</v>
      </c>
      <c r="V1756">
        <v>1.5E-3</v>
      </c>
      <c r="W1756">
        <v>-3.2077</v>
      </c>
      <c r="X1756">
        <v>2.9634</v>
      </c>
      <c r="Y1756">
        <v>-0.30620000000000003</v>
      </c>
      <c r="Z1756">
        <v>14</v>
      </c>
      <c r="AA1756">
        <v>19.600000000000001</v>
      </c>
      <c r="AB1756">
        <v>17</v>
      </c>
      <c r="AC1756">
        <v>20</v>
      </c>
      <c r="AD1756">
        <v>0</v>
      </c>
      <c r="AE1756">
        <v>0</v>
      </c>
      <c r="AF1756">
        <v>21.754100000000001</v>
      </c>
      <c r="AG1756">
        <v>11</v>
      </c>
      <c r="AH1756">
        <v>0</v>
      </c>
    </row>
    <row r="1757" spans="1:34" x14ac:dyDescent="0.35">
      <c r="A1757" t="s">
        <v>34</v>
      </c>
      <c r="B1757" s="1">
        <v>46146.65625</v>
      </c>
      <c r="C1757" t="s">
        <v>34</v>
      </c>
      <c r="D1757" s="1">
        <v>46154.625</v>
      </c>
      <c r="E1757">
        <v>7050</v>
      </c>
      <c r="F1757" t="s">
        <v>36</v>
      </c>
      <c r="G1757">
        <v>16.05</v>
      </c>
      <c r="H1757">
        <v>29.1</v>
      </c>
      <c r="I1757">
        <v>12.75</v>
      </c>
      <c r="J1757">
        <v>20.3</v>
      </c>
      <c r="K1757">
        <v>254</v>
      </c>
      <c r="L1757">
        <v>40</v>
      </c>
      <c r="M1757">
        <v>20.5</v>
      </c>
      <c r="N1757">
        <v>30</v>
      </c>
      <c r="O1757">
        <v>20.9</v>
      </c>
      <c r="P1757">
        <v>0</v>
      </c>
      <c r="Q1757">
        <v>0</v>
      </c>
      <c r="R1757">
        <v>0</v>
      </c>
      <c r="S1757">
        <v>0</v>
      </c>
      <c r="T1757">
        <v>0.1749</v>
      </c>
      <c r="U1757">
        <v>-0.19869999999999999</v>
      </c>
      <c r="V1757">
        <v>1.5E-3</v>
      </c>
      <c r="W1757">
        <v>-3.2601</v>
      </c>
      <c r="X1757">
        <v>3.0196999999999998</v>
      </c>
      <c r="Y1757">
        <v>-0.31640000000000001</v>
      </c>
      <c r="Z1757">
        <v>34</v>
      </c>
      <c r="AA1757">
        <v>20.3</v>
      </c>
      <c r="AB1757">
        <v>5</v>
      </c>
      <c r="AC1757">
        <v>20.7</v>
      </c>
      <c r="AD1757">
        <v>0</v>
      </c>
      <c r="AE1757">
        <v>0</v>
      </c>
      <c r="AF1757">
        <v>21.2759</v>
      </c>
      <c r="AG1757">
        <v>174</v>
      </c>
      <c r="AH1757">
        <v>0</v>
      </c>
    </row>
    <row r="1758" spans="1:34" x14ac:dyDescent="0.35">
      <c r="A1758" t="s">
        <v>34</v>
      </c>
      <c r="B1758" s="1">
        <v>46146.65625</v>
      </c>
      <c r="C1758" t="s">
        <v>34</v>
      </c>
      <c r="D1758" s="1">
        <v>46154.625</v>
      </c>
      <c r="E1758">
        <v>7055</v>
      </c>
      <c r="F1758" t="s">
        <v>36</v>
      </c>
      <c r="G1758">
        <v>18.46</v>
      </c>
      <c r="H1758">
        <v>23.03</v>
      </c>
      <c r="I1758">
        <v>13.15</v>
      </c>
      <c r="J1758">
        <v>21.68</v>
      </c>
      <c r="K1758">
        <v>14</v>
      </c>
      <c r="L1758">
        <v>20</v>
      </c>
      <c r="M1758">
        <v>21.3</v>
      </c>
      <c r="N1758">
        <v>22</v>
      </c>
      <c r="O1758">
        <v>21.7</v>
      </c>
      <c r="P1758">
        <v>0</v>
      </c>
      <c r="Q1758">
        <v>0</v>
      </c>
      <c r="R1758">
        <v>0</v>
      </c>
      <c r="S1758">
        <v>0</v>
      </c>
      <c r="T1758">
        <v>0.17380000000000001</v>
      </c>
      <c r="U1758">
        <v>-0.2049</v>
      </c>
      <c r="V1758">
        <v>1.5E-3</v>
      </c>
      <c r="W1758">
        <v>-3.3039000000000001</v>
      </c>
      <c r="X1758">
        <v>3.073</v>
      </c>
      <c r="Y1758">
        <v>-0.32629999999999998</v>
      </c>
      <c r="Z1758">
        <v>14</v>
      </c>
      <c r="AA1758">
        <v>21.1</v>
      </c>
      <c r="AB1758">
        <v>17</v>
      </c>
      <c r="AC1758">
        <v>21.5</v>
      </c>
      <c r="AD1758">
        <v>0</v>
      </c>
      <c r="AE1758">
        <v>0</v>
      </c>
      <c r="AF1758">
        <v>17.6036</v>
      </c>
      <c r="AG1758">
        <v>22</v>
      </c>
      <c r="AH1758">
        <v>0</v>
      </c>
    </row>
    <row r="1759" spans="1:34" x14ac:dyDescent="0.35">
      <c r="A1759" t="s">
        <v>34</v>
      </c>
      <c r="B1759" s="1">
        <v>46146.65625</v>
      </c>
      <c r="C1759" t="s">
        <v>34</v>
      </c>
      <c r="D1759" s="1">
        <v>46154.625</v>
      </c>
      <c r="E1759">
        <v>7060</v>
      </c>
      <c r="F1759" t="s">
        <v>36</v>
      </c>
      <c r="G1759">
        <v>18.149999999999999</v>
      </c>
      <c r="H1759">
        <v>28</v>
      </c>
      <c r="I1759">
        <v>13.57</v>
      </c>
      <c r="J1759">
        <v>22.6</v>
      </c>
      <c r="K1759">
        <v>40</v>
      </c>
      <c r="L1759">
        <v>20</v>
      </c>
      <c r="M1759">
        <v>22.1</v>
      </c>
      <c r="N1759">
        <v>14</v>
      </c>
      <c r="O1759">
        <v>22.4</v>
      </c>
      <c r="P1759">
        <v>0</v>
      </c>
      <c r="Q1759">
        <v>0</v>
      </c>
      <c r="R1759">
        <v>0</v>
      </c>
      <c r="S1759">
        <v>0</v>
      </c>
      <c r="T1759">
        <v>0.1729</v>
      </c>
      <c r="U1759">
        <v>-0.21160000000000001</v>
      </c>
      <c r="V1759">
        <v>1.6000000000000001E-3</v>
      </c>
      <c r="W1759">
        <v>-3.3552</v>
      </c>
      <c r="X1759">
        <v>3.1292</v>
      </c>
      <c r="Y1759">
        <v>-0.33689999999999998</v>
      </c>
      <c r="Z1759">
        <v>14</v>
      </c>
      <c r="AA1759">
        <v>21.9</v>
      </c>
      <c r="AB1759">
        <v>17</v>
      </c>
      <c r="AC1759">
        <v>22.3</v>
      </c>
      <c r="AD1759">
        <v>0</v>
      </c>
      <c r="AE1759">
        <v>0</v>
      </c>
      <c r="AF1759">
        <v>22.823</v>
      </c>
      <c r="AG1759">
        <v>40</v>
      </c>
      <c r="AH1759">
        <v>0</v>
      </c>
    </row>
    <row r="1760" spans="1:34" x14ac:dyDescent="0.35">
      <c r="A1760" t="s">
        <v>34</v>
      </c>
      <c r="B1760" s="1">
        <v>46146.65625</v>
      </c>
      <c r="C1760" t="s">
        <v>34</v>
      </c>
      <c r="D1760" s="1">
        <v>46154.625</v>
      </c>
      <c r="E1760">
        <v>7065</v>
      </c>
      <c r="F1760" t="s">
        <v>36</v>
      </c>
      <c r="G1760">
        <v>18.79</v>
      </c>
      <c r="H1760">
        <v>25.66</v>
      </c>
      <c r="I1760">
        <v>14.15</v>
      </c>
      <c r="J1760">
        <v>25.66</v>
      </c>
      <c r="K1760">
        <v>5</v>
      </c>
      <c r="L1760">
        <v>20</v>
      </c>
      <c r="M1760">
        <v>22.9</v>
      </c>
      <c r="N1760">
        <v>14</v>
      </c>
      <c r="O1760">
        <v>23.2</v>
      </c>
      <c r="P1760">
        <v>0</v>
      </c>
      <c r="Q1760">
        <v>0</v>
      </c>
      <c r="R1760">
        <v>0</v>
      </c>
      <c r="S1760">
        <v>0</v>
      </c>
      <c r="T1760">
        <v>0.1719</v>
      </c>
      <c r="U1760">
        <v>-0.21840000000000001</v>
      </c>
      <c r="V1760">
        <v>1.6000000000000001E-3</v>
      </c>
      <c r="W1760">
        <v>-3.4024999999999999</v>
      </c>
      <c r="X1760">
        <v>3.1850999999999998</v>
      </c>
      <c r="Y1760">
        <v>-0.34770000000000001</v>
      </c>
      <c r="Z1760">
        <v>14</v>
      </c>
      <c r="AA1760">
        <v>22.7</v>
      </c>
      <c r="AB1760">
        <v>17</v>
      </c>
      <c r="AC1760">
        <v>23.1</v>
      </c>
      <c r="AD1760">
        <v>0</v>
      </c>
      <c r="AE1760">
        <v>0</v>
      </c>
      <c r="AF1760">
        <v>17.603999999999999</v>
      </c>
      <c r="AG1760">
        <v>18</v>
      </c>
      <c r="AH1760">
        <v>0</v>
      </c>
    </row>
    <row r="1761" spans="1:34" x14ac:dyDescent="0.35">
      <c r="A1761" t="s">
        <v>34</v>
      </c>
      <c r="B1761" s="1">
        <v>46146.65625</v>
      </c>
      <c r="C1761" t="s">
        <v>34</v>
      </c>
      <c r="D1761" s="1">
        <v>46154.625</v>
      </c>
      <c r="E1761">
        <v>7070</v>
      </c>
      <c r="F1761" t="s">
        <v>36</v>
      </c>
      <c r="G1761">
        <v>19.600000000000001</v>
      </c>
      <c r="H1761">
        <v>30.75</v>
      </c>
      <c r="I1761">
        <v>15.2</v>
      </c>
      <c r="J1761">
        <v>24.25</v>
      </c>
      <c r="K1761">
        <v>36</v>
      </c>
      <c r="L1761">
        <v>23</v>
      </c>
      <c r="M1761">
        <v>23.7</v>
      </c>
      <c r="N1761">
        <v>21</v>
      </c>
      <c r="O1761">
        <v>24.1</v>
      </c>
      <c r="P1761">
        <v>0</v>
      </c>
      <c r="Q1761">
        <v>0</v>
      </c>
      <c r="R1761">
        <v>0</v>
      </c>
      <c r="S1761">
        <v>0</v>
      </c>
      <c r="T1761">
        <v>0.17100000000000001</v>
      </c>
      <c r="U1761">
        <v>-0.22539999999999999</v>
      </c>
      <c r="V1761">
        <v>1.6000000000000001E-3</v>
      </c>
      <c r="W1761">
        <v>-3.4514999999999998</v>
      </c>
      <c r="X1761">
        <v>3.2416999999999998</v>
      </c>
      <c r="Y1761">
        <v>-0.35909999999999997</v>
      </c>
      <c r="Z1761">
        <v>13</v>
      </c>
      <c r="AA1761">
        <v>23.5</v>
      </c>
      <c r="AB1761">
        <v>17</v>
      </c>
      <c r="AC1761">
        <v>24</v>
      </c>
      <c r="AD1761">
        <v>0</v>
      </c>
      <c r="AE1761">
        <v>0</v>
      </c>
      <c r="AF1761">
        <v>23.073599999999999</v>
      </c>
      <c r="AG1761">
        <v>70</v>
      </c>
      <c r="AH1761">
        <v>0</v>
      </c>
    </row>
    <row r="1762" spans="1:34" x14ac:dyDescent="0.35">
      <c r="A1762" t="s">
        <v>34</v>
      </c>
      <c r="B1762" s="1">
        <v>46146.65625</v>
      </c>
      <c r="C1762" t="s">
        <v>34</v>
      </c>
      <c r="D1762" s="1">
        <v>46154.625</v>
      </c>
      <c r="E1762">
        <v>7075</v>
      </c>
      <c r="F1762" t="s">
        <v>36</v>
      </c>
      <c r="G1762">
        <v>19.43</v>
      </c>
      <c r="H1762">
        <v>32.36</v>
      </c>
      <c r="I1762">
        <v>15.13</v>
      </c>
      <c r="J1762">
        <v>26.25</v>
      </c>
      <c r="K1762">
        <v>80</v>
      </c>
      <c r="L1762">
        <v>30</v>
      </c>
      <c r="M1762">
        <v>24.6</v>
      </c>
      <c r="N1762">
        <v>14</v>
      </c>
      <c r="O1762">
        <v>24.9</v>
      </c>
      <c r="P1762">
        <v>0</v>
      </c>
      <c r="Q1762">
        <v>0</v>
      </c>
      <c r="R1762">
        <v>0</v>
      </c>
      <c r="S1762">
        <v>0</v>
      </c>
      <c r="T1762">
        <v>0.17</v>
      </c>
      <c r="U1762">
        <v>-0.23250000000000001</v>
      </c>
      <c r="V1762">
        <v>1.6999999999999999E-3</v>
      </c>
      <c r="W1762">
        <v>-3.4963000000000002</v>
      </c>
      <c r="X1762">
        <v>3.2974000000000001</v>
      </c>
      <c r="Y1762">
        <v>-0.37069999999999997</v>
      </c>
      <c r="Z1762">
        <v>18</v>
      </c>
      <c r="AA1762">
        <v>24.4</v>
      </c>
      <c r="AB1762">
        <v>15</v>
      </c>
      <c r="AC1762">
        <v>24.8</v>
      </c>
      <c r="AD1762">
        <v>0</v>
      </c>
      <c r="AE1762">
        <v>0</v>
      </c>
      <c r="AF1762">
        <v>28.4664</v>
      </c>
      <c r="AG1762">
        <v>417</v>
      </c>
      <c r="AH1762">
        <v>0</v>
      </c>
    </row>
    <row r="1763" spans="1:34" x14ac:dyDescent="0.35">
      <c r="A1763" t="s">
        <v>34</v>
      </c>
      <c r="B1763" s="1">
        <v>46146.65625</v>
      </c>
      <c r="C1763" t="s">
        <v>34</v>
      </c>
      <c r="D1763" s="1">
        <v>46154.625</v>
      </c>
      <c r="E1763">
        <v>7080</v>
      </c>
      <c r="F1763" t="s">
        <v>36</v>
      </c>
      <c r="G1763">
        <v>19.52</v>
      </c>
      <c r="H1763">
        <v>35.880000000000003</v>
      </c>
      <c r="I1763">
        <v>16.100000000000001</v>
      </c>
      <c r="J1763">
        <v>25.17</v>
      </c>
      <c r="K1763">
        <v>29</v>
      </c>
      <c r="L1763">
        <v>14</v>
      </c>
      <c r="M1763">
        <v>25.5</v>
      </c>
      <c r="N1763">
        <v>14</v>
      </c>
      <c r="O1763">
        <v>25.8</v>
      </c>
      <c r="P1763">
        <v>0</v>
      </c>
      <c r="Q1763">
        <v>0</v>
      </c>
      <c r="R1763">
        <v>0</v>
      </c>
      <c r="S1763">
        <v>0</v>
      </c>
      <c r="T1763">
        <v>0.16900000000000001</v>
      </c>
      <c r="U1763">
        <v>-0.2399</v>
      </c>
      <c r="V1763">
        <v>1.6999999999999999E-3</v>
      </c>
      <c r="W1763">
        <v>-3.5419</v>
      </c>
      <c r="X1763">
        <v>3.3529</v>
      </c>
      <c r="Y1763">
        <v>-0.38279999999999997</v>
      </c>
      <c r="Z1763">
        <v>13</v>
      </c>
      <c r="AA1763">
        <v>25.3</v>
      </c>
      <c r="AB1763">
        <v>10</v>
      </c>
      <c r="AC1763">
        <v>25.7</v>
      </c>
      <c r="AD1763">
        <v>0</v>
      </c>
      <c r="AE1763">
        <v>0</v>
      </c>
      <c r="AF1763">
        <v>24.444800000000001</v>
      </c>
      <c r="AG1763">
        <v>32</v>
      </c>
      <c r="AH1763">
        <v>0</v>
      </c>
    </row>
    <row r="1764" spans="1:34" x14ac:dyDescent="0.35">
      <c r="A1764" t="s">
        <v>34</v>
      </c>
      <c r="B1764" s="1">
        <v>46146.65625</v>
      </c>
      <c r="C1764" t="s">
        <v>34</v>
      </c>
      <c r="D1764" s="1">
        <v>46154.625</v>
      </c>
      <c r="E1764">
        <v>7085</v>
      </c>
      <c r="F1764" t="s">
        <v>36</v>
      </c>
      <c r="G1764">
        <v>27.14</v>
      </c>
      <c r="H1764">
        <v>28.85</v>
      </c>
      <c r="I1764">
        <v>26.3</v>
      </c>
      <c r="J1764">
        <v>26.3</v>
      </c>
      <c r="K1764">
        <v>7</v>
      </c>
      <c r="L1764">
        <v>18</v>
      </c>
      <c r="M1764">
        <v>26.4</v>
      </c>
      <c r="N1764">
        <v>21</v>
      </c>
      <c r="O1764">
        <v>26.8</v>
      </c>
      <c r="P1764">
        <v>0</v>
      </c>
      <c r="Q1764">
        <v>0</v>
      </c>
      <c r="R1764">
        <v>0</v>
      </c>
      <c r="S1764">
        <v>0</v>
      </c>
      <c r="T1764">
        <v>0.16800000000000001</v>
      </c>
      <c r="U1764">
        <v>-0.2475</v>
      </c>
      <c r="V1764">
        <v>1.8E-3</v>
      </c>
      <c r="W1764">
        <v>-3.5830000000000002</v>
      </c>
      <c r="X1764">
        <v>3.4068000000000001</v>
      </c>
      <c r="Y1764">
        <v>-0.39500000000000002</v>
      </c>
      <c r="Z1764">
        <v>13</v>
      </c>
      <c r="AA1764">
        <v>26.2</v>
      </c>
      <c r="AB1764">
        <v>16</v>
      </c>
      <c r="AC1764">
        <v>26.7</v>
      </c>
      <c r="AD1764">
        <v>0</v>
      </c>
      <c r="AE1764">
        <v>0</v>
      </c>
      <c r="AF1764">
        <v>27.1129</v>
      </c>
      <c r="AG1764">
        <v>23</v>
      </c>
      <c r="AH1764">
        <v>0</v>
      </c>
    </row>
    <row r="1765" spans="1:34" x14ac:dyDescent="0.35">
      <c r="A1765" t="s">
        <v>34</v>
      </c>
      <c r="B1765" s="1">
        <v>46146.65625</v>
      </c>
      <c r="C1765" t="s">
        <v>34</v>
      </c>
      <c r="D1765" s="1">
        <v>46154.625</v>
      </c>
      <c r="E1765">
        <v>7090</v>
      </c>
      <c r="F1765" t="s">
        <v>36</v>
      </c>
      <c r="G1765">
        <v>21.86</v>
      </c>
      <c r="H1765">
        <v>36.82</v>
      </c>
      <c r="I1765">
        <v>18.45</v>
      </c>
      <c r="J1765">
        <v>27.87</v>
      </c>
      <c r="K1765">
        <v>215</v>
      </c>
      <c r="L1765">
        <v>17</v>
      </c>
      <c r="M1765">
        <v>27.3</v>
      </c>
      <c r="N1765">
        <v>13</v>
      </c>
      <c r="O1765">
        <v>27.7</v>
      </c>
      <c r="P1765">
        <v>0</v>
      </c>
      <c r="Q1765">
        <v>0</v>
      </c>
      <c r="R1765">
        <v>0</v>
      </c>
      <c r="S1765">
        <v>0</v>
      </c>
      <c r="T1765">
        <v>0.16700000000000001</v>
      </c>
      <c r="U1765">
        <v>-0.25519999999999998</v>
      </c>
      <c r="V1765">
        <v>1.8E-3</v>
      </c>
      <c r="W1765">
        <v>-3.6252</v>
      </c>
      <c r="X1765">
        <v>3.4598</v>
      </c>
      <c r="Y1765">
        <v>-0.40739999999999998</v>
      </c>
      <c r="Z1765">
        <v>13</v>
      </c>
      <c r="AA1765">
        <v>27.2</v>
      </c>
      <c r="AB1765">
        <v>10</v>
      </c>
      <c r="AC1765">
        <v>27.6</v>
      </c>
      <c r="AD1765">
        <v>0</v>
      </c>
      <c r="AE1765">
        <v>0</v>
      </c>
      <c r="AF1765">
        <v>27.7652</v>
      </c>
      <c r="AG1765">
        <v>101</v>
      </c>
      <c r="AH1765">
        <v>0</v>
      </c>
    </row>
    <row r="1766" spans="1:34" x14ac:dyDescent="0.35">
      <c r="A1766" t="s">
        <v>34</v>
      </c>
      <c r="B1766" s="1">
        <v>46146.65625</v>
      </c>
      <c r="C1766" t="s">
        <v>34</v>
      </c>
      <c r="D1766" s="1">
        <v>46154.625</v>
      </c>
      <c r="E1766">
        <v>7095</v>
      </c>
      <c r="F1766" t="s">
        <v>36</v>
      </c>
      <c r="G1766">
        <v>20.92</v>
      </c>
      <c r="H1766">
        <v>31.47</v>
      </c>
      <c r="I1766">
        <v>17.739999999999998</v>
      </c>
      <c r="J1766">
        <v>27.52</v>
      </c>
      <c r="K1766">
        <v>13</v>
      </c>
      <c r="L1766">
        <v>17</v>
      </c>
      <c r="M1766">
        <v>28.3</v>
      </c>
      <c r="N1766">
        <v>4</v>
      </c>
      <c r="O1766">
        <v>28.7</v>
      </c>
      <c r="P1766">
        <v>0</v>
      </c>
      <c r="Q1766">
        <v>0</v>
      </c>
      <c r="R1766">
        <v>0</v>
      </c>
      <c r="S1766">
        <v>0</v>
      </c>
      <c r="T1766">
        <v>0.16600000000000001</v>
      </c>
      <c r="U1766">
        <v>-0.26329999999999998</v>
      </c>
      <c r="V1766">
        <v>1.8E-3</v>
      </c>
      <c r="W1766">
        <v>-3.6671999999999998</v>
      </c>
      <c r="X1766">
        <v>3.5127999999999999</v>
      </c>
      <c r="Y1766">
        <v>-0.42020000000000002</v>
      </c>
      <c r="Z1766">
        <v>13</v>
      </c>
      <c r="AA1766">
        <v>28.2</v>
      </c>
      <c r="AB1766">
        <v>13</v>
      </c>
      <c r="AC1766">
        <v>28.7</v>
      </c>
      <c r="AD1766">
        <v>0</v>
      </c>
      <c r="AE1766">
        <v>0</v>
      </c>
      <c r="AF1766">
        <v>24.183800000000002</v>
      </c>
      <c r="AG1766">
        <v>7</v>
      </c>
      <c r="AH1766">
        <v>0</v>
      </c>
    </row>
    <row r="1767" spans="1:34" x14ac:dyDescent="0.35">
      <c r="A1767" t="s">
        <v>34</v>
      </c>
      <c r="B1767" s="1">
        <v>46146.65625</v>
      </c>
      <c r="C1767" t="s">
        <v>34</v>
      </c>
      <c r="D1767" s="1">
        <v>46154.625</v>
      </c>
      <c r="E1767">
        <v>7100</v>
      </c>
      <c r="F1767" t="s">
        <v>36</v>
      </c>
      <c r="G1767">
        <v>22.89</v>
      </c>
      <c r="H1767">
        <v>40.4</v>
      </c>
      <c r="I1767">
        <v>18.420000000000002</v>
      </c>
      <c r="J1767">
        <v>29.3</v>
      </c>
      <c r="K1767">
        <v>83</v>
      </c>
      <c r="L1767">
        <v>13</v>
      </c>
      <c r="M1767">
        <v>29.4</v>
      </c>
      <c r="N1767">
        <v>13</v>
      </c>
      <c r="O1767">
        <v>29.7</v>
      </c>
      <c r="P1767">
        <v>0</v>
      </c>
      <c r="Q1767">
        <v>0</v>
      </c>
      <c r="R1767">
        <v>0</v>
      </c>
      <c r="S1767">
        <v>0</v>
      </c>
      <c r="T1767">
        <v>0.16500000000000001</v>
      </c>
      <c r="U1767">
        <v>-0.27139999999999997</v>
      </c>
      <c r="V1767">
        <v>1.9E-3</v>
      </c>
      <c r="W1767">
        <v>-3.7046000000000001</v>
      </c>
      <c r="X1767">
        <v>3.5647000000000002</v>
      </c>
      <c r="Y1767">
        <v>-0.43309999999999998</v>
      </c>
      <c r="Z1767">
        <v>18</v>
      </c>
      <c r="AA1767">
        <v>29.2</v>
      </c>
      <c r="AB1767">
        <v>17</v>
      </c>
      <c r="AC1767">
        <v>29.7</v>
      </c>
      <c r="AD1767">
        <v>0</v>
      </c>
      <c r="AE1767">
        <v>0</v>
      </c>
      <c r="AF1767">
        <v>28.049199999999999</v>
      </c>
      <c r="AG1767">
        <v>419</v>
      </c>
      <c r="AH1767">
        <v>0</v>
      </c>
    </row>
    <row r="1768" spans="1:34" x14ac:dyDescent="0.35">
      <c r="A1768" t="s">
        <v>34</v>
      </c>
      <c r="B1768" s="1">
        <v>46146.65625</v>
      </c>
      <c r="C1768" t="s">
        <v>34</v>
      </c>
      <c r="D1768" s="1">
        <v>46154.625</v>
      </c>
      <c r="E1768">
        <v>7105</v>
      </c>
      <c r="F1768" t="s">
        <v>36</v>
      </c>
      <c r="G1768">
        <v>18.82</v>
      </c>
      <c r="H1768">
        <v>37.9</v>
      </c>
      <c r="I1768">
        <v>18.82</v>
      </c>
      <c r="J1768">
        <v>30.36</v>
      </c>
      <c r="K1768">
        <v>18</v>
      </c>
      <c r="L1768">
        <v>16</v>
      </c>
      <c r="M1768">
        <v>30.4</v>
      </c>
      <c r="N1768">
        <v>19</v>
      </c>
      <c r="O1768">
        <v>30.8</v>
      </c>
      <c r="P1768">
        <v>0</v>
      </c>
      <c r="Q1768">
        <v>0</v>
      </c>
      <c r="R1768">
        <v>0</v>
      </c>
      <c r="S1768">
        <v>0</v>
      </c>
      <c r="T1768">
        <v>0.16389999999999999</v>
      </c>
      <c r="U1768">
        <v>-0.27979999999999999</v>
      </c>
      <c r="V1768">
        <v>1.9E-3</v>
      </c>
      <c r="W1768">
        <v>-3.7414000000000001</v>
      </c>
      <c r="X1768">
        <v>3.6168999999999998</v>
      </c>
      <c r="Y1768">
        <v>-0.44669999999999999</v>
      </c>
      <c r="Z1768">
        <v>13</v>
      </c>
      <c r="AA1768">
        <v>30.3</v>
      </c>
      <c r="AB1768">
        <v>13</v>
      </c>
      <c r="AC1768">
        <v>30.8</v>
      </c>
      <c r="AD1768">
        <v>0</v>
      </c>
      <c r="AE1768">
        <v>0</v>
      </c>
      <c r="AF1768">
        <v>31.008299999999998</v>
      </c>
      <c r="AG1768">
        <v>26</v>
      </c>
      <c r="AH1768">
        <v>0</v>
      </c>
    </row>
    <row r="1769" spans="1:34" x14ac:dyDescent="0.35">
      <c r="A1769" t="s">
        <v>34</v>
      </c>
      <c r="B1769" s="1">
        <v>46146.65625</v>
      </c>
      <c r="C1769" t="s">
        <v>34</v>
      </c>
      <c r="D1769" s="1">
        <v>46154.625</v>
      </c>
      <c r="E1769">
        <v>7110</v>
      </c>
      <c r="F1769" t="s">
        <v>36</v>
      </c>
      <c r="G1769">
        <v>21.31</v>
      </c>
      <c r="H1769">
        <v>37.58</v>
      </c>
      <c r="I1769">
        <v>21.31</v>
      </c>
      <c r="J1769">
        <v>32.229999999999997</v>
      </c>
      <c r="K1769">
        <v>13</v>
      </c>
      <c r="L1769">
        <v>16</v>
      </c>
      <c r="M1769">
        <v>31.5</v>
      </c>
      <c r="N1769">
        <v>19</v>
      </c>
      <c r="O1769">
        <v>31.9</v>
      </c>
      <c r="P1769">
        <v>0</v>
      </c>
      <c r="Q1769">
        <v>0</v>
      </c>
      <c r="R1769">
        <v>0</v>
      </c>
      <c r="S1769">
        <v>0</v>
      </c>
      <c r="T1769">
        <v>0.16300000000000001</v>
      </c>
      <c r="U1769">
        <v>-0.28849999999999998</v>
      </c>
      <c r="V1769">
        <v>2E-3</v>
      </c>
      <c r="W1769">
        <v>-3.7782</v>
      </c>
      <c r="X1769">
        <v>3.6682999999999999</v>
      </c>
      <c r="Y1769">
        <v>-0.46079999999999999</v>
      </c>
      <c r="Z1769">
        <v>13</v>
      </c>
      <c r="AA1769">
        <v>31.4</v>
      </c>
      <c r="AB1769">
        <v>13</v>
      </c>
      <c r="AC1769">
        <v>31.9</v>
      </c>
      <c r="AD1769">
        <v>0</v>
      </c>
      <c r="AE1769">
        <v>0</v>
      </c>
      <c r="AF1769">
        <v>30.387699999999999</v>
      </c>
      <c r="AG1769">
        <v>58</v>
      </c>
      <c r="AH1769">
        <v>0</v>
      </c>
    </row>
    <row r="1770" spans="1:34" x14ac:dyDescent="0.35">
      <c r="A1770" t="s">
        <v>34</v>
      </c>
      <c r="B1770" s="1">
        <v>46146.65625</v>
      </c>
      <c r="C1770" t="s">
        <v>34</v>
      </c>
      <c r="D1770" s="1">
        <v>46154.625</v>
      </c>
      <c r="E1770">
        <v>7115</v>
      </c>
      <c r="F1770" t="s">
        <v>36</v>
      </c>
      <c r="G1770">
        <v>32.78</v>
      </c>
      <c r="H1770">
        <v>37.770000000000003</v>
      </c>
      <c r="I1770">
        <v>32.229999999999997</v>
      </c>
      <c r="J1770">
        <v>32.4</v>
      </c>
      <c r="K1770">
        <v>13</v>
      </c>
      <c r="L1770">
        <v>16</v>
      </c>
      <c r="M1770">
        <v>32.6</v>
      </c>
      <c r="N1770">
        <v>16</v>
      </c>
      <c r="O1770">
        <v>33</v>
      </c>
      <c r="P1770">
        <v>0</v>
      </c>
      <c r="Q1770">
        <v>0</v>
      </c>
      <c r="R1770">
        <v>0</v>
      </c>
      <c r="S1770">
        <v>0</v>
      </c>
      <c r="T1770">
        <v>0.16189999999999999</v>
      </c>
      <c r="U1770">
        <v>-0.29720000000000002</v>
      </c>
      <c r="V1770">
        <v>2E-3</v>
      </c>
      <c r="W1770">
        <v>-3.8094000000000001</v>
      </c>
      <c r="X1770">
        <v>3.718</v>
      </c>
      <c r="Y1770">
        <v>-0.47520000000000001</v>
      </c>
      <c r="Z1770">
        <v>13</v>
      </c>
      <c r="AA1770">
        <v>32.6</v>
      </c>
      <c r="AB1770">
        <v>10</v>
      </c>
      <c r="AC1770">
        <v>33</v>
      </c>
      <c r="AD1770">
        <v>0</v>
      </c>
      <c r="AE1770">
        <v>0</v>
      </c>
      <c r="AF1770">
        <v>33.313800000000001</v>
      </c>
      <c r="AG1770">
        <v>49</v>
      </c>
      <c r="AH1770">
        <v>0</v>
      </c>
    </row>
    <row r="1771" spans="1:34" x14ac:dyDescent="0.35">
      <c r="A1771" t="s">
        <v>34</v>
      </c>
      <c r="B1771" s="1">
        <v>46146.65625</v>
      </c>
      <c r="C1771" t="s">
        <v>34</v>
      </c>
      <c r="D1771" s="1">
        <v>46154.625</v>
      </c>
      <c r="E1771">
        <v>7120</v>
      </c>
      <c r="F1771" t="s">
        <v>36</v>
      </c>
      <c r="G1771">
        <v>27.8</v>
      </c>
      <c r="H1771">
        <v>39.450000000000003</v>
      </c>
      <c r="I1771">
        <v>22.35</v>
      </c>
      <c r="J1771">
        <v>34.700000000000003</v>
      </c>
      <c r="K1771">
        <v>157</v>
      </c>
      <c r="L1771">
        <v>34</v>
      </c>
      <c r="M1771">
        <v>33.700000000000003</v>
      </c>
      <c r="N1771">
        <v>20</v>
      </c>
      <c r="O1771">
        <v>34.200000000000003</v>
      </c>
      <c r="P1771">
        <v>0</v>
      </c>
      <c r="Q1771">
        <v>0</v>
      </c>
      <c r="R1771">
        <v>0</v>
      </c>
      <c r="S1771">
        <v>0</v>
      </c>
      <c r="T1771">
        <v>0.16089999999999999</v>
      </c>
      <c r="U1771">
        <v>-0.30649999999999999</v>
      </c>
      <c r="V1771">
        <v>2E-3</v>
      </c>
      <c r="W1771">
        <v>-3.8431999999999999</v>
      </c>
      <c r="X1771">
        <v>3.7671999999999999</v>
      </c>
      <c r="Y1771">
        <v>-0.49009999999999998</v>
      </c>
      <c r="Z1771">
        <v>11</v>
      </c>
      <c r="AA1771">
        <v>33.799999999999997</v>
      </c>
      <c r="AB1771">
        <v>13</v>
      </c>
      <c r="AC1771">
        <v>34.200000000000003</v>
      </c>
      <c r="AD1771">
        <v>0</v>
      </c>
      <c r="AE1771">
        <v>0</v>
      </c>
      <c r="AF1771">
        <v>33.053400000000003</v>
      </c>
      <c r="AG1771">
        <v>203</v>
      </c>
      <c r="AH1771">
        <v>0</v>
      </c>
    </row>
    <row r="1772" spans="1:34" x14ac:dyDescent="0.35">
      <c r="A1772" t="s">
        <v>34</v>
      </c>
      <c r="B1772" s="1">
        <v>46146.65625</v>
      </c>
      <c r="C1772" t="s">
        <v>34</v>
      </c>
      <c r="D1772" s="1">
        <v>46154.625</v>
      </c>
      <c r="E1772">
        <v>7125</v>
      </c>
      <c r="F1772" t="s">
        <v>36</v>
      </c>
      <c r="G1772">
        <v>27.2</v>
      </c>
      <c r="H1772">
        <v>44.46</v>
      </c>
      <c r="I1772">
        <v>21.92</v>
      </c>
      <c r="J1772">
        <v>34.72</v>
      </c>
      <c r="K1772">
        <v>93</v>
      </c>
      <c r="L1772">
        <v>33</v>
      </c>
      <c r="M1772">
        <v>34.9</v>
      </c>
      <c r="N1772">
        <v>11</v>
      </c>
      <c r="O1772">
        <v>35.299999999999997</v>
      </c>
      <c r="P1772">
        <v>0</v>
      </c>
      <c r="Q1772">
        <v>0</v>
      </c>
      <c r="R1772">
        <v>0</v>
      </c>
      <c r="S1772">
        <v>0</v>
      </c>
      <c r="T1772">
        <v>0.15989999999999999</v>
      </c>
      <c r="U1772">
        <v>-0.31580000000000003</v>
      </c>
      <c r="V1772">
        <v>2.0999999999999999E-3</v>
      </c>
      <c r="W1772">
        <v>-3.8719000000000001</v>
      </c>
      <c r="X1772">
        <v>3.8136999999999999</v>
      </c>
      <c r="Y1772">
        <v>-0.50509999999999999</v>
      </c>
      <c r="Z1772">
        <v>16</v>
      </c>
      <c r="AA1772">
        <v>35</v>
      </c>
      <c r="AB1772">
        <v>13</v>
      </c>
      <c r="AC1772">
        <v>35.4</v>
      </c>
      <c r="AD1772">
        <v>0</v>
      </c>
      <c r="AE1772">
        <v>0</v>
      </c>
      <c r="AF1772">
        <v>33.247300000000003</v>
      </c>
      <c r="AG1772">
        <v>125</v>
      </c>
      <c r="AH1772">
        <v>0</v>
      </c>
    </row>
    <row r="1773" spans="1:34" x14ac:dyDescent="0.35">
      <c r="A1773" t="s">
        <v>34</v>
      </c>
      <c r="B1773" s="1">
        <v>46146.65625</v>
      </c>
      <c r="C1773" t="s">
        <v>34</v>
      </c>
      <c r="D1773" s="1">
        <v>46154.625</v>
      </c>
      <c r="E1773">
        <v>7130</v>
      </c>
      <c r="F1773" t="s">
        <v>36</v>
      </c>
      <c r="G1773">
        <v>29.91</v>
      </c>
      <c r="H1773">
        <v>40.700000000000003</v>
      </c>
      <c r="I1773">
        <v>23.4</v>
      </c>
      <c r="J1773">
        <v>38.18</v>
      </c>
      <c r="K1773">
        <v>50</v>
      </c>
      <c r="L1773">
        <v>14</v>
      </c>
      <c r="M1773">
        <v>36.200000000000003</v>
      </c>
      <c r="N1773">
        <v>20</v>
      </c>
      <c r="O1773">
        <v>36.6</v>
      </c>
      <c r="P1773">
        <v>0</v>
      </c>
      <c r="Q1773">
        <v>0</v>
      </c>
      <c r="R1773">
        <v>0</v>
      </c>
      <c r="S1773">
        <v>0</v>
      </c>
      <c r="T1773">
        <v>0.15870000000000001</v>
      </c>
      <c r="U1773">
        <v>-0.32519999999999999</v>
      </c>
      <c r="V1773">
        <v>2.0999999999999999E-3</v>
      </c>
      <c r="W1773">
        <v>-3.8950999999999998</v>
      </c>
      <c r="X1773">
        <v>3.8580999999999999</v>
      </c>
      <c r="Y1773">
        <v>-0.52010000000000001</v>
      </c>
      <c r="Z1773">
        <v>16</v>
      </c>
      <c r="AA1773">
        <v>36.200000000000003</v>
      </c>
      <c r="AB1773">
        <v>12</v>
      </c>
      <c r="AC1773">
        <v>36.700000000000003</v>
      </c>
      <c r="AD1773">
        <v>0</v>
      </c>
      <c r="AE1773">
        <v>0</v>
      </c>
      <c r="AF1773">
        <v>32.022199999999998</v>
      </c>
      <c r="AG1773">
        <v>87</v>
      </c>
      <c r="AH1773">
        <v>0</v>
      </c>
    </row>
    <row r="1774" spans="1:34" x14ac:dyDescent="0.35">
      <c r="A1774" t="s">
        <v>34</v>
      </c>
      <c r="B1774" s="1">
        <v>46146.65625</v>
      </c>
      <c r="C1774" t="s">
        <v>34</v>
      </c>
      <c r="D1774" s="1">
        <v>46154.625</v>
      </c>
      <c r="E1774">
        <v>7135</v>
      </c>
      <c r="F1774" t="s">
        <v>36</v>
      </c>
      <c r="G1774">
        <v>27.88</v>
      </c>
      <c r="H1774">
        <v>41.34</v>
      </c>
      <c r="I1774">
        <v>25.06</v>
      </c>
      <c r="J1774">
        <v>36.549999999999997</v>
      </c>
      <c r="K1774">
        <v>24</v>
      </c>
      <c r="L1774">
        <v>11</v>
      </c>
      <c r="M1774">
        <v>37.5</v>
      </c>
      <c r="N1774">
        <v>14</v>
      </c>
      <c r="O1774">
        <v>37.9</v>
      </c>
      <c r="P1774">
        <v>0</v>
      </c>
      <c r="Q1774">
        <v>0</v>
      </c>
      <c r="R1774">
        <v>0</v>
      </c>
      <c r="S1774">
        <v>0</v>
      </c>
      <c r="T1774">
        <v>0.15770000000000001</v>
      </c>
      <c r="U1774">
        <v>-0.33500000000000002</v>
      </c>
      <c r="V1774">
        <v>2.2000000000000001E-3</v>
      </c>
      <c r="W1774">
        <v>-3.9203999999999999</v>
      </c>
      <c r="X1774">
        <v>3.9020000000000001</v>
      </c>
      <c r="Y1774">
        <v>-0.53569999999999995</v>
      </c>
      <c r="Z1774">
        <v>11</v>
      </c>
      <c r="AA1774">
        <v>37.6</v>
      </c>
      <c r="AB1774">
        <v>12</v>
      </c>
      <c r="AC1774">
        <v>38</v>
      </c>
      <c r="AD1774">
        <v>0</v>
      </c>
      <c r="AE1774">
        <v>0</v>
      </c>
      <c r="AF1774">
        <v>35.142099999999999</v>
      </c>
      <c r="AG1774">
        <v>46</v>
      </c>
      <c r="AH1774">
        <v>0</v>
      </c>
    </row>
    <row r="1775" spans="1:34" x14ac:dyDescent="0.35">
      <c r="A1775" t="s">
        <v>34</v>
      </c>
      <c r="B1775" s="1">
        <v>46146.65625</v>
      </c>
      <c r="C1775" t="s">
        <v>34</v>
      </c>
      <c r="D1775" s="1">
        <v>46154.625</v>
      </c>
      <c r="E1775">
        <v>7140</v>
      </c>
      <c r="F1775" t="s">
        <v>36</v>
      </c>
      <c r="G1775">
        <v>30.7</v>
      </c>
      <c r="H1775">
        <v>47.76</v>
      </c>
      <c r="I1775">
        <v>25.64</v>
      </c>
      <c r="J1775">
        <v>40.049999999999997</v>
      </c>
      <c r="K1775">
        <v>40</v>
      </c>
      <c r="L1775">
        <v>14</v>
      </c>
      <c r="M1775">
        <v>38.799999999999997</v>
      </c>
      <c r="N1775">
        <v>11</v>
      </c>
      <c r="O1775">
        <v>39.200000000000003</v>
      </c>
      <c r="P1775">
        <v>0</v>
      </c>
      <c r="Q1775">
        <v>0</v>
      </c>
      <c r="R1775">
        <v>0</v>
      </c>
      <c r="S1775">
        <v>0</v>
      </c>
      <c r="T1775">
        <v>0.15659999999999999</v>
      </c>
      <c r="U1775">
        <v>-0.34489999999999998</v>
      </c>
      <c r="V1775">
        <v>2.2000000000000001E-3</v>
      </c>
      <c r="W1775">
        <v>-3.9397000000000002</v>
      </c>
      <c r="X1775">
        <v>3.9443000000000001</v>
      </c>
      <c r="Y1775">
        <v>-0.55179999999999996</v>
      </c>
      <c r="Z1775">
        <v>12</v>
      </c>
      <c r="AA1775">
        <v>38.9</v>
      </c>
      <c r="AB1775">
        <v>9</v>
      </c>
      <c r="AC1775">
        <v>39.4</v>
      </c>
      <c r="AD1775">
        <v>0</v>
      </c>
      <c r="AE1775">
        <v>0</v>
      </c>
      <c r="AF1775">
        <v>39.784999999999997</v>
      </c>
      <c r="AG1775">
        <v>132</v>
      </c>
      <c r="AH1775">
        <v>0</v>
      </c>
    </row>
    <row r="1776" spans="1:34" x14ac:dyDescent="0.35">
      <c r="A1776" t="s">
        <v>34</v>
      </c>
      <c r="B1776" s="1">
        <v>46146.65625</v>
      </c>
      <c r="C1776" t="s">
        <v>34</v>
      </c>
      <c r="D1776" s="1">
        <v>46154.625</v>
      </c>
      <c r="E1776">
        <v>7145</v>
      </c>
      <c r="F1776" t="s">
        <v>36</v>
      </c>
      <c r="G1776">
        <v>30.08</v>
      </c>
      <c r="H1776">
        <v>51.66</v>
      </c>
      <c r="I1776">
        <v>30.08</v>
      </c>
      <c r="J1776">
        <v>38.96</v>
      </c>
      <c r="K1776">
        <v>24</v>
      </c>
      <c r="L1776">
        <v>4</v>
      </c>
      <c r="M1776">
        <v>40.1</v>
      </c>
      <c r="N1776">
        <v>10</v>
      </c>
      <c r="O1776">
        <v>40.5</v>
      </c>
      <c r="P1776">
        <v>0</v>
      </c>
      <c r="Q1776">
        <v>0</v>
      </c>
      <c r="R1776">
        <v>0</v>
      </c>
      <c r="S1776">
        <v>0</v>
      </c>
      <c r="T1776">
        <v>0.15540000000000001</v>
      </c>
      <c r="U1776">
        <v>-0.35499999999999998</v>
      </c>
      <c r="V1776">
        <v>2.2000000000000001E-3</v>
      </c>
      <c r="W1776">
        <v>-3.9529999999999998</v>
      </c>
      <c r="X1776">
        <v>3.9845000000000002</v>
      </c>
      <c r="Y1776">
        <v>-0.56830000000000003</v>
      </c>
      <c r="Z1776">
        <v>11</v>
      </c>
      <c r="AA1776">
        <v>40.299999999999997</v>
      </c>
      <c r="AB1776">
        <v>9</v>
      </c>
      <c r="AC1776">
        <v>40.799999999999997</v>
      </c>
      <c r="AD1776">
        <v>0</v>
      </c>
      <c r="AE1776">
        <v>0</v>
      </c>
      <c r="AF1776">
        <v>38.268799999999999</v>
      </c>
      <c r="AG1776">
        <v>76</v>
      </c>
      <c r="AH1776">
        <v>0</v>
      </c>
    </row>
    <row r="1777" spans="1:34" x14ac:dyDescent="0.35">
      <c r="A1777" t="s">
        <v>34</v>
      </c>
      <c r="B1777" s="1">
        <v>46146.65625</v>
      </c>
      <c r="C1777" t="s">
        <v>34</v>
      </c>
      <c r="D1777" s="1">
        <v>46154.625</v>
      </c>
      <c r="E1777">
        <v>7150</v>
      </c>
      <c r="F1777" t="s">
        <v>36</v>
      </c>
      <c r="G1777">
        <v>34.25</v>
      </c>
      <c r="H1777">
        <v>55.39</v>
      </c>
      <c r="I1777">
        <v>26.32</v>
      </c>
      <c r="J1777">
        <v>41.49</v>
      </c>
      <c r="K1777">
        <v>610</v>
      </c>
      <c r="L1777">
        <v>16</v>
      </c>
      <c r="M1777">
        <v>41.5</v>
      </c>
      <c r="N1777">
        <v>10</v>
      </c>
      <c r="O1777">
        <v>42</v>
      </c>
      <c r="P1777">
        <v>0</v>
      </c>
      <c r="Q1777">
        <v>0</v>
      </c>
      <c r="R1777">
        <v>0</v>
      </c>
      <c r="S1777">
        <v>0</v>
      </c>
      <c r="T1777">
        <v>0.15440000000000001</v>
      </c>
      <c r="U1777">
        <v>-0.36559999999999998</v>
      </c>
      <c r="V1777">
        <v>2.3E-3</v>
      </c>
      <c r="W1777">
        <v>-3.9708000000000001</v>
      </c>
      <c r="X1777">
        <v>4.0233999999999996</v>
      </c>
      <c r="Y1777">
        <v>-0.58550000000000002</v>
      </c>
      <c r="Z1777">
        <v>15</v>
      </c>
      <c r="AA1777">
        <v>41.7</v>
      </c>
      <c r="AB1777">
        <v>12</v>
      </c>
      <c r="AC1777">
        <v>42.2</v>
      </c>
      <c r="AD1777">
        <v>0</v>
      </c>
      <c r="AE1777">
        <v>0</v>
      </c>
      <c r="AF1777">
        <v>41.373699999999999</v>
      </c>
      <c r="AG1777">
        <v>275</v>
      </c>
      <c r="AH1777">
        <v>0</v>
      </c>
    </row>
    <row r="1778" spans="1:34" x14ac:dyDescent="0.35">
      <c r="A1778" t="s">
        <v>34</v>
      </c>
      <c r="B1778" s="1">
        <v>46146.65625</v>
      </c>
      <c r="C1778" t="s">
        <v>34</v>
      </c>
      <c r="D1778" s="1">
        <v>46154.625</v>
      </c>
      <c r="E1778">
        <v>7155</v>
      </c>
      <c r="F1778" t="s">
        <v>36</v>
      </c>
      <c r="G1778">
        <v>30.35</v>
      </c>
      <c r="H1778">
        <v>52</v>
      </c>
      <c r="I1778">
        <v>30.35</v>
      </c>
      <c r="J1778">
        <v>42.01</v>
      </c>
      <c r="K1778">
        <v>24</v>
      </c>
      <c r="L1778">
        <v>14</v>
      </c>
      <c r="M1778">
        <v>43</v>
      </c>
      <c r="N1778">
        <v>10</v>
      </c>
      <c r="O1778">
        <v>43.4</v>
      </c>
      <c r="P1778">
        <v>0</v>
      </c>
      <c r="Q1778">
        <v>0</v>
      </c>
      <c r="R1778">
        <v>0</v>
      </c>
      <c r="S1778">
        <v>0</v>
      </c>
      <c r="T1778">
        <v>0.15329999999999999</v>
      </c>
      <c r="U1778">
        <v>-0.37619999999999998</v>
      </c>
      <c r="V1778">
        <v>2.3E-3</v>
      </c>
      <c r="W1778">
        <v>-3.9821</v>
      </c>
      <c r="X1778">
        <v>4.0591999999999997</v>
      </c>
      <c r="Y1778">
        <v>-0.6028</v>
      </c>
      <c r="Z1778">
        <v>11</v>
      </c>
      <c r="AA1778">
        <v>43.2</v>
      </c>
      <c r="AB1778">
        <v>8</v>
      </c>
      <c r="AC1778">
        <v>43.7</v>
      </c>
      <c r="AD1778">
        <v>0</v>
      </c>
      <c r="AE1778">
        <v>0</v>
      </c>
      <c r="AF1778">
        <v>41.514200000000002</v>
      </c>
      <c r="AG1778">
        <v>66</v>
      </c>
      <c r="AH1778">
        <v>0</v>
      </c>
    </row>
    <row r="1779" spans="1:34" x14ac:dyDescent="0.35">
      <c r="A1779" t="s">
        <v>34</v>
      </c>
      <c r="B1779" s="1">
        <v>46146.65625</v>
      </c>
      <c r="C1779" t="s">
        <v>34</v>
      </c>
      <c r="D1779" s="1">
        <v>46154.625</v>
      </c>
      <c r="E1779">
        <v>7160</v>
      </c>
      <c r="F1779" t="s">
        <v>36</v>
      </c>
      <c r="G1779">
        <v>37.28</v>
      </c>
      <c r="H1779">
        <v>57.46</v>
      </c>
      <c r="I1779">
        <v>28.35</v>
      </c>
      <c r="J1779">
        <v>43.81</v>
      </c>
      <c r="K1779">
        <v>57</v>
      </c>
      <c r="L1779">
        <v>19</v>
      </c>
      <c r="M1779">
        <v>44.4</v>
      </c>
      <c r="N1779">
        <v>14</v>
      </c>
      <c r="O1779">
        <v>45</v>
      </c>
      <c r="P1779">
        <v>0</v>
      </c>
      <c r="Q1779">
        <v>0</v>
      </c>
      <c r="R1779">
        <v>0</v>
      </c>
      <c r="S1779">
        <v>0</v>
      </c>
      <c r="T1779">
        <v>0.1522</v>
      </c>
      <c r="U1779">
        <v>-0.38719999999999999</v>
      </c>
      <c r="V1779">
        <v>2.3999999999999998E-3</v>
      </c>
      <c r="W1779">
        <v>-3.9901</v>
      </c>
      <c r="X1779">
        <v>4.0922999999999998</v>
      </c>
      <c r="Y1779">
        <v>-0.62029999999999996</v>
      </c>
      <c r="Z1779">
        <v>11</v>
      </c>
      <c r="AA1779">
        <v>44.8</v>
      </c>
      <c r="AB1779">
        <v>8</v>
      </c>
      <c r="AC1779">
        <v>45.3</v>
      </c>
      <c r="AD1779">
        <v>0</v>
      </c>
      <c r="AE1779">
        <v>0</v>
      </c>
      <c r="AF1779">
        <v>45.932299999999998</v>
      </c>
      <c r="AG1779">
        <v>149</v>
      </c>
      <c r="AH1779">
        <v>0</v>
      </c>
    </row>
    <row r="1780" spans="1:34" x14ac:dyDescent="0.35">
      <c r="A1780" t="s">
        <v>34</v>
      </c>
      <c r="B1780" s="1">
        <v>46146.65625</v>
      </c>
      <c r="C1780" t="s">
        <v>34</v>
      </c>
      <c r="D1780" s="1">
        <v>46154.625</v>
      </c>
      <c r="E1780">
        <v>7165</v>
      </c>
      <c r="F1780" t="s">
        <v>36</v>
      </c>
      <c r="G1780">
        <v>35.1</v>
      </c>
      <c r="H1780">
        <v>50.83</v>
      </c>
      <c r="I1780">
        <v>29.85</v>
      </c>
      <c r="J1780">
        <v>50.83</v>
      </c>
      <c r="K1780">
        <v>13</v>
      </c>
      <c r="L1780">
        <v>9</v>
      </c>
      <c r="M1780">
        <v>46.1</v>
      </c>
      <c r="N1780">
        <v>14</v>
      </c>
      <c r="O1780">
        <v>46.6</v>
      </c>
      <c r="P1780">
        <v>0</v>
      </c>
      <c r="Q1780">
        <v>0</v>
      </c>
      <c r="R1780">
        <v>0</v>
      </c>
      <c r="S1780">
        <v>0</v>
      </c>
      <c r="T1780">
        <v>0.1512</v>
      </c>
      <c r="U1780">
        <v>-0.39839999999999998</v>
      </c>
      <c r="V1780">
        <v>2.3999999999999998E-3</v>
      </c>
      <c r="W1780">
        <v>-3.9984000000000002</v>
      </c>
      <c r="X1780">
        <v>4.1231</v>
      </c>
      <c r="Y1780">
        <v>-0.63829999999999998</v>
      </c>
      <c r="Z1780">
        <v>11</v>
      </c>
      <c r="AA1780">
        <v>46.4</v>
      </c>
      <c r="AB1780">
        <v>8</v>
      </c>
      <c r="AC1780">
        <v>46.9</v>
      </c>
      <c r="AD1780">
        <v>0</v>
      </c>
      <c r="AE1780">
        <v>0</v>
      </c>
      <c r="AF1780">
        <v>47.573099999999997</v>
      </c>
      <c r="AG1780">
        <v>26</v>
      </c>
      <c r="AH1780">
        <v>0</v>
      </c>
    </row>
    <row r="1781" spans="1:34" x14ac:dyDescent="0.35">
      <c r="A1781" t="s">
        <v>34</v>
      </c>
      <c r="B1781" s="1">
        <v>46146.65625</v>
      </c>
      <c r="C1781" t="s">
        <v>34</v>
      </c>
      <c r="D1781" s="1">
        <v>46154.625</v>
      </c>
      <c r="E1781">
        <v>7170</v>
      </c>
      <c r="F1781" t="s">
        <v>36</v>
      </c>
      <c r="G1781">
        <v>36.93</v>
      </c>
      <c r="H1781">
        <v>54.52</v>
      </c>
      <c r="I1781">
        <v>30.8</v>
      </c>
      <c r="J1781">
        <v>48.76</v>
      </c>
      <c r="K1781">
        <v>38</v>
      </c>
      <c r="L1781">
        <v>17</v>
      </c>
      <c r="M1781">
        <v>47.6</v>
      </c>
      <c r="N1781">
        <v>9</v>
      </c>
      <c r="O1781">
        <v>48.1</v>
      </c>
      <c r="P1781">
        <v>0</v>
      </c>
      <c r="Q1781">
        <v>0</v>
      </c>
      <c r="R1781">
        <v>0</v>
      </c>
      <c r="S1781">
        <v>0</v>
      </c>
      <c r="T1781">
        <v>0.15010000000000001</v>
      </c>
      <c r="U1781">
        <v>-0.4098</v>
      </c>
      <c r="V1781">
        <v>2.3999999999999998E-3</v>
      </c>
      <c r="W1781">
        <v>-3.9994999999999998</v>
      </c>
      <c r="X1781">
        <v>4.1513</v>
      </c>
      <c r="Y1781">
        <v>-0.65659999999999996</v>
      </c>
      <c r="Z1781">
        <v>11</v>
      </c>
      <c r="AA1781">
        <v>48</v>
      </c>
      <c r="AB1781">
        <v>7</v>
      </c>
      <c r="AC1781">
        <v>48.5</v>
      </c>
      <c r="AD1781">
        <v>0</v>
      </c>
      <c r="AE1781">
        <v>0</v>
      </c>
      <c r="AF1781">
        <v>45.1997</v>
      </c>
      <c r="AG1781">
        <v>78</v>
      </c>
      <c r="AH1781">
        <v>0</v>
      </c>
    </row>
    <row r="1782" spans="1:34" x14ac:dyDescent="0.35">
      <c r="A1782" t="s">
        <v>34</v>
      </c>
      <c r="B1782" s="1">
        <v>46146.65625</v>
      </c>
      <c r="C1782" t="s">
        <v>34</v>
      </c>
      <c r="D1782" s="1">
        <v>46154.625</v>
      </c>
      <c r="E1782">
        <v>7175</v>
      </c>
      <c r="F1782" t="s">
        <v>36</v>
      </c>
      <c r="G1782">
        <v>55.4</v>
      </c>
      <c r="H1782">
        <v>57.88</v>
      </c>
      <c r="I1782">
        <v>46.43</v>
      </c>
      <c r="J1782">
        <v>50.28</v>
      </c>
      <c r="K1782">
        <v>79</v>
      </c>
      <c r="L1782">
        <v>16</v>
      </c>
      <c r="M1782">
        <v>49.2</v>
      </c>
      <c r="N1782">
        <v>8</v>
      </c>
      <c r="O1782">
        <v>49.8</v>
      </c>
      <c r="P1782">
        <v>0</v>
      </c>
      <c r="Q1782">
        <v>0</v>
      </c>
      <c r="R1782">
        <v>0</v>
      </c>
      <c r="S1782">
        <v>0</v>
      </c>
      <c r="T1782">
        <v>0.14879999999999999</v>
      </c>
      <c r="U1782">
        <v>-0.4214</v>
      </c>
      <c r="V1782">
        <v>2.5000000000000001E-3</v>
      </c>
      <c r="W1782">
        <v>-3.9931999999999999</v>
      </c>
      <c r="X1782">
        <v>4.1765999999999996</v>
      </c>
      <c r="Y1782">
        <v>-0.67549999999999999</v>
      </c>
      <c r="Z1782">
        <v>16</v>
      </c>
      <c r="AA1782">
        <v>49.7</v>
      </c>
      <c r="AB1782">
        <v>11</v>
      </c>
      <c r="AC1782">
        <v>50.2</v>
      </c>
      <c r="AD1782">
        <v>0</v>
      </c>
      <c r="AE1782">
        <v>0</v>
      </c>
      <c r="AF1782">
        <v>50.237000000000002</v>
      </c>
      <c r="AG1782">
        <v>142</v>
      </c>
      <c r="AH1782">
        <v>0</v>
      </c>
    </row>
    <row r="1783" spans="1:34" x14ac:dyDescent="0.35">
      <c r="A1783" t="s">
        <v>34</v>
      </c>
      <c r="B1783" s="1">
        <v>46146.65625</v>
      </c>
      <c r="C1783" t="s">
        <v>34</v>
      </c>
      <c r="D1783" s="1">
        <v>46154.625</v>
      </c>
      <c r="E1783">
        <v>7180</v>
      </c>
      <c r="F1783" t="s">
        <v>36</v>
      </c>
      <c r="G1783">
        <v>42.1</v>
      </c>
      <c r="H1783">
        <v>55.35</v>
      </c>
      <c r="I1783">
        <v>34</v>
      </c>
      <c r="J1783">
        <v>52.07</v>
      </c>
      <c r="K1783">
        <v>15</v>
      </c>
      <c r="L1783">
        <v>14</v>
      </c>
      <c r="M1783">
        <v>51</v>
      </c>
      <c r="N1783">
        <v>13</v>
      </c>
      <c r="O1783">
        <v>51.6</v>
      </c>
      <c r="P1783">
        <v>0</v>
      </c>
      <c r="Q1783">
        <v>0</v>
      </c>
      <c r="R1783">
        <v>0</v>
      </c>
      <c r="S1783">
        <v>0</v>
      </c>
      <c r="T1783">
        <v>0.14779999999999999</v>
      </c>
      <c r="U1783">
        <v>-0.43330000000000002</v>
      </c>
      <c r="V1783">
        <v>2.5000000000000001E-3</v>
      </c>
      <c r="W1783">
        <v>-3.9893999999999998</v>
      </c>
      <c r="X1783">
        <v>4.1990999999999996</v>
      </c>
      <c r="Y1783">
        <v>-0.69510000000000005</v>
      </c>
      <c r="Z1783">
        <v>10</v>
      </c>
      <c r="AA1783">
        <v>51.5</v>
      </c>
      <c r="AB1783">
        <v>8</v>
      </c>
      <c r="AC1783">
        <v>52</v>
      </c>
      <c r="AD1783">
        <v>0</v>
      </c>
      <c r="AE1783">
        <v>0</v>
      </c>
      <c r="AF1783">
        <v>44.651299999999999</v>
      </c>
      <c r="AG1783">
        <v>50</v>
      </c>
      <c r="AH1783">
        <v>0</v>
      </c>
    </row>
    <row r="1784" spans="1:34" x14ac:dyDescent="0.35">
      <c r="A1784" t="s">
        <v>34</v>
      </c>
      <c r="B1784" s="1">
        <v>46146.65625</v>
      </c>
      <c r="C1784" t="s">
        <v>34</v>
      </c>
      <c r="D1784" s="1">
        <v>46154.625</v>
      </c>
      <c r="E1784">
        <v>7185</v>
      </c>
      <c r="F1784" t="s">
        <v>36</v>
      </c>
      <c r="G1784">
        <v>40.46</v>
      </c>
      <c r="H1784">
        <v>66.19</v>
      </c>
      <c r="I1784">
        <v>40.46</v>
      </c>
      <c r="J1784">
        <v>53.6</v>
      </c>
      <c r="K1784">
        <v>17</v>
      </c>
      <c r="L1784">
        <v>8</v>
      </c>
      <c r="M1784">
        <v>52.8</v>
      </c>
      <c r="N1784">
        <v>4</v>
      </c>
      <c r="O1784">
        <v>53.3</v>
      </c>
      <c r="P1784">
        <v>0</v>
      </c>
      <c r="Q1784">
        <v>0</v>
      </c>
      <c r="R1784">
        <v>0</v>
      </c>
      <c r="S1784">
        <v>0</v>
      </c>
      <c r="T1784">
        <v>0.1467</v>
      </c>
      <c r="U1784">
        <v>-0.44540000000000002</v>
      </c>
      <c r="V1784">
        <v>2.5000000000000001E-3</v>
      </c>
      <c r="W1784">
        <v>-3.9777999999999998</v>
      </c>
      <c r="X1784">
        <v>4.2179000000000002</v>
      </c>
      <c r="Y1784">
        <v>-0.71479999999999999</v>
      </c>
      <c r="Z1784">
        <v>10</v>
      </c>
      <c r="AA1784">
        <v>53.3</v>
      </c>
      <c r="AB1784">
        <v>8</v>
      </c>
      <c r="AC1784">
        <v>53.8</v>
      </c>
      <c r="AD1784">
        <v>0</v>
      </c>
      <c r="AE1784">
        <v>0</v>
      </c>
      <c r="AF1784">
        <v>60.67</v>
      </c>
      <c r="AG1784">
        <v>59</v>
      </c>
      <c r="AH1784">
        <v>0</v>
      </c>
    </row>
    <row r="1785" spans="1:34" x14ac:dyDescent="0.35">
      <c r="A1785" t="s">
        <v>34</v>
      </c>
      <c r="B1785" s="1">
        <v>46146.65625</v>
      </c>
      <c r="C1785" t="s">
        <v>34</v>
      </c>
      <c r="D1785" s="1">
        <v>46154.625</v>
      </c>
      <c r="E1785">
        <v>7190</v>
      </c>
      <c r="F1785" t="s">
        <v>36</v>
      </c>
      <c r="G1785">
        <v>42.93</v>
      </c>
      <c r="H1785">
        <v>69.599999999999994</v>
      </c>
      <c r="I1785">
        <v>39</v>
      </c>
      <c r="J1785">
        <v>56.72</v>
      </c>
      <c r="K1785">
        <v>54</v>
      </c>
      <c r="L1785">
        <v>14</v>
      </c>
      <c r="M1785">
        <v>54.6</v>
      </c>
      <c r="N1785">
        <v>13</v>
      </c>
      <c r="O1785">
        <v>55.2</v>
      </c>
      <c r="P1785">
        <v>0</v>
      </c>
      <c r="Q1785">
        <v>0</v>
      </c>
      <c r="R1785">
        <v>0</v>
      </c>
      <c r="S1785">
        <v>0</v>
      </c>
      <c r="T1785">
        <v>0.14560000000000001</v>
      </c>
      <c r="U1785">
        <v>-0.4577</v>
      </c>
      <c r="V1785">
        <v>2.5000000000000001E-3</v>
      </c>
      <c r="W1785">
        <v>-3.9649000000000001</v>
      </c>
      <c r="X1785">
        <v>4.2329999999999997</v>
      </c>
      <c r="Y1785">
        <v>-0.73460000000000003</v>
      </c>
      <c r="Z1785">
        <v>10</v>
      </c>
      <c r="AA1785">
        <v>55.2</v>
      </c>
      <c r="AB1785">
        <v>8</v>
      </c>
      <c r="AC1785">
        <v>55.7</v>
      </c>
      <c r="AD1785">
        <v>0</v>
      </c>
      <c r="AE1785">
        <v>0</v>
      </c>
      <c r="AF1785">
        <v>52.631500000000003</v>
      </c>
      <c r="AG1785">
        <v>29</v>
      </c>
      <c r="AH1785">
        <v>0</v>
      </c>
    </row>
    <row r="1786" spans="1:34" x14ac:dyDescent="0.35">
      <c r="A1786" t="s">
        <v>34</v>
      </c>
      <c r="B1786" s="1">
        <v>46146.65625</v>
      </c>
      <c r="C1786" t="s">
        <v>34</v>
      </c>
      <c r="D1786" s="1">
        <v>46154.625</v>
      </c>
      <c r="E1786">
        <v>7195</v>
      </c>
      <c r="F1786" t="s">
        <v>36</v>
      </c>
      <c r="G1786">
        <v>46.24</v>
      </c>
      <c r="H1786">
        <v>65</v>
      </c>
      <c r="I1786">
        <v>40.590000000000003</v>
      </c>
      <c r="J1786">
        <v>55.26</v>
      </c>
      <c r="K1786">
        <v>20</v>
      </c>
      <c r="L1786">
        <v>23</v>
      </c>
      <c r="M1786">
        <v>56.4</v>
      </c>
      <c r="N1786">
        <v>8</v>
      </c>
      <c r="O1786">
        <v>57</v>
      </c>
      <c r="P1786">
        <v>0</v>
      </c>
      <c r="Q1786">
        <v>0</v>
      </c>
      <c r="R1786">
        <v>0</v>
      </c>
      <c r="S1786">
        <v>0</v>
      </c>
      <c r="T1786">
        <v>0.14449999999999999</v>
      </c>
      <c r="U1786">
        <v>-0.4703</v>
      </c>
      <c r="V1786">
        <v>2.5999999999999999E-3</v>
      </c>
      <c r="W1786">
        <v>-3.9472</v>
      </c>
      <c r="X1786">
        <v>4.2443999999999997</v>
      </c>
      <c r="Y1786">
        <v>-0.75470000000000004</v>
      </c>
      <c r="Z1786">
        <v>10</v>
      </c>
      <c r="AA1786">
        <v>57.1</v>
      </c>
      <c r="AB1786">
        <v>12</v>
      </c>
      <c r="AC1786">
        <v>57.6</v>
      </c>
      <c r="AD1786">
        <v>0</v>
      </c>
      <c r="AE1786">
        <v>0</v>
      </c>
      <c r="AF1786">
        <v>57.261000000000003</v>
      </c>
      <c r="AG1786">
        <v>43</v>
      </c>
      <c r="AH1786">
        <v>0</v>
      </c>
    </row>
    <row r="1787" spans="1:34" x14ac:dyDescent="0.35">
      <c r="A1787" t="s">
        <v>34</v>
      </c>
      <c r="B1787" s="1">
        <v>46146.65625</v>
      </c>
      <c r="C1787" t="s">
        <v>34</v>
      </c>
      <c r="D1787" s="1">
        <v>46154.625</v>
      </c>
      <c r="E1787">
        <v>7200</v>
      </c>
      <c r="F1787" t="s">
        <v>36</v>
      </c>
      <c r="G1787">
        <v>49.7</v>
      </c>
      <c r="H1787">
        <v>68.5</v>
      </c>
      <c r="I1787">
        <v>39.799999999999997</v>
      </c>
      <c r="J1787">
        <v>60.37</v>
      </c>
      <c r="K1787">
        <v>217</v>
      </c>
      <c r="L1787">
        <v>24</v>
      </c>
      <c r="M1787">
        <v>58.4</v>
      </c>
      <c r="N1787">
        <v>13</v>
      </c>
      <c r="O1787">
        <v>59</v>
      </c>
      <c r="P1787">
        <v>0</v>
      </c>
      <c r="Q1787">
        <v>0</v>
      </c>
      <c r="R1787">
        <v>0</v>
      </c>
      <c r="S1787">
        <v>0</v>
      </c>
      <c r="T1787">
        <v>0.1434</v>
      </c>
      <c r="U1787">
        <v>-0.48309999999999997</v>
      </c>
      <c r="V1787">
        <v>2.5999999999999999E-3</v>
      </c>
      <c r="W1787">
        <v>-3.9243999999999999</v>
      </c>
      <c r="X1787">
        <v>4.2519999999999998</v>
      </c>
      <c r="Y1787">
        <v>-0.77529999999999999</v>
      </c>
      <c r="Z1787">
        <v>10</v>
      </c>
      <c r="AA1787">
        <v>59.1</v>
      </c>
      <c r="AB1787">
        <v>12</v>
      </c>
      <c r="AC1787">
        <v>59.6</v>
      </c>
      <c r="AD1787">
        <v>0</v>
      </c>
      <c r="AE1787">
        <v>0</v>
      </c>
      <c r="AF1787">
        <v>53.7224</v>
      </c>
      <c r="AG1787">
        <v>99</v>
      </c>
      <c r="AH1787">
        <v>0</v>
      </c>
    </row>
    <row r="1788" spans="1:34" x14ac:dyDescent="0.35">
      <c r="A1788" t="s">
        <v>34</v>
      </c>
      <c r="B1788" s="1">
        <v>46146.65625</v>
      </c>
      <c r="C1788" t="s">
        <v>34</v>
      </c>
      <c r="D1788" s="1">
        <v>46154.625</v>
      </c>
      <c r="E1788">
        <v>7205</v>
      </c>
      <c r="F1788" t="s">
        <v>36</v>
      </c>
      <c r="G1788">
        <v>47.64</v>
      </c>
      <c r="H1788">
        <v>64.040000000000006</v>
      </c>
      <c r="I1788">
        <v>46.98</v>
      </c>
      <c r="J1788">
        <v>64.040000000000006</v>
      </c>
      <c r="K1788">
        <v>71</v>
      </c>
      <c r="L1788">
        <v>14</v>
      </c>
      <c r="M1788">
        <v>60.4</v>
      </c>
      <c r="N1788">
        <v>12</v>
      </c>
      <c r="O1788">
        <v>61</v>
      </c>
      <c r="P1788">
        <v>0</v>
      </c>
      <c r="Q1788">
        <v>0</v>
      </c>
      <c r="R1788">
        <v>0</v>
      </c>
      <c r="S1788">
        <v>0</v>
      </c>
      <c r="T1788">
        <v>0.14230000000000001</v>
      </c>
      <c r="U1788">
        <v>-0.49609999999999999</v>
      </c>
      <c r="V1788">
        <v>2.5999999999999999E-3</v>
      </c>
      <c r="W1788">
        <v>-3.8961999999999999</v>
      </c>
      <c r="X1788">
        <v>4.2554999999999996</v>
      </c>
      <c r="Y1788">
        <v>-0.79659999999999997</v>
      </c>
      <c r="Z1788">
        <v>9</v>
      </c>
      <c r="AA1788">
        <v>61.2</v>
      </c>
      <c r="AB1788">
        <v>1</v>
      </c>
      <c r="AC1788">
        <v>61.7</v>
      </c>
      <c r="AD1788">
        <v>0</v>
      </c>
      <c r="AE1788">
        <v>0</v>
      </c>
      <c r="AF1788">
        <v>55.520099999999999</v>
      </c>
      <c r="AG1788">
        <v>11</v>
      </c>
      <c r="AH1788">
        <v>0</v>
      </c>
    </row>
    <row r="1789" spans="1:34" x14ac:dyDescent="0.35">
      <c r="A1789" t="s">
        <v>34</v>
      </c>
      <c r="B1789" s="1">
        <v>46146.65625</v>
      </c>
      <c r="C1789" t="s">
        <v>34</v>
      </c>
      <c r="D1789" s="1">
        <v>46154.625</v>
      </c>
      <c r="E1789">
        <v>7210</v>
      </c>
      <c r="F1789" t="s">
        <v>36</v>
      </c>
      <c r="G1789">
        <v>53.35</v>
      </c>
      <c r="H1789">
        <v>78.58</v>
      </c>
      <c r="I1789">
        <v>48.29</v>
      </c>
      <c r="J1789">
        <v>61.83</v>
      </c>
      <c r="K1789">
        <v>72</v>
      </c>
      <c r="L1789">
        <v>8</v>
      </c>
      <c r="M1789">
        <v>62.6</v>
      </c>
      <c r="N1789">
        <v>1</v>
      </c>
      <c r="O1789">
        <v>63.1</v>
      </c>
      <c r="P1789">
        <v>0</v>
      </c>
      <c r="Q1789">
        <v>0</v>
      </c>
      <c r="R1789">
        <v>0</v>
      </c>
      <c r="S1789">
        <v>0</v>
      </c>
      <c r="T1789">
        <v>0.14119999999999999</v>
      </c>
      <c r="U1789">
        <v>-0.50919999999999999</v>
      </c>
      <c r="V1789">
        <v>2.5999999999999999E-3</v>
      </c>
      <c r="W1789">
        <v>-3.8656999999999999</v>
      </c>
      <c r="X1789">
        <v>4.2546999999999997</v>
      </c>
      <c r="Y1789">
        <v>-0.81820000000000004</v>
      </c>
      <c r="Z1789">
        <v>9</v>
      </c>
      <c r="AA1789">
        <v>63.3</v>
      </c>
      <c r="AB1789">
        <v>8</v>
      </c>
      <c r="AC1789">
        <v>63.8</v>
      </c>
      <c r="AD1789">
        <v>0</v>
      </c>
      <c r="AE1789">
        <v>0</v>
      </c>
      <c r="AF1789">
        <v>60.452500000000001</v>
      </c>
      <c r="AG1789">
        <v>29</v>
      </c>
      <c r="AH1789">
        <v>0</v>
      </c>
    </row>
    <row r="1790" spans="1:34" x14ac:dyDescent="0.35">
      <c r="A1790" t="s">
        <v>34</v>
      </c>
      <c r="B1790" s="1">
        <v>46146.65625</v>
      </c>
      <c r="C1790" t="s">
        <v>34</v>
      </c>
      <c r="D1790" s="1">
        <v>46154.625</v>
      </c>
      <c r="E1790">
        <v>7215</v>
      </c>
      <c r="F1790" t="s">
        <v>36</v>
      </c>
      <c r="G1790">
        <v>51.49</v>
      </c>
      <c r="H1790">
        <v>75.040000000000006</v>
      </c>
      <c r="I1790">
        <v>43.88</v>
      </c>
      <c r="J1790">
        <v>63.3</v>
      </c>
      <c r="K1790">
        <v>31</v>
      </c>
      <c r="L1790">
        <v>20</v>
      </c>
      <c r="M1790">
        <v>64.599999999999994</v>
      </c>
      <c r="N1790">
        <v>8</v>
      </c>
      <c r="O1790">
        <v>65.2</v>
      </c>
      <c r="P1790">
        <v>0</v>
      </c>
      <c r="Q1790">
        <v>0</v>
      </c>
      <c r="R1790">
        <v>0</v>
      </c>
      <c r="S1790">
        <v>0</v>
      </c>
      <c r="T1790">
        <v>0.1401</v>
      </c>
      <c r="U1790">
        <v>-0.52259999999999995</v>
      </c>
      <c r="V1790">
        <v>2.7000000000000001E-3</v>
      </c>
      <c r="W1790">
        <v>-3.8294000000000001</v>
      </c>
      <c r="X1790">
        <v>4.2493999999999996</v>
      </c>
      <c r="Y1790">
        <v>-0.83989999999999998</v>
      </c>
      <c r="Z1790">
        <v>9</v>
      </c>
      <c r="AA1790">
        <v>65.5</v>
      </c>
      <c r="AB1790">
        <v>7</v>
      </c>
      <c r="AC1790">
        <v>66</v>
      </c>
      <c r="AD1790">
        <v>0</v>
      </c>
      <c r="AE1790">
        <v>0</v>
      </c>
      <c r="AF1790">
        <v>50.8765</v>
      </c>
      <c r="AG1790">
        <v>7</v>
      </c>
      <c r="AH1790">
        <v>0</v>
      </c>
    </row>
    <row r="1791" spans="1:34" x14ac:dyDescent="0.35">
      <c r="A1791" t="s">
        <v>34</v>
      </c>
      <c r="B1791" s="1">
        <v>46146.65625</v>
      </c>
      <c r="C1791" t="s">
        <v>34</v>
      </c>
      <c r="D1791" s="1">
        <v>46154.625</v>
      </c>
      <c r="E1791">
        <v>7220</v>
      </c>
      <c r="F1791" t="s">
        <v>36</v>
      </c>
      <c r="G1791">
        <v>56.5</v>
      </c>
      <c r="H1791">
        <v>70.69</v>
      </c>
      <c r="I1791">
        <v>45.02</v>
      </c>
      <c r="J1791">
        <v>67.69</v>
      </c>
      <c r="K1791">
        <v>273</v>
      </c>
      <c r="L1791">
        <v>8</v>
      </c>
      <c r="M1791">
        <v>67</v>
      </c>
      <c r="N1791">
        <v>8</v>
      </c>
      <c r="O1791">
        <v>67.400000000000006</v>
      </c>
      <c r="P1791">
        <v>0</v>
      </c>
      <c r="Q1791">
        <v>0</v>
      </c>
      <c r="R1791">
        <v>0</v>
      </c>
      <c r="S1791">
        <v>0</v>
      </c>
      <c r="T1791">
        <v>0.1389</v>
      </c>
      <c r="U1791">
        <v>-0.53590000000000004</v>
      </c>
      <c r="V1791">
        <v>2.7000000000000001E-3</v>
      </c>
      <c r="W1791">
        <v>-3.7869999999999999</v>
      </c>
      <c r="X1791">
        <v>4.2397999999999998</v>
      </c>
      <c r="Y1791">
        <v>-0.86129999999999995</v>
      </c>
      <c r="Z1791">
        <v>10</v>
      </c>
      <c r="AA1791">
        <v>67.7</v>
      </c>
      <c r="AB1791">
        <v>11</v>
      </c>
      <c r="AC1791">
        <v>68.2</v>
      </c>
      <c r="AD1791">
        <v>0</v>
      </c>
      <c r="AE1791">
        <v>0</v>
      </c>
      <c r="AF1791">
        <v>56.331800000000001</v>
      </c>
      <c r="AG1791">
        <v>29</v>
      </c>
      <c r="AH1791">
        <v>0</v>
      </c>
    </row>
    <row r="1792" spans="1:34" x14ac:dyDescent="0.35">
      <c r="A1792" t="s">
        <v>34</v>
      </c>
      <c r="B1792" s="1">
        <v>46146.65625</v>
      </c>
      <c r="C1792" t="s">
        <v>34</v>
      </c>
      <c r="D1792" s="1">
        <v>46154.625</v>
      </c>
      <c r="E1792">
        <v>7225</v>
      </c>
      <c r="F1792" t="s">
        <v>36</v>
      </c>
      <c r="G1792">
        <v>59.7</v>
      </c>
      <c r="H1792">
        <v>71.650000000000006</v>
      </c>
      <c r="I1792">
        <v>47</v>
      </c>
      <c r="J1792">
        <v>70</v>
      </c>
      <c r="K1792">
        <v>147</v>
      </c>
      <c r="L1792">
        <v>7</v>
      </c>
      <c r="M1792">
        <v>69.2</v>
      </c>
      <c r="N1792">
        <v>8</v>
      </c>
      <c r="O1792">
        <v>69.8</v>
      </c>
      <c r="P1792">
        <v>0</v>
      </c>
      <c r="Q1792">
        <v>0</v>
      </c>
      <c r="R1792">
        <v>0</v>
      </c>
      <c r="S1792">
        <v>0</v>
      </c>
      <c r="T1792">
        <v>0.13789999999999999</v>
      </c>
      <c r="U1792">
        <v>-0.54979999999999996</v>
      </c>
      <c r="V1792">
        <v>2.7000000000000001E-3</v>
      </c>
      <c r="W1792">
        <v>-3.7425000000000002</v>
      </c>
      <c r="X1792">
        <v>4.2248999999999999</v>
      </c>
      <c r="Y1792">
        <v>-0.88370000000000004</v>
      </c>
      <c r="Z1792">
        <v>9</v>
      </c>
      <c r="AA1792">
        <v>70</v>
      </c>
      <c r="AB1792">
        <v>6</v>
      </c>
      <c r="AC1792">
        <v>70.599999999999994</v>
      </c>
      <c r="AD1792">
        <v>0</v>
      </c>
      <c r="AE1792">
        <v>0</v>
      </c>
      <c r="AF1792">
        <v>60.867100000000001</v>
      </c>
      <c r="AG1792">
        <v>27</v>
      </c>
      <c r="AH1792">
        <v>0</v>
      </c>
    </row>
    <row r="1793" spans="1:34" x14ac:dyDescent="0.35">
      <c r="A1793" t="s">
        <v>34</v>
      </c>
      <c r="B1793" s="1">
        <v>46146.65625</v>
      </c>
      <c r="C1793" t="s">
        <v>34</v>
      </c>
      <c r="D1793" s="1">
        <v>46154.625</v>
      </c>
      <c r="E1793">
        <v>7230</v>
      </c>
      <c r="F1793" t="s">
        <v>36</v>
      </c>
      <c r="G1793">
        <v>56.62</v>
      </c>
      <c r="H1793">
        <v>72.819999999999993</v>
      </c>
      <c r="I1793">
        <v>56.62</v>
      </c>
      <c r="J1793">
        <v>72.819999999999993</v>
      </c>
      <c r="K1793">
        <v>42</v>
      </c>
      <c r="L1793">
        <v>7</v>
      </c>
      <c r="M1793">
        <v>71.599999999999994</v>
      </c>
      <c r="N1793">
        <v>1</v>
      </c>
      <c r="O1793">
        <v>72.099999999999994</v>
      </c>
      <c r="P1793">
        <v>0</v>
      </c>
      <c r="Q1793">
        <v>0</v>
      </c>
      <c r="R1793">
        <v>0</v>
      </c>
      <c r="S1793">
        <v>0</v>
      </c>
      <c r="T1793">
        <v>0.13669999999999999</v>
      </c>
      <c r="U1793">
        <v>-0.5635</v>
      </c>
      <c r="V1793">
        <v>2.7000000000000001E-3</v>
      </c>
      <c r="W1793">
        <v>-3.6911</v>
      </c>
      <c r="X1793">
        <v>4.2051999999999996</v>
      </c>
      <c r="Y1793">
        <v>-0.90610000000000002</v>
      </c>
      <c r="Z1793">
        <v>9</v>
      </c>
      <c r="AA1793">
        <v>72.400000000000006</v>
      </c>
      <c r="AB1793">
        <v>6</v>
      </c>
      <c r="AC1793">
        <v>73</v>
      </c>
      <c r="AD1793">
        <v>0</v>
      </c>
      <c r="AE1793">
        <v>0</v>
      </c>
      <c r="AF1793">
        <v>72.338999999999999</v>
      </c>
      <c r="AG1793">
        <v>60</v>
      </c>
      <c r="AH1793">
        <v>0</v>
      </c>
    </row>
    <row r="1794" spans="1:34" x14ac:dyDescent="0.35">
      <c r="A1794" t="s">
        <v>34</v>
      </c>
      <c r="B1794" s="1">
        <v>46146.65625</v>
      </c>
      <c r="C1794" t="s">
        <v>34</v>
      </c>
      <c r="D1794" s="1">
        <v>46154.625</v>
      </c>
      <c r="E1794">
        <v>7235</v>
      </c>
      <c r="F1794" t="s">
        <v>36</v>
      </c>
      <c r="G1794">
        <v>65.3</v>
      </c>
      <c r="H1794">
        <v>77.099999999999994</v>
      </c>
      <c r="I1794">
        <v>65.3</v>
      </c>
      <c r="J1794">
        <v>77.099999999999994</v>
      </c>
      <c r="K1794">
        <v>14</v>
      </c>
      <c r="L1794">
        <v>7</v>
      </c>
      <c r="M1794">
        <v>74</v>
      </c>
      <c r="N1794">
        <v>1</v>
      </c>
      <c r="O1794">
        <v>74.5</v>
      </c>
      <c r="P1794">
        <v>0</v>
      </c>
      <c r="Q1794">
        <v>0</v>
      </c>
      <c r="R1794">
        <v>0</v>
      </c>
      <c r="S1794">
        <v>0</v>
      </c>
      <c r="T1794">
        <v>0.13539999999999999</v>
      </c>
      <c r="U1794">
        <v>-0.57779999999999998</v>
      </c>
      <c r="V1794">
        <v>2.7000000000000001E-3</v>
      </c>
      <c r="W1794">
        <v>-3.6307999999999998</v>
      </c>
      <c r="X1794">
        <v>4.1792999999999996</v>
      </c>
      <c r="Y1794">
        <v>-0.92959999999999998</v>
      </c>
      <c r="Z1794">
        <v>8</v>
      </c>
      <c r="AA1794">
        <v>74.900000000000006</v>
      </c>
      <c r="AB1794">
        <v>6</v>
      </c>
      <c r="AC1794">
        <v>75.400000000000006</v>
      </c>
      <c r="AD1794">
        <v>0</v>
      </c>
      <c r="AE1794">
        <v>0</v>
      </c>
      <c r="AF1794">
        <v>68.628600000000006</v>
      </c>
      <c r="AG1794">
        <v>3</v>
      </c>
      <c r="AH1794">
        <v>0</v>
      </c>
    </row>
    <row r="1795" spans="1:34" x14ac:dyDescent="0.35">
      <c r="A1795" t="s">
        <v>34</v>
      </c>
      <c r="B1795" s="1">
        <v>46146.65625</v>
      </c>
      <c r="C1795" t="s">
        <v>34</v>
      </c>
      <c r="D1795" s="1">
        <v>46154.625</v>
      </c>
      <c r="E1795">
        <v>7240</v>
      </c>
      <c r="F1795" t="s">
        <v>36</v>
      </c>
      <c r="G1795">
        <v>66.77</v>
      </c>
      <c r="H1795">
        <v>82.3</v>
      </c>
      <c r="I1795">
        <v>52.3</v>
      </c>
      <c r="J1795">
        <v>73.040000000000006</v>
      </c>
      <c r="K1795">
        <v>139</v>
      </c>
      <c r="L1795">
        <v>18</v>
      </c>
      <c r="M1795">
        <v>76.400000000000006</v>
      </c>
      <c r="N1795">
        <v>8</v>
      </c>
      <c r="O1795">
        <v>77</v>
      </c>
      <c r="P1795">
        <v>0</v>
      </c>
      <c r="Q1795">
        <v>0</v>
      </c>
      <c r="R1795">
        <v>0</v>
      </c>
      <c r="S1795">
        <v>0</v>
      </c>
      <c r="T1795">
        <v>0.13439999999999999</v>
      </c>
      <c r="U1795">
        <v>-0.59189999999999998</v>
      </c>
      <c r="V1795">
        <v>2.7000000000000001E-3</v>
      </c>
      <c r="W1795">
        <v>-3.5735000000000001</v>
      </c>
      <c r="X1795">
        <v>4.149</v>
      </c>
      <c r="Y1795">
        <v>-0.95250000000000001</v>
      </c>
      <c r="Z1795">
        <v>8</v>
      </c>
      <c r="AA1795">
        <v>77.400000000000006</v>
      </c>
      <c r="AB1795">
        <v>6</v>
      </c>
      <c r="AC1795">
        <v>78</v>
      </c>
      <c r="AD1795">
        <v>0</v>
      </c>
      <c r="AE1795">
        <v>0</v>
      </c>
      <c r="AF1795">
        <v>56.974200000000003</v>
      </c>
      <c r="AG1795">
        <v>22</v>
      </c>
      <c r="AH1795">
        <v>0</v>
      </c>
    </row>
    <row r="1796" spans="1:34" x14ac:dyDescent="0.35">
      <c r="A1796" t="s">
        <v>34</v>
      </c>
      <c r="B1796" s="1">
        <v>46146.65625</v>
      </c>
      <c r="C1796" t="s">
        <v>34</v>
      </c>
      <c r="D1796" s="1">
        <v>46154.625</v>
      </c>
      <c r="E1796">
        <v>7245</v>
      </c>
      <c r="F1796" t="s">
        <v>36</v>
      </c>
      <c r="G1796">
        <v>68.489999999999995</v>
      </c>
      <c r="H1796">
        <v>84.65</v>
      </c>
      <c r="I1796">
        <v>58.17</v>
      </c>
      <c r="J1796">
        <v>80.72</v>
      </c>
      <c r="K1796">
        <v>27</v>
      </c>
      <c r="L1796">
        <v>6</v>
      </c>
      <c r="M1796">
        <v>79</v>
      </c>
      <c r="N1796">
        <v>6</v>
      </c>
      <c r="O1796">
        <v>79.599999999999994</v>
      </c>
      <c r="P1796">
        <v>0</v>
      </c>
      <c r="Q1796">
        <v>0</v>
      </c>
      <c r="R1796">
        <v>0</v>
      </c>
      <c r="S1796">
        <v>0</v>
      </c>
      <c r="T1796">
        <v>0.13339999999999999</v>
      </c>
      <c r="U1796">
        <v>-0.60609999999999997</v>
      </c>
      <c r="V1796">
        <v>2.7000000000000001E-3</v>
      </c>
      <c r="W1796">
        <v>-3.5099</v>
      </c>
      <c r="X1796">
        <v>4.1138000000000003</v>
      </c>
      <c r="Y1796">
        <v>-0.97529999999999994</v>
      </c>
      <c r="Z1796">
        <v>7</v>
      </c>
      <c r="AA1796">
        <v>80</v>
      </c>
      <c r="AB1796">
        <v>5</v>
      </c>
      <c r="AC1796">
        <v>80.599999999999994</v>
      </c>
      <c r="AD1796">
        <v>0</v>
      </c>
      <c r="AE1796">
        <v>0</v>
      </c>
      <c r="AF1796">
        <v>73.978499999999997</v>
      </c>
      <c r="AG1796">
        <v>28</v>
      </c>
      <c r="AH1796">
        <v>0</v>
      </c>
    </row>
    <row r="1797" spans="1:34" x14ac:dyDescent="0.35">
      <c r="A1797" t="s">
        <v>34</v>
      </c>
      <c r="B1797" s="1">
        <v>46146.65625</v>
      </c>
      <c r="C1797" t="s">
        <v>34</v>
      </c>
      <c r="D1797" s="1">
        <v>46154.625</v>
      </c>
      <c r="E1797">
        <v>7250</v>
      </c>
      <c r="F1797" t="s">
        <v>36</v>
      </c>
      <c r="G1797">
        <v>65.64</v>
      </c>
      <c r="H1797">
        <v>81.5</v>
      </c>
      <c r="I1797">
        <v>58.12</v>
      </c>
      <c r="J1797">
        <v>80.13</v>
      </c>
      <c r="K1797">
        <v>5</v>
      </c>
      <c r="L1797">
        <v>6</v>
      </c>
      <c r="M1797">
        <v>81.8</v>
      </c>
      <c r="N1797">
        <v>6</v>
      </c>
      <c r="O1797">
        <v>82.2</v>
      </c>
      <c r="P1797">
        <v>0</v>
      </c>
      <c r="Q1797">
        <v>0</v>
      </c>
      <c r="R1797">
        <v>0</v>
      </c>
      <c r="S1797">
        <v>0</v>
      </c>
      <c r="T1797">
        <v>0.13239999999999999</v>
      </c>
      <c r="U1797">
        <v>-0.62029999999999996</v>
      </c>
      <c r="V1797">
        <v>2.7000000000000001E-3</v>
      </c>
      <c r="W1797">
        <v>-3.4434</v>
      </c>
      <c r="X1797">
        <v>4.0732999999999997</v>
      </c>
      <c r="Y1797">
        <v>-0.99819999999999998</v>
      </c>
      <c r="Z1797">
        <v>6</v>
      </c>
      <c r="AA1797">
        <v>82.8</v>
      </c>
      <c r="AB1797">
        <v>5</v>
      </c>
      <c r="AC1797">
        <v>83.4</v>
      </c>
      <c r="AD1797">
        <v>0</v>
      </c>
      <c r="AE1797">
        <v>0</v>
      </c>
      <c r="AF1797">
        <v>72.524000000000001</v>
      </c>
      <c r="AG1797">
        <v>11</v>
      </c>
      <c r="AH1797">
        <v>0</v>
      </c>
    </row>
    <row r="1798" spans="1:34" x14ac:dyDescent="0.35">
      <c r="A1798" t="s">
        <v>34</v>
      </c>
      <c r="B1798" s="1">
        <v>46146.65625</v>
      </c>
      <c r="C1798" t="s">
        <v>34</v>
      </c>
      <c r="D1798" s="1">
        <v>46154.625</v>
      </c>
      <c r="E1798">
        <v>7255</v>
      </c>
      <c r="F1798" t="s">
        <v>36</v>
      </c>
      <c r="G1798">
        <v>68.459999999999994</v>
      </c>
      <c r="H1798">
        <v>87.42</v>
      </c>
      <c r="I1798">
        <v>60.6</v>
      </c>
      <c r="J1798">
        <v>87.42</v>
      </c>
      <c r="K1798">
        <v>4</v>
      </c>
      <c r="L1798">
        <v>5</v>
      </c>
      <c r="M1798">
        <v>84.4</v>
      </c>
      <c r="N1798">
        <v>5</v>
      </c>
      <c r="O1798">
        <v>85</v>
      </c>
      <c r="P1798">
        <v>0</v>
      </c>
      <c r="Q1798">
        <v>0</v>
      </c>
      <c r="R1798">
        <v>0</v>
      </c>
      <c r="S1798">
        <v>0</v>
      </c>
      <c r="T1798">
        <v>0.13120000000000001</v>
      </c>
      <c r="U1798">
        <v>-0.63470000000000004</v>
      </c>
      <c r="V1798">
        <v>2.7000000000000001E-3</v>
      </c>
      <c r="W1798">
        <v>-3.3668</v>
      </c>
      <c r="X1798">
        <v>4.0259999999999998</v>
      </c>
      <c r="Y1798">
        <v>-1.0219</v>
      </c>
      <c r="Z1798">
        <v>6</v>
      </c>
      <c r="AA1798">
        <v>85.5</v>
      </c>
      <c r="AB1798">
        <v>5</v>
      </c>
      <c r="AC1798">
        <v>86.2</v>
      </c>
      <c r="AD1798">
        <v>0</v>
      </c>
      <c r="AE1798">
        <v>0</v>
      </c>
      <c r="AF1798">
        <v>75.974999999999994</v>
      </c>
      <c r="AG1798">
        <v>55</v>
      </c>
      <c r="AH1798">
        <v>0</v>
      </c>
    </row>
    <row r="1799" spans="1:34" x14ac:dyDescent="0.35">
      <c r="A1799" t="s">
        <v>34</v>
      </c>
      <c r="B1799" s="1">
        <v>46146.65625</v>
      </c>
      <c r="C1799" t="s">
        <v>34</v>
      </c>
      <c r="D1799" s="1">
        <v>46154.625</v>
      </c>
      <c r="E1799">
        <v>7260</v>
      </c>
      <c r="F1799" t="s">
        <v>36</v>
      </c>
      <c r="G1799">
        <v>71.010000000000005</v>
      </c>
      <c r="H1799">
        <v>90.28</v>
      </c>
      <c r="I1799">
        <v>62.85</v>
      </c>
      <c r="J1799">
        <v>90.28</v>
      </c>
      <c r="K1799">
        <v>8</v>
      </c>
      <c r="L1799">
        <v>5</v>
      </c>
      <c r="M1799">
        <v>87.2</v>
      </c>
      <c r="N1799">
        <v>5</v>
      </c>
      <c r="O1799">
        <v>87.8</v>
      </c>
      <c r="P1799">
        <v>0</v>
      </c>
      <c r="Q1799">
        <v>0</v>
      </c>
      <c r="R1799">
        <v>0</v>
      </c>
      <c r="S1799">
        <v>0</v>
      </c>
      <c r="T1799">
        <v>0.13009999999999999</v>
      </c>
      <c r="U1799">
        <v>-0.64910000000000001</v>
      </c>
      <c r="V1799">
        <v>2.7000000000000001E-3</v>
      </c>
      <c r="W1799">
        <v>-3.2869999999999999</v>
      </c>
      <c r="X1799">
        <v>3.9727000000000001</v>
      </c>
      <c r="Y1799">
        <v>-1.0457000000000001</v>
      </c>
      <c r="Z1799">
        <v>5</v>
      </c>
      <c r="AA1799">
        <v>88.4</v>
      </c>
      <c r="AB1799">
        <v>4</v>
      </c>
      <c r="AC1799">
        <v>89</v>
      </c>
      <c r="AD1799">
        <v>0</v>
      </c>
      <c r="AE1799">
        <v>0</v>
      </c>
      <c r="AF1799">
        <v>77.166300000000007</v>
      </c>
      <c r="AG1799">
        <v>16</v>
      </c>
      <c r="AH1799">
        <v>0</v>
      </c>
    </row>
    <row r="1800" spans="1:34" x14ac:dyDescent="0.35">
      <c r="A1800" t="s">
        <v>34</v>
      </c>
      <c r="B1800" s="1">
        <v>46146.65625</v>
      </c>
      <c r="C1800" t="s">
        <v>34</v>
      </c>
      <c r="D1800" s="1">
        <v>46154.625</v>
      </c>
      <c r="E1800">
        <v>7265</v>
      </c>
      <c r="F1800" t="s">
        <v>36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4</v>
      </c>
      <c r="M1800">
        <v>90.2</v>
      </c>
      <c r="N1800">
        <v>4</v>
      </c>
      <c r="O1800">
        <v>90.8</v>
      </c>
      <c r="P1800">
        <v>0</v>
      </c>
      <c r="Q1800">
        <v>0</v>
      </c>
      <c r="R1800">
        <v>0</v>
      </c>
      <c r="S1800">
        <v>0</v>
      </c>
      <c r="T1800">
        <v>0.12920000000000001</v>
      </c>
      <c r="U1800">
        <v>-0.66339999999999999</v>
      </c>
      <c r="V1800">
        <v>2.5999999999999999E-3</v>
      </c>
      <c r="W1800">
        <v>-3.2082000000000002</v>
      </c>
      <c r="X1800">
        <v>3.9150999999999998</v>
      </c>
      <c r="Y1800">
        <v>-1.0689</v>
      </c>
      <c r="Z1800">
        <v>5</v>
      </c>
      <c r="AA1800">
        <v>91.3</v>
      </c>
      <c r="AB1800">
        <v>3</v>
      </c>
      <c r="AC1800">
        <v>91.8</v>
      </c>
      <c r="AD1800">
        <v>0</v>
      </c>
      <c r="AE1800">
        <v>0</v>
      </c>
      <c r="AF1800">
        <v>0</v>
      </c>
      <c r="AG1800">
        <v>10</v>
      </c>
      <c r="AH1800">
        <v>0</v>
      </c>
    </row>
    <row r="1801" spans="1:34" x14ac:dyDescent="0.35">
      <c r="A1801" t="s">
        <v>34</v>
      </c>
      <c r="B1801" s="1">
        <v>46146.65625</v>
      </c>
      <c r="C1801" t="s">
        <v>34</v>
      </c>
      <c r="D1801" s="1">
        <v>46154.625</v>
      </c>
      <c r="E1801">
        <v>7270</v>
      </c>
      <c r="F1801" t="s">
        <v>36</v>
      </c>
      <c r="G1801">
        <v>95.12</v>
      </c>
      <c r="H1801">
        <v>95.12</v>
      </c>
      <c r="I1801">
        <v>90.33</v>
      </c>
      <c r="J1801">
        <v>90.33</v>
      </c>
      <c r="K1801">
        <v>2</v>
      </c>
      <c r="L1801">
        <v>3</v>
      </c>
      <c r="M1801">
        <v>93.2</v>
      </c>
      <c r="N1801">
        <v>3</v>
      </c>
      <c r="O1801">
        <v>93.8</v>
      </c>
      <c r="P1801">
        <v>0</v>
      </c>
      <c r="Q1801">
        <v>0</v>
      </c>
      <c r="R1801">
        <v>0</v>
      </c>
      <c r="S1801">
        <v>0</v>
      </c>
      <c r="T1801">
        <v>0.128</v>
      </c>
      <c r="U1801">
        <v>-0.67779999999999996</v>
      </c>
      <c r="V1801">
        <v>2.5999999999999999E-3</v>
      </c>
      <c r="W1801">
        <v>-3.1191</v>
      </c>
      <c r="X1801">
        <v>3.8517999999999999</v>
      </c>
      <c r="Y1801">
        <v>-1.0922000000000001</v>
      </c>
      <c r="Z1801">
        <v>4</v>
      </c>
      <c r="AA1801">
        <v>94.3</v>
      </c>
      <c r="AB1801">
        <v>3</v>
      </c>
      <c r="AC1801">
        <v>95</v>
      </c>
      <c r="AD1801">
        <v>0</v>
      </c>
      <c r="AE1801">
        <v>0</v>
      </c>
      <c r="AF1801">
        <v>92.724999999999994</v>
      </c>
      <c r="AG1801">
        <v>42</v>
      </c>
      <c r="AH1801">
        <v>0</v>
      </c>
    </row>
    <row r="1802" spans="1:34" x14ac:dyDescent="0.35">
      <c r="A1802" t="s">
        <v>34</v>
      </c>
      <c r="B1802" s="1">
        <v>46146.65625</v>
      </c>
      <c r="C1802" t="s">
        <v>34</v>
      </c>
      <c r="D1802" s="1">
        <v>46154.625</v>
      </c>
      <c r="E1802">
        <v>7275</v>
      </c>
      <c r="F1802" t="s">
        <v>36</v>
      </c>
      <c r="G1802">
        <v>69.13</v>
      </c>
      <c r="H1802">
        <v>101.1</v>
      </c>
      <c r="I1802">
        <v>69.13</v>
      </c>
      <c r="J1802">
        <v>101.1</v>
      </c>
      <c r="K1802">
        <v>5</v>
      </c>
      <c r="L1802">
        <v>3</v>
      </c>
      <c r="M1802">
        <v>96.2</v>
      </c>
      <c r="N1802">
        <v>3</v>
      </c>
      <c r="O1802">
        <v>96.8</v>
      </c>
      <c r="P1802">
        <v>0</v>
      </c>
      <c r="Q1802">
        <v>0</v>
      </c>
      <c r="R1802">
        <v>0</v>
      </c>
      <c r="S1802">
        <v>0</v>
      </c>
      <c r="T1802">
        <v>0.1268</v>
      </c>
      <c r="U1802">
        <v>-0.69240000000000002</v>
      </c>
      <c r="V1802">
        <v>2.5999999999999999E-3</v>
      </c>
      <c r="W1802">
        <v>-3.0236000000000001</v>
      </c>
      <c r="X1802">
        <v>3.7820999999999998</v>
      </c>
      <c r="Y1802">
        <v>-1.1158999999999999</v>
      </c>
      <c r="Z1802">
        <v>15</v>
      </c>
      <c r="AA1802">
        <v>95.5</v>
      </c>
      <c r="AB1802">
        <v>8</v>
      </c>
      <c r="AC1802">
        <v>99.4</v>
      </c>
      <c r="AD1802">
        <v>0</v>
      </c>
      <c r="AE1802">
        <v>0</v>
      </c>
      <c r="AF1802">
        <v>88.311999999999998</v>
      </c>
      <c r="AG1802">
        <v>7</v>
      </c>
      <c r="AH1802">
        <v>0</v>
      </c>
    </row>
    <row r="1803" spans="1:34" x14ac:dyDescent="0.35">
      <c r="A1803" t="s">
        <v>34</v>
      </c>
      <c r="B1803" s="1">
        <v>46146.65625</v>
      </c>
      <c r="C1803" t="s">
        <v>34</v>
      </c>
      <c r="D1803" s="1">
        <v>46154.625</v>
      </c>
      <c r="E1803">
        <v>7280</v>
      </c>
      <c r="F1803" t="s">
        <v>36</v>
      </c>
      <c r="G1803">
        <v>96.55</v>
      </c>
      <c r="H1803">
        <v>96.55</v>
      </c>
      <c r="I1803">
        <v>96.55</v>
      </c>
      <c r="J1803">
        <v>96.55</v>
      </c>
      <c r="K1803">
        <v>1</v>
      </c>
      <c r="L1803">
        <v>10</v>
      </c>
      <c r="M1803">
        <v>97.5</v>
      </c>
      <c r="N1803">
        <v>15</v>
      </c>
      <c r="O1803">
        <v>101.5</v>
      </c>
      <c r="P1803">
        <v>0</v>
      </c>
      <c r="Q1803">
        <v>0</v>
      </c>
      <c r="R1803">
        <v>0</v>
      </c>
      <c r="S1803">
        <v>0</v>
      </c>
      <c r="T1803">
        <v>0.12590000000000001</v>
      </c>
      <c r="U1803">
        <v>-0.70640000000000003</v>
      </c>
      <c r="V1803">
        <v>2.5999999999999999E-3</v>
      </c>
      <c r="W1803">
        <v>-2.9340000000000002</v>
      </c>
      <c r="X1803">
        <v>3.7078000000000002</v>
      </c>
      <c r="Y1803">
        <v>-1.1391</v>
      </c>
      <c r="Z1803">
        <v>15</v>
      </c>
      <c r="AA1803">
        <v>98.6</v>
      </c>
      <c r="AB1803">
        <v>8</v>
      </c>
      <c r="AC1803">
        <v>102.6</v>
      </c>
      <c r="AD1803">
        <v>0</v>
      </c>
      <c r="AE1803">
        <v>0</v>
      </c>
      <c r="AF1803">
        <v>96.55</v>
      </c>
      <c r="AG1803">
        <v>1</v>
      </c>
      <c r="AH1803">
        <v>0</v>
      </c>
    </row>
    <row r="1804" spans="1:34" x14ac:dyDescent="0.35">
      <c r="A1804" t="s">
        <v>34</v>
      </c>
      <c r="B1804" s="1">
        <v>46146.65625</v>
      </c>
      <c r="C1804" t="s">
        <v>34</v>
      </c>
      <c r="D1804" s="1">
        <v>46154.625</v>
      </c>
      <c r="E1804">
        <v>7285</v>
      </c>
      <c r="F1804" t="s">
        <v>36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1</v>
      </c>
      <c r="M1804">
        <v>100.6</v>
      </c>
      <c r="N1804">
        <v>7</v>
      </c>
      <c r="O1804">
        <v>104.7</v>
      </c>
      <c r="P1804">
        <v>0</v>
      </c>
      <c r="Q1804">
        <v>0</v>
      </c>
      <c r="R1804">
        <v>0</v>
      </c>
      <c r="S1804">
        <v>0</v>
      </c>
      <c r="T1804">
        <v>0.12470000000000001</v>
      </c>
      <c r="U1804">
        <v>-0.72089999999999999</v>
      </c>
      <c r="V1804">
        <v>2.5000000000000001E-3</v>
      </c>
      <c r="W1804">
        <v>-2.8296000000000001</v>
      </c>
      <c r="X1804">
        <v>3.6248999999999998</v>
      </c>
      <c r="Y1804">
        <v>-1.1629</v>
      </c>
      <c r="Z1804">
        <v>7</v>
      </c>
      <c r="AA1804">
        <v>101.8</v>
      </c>
      <c r="AB1804">
        <v>7</v>
      </c>
      <c r="AC1804">
        <v>106.3</v>
      </c>
      <c r="AD1804">
        <v>0</v>
      </c>
      <c r="AE1804">
        <v>0</v>
      </c>
      <c r="AF1804">
        <v>0</v>
      </c>
      <c r="AG1804">
        <v>0</v>
      </c>
      <c r="AH1804">
        <v>0</v>
      </c>
    </row>
    <row r="1805" spans="1:34" x14ac:dyDescent="0.35">
      <c r="A1805" t="s">
        <v>34</v>
      </c>
      <c r="B1805" s="1">
        <v>46146.65625</v>
      </c>
      <c r="C1805" t="s">
        <v>34</v>
      </c>
      <c r="D1805" s="1">
        <v>46154.625</v>
      </c>
      <c r="E1805">
        <v>7290</v>
      </c>
      <c r="F1805" t="s">
        <v>36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9</v>
      </c>
      <c r="M1805">
        <v>104</v>
      </c>
      <c r="N1805">
        <v>7</v>
      </c>
      <c r="O1805">
        <v>107.8</v>
      </c>
      <c r="P1805">
        <v>0</v>
      </c>
      <c r="Q1805">
        <v>0</v>
      </c>
      <c r="R1805">
        <v>0</v>
      </c>
      <c r="S1805">
        <v>0</v>
      </c>
      <c r="T1805">
        <v>0.1235</v>
      </c>
      <c r="U1805">
        <v>-0.73499999999999999</v>
      </c>
      <c r="V1805">
        <v>2.5000000000000001E-3</v>
      </c>
      <c r="W1805">
        <v>-2.7258</v>
      </c>
      <c r="X1805">
        <v>3.5392000000000001</v>
      </c>
      <c r="Y1805">
        <v>-1.1857</v>
      </c>
      <c r="Z1805">
        <v>13</v>
      </c>
      <c r="AA1805">
        <v>105.1</v>
      </c>
      <c r="AB1805">
        <v>13</v>
      </c>
      <c r="AC1805">
        <v>109.6</v>
      </c>
      <c r="AD1805">
        <v>0</v>
      </c>
      <c r="AE1805">
        <v>0</v>
      </c>
      <c r="AF1805">
        <v>0</v>
      </c>
      <c r="AG1805">
        <v>12</v>
      </c>
      <c r="AH1805">
        <v>0</v>
      </c>
    </row>
    <row r="1806" spans="1:34" x14ac:dyDescent="0.35">
      <c r="A1806" t="s">
        <v>34</v>
      </c>
      <c r="B1806" s="1">
        <v>46146.65625</v>
      </c>
      <c r="C1806" t="s">
        <v>34</v>
      </c>
      <c r="D1806" s="1">
        <v>46154.625</v>
      </c>
      <c r="E1806">
        <v>7295</v>
      </c>
      <c r="F1806" t="s">
        <v>36</v>
      </c>
      <c r="G1806">
        <v>109.5</v>
      </c>
      <c r="H1806">
        <v>111.9</v>
      </c>
      <c r="I1806">
        <v>109.5</v>
      </c>
      <c r="J1806">
        <v>111.9</v>
      </c>
      <c r="K1806">
        <v>5</v>
      </c>
      <c r="L1806">
        <v>1</v>
      </c>
      <c r="M1806">
        <v>107.3</v>
      </c>
      <c r="N1806">
        <v>7</v>
      </c>
      <c r="O1806">
        <v>111.3</v>
      </c>
      <c r="P1806">
        <v>0</v>
      </c>
      <c r="Q1806">
        <v>0</v>
      </c>
      <c r="R1806">
        <v>0</v>
      </c>
      <c r="S1806">
        <v>0</v>
      </c>
      <c r="T1806">
        <v>0.1225</v>
      </c>
      <c r="U1806">
        <v>-0.74880000000000002</v>
      </c>
      <c r="V1806">
        <v>2.3999999999999998E-3</v>
      </c>
      <c r="W1806">
        <v>-2.6230000000000002</v>
      </c>
      <c r="X1806">
        <v>3.4499</v>
      </c>
      <c r="Y1806">
        <v>-1.2082999999999999</v>
      </c>
      <c r="Z1806">
        <v>7</v>
      </c>
      <c r="AA1806">
        <v>108.5</v>
      </c>
      <c r="AB1806">
        <v>7</v>
      </c>
      <c r="AC1806">
        <v>113.2</v>
      </c>
      <c r="AD1806">
        <v>0</v>
      </c>
      <c r="AE1806">
        <v>0</v>
      </c>
      <c r="AF1806">
        <v>110.54</v>
      </c>
      <c r="AG1806">
        <v>0</v>
      </c>
      <c r="AH1806">
        <v>0</v>
      </c>
    </row>
    <row r="1807" spans="1:34" x14ac:dyDescent="0.35">
      <c r="A1807" t="s">
        <v>34</v>
      </c>
      <c r="B1807" s="1">
        <v>46146.65625</v>
      </c>
      <c r="C1807" t="s">
        <v>34</v>
      </c>
      <c r="D1807" s="1">
        <v>46154.625</v>
      </c>
      <c r="E1807">
        <v>7300</v>
      </c>
      <c r="F1807" t="s">
        <v>36</v>
      </c>
      <c r="G1807">
        <v>124.88</v>
      </c>
      <c r="H1807">
        <v>124.88</v>
      </c>
      <c r="I1807">
        <v>124.88</v>
      </c>
      <c r="J1807">
        <v>124.88</v>
      </c>
      <c r="K1807">
        <v>30</v>
      </c>
      <c r="L1807">
        <v>1</v>
      </c>
      <c r="M1807">
        <v>110.8</v>
      </c>
      <c r="N1807">
        <v>7</v>
      </c>
      <c r="O1807">
        <v>115</v>
      </c>
      <c r="P1807">
        <v>0</v>
      </c>
      <c r="Q1807">
        <v>0</v>
      </c>
      <c r="R1807">
        <v>0</v>
      </c>
      <c r="S1807">
        <v>0</v>
      </c>
      <c r="T1807">
        <v>0.12189999999999999</v>
      </c>
      <c r="U1807">
        <v>-0.76200000000000001</v>
      </c>
      <c r="V1807">
        <v>2.3999999999999998E-3</v>
      </c>
      <c r="W1807">
        <v>-2.5270000000000001</v>
      </c>
      <c r="X1807">
        <v>3.3580000000000001</v>
      </c>
      <c r="Y1807">
        <v>-1.2301</v>
      </c>
      <c r="Z1807">
        <v>7</v>
      </c>
      <c r="AA1807">
        <v>112</v>
      </c>
      <c r="AB1807">
        <v>7</v>
      </c>
      <c r="AC1807">
        <v>116.6</v>
      </c>
      <c r="AD1807">
        <v>0</v>
      </c>
      <c r="AE1807">
        <v>0</v>
      </c>
      <c r="AF1807">
        <v>124.88</v>
      </c>
      <c r="AG1807">
        <v>3</v>
      </c>
      <c r="AH1807">
        <v>0</v>
      </c>
    </row>
    <row r="1808" spans="1:34" x14ac:dyDescent="0.35">
      <c r="A1808" t="s">
        <v>34</v>
      </c>
      <c r="B1808" s="1">
        <v>46146.65625</v>
      </c>
      <c r="C1808" t="s">
        <v>34</v>
      </c>
      <c r="D1808" s="1">
        <v>46154.625</v>
      </c>
      <c r="E1808">
        <v>7305</v>
      </c>
      <c r="F1808" t="s">
        <v>36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1</v>
      </c>
      <c r="M1808">
        <v>114.5</v>
      </c>
      <c r="N1808">
        <v>7</v>
      </c>
      <c r="O1808">
        <v>118.4</v>
      </c>
      <c r="P1808">
        <v>0</v>
      </c>
      <c r="Q1808">
        <v>0</v>
      </c>
      <c r="R1808">
        <v>0</v>
      </c>
      <c r="S1808">
        <v>0</v>
      </c>
      <c r="T1808">
        <v>0.12089999999999999</v>
      </c>
      <c r="U1808">
        <v>-0.77539999999999998</v>
      </c>
      <c r="V1808">
        <v>2.3E-3</v>
      </c>
      <c r="W1808">
        <v>-2.4192</v>
      </c>
      <c r="X1808">
        <v>3.2574000000000001</v>
      </c>
      <c r="Y1808">
        <v>-1.2523</v>
      </c>
      <c r="Z1808">
        <v>7</v>
      </c>
      <c r="AA1808">
        <v>115.5</v>
      </c>
      <c r="AB1808">
        <v>7</v>
      </c>
      <c r="AC1808">
        <v>120.3</v>
      </c>
      <c r="AD1808">
        <v>0</v>
      </c>
      <c r="AE1808">
        <v>0</v>
      </c>
      <c r="AF1808">
        <v>0</v>
      </c>
      <c r="AG1808">
        <v>0</v>
      </c>
      <c r="AH1808">
        <v>0</v>
      </c>
    </row>
    <row r="1809" spans="1:34" x14ac:dyDescent="0.35">
      <c r="A1809" t="s">
        <v>34</v>
      </c>
      <c r="B1809" s="1">
        <v>46146.65625</v>
      </c>
      <c r="C1809" t="s">
        <v>34</v>
      </c>
      <c r="D1809" s="1">
        <v>46154.625</v>
      </c>
      <c r="E1809">
        <v>7310</v>
      </c>
      <c r="F1809" t="s">
        <v>36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117.9</v>
      </c>
      <c r="N1809">
        <v>7</v>
      </c>
      <c r="O1809">
        <v>122.2</v>
      </c>
      <c r="P1809">
        <v>0</v>
      </c>
      <c r="Q1809">
        <v>0</v>
      </c>
      <c r="R1809">
        <v>0</v>
      </c>
      <c r="S1809">
        <v>0</v>
      </c>
      <c r="T1809">
        <v>0.1198</v>
      </c>
      <c r="U1809">
        <v>-0.78879999999999995</v>
      </c>
      <c r="V1809">
        <v>2.3E-3</v>
      </c>
      <c r="W1809">
        <v>-2.3065000000000002</v>
      </c>
      <c r="X1809">
        <v>3.1522000000000001</v>
      </c>
      <c r="Y1809">
        <v>-1.274</v>
      </c>
      <c r="Z1809">
        <v>7</v>
      </c>
      <c r="AA1809">
        <v>119.1</v>
      </c>
      <c r="AB1809">
        <v>7</v>
      </c>
      <c r="AC1809">
        <v>123.9</v>
      </c>
      <c r="AD1809">
        <v>0</v>
      </c>
      <c r="AE1809">
        <v>0</v>
      </c>
      <c r="AF1809">
        <v>0</v>
      </c>
      <c r="AG1809">
        <v>0</v>
      </c>
      <c r="AH1809">
        <v>0</v>
      </c>
    </row>
    <row r="1810" spans="1:34" x14ac:dyDescent="0.35">
      <c r="A1810" t="s">
        <v>34</v>
      </c>
      <c r="B1810" s="1">
        <v>46146.65625</v>
      </c>
      <c r="C1810" t="s">
        <v>34</v>
      </c>
      <c r="D1810" s="1">
        <v>46154.625</v>
      </c>
      <c r="E1810">
        <v>7315</v>
      </c>
      <c r="F1810" t="s">
        <v>36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1</v>
      </c>
      <c r="M1810">
        <v>121.6</v>
      </c>
      <c r="N1810">
        <v>7</v>
      </c>
      <c r="O1810">
        <v>126.2</v>
      </c>
      <c r="P1810">
        <v>0</v>
      </c>
      <c r="Q1810">
        <v>0</v>
      </c>
      <c r="R1810">
        <v>0</v>
      </c>
      <c r="S1810">
        <v>0</v>
      </c>
      <c r="T1810">
        <v>0.11840000000000001</v>
      </c>
      <c r="U1810">
        <v>-0.8024</v>
      </c>
      <c r="V1810">
        <v>2.2000000000000001E-3</v>
      </c>
      <c r="W1810">
        <v>-2.1836000000000002</v>
      </c>
      <c r="X1810">
        <v>3.0396000000000001</v>
      </c>
      <c r="Y1810">
        <v>-1.2963</v>
      </c>
      <c r="Z1810">
        <v>7</v>
      </c>
      <c r="AA1810">
        <v>122.7</v>
      </c>
      <c r="AB1810">
        <v>7</v>
      </c>
      <c r="AC1810">
        <v>127.8</v>
      </c>
      <c r="AD1810">
        <v>0</v>
      </c>
      <c r="AE1810">
        <v>0</v>
      </c>
      <c r="AF1810">
        <v>0</v>
      </c>
      <c r="AG1810">
        <v>0</v>
      </c>
      <c r="AH1810">
        <v>0</v>
      </c>
    </row>
    <row r="1811" spans="1:34" x14ac:dyDescent="0.35">
      <c r="A1811" t="s">
        <v>34</v>
      </c>
      <c r="B1811" s="1">
        <v>46146.65625</v>
      </c>
      <c r="C1811" t="s">
        <v>34</v>
      </c>
      <c r="D1811" s="1">
        <v>46154.625</v>
      </c>
      <c r="E1811">
        <v>7320</v>
      </c>
      <c r="F1811" t="s">
        <v>36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125.3</v>
      </c>
      <c r="N1811">
        <v>7</v>
      </c>
      <c r="O1811">
        <v>130</v>
      </c>
      <c r="P1811">
        <v>0</v>
      </c>
      <c r="Q1811">
        <v>0</v>
      </c>
      <c r="R1811">
        <v>0</v>
      </c>
      <c r="S1811">
        <v>0</v>
      </c>
      <c r="T1811">
        <v>0.1182</v>
      </c>
      <c r="U1811">
        <v>-0.8135</v>
      </c>
      <c r="V1811">
        <v>2.0999999999999999E-3</v>
      </c>
      <c r="W1811">
        <v>-2.097</v>
      </c>
      <c r="X1811">
        <v>2.9418000000000002</v>
      </c>
      <c r="Y1811">
        <v>-1.3148</v>
      </c>
      <c r="Z1811">
        <v>7</v>
      </c>
      <c r="AA1811">
        <v>126.6</v>
      </c>
      <c r="AB1811">
        <v>7</v>
      </c>
      <c r="AC1811">
        <v>131.6</v>
      </c>
      <c r="AD1811">
        <v>0</v>
      </c>
      <c r="AE1811">
        <v>0</v>
      </c>
      <c r="AF1811">
        <v>0</v>
      </c>
      <c r="AG1811">
        <v>0</v>
      </c>
      <c r="AH1811">
        <v>0</v>
      </c>
    </row>
    <row r="1812" spans="1:34" x14ac:dyDescent="0.35">
      <c r="A1812" t="s">
        <v>34</v>
      </c>
      <c r="B1812" s="1">
        <v>46146.65625</v>
      </c>
      <c r="C1812" t="s">
        <v>34</v>
      </c>
      <c r="D1812" s="1">
        <v>46154.625</v>
      </c>
      <c r="E1812">
        <v>7325</v>
      </c>
      <c r="F1812" t="s">
        <v>36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1</v>
      </c>
      <c r="M1812">
        <v>129.19999999999999</v>
      </c>
      <c r="N1812">
        <v>7</v>
      </c>
      <c r="O1812">
        <v>133.80000000000001</v>
      </c>
      <c r="P1812">
        <v>0</v>
      </c>
      <c r="Q1812">
        <v>0</v>
      </c>
      <c r="R1812">
        <v>0</v>
      </c>
      <c r="S1812">
        <v>0</v>
      </c>
      <c r="T1812">
        <v>0.1172</v>
      </c>
      <c r="U1812">
        <v>-0.82569999999999999</v>
      </c>
      <c r="V1812">
        <v>2.0999999999999999E-3</v>
      </c>
      <c r="W1812">
        <v>-1.9844999999999999</v>
      </c>
      <c r="X1812">
        <v>2.8267000000000002</v>
      </c>
      <c r="Y1812">
        <v>-1.3352999999999999</v>
      </c>
      <c r="Z1812">
        <v>6</v>
      </c>
      <c r="AA1812">
        <v>130.4</v>
      </c>
      <c r="AB1812">
        <v>6</v>
      </c>
      <c r="AC1812">
        <v>135.5</v>
      </c>
      <c r="AD1812">
        <v>0</v>
      </c>
      <c r="AE1812">
        <v>0</v>
      </c>
      <c r="AF1812">
        <v>0</v>
      </c>
      <c r="AG1812">
        <v>0</v>
      </c>
      <c r="AH1812">
        <v>0</v>
      </c>
    </row>
    <row r="1813" spans="1:34" x14ac:dyDescent="0.35">
      <c r="A1813" t="s">
        <v>34</v>
      </c>
      <c r="B1813" s="1">
        <v>46146.65625</v>
      </c>
      <c r="C1813" t="s">
        <v>34</v>
      </c>
      <c r="D1813" s="1">
        <v>46154.625</v>
      </c>
      <c r="E1813">
        <v>7330</v>
      </c>
      <c r="F1813" t="s">
        <v>36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1</v>
      </c>
      <c r="M1813">
        <v>133.19999999999999</v>
      </c>
      <c r="N1813">
        <v>6</v>
      </c>
      <c r="O1813">
        <v>137.80000000000001</v>
      </c>
      <c r="P1813">
        <v>0</v>
      </c>
      <c r="Q1813">
        <v>0</v>
      </c>
      <c r="R1813">
        <v>0</v>
      </c>
      <c r="S1813">
        <v>0</v>
      </c>
      <c r="T1813">
        <v>0.11650000000000001</v>
      </c>
      <c r="U1813">
        <v>-0.83699999999999997</v>
      </c>
      <c r="V1813">
        <v>2E-3</v>
      </c>
      <c r="W1813">
        <v>-1.8818999999999999</v>
      </c>
      <c r="X1813">
        <v>2.7157</v>
      </c>
      <c r="Y1813">
        <v>-1.3537999999999999</v>
      </c>
      <c r="Z1813">
        <v>6</v>
      </c>
      <c r="AA1813">
        <v>134.4</v>
      </c>
      <c r="AB1813">
        <v>6</v>
      </c>
      <c r="AC1813">
        <v>139.5</v>
      </c>
      <c r="AD1813">
        <v>0</v>
      </c>
      <c r="AE1813">
        <v>0</v>
      </c>
      <c r="AF1813">
        <v>0</v>
      </c>
      <c r="AG1813">
        <v>0</v>
      </c>
      <c r="AH1813">
        <v>0</v>
      </c>
    </row>
    <row r="1814" spans="1:34" x14ac:dyDescent="0.35">
      <c r="A1814" t="s">
        <v>34</v>
      </c>
      <c r="B1814" s="1">
        <v>46146.65625</v>
      </c>
      <c r="C1814" t="s">
        <v>34</v>
      </c>
      <c r="D1814" s="1">
        <v>46154.625</v>
      </c>
      <c r="E1814">
        <v>7335</v>
      </c>
      <c r="F1814" t="s">
        <v>36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1</v>
      </c>
      <c r="M1814">
        <v>137.1</v>
      </c>
      <c r="N1814">
        <v>6</v>
      </c>
      <c r="O1814">
        <v>141.69999999999999</v>
      </c>
      <c r="P1814">
        <v>0</v>
      </c>
      <c r="Q1814">
        <v>0</v>
      </c>
      <c r="R1814">
        <v>0</v>
      </c>
      <c r="S1814">
        <v>0</v>
      </c>
      <c r="T1814">
        <v>0.11600000000000001</v>
      </c>
      <c r="U1814">
        <v>-0.84719999999999995</v>
      </c>
      <c r="V1814">
        <v>1.9E-3</v>
      </c>
      <c r="W1814">
        <v>-1.7890999999999999</v>
      </c>
      <c r="X1814">
        <v>2.6126999999999998</v>
      </c>
      <c r="Y1814">
        <v>-1.3706</v>
      </c>
      <c r="Z1814">
        <v>6</v>
      </c>
      <c r="AA1814">
        <v>138.30000000000001</v>
      </c>
      <c r="AB1814">
        <v>6</v>
      </c>
      <c r="AC1814">
        <v>143.6</v>
      </c>
      <c r="AD1814">
        <v>0</v>
      </c>
      <c r="AE1814">
        <v>0</v>
      </c>
      <c r="AF1814">
        <v>0</v>
      </c>
      <c r="AG1814">
        <v>1</v>
      </c>
      <c r="AH1814">
        <v>0</v>
      </c>
    </row>
    <row r="1815" spans="1:34" x14ac:dyDescent="0.35">
      <c r="A1815" t="s">
        <v>34</v>
      </c>
      <c r="B1815" s="1">
        <v>46146.65625</v>
      </c>
      <c r="C1815" t="s">
        <v>34</v>
      </c>
      <c r="D1815" s="1">
        <v>46154.625</v>
      </c>
      <c r="E1815">
        <v>7340</v>
      </c>
      <c r="F1815" t="s">
        <v>36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141.19999999999999</v>
      </c>
      <c r="N1815">
        <v>6</v>
      </c>
      <c r="O1815">
        <v>146</v>
      </c>
      <c r="P1815">
        <v>0</v>
      </c>
      <c r="Q1815">
        <v>0</v>
      </c>
      <c r="R1815">
        <v>0</v>
      </c>
      <c r="S1815">
        <v>0</v>
      </c>
      <c r="T1815">
        <v>0.1148</v>
      </c>
      <c r="U1815">
        <v>-0.85929999999999995</v>
      </c>
      <c r="V1815">
        <v>1.8E-3</v>
      </c>
      <c r="W1815">
        <v>-1.6659999999999999</v>
      </c>
      <c r="X1815">
        <v>2.4830000000000001</v>
      </c>
      <c r="Y1815">
        <v>-1.3908</v>
      </c>
      <c r="Z1815">
        <v>6</v>
      </c>
      <c r="AA1815">
        <v>142.5</v>
      </c>
      <c r="AB1815">
        <v>6</v>
      </c>
      <c r="AC1815">
        <v>147.69999999999999</v>
      </c>
      <c r="AD1815">
        <v>0</v>
      </c>
      <c r="AE1815">
        <v>0</v>
      </c>
      <c r="AF1815">
        <v>0</v>
      </c>
      <c r="AG1815">
        <v>0</v>
      </c>
      <c r="AH1815">
        <v>0</v>
      </c>
    </row>
    <row r="1816" spans="1:34" x14ac:dyDescent="0.35">
      <c r="A1816" t="s">
        <v>34</v>
      </c>
      <c r="B1816" s="1">
        <v>46146.65625</v>
      </c>
      <c r="C1816" t="s">
        <v>34</v>
      </c>
      <c r="D1816" s="1">
        <v>46154.625</v>
      </c>
      <c r="E1816">
        <v>7345</v>
      </c>
      <c r="F1816" t="s">
        <v>36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145.30000000000001</v>
      </c>
      <c r="N1816">
        <v>6</v>
      </c>
      <c r="O1816">
        <v>150.19999999999999</v>
      </c>
      <c r="P1816">
        <v>0</v>
      </c>
      <c r="Q1816">
        <v>0</v>
      </c>
      <c r="R1816">
        <v>0</v>
      </c>
      <c r="S1816">
        <v>0</v>
      </c>
      <c r="T1816">
        <v>0.114</v>
      </c>
      <c r="U1816">
        <v>-0.86980000000000002</v>
      </c>
      <c r="V1816">
        <v>1.6999999999999999E-3</v>
      </c>
      <c r="W1816">
        <v>-1.56</v>
      </c>
      <c r="X1816">
        <v>2.3633000000000002</v>
      </c>
      <c r="Y1816">
        <v>-1.4084000000000001</v>
      </c>
      <c r="Z1816">
        <v>6</v>
      </c>
      <c r="AA1816">
        <v>146.6</v>
      </c>
      <c r="AB1816">
        <v>6</v>
      </c>
      <c r="AC1816">
        <v>152</v>
      </c>
      <c r="AD1816">
        <v>0</v>
      </c>
      <c r="AE1816">
        <v>0</v>
      </c>
      <c r="AF1816">
        <v>0</v>
      </c>
      <c r="AG1816">
        <v>0</v>
      </c>
      <c r="AH1816">
        <v>0</v>
      </c>
    </row>
    <row r="1817" spans="1:34" x14ac:dyDescent="0.35">
      <c r="A1817" t="s">
        <v>34</v>
      </c>
      <c r="B1817" s="1">
        <v>46146.65625</v>
      </c>
      <c r="C1817" t="s">
        <v>34</v>
      </c>
      <c r="D1817" s="1">
        <v>46154.625</v>
      </c>
      <c r="E1817">
        <v>7350</v>
      </c>
      <c r="F1817" t="s">
        <v>36</v>
      </c>
      <c r="G1817">
        <v>152.01</v>
      </c>
      <c r="H1817">
        <v>152.01</v>
      </c>
      <c r="I1817">
        <v>152.01</v>
      </c>
      <c r="J1817">
        <v>152.01</v>
      </c>
      <c r="K1817">
        <v>1</v>
      </c>
      <c r="L1817">
        <v>1</v>
      </c>
      <c r="M1817">
        <v>149.6</v>
      </c>
      <c r="N1817">
        <v>6</v>
      </c>
      <c r="O1817">
        <v>154.19999999999999</v>
      </c>
      <c r="P1817">
        <v>0</v>
      </c>
      <c r="Q1817">
        <v>0</v>
      </c>
      <c r="R1817">
        <v>0</v>
      </c>
      <c r="S1817">
        <v>0</v>
      </c>
      <c r="T1817">
        <v>0.1128</v>
      </c>
      <c r="U1817">
        <v>-0.88049999999999995</v>
      </c>
      <c r="V1817">
        <v>1.6999999999999999E-3</v>
      </c>
      <c r="W1817">
        <v>-1.4461999999999999</v>
      </c>
      <c r="X1817">
        <v>2.2364000000000002</v>
      </c>
      <c r="Y1817">
        <v>-1.4259999999999999</v>
      </c>
      <c r="Z1817">
        <v>6</v>
      </c>
      <c r="AA1817">
        <v>150.80000000000001</v>
      </c>
      <c r="AB1817">
        <v>6</v>
      </c>
      <c r="AC1817">
        <v>156.19999999999999</v>
      </c>
      <c r="AD1817">
        <v>0</v>
      </c>
      <c r="AE1817">
        <v>0</v>
      </c>
      <c r="AF1817">
        <v>152.01</v>
      </c>
      <c r="AG1817">
        <v>7</v>
      </c>
      <c r="AH1817">
        <v>0</v>
      </c>
    </row>
    <row r="1818" spans="1:34" x14ac:dyDescent="0.35">
      <c r="A1818" t="s">
        <v>34</v>
      </c>
      <c r="B1818" s="1">
        <v>46146.65625</v>
      </c>
      <c r="C1818" t="s">
        <v>34</v>
      </c>
      <c r="D1818" s="1">
        <v>46154.625</v>
      </c>
      <c r="E1818">
        <v>7355</v>
      </c>
      <c r="F1818" t="s">
        <v>36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1</v>
      </c>
      <c r="M1818">
        <v>153.80000000000001</v>
      </c>
      <c r="N1818">
        <v>6</v>
      </c>
      <c r="O1818">
        <v>158.80000000000001</v>
      </c>
      <c r="P1818">
        <v>0</v>
      </c>
      <c r="Q1818">
        <v>0</v>
      </c>
      <c r="R1818">
        <v>0</v>
      </c>
      <c r="S1818">
        <v>0</v>
      </c>
      <c r="T1818">
        <v>0.11260000000000001</v>
      </c>
      <c r="U1818">
        <v>-0.88880000000000003</v>
      </c>
      <c r="V1818">
        <v>1.6000000000000001E-3</v>
      </c>
      <c r="W1818">
        <v>-1.3645</v>
      </c>
      <c r="X1818">
        <v>2.1337000000000002</v>
      </c>
      <c r="Y1818">
        <v>-1.4400999999999999</v>
      </c>
      <c r="Z1818">
        <v>6</v>
      </c>
      <c r="AA1818">
        <v>155</v>
      </c>
      <c r="AB1818">
        <v>6</v>
      </c>
      <c r="AC1818">
        <v>160.6</v>
      </c>
      <c r="AD1818">
        <v>0</v>
      </c>
      <c r="AE1818">
        <v>0</v>
      </c>
      <c r="AF1818">
        <v>0</v>
      </c>
      <c r="AG1818">
        <v>0</v>
      </c>
      <c r="AH1818">
        <v>0</v>
      </c>
    </row>
    <row r="1819" spans="1:34" x14ac:dyDescent="0.35">
      <c r="A1819" t="s">
        <v>34</v>
      </c>
      <c r="B1819" s="1">
        <v>46146.65625</v>
      </c>
      <c r="C1819" t="s">
        <v>34</v>
      </c>
      <c r="D1819" s="1">
        <v>46154.625</v>
      </c>
      <c r="E1819">
        <v>7360</v>
      </c>
      <c r="F1819" t="s">
        <v>36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1</v>
      </c>
      <c r="M1819">
        <v>158.30000000000001</v>
      </c>
      <c r="N1819">
        <v>6</v>
      </c>
      <c r="O1819">
        <v>163</v>
      </c>
      <c r="P1819">
        <v>0</v>
      </c>
      <c r="Q1819">
        <v>0</v>
      </c>
      <c r="R1819">
        <v>0</v>
      </c>
      <c r="S1819">
        <v>0</v>
      </c>
      <c r="T1819">
        <v>0.1119</v>
      </c>
      <c r="U1819">
        <v>-0.89770000000000005</v>
      </c>
      <c r="V1819">
        <v>1.5E-3</v>
      </c>
      <c r="W1819">
        <v>-1.2689999999999999</v>
      </c>
      <c r="X1819">
        <v>2.0188000000000001</v>
      </c>
      <c r="Y1819">
        <v>-1.4553</v>
      </c>
      <c r="Z1819">
        <v>6</v>
      </c>
      <c r="AA1819">
        <v>159.4</v>
      </c>
      <c r="AB1819">
        <v>6</v>
      </c>
      <c r="AC1819">
        <v>164.9</v>
      </c>
      <c r="AD1819">
        <v>0</v>
      </c>
      <c r="AE1819">
        <v>0</v>
      </c>
      <c r="AF1819">
        <v>0</v>
      </c>
      <c r="AG1819">
        <v>0</v>
      </c>
      <c r="AH1819">
        <v>0</v>
      </c>
    </row>
    <row r="1820" spans="1:34" x14ac:dyDescent="0.35">
      <c r="A1820" t="s">
        <v>34</v>
      </c>
      <c r="B1820" s="1">
        <v>46146.65625</v>
      </c>
      <c r="C1820" t="s">
        <v>34</v>
      </c>
      <c r="D1820" s="1">
        <v>46154.625</v>
      </c>
      <c r="E1820">
        <v>7365</v>
      </c>
      <c r="F1820" t="s">
        <v>36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1</v>
      </c>
      <c r="M1820">
        <v>162.6</v>
      </c>
      <c r="N1820">
        <v>1</v>
      </c>
      <c r="O1820">
        <v>167.3</v>
      </c>
      <c r="P1820">
        <v>0</v>
      </c>
      <c r="Q1820">
        <v>0</v>
      </c>
      <c r="R1820">
        <v>0</v>
      </c>
      <c r="S1820">
        <v>0</v>
      </c>
      <c r="T1820">
        <v>0.11070000000000001</v>
      </c>
      <c r="U1820">
        <v>-0.9073</v>
      </c>
      <c r="V1820">
        <v>1.4E-3</v>
      </c>
      <c r="W1820">
        <v>-1.1581999999999999</v>
      </c>
      <c r="X1820">
        <v>1.8882000000000001</v>
      </c>
      <c r="Y1820">
        <v>-1.4713000000000001</v>
      </c>
      <c r="Z1820">
        <v>6</v>
      </c>
      <c r="AA1820">
        <v>163.69999999999999</v>
      </c>
      <c r="AB1820">
        <v>6</v>
      </c>
      <c r="AC1820">
        <v>169.4</v>
      </c>
      <c r="AD1820">
        <v>0</v>
      </c>
      <c r="AE1820">
        <v>0</v>
      </c>
      <c r="AF1820">
        <v>0</v>
      </c>
      <c r="AG1820">
        <v>0</v>
      </c>
      <c r="AH1820">
        <v>0</v>
      </c>
    </row>
    <row r="1821" spans="1:34" x14ac:dyDescent="0.35">
      <c r="A1821" t="s">
        <v>34</v>
      </c>
      <c r="B1821" s="1">
        <v>46146.65625</v>
      </c>
      <c r="C1821" t="s">
        <v>34</v>
      </c>
      <c r="D1821" s="1">
        <v>46154.625</v>
      </c>
      <c r="E1821">
        <v>7370</v>
      </c>
      <c r="F1821" t="s">
        <v>36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1</v>
      </c>
      <c r="M1821">
        <v>166.9</v>
      </c>
      <c r="N1821">
        <v>6</v>
      </c>
      <c r="O1821">
        <v>171.9</v>
      </c>
      <c r="P1821">
        <v>0</v>
      </c>
      <c r="Q1821">
        <v>0</v>
      </c>
      <c r="R1821">
        <v>0</v>
      </c>
      <c r="S1821">
        <v>0</v>
      </c>
      <c r="T1821">
        <v>0.1101</v>
      </c>
      <c r="U1821">
        <v>-0.91500000000000004</v>
      </c>
      <c r="V1821">
        <v>1.2999999999999999E-3</v>
      </c>
      <c r="W1821">
        <v>-1.0729</v>
      </c>
      <c r="X1821">
        <v>1.7793000000000001</v>
      </c>
      <c r="Y1821">
        <v>-1.4843</v>
      </c>
      <c r="Z1821">
        <v>6</v>
      </c>
      <c r="AA1821">
        <v>168.2</v>
      </c>
      <c r="AB1821">
        <v>6</v>
      </c>
      <c r="AC1821">
        <v>173.9</v>
      </c>
      <c r="AD1821">
        <v>0</v>
      </c>
      <c r="AE1821">
        <v>0</v>
      </c>
      <c r="AF1821">
        <v>0</v>
      </c>
      <c r="AG1821">
        <v>0</v>
      </c>
      <c r="AH1821">
        <v>0</v>
      </c>
    </row>
    <row r="1822" spans="1:34" x14ac:dyDescent="0.35">
      <c r="A1822" t="s">
        <v>34</v>
      </c>
      <c r="B1822" s="1">
        <v>46146.65625</v>
      </c>
      <c r="C1822" t="s">
        <v>34</v>
      </c>
      <c r="D1822" s="1">
        <v>46154.625</v>
      </c>
      <c r="E1822">
        <v>7375</v>
      </c>
      <c r="F1822" t="s">
        <v>36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1</v>
      </c>
      <c r="M1822">
        <v>171.5</v>
      </c>
      <c r="N1822">
        <v>6</v>
      </c>
      <c r="O1822">
        <v>176.8</v>
      </c>
      <c r="P1822">
        <v>0</v>
      </c>
      <c r="Q1822">
        <v>0</v>
      </c>
      <c r="R1822">
        <v>0</v>
      </c>
      <c r="S1822">
        <v>0</v>
      </c>
      <c r="T1822">
        <v>0.1109</v>
      </c>
      <c r="U1822">
        <v>-0.91990000000000005</v>
      </c>
      <c r="V1822">
        <v>1.2999999999999999E-3</v>
      </c>
      <c r="W1822">
        <v>-1.0285</v>
      </c>
      <c r="X1822">
        <v>1.7073</v>
      </c>
      <c r="Y1822">
        <v>-1.4930000000000001</v>
      </c>
      <c r="Z1822">
        <v>6</v>
      </c>
      <c r="AA1822">
        <v>172.7</v>
      </c>
      <c r="AB1822">
        <v>6</v>
      </c>
      <c r="AC1822">
        <v>178.5</v>
      </c>
      <c r="AD1822">
        <v>0</v>
      </c>
      <c r="AE1822">
        <v>0</v>
      </c>
      <c r="AF1822">
        <v>0</v>
      </c>
      <c r="AG1822">
        <v>1</v>
      </c>
      <c r="AH1822">
        <v>0</v>
      </c>
    </row>
    <row r="1823" spans="1:34" x14ac:dyDescent="0.35">
      <c r="A1823" t="s">
        <v>34</v>
      </c>
      <c r="B1823" s="1">
        <v>46146.65625</v>
      </c>
      <c r="C1823" t="s">
        <v>34</v>
      </c>
      <c r="D1823" s="1">
        <v>46154.625</v>
      </c>
      <c r="E1823">
        <v>7380</v>
      </c>
      <c r="F1823" t="s">
        <v>36</v>
      </c>
      <c r="G1823">
        <v>190.74</v>
      </c>
      <c r="H1823">
        <v>190.74</v>
      </c>
      <c r="I1823">
        <v>190.74</v>
      </c>
      <c r="J1823">
        <v>190.74</v>
      </c>
      <c r="K1823">
        <v>30</v>
      </c>
      <c r="L1823">
        <v>6</v>
      </c>
      <c r="M1823">
        <v>175.7</v>
      </c>
      <c r="N1823">
        <v>6</v>
      </c>
      <c r="O1823">
        <v>181</v>
      </c>
      <c r="P1823">
        <v>0</v>
      </c>
      <c r="Q1823">
        <v>0</v>
      </c>
      <c r="R1823">
        <v>0</v>
      </c>
      <c r="S1823">
        <v>0</v>
      </c>
      <c r="T1823">
        <v>0.1079</v>
      </c>
      <c r="U1823">
        <v>-0.93130000000000002</v>
      </c>
      <c r="V1823">
        <v>1.1000000000000001E-3</v>
      </c>
      <c r="W1823">
        <v>-0.87790000000000001</v>
      </c>
      <c r="X1823">
        <v>1.5345</v>
      </c>
      <c r="Y1823">
        <v>-1.5121</v>
      </c>
      <c r="Z1823">
        <v>6</v>
      </c>
      <c r="AA1823">
        <v>177.2</v>
      </c>
      <c r="AB1823">
        <v>6</v>
      </c>
      <c r="AC1823">
        <v>183</v>
      </c>
      <c r="AD1823">
        <v>0</v>
      </c>
      <c r="AE1823">
        <v>0</v>
      </c>
      <c r="AF1823">
        <v>190.74</v>
      </c>
      <c r="AG1823">
        <v>0</v>
      </c>
      <c r="AH1823">
        <v>0</v>
      </c>
    </row>
    <row r="1824" spans="1:34" x14ac:dyDescent="0.35">
      <c r="A1824" t="s">
        <v>34</v>
      </c>
      <c r="B1824" s="1">
        <v>46146.65625</v>
      </c>
      <c r="C1824" t="s">
        <v>34</v>
      </c>
      <c r="D1824" s="1">
        <v>46154.625</v>
      </c>
      <c r="E1824">
        <v>7390</v>
      </c>
      <c r="F1824" t="s">
        <v>36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6</v>
      </c>
      <c r="M1824">
        <v>184.9</v>
      </c>
      <c r="N1824">
        <v>6</v>
      </c>
      <c r="O1824">
        <v>190.4</v>
      </c>
      <c r="P1824">
        <v>0</v>
      </c>
      <c r="Q1824">
        <v>0</v>
      </c>
      <c r="R1824">
        <v>0</v>
      </c>
      <c r="S1824">
        <v>0</v>
      </c>
      <c r="T1824">
        <v>0.1074</v>
      </c>
      <c r="U1824">
        <v>-0.94269999999999998</v>
      </c>
      <c r="V1824">
        <v>1E-3</v>
      </c>
      <c r="W1824">
        <v>-0.74719999999999998</v>
      </c>
      <c r="X1824">
        <v>1.3486</v>
      </c>
      <c r="Y1824">
        <v>-1.5318000000000001</v>
      </c>
      <c r="Z1824">
        <v>5</v>
      </c>
      <c r="AA1824">
        <v>186.7</v>
      </c>
      <c r="AB1824">
        <v>6</v>
      </c>
      <c r="AC1824">
        <v>192.3</v>
      </c>
      <c r="AD1824">
        <v>0</v>
      </c>
      <c r="AE1824">
        <v>0</v>
      </c>
      <c r="AF1824">
        <v>0</v>
      </c>
      <c r="AG1824">
        <v>0</v>
      </c>
      <c r="AH1824">
        <v>0</v>
      </c>
    </row>
    <row r="1825" spans="1:34" x14ac:dyDescent="0.35">
      <c r="A1825" t="s">
        <v>34</v>
      </c>
      <c r="B1825" s="1">
        <v>46146.65625</v>
      </c>
      <c r="C1825" t="s">
        <v>34</v>
      </c>
      <c r="D1825" s="1">
        <v>46154.625</v>
      </c>
      <c r="E1825">
        <v>7400</v>
      </c>
      <c r="F1825" t="s">
        <v>36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6</v>
      </c>
      <c r="M1825">
        <v>193.8</v>
      </c>
      <c r="N1825">
        <v>6</v>
      </c>
      <c r="O1825">
        <v>199.9</v>
      </c>
      <c r="P1825">
        <v>0</v>
      </c>
      <c r="Q1825">
        <v>0</v>
      </c>
      <c r="R1825">
        <v>0</v>
      </c>
      <c r="S1825">
        <v>0</v>
      </c>
      <c r="T1825">
        <v>0.1042</v>
      </c>
      <c r="U1825">
        <v>-0.95669999999999999</v>
      </c>
      <c r="V1825">
        <v>8.0000000000000004E-4</v>
      </c>
      <c r="W1825">
        <v>-0.56310000000000004</v>
      </c>
      <c r="X1825">
        <v>1.1005</v>
      </c>
      <c r="Y1825">
        <v>-1.5559000000000001</v>
      </c>
      <c r="Z1825">
        <v>6</v>
      </c>
      <c r="AA1825">
        <v>195.9</v>
      </c>
      <c r="AB1825">
        <v>6</v>
      </c>
      <c r="AC1825">
        <v>201.8</v>
      </c>
      <c r="AD1825">
        <v>0</v>
      </c>
      <c r="AE1825">
        <v>0</v>
      </c>
      <c r="AF1825">
        <v>0</v>
      </c>
      <c r="AG1825">
        <v>3</v>
      </c>
      <c r="AH1825">
        <v>0</v>
      </c>
    </row>
    <row r="1826" spans="1:34" x14ac:dyDescent="0.35">
      <c r="A1826" t="s">
        <v>34</v>
      </c>
      <c r="B1826" s="1">
        <v>46146.65625</v>
      </c>
      <c r="C1826" t="s">
        <v>34</v>
      </c>
      <c r="D1826" s="1">
        <v>46154.625</v>
      </c>
      <c r="E1826">
        <v>7410</v>
      </c>
      <c r="F1826" t="s">
        <v>36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200.5</v>
      </c>
      <c r="N1826">
        <v>2</v>
      </c>
      <c r="O1826">
        <v>212.6</v>
      </c>
      <c r="P1826">
        <v>0</v>
      </c>
      <c r="Q1826">
        <v>0</v>
      </c>
      <c r="R1826">
        <v>0</v>
      </c>
      <c r="S1826">
        <v>0</v>
      </c>
      <c r="T1826">
        <v>0.1061</v>
      </c>
      <c r="U1826">
        <v>-0.96150000000000002</v>
      </c>
      <c r="V1826">
        <v>6.9999999999999999E-4</v>
      </c>
      <c r="W1826">
        <v>-0.51470000000000005</v>
      </c>
      <c r="X1826">
        <v>1.0065</v>
      </c>
      <c r="Y1826">
        <v>-1.5654999999999999</v>
      </c>
      <c r="Z1826">
        <v>2</v>
      </c>
      <c r="AA1826">
        <v>200.7</v>
      </c>
      <c r="AB1826">
        <v>2</v>
      </c>
      <c r="AC1826">
        <v>216.7</v>
      </c>
      <c r="AD1826">
        <v>0</v>
      </c>
      <c r="AE1826">
        <v>0</v>
      </c>
      <c r="AF1826">
        <v>0</v>
      </c>
      <c r="AG1826">
        <v>0</v>
      </c>
      <c r="AH1826">
        <v>0</v>
      </c>
    </row>
    <row r="1827" spans="1:34" x14ac:dyDescent="0.35">
      <c r="A1827" t="s">
        <v>34</v>
      </c>
      <c r="B1827" s="1">
        <v>46146.65625</v>
      </c>
      <c r="C1827" t="s">
        <v>34</v>
      </c>
      <c r="D1827" s="1">
        <v>46154.625</v>
      </c>
      <c r="E1827">
        <v>7420</v>
      </c>
      <c r="F1827" t="s">
        <v>36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209.7</v>
      </c>
      <c r="N1827">
        <v>1</v>
      </c>
      <c r="O1827">
        <v>223.2</v>
      </c>
      <c r="P1827">
        <v>0</v>
      </c>
      <c r="Q1827">
        <v>0</v>
      </c>
      <c r="R1827">
        <v>0</v>
      </c>
      <c r="S1827">
        <v>0</v>
      </c>
      <c r="T1827">
        <v>0.1048</v>
      </c>
      <c r="U1827">
        <v>-0.97</v>
      </c>
      <c r="V1827">
        <v>5.9999999999999995E-4</v>
      </c>
      <c r="W1827">
        <v>-0.40050000000000002</v>
      </c>
      <c r="X1827">
        <v>0.8337</v>
      </c>
      <c r="Y1827">
        <v>-1.5811999999999999</v>
      </c>
      <c r="Z1827">
        <v>1</v>
      </c>
      <c r="AA1827">
        <v>208.6</v>
      </c>
      <c r="AB1827">
        <v>1</v>
      </c>
      <c r="AC1827">
        <v>227.1</v>
      </c>
      <c r="AD1827">
        <v>0</v>
      </c>
      <c r="AE1827">
        <v>0</v>
      </c>
      <c r="AF1827">
        <v>0</v>
      </c>
      <c r="AG1827">
        <v>0</v>
      </c>
      <c r="AH1827">
        <v>0</v>
      </c>
    </row>
    <row r="1828" spans="1:34" x14ac:dyDescent="0.35">
      <c r="A1828" t="s">
        <v>34</v>
      </c>
      <c r="B1828" s="1">
        <v>46146.65625</v>
      </c>
      <c r="C1828" t="s">
        <v>34</v>
      </c>
      <c r="D1828" s="1">
        <v>46154.625</v>
      </c>
      <c r="E1828">
        <v>7425</v>
      </c>
      <c r="F1828" t="s">
        <v>36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1</v>
      </c>
      <c r="M1828">
        <v>210.7</v>
      </c>
      <c r="N1828">
        <v>2</v>
      </c>
      <c r="O1828">
        <v>230.2</v>
      </c>
      <c r="P1828">
        <v>0</v>
      </c>
      <c r="Q1828">
        <v>0</v>
      </c>
      <c r="R1828">
        <v>0</v>
      </c>
      <c r="S1828">
        <v>0</v>
      </c>
      <c r="T1828">
        <v>0.1</v>
      </c>
      <c r="U1828">
        <v>-0.97789999999999999</v>
      </c>
      <c r="V1828">
        <v>5.0000000000000001E-4</v>
      </c>
      <c r="W1828">
        <v>-0.28339999999999999</v>
      </c>
      <c r="X1828">
        <v>0.6653</v>
      </c>
      <c r="Y1828">
        <v>-1.5944</v>
      </c>
      <c r="Z1828">
        <v>3</v>
      </c>
      <c r="AA1828">
        <v>212.2</v>
      </c>
      <c r="AB1828">
        <v>1</v>
      </c>
      <c r="AC1828">
        <v>232</v>
      </c>
      <c r="AD1828">
        <v>0</v>
      </c>
      <c r="AE1828">
        <v>0</v>
      </c>
      <c r="AF1828">
        <v>0</v>
      </c>
      <c r="AG1828">
        <v>1</v>
      </c>
      <c r="AH1828">
        <v>0</v>
      </c>
    </row>
    <row r="1829" spans="1:34" x14ac:dyDescent="0.35">
      <c r="A1829" t="s">
        <v>34</v>
      </c>
      <c r="B1829" s="1">
        <v>46146.65625</v>
      </c>
      <c r="C1829" t="s">
        <v>34</v>
      </c>
      <c r="D1829" s="1">
        <v>46154.625</v>
      </c>
      <c r="E1829">
        <v>7430</v>
      </c>
      <c r="F1829" t="s">
        <v>36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216.2</v>
      </c>
      <c r="N1829">
        <v>1</v>
      </c>
      <c r="O1829">
        <v>235.3</v>
      </c>
      <c r="P1829">
        <v>0</v>
      </c>
      <c r="Q1829">
        <v>0</v>
      </c>
      <c r="R1829">
        <v>0</v>
      </c>
      <c r="S1829">
        <v>0</v>
      </c>
      <c r="T1829">
        <v>0.107</v>
      </c>
      <c r="U1829">
        <v>-0.97270000000000001</v>
      </c>
      <c r="V1829">
        <v>5.9999999999999995E-4</v>
      </c>
      <c r="W1829">
        <v>-0.37409999999999999</v>
      </c>
      <c r="X1829">
        <v>0.77449999999999997</v>
      </c>
      <c r="Y1829">
        <v>-1.5873999999999999</v>
      </c>
      <c r="Z1829">
        <v>2</v>
      </c>
      <c r="AA1829">
        <v>217.1</v>
      </c>
      <c r="AB1829">
        <v>1</v>
      </c>
      <c r="AC1829">
        <v>237.1</v>
      </c>
      <c r="AD1829">
        <v>0</v>
      </c>
      <c r="AE1829">
        <v>0</v>
      </c>
      <c r="AF1829">
        <v>0</v>
      </c>
      <c r="AG1829">
        <v>0</v>
      </c>
      <c r="AH1829">
        <v>0</v>
      </c>
    </row>
    <row r="1830" spans="1:34" x14ac:dyDescent="0.35">
      <c r="A1830" t="s">
        <v>34</v>
      </c>
      <c r="B1830" s="1">
        <v>46146.65625</v>
      </c>
      <c r="C1830" t="s">
        <v>34</v>
      </c>
      <c r="D1830" s="1">
        <v>46154.625</v>
      </c>
      <c r="E1830">
        <v>7440</v>
      </c>
      <c r="F1830" t="s">
        <v>36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225.8</v>
      </c>
      <c r="N1830">
        <v>1</v>
      </c>
      <c r="O1830">
        <v>245.6</v>
      </c>
      <c r="P1830">
        <v>0</v>
      </c>
      <c r="Q1830">
        <v>0</v>
      </c>
      <c r="R1830">
        <v>0</v>
      </c>
      <c r="S1830">
        <v>0</v>
      </c>
      <c r="T1830">
        <v>0.11020000000000001</v>
      </c>
      <c r="U1830">
        <v>-0.97419999999999995</v>
      </c>
      <c r="V1830">
        <v>5.0000000000000001E-4</v>
      </c>
      <c r="W1830">
        <v>-0.36420000000000002</v>
      </c>
      <c r="X1830">
        <v>0.73740000000000006</v>
      </c>
      <c r="Y1830">
        <v>-1.5920000000000001</v>
      </c>
      <c r="Z1830">
        <v>1</v>
      </c>
      <c r="AA1830">
        <v>226.9</v>
      </c>
      <c r="AB1830">
        <v>1</v>
      </c>
      <c r="AC1830">
        <v>246.9</v>
      </c>
      <c r="AD1830">
        <v>0</v>
      </c>
      <c r="AE1830">
        <v>0</v>
      </c>
      <c r="AF1830">
        <v>0</v>
      </c>
      <c r="AG1830">
        <v>0</v>
      </c>
      <c r="AH1830">
        <v>0</v>
      </c>
    </row>
    <row r="1831" spans="1:34" x14ac:dyDescent="0.35">
      <c r="A1831" t="s">
        <v>34</v>
      </c>
      <c r="B1831" s="1">
        <v>46146.65625</v>
      </c>
      <c r="C1831" t="s">
        <v>34</v>
      </c>
      <c r="D1831" s="1">
        <v>46154.625</v>
      </c>
      <c r="E1831">
        <v>7450</v>
      </c>
      <c r="F1831" t="s">
        <v>36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235.5</v>
      </c>
      <c r="N1831">
        <v>1</v>
      </c>
      <c r="O1831">
        <v>254.9</v>
      </c>
      <c r="P1831">
        <v>0</v>
      </c>
      <c r="Q1831">
        <v>0</v>
      </c>
      <c r="R1831">
        <v>0</v>
      </c>
      <c r="S1831">
        <v>0</v>
      </c>
      <c r="T1831">
        <v>0.1045</v>
      </c>
      <c r="U1831">
        <v>-0.9839</v>
      </c>
      <c r="V1831">
        <v>4.0000000000000002E-4</v>
      </c>
      <c r="W1831">
        <v>-0.2132</v>
      </c>
      <c r="X1831">
        <v>0.51529999999999998</v>
      </c>
      <c r="Y1831">
        <v>-1.6092</v>
      </c>
      <c r="Z1831">
        <v>3</v>
      </c>
      <c r="AA1831">
        <v>236.7</v>
      </c>
      <c r="AB1831">
        <v>1</v>
      </c>
      <c r="AC1831">
        <v>255.3</v>
      </c>
      <c r="AD1831">
        <v>0</v>
      </c>
      <c r="AE1831">
        <v>0</v>
      </c>
      <c r="AF1831">
        <v>0</v>
      </c>
      <c r="AG1831">
        <v>0</v>
      </c>
      <c r="AH1831">
        <v>0</v>
      </c>
    </row>
    <row r="1832" spans="1:34" x14ac:dyDescent="0.35">
      <c r="A1832" t="s">
        <v>34</v>
      </c>
      <c r="B1832" s="1">
        <v>46146.65625</v>
      </c>
      <c r="C1832" t="s">
        <v>34</v>
      </c>
      <c r="D1832" s="1">
        <v>46154.625</v>
      </c>
      <c r="E1832">
        <v>7475</v>
      </c>
      <c r="F1832" t="s">
        <v>36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260</v>
      </c>
      <c r="N1832">
        <v>1</v>
      </c>
      <c r="O1832">
        <v>279.8</v>
      </c>
      <c r="P1832">
        <v>0</v>
      </c>
      <c r="Q1832">
        <v>0</v>
      </c>
      <c r="R1832">
        <v>0</v>
      </c>
      <c r="S1832">
        <v>0</v>
      </c>
      <c r="T1832">
        <v>0.1048</v>
      </c>
      <c r="U1832">
        <v>-0.99060000000000004</v>
      </c>
      <c r="V1832">
        <v>2.0000000000000001E-4</v>
      </c>
      <c r="W1832">
        <v>-0.1153</v>
      </c>
      <c r="X1832">
        <v>0.33450000000000002</v>
      </c>
      <c r="Y1832">
        <v>-1.6252</v>
      </c>
      <c r="Z1832">
        <v>1</v>
      </c>
      <c r="AA1832">
        <v>261.5</v>
      </c>
      <c r="AB1832">
        <v>1</v>
      </c>
      <c r="AC1832">
        <v>279.89999999999998</v>
      </c>
      <c r="AD1832">
        <v>0</v>
      </c>
      <c r="AE1832">
        <v>0</v>
      </c>
      <c r="AF1832">
        <v>0</v>
      </c>
      <c r="AG1832">
        <v>0</v>
      </c>
      <c r="AH1832">
        <v>0</v>
      </c>
    </row>
    <row r="1833" spans="1:34" x14ac:dyDescent="0.35">
      <c r="A1833" t="s">
        <v>34</v>
      </c>
      <c r="B1833" s="1">
        <v>46146.65625</v>
      </c>
      <c r="C1833" t="s">
        <v>34</v>
      </c>
      <c r="D1833" s="1">
        <v>46154.625</v>
      </c>
      <c r="E1833">
        <v>7500</v>
      </c>
      <c r="F1833" t="s">
        <v>36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1</v>
      </c>
      <c r="M1833">
        <v>285.60000000000002</v>
      </c>
      <c r="N1833">
        <v>1</v>
      </c>
      <c r="O1833">
        <v>305</v>
      </c>
      <c r="P1833">
        <v>0</v>
      </c>
      <c r="Q1833">
        <v>0</v>
      </c>
      <c r="R1833">
        <v>0</v>
      </c>
      <c r="S1833">
        <v>0</v>
      </c>
      <c r="T1833">
        <v>0.1196</v>
      </c>
      <c r="U1833">
        <v>-0.98770000000000002</v>
      </c>
      <c r="V1833">
        <v>2.9999999999999997E-4</v>
      </c>
      <c r="W1833">
        <v>-0.1812</v>
      </c>
      <c r="X1833">
        <v>0.40479999999999999</v>
      </c>
      <c r="Y1833">
        <v>-1.6262000000000001</v>
      </c>
      <c r="Z1833">
        <v>3</v>
      </c>
      <c r="AA1833">
        <v>286.3</v>
      </c>
      <c r="AB1833">
        <v>1</v>
      </c>
      <c r="AC1833">
        <v>305</v>
      </c>
      <c r="AD1833">
        <v>0</v>
      </c>
      <c r="AE1833">
        <v>0</v>
      </c>
      <c r="AF1833">
        <v>0</v>
      </c>
      <c r="AG1833">
        <v>0</v>
      </c>
      <c r="AH1833">
        <v>0</v>
      </c>
    </row>
    <row r="1834" spans="1:34" x14ac:dyDescent="0.35">
      <c r="A1834" t="s">
        <v>34</v>
      </c>
      <c r="B1834" s="1">
        <v>46146.65625</v>
      </c>
      <c r="C1834" t="s">
        <v>34</v>
      </c>
      <c r="D1834" s="1">
        <v>46154.625</v>
      </c>
      <c r="E1834">
        <v>7525</v>
      </c>
      <c r="F1834" t="s">
        <v>36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1</v>
      </c>
      <c r="M1834">
        <v>310.5</v>
      </c>
      <c r="N1834">
        <v>1</v>
      </c>
      <c r="O1834">
        <v>329.5</v>
      </c>
      <c r="P1834">
        <v>0</v>
      </c>
      <c r="Q1834">
        <v>0</v>
      </c>
      <c r="R1834">
        <v>0</v>
      </c>
      <c r="S1834">
        <v>0</v>
      </c>
      <c r="T1834">
        <v>0.124</v>
      </c>
      <c r="U1834">
        <v>-0.99060000000000004</v>
      </c>
      <c r="V1834">
        <v>2.0000000000000001E-4</v>
      </c>
      <c r="W1834">
        <v>-0.13769999999999999</v>
      </c>
      <c r="X1834">
        <v>0.32469999999999999</v>
      </c>
      <c r="Y1834">
        <v>-1.6362000000000001</v>
      </c>
      <c r="Z1834">
        <v>3</v>
      </c>
      <c r="AA1834">
        <v>311.2</v>
      </c>
      <c r="AB1834">
        <v>1</v>
      </c>
      <c r="AC1834">
        <v>330</v>
      </c>
      <c r="AD1834">
        <v>0</v>
      </c>
      <c r="AE1834">
        <v>0</v>
      </c>
      <c r="AF1834">
        <v>0</v>
      </c>
      <c r="AG1834">
        <v>0</v>
      </c>
      <c r="AH1834">
        <v>0</v>
      </c>
    </row>
    <row r="1835" spans="1:34" x14ac:dyDescent="0.35">
      <c r="A1835" t="s">
        <v>34</v>
      </c>
      <c r="B1835" s="1">
        <v>46146.65625</v>
      </c>
      <c r="C1835" t="s">
        <v>34</v>
      </c>
      <c r="D1835" s="1">
        <v>46154.625</v>
      </c>
      <c r="E1835">
        <v>7550</v>
      </c>
      <c r="F1835" t="s">
        <v>36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1</v>
      </c>
      <c r="M1835">
        <v>335.4</v>
      </c>
      <c r="N1835">
        <v>1</v>
      </c>
      <c r="O1835">
        <v>354.4</v>
      </c>
      <c r="P1835">
        <v>0</v>
      </c>
      <c r="Q1835">
        <v>0</v>
      </c>
      <c r="R1835">
        <v>0</v>
      </c>
      <c r="S1835">
        <v>0</v>
      </c>
      <c r="T1835">
        <v>0.1323</v>
      </c>
      <c r="U1835">
        <v>-0.99099999999999999</v>
      </c>
      <c r="V1835">
        <v>2.0000000000000001E-4</v>
      </c>
      <c r="W1835">
        <v>-0.13750000000000001</v>
      </c>
      <c r="X1835">
        <v>0.307</v>
      </c>
      <c r="Y1835">
        <v>-1.6426000000000001</v>
      </c>
      <c r="Z1835">
        <v>3</v>
      </c>
      <c r="AA1835">
        <v>336.1</v>
      </c>
      <c r="AB1835">
        <v>1</v>
      </c>
      <c r="AC1835">
        <v>355.4</v>
      </c>
      <c r="AD1835">
        <v>0</v>
      </c>
      <c r="AE1835">
        <v>0</v>
      </c>
      <c r="AF1835">
        <v>0</v>
      </c>
      <c r="AG1835">
        <v>0</v>
      </c>
      <c r="AH1835">
        <v>0</v>
      </c>
    </row>
    <row r="1836" spans="1:34" x14ac:dyDescent="0.35">
      <c r="A1836" t="s">
        <v>34</v>
      </c>
      <c r="B1836" s="1">
        <v>46146.65625</v>
      </c>
      <c r="C1836" t="s">
        <v>34</v>
      </c>
      <c r="D1836" s="1">
        <v>46154.625</v>
      </c>
      <c r="E1836">
        <v>7575</v>
      </c>
      <c r="F1836" t="s">
        <v>36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1</v>
      </c>
      <c r="M1836">
        <v>360.2</v>
      </c>
      <c r="N1836">
        <v>1</v>
      </c>
      <c r="O1836">
        <v>379.4</v>
      </c>
      <c r="P1836">
        <v>0</v>
      </c>
      <c r="Q1836">
        <v>0</v>
      </c>
      <c r="R1836">
        <v>0</v>
      </c>
      <c r="S1836">
        <v>0</v>
      </c>
      <c r="T1836">
        <v>0.13689999999999999</v>
      </c>
      <c r="U1836">
        <v>-0.99280000000000002</v>
      </c>
      <c r="V1836">
        <v>1E-4</v>
      </c>
      <c r="W1836">
        <v>-0.10589999999999999</v>
      </c>
      <c r="X1836">
        <v>0.25319999999999998</v>
      </c>
      <c r="Y1836">
        <v>-1.6509</v>
      </c>
      <c r="Z1836">
        <v>3</v>
      </c>
      <c r="AA1836">
        <v>361.1</v>
      </c>
      <c r="AB1836">
        <v>1</v>
      </c>
      <c r="AC1836">
        <v>380.4</v>
      </c>
      <c r="AD1836">
        <v>0</v>
      </c>
      <c r="AE1836">
        <v>0</v>
      </c>
      <c r="AF1836">
        <v>0</v>
      </c>
      <c r="AG1836">
        <v>0</v>
      </c>
      <c r="AH1836">
        <v>0</v>
      </c>
    </row>
    <row r="1837" spans="1:34" x14ac:dyDescent="0.35">
      <c r="A1837" t="s">
        <v>34</v>
      </c>
      <c r="B1837" s="1">
        <v>46146.65625</v>
      </c>
      <c r="C1837" t="s">
        <v>34</v>
      </c>
      <c r="D1837" s="1">
        <v>46154.625</v>
      </c>
      <c r="E1837">
        <v>7600</v>
      </c>
      <c r="F1837" t="s">
        <v>36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1</v>
      </c>
      <c r="M1837">
        <v>384.5</v>
      </c>
      <c r="N1837">
        <v>1</v>
      </c>
      <c r="O1837">
        <v>404.6</v>
      </c>
      <c r="P1837">
        <v>0</v>
      </c>
      <c r="Q1837">
        <v>0</v>
      </c>
      <c r="R1837">
        <v>0</v>
      </c>
      <c r="S1837">
        <v>0</v>
      </c>
      <c r="T1837">
        <v>0.1275</v>
      </c>
      <c r="U1837">
        <v>-0.99750000000000005</v>
      </c>
      <c r="V1837">
        <v>1E-4</v>
      </c>
      <c r="W1837">
        <v>-5.7000000000000002E-3</v>
      </c>
      <c r="X1837">
        <v>0.1066</v>
      </c>
      <c r="Y1837">
        <v>-1.6636</v>
      </c>
      <c r="Z1837">
        <v>3</v>
      </c>
      <c r="AA1837">
        <v>386.1</v>
      </c>
      <c r="AB1837">
        <v>1</v>
      </c>
      <c r="AC1837">
        <v>404.6</v>
      </c>
      <c r="AD1837">
        <v>0</v>
      </c>
      <c r="AE1837">
        <v>0</v>
      </c>
      <c r="AF1837">
        <v>0</v>
      </c>
      <c r="AG1837">
        <v>0</v>
      </c>
      <c r="AH1837">
        <v>0</v>
      </c>
    </row>
    <row r="1838" spans="1:34" x14ac:dyDescent="0.35">
      <c r="A1838" t="s">
        <v>34</v>
      </c>
      <c r="B1838" s="1">
        <v>46146.65625</v>
      </c>
      <c r="C1838" t="s">
        <v>34</v>
      </c>
      <c r="D1838" s="1">
        <v>46154.625</v>
      </c>
      <c r="E1838">
        <v>7625</v>
      </c>
      <c r="F1838" t="s">
        <v>36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1</v>
      </c>
      <c r="M1838">
        <v>410.4</v>
      </c>
      <c r="N1838">
        <v>1</v>
      </c>
      <c r="O1838">
        <v>429.9</v>
      </c>
      <c r="P1838">
        <v>0</v>
      </c>
      <c r="Q1838">
        <v>0</v>
      </c>
      <c r="R1838">
        <v>0</v>
      </c>
      <c r="S1838">
        <v>0</v>
      </c>
      <c r="T1838">
        <v>0.16819999999999999</v>
      </c>
      <c r="U1838">
        <v>-0.98780000000000001</v>
      </c>
      <c r="V1838">
        <v>2.0000000000000001E-4</v>
      </c>
      <c r="W1838">
        <v>-0.25190000000000001</v>
      </c>
      <c r="X1838">
        <v>0.37959999999999999</v>
      </c>
      <c r="Y1838">
        <v>-1.6544000000000001</v>
      </c>
      <c r="Z1838">
        <v>3</v>
      </c>
      <c r="AA1838">
        <v>411</v>
      </c>
      <c r="AB1838">
        <v>1</v>
      </c>
      <c r="AC1838">
        <v>430</v>
      </c>
      <c r="AD1838">
        <v>0</v>
      </c>
      <c r="AE1838">
        <v>0</v>
      </c>
      <c r="AF1838">
        <v>0</v>
      </c>
      <c r="AG1838">
        <v>0</v>
      </c>
      <c r="AH1838">
        <v>0</v>
      </c>
    </row>
    <row r="1839" spans="1:34" x14ac:dyDescent="0.35">
      <c r="A1839" t="s">
        <v>34</v>
      </c>
      <c r="B1839" s="1">
        <v>46146.65625</v>
      </c>
      <c r="C1839" t="s">
        <v>34</v>
      </c>
      <c r="D1839" s="1">
        <v>46154.625</v>
      </c>
      <c r="E1839">
        <v>7650</v>
      </c>
      <c r="F1839" t="s">
        <v>36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1</v>
      </c>
      <c r="M1839">
        <v>435.1</v>
      </c>
      <c r="N1839">
        <v>2</v>
      </c>
      <c r="O1839">
        <v>455.2</v>
      </c>
      <c r="P1839">
        <v>0</v>
      </c>
      <c r="Q1839">
        <v>0</v>
      </c>
      <c r="R1839">
        <v>0</v>
      </c>
      <c r="S1839">
        <v>0</v>
      </c>
      <c r="T1839">
        <v>0.17730000000000001</v>
      </c>
      <c r="U1839">
        <v>-0.98799999999999999</v>
      </c>
      <c r="V1839">
        <v>2.0000000000000001E-4</v>
      </c>
      <c r="W1839">
        <v>-0.2596</v>
      </c>
      <c r="X1839">
        <v>0.37090000000000001</v>
      </c>
      <c r="Y1839">
        <v>-1.6603000000000001</v>
      </c>
      <c r="Z1839">
        <v>3</v>
      </c>
      <c r="AA1839">
        <v>436</v>
      </c>
      <c r="AB1839">
        <v>1</v>
      </c>
      <c r="AC1839">
        <v>455.8</v>
      </c>
      <c r="AD1839">
        <v>0</v>
      </c>
      <c r="AE1839">
        <v>0</v>
      </c>
      <c r="AF1839">
        <v>0</v>
      </c>
      <c r="AG1839">
        <v>0</v>
      </c>
      <c r="AH1839">
        <v>0</v>
      </c>
    </row>
    <row r="1840" spans="1:34" x14ac:dyDescent="0.35">
      <c r="A1840" t="s">
        <v>34</v>
      </c>
      <c r="B1840" s="1">
        <v>46146.65625</v>
      </c>
      <c r="C1840" t="s">
        <v>34</v>
      </c>
      <c r="D1840" s="1">
        <v>46154.625</v>
      </c>
      <c r="E1840">
        <v>7675</v>
      </c>
      <c r="F1840" t="s">
        <v>36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1</v>
      </c>
      <c r="M1840">
        <v>459.2</v>
      </c>
      <c r="N1840">
        <v>2</v>
      </c>
      <c r="O1840">
        <v>480.1</v>
      </c>
      <c r="P1840">
        <v>0</v>
      </c>
      <c r="Q1840">
        <v>0</v>
      </c>
      <c r="R1840">
        <v>0</v>
      </c>
      <c r="S1840">
        <v>0</v>
      </c>
      <c r="T1840">
        <v>0.16439999999999999</v>
      </c>
      <c r="U1840">
        <v>-0.995</v>
      </c>
      <c r="V1840">
        <v>1E-4</v>
      </c>
      <c r="W1840">
        <v>-7.3599999999999999E-2</v>
      </c>
      <c r="X1840">
        <v>0.18140000000000001</v>
      </c>
      <c r="Y1840">
        <v>-1.6765000000000001</v>
      </c>
      <c r="Z1840">
        <v>2</v>
      </c>
      <c r="AA1840">
        <v>461</v>
      </c>
      <c r="AB1840">
        <v>1</v>
      </c>
      <c r="AC1840">
        <v>480.6</v>
      </c>
      <c r="AD1840">
        <v>0</v>
      </c>
      <c r="AE1840">
        <v>0</v>
      </c>
      <c r="AF1840">
        <v>0</v>
      </c>
      <c r="AG1840">
        <v>0</v>
      </c>
      <c r="AH1840">
        <v>0</v>
      </c>
    </row>
    <row r="1841" spans="1:34" x14ac:dyDescent="0.35">
      <c r="A1841" t="s">
        <v>34</v>
      </c>
      <c r="B1841" s="1">
        <v>46146.65625</v>
      </c>
      <c r="C1841" t="s">
        <v>34</v>
      </c>
      <c r="D1841" s="1">
        <v>46154.625</v>
      </c>
      <c r="E1841">
        <v>7700</v>
      </c>
      <c r="F1841" t="s">
        <v>36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1</v>
      </c>
      <c r="M1841">
        <v>484.4</v>
      </c>
      <c r="N1841">
        <v>1</v>
      </c>
      <c r="O1841">
        <v>503.6</v>
      </c>
      <c r="P1841">
        <v>0</v>
      </c>
      <c r="Q1841">
        <v>0</v>
      </c>
      <c r="R1841">
        <v>0</v>
      </c>
      <c r="S1841">
        <v>0</v>
      </c>
      <c r="T1841">
        <v>0.29620000000000002</v>
      </c>
      <c r="U1841">
        <v>-0.93089999999999995</v>
      </c>
      <c r="V1841">
        <v>4.0000000000000002E-4</v>
      </c>
      <c r="W1841">
        <v>-2.4161999999999999</v>
      </c>
      <c r="X1841">
        <v>1.4507000000000001</v>
      </c>
      <c r="Y1841">
        <v>-1.5844</v>
      </c>
      <c r="Z1841">
        <v>1</v>
      </c>
      <c r="AA1841">
        <v>486.9</v>
      </c>
      <c r="AB1841">
        <v>1</v>
      </c>
      <c r="AC1841">
        <v>509.5</v>
      </c>
      <c r="AD1841">
        <v>0</v>
      </c>
      <c r="AE1841">
        <v>0</v>
      </c>
      <c r="AF1841">
        <v>0</v>
      </c>
      <c r="AG1841">
        <v>0</v>
      </c>
      <c r="AH1841">
        <v>0</v>
      </c>
    </row>
    <row r="1842" spans="1:34" x14ac:dyDescent="0.35">
      <c r="A1842" t="s">
        <v>34</v>
      </c>
      <c r="B1842" s="1">
        <v>46146.65625</v>
      </c>
      <c r="C1842" t="s">
        <v>34</v>
      </c>
      <c r="D1842" s="1">
        <v>46154.625</v>
      </c>
      <c r="E1842">
        <v>7725</v>
      </c>
      <c r="F1842" t="s">
        <v>36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1</v>
      </c>
      <c r="M1842">
        <v>510.3</v>
      </c>
      <c r="N1842">
        <v>1</v>
      </c>
      <c r="O1842">
        <v>528.6</v>
      </c>
      <c r="P1842">
        <v>0</v>
      </c>
      <c r="Q1842">
        <v>0</v>
      </c>
      <c r="R1842">
        <v>0</v>
      </c>
      <c r="S1842">
        <v>0</v>
      </c>
      <c r="T1842">
        <v>0.30359999999999998</v>
      </c>
      <c r="U1842">
        <v>-0.93559999999999999</v>
      </c>
      <c r="V1842">
        <v>4.0000000000000002E-4</v>
      </c>
      <c r="W1842">
        <v>-2.3283999999999998</v>
      </c>
      <c r="X1842">
        <v>1.3745000000000001</v>
      </c>
      <c r="Y1842">
        <v>-1.5974999999999999</v>
      </c>
      <c r="Z1842">
        <v>1</v>
      </c>
      <c r="AA1842">
        <v>511.9</v>
      </c>
      <c r="AB1842">
        <v>2</v>
      </c>
      <c r="AC1842">
        <v>534.9</v>
      </c>
      <c r="AD1842">
        <v>0</v>
      </c>
      <c r="AE1842">
        <v>0</v>
      </c>
      <c r="AF1842">
        <v>0</v>
      </c>
      <c r="AG1842">
        <v>0</v>
      </c>
      <c r="AH1842">
        <v>0</v>
      </c>
    </row>
    <row r="1843" spans="1:34" x14ac:dyDescent="0.35">
      <c r="A1843" t="s">
        <v>34</v>
      </c>
      <c r="B1843" s="1">
        <v>46146.65625</v>
      </c>
      <c r="C1843" t="s">
        <v>34</v>
      </c>
      <c r="D1843" s="1">
        <v>46154.625</v>
      </c>
      <c r="E1843">
        <v>7800</v>
      </c>
      <c r="F1843" t="s">
        <v>36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1</v>
      </c>
      <c r="M1843">
        <v>585.20000000000005</v>
      </c>
      <c r="N1843">
        <v>1</v>
      </c>
      <c r="O1843">
        <v>604.20000000000005</v>
      </c>
      <c r="P1843">
        <v>0</v>
      </c>
      <c r="Q1843">
        <v>0</v>
      </c>
      <c r="R1843">
        <v>0</v>
      </c>
      <c r="S1843">
        <v>0</v>
      </c>
      <c r="T1843">
        <v>0.21199999999999999</v>
      </c>
      <c r="U1843">
        <v>-0.99380000000000002</v>
      </c>
      <c r="V1843">
        <v>1E-4</v>
      </c>
      <c r="W1843">
        <v>-0.13159999999999999</v>
      </c>
      <c r="X1843">
        <v>0.2074</v>
      </c>
      <c r="Y1843">
        <v>-1.7027000000000001</v>
      </c>
      <c r="Z1843">
        <v>3</v>
      </c>
      <c r="AA1843">
        <v>585.79999999999995</v>
      </c>
      <c r="AB1843">
        <v>1</v>
      </c>
      <c r="AC1843">
        <v>609.20000000000005</v>
      </c>
      <c r="AD1843">
        <v>0</v>
      </c>
      <c r="AE1843">
        <v>0</v>
      </c>
      <c r="AF1843">
        <v>0</v>
      </c>
      <c r="AG1843">
        <v>0</v>
      </c>
      <c r="AH1843">
        <v>0</v>
      </c>
    </row>
    <row r="1844" spans="1:34" x14ac:dyDescent="0.35">
      <c r="A1844" t="s">
        <v>34</v>
      </c>
      <c r="B1844" s="1">
        <v>46146.65625</v>
      </c>
      <c r="C1844" t="s">
        <v>34</v>
      </c>
      <c r="D1844" s="1">
        <v>46154.625</v>
      </c>
      <c r="E1844">
        <v>7900</v>
      </c>
      <c r="F1844" t="s">
        <v>36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1</v>
      </c>
      <c r="M1844">
        <v>685.1</v>
      </c>
      <c r="N1844">
        <v>2</v>
      </c>
      <c r="O1844">
        <v>704.9</v>
      </c>
      <c r="P1844">
        <v>0</v>
      </c>
      <c r="Q1844">
        <v>0</v>
      </c>
      <c r="R1844">
        <v>0</v>
      </c>
      <c r="S1844">
        <v>0</v>
      </c>
      <c r="T1844">
        <v>0.26069999999999999</v>
      </c>
      <c r="U1844">
        <v>-0.99080000000000001</v>
      </c>
      <c r="V1844">
        <v>1E-4</v>
      </c>
      <c r="W1844">
        <v>-0.2792</v>
      </c>
      <c r="X1844">
        <v>0.2853</v>
      </c>
      <c r="Y1844">
        <v>-1.7203999999999999</v>
      </c>
      <c r="Z1844">
        <v>3</v>
      </c>
      <c r="AA1844">
        <v>685.7</v>
      </c>
      <c r="AB1844">
        <v>1</v>
      </c>
      <c r="AC1844">
        <v>705.5</v>
      </c>
      <c r="AD1844">
        <v>0</v>
      </c>
      <c r="AE1844">
        <v>0</v>
      </c>
      <c r="AF1844">
        <v>0</v>
      </c>
      <c r="AG1844">
        <v>0</v>
      </c>
      <c r="AH1844">
        <v>0</v>
      </c>
    </row>
    <row r="1845" spans="1:34" x14ac:dyDescent="0.35">
      <c r="A1845" t="s">
        <v>34</v>
      </c>
      <c r="B1845" s="1">
        <v>46146.65625</v>
      </c>
      <c r="C1845" t="s">
        <v>34</v>
      </c>
      <c r="D1845" s="1">
        <v>46154.625</v>
      </c>
      <c r="E1845">
        <v>8000</v>
      </c>
      <c r="F1845" t="s">
        <v>36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784.7</v>
      </c>
      <c r="N1845">
        <v>1</v>
      </c>
      <c r="O1845">
        <v>804.5</v>
      </c>
      <c r="P1845">
        <v>0</v>
      </c>
      <c r="Q1845">
        <v>0</v>
      </c>
      <c r="R1845">
        <v>0</v>
      </c>
      <c r="S1845">
        <v>0</v>
      </c>
      <c r="T1845">
        <v>0.27600000000000002</v>
      </c>
      <c r="U1845">
        <v>-0.99429999999999996</v>
      </c>
      <c r="V1845">
        <v>1E-4</v>
      </c>
      <c r="W1845">
        <v>-0.14929999999999999</v>
      </c>
      <c r="X1845">
        <v>0.1867</v>
      </c>
      <c r="Y1845">
        <v>-1.7481</v>
      </c>
      <c r="Z1845">
        <v>3</v>
      </c>
      <c r="AA1845">
        <v>785.6</v>
      </c>
      <c r="AB1845">
        <v>1</v>
      </c>
      <c r="AC1845">
        <v>808.3</v>
      </c>
      <c r="AD1845">
        <v>0</v>
      </c>
      <c r="AE1845">
        <v>0</v>
      </c>
      <c r="AF1845">
        <v>0</v>
      </c>
      <c r="AG1845">
        <v>0</v>
      </c>
      <c r="AH1845">
        <v>0</v>
      </c>
    </row>
    <row r="1846" spans="1:34" x14ac:dyDescent="0.35">
      <c r="A1846" t="s">
        <v>34</v>
      </c>
      <c r="B1846" s="1">
        <v>46146.65625</v>
      </c>
      <c r="C1846" t="s">
        <v>34</v>
      </c>
      <c r="D1846" s="1">
        <v>46154.625</v>
      </c>
      <c r="E1846">
        <v>8200</v>
      </c>
      <c r="F1846" t="s">
        <v>36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1</v>
      </c>
      <c r="M1846">
        <v>984.8</v>
      </c>
      <c r="N1846">
        <v>1</v>
      </c>
      <c r="O1846">
        <v>1003.8</v>
      </c>
      <c r="P1846">
        <v>0</v>
      </c>
      <c r="Q1846">
        <v>0</v>
      </c>
      <c r="R1846">
        <v>0</v>
      </c>
      <c r="S1846">
        <v>0</v>
      </c>
      <c r="T1846">
        <v>0.32350000000000001</v>
      </c>
      <c r="U1846">
        <v>-0.99619999999999997</v>
      </c>
      <c r="V1846">
        <v>0</v>
      </c>
      <c r="W1846">
        <v>-7.9500000000000001E-2</v>
      </c>
      <c r="X1846">
        <v>0.12970000000000001</v>
      </c>
      <c r="Y1846">
        <v>-1.7956000000000001</v>
      </c>
      <c r="Z1846">
        <v>3</v>
      </c>
      <c r="AA1846">
        <v>985.4</v>
      </c>
      <c r="AB1846">
        <v>1</v>
      </c>
      <c r="AC1846">
        <v>1008.8</v>
      </c>
      <c r="AD1846">
        <v>0</v>
      </c>
      <c r="AE1846">
        <v>0</v>
      </c>
      <c r="AF1846">
        <v>0</v>
      </c>
      <c r="AG1846">
        <v>0</v>
      </c>
      <c r="AH1846">
        <v>0</v>
      </c>
    </row>
    <row r="1847" spans="1:34" x14ac:dyDescent="0.35">
      <c r="A1847" t="s">
        <v>34</v>
      </c>
      <c r="B1847" s="1">
        <v>46146.65625</v>
      </c>
      <c r="C1847" t="s">
        <v>34</v>
      </c>
      <c r="D1847" s="1">
        <v>46154.625</v>
      </c>
      <c r="E1847">
        <v>8400</v>
      </c>
      <c r="F1847" t="s">
        <v>36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1183.7</v>
      </c>
      <c r="N1847">
        <v>1</v>
      </c>
      <c r="O1847">
        <v>1203.9000000000001</v>
      </c>
      <c r="P1847">
        <v>0</v>
      </c>
      <c r="Q1847">
        <v>0</v>
      </c>
      <c r="R1847">
        <v>0</v>
      </c>
      <c r="S1847">
        <v>0</v>
      </c>
      <c r="T1847">
        <v>0.31890000000000002</v>
      </c>
      <c r="U1847">
        <v>-0.99939999999999996</v>
      </c>
      <c r="V1847">
        <v>0</v>
      </c>
      <c r="W1847">
        <v>0</v>
      </c>
      <c r="X1847">
        <v>2.6100000000000002E-2</v>
      </c>
      <c r="Y1847">
        <v>-1.845</v>
      </c>
      <c r="Z1847">
        <v>3</v>
      </c>
      <c r="AA1847">
        <v>1185.2</v>
      </c>
      <c r="AB1847">
        <v>1</v>
      </c>
      <c r="AC1847">
        <v>1203.9000000000001</v>
      </c>
      <c r="AD1847">
        <v>0</v>
      </c>
      <c r="AE1847">
        <v>0</v>
      </c>
      <c r="AF1847">
        <v>0</v>
      </c>
      <c r="AG1847">
        <v>0</v>
      </c>
      <c r="AH1847">
        <v>0</v>
      </c>
    </row>
    <row r="1848" spans="1:34" x14ac:dyDescent="0.35">
      <c r="A1848" t="s">
        <v>34</v>
      </c>
      <c r="B1848" s="1">
        <v>46146.65625</v>
      </c>
      <c r="C1848" t="s">
        <v>34</v>
      </c>
      <c r="D1848" s="1">
        <v>46154.625</v>
      </c>
      <c r="E1848">
        <v>8600</v>
      </c>
      <c r="F1848" t="s">
        <v>36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1383.5</v>
      </c>
      <c r="N1848">
        <v>1</v>
      </c>
      <c r="O1848">
        <v>1403.3</v>
      </c>
      <c r="P1848">
        <v>0</v>
      </c>
      <c r="Q1848">
        <v>0</v>
      </c>
      <c r="R1848">
        <v>0</v>
      </c>
      <c r="S1848">
        <v>0</v>
      </c>
      <c r="T1848">
        <v>0.6502</v>
      </c>
      <c r="U1848">
        <v>-0.96240000000000003</v>
      </c>
      <c r="V1848">
        <v>1E-4</v>
      </c>
      <c r="W1848">
        <v>-3.0476999999999999</v>
      </c>
      <c r="X1848">
        <v>0.87749999999999995</v>
      </c>
      <c r="Y1848">
        <v>-1.8348</v>
      </c>
      <c r="Z1848">
        <v>1</v>
      </c>
      <c r="AA1848">
        <v>1385.1</v>
      </c>
      <c r="AB1848">
        <v>1</v>
      </c>
      <c r="AC1848">
        <v>1403.9</v>
      </c>
      <c r="AD1848">
        <v>0</v>
      </c>
      <c r="AE1848">
        <v>0</v>
      </c>
      <c r="AF1848">
        <v>0</v>
      </c>
      <c r="AG1848">
        <v>0</v>
      </c>
      <c r="AH1848">
        <v>0</v>
      </c>
    </row>
    <row r="1849" spans="1:34" x14ac:dyDescent="0.35">
      <c r="A1849" t="s">
        <v>34</v>
      </c>
      <c r="B1849" s="1">
        <v>46146.65625</v>
      </c>
      <c r="C1849" t="s">
        <v>34</v>
      </c>
      <c r="D1849" s="1">
        <v>46154.625</v>
      </c>
      <c r="E1849">
        <v>8800</v>
      </c>
      <c r="F1849" t="s">
        <v>36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1</v>
      </c>
      <c r="M1849">
        <v>1583.6</v>
      </c>
      <c r="N1849">
        <v>1</v>
      </c>
      <c r="O1849">
        <v>1603.7</v>
      </c>
      <c r="P1849">
        <v>0</v>
      </c>
      <c r="Q1849">
        <v>0</v>
      </c>
      <c r="R1849">
        <v>0</v>
      </c>
      <c r="S1849">
        <v>0</v>
      </c>
      <c r="T1849">
        <v>0.46179999999999999</v>
      </c>
      <c r="U1849">
        <v>-0.998</v>
      </c>
      <c r="V1849">
        <v>0</v>
      </c>
      <c r="W1849">
        <v>0</v>
      </c>
      <c r="X1849">
        <v>6.9199999999999998E-2</v>
      </c>
      <c r="Y1849">
        <v>-1.9323999999999999</v>
      </c>
      <c r="Z1849">
        <v>3</v>
      </c>
      <c r="AA1849">
        <v>1584.9</v>
      </c>
      <c r="AB1849">
        <v>1</v>
      </c>
      <c r="AC1849">
        <v>1603.7</v>
      </c>
      <c r="AD1849">
        <v>0</v>
      </c>
      <c r="AE1849">
        <v>0</v>
      </c>
      <c r="AF1849">
        <v>0</v>
      </c>
      <c r="AG1849">
        <v>0</v>
      </c>
      <c r="AH1849">
        <v>0</v>
      </c>
    </row>
    <row r="1850" spans="1:34" x14ac:dyDescent="0.35">
      <c r="A1850" t="s">
        <v>34</v>
      </c>
      <c r="B1850" s="1">
        <v>46146.65625</v>
      </c>
      <c r="C1850" t="s">
        <v>34</v>
      </c>
      <c r="D1850" s="1">
        <v>46154.625</v>
      </c>
      <c r="E1850">
        <v>9000</v>
      </c>
      <c r="F1850" t="s">
        <v>36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1</v>
      </c>
      <c r="M1850">
        <v>1783.8</v>
      </c>
      <c r="N1850">
        <v>2</v>
      </c>
      <c r="O1850">
        <v>1803.9</v>
      </c>
      <c r="P1850">
        <v>0</v>
      </c>
      <c r="Q1850">
        <v>0</v>
      </c>
      <c r="R1850">
        <v>0</v>
      </c>
      <c r="S1850">
        <v>0</v>
      </c>
      <c r="T1850">
        <v>0.55289999999999995</v>
      </c>
      <c r="U1850">
        <v>-0.99619999999999997</v>
      </c>
      <c r="V1850">
        <v>0</v>
      </c>
      <c r="W1850">
        <v>-0.1242</v>
      </c>
      <c r="X1850">
        <v>0.12379999999999999</v>
      </c>
      <c r="Y1850">
        <v>-1.9742999999999999</v>
      </c>
      <c r="Z1850">
        <v>3</v>
      </c>
      <c r="AA1850">
        <v>1784.7</v>
      </c>
      <c r="AB1850">
        <v>1</v>
      </c>
      <c r="AC1850">
        <v>1807.4</v>
      </c>
      <c r="AD1850">
        <v>0</v>
      </c>
      <c r="AE1850">
        <v>0</v>
      </c>
      <c r="AF1850">
        <v>0</v>
      </c>
      <c r="AG1850">
        <v>0</v>
      </c>
      <c r="AH1850">
        <v>0</v>
      </c>
    </row>
    <row r="1851" spans="1:34" x14ac:dyDescent="0.35">
      <c r="A1851" t="s">
        <v>34</v>
      </c>
      <c r="B1851" s="1">
        <v>46146.65625</v>
      </c>
      <c r="C1851" t="s">
        <v>34</v>
      </c>
      <c r="D1851" s="1">
        <v>46154.625</v>
      </c>
      <c r="E1851">
        <v>9200</v>
      </c>
      <c r="F1851" t="s">
        <v>36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1</v>
      </c>
      <c r="M1851">
        <v>1983.9</v>
      </c>
      <c r="N1851">
        <v>1</v>
      </c>
      <c r="O1851">
        <v>2002.9</v>
      </c>
      <c r="P1851">
        <v>0</v>
      </c>
      <c r="Q1851">
        <v>0</v>
      </c>
      <c r="R1851">
        <v>0</v>
      </c>
      <c r="S1851">
        <v>0</v>
      </c>
      <c r="T1851">
        <v>0.57050000000000001</v>
      </c>
      <c r="U1851">
        <v>-0.99780000000000002</v>
      </c>
      <c r="V1851">
        <v>0</v>
      </c>
      <c r="W1851">
        <v>0</v>
      </c>
      <c r="X1851">
        <v>7.6100000000000001E-2</v>
      </c>
      <c r="Y1851">
        <v>-2.0213000000000001</v>
      </c>
      <c r="Z1851">
        <v>3</v>
      </c>
      <c r="AA1851">
        <v>1984.5</v>
      </c>
      <c r="AB1851">
        <v>1</v>
      </c>
      <c r="AC1851">
        <v>2003.1</v>
      </c>
      <c r="AD1851">
        <v>0</v>
      </c>
      <c r="AE1851">
        <v>0</v>
      </c>
      <c r="AF1851">
        <v>0</v>
      </c>
      <c r="AG1851">
        <v>0</v>
      </c>
      <c r="AH1851">
        <v>0</v>
      </c>
    </row>
    <row r="1852" spans="1:34" x14ac:dyDescent="0.35">
      <c r="A1852" t="s">
        <v>34</v>
      </c>
      <c r="B1852" s="1">
        <v>46146.65625</v>
      </c>
      <c r="C1852" t="s">
        <v>34</v>
      </c>
      <c r="D1852" s="1">
        <v>46154.625</v>
      </c>
      <c r="E1852">
        <v>9400</v>
      </c>
      <c r="F1852" t="s">
        <v>36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1</v>
      </c>
      <c r="M1852">
        <v>2182.8000000000002</v>
      </c>
      <c r="N1852">
        <v>1</v>
      </c>
      <c r="O1852">
        <v>2202.9</v>
      </c>
      <c r="P1852">
        <v>0</v>
      </c>
      <c r="Q1852">
        <v>0</v>
      </c>
      <c r="R1852">
        <v>0</v>
      </c>
      <c r="S1852">
        <v>0</v>
      </c>
      <c r="T1852">
        <v>0.90100000000000002</v>
      </c>
      <c r="U1852">
        <v>-0.97230000000000005</v>
      </c>
      <c r="V1852">
        <v>1E-4</v>
      </c>
      <c r="W1852">
        <v>-3.1223000000000001</v>
      </c>
      <c r="X1852">
        <v>0.67669999999999997</v>
      </c>
      <c r="Y1852">
        <v>-2.0291999999999999</v>
      </c>
      <c r="Z1852">
        <v>2</v>
      </c>
      <c r="AA1852">
        <v>2184.3000000000002</v>
      </c>
      <c r="AB1852">
        <v>1</v>
      </c>
      <c r="AC1852">
        <v>2202.9</v>
      </c>
      <c r="AD1852">
        <v>0</v>
      </c>
      <c r="AE1852">
        <v>0</v>
      </c>
      <c r="AF1852">
        <v>0</v>
      </c>
      <c r="AG1852">
        <v>0</v>
      </c>
      <c r="AH1852">
        <v>0</v>
      </c>
    </row>
    <row r="1853" spans="1:34" x14ac:dyDescent="0.35">
      <c r="A1853" t="s">
        <v>34</v>
      </c>
      <c r="B1853" s="1">
        <v>46146.65625</v>
      </c>
      <c r="C1853" t="s">
        <v>34</v>
      </c>
      <c r="D1853" s="1">
        <v>46155.625</v>
      </c>
      <c r="E1853">
        <v>2800</v>
      </c>
      <c r="F1853" t="s">
        <v>35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455</v>
      </c>
      <c r="O1853">
        <v>0.05</v>
      </c>
      <c r="P1853">
        <v>0</v>
      </c>
      <c r="Q1853">
        <v>0</v>
      </c>
      <c r="R1853">
        <v>0</v>
      </c>
      <c r="S1853">
        <v>0</v>
      </c>
      <c r="T1853">
        <v>1.6244000000000001</v>
      </c>
      <c r="U1853">
        <v>-1E-4</v>
      </c>
      <c r="V1853">
        <v>0</v>
      </c>
      <c r="W1853">
        <v>-1.6400000000000001E-2</v>
      </c>
      <c r="X1853">
        <v>2.7000000000000001E-3</v>
      </c>
      <c r="Y1853">
        <v>-1E-4</v>
      </c>
      <c r="Z1853">
        <v>0</v>
      </c>
      <c r="AA1853">
        <v>0</v>
      </c>
      <c r="AB1853">
        <v>443</v>
      </c>
      <c r="AC1853">
        <v>0.1</v>
      </c>
      <c r="AD1853">
        <v>0</v>
      </c>
      <c r="AE1853">
        <v>0</v>
      </c>
      <c r="AF1853">
        <v>0</v>
      </c>
      <c r="AG1853">
        <v>1</v>
      </c>
      <c r="AH1853">
        <v>0</v>
      </c>
    </row>
    <row r="1854" spans="1:34" x14ac:dyDescent="0.35">
      <c r="A1854" t="s">
        <v>34</v>
      </c>
      <c r="B1854" s="1">
        <v>46146.65625</v>
      </c>
      <c r="C1854" t="s">
        <v>34</v>
      </c>
      <c r="D1854" s="1">
        <v>46155.625</v>
      </c>
      <c r="E1854">
        <v>3000</v>
      </c>
      <c r="F1854" t="s">
        <v>35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466</v>
      </c>
      <c r="O1854">
        <v>0.05</v>
      </c>
      <c r="P1854">
        <v>0</v>
      </c>
      <c r="Q1854">
        <v>0</v>
      </c>
      <c r="R1854">
        <v>0</v>
      </c>
      <c r="S1854">
        <v>0</v>
      </c>
      <c r="T1854">
        <v>1.5094000000000001</v>
      </c>
      <c r="U1854">
        <v>-1E-4</v>
      </c>
      <c r="V1854">
        <v>0</v>
      </c>
      <c r="W1854">
        <v>-1.6400000000000001E-2</v>
      </c>
      <c r="X1854">
        <v>2.8999999999999998E-3</v>
      </c>
      <c r="Y1854">
        <v>-1E-4</v>
      </c>
      <c r="Z1854">
        <v>0</v>
      </c>
      <c r="AA1854">
        <v>0</v>
      </c>
      <c r="AB1854">
        <v>465</v>
      </c>
      <c r="AC1854">
        <v>0.1</v>
      </c>
      <c r="AD1854">
        <v>0</v>
      </c>
      <c r="AE1854">
        <v>0</v>
      </c>
      <c r="AF1854">
        <v>0</v>
      </c>
      <c r="AG1854">
        <v>1</v>
      </c>
      <c r="AH1854">
        <v>0</v>
      </c>
    </row>
    <row r="1855" spans="1:34" x14ac:dyDescent="0.35">
      <c r="A1855" t="s">
        <v>34</v>
      </c>
      <c r="B1855" s="1">
        <v>46146.65625</v>
      </c>
      <c r="C1855" t="s">
        <v>34</v>
      </c>
      <c r="D1855" s="1">
        <v>46155.625</v>
      </c>
      <c r="E1855">
        <v>3200</v>
      </c>
      <c r="F1855" t="s">
        <v>35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441</v>
      </c>
      <c r="O1855">
        <v>0.05</v>
      </c>
      <c r="P1855">
        <v>0</v>
      </c>
      <c r="Q1855">
        <v>0</v>
      </c>
      <c r="R1855">
        <v>0</v>
      </c>
      <c r="S1855">
        <v>0</v>
      </c>
      <c r="T1855">
        <v>1.4018999999999999</v>
      </c>
      <c r="U1855">
        <v>-1E-4</v>
      </c>
      <c r="V1855">
        <v>0</v>
      </c>
      <c r="W1855">
        <v>-1.6400000000000001E-2</v>
      </c>
      <c r="X1855">
        <v>3.2000000000000002E-3</v>
      </c>
      <c r="Y1855">
        <v>-1E-4</v>
      </c>
      <c r="Z1855">
        <v>0</v>
      </c>
      <c r="AA1855">
        <v>0</v>
      </c>
      <c r="AB1855">
        <v>455</v>
      </c>
      <c r="AC1855">
        <v>0.1</v>
      </c>
      <c r="AD1855">
        <v>0</v>
      </c>
      <c r="AE1855">
        <v>0</v>
      </c>
      <c r="AF1855">
        <v>0</v>
      </c>
      <c r="AG1855">
        <v>5</v>
      </c>
      <c r="AH1855">
        <v>0</v>
      </c>
    </row>
    <row r="1856" spans="1:34" x14ac:dyDescent="0.35">
      <c r="A1856" t="s">
        <v>34</v>
      </c>
      <c r="B1856" s="1">
        <v>46146.65625</v>
      </c>
      <c r="C1856" t="s">
        <v>34</v>
      </c>
      <c r="D1856" s="1">
        <v>46155.625</v>
      </c>
      <c r="E1856">
        <v>3400</v>
      </c>
      <c r="F1856" t="s">
        <v>35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409</v>
      </c>
      <c r="O1856">
        <v>0.05</v>
      </c>
      <c r="P1856">
        <v>0</v>
      </c>
      <c r="Q1856">
        <v>0</v>
      </c>
      <c r="R1856">
        <v>0</v>
      </c>
      <c r="S1856">
        <v>0</v>
      </c>
      <c r="T1856">
        <v>1.3008</v>
      </c>
      <c r="U1856">
        <v>-1E-4</v>
      </c>
      <c r="V1856">
        <v>0</v>
      </c>
      <c r="W1856">
        <v>-1.6299999999999999E-2</v>
      </c>
      <c r="X1856">
        <v>3.3999999999999998E-3</v>
      </c>
      <c r="Y1856">
        <v>-1E-4</v>
      </c>
      <c r="Z1856">
        <v>0</v>
      </c>
      <c r="AA1856">
        <v>0</v>
      </c>
      <c r="AB1856">
        <v>444</v>
      </c>
      <c r="AC1856">
        <v>0.1</v>
      </c>
      <c r="AD1856">
        <v>0</v>
      </c>
      <c r="AE1856">
        <v>0</v>
      </c>
      <c r="AF1856">
        <v>0</v>
      </c>
      <c r="AG1856">
        <v>151</v>
      </c>
      <c r="AH1856">
        <v>0</v>
      </c>
    </row>
    <row r="1857" spans="1:34" x14ac:dyDescent="0.35">
      <c r="A1857" t="s">
        <v>34</v>
      </c>
      <c r="B1857" s="1">
        <v>46146.65625</v>
      </c>
      <c r="C1857" t="s">
        <v>34</v>
      </c>
      <c r="D1857" s="1">
        <v>46155.625</v>
      </c>
      <c r="E1857">
        <v>3600</v>
      </c>
      <c r="F1857" t="s">
        <v>36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372</v>
      </c>
      <c r="O1857">
        <v>0.05</v>
      </c>
      <c r="P1857">
        <v>0</v>
      </c>
      <c r="Q1857">
        <v>0</v>
      </c>
      <c r="R1857">
        <v>0</v>
      </c>
      <c r="S1857">
        <v>0</v>
      </c>
      <c r="T1857">
        <v>1.2054</v>
      </c>
      <c r="U1857">
        <v>-1E-4</v>
      </c>
      <c r="V1857">
        <v>0</v>
      </c>
      <c r="W1857">
        <v>-1.6299999999999999E-2</v>
      </c>
      <c r="X1857">
        <v>3.7000000000000002E-3</v>
      </c>
      <c r="Y1857">
        <v>-1E-4</v>
      </c>
      <c r="Z1857">
        <v>0</v>
      </c>
      <c r="AA1857">
        <v>0</v>
      </c>
      <c r="AB1857">
        <v>431</v>
      </c>
      <c r="AC1857">
        <v>0.1</v>
      </c>
      <c r="AD1857">
        <v>0</v>
      </c>
      <c r="AE1857">
        <v>0</v>
      </c>
      <c r="AF1857">
        <v>0</v>
      </c>
      <c r="AG1857">
        <v>7</v>
      </c>
      <c r="AH1857">
        <v>0</v>
      </c>
    </row>
    <row r="1858" spans="1:34" x14ac:dyDescent="0.35">
      <c r="A1858" t="s">
        <v>34</v>
      </c>
      <c r="B1858" s="1">
        <v>46146.65625</v>
      </c>
      <c r="C1858" t="s">
        <v>34</v>
      </c>
      <c r="D1858" s="1">
        <v>46155.625</v>
      </c>
      <c r="E1858">
        <v>3800</v>
      </c>
      <c r="F1858" t="s">
        <v>36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294</v>
      </c>
      <c r="O1858">
        <v>0.05</v>
      </c>
      <c r="P1858">
        <v>0</v>
      </c>
      <c r="Q1858">
        <v>0</v>
      </c>
      <c r="R1858">
        <v>0</v>
      </c>
      <c r="S1858">
        <v>0</v>
      </c>
      <c r="T1858">
        <v>1.1149</v>
      </c>
      <c r="U1858">
        <v>-1E-4</v>
      </c>
      <c r="V1858">
        <v>0</v>
      </c>
      <c r="W1858">
        <v>-1.6199999999999999E-2</v>
      </c>
      <c r="X1858">
        <v>4.0000000000000001E-3</v>
      </c>
      <c r="Y1858">
        <v>-2.0000000000000001E-4</v>
      </c>
      <c r="Z1858">
        <v>0</v>
      </c>
      <c r="AA1858">
        <v>0</v>
      </c>
      <c r="AB1858">
        <v>412</v>
      </c>
      <c r="AC1858">
        <v>0.1</v>
      </c>
      <c r="AD1858">
        <v>0</v>
      </c>
      <c r="AE1858">
        <v>0</v>
      </c>
      <c r="AF1858">
        <v>0</v>
      </c>
      <c r="AG1858">
        <v>39</v>
      </c>
      <c r="AH1858">
        <v>0</v>
      </c>
    </row>
    <row r="1859" spans="1:34" x14ac:dyDescent="0.35">
      <c r="A1859" t="s">
        <v>34</v>
      </c>
      <c r="B1859" s="1">
        <v>46146.65625</v>
      </c>
      <c r="C1859" t="s">
        <v>34</v>
      </c>
      <c r="D1859" s="1">
        <v>46155.625</v>
      </c>
      <c r="E1859">
        <v>4000</v>
      </c>
      <c r="F1859" t="s">
        <v>36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232</v>
      </c>
      <c r="O1859">
        <v>0.05</v>
      </c>
      <c r="P1859">
        <v>0</v>
      </c>
      <c r="Q1859">
        <v>0</v>
      </c>
      <c r="R1859">
        <v>0</v>
      </c>
      <c r="S1859">
        <v>0</v>
      </c>
      <c r="T1859">
        <v>1.0291999999999999</v>
      </c>
      <c r="U1859">
        <v>-1E-4</v>
      </c>
      <c r="V1859">
        <v>0</v>
      </c>
      <c r="W1859">
        <v>-1.61E-2</v>
      </c>
      <c r="X1859">
        <v>4.3E-3</v>
      </c>
      <c r="Y1859">
        <v>-2.0000000000000001E-4</v>
      </c>
      <c r="Z1859">
        <v>0</v>
      </c>
      <c r="AA1859">
        <v>0</v>
      </c>
      <c r="AB1859">
        <v>393</v>
      </c>
      <c r="AC1859">
        <v>0.1</v>
      </c>
      <c r="AD1859">
        <v>0</v>
      </c>
      <c r="AE1859">
        <v>0</v>
      </c>
      <c r="AF1859">
        <v>0</v>
      </c>
      <c r="AG1859">
        <v>48</v>
      </c>
      <c r="AH1859">
        <v>0</v>
      </c>
    </row>
    <row r="1860" spans="1:34" x14ac:dyDescent="0.35">
      <c r="A1860" t="s">
        <v>34</v>
      </c>
      <c r="B1860" s="1">
        <v>46146.65625</v>
      </c>
      <c r="C1860" t="s">
        <v>34</v>
      </c>
      <c r="D1860" s="1">
        <v>46155.625</v>
      </c>
      <c r="E1860">
        <v>4200</v>
      </c>
      <c r="F1860" t="s">
        <v>36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893</v>
      </c>
      <c r="O1860">
        <v>0.1</v>
      </c>
      <c r="P1860">
        <v>0</v>
      </c>
      <c r="Q1860">
        <v>0</v>
      </c>
      <c r="R1860">
        <v>0</v>
      </c>
      <c r="S1860">
        <v>0</v>
      </c>
      <c r="T1860">
        <v>0.99009999999999998</v>
      </c>
      <c r="U1860">
        <v>-2.0000000000000001E-4</v>
      </c>
      <c r="V1860">
        <v>0</v>
      </c>
      <c r="W1860">
        <v>-3.0700000000000002E-2</v>
      </c>
      <c r="X1860">
        <v>8.0999999999999996E-3</v>
      </c>
      <c r="Y1860">
        <v>-2.9999999999999997E-4</v>
      </c>
      <c r="Z1860">
        <v>0</v>
      </c>
      <c r="AA1860">
        <v>0</v>
      </c>
      <c r="AB1860">
        <v>369</v>
      </c>
      <c r="AC1860">
        <v>0.1</v>
      </c>
      <c r="AD1860">
        <v>0</v>
      </c>
      <c r="AE1860">
        <v>0</v>
      </c>
      <c r="AF1860">
        <v>0</v>
      </c>
      <c r="AG1860">
        <v>13</v>
      </c>
      <c r="AH1860">
        <v>0</v>
      </c>
    </row>
    <row r="1861" spans="1:34" x14ac:dyDescent="0.35">
      <c r="A1861" t="s">
        <v>34</v>
      </c>
      <c r="B1861" s="1">
        <v>46146.65625</v>
      </c>
      <c r="C1861" t="s">
        <v>34</v>
      </c>
      <c r="D1861" s="1">
        <v>46155.625</v>
      </c>
      <c r="E1861">
        <v>4400</v>
      </c>
      <c r="F1861" t="s">
        <v>36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751</v>
      </c>
      <c r="O1861">
        <v>0.1</v>
      </c>
      <c r="P1861">
        <v>0</v>
      </c>
      <c r="Q1861">
        <v>0</v>
      </c>
      <c r="R1861">
        <v>0</v>
      </c>
      <c r="S1861">
        <v>0</v>
      </c>
      <c r="T1861">
        <v>0.90880000000000005</v>
      </c>
      <c r="U1861">
        <v>-2.0000000000000001E-4</v>
      </c>
      <c r="V1861">
        <v>0</v>
      </c>
      <c r="W1861">
        <v>-3.0599999999999999E-2</v>
      </c>
      <c r="X1861">
        <v>8.8999999999999999E-3</v>
      </c>
      <c r="Y1861">
        <v>-4.0000000000000002E-4</v>
      </c>
      <c r="Z1861">
        <v>0</v>
      </c>
      <c r="AA1861">
        <v>0</v>
      </c>
      <c r="AB1861">
        <v>302</v>
      </c>
      <c r="AC1861">
        <v>0.1</v>
      </c>
      <c r="AD1861">
        <v>0</v>
      </c>
      <c r="AE1861">
        <v>0</v>
      </c>
      <c r="AF1861">
        <v>0</v>
      </c>
      <c r="AG1861">
        <v>102</v>
      </c>
      <c r="AH1861">
        <v>0</v>
      </c>
    </row>
    <row r="1862" spans="1:34" x14ac:dyDescent="0.35">
      <c r="A1862" t="s">
        <v>34</v>
      </c>
      <c r="B1862" s="1">
        <v>46146.65625</v>
      </c>
      <c r="C1862" t="s">
        <v>34</v>
      </c>
      <c r="D1862" s="1">
        <v>46155.625</v>
      </c>
      <c r="E1862">
        <v>4600</v>
      </c>
      <c r="F1862" t="s">
        <v>36</v>
      </c>
      <c r="G1862">
        <v>0.05</v>
      </c>
      <c r="H1862">
        <v>0.05</v>
      </c>
      <c r="I1862">
        <v>0.05</v>
      </c>
      <c r="J1862">
        <v>0.05</v>
      </c>
      <c r="K1862">
        <v>283</v>
      </c>
      <c r="L1862">
        <v>0</v>
      </c>
      <c r="M1862">
        <v>0</v>
      </c>
      <c r="N1862">
        <v>217</v>
      </c>
      <c r="O1862">
        <v>0.05</v>
      </c>
      <c r="P1862">
        <v>0</v>
      </c>
      <c r="Q1862">
        <v>0</v>
      </c>
      <c r="R1862">
        <v>0</v>
      </c>
      <c r="S1862">
        <v>0</v>
      </c>
      <c r="T1862">
        <v>0.79449999999999998</v>
      </c>
      <c r="U1862">
        <v>-1E-4</v>
      </c>
      <c r="V1862">
        <v>0</v>
      </c>
      <c r="W1862">
        <v>-1.5900000000000001E-2</v>
      </c>
      <c r="X1862">
        <v>5.4999999999999997E-3</v>
      </c>
      <c r="Y1862">
        <v>-2.0000000000000001E-4</v>
      </c>
      <c r="Z1862">
        <v>0</v>
      </c>
      <c r="AA1862">
        <v>0</v>
      </c>
      <c r="AB1862">
        <v>217</v>
      </c>
      <c r="AC1862">
        <v>0.05</v>
      </c>
      <c r="AD1862">
        <v>0</v>
      </c>
      <c r="AE1862">
        <v>0</v>
      </c>
      <c r="AF1862">
        <v>0.05</v>
      </c>
      <c r="AG1862">
        <v>553</v>
      </c>
      <c r="AH1862">
        <v>0</v>
      </c>
    </row>
    <row r="1863" spans="1:34" x14ac:dyDescent="0.35">
      <c r="A1863" t="s">
        <v>34</v>
      </c>
      <c r="B1863" s="1">
        <v>46146.65625</v>
      </c>
      <c r="C1863" t="s">
        <v>34</v>
      </c>
      <c r="D1863" s="1">
        <v>46155.625</v>
      </c>
      <c r="E1863">
        <v>4800</v>
      </c>
      <c r="F1863" t="s">
        <v>36</v>
      </c>
      <c r="G1863">
        <v>0.05</v>
      </c>
      <c r="H1863">
        <v>0.05</v>
      </c>
      <c r="I1863">
        <v>0.05</v>
      </c>
      <c r="J1863">
        <v>0.05</v>
      </c>
      <c r="K1863">
        <v>125</v>
      </c>
      <c r="L1863">
        <v>25</v>
      </c>
      <c r="M1863">
        <v>0.05</v>
      </c>
      <c r="N1863">
        <v>232</v>
      </c>
      <c r="O1863">
        <v>0.1</v>
      </c>
      <c r="P1863">
        <v>0</v>
      </c>
      <c r="Q1863">
        <v>0</v>
      </c>
      <c r="R1863">
        <v>0</v>
      </c>
      <c r="S1863">
        <v>0</v>
      </c>
      <c r="T1863">
        <v>0.77759999999999996</v>
      </c>
      <c r="U1863">
        <v>-4.0000000000000002E-4</v>
      </c>
      <c r="V1863">
        <v>0</v>
      </c>
      <c r="W1863">
        <v>-4.3999999999999997E-2</v>
      </c>
      <c r="X1863">
        <v>1.46E-2</v>
      </c>
      <c r="Y1863">
        <v>-5.9999999999999995E-4</v>
      </c>
      <c r="Z1863">
        <v>0</v>
      </c>
      <c r="AA1863">
        <v>0</v>
      </c>
      <c r="AB1863">
        <v>25</v>
      </c>
      <c r="AC1863">
        <v>0.05</v>
      </c>
      <c r="AD1863">
        <v>0</v>
      </c>
      <c r="AE1863">
        <v>0</v>
      </c>
      <c r="AF1863">
        <v>0.05</v>
      </c>
      <c r="AG1863">
        <v>787</v>
      </c>
      <c r="AH1863">
        <v>0</v>
      </c>
    </row>
    <row r="1864" spans="1:34" x14ac:dyDescent="0.35">
      <c r="A1864" t="s">
        <v>34</v>
      </c>
      <c r="B1864" s="1">
        <v>46146.65625</v>
      </c>
      <c r="C1864" t="s">
        <v>34</v>
      </c>
      <c r="D1864" s="1">
        <v>46155.625</v>
      </c>
      <c r="E1864">
        <v>5000</v>
      </c>
      <c r="F1864" t="s">
        <v>36</v>
      </c>
      <c r="G1864">
        <v>0.12</v>
      </c>
      <c r="H1864">
        <v>0.12</v>
      </c>
      <c r="I1864">
        <v>0.09</v>
      </c>
      <c r="J1864">
        <v>0.1</v>
      </c>
      <c r="K1864">
        <v>660</v>
      </c>
      <c r="L1864">
        <v>47</v>
      </c>
      <c r="M1864">
        <v>0.05</v>
      </c>
      <c r="N1864">
        <v>1</v>
      </c>
      <c r="O1864">
        <v>0.1</v>
      </c>
      <c r="P1864">
        <v>0</v>
      </c>
      <c r="Q1864">
        <v>0</v>
      </c>
      <c r="R1864">
        <v>0</v>
      </c>
      <c r="S1864">
        <v>0</v>
      </c>
      <c r="T1864">
        <v>0.70369999999999999</v>
      </c>
      <c r="U1864">
        <v>-4.0000000000000002E-4</v>
      </c>
      <c r="V1864">
        <v>0</v>
      </c>
      <c r="W1864">
        <v>-4.3700000000000003E-2</v>
      </c>
      <c r="X1864">
        <v>1.61E-2</v>
      </c>
      <c r="Y1864">
        <v>-6.9999999999999999E-4</v>
      </c>
      <c r="Z1864">
        <v>0</v>
      </c>
      <c r="AA1864">
        <v>0</v>
      </c>
      <c r="AB1864">
        <v>1</v>
      </c>
      <c r="AC1864">
        <v>0.1</v>
      </c>
      <c r="AD1864">
        <v>0</v>
      </c>
      <c r="AE1864">
        <v>0</v>
      </c>
      <c r="AF1864">
        <v>0.1142</v>
      </c>
      <c r="AG1864">
        <v>1697</v>
      </c>
      <c r="AH1864">
        <v>0</v>
      </c>
    </row>
    <row r="1865" spans="1:34" x14ac:dyDescent="0.35">
      <c r="A1865" t="s">
        <v>34</v>
      </c>
      <c r="B1865" s="1">
        <v>46146.65625</v>
      </c>
      <c r="C1865" t="s">
        <v>34</v>
      </c>
      <c r="D1865" s="1">
        <v>46155.625</v>
      </c>
      <c r="E1865">
        <v>5200</v>
      </c>
      <c r="F1865" t="s">
        <v>36</v>
      </c>
      <c r="G1865">
        <v>0.15</v>
      </c>
      <c r="H1865">
        <v>0.15</v>
      </c>
      <c r="I1865">
        <v>0.15</v>
      </c>
      <c r="J1865">
        <v>0.15</v>
      </c>
      <c r="K1865">
        <v>10</v>
      </c>
      <c r="L1865">
        <v>495</v>
      </c>
      <c r="M1865">
        <v>0.05</v>
      </c>
      <c r="N1865">
        <v>224</v>
      </c>
      <c r="O1865">
        <v>0.15</v>
      </c>
      <c r="P1865">
        <v>0</v>
      </c>
      <c r="Q1865">
        <v>0</v>
      </c>
      <c r="R1865">
        <v>0</v>
      </c>
      <c r="S1865">
        <v>0</v>
      </c>
      <c r="T1865">
        <v>0.64600000000000002</v>
      </c>
      <c r="U1865">
        <v>-5.9999999999999995E-4</v>
      </c>
      <c r="V1865">
        <v>0</v>
      </c>
      <c r="W1865">
        <v>-5.6500000000000002E-2</v>
      </c>
      <c r="X1865">
        <v>2.24E-2</v>
      </c>
      <c r="Y1865">
        <v>-8.9999999999999998E-4</v>
      </c>
      <c r="Z1865">
        <v>53</v>
      </c>
      <c r="AA1865">
        <v>0.05</v>
      </c>
      <c r="AB1865">
        <v>343</v>
      </c>
      <c r="AC1865">
        <v>0.2</v>
      </c>
      <c r="AD1865">
        <v>0</v>
      </c>
      <c r="AE1865">
        <v>0</v>
      </c>
      <c r="AF1865">
        <v>0.15</v>
      </c>
      <c r="AG1865">
        <v>3674</v>
      </c>
      <c r="AH1865">
        <v>0</v>
      </c>
    </row>
    <row r="1866" spans="1:34" x14ac:dyDescent="0.35">
      <c r="A1866" t="s">
        <v>34</v>
      </c>
      <c r="B1866" s="1">
        <v>46146.65625</v>
      </c>
      <c r="C1866" t="s">
        <v>34</v>
      </c>
      <c r="D1866" s="1">
        <v>46155.625</v>
      </c>
      <c r="E1866">
        <v>5300</v>
      </c>
      <c r="F1866" t="s">
        <v>36</v>
      </c>
      <c r="G1866">
        <v>0.1</v>
      </c>
      <c r="H1866">
        <v>0.15</v>
      </c>
      <c r="I1866">
        <v>0.1</v>
      </c>
      <c r="J1866">
        <v>0.15</v>
      </c>
      <c r="K1866">
        <v>44</v>
      </c>
      <c r="L1866">
        <v>595</v>
      </c>
      <c r="M1866">
        <v>0.05</v>
      </c>
      <c r="N1866">
        <v>532</v>
      </c>
      <c r="O1866">
        <v>0.2</v>
      </c>
      <c r="P1866">
        <v>0</v>
      </c>
      <c r="Q1866">
        <v>0</v>
      </c>
      <c r="R1866">
        <v>0</v>
      </c>
      <c r="S1866">
        <v>0</v>
      </c>
      <c r="T1866">
        <v>0.62119999999999997</v>
      </c>
      <c r="U1866">
        <v>-6.9999999999999999E-4</v>
      </c>
      <c r="V1866">
        <v>0</v>
      </c>
      <c r="W1866">
        <v>-6.9000000000000006E-2</v>
      </c>
      <c r="X1866">
        <v>2.8000000000000001E-2</v>
      </c>
      <c r="Y1866">
        <v>-1.1999999999999999E-3</v>
      </c>
      <c r="Z1866">
        <v>55</v>
      </c>
      <c r="AA1866">
        <v>0.05</v>
      </c>
      <c r="AB1866">
        <v>273</v>
      </c>
      <c r="AC1866">
        <v>0.2</v>
      </c>
      <c r="AD1866">
        <v>0</v>
      </c>
      <c r="AE1866">
        <v>0</v>
      </c>
      <c r="AF1866">
        <v>0.12839999999999999</v>
      </c>
      <c r="AG1866">
        <v>537</v>
      </c>
      <c r="AH1866">
        <v>0</v>
      </c>
    </row>
    <row r="1867" spans="1:34" x14ac:dyDescent="0.35">
      <c r="A1867" t="s">
        <v>34</v>
      </c>
      <c r="B1867" s="1">
        <v>46146.65625</v>
      </c>
      <c r="C1867" t="s">
        <v>34</v>
      </c>
      <c r="D1867" s="1">
        <v>46155.625</v>
      </c>
      <c r="E1867">
        <v>5400</v>
      </c>
      <c r="F1867" t="s">
        <v>36</v>
      </c>
      <c r="G1867">
        <v>0.16</v>
      </c>
      <c r="H1867">
        <v>0.16</v>
      </c>
      <c r="I1867">
        <v>0.15</v>
      </c>
      <c r="J1867">
        <v>0.15</v>
      </c>
      <c r="K1867">
        <v>60</v>
      </c>
      <c r="L1867">
        <v>236</v>
      </c>
      <c r="M1867">
        <v>0.1</v>
      </c>
      <c r="N1867">
        <v>365</v>
      </c>
      <c r="O1867">
        <v>0.2</v>
      </c>
      <c r="P1867">
        <v>0</v>
      </c>
      <c r="Q1867">
        <v>0</v>
      </c>
      <c r="R1867">
        <v>0</v>
      </c>
      <c r="S1867">
        <v>0</v>
      </c>
      <c r="T1867">
        <v>0.59440000000000004</v>
      </c>
      <c r="U1867">
        <v>-8.9999999999999998E-4</v>
      </c>
      <c r="V1867">
        <v>0</v>
      </c>
      <c r="W1867">
        <v>-8.1100000000000005E-2</v>
      </c>
      <c r="X1867">
        <v>3.4099999999999998E-2</v>
      </c>
      <c r="Y1867">
        <v>-1.5E-3</v>
      </c>
      <c r="Z1867">
        <v>15</v>
      </c>
      <c r="AA1867">
        <v>0.1</v>
      </c>
      <c r="AB1867">
        <v>342</v>
      </c>
      <c r="AC1867">
        <v>0.25</v>
      </c>
      <c r="AD1867">
        <v>0</v>
      </c>
      <c r="AE1867">
        <v>0</v>
      </c>
      <c r="AF1867">
        <v>0.1517</v>
      </c>
      <c r="AG1867">
        <v>296</v>
      </c>
      <c r="AH1867">
        <v>0</v>
      </c>
    </row>
    <row r="1868" spans="1:34" x14ac:dyDescent="0.35">
      <c r="A1868" t="s">
        <v>34</v>
      </c>
      <c r="B1868" s="1">
        <v>46146.65625</v>
      </c>
      <c r="C1868" t="s">
        <v>34</v>
      </c>
      <c r="D1868" s="1">
        <v>46155.625</v>
      </c>
      <c r="E1868">
        <v>5500</v>
      </c>
      <c r="F1868" t="s">
        <v>36</v>
      </c>
      <c r="G1868">
        <v>0.15</v>
      </c>
      <c r="H1868">
        <v>0.2</v>
      </c>
      <c r="I1868">
        <v>0.15</v>
      </c>
      <c r="J1868">
        <v>0.2</v>
      </c>
      <c r="K1868">
        <v>82</v>
      </c>
      <c r="L1868">
        <v>471</v>
      </c>
      <c r="M1868">
        <v>0.1</v>
      </c>
      <c r="N1868">
        <v>475</v>
      </c>
      <c r="O1868">
        <v>0.25</v>
      </c>
      <c r="P1868">
        <v>0</v>
      </c>
      <c r="Q1868">
        <v>0</v>
      </c>
      <c r="R1868">
        <v>0</v>
      </c>
      <c r="S1868">
        <v>0</v>
      </c>
      <c r="T1868">
        <v>0.56620000000000004</v>
      </c>
      <c r="U1868">
        <v>-1E-3</v>
      </c>
      <c r="V1868">
        <v>0</v>
      </c>
      <c r="W1868">
        <v>-9.2700000000000005E-2</v>
      </c>
      <c r="X1868">
        <v>4.0599999999999997E-2</v>
      </c>
      <c r="Y1868">
        <v>-1.8E-3</v>
      </c>
      <c r="Z1868">
        <v>54</v>
      </c>
      <c r="AA1868">
        <v>0.1</v>
      </c>
      <c r="AB1868">
        <v>201</v>
      </c>
      <c r="AC1868">
        <v>0.25</v>
      </c>
      <c r="AD1868">
        <v>0</v>
      </c>
      <c r="AE1868">
        <v>0</v>
      </c>
      <c r="AF1868">
        <v>0.19409999999999999</v>
      </c>
      <c r="AG1868">
        <v>329</v>
      </c>
      <c r="AH1868">
        <v>0</v>
      </c>
    </row>
    <row r="1869" spans="1:34" x14ac:dyDescent="0.35">
      <c r="A1869" t="s">
        <v>34</v>
      </c>
      <c r="B1869" s="1">
        <v>46146.65625</v>
      </c>
      <c r="C1869" t="s">
        <v>34</v>
      </c>
      <c r="D1869" s="1">
        <v>46155.625</v>
      </c>
      <c r="E1869">
        <v>5600</v>
      </c>
      <c r="F1869" t="s">
        <v>36</v>
      </c>
      <c r="G1869">
        <v>0.19</v>
      </c>
      <c r="H1869">
        <v>0.19</v>
      </c>
      <c r="I1869">
        <v>0.18</v>
      </c>
      <c r="J1869">
        <v>0.18</v>
      </c>
      <c r="K1869">
        <v>60</v>
      </c>
      <c r="L1869">
        <v>336</v>
      </c>
      <c r="M1869">
        <v>0.15</v>
      </c>
      <c r="N1869">
        <v>458</v>
      </c>
      <c r="O1869">
        <v>0.3</v>
      </c>
      <c r="P1869">
        <v>0</v>
      </c>
      <c r="Q1869">
        <v>0</v>
      </c>
      <c r="R1869">
        <v>0</v>
      </c>
      <c r="S1869">
        <v>0</v>
      </c>
      <c r="T1869">
        <v>0.54249999999999998</v>
      </c>
      <c r="U1869">
        <v>-1.4E-3</v>
      </c>
      <c r="V1869">
        <v>0</v>
      </c>
      <c r="W1869">
        <v>-0.1157</v>
      </c>
      <c r="X1869">
        <v>5.1999999999999998E-2</v>
      </c>
      <c r="Y1869">
        <v>-2.3999999999999998E-3</v>
      </c>
      <c r="Z1869">
        <v>35</v>
      </c>
      <c r="AA1869">
        <v>0.15</v>
      </c>
      <c r="AB1869">
        <v>290</v>
      </c>
      <c r="AC1869">
        <v>0.3</v>
      </c>
      <c r="AD1869">
        <v>0</v>
      </c>
      <c r="AE1869">
        <v>0</v>
      </c>
      <c r="AF1869">
        <v>0.1883</v>
      </c>
      <c r="AG1869">
        <v>381</v>
      </c>
      <c r="AH1869">
        <v>0</v>
      </c>
    </row>
    <row r="1870" spans="1:34" x14ac:dyDescent="0.35">
      <c r="A1870" t="s">
        <v>34</v>
      </c>
      <c r="B1870" s="1">
        <v>46146.65625</v>
      </c>
      <c r="C1870" t="s">
        <v>34</v>
      </c>
      <c r="D1870" s="1">
        <v>46155.625</v>
      </c>
      <c r="E1870">
        <v>5700</v>
      </c>
      <c r="F1870" t="s">
        <v>36</v>
      </c>
      <c r="G1870">
        <v>0.22</v>
      </c>
      <c r="H1870">
        <v>0.27</v>
      </c>
      <c r="I1870">
        <v>0.2</v>
      </c>
      <c r="J1870">
        <v>0.26</v>
      </c>
      <c r="K1870">
        <v>56</v>
      </c>
      <c r="L1870">
        <v>516</v>
      </c>
      <c r="M1870">
        <v>0.2</v>
      </c>
      <c r="N1870">
        <v>442</v>
      </c>
      <c r="O1870">
        <v>0.35</v>
      </c>
      <c r="P1870">
        <v>0</v>
      </c>
      <c r="Q1870">
        <v>0</v>
      </c>
      <c r="R1870">
        <v>0</v>
      </c>
      <c r="S1870">
        <v>0</v>
      </c>
      <c r="T1870">
        <v>0.51600000000000001</v>
      </c>
      <c r="U1870">
        <v>-1.6999999999999999E-3</v>
      </c>
      <c r="V1870">
        <v>0</v>
      </c>
      <c r="W1870">
        <v>-0.13769999999999999</v>
      </c>
      <c r="X1870">
        <v>6.4500000000000002E-2</v>
      </c>
      <c r="Y1870">
        <v>-3.0000000000000001E-3</v>
      </c>
      <c r="Z1870">
        <v>15</v>
      </c>
      <c r="AA1870">
        <v>0.2</v>
      </c>
      <c r="AB1870">
        <v>272</v>
      </c>
      <c r="AC1870">
        <v>0.35</v>
      </c>
      <c r="AD1870">
        <v>0</v>
      </c>
      <c r="AE1870">
        <v>0</v>
      </c>
      <c r="AF1870">
        <v>0.2455</v>
      </c>
      <c r="AG1870">
        <v>677</v>
      </c>
      <c r="AH1870">
        <v>0</v>
      </c>
    </row>
    <row r="1871" spans="1:34" x14ac:dyDescent="0.35">
      <c r="A1871" t="s">
        <v>34</v>
      </c>
      <c r="B1871" s="1">
        <v>46146.65625</v>
      </c>
      <c r="C1871" t="s">
        <v>34</v>
      </c>
      <c r="D1871" s="1">
        <v>46155.625</v>
      </c>
      <c r="E1871">
        <v>5800</v>
      </c>
      <c r="F1871" t="s">
        <v>36</v>
      </c>
      <c r="G1871">
        <v>0.25</v>
      </c>
      <c r="H1871">
        <v>0.4</v>
      </c>
      <c r="I1871">
        <v>0.25</v>
      </c>
      <c r="J1871">
        <v>0.34</v>
      </c>
      <c r="K1871">
        <v>54</v>
      </c>
      <c r="L1871">
        <v>342</v>
      </c>
      <c r="M1871">
        <v>0.25</v>
      </c>
      <c r="N1871">
        <v>365</v>
      </c>
      <c r="O1871">
        <v>0.4</v>
      </c>
      <c r="P1871">
        <v>0</v>
      </c>
      <c r="Q1871">
        <v>0</v>
      </c>
      <c r="R1871">
        <v>0</v>
      </c>
      <c r="S1871">
        <v>0</v>
      </c>
      <c r="T1871">
        <v>0.48820000000000002</v>
      </c>
      <c r="U1871">
        <v>-2.0999999999999999E-3</v>
      </c>
      <c r="V1871">
        <v>0</v>
      </c>
      <c r="W1871">
        <v>-0.15870000000000001</v>
      </c>
      <c r="X1871">
        <v>7.7899999999999997E-2</v>
      </c>
      <c r="Y1871">
        <v>-3.5999999999999999E-3</v>
      </c>
      <c r="Z1871">
        <v>15</v>
      </c>
      <c r="AA1871">
        <v>0.25</v>
      </c>
      <c r="AB1871">
        <v>424</v>
      </c>
      <c r="AC1871">
        <v>0.4</v>
      </c>
      <c r="AD1871">
        <v>0</v>
      </c>
      <c r="AE1871">
        <v>0</v>
      </c>
      <c r="AF1871">
        <v>0.35930000000000001</v>
      </c>
      <c r="AG1871">
        <v>488</v>
      </c>
      <c r="AH1871">
        <v>0</v>
      </c>
    </row>
    <row r="1872" spans="1:34" x14ac:dyDescent="0.35">
      <c r="A1872" t="s">
        <v>34</v>
      </c>
      <c r="B1872" s="1">
        <v>46146.65625</v>
      </c>
      <c r="C1872" t="s">
        <v>34</v>
      </c>
      <c r="D1872" s="1">
        <v>46155.625</v>
      </c>
      <c r="E1872">
        <v>5850</v>
      </c>
      <c r="F1872" t="s">
        <v>36</v>
      </c>
      <c r="G1872">
        <v>0.3</v>
      </c>
      <c r="H1872">
        <v>0.35</v>
      </c>
      <c r="I1872">
        <v>0.3</v>
      </c>
      <c r="J1872">
        <v>0.35</v>
      </c>
      <c r="K1872">
        <v>2</v>
      </c>
      <c r="L1872">
        <v>630</v>
      </c>
      <c r="M1872">
        <v>0.25</v>
      </c>
      <c r="N1872">
        <v>398</v>
      </c>
      <c r="O1872">
        <v>0.45</v>
      </c>
      <c r="P1872">
        <v>0</v>
      </c>
      <c r="Q1872">
        <v>0</v>
      </c>
      <c r="R1872">
        <v>0</v>
      </c>
      <c r="S1872">
        <v>0</v>
      </c>
      <c r="T1872">
        <v>0.4738</v>
      </c>
      <c r="U1872">
        <v>-2.3E-3</v>
      </c>
      <c r="V1872">
        <v>0</v>
      </c>
      <c r="W1872">
        <v>-0.16889999999999999</v>
      </c>
      <c r="X1872">
        <v>8.4900000000000003E-2</v>
      </c>
      <c r="Y1872">
        <v>-4.0000000000000001E-3</v>
      </c>
      <c r="Z1872">
        <v>49</v>
      </c>
      <c r="AA1872">
        <v>0.25</v>
      </c>
      <c r="AB1872">
        <v>248</v>
      </c>
      <c r="AC1872">
        <v>0.45</v>
      </c>
      <c r="AD1872">
        <v>0</v>
      </c>
      <c r="AE1872">
        <v>0</v>
      </c>
      <c r="AF1872">
        <v>0.32500000000000001</v>
      </c>
      <c r="AG1872">
        <v>107</v>
      </c>
      <c r="AH1872">
        <v>0</v>
      </c>
    </row>
    <row r="1873" spans="1:34" x14ac:dyDescent="0.35">
      <c r="A1873" t="s">
        <v>34</v>
      </c>
      <c r="B1873" s="1">
        <v>46146.65625</v>
      </c>
      <c r="C1873" t="s">
        <v>34</v>
      </c>
      <c r="D1873" s="1">
        <v>46155.625</v>
      </c>
      <c r="E1873">
        <v>5875</v>
      </c>
      <c r="F1873" t="s">
        <v>36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470</v>
      </c>
      <c r="M1873">
        <v>0.3</v>
      </c>
      <c r="N1873">
        <v>311</v>
      </c>
      <c r="O1873">
        <v>0.45</v>
      </c>
      <c r="P1873">
        <v>0</v>
      </c>
      <c r="Q1873">
        <v>0</v>
      </c>
      <c r="R1873">
        <v>0</v>
      </c>
      <c r="S1873">
        <v>0</v>
      </c>
      <c r="T1873">
        <v>0.46789999999999998</v>
      </c>
      <c r="U1873">
        <v>-2.5000000000000001E-3</v>
      </c>
      <c r="V1873">
        <v>0</v>
      </c>
      <c r="W1873">
        <v>-0.1792</v>
      </c>
      <c r="X1873">
        <v>9.0899999999999995E-2</v>
      </c>
      <c r="Y1873">
        <v>-4.3E-3</v>
      </c>
      <c r="Z1873">
        <v>15</v>
      </c>
      <c r="AA1873">
        <v>0.3</v>
      </c>
      <c r="AB1873">
        <v>408</v>
      </c>
      <c r="AC1873">
        <v>0.45</v>
      </c>
      <c r="AD1873">
        <v>0</v>
      </c>
      <c r="AE1873">
        <v>0</v>
      </c>
      <c r="AF1873">
        <v>0</v>
      </c>
      <c r="AG1873">
        <v>30</v>
      </c>
      <c r="AH1873">
        <v>0</v>
      </c>
    </row>
    <row r="1874" spans="1:34" x14ac:dyDescent="0.35">
      <c r="A1874" t="s">
        <v>34</v>
      </c>
      <c r="B1874" s="1">
        <v>46146.65625</v>
      </c>
      <c r="C1874" t="s">
        <v>34</v>
      </c>
      <c r="D1874" s="1">
        <v>46155.625</v>
      </c>
      <c r="E1874">
        <v>5900</v>
      </c>
      <c r="F1874" t="s">
        <v>36</v>
      </c>
      <c r="G1874">
        <v>0.33</v>
      </c>
      <c r="H1874">
        <v>0.33</v>
      </c>
      <c r="I1874">
        <v>0.31</v>
      </c>
      <c r="J1874">
        <v>0.31</v>
      </c>
      <c r="K1874">
        <v>30</v>
      </c>
      <c r="L1874">
        <v>544</v>
      </c>
      <c r="M1874">
        <v>0.3</v>
      </c>
      <c r="N1874">
        <v>399</v>
      </c>
      <c r="O1874">
        <v>0.45</v>
      </c>
      <c r="P1874">
        <v>0</v>
      </c>
      <c r="Q1874">
        <v>0</v>
      </c>
      <c r="R1874">
        <v>0</v>
      </c>
      <c r="S1874">
        <v>0</v>
      </c>
      <c r="T1874">
        <v>0.45910000000000001</v>
      </c>
      <c r="U1874">
        <v>-2.5000000000000001E-3</v>
      </c>
      <c r="V1874">
        <v>0</v>
      </c>
      <c r="W1874">
        <v>-0.1789</v>
      </c>
      <c r="X1874">
        <v>9.2499999999999999E-2</v>
      </c>
      <c r="Y1874">
        <v>-4.4000000000000003E-3</v>
      </c>
      <c r="Z1874">
        <v>49</v>
      </c>
      <c r="AA1874">
        <v>0.3</v>
      </c>
      <c r="AB1874">
        <v>157</v>
      </c>
      <c r="AC1874">
        <v>0.45</v>
      </c>
      <c r="AD1874">
        <v>0</v>
      </c>
      <c r="AE1874">
        <v>0</v>
      </c>
      <c r="AF1874">
        <v>0.32669999999999999</v>
      </c>
      <c r="AG1874">
        <v>442</v>
      </c>
      <c r="AH1874">
        <v>0</v>
      </c>
    </row>
    <row r="1875" spans="1:34" x14ac:dyDescent="0.35">
      <c r="A1875" t="s">
        <v>34</v>
      </c>
      <c r="B1875" s="1">
        <v>46146.65625</v>
      </c>
      <c r="C1875" t="s">
        <v>34</v>
      </c>
      <c r="D1875" s="1">
        <v>46155.625</v>
      </c>
      <c r="E1875">
        <v>5925</v>
      </c>
      <c r="F1875" t="s">
        <v>36</v>
      </c>
      <c r="G1875">
        <v>0.35</v>
      </c>
      <c r="H1875">
        <v>0.35</v>
      </c>
      <c r="I1875">
        <v>0.35</v>
      </c>
      <c r="J1875">
        <v>0.35</v>
      </c>
      <c r="K1875">
        <v>1</v>
      </c>
      <c r="L1875">
        <v>147</v>
      </c>
      <c r="M1875">
        <v>0.35</v>
      </c>
      <c r="N1875">
        <v>352</v>
      </c>
      <c r="O1875">
        <v>0.5</v>
      </c>
      <c r="P1875">
        <v>0</v>
      </c>
      <c r="Q1875">
        <v>0</v>
      </c>
      <c r="R1875">
        <v>0</v>
      </c>
      <c r="S1875">
        <v>0</v>
      </c>
      <c r="T1875">
        <v>0.45590000000000003</v>
      </c>
      <c r="U1875">
        <v>-2.8999999999999998E-3</v>
      </c>
      <c r="V1875">
        <v>0</v>
      </c>
      <c r="W1875">
        <v>-0.19950000000000001</v>
      </c>
      <c r="X1875">
        <v>0.1032</v>
      </c>
      <c r="Y1875">
        <v>-5.0000000000000001E-3</v>
      </c>
      <c r="Z1875">
        <v>47</v>
      </c>
      <c r="AA1875">
        <v>0.3</v>
      </c>
      <c r="AB1875">
        <v>225</v>
      </c>
      <c r="AC1875">
        <v>0.5</v>
      </c>
      <c r="AD1875">
        <v>0</v>
      </c>
      <c r="AE1875">
        <v>0</v>
      </c>
      <c r="AF1875">
        <v>0.35</v>
      </c>
      <c r="AG1875">
        <v>111</v>
      </c>
      <c r="AH1875">
        <v>0</v>
      </c>
    </row>
    <row r="1876" spans="1:34" x14ac:dyDescent="0.35">
      <c r="A1876" t="s">
        <v>34</v>
      </c>
      <c r="B1876" s="1">
        <v>46146.65625</v>
      </c>
      <c r="C1876" t="s">
        <v>34</v>
      </c>
      <c r="D1876" s="1">
        <v>46155.625</v>
      </c>
      <c r="E1876">
        <v>5950</v>
      </c>
      <c r="F1876" t="s">
        <v>36</v>
      </c>
      <c r="G1876">
        <v>0.5</v>
      </c>
      <c r="H1876">
        <v>0.5</v>
      </c>
      <c r="I1876">
        <v>0.5</v>
      </c>
      <c r="J1876">
        <v>0.5</v>
      </c>
      <c r="K1876">
        <v>9</v>
      </c>
      <c r="L1876">
        <v>389</v>
      </c>
      <c r="M1876">
        <v>0.35</v>
      </c>
      <c r="N1876">
        <v>264</v>
      </c>
      <c r="O1876">
        <v>0.5</v>
      </c>
      <c r="P1876">
        <v>0</v>
      </c>
      <c r="Q1876">
        <v>0</v>
      </c>
      <c r="R1876">
        <v>0</v>
      </c>
      <c r="S1876">
        <v>0</v>
      </c>
      <c r="T1876">
        <v>0.44690000000000002</v>
      </c>
      <c r="U1876">
        <v>-2.8999999999999998E-3</v>
      </c>
      <c r="V1876">
        <v>0</v>
      </c>
      <c r="W1876">
        <v>-0.19900000000000001</v>
      </c>
      <c r="X1876">
        <v>0.1051</v>
      </c>
      <c r="Y1876">
        <v>-5.1000000000000004E-3</v>
      </c>
      <c r="Z1876">
        <v>35</v>
      </c>
      <c r="AA1876">
        <v>0.35</v>
      </c>
      <c r="AB1876">
        <v>173</v>
      </c>
      <c r="AC1876">
        <v>0.5</v>
      </c>
      <c r="AD1876">
        <v>0</v>
      </c>
      <c r="AE1876">
        <v>0</v>
      </c>
      <c r="AF1876">
        <v>0.5</v>
      </c>
      <c r="AG1876">
        <v>137</v>
      </c>
      <c r="AH1876">
        <v>0</v>
      </c>
    </row>
    <row r="1877" spans="1:34" x14ac:dyDescent="0.35">
      <c r="A1877" t="s">
        <v>34</v>
      </c>
      <c r="B1877" s="1">
        <v>46146.65625</v>
      </c>
      <c r="C1877" t="s">
        <v>34</v>
      </c>
      <c r="D1877" s="1">
        <v>46155.625</v>
      </c>
      <c r="E1877">
        <v>5975</v>
      </c>
      <c r="F1877" t="s">
        <v>36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117</v>
      </c>
      <c r="M1877">
        <v>0.4</v>
      </c>
      <c r="N1877">
        <v>377</v>
      </c>
      <c r="O1877">
        <v>0.55000000000000004</v>
      </c>
      <c r="P1877">
        <v>0</v>
      </c>
      <c r="Q1877">
        <v>0</v>
      </c>
      <c r="R1877">
        <v>0</v>
      </c>
      <c r="S1877">
        <v>0</v>
      </c>
      <c r="T1877">
        <v>0.44280000000000003</v>
      </c>
      <c r="U1877">
        <v>-3.3E-3</v>
      </c>
      <c r="V1877">
        <v>0</v>
      </c>
      <c r="W1877">
        <v>-0.21909999999999999</v>
      </c>
      <c r="X1877">
        <v>0.11600000000000001</v>
      </c>
      <c r="Y1877">
        <v>-5.7000000000000002E-3</v>
      </c>
      <c r="Z1877">
        <v>47</v>
      </c>
      <c r="AA1877">
        <v>0.35</v>
      </c>
      <c r="AB1877">
        <v>226</v>
      </c>
      <c r="AC1877">
        <v>0.55000000000000004</v>
      </c>
      <c r="AD1877">
        <v>0</v>
      </c>
      <c r="AE1877">
        <v>0</v>
      </c>
      <c r="AF1877">
        <v>0</v>
      </c>
      <c r="AG1877">
        <v>178</v>
      </c>
      <c r="AH1877">
        <v>0</v>
      </c>
    </row>
    <row r="1878" spans="1:34" x14ac:dyDescent="0.35">
      <c r="A1878" t="s">
        <v>34</v>
      </c>
      <c r="B1878" s="1">
        <v>46146.65625</v>
      </c>
      <c r="C1878" t="s">
        <v>34</v>
      </c>
      <c r="D1878" s="1">
        <v>46155.625</v>
      </c>
      <c r="E1878">
        <v>6000</v>
      </c>
      <c r="F1878" t="s">
        <v>36</v>
      </c>
      <c r="G1878">
        <v>0.39</v>
      </c>
      <c r="H1878">
        <v>0.65</v>
      </c>
      <c r="I1878">
        <v>0.39</v>
      </c>
      <c r="J1878">
        <v>0.52</v>
      </c>
      <c r="K1878">
        <v>95</v>
      </c>
      <c r="L1878">
        <v>364</v>
      </c>
      <c r="M1878">
        <v>0.4</v>
      </c>
      <c r="N1878">
        <v>307</v>
      </c>
      <c r="O1878">
        <v>0.55000000000000004</v>
      </c>
      <c r="P1878">
        <v>0</v>
      </c>
      <c r="Q1878">
        <v>0</v>
      </c>
      <c r="R1878">
        <v>0</v>
      </c>
      <c r="S1878">
        <v>0</v>
      </c>
      <c r="T1878">
        <v>0.43390000000000001</v>
      </c>
      <c r="U1878">
        <v>-3.3E-3</v>
      </c>
      <c r="V1878">
        <v>0</v>
      </c>
      <c r="W1878">
        <v>-0.2185</v>
      </c>
      <c r="X1878">
        <v>0.1182</v>
      </c>
      <c r="Y1878">
        <v>-5.7999999999999996E-3</v>
      </c>
      <c r="Z1878">
        <v>15</v>
      </c>
      <c r="AA1878">
        <v>0.4</v>
      </c>
      <c r="AB1878">
        <v>396</v>
      </c>
      <c r="AC1878">
        <v>0.55000000000000004</v>
      </c>
      <c r="AD1878">
        <v>0</v>
      </c>
      <c r="AE1878">
        <v>0</v>
      </c>
      <c r="AF1878">
        <v>0.59050000000000002</v>
      </c>
      <c r="AG1878">
        <v>502</v>
      </c>
      <c r="AH1878">
        <v>0</v>
      </c>
    </row>
    <row r="1879" spans="1:34" x14ac:dyDescent="0.35">
      <c r="A1879" t="s">
        <v>34</v>
      </c>
      <c r="B1879" s="1">
        <v>46146.65625</v>
      </c>
      <c r="C1879" t="s">
        <v>34</v>
      </c>
      <c r="D1879" s="1">
        <v>46155.625</v>
      </c>
      <c r="E1879">
        <v>6025</v>
      </c>
      <c r="F1879" t="s">
        <v>36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117</v>
      </c>
      <c r="M1879">
        <v>0.45</v>
      </c>
      <c r="N1879">
        <v>383</v>
      </c>
      <c r="O1879">
        <v>0.6</v>
      </c>
      <c r="P1879">
        <v>0</v>
      </c>
      <c r="Q1879">
        <v>0</v>
      </c>
      <c r="R1879">
        <v>0</v>
      </c>
      <c r="S1879">
        <v>0</v>
      </c>
      <c r="T1879">
        <v>0.42930000000000001</v>
      </c>
      <c r="U1879">
        <v>-3.7000000000000002E-3</v>
      </c>
      <c r="V1879">
        <v>0</v>
      </c>
      <c r="W1879">
        <v>-0.23810000000000001</v>
      </c>
      <c r="X1879">
        <v>0.12920000000000001</v>
      </c>
      <c r="Y1879">
        <v>-6.4000000000000003E-3</v>
      </c>
      <c r="Z1879">
        <v>45</v>
      </c>
      <c r="AA1879">
        <v>0.4</v>
      </c>
      <c r="AB1879">
        <v>222</v>
      </c>
      <c r="AC1879">
        <v>0.6</v>
      </c>
      <c r="AD1879">
        <v>0</v>
      </c>
      <c r="AE1879">
        <v>0</v>
      </c>
      <c r="AF1879">
        <v>0</v>
      </c>
      <c r="AG1879">
        <v>116</v>
      </c>
      <c r="AH1879">
        <v>0</v>
      </c>
    </row>
    <row r="1880" spans="1:34" x14ac:dyDescent="0.35">
      <c r="A1880" t="s">
        <v>34</v>
      </c>
      <c r="B1880" s="1">
        <v>46146.65625</v>
      </c>
      <c r="C1880" t="s">
        <v>34</v>
      </c>
      <c r="D1880" s="1">
        <v>46155.625</v>
      </c>
      <c r="E1880">
        <v>6050</v>
      </c>
      <c r="F1880" t="s">
        <v>36</v>
      </c>
      <c r="G1880">
        <v>0.7</v>
      </c>
      <c r="H1880">
        <v>0.75</v>
      </c>
      <c r="I1880">
        <v>0.7</v>
      </c>
      <c r="J1880">
        <v>0.75</v>
      </c>
      <c r="K1880">
        <v>70</v>
      </c>
      <c r="L1880">
        <v>269</v>
      </c>
      <c r="M1880">
        <v>0.45</v>
      </c>
      <c r="N1880">
        <v>311</v>
      </c>
      <c r="O1880">
        <v>0.6</v>
      </c>
      <c r="P1880">
        <v>0</v>
      </c>
      <c r="Q1880">
        <v>0</v>
      </c>
      <c r="R1880">
        <v>0</v>
      </c>
      <c r="S1880">
        <v>0</v>
      </c>
      <c r="T1880">
        <v>0.42020000000000002</v>
      </c>
      <c r="U1880">
        <v>-3.7000000000000002E-3</v>
      </c>
      <c r="V1880">
        <v>0</v>
      </c>
      <c r="W1880">
        <v>-0.2374</v>
      </c>
      <c r="X1880">
        <v>0.13170000000000001</v>
      </c>
      <c r="Y1880">
        <v>-6.4999999999999997E-3</v>
      </c>
      <c r="Z1880">
        <v>15</v>
      </c>
      <c r="AA1880">
        <v>0.45</v>
      </c>
      <c r="AB1880">
        <v>356</v>
      </c>
      <c r="AC1880">
        <v>0.6</v>
      </c>
      <c r="AD1880">
        <v>0</v>
      </c>
      <c r="AE1880">
        <v>0</v>
      </c>
      <c r="AF1880">
        <v>0.70709999999999995</v>
      </c>
      <c r="AG1880">
        <v>193</v>
      </c>
      <c r="AH1880">
        <v>0</v>
      </c>
    </row>
    <row r="1881" spans="1:34" x14ac:dyDescent="0.35">
      <c r="A1881" t="s">
        <v>34</v>
      </c>
      <c r="B1881" s="1">
        <v>46146.65625</v>
      </c>
      <c r="C1881" t="s">
        <v>34</v>
      </c>
      <c r="D1881" s="1">
        <v>46155.625</v>
      </c>
      <c r="E1881">
        <v>6075</v>
      </c>
      <c r="F1881" t="s">
        <v>36</v>
      </c>
      <c r="G1881">
        <v>0.5</v>
      </c>
      <c r="H1881">
        <v>0.8</v>
      </c>
      <c r="I1881">
        <v>0.5</v>
      </c>
      <c r="J1881">
        <v>0.8</v>
      </c>
      <c r="K1881">
        <v>52</v>
      </c>
      <c r="L1881">
        <v>147</v>
      </c>
      <c r="M1881">
        <v>0.5</v>
      </c>
      <c r="N1881">
        <v>226</v>
      </c>
      <c r="O1881">
        <v>0.6</v>
      </c>
      <c r="P1881">
        <v>0</v>
      </c>
      <c r="Q1881">
        <v>0</v>
      </c>
      <c r="R1881">
        <v>0</v>
      </c>
      <c r="S1881">
        <v>0</v>
      </c>
      <c r="T1881">
        <v>0.4133</v>
      </c>
      <c r="U1881">
        <v>-4.0000000000000001E-3</v>
      </c>
      <c r="V1881">
        <v>0</v>
      </c>
      <c r="W1881">
        <v>-0.2467</v>
      </c>
      <c r="X1881">
        <v>0.13869999999999999</v>
      </c>
      <c r="Y1881">
        <v>-6.8999999999999999E-3</v>
      </c>
      <c r="Z1881">
        <v>126</v>
      </c>
      <c r="AA1881">
        <v>0.45</v>
      </c>
      <c r="AB1881">
        <v>212</v>
      </c>
      <c r="AC1881">
        <v>0.65</v>
      </c>
      <c r="AD1881">
        <v>0</v>
      </c>
      <c r="AE1881">
        <v>0</v>
      </c>
      <c r="AF1881">
        <v>0.76629999999999998</v>
      </c>
      <c r="AG1881">
        <v>104</v>
      </c>
      <c r="AH1881">
        <v>0</v>
      </c>
    </row>
    <row r="1882" spans="1:34" x14ac:dyDescent="0.35">
      <c r="A1882" t="s">
        <v>34</v>
      </c>
      <c r="B1882" s="1">
        <v>46146.65625</v>
      </c>
      <c r="C1882" t="s">
        <v>34</v>
      </c>
      <c r="D1882" s="1">
        <v>46155.625</v>
      </c>
      <c r="E1882">
        <v>6100</v>
      </c>
      <c r="F1882" t="s">
        <v>36</v>
      </c>
      <c r="G1882">
        <v>0.8</v>
      </c>
      <c r="H1882">
        <v>0.8</v>
      </c>
      <c r="I1882">
        <v>0.8</v>
      </c>
      <c r="J1882">
        <v>0.8</v>
      </c>
      <c r="K1882">
        <v>50</v>
      </c>
      <c r="L1882">
        <v>262</v>
      </c>
      <c r="M1882">
        <v>0.5</v>
      </c>
      <c r="N1882">
        <v>218</v>
      </c>
      <c r="O1882">
        <v>0.65</v>
      </c>
      <c r="P1882">
        <v>0</v>
      </c>
      <c r="Q1882">
        <v>0</v>
      </c>
      <c r="R1882">
        <v>0</v>
      </c>
      <c r="S1882">
        <v>0</v>
      </c>
      <c r="T1882">
        <v>0.40600000000000003</v>
      </c>
      <c r="U1882">
        <v>-4.1999999999999997E-3</v>
      </c>
      <c r="V1882">
        <v>0</v>
      </c>
      <c r="W1882">
        <v>-0.25580000000000003</v>
      </c>
      <c r="X1882">
        <v>0.14599999999999999</v>
      </c>
      <c r="Y1882">
        <v>-7.3000000000000001E-3</v>
      </c>
      <c r="Z1882">
        <v>24</v>
      </c>
      <c r="AA1882">
        <v>0.5</v>
      </c>
      <c r="AB1882">
        <v>369</v>
      </c>
      <c r="AC1882">
        <v>0.65</v>
      </c>
      <c r="AD1882">
        <v>0</v>
      </c>
      <c r="AE1882">
        <v>0</v>
      </c>
      <c r="AF1882">
        <v>0.8</v>
      </c>
      <c r="AG1882">
        <v>136</v>
      </c>
      <c r="AH1882">
        <v>0</v>
      </c>
    </row>
    <row r="1883" spans="1:34" x14ac:dyDescent="0.35">
      <c r="A1883" t="s">
        <v>34</v>
      </c>
      <c r="B1883" s="1">
        <v>46146.65625</v>
      </c>
      <c r="C1883" t="s">
        <v>34</v>
      </c>
      <c r="D1883" s="1">
        <v>46155.625</v>
      </c>
      <c r="E1883">
        <v>6125</v>
      </c>
      <c r="F1883" t="s">
        <v>36</v>
      </c>
      <c r="G1883">
        <v>0.65</v>
      </c>
      <c r="H1883">
        <v>0.65</v>
      </c>
      <c r="I1883">
        <v>0.65</v>
      </c>
      <c r="J1883">
        <v>0.65</v>
      </c>
      <c r="K1883">
        <v>1</v>
      </c>
      <c r="L1883">
        <v>226</v>
      </c>
      <c r="M1883">
        <v>0.55000000000000004</v>
      </c>
      <c r="N1883">
        <v>330</v>
      </c>
      <c r="O1883">
        <v>0.7</v>
      </c>
      <c r="P1883">
        <v>0</v>
      </c>
      <c r="Q1883">
        <v>0</v>
      </c>
      <c r="R1883">
        <v>0</v>
      </c>
      <c r="S1883">
        <v>0</v>
      </c>
      <c r="T1883">
        <v>0.40060000000000001</v>
      </c>
      <c r="U1883">
        <v>-4.5999999999999999E-3</v>
      </c>
      <c r="V1883">
        <v>0</v>
      </c>
      <c r="W1883">
        <v>-0.27439999999999998</v>
      </c>
      <c r="X1883">
        <v>0.15790000000000001</v>
      </c>
      <c r="Y1883">
        <v>-8.0000000000000002E-3</v>
      </c>
      <c r="Z1883">
        <v>15</v>
      </c>
      <c r="AA1883">
        <v>0.55000000000000004</v>
      </c>
      <c r="AB1883">
        <v>197</v>
      </c>
      <c r="AC1883">
        <v>0.7</v>
      </c>
      <c r="AD1883">
        <v>0</v>
      </c>
      <c r="AE1883">
        <v>0</v>
      </c>
      <c r="AF1883">
        <v>0.65</v>
      </c>
      <c r="AG1883">
        <v>64</v>
      </c>
      <c r="AH1883">
        <v>0</v>
      </c>
    </row>
    <row r="1884" spans="1:34" x14ac:dyDescent="0.35">
      <c r="A1884" t="s">
        <v>34</v>
      </c>
      <c r="B1884" s="1">
        <v>46146.65625</v>
      </c>
      <c r="C1884" t="s">
        <v>34</v>
      </c>
      <c r="D1884" s="1">
        <v>46155.625</v>
      </c>
      <c r="E1884">
        <v>6150</v>
      </c>
      <c r="F1884" t="s">
        <v>36</v>
      </c>
      <c r="G1884">
        <v>0.95</v>
      </c>
      <c r="H1884">
        <v>0.95</v>
      </c>
      <c r="I1884">
        <v>0.95</v>
      </c>
      <c r="J1884">
        <v>0.95</v>
      </c>
      <c r="K1884">
        <v>1</v>
      </c>
      <c r="L1884">
        <v>142</v>
      </c>
      <c r="M1884">
        <v>0.6</v>
      </c>
      <c r="N1884">
        <v>210</v>
      </c>
      <c r="O1884">
        <v>0.7</v>
      </c>
      <c r="P1884">
        <v>0</v>
      </c>
      <c r="Q1884">
        <v>0</v>
      </c>
      <c r="R1884">
        <v>0</v>
      </c>
      <c r="S1884">
        <v>0</v>
      </c>
      <c r="T1884">
        <v>0.39329999999999998</v>
      </c>
      <c r="U1884">
        <v>-4.7999999999999996E-3</v>
      </c>
      <c r="V1884">
        <v>0</v>
      </c>
      <c r="W1884">
        <v>-0.28310000000000002</v>
      </c>
      <c r="X1884">
        <v>0.16569999999999999</v>
      </c>
      <c r="Y1884">
        <v>-8.3999999999999995E-3</v>
      </c>
      <c r="Z1884">
        <v>116</v>
      </c>
      <c r="AA1884">
        <v>0.55000000000000004</v>
      </c>
      <c r="AB1884">
        <v>298</v>
      </c>
      <c r="AC1884">
        <v>0.7</v>
      </c>
      <c r="AD1884">
        <v>0</v>
      </c>
      <c r="AE1884">
        <v>0</v>
      </c>
      <c r="AF1884">
        <v>0.95</v>
      </c>
      <c r="AG1884">
        <v>735</v>
      </c>
      <c r="AH1884">
        <v>0</v>
      </c>
    </row>
    <row r="1885" spans="1:34" x14ac:dyDescent="0.35">
      <c r="A1885" t="s">
        <v>34</v>
      </c>
      <c r="B1885" s="1">
        <v>46146.65625</v>
      </c>
      <c r="C1885" t="s">
        <v>34</v>
      </c>
      <c r="D1885" s="1">
        <v>46155.625</v>
      </c>
      <c r="E1885">
        <v>6175</v>
      </c>
      <c r="F1885" t="s">
        <v>36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221</v>
      </c>
      <c r="M1885">
        <v>0.6</v>
      </c>
      <c r="N1885">
        <v>166</v>
      </c>
      <c r="O1885">
        <v>0.75</v>
      </c>
      <c r="P1885">
        <v>0</v>
      </c>
      <c r="Q1885">
        <v>0</v>
      </c>
      <c r="R1885">
        <v>0</v>
      </c>
      <c r="S1885">
        <v>0</v>
      </c>
      <c r="T1885">
        <v>0.38569999999999999</v>
      </c>
      <c r="U1885">
        <v>-5.1000000000000004E-3</v>
      </c>
      <c r="V1885">
        <v>0</v>
      </c>
      <c r="W1885">
        <v>-0.29170000000000001</v>
      </c>
      <c r="X1885">
        <v>0.17380000000000001</v>
      </c>
      <c r="Y1885">
        <v>-8.8000000000000005E-3</v>
      </c>
      <c r="Z1885">
        <v>92</v>
      </c>
      <c r="AA1885">
        <v>0.6</v>
      </c>
      <c r="AB1885">
        <v>278</v>
      </c>
      <c r="AC1885">
        <v>0.75</v>
      </c>
      <c r="AD1885">
        <v>0</v>
      </c>
      <c r="AE1885">
        <v>0</v>
      </c>
      <c r="AF1885">
        <v>0</v>
      </c>
      <c r="AG1885">
        <v>203</v>
      </c>
      <c r="AH1885">
        <v>0</v>
      </c>
    </row>
    <row r="1886" spans="1:34" x14ac:dyDescent="0.35">
      <c r="A1886" t="s">
        <v>34</v>
      </c>
      <c r="B1886" s="1">
        <v>46146.65625</v>
      </c>
      <c r="C1886" t="s">
        <v>34</v>
      </c>
      <c r="D1886" s="1">
        <v>46155.625</v>
      </c>
      <c r="E1886">
        <v>6200</v>
      </c>
      <c r="F1886" t="s">
        <v>36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218</v>
      </c>
      <c r="M1886">
        <v>0.65</v>
      </c>
      <c r="N1886">
        <v>83</v>
      </c>
      <c r="O1886">
        <v>0.75</v>
      </c>
      <c r="P1886">
        <v>0</v>
      </c>
      <c r="Q1886">
        <v>0</v>
      </c>
      <c r="R1886">
        <v>0</v>
      </c>
      <c r="S1886">
        <v>0</v>
      </c>
      <c r="T1886">
        <v>0.37819999999999998</v>
      </c>
      <c r="U1886">
        <v>-5.4000000000000003E-3</v>
      </c>
      <c r="V1886">
        <v>0</v>
      </c>
      <c r="W1886">
        <v>-0.30020000000000002</v>
      </c>
      <c r="X1886">
        <v>0.18210000000000001</v>
      </c>
      <c r="Y1886">
        <v>-9.2999999999999992E-3</v>
      </c>
      <c r="Z1886">
        <v>15</v>
      </c>
      <c r="AA1886">
        <v>0.65</v>
      </c>
      <c r="AB1886">
        <v>184</v>
      </c>
      <c r="AC1886">
        <v>0.8</v>
      </c>
      <c r="AD1886">
        <v>0</v>
      </c>
      <c r="AE1886">
        <v>0</v>
      </c>
      <c r="AF1886">
        <v>0</v>
      </c>
      <c r="AG1886">
        <v>248</v>
      </c>
      <c r="AH1886">
        <v>0</v>
      </c>
    </row>
    <row r="1887" spans="1:34" x14ac:dyDescent="0.35">
      <c r="A1887" t="s">
        <v>34</v>
      </c>
      <c r="B1887" s="1">
        <v>46146.65625</v>
      </c>
      <c r="C1887" t="s">
        <v>34</v>
      </c>
      <c r="D1887" s="1">
        <v>46155.625</v>
      </c>
      <c r="E1887">
        <v>6225</v>
      </c>
      <c r="F1887" t="s">
        <v>36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213</v>
      </c>
      <c r="M1887">
        <v>0.7</v>
      </c>
      <c r="N1887">
        <v>106</v>
      </c>
      <c r="O1887">
        <v>0.8</v>
      </c>
      <c r="P1887">
        <v>0</v>
      </c>
      <c r="Q1887">
        <v>0</v>
      </c>
      <c r="R1887">
        <v>0</v>
      </c>
      <c r="S1887">
        <v>0</v>
      </c>
      <c r="T1887">
        <v>0.372</v>
      </c>
      <c r="U1887">
        <v>-5.7999999999999996E-3</v>
      </c>
      <c r="V1887">
        <v>0</v>
      </c>
      <c r="W1887">
        <v>-0.31769999999999998</v>
      </c>
      <c r="X1887">
        <v>0.1951</v>
      </c>
      <c r="Y1887">
        <v>-1.01E-2</v>
      </c>
      <c r="Z1887">
        <v>107</v>
      </c>
      <c r="AA1887">
        <v>0.65</v>
      </c>
      <c r="AB1887">
        <v>177</v>
      </c>
      <c r="AC1887">
        <v>0.8</v>
      </c>
      <c r="AD1887">
        <v>0</v>
      </c>
      <c r="AE1887">
        <v>0</v>
      </c>
      <c r="AF1887">
        <v>0</v>
      </c>
      <c r="AG1887">
        <v>52</v>
      </c>
      <c r="AH1887">
        <v>0</v>
      </c>
    </row>
    <row r="1888" spans="1:34" x14ac:dyDescent="0.35">
      <c r="A1888" t="s">
        <v>34</v>
      </c>
      <c r="B1888" s="1">
        <v>46146.65625</v>
      </c>
      <c r="C1888" t="s">
        <v>34</v>
      </c>
      <c r="D1888" s="1">
        <v>46155.625</v>
      </c>
      <c r="E1888">
        <v>6250</v>
      </c>
      <c r="F1888" t="s">
        <v>36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178</v>
      </c>
      <c r="M1888">
        <v>0.75</v>
      </c>
      <c r="N1888">
        <v>84</v>
      </c>
      <c r="O1888">
        <v>0.85</v>
      </c>
      <c r="P1888">
        <v>0</v>
      </c>
      <c r="Q1888">
        <v>0</v>
      </c>
      <c r="R1888">
        <v>0</v>
      </c>
      <c r="S1888">
        <v>0</v>
      </c>
      <c r="T1888">
        <v>0.36549999999999999</v>
      </c>
      <c r="U1888">
        <v>-6.1999999999999998E-3</v>
      </c>
      <c r="V1888">
        <v>0</v>
      </c>
      <c r="W1888">
        <v>-0.33479999999999999</v>
      </c>
      <c r="X1888">
        <v>0.20830000000000001</v>
      </c>
      <c r="Y1888">
        <v>-1.0800000000000001E-2</v>
      </c>
      <c r="Z1888">
        <v>103</v>
      </c>
      <c r="AA1888">
        <v>0.7</v>
      </c>
      <c r="AB1888">
        <v>233</v>
      </c>
      <c r="AC1888">
        <v>0.85</v>
      </c>
      <c r="AD1888">
        <v>0</v>
      </c>
      <c r="AE1888">
        <v>0</v>
      </c>
      <c r="AF1888">
        <v>0</v>
      </c>
      <c r="AG1888">
        <v>232</v>
      </c>
      <c r="AH1888">
        <v>0</v>
      </c>
    </row>
    <row r="1889" spans="1:34" x14ac:dyDescent="0.35">
      <c r="A1889" t="s">
        <v>34</v>
      </c>
      <c r="B1889" s="1">
        <v>46146.65625</v>
      </c>
      <c r="C1889" t="s">
        <v>34</v>
      </c>
      <c r="D1889" s="1">
        <v>46155.625</v>
      </c>
      <c r="E1889">
        <v>6275</v>
      </c>
      <c r="F1889" t="s">
        <v>36</v>
      </c>
      <c r="G1889">
        <v>0.9</v>
      </c>
      <c r="H1889">
        <v>0.9</v>
      </c>
      <c r="I1889">
        <v>0.9</v>
      </c>
      <c r="J1889">
        <v>0.9</v>
      </c>
      <c r="K1889">
        <v>1</v>
      </c>
      <c r="L1889">
        <v>156</v>
      </c>
      <c r="M1889">
        <v>0.8</v>
      </c>
      <c r="N1889">
        <v>98</v>
      </c>
      <c r="O1889">
        <v>0.9</v>
      </c>
      <c r="P1889">
        <v>0</v>
      </c>
      <c r="Q1889">
        <v>0</v>
      </c>
      <c r="R1889">
        <v>0</v>
      </c>
      <c r="S1889">
        <v>0</v>
      </c>
      <c r="T1889">
        <v>0.35880000000000001</v>
      </c>
      <c r="U1889">
        <v>-6.7000000000000002E-3</v>
      </c>
      <c r="V1889">
        <v>1E-4</v>
      </c>
      <c r="W1889">
        <v>-0.35160000000000002</v>
      </c>
      <c r="X1889">
        <v>0.22189999999999999</v>
      </c>
      <c r="Y1889">
        <v>-1.1599999999999999E-2</v>
      </c>
      <c r="Z1889">
        <v>102</v>
      </c>
      <c r="AA1889">
        <v>0.75</v>
      </c>
      <c r="AB1889">
        <v>335</v>
      </c>
      <c r="AC1889">
        <v>0.9</v>
      </c>
      <c r="AD1889">
        <v>0</v>
      </c>
      <c r="AE1889">
        <v>0</v>
      </c>
      <c r="AF1889">
        <v>0.9</v>
      </c>
      <c r="AG1889">
        <v>410</v>
      </c>
      <c r="AH1889">
        <v>0</v>
      </c>
    </row>
    <row r="1890" spans="1:34" x14ac:dyDescent="0.35">
      <c r="A1890" t="s">
        <v>34</v>
      </c>
      <c r="B1890" s="1">
        <v>46146.65625</v>
      </c>
      <c r="C1890" t="s">
        <v>34</v>
      </c>
      <c r="D1890" s="1">
        <v>46155.625</v>
      </c>
      <c r="E1890">
        <v>6300</v>
      </c>
      <c r="F1890" t="s">
        <v>36</v>
      </c>
      <c r="G1890">
        <v>0.77</v>
      </c>
      <c r="H1890">
        <v>0.9</v>
      </c>
      <c r="I1890">
        <v>0.77</v>
      </c>
      <c r="J1890">
        <v>0.9</v>
      </c>
      <c r="K1890">
        <v>36</v>
      </c>
      <c r="L1890">
        <v>97</v>
      </c>
      <c r="M1890">
        <v>0.85</v>
      </c>
      <c r="N1890">
        <v>99</v>
      </c>
      <c r="O1890">
        <v>0.95</v>
      </c>
      <c r="P1890">
        <v>0</v>
      </c>
      <c r="Q1890">
        <v>0</v>
      </c>
      <c r="R1890">
        <v>0</v>
      </c>
      <c r="S1890">
        <v>0</v>
      </c>
      <c r="T1890">
        <v>0.35199999999999998</v>
      </c>
      <c r="U1890">
        <v>-7.1999999999999998E-3</v>
      </c>
      <c r="V1890">
        <v>1E-4</v>
      </c>
      <c r="W1890">
        <v>-0.36799999999999999</v>
      </c>
      <c r="X1890">
        <v>0.23580000000000001</v>
      </c>
      <c r="Y1890">
        <v>-1.2500000000000001E-2</v>
      </c>
      <c r="Z1890">
        <v>99</v>
      </c>
      <c r="AA1890">
        <v>0.8</v>
      </c>
      <c r="AB1890">
        <v>247</v>
      </c>
      <c r="AC1890">
        <v>0.95</v>
      </c>
      <c r="AD1890">
        <v>0</v>
      </c>
      <c r="AE1890">
        <v>0</v>
      </c>
      <c r="AF1890">
        <v>0.89359999999999995</v>
      </c>
      <c r="AG1890">
        <v>284</v>
      </c>
      <c r="AH1890">
        <v>0</v>
      </c>
    </row>
    <row r="1891" spans="1:34" x14ac:dyDescent="0.35">
      <c r="A1891" t="s">
        <v>34</v>
      </c>
      <c r="B1891" s="1">
        <v>46146.65625</v>
      </c>
      <c r="C1891" t="s">
        <v>34</v>
      </c>
      <c r="D1891" s="1">
        <v>46155.625</v>
      </c>
      <c r="E1891">
        <v>6325</v>
      </c>
      <c r="F1891" t="s">
        <v>36</v>
      </c>
      <c r="G1891">
        <v>0.81</v>
      </c>
      <c r="H1891">
        <v>0.81</v>
      </c>
      <c r="I1891">
        <v>0.81</v>
      </c>
      <c r="J1891">
        <v>0.81</v>
      </c>
      <c r="K1891">
        <v>10</v>
      </c>
      <c r="L1891">
        <v>159</v>
      </c>
      <c r="M1891">
        <v>0.9</v>
      </c>
      <c r="N1891">
        <v>85</v>
      </c>
      <c r="O1891">
        <v>1</v>
      </c>
      <c r="P1891">
        <v>0</v>
      </c>
      <c r="Q1891">
        <v>0</v>
      </c>
      <c r="R1891">
        <v>0</v>
      </c>
      <c r="S1891">
        <v>0</v>
      </c>
      <c r="T1891">
        <v>0.34449999999999997</v>
      </c>
      <c r="U1891">
        <v>-7.7000000000000002E-3</v>
      </c>
      <c r="V1891">
        <v>1E-4</v>
      </c>
      <c r="W1891">
        <v>-0.38390000000000002</v>
      </c>
      <c r="X1891">
        <v>0.25059999999999999</v>
      </c>
      <c r="Y1891">
        <v>-1.3299999999999999E-2</v>
      </c>
      <c r="Z1891">
        <v>98</v>
      </c>
      <c r="AA1891">
        <v>0.85</v>
      </c>
      <c r="AB1891">
        <v>281</v>
      </c>
      <c r="AC1891">
        <v>1</v>
      </c>
      <c r="AD1891">
        <v>0</v>
      </c>
      <c r="AE1891">
        <v>0</v>
      </c>
      <c r="AF1891">
        <v>0.81</v>
      </c>
      <c r="AG1891">
        <v>276</v>
      </c>
      <c r="AH1891">
        <v>0</v>
      </c>
    </row>
    <row r="1892" spans="1:34" x14ac:dyDescent="0.35">
      <c r="A1892" t="s">
        <v>34</v>
      </c>
      <c r="B1892" s="1">
        <v>46146.65625</v>
      </c>
      <c r="C1892" t="s">
        <v>34</v>
      </c>
      <c r="D1892" s="1">
        <v>46155.625</v>
      </c>
      <c r="E1892">
        <v>6350</v>
      </c>
      <c r="F1892" t="s">
        <v>36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171</v>
      </c>
      <c r="M1892">
        <v>0.95</v>
      </c>
      <c r="N1892">
        <v>166</v>
      </c>
      <c r="O1892">
        <v>1.05</v>
      </c>
      <c r="P1892">
        <v>0</v>
      </c>
      <c r="Q1892">
        <v>0</v>
      </c>
      <c r="R1892">
        <v>0</v>
      </c>
      <c r="S1892">
        <v>0</v>
      </c>
      <c r="T1892">
        <v>0.3377</v>
      </c>
      <c r="U1892">
        <v>-8.2000000000000007E-3</v>
      </c>
      <c r="V1892">
        <v>1E-4</v>
      </c>
      <c r="W1892">
        <v>-0.3997</v>
      </c>
      <c r="X1892">
        <v>0.26550000000000001</v>
      </c>
      <c r="Y1892">
        <v>-1.4200000000000001E-2</v>
      </c>
      <c r="Z1892">
        <v>95</v>
      </c>
      <c r="AA1892">
        <v>0.9</v>
      </c>
      <c r="AB1892">
        <v>297</v>
      </c>
      <c r="AC1892">
        <v>1.05</v>
      </c>
      <c r="AD1892">
        <v>0</v>
      </c>
      <c r="AE1892">
        <v>0</v>
      </c>
      <c r="AF1892">
        <v>0</v>
      </c>
      <c r="AG1892">
        <v>496</v>
      </c>
      <c r="AH1892">
        <v>0</v>
      </c>
    </row>
    <row r="1893" spans="1:34" x14ac:dyDescent="0.35">
      <c r="A1893" t="s">
        <v>34</v>
      </c>
      <c r="B1893" s="1">
        <v>46146.65625</v>
      </c>
      <c r="C1893" t="s">
        <v>34</v>
      </c>
      <c r="D1893" s="1">
        <v>46155.625</v>
      </c>
      <c r="E1893">
        <v>6375</v>
      </c>
      <c r="F1893" t="s">
        <v>36</v>
      </c>
      <c r="G1893">
        <v>0.92</v>
      </c>
      <c r="H1893">
        <v>0.92</v>
      </c>
      <c r="I1893">
        <v>0.92</v>
      </c>
      <c r="J1893">
        <v>0.92</v>
      </c>
      <c r="K1893">
        <v>10</v>
      </c>
      <c r="L1893">
        <v>192</v>
      </c>
      <c r="M1893">
        <v>1</v>
      </c>
      <c r="N1893">
        <v>73</v>
      </c>
      <c r="O1893">
        <v>1.1000000000000001</v>
      </c>
      <c r="P1893">
        <v>0</v>
      </c>
      <c r="Q1893">
        <v>0</v>
      </c>
      <c r="R1893">
        <v>0</v>
      </c>
      <c r="S1893">
        <v>0</v>
      </c>
      <c r="T1893">
        <v>0.33040000000000003</v>
      </c>
      <c r="U1893">
        <v>-8.6999999999999994E-3</v>
      </c>
      <c r="V1893">
        <v>1E-4</v>
      </c>
      <c r="W1893">
        <v>-0.41489999999999999</v>
      </c>
      <c r="X1893">
        <v>0.28110000000000002</v>
      </c>
      <c r="Y1893">
        <v>-1.52E-2</v>
      </c>
      <c r="Z1893">
        <v>92</v>
      </c>
      <c r="AA1893">
        <v>0.95</v>
      </c>
      <c r="AB1893">
        <v>139</v>
      </c>
      <c r="AC1893">
        <v>1.1000000000000001</v>
      </c>
      <c r="AD1893">
        <v>0</v>
      </c>
      <c r="AE1893">
        <v>0</v>
      </c>
      <c r="AF1893">
        <v>0.92</v>
      </c>
      <c r="AG1893">
        <v>162</v>
      </c>
      <c r="AH1893">
        <v>0</v>
      </c>
    </row>
    <row r="1894" spans="1:34" x14ac:dyDescent="0.35">
      <c r="A1894" t="s">
        <v>34</v>
      </c>
      <c r="B1894" s="1">
        <v>46146.65625</v>
      </c>
      <c r="C1894" t="s">
        <v>34</v>
      </c>
      <c r="D1894" s="1">
        <v>46155.625</v>
      </c>
      <c r="E1894">
        <v>6400</v>
      </c>
      <c r="F1894" t="s">
        <v>36</v>
      </c>
      <c r="G1894">
        <v>1</v>
      </c>
      <c r="H1894">
        <v>1.24</v>
      </c>
      <c r="I1894">
        <v>1</v>
      </c>
      <c r="J1894">
        <v>1.24</v>
      </c>
      <c r="K1894">
        <v>22</v>
      </c>
      <c r="L1894">
        <v>190</v>
      </c>
      <c r="M1894">
        <v>1.05</v>
      </c>
      <c r="N1894">
        <v>156</v>
      </c>
      <c r="O1894">
        <v>1.2</v>
      </c>
      <c r="P1894">
        <v>0</v>
      </c>
      <c r="Q1894">
        <v>0</v>
      </c>
      <c r="R1894">
        <v>0</v>
      </c>
      <c r="S1894">
        <v>0</v>
      </c>
      <c r="T1894">
        <v>0.32379999999999998</v>
      </c>
      <c r="U1894">
        <v>-9.4000000000000004E-3</v>
      </c>
      <c r="V1894">
        <v>1E-4</v>
      </c>
      <c r="W1894">
        <v>-0.43819999999999998</v>
      </c>
      <c r="X1894">
        <v>0.30170000000000002</v>
      </c>
      <c r="Y1894">
        <v>-1.6500000000000001E-2</v>
      </c>
      <c r="Z1894">
        <v>18</v>
      </c>
      <c r="AA1894">
        <v>1.05</v>
      </c>
      <c r="AB1894">
        <v>72</v>
      </c>
      <c r="AC1894">
        <v>1.1499999999999999</v>
      </c>
      <c r="AD1894">
        <v>0</v>
      </c>
      <c r="AE1894">
        <v>0</v>
      </c>
      <c r="AF1894">
        <v>1.2181999999999999</v>
      </c>
      <c r="AG1894">
        <v>223</v>
      </c>
      <c r="AH1894">
        <v>0</v>
      </c>
    </row>
    <row r="1895" spans="1:34" x14ac:dyDescent="0.35">
      <c r="A1895" t="s">
        <v>34</v>
      </c>
      <c r="B1895" s="1">
        <v>46146.65625</v>
      </c>
      <c r="C1895" t="s">
        <v>34</v>
      </c>
      <c r="D1895" s="1">
        <v>46155.625</v>
      </c>
      <c r="E1895">
        <v>6425</v>
      </c>
      <c r="F1895" t="s">
        <v>36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187</v>
      </c>
      <c r="M1895">
        <v>1.1499999999999999</v>
      </c>
      <c r="N1895">
        <v>71</v>
      </c>
      <c r="O1895">
        <v>1.25</v>
      </c>
      <c r="P1895">
        <v>0</v>
      </c>
      <c r="Q1895">
        <v>0</v>
      </c>
      <c r="R1895">
        <v>0</v>
      </c>
      <c r="S1895">
        <v>0</v>
      </c>
      <c r="T1895">
        <v>0.317</v>
      </c>
      <c r="U1895">
        <v>-1.0200000000000001E-2</v>
      </c>
      <c r="V1895">
        <v>1E-4</v>
      </c>
      <c r="W1895">
        <v>-0.46079999999999999</v>
      </c>
      <c r="X1895">
        <v>0.3226</v>
      </c>
      <c r="Y1895">
        <v>-1.78E-2</v>
      </c>
      <c r="Z1895">
        <v>78</v>
      </c>
      <c r="AA1895">
        <v>1.1000000000000001</v>
      </c>
      <c r="AB1895">
        <v>174</v>
      </c>
      <c r="AC1895">
        <v>1.25</v>
      </c>
      <c r="AD1895">
        <v>0</v>
      </c>
      <c r="AE1895">
        <v>0</v>
      </c>
      <c r="AF1895">
        <v>0</v>
      </c>
      <c r="AG1895">
        <v>267</v>
      </c>
      <c r="AH1895">
        <v>0</v>
      </c>
    </row>
    <row r="1896" spans="1:34" x14ac:dyDescent="0.35">
      <c r="A1896" t="s">
        <v>34</v>
      </c>
      <c r="B1896" s="1">
        <v>46146.65625</v>
      </c>
      <c r="C1896" t="s">
        <v>34</v>
      </c>
      <c r="D1896" s="1">
        <v>46155.625</v>
      </c>
      <c r="E1896">
        <v>6450</v>
      </c>
      <c r="F1896" t="s">
        <v>36</v>
      </c>
      <c r="G1896">
        <v>1</v>
      </c>
      <c r="H1896">
        <v>2.02</v>
      </c>
      <c r="I1896">
        <v>1</v>
      </c>
      <c r="J1896">
        <v>2.02</v>
      </c>
      <c r="K1896">
        <v>2</v>
      </c>
      <c r="L1896">
        <v>187</v>
      </c>
      <c r="M1896">
        <v>1.2</v>
      </c>
      <c r="N1896">
        <v>154</v>
      </c>
      <c r="O1896">
        <v>1.35</v>
      </c>
      <c r="P1896">
        <v>0</v>
      </c>
      <c r="Q1896">
        <v>0</v>
      </c>
      <c r="R1896">
        <v>0</v>
      </c>
      <c r="S1896">
        <v>0</v>
      </c>
      <c r="T1896">
        <v>0.30990000000000001</v>
      </c>
      <c r="U1896">
        <v>-1.0999999999999999E-2</v>
      </c>
      <c r="V1896">
        <v>1E-4</v>
      </c>
      <c r="W1896">
        <v>-0.48270000000000002</v>
      </c>
      <c r="X1896">
        <v>0.34420000000000001</v>
      </c>
      <c r="Y1896">
        <v>-1.9199999999999998E-2</v>
      </c>
      <c r="Z1896">
        <v>19</v>
      </c>
      <c r="AA1896">
        <v>1.2</v>
      </c>
      <c r="AB1896">
        <v>242</v>
      </c>
      <c r="AC1896">
        <v>1.35</v>
      </c>
      <c r="AD1896">
        <v>0</v>
      </c>
      <c r="AE1896">
        <v>0</v>
      </c>
      <c r="AF1896">
        <v>1.51</v>
      </c>
      <c r="AG1896">
        <v>443</v>
      </c>
      <c r="AH1896">
        <v>0</v>
      </c>
    </row>
    <row r="1897" spans="1:34" x14ac:dyDescent="0.35">
      <c r="A1897" t="s">
        <v>34</v>
      </c>
      <c r="B1897" s="1">
        <v>46146.65625</v>
      </c>
      <c r="C1897" t="s">
        <v>34</v>
      </c>
      <c r="D1897" s="1">
        <v>46155.625</v>
      </c>
      <c r="E1897">
        <v>6475</v>
      </c>
      <c r="F1897" t="s">
        <v>36</v>
      </c>
      <c r="G1897">
        <v>2.17</v>
      </c>
      <c r="H1897">
        <v>2.17</v>
      </c>
      <c r="I1897">
        <v>2.17</v>
      </c>
      <c r="J1897">
        <v>2.17</v>
      </c>
      <c r="K1897">
        <v>1</v>
      </c>
      <c r="L1897">
        <v>184</v>
      </c>
      <c r="M1897">
        <v>1.3</v>
      </c>
      <c r="N1897">
        <v>146</v>
      </c>
      <c r="O1897">
        <v>1.45</v>
      </c>
      <c r="P1897">
        <v>0</v>
      </c>
      <c r="Q1897">
        <v>0</v>
      </c>
      <c r="R1897">
        <v>0</v>
      </c>
      <c r="S1897">
        <v>0</v>
      </c>
      <c r="T1897">
        <v>0.30299999999999999</v>
      </c>
      <c r="U1897">
        <v>-1.2E-2</v>
      </c>
      <c r="V1897">
        <v>1E-4</v>
      </c>
      <c r="W1897">
        <v>-0.51190000000000002</v>
      </c>
      <c r="X1897">
        <v>0.37130000000000002</v>
      </c>
      <c r="Y1897">
        <v>-2.0899999999999998E-2</v>
      </c>
      <c r="Z1897">
        <v>75</v>
      </c>
      <c r="AA1897">
        <v>1.25</v>
      </c>
      <c r="AB1897">
        <v>68</v>
      </c>
      <c r="AC1897">
        <v>1.4</v>
      </c>
      <c r="AD1897">
        <v>0</v>
      </c>
      <c r="AE1897">
        <v>0</v>
      </c>
      <c r="AF1897">
        <v>2.17</v>
      </c>
      <c r="AG1897">
        <v>73</v>
      </c>
      <c r="AH1897">
        <v>0</v>
      </c>
    </row>
    <row r="1898" spans="1:34" x14ac:dyDescent="0.35">
      <c r="A1898" t="s">
        <v>34</v>
      </c>
      <c r="B1898" s="1">
        <v>46146.65625</v>
      </c>
      <c r="C1898" t="s">
        <v>34</v>
      </c>
      <c r="D1898" s="1">
        <v>46155.625</v>
      </c>
      <c r="E1898">
        <v>6500</v>
      </c>
      <c r="F1898" t="s">
        <v>36</v>
      </c>
      <c r="G1898">
        <v>1.3</v>
      </c>
      <c r="H1898">
        <v>1.3</v>
      </c>
      <c r="I1898">
        <v>1.3</v>
      </c>
      <c r="J1898">
        <v>1.3</v>
      </c>
      <c r="K1898">
        <v>1</v>
      </c>
      <c r="L1898">
        <v>182</v>
      </c>
      <c r="M1898">
        <v>1.4</v>
      </c>
      <c r="N1898">
        <v>147</v>
      </c>
      <c r="O1898">
        <v>1.55</v>
      </c>
      <c r="P1898">
        <v>0</v>
      </c>
      <c r="Q1898">
        <v>0</v>
      </c>
      <c r="R1898">
        <v>0</v>
      </c>
      <c r="S1898">
        <v>0</v>
      </c>
      <c r="T1898">
        <v>0.29620000000000002</v>
      </c>
      <c r="U1898">
        <v>-1.2999999999999999E-2</v>
      </c>
      <c r="V1898">
        <v>1E-4</v>
      </c>
      <c r="W1898">
        <v>-0.54020000000000001</v>
      </c>
      <c r="X1898">
        <v>0.3992</v>
      </c>
      <c r="Y1898">
        <v>-2.2700000000000001E-2</v>
      </c>
      <c r="Z1898">
        <v>74</v>
      </c>
      <c r="AA1898">
        <v>1.35</v>
      </c>
      <c r="AB1898">
        <v>230</v>
      </c>
      <c r="AC1898">
        <v>1.55</v>
      </c>
      <c r="AD1898">
        <v>0</v>
      </c>
      <c r="AE1898">
        <v>0</v>
      </c>
      <c r="AF1898">
        <v>1.3</v>
      </c>
      <c r="AG1898">
        <v>210</v>
      </c>
      <c r="AH1898">
        <v>0</v>
      </c>
    </row>
    <row r="1899" spans="1:34" x14ac:dyDescent="0.35">
      <c r="A1899" t="s">
        <v>34</v>
      </c>
      <c r="B1899" s="1">
        <v>46146.65625</v>
      </c>
      <c r="C1899" t="s">
        <v>34</v>
      </c>
      <c r="D1899" s="1">
        <v>46155.625</v>
      </c>
      <c r="E1899">
        <v>6525</v>
      </c>
      <c r="F1899" t="s">
        <v>36</v>
      </c>
      <c r="G1899">
        <v>1.54</v>
      </c>
      <c r="H1899">
        <v>1.54</v>
      </c>
      <c r="I1899">
        <v>1.54</v>
      </c>
      <c r="J1899">
        <v>1.54</v>
      </c>
      <c r="K1899">
        <v>4</v>
      </c>
      <c r="L1899">
        <v>39</v>
      </c>
      <c r="M1899">
        <v>1.55</v>
      </c>
      <c r="N1899">
        <v>137</v>
      </c>
      <c r="O1899">
        <v>1.7</v>
      </c>
      <c r="P1899">
        <v>0</v>
      </c>
      <c r="Q1899">
        <v>0</v>
      </c>
      <c r="R1899">
        <v>0</v>
      </c>
      <c r="S1899">
        <v>0</v>
      </c>
      <c r="T1899">
        <v>0.29020000000000001</v>
      </c>
      <c r="U1899">
        <v>-1.4200000000000001E-2</v>
      </c>
      <c r="V1899">
        <v>1E-4</v>
      </c>
      <c r="W1899">
        <v>-0.57530000000000003</v>
      </c>
      <c r="X1899">
        <v>0.43190000000000001</v>
      </c>
      <c r="Y1899">
        <v>-2.4899999999999999E-2</v>
      </c>
      <c r="Z1899">
        <v>37</v>
      </c>
      <c r="AA1899">
        <v>1.5</v>
      </c>
      <c r="AB1899">
        <v>196</v>
      </c>
      <c r="AC1899">
        <v>1.65</v>
      </c>
      <c r="AD1899">
        <v>0</v>
      </c>
      <c r="AE1899">
        <v>0</v>
      </c>
      <c r="AF1899">
        <v>1.54</v>
      </c>
      <c r="AG1899">
        <v>69</v>
      </c>
      <c r="AH1899">
        <v>0</v>
      </c>
    </row>
    <row r="1900" spans="1:34" x14ac:dyDescent="0.35">
      <c r="A1900" t="s">
        <v>34</v>
      </c>
      <c r="B1900" s="1">
        <v>46146.65625</v>
      </c>
      <c r="C1900" t="s">
        <v>34</v>
      </c>
      <c r="D1900" s="1">
        <v>46155.625</v>
      </c>
      <c r="E1900">
        <v>6550</v>
      </c>
      <c r="F1900" t="s">
        <v>36</v>
      </c>
      <c r="G1900">
        <v>1.45</v>
      </c>
      <c r="H1900">
        <v>1.45</v>
      </c>
      <c r="I1900">
        <v>1.45</v>
      </c>
      <c r="J1900">
        <v>1.45</v>
      </c>
      <c r="K1900">
        <v>1</v>
      </c>
      <c r="L1900">
        <v>179</v>
      </c>
      <c r="M1900">
        <v>1.65</v>
      </c>
      <c r="N1900">
        <v>338</v>
      </c>
      <c r="O1900">
        <v>1.85</v>
      </c>
      <c r="P1900">
        <v>0</v>
      </c>
      <c r="Q1900">
        <v>0</v>
      </c>
      <c r="R1900">
        <v>0</v>
      </c>
      <c r="S1900">
        <v>0</v>
      </c>
      <c r="T1900">
        <v>0.28299999999999997</v>
      </c>
      <c r="U1900">
        <v>-1.5599999999999999E-2</v>
      </c>
      <c r="V1900">
        <v>1E-4</v>
      </c>
      <c r="W1900">
        <v>-0.60860000000000003</v>
      </c>
      <c r="X1900">
        <v>0.46639999999999998</v>
      </c>
      <c r="Y1900">
        <v>-2.7300000000000001E-2</v>
      </c>
      <c r="Z1900">
        <v>72</v>
      </c>
      <c r="AA1900">
        <v>1.6</v>
      </c>
      <c r="AB1900">
        <v>217</v>
      </c>
      <c r="AC1900">
        <v>1.8</v>
      </c>
      <c r="AD1900">
        <v>0</v>
      </c>
      <c r="AE1900">
        <v>0</v>
      </c>
      <c r="AF1900">
        <v>1.45</v>
      </c>
      <c r="AG1900">
        <v>47</v>
      </c>
      <c r="AH1900">
        <v>0</v>
      </c>
    </row>
    <row r="1901" spans="1:34" x14ac:dyDescent="0.35">
      <c r="A1901" t="s">
        <v>34</v>
      </c>
      <c r="B1901" s="1">
        <v>46146.65625</v>
      </c>
      <c r="C1901" t="s">
        <v>34</v>
      </c>
      <c r="D1901" s="1">
        <v>46155.625</v>
      </c>
      <c r="E1901">
        <v>6575</v>
      </c>
      <c r="F1901" t="s">
        <v>36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178</v>
      </c>
      <c r="M1901">
        <v>1.8</v>
      </c>
      <c r="N1901">
        <v>249</v>
      </c>
      <c r="O1901">
        <v>2</v>
      </c>
      <c r="P1901">
        <v>0</v>
      </c>
      <c r="Q1901">
        <v>0</v>
      </c>
      <c r="R1901">
        <v>0</v>
      </c>
      <c r="S1901">
        <v>0</v>
      </c>
      <c r="T1901">
        <v>0.27750000000000002</v>
      </c>
      <c r="U1901">
        <v>-1.72E-2</v>
      </c>
      <c r="V1901">
        <v>1E-4</v>
      </c>
      <c r="W1901">
        <v>-0.65559999999999996</v>
      </c>
      <c r="X1901">
        <v>0.50849999999999995</v>
      </c>
      <c r="Y1901">
        <v>-3.0200000000000001E-2</v>
      </c>
      <c r="Z1901">
        <v>71</v>
      </c>
      <c r="AA1901">
        <v>1.75</v>
      </c>
      <c r="AB1901">
        <v>210</v>
      </c>
      <c r="AC1901">
        <v>1.95</v>
      </c>
      <c r="AD1901">
        <v>0</v>
      </c>
      <c r="AE1901">
        <v>0</v>
      </c>
      <c r="AF1901">
        <v>0</v>
      </c>
      <c r="AG1901">
        <v>56</v>
      </c>
      <c r="AH1901">
        <v>0</v>
      </c>
    </row>
    <row r="1902" spans="1:34" x14ac:dyDescent="0.35">
      <c r="A1902" t="s">
        <v>34</v>
      </c>
      <c r="B1902" s="1">
        <v>46146.65625</v>
      </c>
      <c r="C1902" t="s">
        <v>34</v>
      </c>
      <c r="D1902" s="1">
        <v>46155.625</v>
      </c>
      <c r="E1902">
        <v>6600</v>
      </c>
      <c r="F1902" t="s">
        <v>36</v>
      </c>
      <c r="G1902">
        <v>1.7</v>
      </c>
      <c r="H1902">
        <v>1.7</v>
      </c>
      <c r="I1902">
        <v>1.7</v>
      </c>
      <c r="J1902">
        <v>1.7</v>
      </c>
      <c r="K1902">
        <v>2</v>
      </c>
      <c r="L1902">
        <v>173</v>
      </c>
      <c r="M1902">
        <v>2</v>
      </c>
      <c r="N1902">
        <v>159</v>
      </c>
      <c r="O1902">
        <v>2.15</v>
      </c>
      <c r="P1902">
        <v>0</v>
      </c>
      <c r="Q1902">
        <v>0</v>
      </c>
      <c r="R1902">
        <v>0</v>
      </c>
      <c r="S1902">
        <v>0</v>
      </c>
      <c r="T1902">
        <v>0.27110000000000001</v>
      </c>
      <c r="U1902">
        <v>-1.9E-2</v>
      </c>
      <c r="V1902">
        <v>2.0000000000000001E-4</v>
      </c>
      <c r="W1902">
        <v>-0.70050000000000001</v>
      </c>
      <c r="X1902">
        <v>0.55269999999999997</v>
      </c>
      <c r="Y1902">
        <v>-3.3300000000000003E-2</v>
      </c>
      <c r="Z1902">
        <v>72</v>
      </c>
      <c r="AA1902">
        <v>1.9</v>
      </c>
      <c r="AB1902">
        <v>144</v>
      </c>
      <c r="AC1902">
        <v>2.1</v>
      </c>
      <c r="AD1902">
        <v>0</v>
      </c>
      <c r="AE1902">
        <v>0</v>
      </c>
      <c r="AF1902">
        <v>1.7</v>
      </c>
      <c r="AG1902">
        <v>314</v>
      </c>
      <c r="AH1902">
        <v>0</v>
      </c>
    </row>
    <row r="1903" spans="1:34" x14ac:dyDescent="0.35">
      <c r="A1903" t="s">
        <v>34</v>
      </c>
      <c r="B1903" s="1">
        <v>46146.65625</v>
      </c>
      <c r="C1903" t="s">
        <v>34</v>
      </c>
      <c r="D1903" s="1">
        <v>46155.625</v>
      </c>
      <c r="E1903">
        <v>6625</v>
      </c>
      <c r="F1903" t="s">
        <v>36</v>
      </c>
      <c r="G1903">
        <v>2.25</v>
      </c>
      <c r="H1903">
        <v>2.25</v>
      </c>
      <c r="I1903">
        <v>2.25</v>
      </c>
      <c r="J1903">
        <v>2.25</v>
      </c>
      <c r="K1903">
        <v>1</v>
      </c>
      <c r="L1903">
        <v>126</v>
      </c>
      <c r="M1903">
        <v>2.2000000000000002</v>
      </c>
      <c r="N1903">
        <v>93</v>
      </c>
      <c r="O1903">
        <v>2.35</v>
      </c>
      <c r="P1903">
        <v>0</v>
      </c>
      <c r="Q1903">
        <v>0</v>
      </c>
      <c r="R1903">
        <v>0</v>
      </c>
      <c r="S1903">
        <v>0</v>
      </c>
      <c r="T1903">
        <v>0.26469999999999999</v>
      </c>
      <c r="U1903">
        <v>-2.1100000000000001E-2</v>
      </c>
      <c r="V1903">
        <v>2.0000000000000001E-4</v>
      </c>
      <c r="W1903">
        <v>-0.75019999999999998</v>
      </c>
      <c r="X1903">
        <v>0.60289999999999999</v>
      </c>
      <c r="Y1903">
        <v>-3.6900000000000002E-2</v>
      </c>
      <c r="Z1903">
        <v>72</v>
      </c>
      <c r="AA1903">
        <v>2.1</v>
      </c>
      <c r="AB1903">
        <v>175</v>
      </c>
      <c r="AC1903">
        <v>2.2999999999999998</v>
      </c>
      <c r="AD1903">
        <v>0</v>
      </c>
      <c r="AE1903">
        <v>0</v>
      </c>
      <c r="AF1903">
        <v>2.25</v>
      </c>
      <c r="AG1903">
        <v>147</v>
      </c>
      <c r="AH1903">
        <v>0</v>
      </c>
    </row>
    <row r="1904" spans="1:34" x14ac:dyDescent="0.35">
      <c r="A1904" t="s">
        <v>34</v>
      </c>
      <c r="B1904" s="1">
        <v>46146.65625</v>
      </c>
      <c r="C1904" t="s">
        <v>34</v>
      </c>
      <c r="D1904" s="1">
        <v>46155.625</v>
      </c>
      <c r="E1904">
        <v>6640</v>
      </c>
      <c r="F1904" t="s">
        <v>36</v>
      </c>
      <c r="G1904">
        <v>3.5</v>
      </c>
      <c r="H1904">
        <v>3.5</v>
      </c>
      <c r="I1904">
        <v>3.5</v>
      </c>
      <c r="J1904">
        <v>3.5</v>
      </c>
      <c r="K1904">
        <v>2</v>
      </c>
      <c r="L1904">
        <v>173</v>
      </c>
      <c r="M1904">
        <v>2.2999999999999998</v>
      </c>
      <c r="N1904">
        <v>154</v>
      </c>
      <c r="O1904">
        <v>2.5</v>
      </c>
      <c r="P1904">
        <v>0</v>
      </c>
      <c r="Q1904">
        <v>0</v>
      </c>
      <c r="R1904">
        <v>0</v>
      </c>
      <c r="S1904">
        <v>0</v>
      </c>
      <c r="T1904">
        <v>0.26079999999999998</v>
      </c>
      <c r="U1904">
        <v>-2.24E-2</v>
      </c>
      <c r="V1904">
        <v>2.0000000000000001E-4</v>
      </c>
      <c r="W1904">
        <v>-0.78029999999999999</v>
      </c>
      <c r="X1904">
        <v>0.63429999999999997</v>
      </c>
      <c r="Y1904">
        <v>-3.9300000000000002E-2</v>
      </c>
      <c r="Z1904">
        <v>71</v>
      </c>
      <c r="AA1904">
        <v>2.25</v>
      </c>
      <c r="AB1904">
        <v>213</v>
      </c>
      <c r="AC1904">
        <v>2.4500000000000002</v>
      </c>
      <c r="AD1904">
        <v>0</v>
      </c>
      <c r="AE1904">
        <v>0</v>
      </c>
      <c r="AF1904">
        <v>3.5</v>
      </c>
      <c r="AG1904">
        <v>291</v>
      </c>
      <c r="AH1904">
        <v>0</v>
      </c>
    </row>
    <row r="1905" spans="1:34" x14ac:dyDescent="0.35">
      <c r="A1905" t="s">
        <v>34</v>
      </c>
      <c r="B1905" s="1">
        <v>46146.65625</v>
      </c>
      <c r="C1905" t="s">
        <v>34</v>
      </c>
      <c r="D1905" s="1">
        <v>46155.625</v>
      </c>
      <c r="E1905">
        <v>6650</v>
      </c>
      <c r="F1905" t="s">
        <v>36</v>
      </c>
      <c r="G1905">
        <v>2.82</v>
      </c>
      <c r="H1905">
        <v>2.82</v>
      </c>
      <c r="I1905">
        <v>2.42</v>
      </c>
      <c r="J1905">
        <v>2.42</v>
      </c>
      <c r="K1905">
        <v>3</v>
      </c>
      <c r="L1905">
        <v>171</v>
      </c>
      <c r="M1905">
        <v>2.4</v>
      </c>
      <c r="N1905">
        <v>154</v>
      </c>
      <c r="O1905">
        <v>2.6</v>
      </c>
      <c r="P1905">
        <v>0</v>
      </c>
      <c r="Q1905">
        <v>0</v>
      </c>
      <c r="R1905">
        <v>0</v>
      </c>
      <c r="S1905">
        <v>0</v>
      </c>
      <c r="T1905">
        <v>0.25840000000000002</v>
      </c>
      <c r="U1905">
        <v>-2.3400000000000001E-2</v>
      </c>
      <c r="V1905">
        <v>2.0000000000000001E-4</v>
      </c>
      <c r="W1905">
        <v>-0.80420000000000003</v>
      </c>
      <c r="X1905">
        <v>0.65810000000000002</v>
      </c>
      <c r="Y1905">
        <v>-4.1099999999999998E-2</v>
      </c>
      <c r="Z1905">
        <v>70</v>
      </c>
      <c r="AA1905">
        <v>2.35</v>
      </c>
      <c r="AB1905">
        <v>173</v>
      </c>
      <c r="AC1905">
        <v>2.5499999999999998</v>
      </c>
      <c r="AD1905">
        <v>0</v>
      </c>
      <c r="AE1905">
        <v>0</v>
      </c>
      <c r="AF1905">
        <v>2.6867000000000001</v>
      </c>
      <c r="AG1905">
        <v>93</v>
      </c>
      <c r="AH1905">
        <v>0</v>
      </c>
    </row>
    <row r="1906" spans="1:34" x14ac:dyDescent="0.35">
      <c r="A1906" t="s">
        <v>34</v>
      </c>
      <c r="B1906" s="1">
        <v>46146.65625</v>
      </c>
      <c r="C1906" t="s">
        <v>34</v>
      </c>
      <c r="D1906" s="1">
        <v>46155.625</v>
      </c>
      <c r="E1906">
        <v>6660</v>
      </c>
      <c r="F1906" t="s">
        <v>36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171</v>
      </c>
      <c r="M1906">
        <v>2.5</v>
      </c>
      <c r="N1906">
        <v>156</v>
      </c>
      <c r="O1906">
        <v>2.7</v>
      </c>
      <c r="P1906">
        <v>0</v>
      </c>
      <c r="Q1906">
        <v>0</v>
      </c>
      <c r="R1906">
        <v>0</v>
      </c>
      <c r="S1906">
        <v>0</v>
      </c>
      <c r="T1906">
        <v>0.25590000000000002</v>
      </c>
      <c r="U1906">
        <v>-2.4400000000000002E-2</v>
      </c>
      <c r="V1906">
        <v>2.0000000000000001E-4</v>
      </c>
      <c r="W1906">
        <v>-0.82769999999999999</v>
      </c>
      <c r="X1906">
        <v>0.68200000000000005</v>
      </c>
      <c r="Y1906">
        <v>-4.2900000000000001E-2</v>
      </c>
      <c r="Z1906">
        <v>70</v>
      </c>
      <c r="AA1906">
        <v>2.4500000000000002</v>
      </c>
      <c r="AB1906">
        <v>208</v>
      </c>
      <c r="AC1906">
        <v>2.65</v>
      </c>
      <c r="AD1906">
        <v>0</v>
      </c>
      <c r="AE1906">
        <v>0</v>
      </c>
      <c r="AF1906">
        <v>0</v>
      </c>
      <c r="AG1906">
        <v>13</v>
      </c>
      <c r="AH1906">
        <v>0</v>
      </c>
    </row>
    <row r="1907" spans="1:34" x14ac:dyDescent="0.35">
      <c r="A1907" t="s">
        <v>34</v>
      </c>
      <c r="B1907" s="1">
        <v>46146.65625</v>
      </c>
      <c r="C1907" t="s">
        <v>34</v>
      </c>
      <c r="D1907" s="1">
        <v>46155.625</v>
      </c>
      <c r="E1907">
        <v>6670</v>
      </c>
      <c r="F1907" t="s">
        <v>36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171</v>
      </c>
      <c r="M1907">
        <v>2.6</v>
      </c>
      <c r="N1907">
        <v>89</v>
      </c>
      <c r="O1907">
        <v>2.8</v>
      </c>
      <c r="P1907">
        <v>0</v>
      </c>
      <c r="Q1907">
        <v>0</v>
      </c>
      <c r="R1907">
        <v>0</v>
      </c>
      <c r="S1907">
        <v>0</v>
      </c>
      <c r="T1907">
        <v>0.25309999999999999</v>
      </c>
      <c r="U1907">
        <v>-2.5499999999999998E-2</v>
      </c>
      <c r="V1907">
        <v>2.0000000000000001E-4</v>
      </c>
      <c r="W1907">
        <v>-0.85050000000000003</v>
      </c>
      <c r="X1907">
        <v>0.70630000000000004</v>
      </c>
      <c r="Y1907">
        <v>-4.48E-2</v>
      </c>
      <c r="Z1907">
        <v>69</v>
      </c>
      <c r="AA1907">
        <v>2.5499999999999998</v>
      </c>
      <c r="AB1907">
        <v>209</v>
      </c>
      <c r="AC1907">
        <v>2.75</v>
      </c>
      <c r="AD1907">
        <v>0</v>
      </c>
      <c r="AE1907">
        <v>0</v>
      </c>
      <c r="AF1907">
        <v>0</v>
      </c>
      <c r="AG1907">
        <v>33</v>
      </c>
      <c r="AH1907">
        <v>0</v>
      </c>
    </row>
    <row r="1908" spans="1:34" x14ac:dyDescent="0.35">
      <c r="A1908" t="s">
        <v>34</v>
      </c>
      <c r="B1908" s="1">
        <v>46146.65625</v>
      </c>
      <c r="C1908" t="s">
        <v>34</v>
      </c>
      <c r="D1908" s="1">
        <v>46155.625</v>
      </c>
      <c r="E1908">
        <v>6675</v>
      </c>
      <c r="F1908" t="s">
        <v>36</v>
      </c>
      <c r="G1908">
        <v>2.56</v>
      </c>
      <c r="H1908">
        <v>3.75</v>
      </c>
      <c r="I1908">
        <v>2.0699999999999998</v>
      </c>
      <c r="J1908">
        <v>3.16</v>
      </c>
      <c r="K1908">
        <v>33</v>
      </c>
      <c r="L1908">
        <v>152</v>
      </c>
      <c r="M1908">
        <v>2.7</v>
      </c>
      <c r="N1908">
        <v>34</v>
      </c>
      <c r="O1908">
        <v>2.85</v>
      </c>
      <c r="P1908">
        <v>0</v>
      </c>
      <c r="Q1908">
        <v>0</v>
      </c>
      <c r="R1908">
        <v>0</v>
      </c>
      <c r="S1908">
        <v>0</v>
      </c>
      <c r="T1908">
        <v>0.25190000000000001</v>
      </c>
      <c r="U1908">
        <v>-2.5999999999999999E-2</v>
      </c>
      <c r="V1908">
        <v>2.0000000000000001E-4</v>
      </c>
      <c r="W1908">
        <v>-0.86180000000000001</v>
      </c>
      <c r="X1908">
        <v>0.71830000000000005</v>
      </c>
      <c r="Y1908">
        <v>-4.5699999999999998E-2</v>
      </c>
      <c r="Z1908">
        <v>75</v>
      </c>
      <c r="AA1908">
        <v>2.6</v>
      </c>
      <c r="AB1908">
        <v>172</v>
      </c>
      <c r="AC1908">
        <v>2.8</v>
      </c>
      <c r="AD1908">
        <v>0</v>
      </c>
      <c r="AE1908">
        <v>0</v>
      </c>
      <c r="AF1908">
        <v>3.1629999999999998</v>
      </c>
      <c r="AG1908">
        <v>102</v>
      </c>
      <c r="AH1908">
        <v>0</v>
      </c>
    </row>
    <row r="1909" spans="1:34" x14ac:dyDescent="0.35">
      <c r="A1909" t="s">
        <v>34</v>
      </c>
      <c r="B1909" s="1">
        <v>46146.65625</v>
      </c>
      <c r="C1909" t="s">
        <v>34</v>
      </c>
      <c r="D1909" s="1">
        <v>46155.625</v>
      </c>
      <c r="E1909">
        <v>6680</v>
      </c>
      <c r="F1909" t="s">
        <v>36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159</v>
      </c>
      <c r="M1909">
        <v>2.75</v>
      </c>
      <c r="N1909">
        <v>159</v>
      </c>
      <c r="O1909">
        <v>2.95</v>
      </c>
      <c r="P1909">
        <v>0</v>
      </c>
      <c r="Q1909">
        <v>0</v>
      </c>
      <c r="R1909">
        <v>0</v>
      </c>
      <c r="S1909">
        <v>0</v>
      </c>
      <c r="T1909">
        <v>0.25140000000000001</v>
      </c>
      <c r="U1909">
        <v>-2.6800000000000001E-2</v>
      </c>
      <c r="V1909">
        <v>2.0000000000000001E-4</v>
      </c>
      <c r="W1909">
        <v>-0.88570000000000004</v>
      </c>
      <c r="X1909">
        <v>0.73760000000000003</v>
      </c>
      <c r="Y1909">
        <v>-4.7199999999999999E-2</v>
      </c>
      <c r="Z1909">
        <v>74</v>
      </c>
      <c r="AA1909">
        <v>2.65</v>
      </c>
      <c r="AB1909">
        <v>118</v>
      </c>
      <c r="AC1909">
        <v>2.85</v>
      </c>
      <c r="AD1909">
        <v>0</v>
      </c>
      <c r="AE1909">
        <v>0</v>
      </c>
      <c r="AF1909">
        <v>0</v>
      </c>
      <c r="AG1909">
        <v>95</v>
      </c>
      <c r="AH1909">
        <v>0</v>
      </c>
    </row>
    <row r="1910" spans="1:34" x14ac:dyDescent="0.35">
      <c r="A1910" t="s">
        <v>34</v>
      </c>
      <c r="B1910" s="1">
        <v>46146.65625</v>
      </c>
      <c r="C1910" t="s">
        <v>34</v>
      </c>
      <c r="D1910" s="1">
        <v>46155.625</v>
      </c>
      <c r="E1910">
        <v>6690</v>
      </c>
      <c r="F1910" t="s">
        <v>36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167</v>
      </c>
      <c r="M1910">
        <v>2.85</v>
      </c>
      <c r="N1910">
        <v>224</v>
      </c>
      <c r="O1910">
        <v>3.1</v>
      </c>
      <c r="P1910">
        <v>0</v>
      </c>
      <c r="Q1910">
        <v>0</v>
      </c>
      <c r="R1910">
        <v>0</v>
      </c>
      <c r="S1910">
        <v>0</v>
      </c>
      <c r="T1910">
        <v>0.24879999999999999</v>
      </c>
      <c r="U1910">
        <v>-2.81E-2</v>
      </c>
      <c r="V1910">
        <v>2.0000000000000001E-4</v>
      </c>
      <c r="W1910">
        <v>-0.91359999999999997</v>
      </c>
      <c r="X1910">
        <v>0.76619999999999999</v>
      </c>
      <c r="Y1910">
        <v>-4.9500000000000002E-2</v>
      </c>
      <c r="Z1910">
        <v>68</v>
      </c>
      <c r="AA1910">
        <v>2.75</v>
      </c>
      <c r="AB1910">
        <v>216</v>
      </c>
      <c r="AC1910">
        <v>3</v>
      </c>
      <c r="AD1910">
        <v>0</v>
      </c>
      <c r="AE1910">
        <v>0</v>
      </c>
      <c r="AF1910">
        <v>0</v>
      </c>
      <c r="AG1910">
        <v>22</v>
      </c>
      <c r="AH1910">
        <v>0</v>
      </c>
    </row>
    <row r="1911" spans="1:34" x14ac:dyDescent="0.35">
      <c r="A1911" t="s">
        <v>34</v>
      </c>
      <c r="B1911" s="1">
        <v>46146.65625</v>
      </c>
      <c r="C1911" t="s">
        <v>34</v>
      </c>
      <c r="D1911" s="1">
        <v>46155.625</v>
      </c>
      <c r="E1911">
        <v>6700</v>
      </c>
      <c r="F1911" t="s">
        <v>36</v>
      </c>
      <c r="G1911">
        <v>2.74</v>
      </c>
      <c r="H1911">
        <v>4.3</v>
      </c>
      <c r="I1911">
        <v>2.27</v>
      </c>
      <c r="J1911">
        <v>2.93</v>
      </c>
      <c r="K1911">
        <v>35</v>
      </c>
      <c r="L1911">
        <v>187</v>
      </c>
      <c r="M1911">
        <v>3</v>
      </c>
      <c r="N1911">
        <v>146</v>
      </c>
      <c r="O1911">
        <v>3.2</v>
      </c>
      <c r="P1911">
        <v>0</v>
      </c>
      <c r="Q1911">
        <v>0</v>
      </c>
      <c r="R1911">
        <v>0</v>
      </c>
      <c r="S1911">
        <v>0</v>
      </c>
      <c r="T1911">
        <v>0.24629999999999999</v>
      </c>
      <c r="U1911">
        <v>-2.9399999999999999E-2</v>
      </c>
      <c r="V1911">
        <v>2.0000000000000001E-4</v>
      </c>
      <c r="W1911">
        <v>-0.94099999999999995</v>
      </c>
      <c r="X1911">
        <v>0.79479999999999995</v>
      </c>
      <c r="Y1911">
        <v>-5.1700000000000003E-2</v>
      </c>
      <c r="Z1911">
        <v>66</v>
      </c>
      <c r="AA1911">
        <v>2.9</v>
      </c>
      <c r="AB1911">
        <v>23</v>
      </c>
      <c r="AC1911">
        <v>3.1</v>
      </c>
      <c r="AD1911">
        <v>0</v>
      </c>
      <c r="AE1911">
        <v>0</v>
      </c>
      <c r="AF1911">
        <v>3.4716999999999998</v>
      </c>
      <c r="AG1911">
        <v>216</v>
      </c>
      <c r="AH1911">
        <v>0</v>
      </c>
    </row>
    <row r="1912" spans="1:34" x14ac:dyDescent="0.35">
      <c r="A1912" t="s">
        <v>34</v>
      </c>
      <c r="B1912" s="1">
        <v>46146.65625</v>
      </c>
      <c r="C1912" t="s">
        <v>34</v>
      </c>
      <c r="D1912" s="1">
        <v>46155.625</v>
      </c>
      <c r="E1912">
        <v>6710</v>
      </c>
      <c r="F1912" t="s">
        <v>36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167</v>
      </c>
      <c r="M1912">
        <v>3.1</v>
      </c>
      <c r="N1912">
        <v>158</v>
      </c>
      <c r="O1912">
        <v>3.4</v>
      </c>
      <c r="P1912">
        <v>0</v>
      </c>
      <c r="Q1912">
        <v>0</v>
      </c>
      <c r="R1912">
        <v>0</v>
      </c>
      <c r="S1912">
        <v>0</v>
      </c>
      <c r="T1912">
        <v>0.2442</v>
      </c>
      <c r="U1912">
        <v>-3.09E-2</v>
      </c>
      <c r="V1912">
        <v>2.9999999999999997E-4</v>
      </c>
      <c r="W1912">
        <v>-0.97389999999999999</v>
      </c>
      <c r="X1912">
        <v>0.82730000000000004</v>
      </c>
      <c r="Y1912">
        <v>-5.4300000000000001E-2</v>
      </c>
      <c r="Z1912">
        <v>66</v>
      </c>
      <c r="AA1912">
        <v>3</v>
      </c>
      <c r="AB1912">
        <v>129</v>
      </c>
      <c r="AC1912">
        <v>3.3</v>
      </c>
      <c r="AD1912">
        <v>0</v>
      </c>
      <c r="AE1912">
        <v>0</v>
      </c>
      <c r="AF1912">
        <v>0</v>
      </c>
      <c r="AG1912">
        <v>644</v>
      </c>
      <c r="AH1912">
        <v>0</v>
      </c>
    </row>
    <row r="1913" spans="1:34" x14ac:dyDescent="0.35">
      <c r="A1913" t="s">
        <v>34</v>
      </c>
      <c r="B1913" s="1">
        <v>46146.65625</v>
      </c>
      <c r="C1913" t="s">
        <v>34</v>
      </c>
      <c r="D1913" s="1">
        <v>46155.625</v>
      </c>
      <c r="E1913">
        <v>6720</v>
      </c>
      <c r="F1913" t="s">
        <v>36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154</v>
      </c>
      <c r="M1913">
        <v>3.3</v>
      </c>
      <c r="N1913">
        <v>112</v>
      </c>
      <c r="O1913">
        <v>3.5</v>
      </c>
      <c r="P1913">
        <v>0</v>
      </c>
      <c r="Q1913">
        <v>0</v>
      </c>
      <c r="R1913">
        <v>0</v>
      </c>
      <c r="S1913">
        <v>0</v>
      </c>
      <c r="T1913">
        <v>0.2417</v>
      </c>
      <c r="U1913">
        <v>-3.2399999999999998E-2</v>
      </c>
      <c r="V1913">
        <v>2.9999999999999997E-4</v>
      </c>
      <c r="W1913">
        <v>-1.0058</v>
      </c>
      <c r="X1913">
        <v>0.86070000000000002</v>
      </c>
      <c r="Y1913">
        <v>-5.7000000000000002E-2</v>
      </c>
      <c r="Z1913">
        <v>65</v>
      </c>
      <c r="AA1913">
        <v>3.2</v>
      </c>
      <c r="AB1913">
        <v>23</v>
      </c>
      <c r="AC1913">
        <v>3.4</v>
      </c>
      <c r="AD1913">
        <v>0</v>
      </c>
      <c r="AE1913">
        <v>0</v>
      </c>
      <c r="AF1913">
        <v>0</v>
      </c>
      <c r="AG1913">
        <v>11</v>
      </c>
      <c r="AH1913">
        <v>0</v>
      </c>
    </row>
    <row r="1914" spans="1:34" x14ac:dyDescent="0.35">
      <c r="A1914" t="s">
        <v>34</v>
      </c>
      <c r="B1914" s="1">
        <v>46146.65625</v>
      </c>
      <c r="C1914" t="s">
        <v>34</v>
      </c>
      <c r="D1914" s="1">
        <v>46155.625</v>
      </c>
      <c r="E1914">
        <v>6725</v>
      </c>
      <c r="F1914" t="s">
        <v>36</v>
      </c>
      <c r="G1914">
        <v>5.5</v>
      </c>
      <c r="H1914">
        <v>5.5</v>
      </c>
      <c r="I1914">
        <v>5.5</v>
      </c>
      <c r="J1914">
        <v>5.5</v>
      </c>
      <c r="K1914">
        <v>1</v>
      </c>
      <c r="L1914">
        <v>239</v>
      </c>
      <c r="M1914">
        <v>3.3</v>
      </c>
      <c r="N1914">
        <v>128</v>
      </c>
      <c r="O1914">
        <v>3.6</v>
      </c>
      <c r="P1914">
        <v>0</v>
      </c>
      <c r="Q1914">
        <v>0</v>
      </c>
      <c r="R1914">
        <v>0</v>
      </c>
      <c r="S1914">
        <v>0</v>
      </c>
      <c r="T1914">
        <v>0.2402</v>
      </c>
      <c r="U1914">
        <v>-3.3000000000000002E-2</v>
      </c>
      <c r="V1914">
        <v>2.9999999999999997E-4</v>
      </c>
      <c r="W1914">
        <v>-1.0156000000000001</v>
      </c>
      <c r="X1914">
        <v>0.874</v>
      </c>
      <c r="Y1914">
        <v>-5.8099999999999999E-2</v>
      </c>
      <c r="Z1914">
        <v>64</v>
      </c>
      <c r="AA1914">
        <v>3.2</v>
      </c>
      <c r="AB1914">
        <v>37</v>
      </c>
      <c r="AC1914">
        <v>3.5</v>
      </c>
      <c r="AD1914">
        <v>0</v>
      </c>
      <c r="AE1914">
        <v>0</v>
      </c>
      <c r="AF1914">
        <v>5.5</v>
      </c>
      <c r="AG1914">
        <v>191</v>
      </c>
      <c r="AH1914">
        <v>0</v>
      </c>
    </row>
    <row r="1915" spans="1:34" x14ac:dyDescent="0.35">
      <c r="A1915" t="s">
        <v>34</v>
      </c>
      <c r="B1915" s="1">
        <v>46146.65625</v>
      </c>
      <c r="C1915" t="s">
        <v>34</v>
      </c>
      <c r="D1915" s="1">
        <v>46155.625</v>
      </c>
      <c r="E1915">
        <v>6730</v>
      </c>
      <c r="F1915" t="s">
        <v>36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235</v>
      </c>
      <c r="M1915">
        <v>3.4</v>
      </c>
      <c r="N1915">
        <v>125</v>
      </c>
      <c r="O1915">
        <v>3.7</v>
      </c>
      <c r="P1915">
        <v>0</v>
      </c>
      <c r="Q1915">
        <v>0</v>
      </c>
      <c r="R1915">
        <v>0</v>
      </c>
      <c r="S1915">
        <v>0</v>
      </c>
      <c r="T1915">
        <v>0.2394</v>
      </c>
      <c r="U1915">
        <v>-3.39E-2</v>
      </c>
      <c r="V1915">
        <v>2.9999999999999997E-4</v>
      </c>
      <c r="W1915">
        <v>-1.0370999999999999</v>
      </c>
      <c r="X1915">
        <v>0.89380000000000004</v>
      </c>
      <c r="Y1915">
        <v>-5.9700000000000003E-2</v>
      </c>
      <c r="Z1915">
        <v>64</v>
      </c>
      <c r="AA1915">
        <v>3.3</v>
      </c>
      <c r="AB1915">
        <v>144</v>
      </c>
      <c r="AC1915">
        <v>3.6</v>
      </c>
      <c r="AD1915">
        <v>0</v>
      </c>
      <c r="AE1915">
        <v>0</v>
      </c>
      <c r="AF1915">
        <v>0</v>
      </c>
      <c r="AG1915">
        <v>43</v>
      </c>
      <c r="AH1915">
        <v>0</v>
      </c>
    </row>
    <row r="1916" spans="1:34" x14ac:dyDescent="0.35">
      <c r="A1916" t="s">
        <v>34</v>
      </c>
      <c r="B1916" s="1">
        <v>46146.65625</v>
      </c>
      <c r="C1916" t="s">
        <v>34</v>
      </c>
      <c r="D1916" s="1">
        <v>46155.625</v>
      </c>
      <c r="E1916">
        <v>6740</v>
      </c>
      <c r="F1916" t="s">
        <v>36</v>
      </c>
      <c r="G1916">
        <v>3.25</v>
      </c>
      <c r="H1916">
        <v>3.25</v>
      </c>
      <c r="I1916">
        <v>3.25</v>
      </c>
      <c r="J1916">
        <v>3.25</v>
      </c>
      <c r="K1916">
        <v>1</v>
      </c>
      <c r="L1916">
        <v>157</v>
      </c>
      <c r="M1916">
        <v>3.6</v>
      </c>
      <c r="N1916">
        <v>166</v>
      </c>
      <c r="O1916">
        <v>3.9</v>
      </c>
      <c r="P1916">
        <v>0</v>
      </c>
      <c r="Q1916">
        <v>0</v>
      </c>
      <c r="R1916">
        <v>0</v>
      </c>
      <c r="S1916">
        <v>0</v>
      </c>
      <c r="T1916">
        <v>0.2374</v>
      </c>
      <c r="U1916">
        <v>-3.5799999999999998E-2</v>
      </c>
      <c r="V1916">
        <v>2.9999999999999997E-4</v>
      </c>
      <c r="W1916">
        <v>-1.0789</v>
      </c>
      <c r="X1916">
        <v>0.93420000000000003</v>
      </c>
      <c r="Y1916">
        <v>-6.3100000000000003E-2</v>
      </c>
      <c r="Z1916">
        <v>63</v>
      </c>
      <c r="AA1916">
        <v>3.5</v>
      </c>
      <c r="AB1916">
        <v>120</v>
      </c>
      <c r="AC1916">
        <v>3.8</v>
      </c>
      <c r="AD1916">
        <v>0</v>
      </c>
      <c r="AE1916">
        <v>0</v>
      </c>
      <c r="AF1916">
        <v>3.25</v>
      </c>
      <c r="AG1916">
        <v>73</v>
      </c>
      <c r="AH1916">
        <v>0</v>
      </c>
    </row>
    <row r="1917" spans="1:34" x14ac:dyDescent="0.35">
      <c r="A1917" t="s">
        <v>34</v>
      </c>
      <c r="B1917" s="1">
        <v>46146.65625</v>
      </c>
      <c r="C1917" t="s">
        <v>34</v>
      </c>
      <c r="D1917" s="1">
        <v>46155.625</v>
      </c>
      <c r="E1917">
        <v>6750</v>
      </c>
      <c r="F1917" t="s">
        <v>36</v>
      </c>
      <c r="G1917">
        <v>3.4</v>
      </c>
      <c r="H1917">
        <v>5.4</v>
      </c>
      <c r="I1917">
        <v>2.8</v>
      </c>
      <c r="J1917">
        <v>5.4</v>
      </c>
      <c r="K1917">
        <v>10</v>
      </c>
      <c r="L1917">
        <v>153</v>
      </c>
      <c r="M1917">
        <v>3.8</v>
      </c>
      <c r="N1917">
        <v>184</v>
      </c>
      <c r="O1917">
        <v>4.0999999999999996</v>
      </c>
      <c r="P1917">
        <v>0</v>
      </c>
      <c r="Q1917">
        <v>0</v>
      </c>
      <c r="R1917">
        <v>0</v>
      </c>
      <c r="S1917">
        <v>0</v>
      </c>
      <c r="T1917">
        <v>0.2346</v>
      </c>
      <c r="U1917">
        <v>-3.7400000000000003E-2</v>
      </c>
      <c r="V1917">
        <v>2.9999999999999997E-4</v>
      </c>
      <c r="W1917">
        <v>-1.1081000000000001</v>
      </c>
      <c r="X1917">
        <v>0.96799999999999997</v>
      </c>
      <c r="Y1917">
        <v>-6.6000000000000003E-2</v>
      </c>
      <c r="Z1917">
        <v>61</v>
      </c>
      <c r="AA1917">
        <v>3.7</v>
      </c>
      <c r="AB1917">
        <v>118</v>
      </c>
      <c r="AC1917">
        <v>4</v>
      </c>
      <c r="AD1917">
        <v>0</v>
      </c>
      <c r="AE1917">
        <v>0</v>
      </c>
      <c r="AF1917">
        <v>3.226</v>
      </c>
      <c r="AG1917">
        <v>155</v>
      </c>
      <c r="AH1917">
        <v>0</v>
      </c>
    </row>
    <row r="1918" spans="1:34" x14ac:dyDescent="0.35">
      <c r="A1918" t="s">
        <v>34</v>
      </c>
      <c r="B1918" s="1">
        <v>46146.65625</v>
      </c>
      <c r="C1918" t="s">
        <v>34</v>
      </c>
      <c r="D1918" s="1">
        <v>46155.625</v>
      </c>
      <c r="E1918">
        <v>6760</v>
      </c>
      <c r="F1918" t="s">
        <v>36</v>
      </c>
      <c r="G1918">
        <v>5.3</v>
      </c>
      <c r="H1918">
        <v>5.3</v>
      </c>
      <c r="I1918">
        <v>5.23</v>
      </c>
      <c r="J1918">
        <v>5.23</v>
      </c>
      <c r="K1918">
        <v>3</v>
      </c>
      <c r="L1918">
        <v>152</v>
      </c>
      <c r="M1918">
        <v>4</v>
      </c>
      <c r="N1918">
        <v>144</v>
      </c>
      <c r="O1918">
        <v>4.3</v>
      </c>
      <c r="P1918">
        <v>0</v>
      </c>
      <c r="Q1918">
        <v>0</v>
      </c>
      <c r="R1918">
        <v>0</v>
      </c>
      <c r="S1918">
        <v>0</v>
      </c>
      <c r="T1918">
        <v>0.23230000000000001</v>
      </c>
      <c r="U1918">
        <v>-3.9399999999999998E-2</v>
      </c>
      <c r="V1918">
        <v>2.9999999999999997E-4</v>
      </c>
      <c r="W1918">
        <v>-1.1476</v>
      </c>
      <c r="X1918">
        <v>1.0084</v>
      </c>
      <c r="Y1918">
        <v>-6.9599999999999995E-2</v>
      </c>
      <c r="Z1918">
        <v>61</v>
      </c>
      <c r="AA1918">
        <v>3.9</v>
      </c>
      <c r="AB1918">
        <v>116</v>
      </c>
      <c r="AC1918">
        <v>4.2</v>
      </c>
      <c r="AD1918">
        <v>0</v>
      </c>
      <c r="AE1918">
        <v>0</v>
      </c>
      <c r="AF1918">
        <v>5.2533000000000003</v>
      </c>
      <c r="AG1918">
        <v>46</v>
      </c>
      <c r="AH1918">
        <v>0</v>
      </c>
    </row>
    <row r="1919" spans="1:34" x14ac:dyDescent="0.35">
      <c r="A1919" t="s">
        <v>34</v>
      </c>
      <c r="B1919" s="1">
        <v>46146.65625</v>
      </c>
      <c r="C1919" t="s">
        <v>34</v>
      </c>
      <c r="D1919" s="1">
        <v>46155.625</v>
      </c>
      <c r="E1919">
        <v>6770</v>
      </c>
      <c r="F1919" t="s">
        <v>36</v>
      </c>
      <c r="G1919">
        <v>4.38</v>
      </c>
      <c r="H1919">
        <v>4.3899999999999997</v>
      </c>
      <c r="I1919">
        <v>4.2300000000000004</v>
      </c>
      <c r="J1919">
        <v>4.2300000000000004</v>
      </c>
      <c r="K1919">
        <v>75</v>
      </c>
      <c r="L1919">
        <v>152</v>
      </c>
      <c r="M1919">
        <v>4.2</v>
      </c>
      <c r="N1919">
        <v>106</v>
      </c>
      <c r="O1919">
        <v>4.5</v>
      </c>
      <c r="P1919">
        <v>0</v>
      </c>
      <c r="Q1919">
        <v>0</v>
      </c>
      <c r="R1919">
        <v>0</v>
      </c>
      <c r="S1919">
        <v>0</v>
      </c>
      <c r="T1919">
        <v>0.2306</v>
      </c>
      <c r="U1919">
        <v>-4.1700000000000001E-2</v>
      </c>
      <c r="V1919">
        <v>2.9999999999999997E-4</v>
      </c>
      <c r="W1919">
        <v>-1.1972</v>
      </c>
      <c r="X1919">
        <v>1.0547</v>
      </c>
      <c r="Y1919">
        <v>-7.3599999999999999E-2</v>
      </c>
      <c r="Z1919">
        <v>59</v>
      </c>
      <c r="AA1919">
        <v>4.0999999999999996</v>
      </c>
      <c r="AB1919">
        <v>136</v>
      </c>
      <c r="AC1919">
        <v>4.4000000000000004</v>
      </c>
      <c r="AD1919">
        <v>0</v>
      </c>
      <c r="AE1919">
        <v>0</v>
      </c>
      <c r="AF1919">
        <v>4.3479999999999999</v>
      </c>
      <c r="AG1919">
        <v>106</v>
      </c>
      <c r="AH1919">
        <v>0</v>
      </c>
    </row>
    <row r="1920" spans="1:34" x14ac:dyDescent="0.35">
      <c r="A1920" t="s">
        <v>34</v>
      </c>
      <c r="B1920" s="1">
        <v>46146.65625</v>
      </c>
      <c r="C1920" t="s">
        <v>34</v>
      </c>
      <c r="D1920" s="1">
        <v>46155.625</v>
      </c>
      <c r="E1920">
        <v>6775</v>
      </c>
      <c r="F1920" t="s">
        <v>36</v>
      </c>
      <c r="G1920">
        <v>5.6</v>
      </c>
      <c r="H1920">
        <v>5.6</v>
      </c>
      <c r="I1920">
        <v>5.04</v>
      </c>
      <c r="J1920">
        <v>5.04</v>
      </c>
      <c r="K1920">
        <v>21</v>
      </c>
      <c r="L1920">
        <v>213</v>
      </c>
      <c r="M1920">
        <v>4.3</v>
      </c>
      <c r="N1920">
        <v>115</v>
      </c>
      <c r="O1920">
        <v>4.5999999999999996</v>
      </c>
      <c r="P1920">
        <v>0</v>
      </c>
      <c r="Q1920">
        <v>0</v>
      </c>
      <c r="R1920">
        <v>0</v>
      </c>
      <c r="S1920">
        <v>0</v>
      </c>
      <c r="T1920">
        <v>0.22939999999999999</v>
      </c>
      <c r="U1920">
        <v>-4.2700000000000002E-2</v>
      </c>
      <c r="V1920">
        <v>4.0000000000000002E-4</v>
      </c>
      <c r="W1920">
        <v>-1.2158</v>
      </c>
      <c r="X1920">
        <v>1.0751999999999999</v>
      </c>
      <c r="Y1920">
        <v>-7.5399999999999995E-2</v>
      </c>
      <c r="Z1920">
        <v>59</v>
      </c>
      <c r="AA1920">
        <v>4.2</v>
      </c>
      <c r="AB1920">
        <v>59</v>
      </c>
      <c r="AC1920">
        <v>4.5</v>
      </c>
      <c r="AD1920">
        <v>0</v>
      </c>
      <c r="AE1920">
        <v>0</v>
      </c>
      <c r="AF1920">
        <v>5.5732999999999997</v>
      </c>
      <c r="AG1920">
        <v>223</v>
      </c>
      <c r="AH1920">
        <v>0</v>
      </c>
    </row>
    <row r="1921" spans="1:34" x14ac:dyDescent="0.35">
      <c r="A1921" t="s">
        <v>34</v>
      </c>
      <c r="B1921" s="1">
        <v>46146.65625</v>
      </c>
      <c r="C1921" t="s">
        <v>34</v>
      </c>
      <c r="D1921" s="1">
        <v>46155.625</v>
      </c>
      <c r="E1921">
        <v>6780</v>
      </c>
      <c r="F1921" t="s">
        <v>36</v>
      </c>
      <c r="G1921">
        <v>5.9</v>
      </c>
      <c r="H1921">
        <v>5.9</v>
      </c>
      <c r="I1921">
        <v>5.9</v>
      </c>
      <c r="J1921">
        <v>5.9</v>
      </c>
      <c r="K1921">
        <v>1</v>
      </c>
      <c r="L1921">
        <v>224</v>
      </c>
      <c r="M1921">
        <v>4.4000000000000004</v>
      </c>
      <c r="N1921">
        <v>30</v>
      </c>
      <c r="O1921">
        <v>4.7</v>
      </c>
      <c r="P1921">
        <v>0</v>
      </c>
      <c r="Q1921">
        <v>0</v>
      </c>
      <c r="R1921">
        <v>0</v>
      </c>
      <c r="S1921">
        <v>0</v>
      </c>
      <c r="T1921">
        <v>0.2281</v>
      </c>
      <c r="U1921">
        <v>-4.3799999999999999E-2</v>
      </c>
      <c r="V1921">
        <v>4.0000000000000002E-4</v>
      </c>
      <c r="W1921">
        <v>-1.2343</v>
      </c>
      <c r="X1921">
        <v>1.0958000000000001</v>
      </c>
      <c r="Y1921">
        <v>-7.7200000000000005E-2</v>
      </c>
      <c r="Z1921">
        <v>66</v>
      </c>
      <c r="AA1921">
        <v>4.3</v>
      </c>
      <c r="AB1921">
        <v>21</v>
      </c>
      <c r="AC1921">
        <v>4.5999999999999996</v>
      </c>
      <c r="AD1921">
        <v>0</v>
      </c>
      <c r="AE1921">
        <v>0</v>
      </c>
      <c r="AF1921">
        <v>5.9</v>
      </c>
      <c r="AG1921">
        <v>63</v>
      </c>
      <c r="AH1921">
        <v>0</v>
      </c>
    </row>
    <row r="1922" spans="1:34" x14ac:dyDescent="0.35">
      <c r="A1922" t="s">
        <v>34</v>
      </c>
      <c r="B1922" s="1">
        <v>46146.65625</v>
      </c>
      <c r="C1922" t="s">
        <v>34</v>
      </c>
      <c r="D1922" s="1">
        <v>46155.625</v>
      </c>
      <c r="E1922">
        <v>6790</v>
      </c>
      <c r="F1922" t="s">
        <v>36</v>
      </c>
      <c r="G1922">
        <v>4.8</v>
      </c>
      <c r="H1922">
        <v>4.8</v>
      </c>
      <c r="I1922">
        <v>4.8</v>
      </c>
      <c r="J1922">
        <v>4.8</v>
      </c>
      <c r="K1922">
        <v>2</v>
      </c>
      <c r="L1922">
        <v>125</v>
      </c>
      <c r="M1922">
        <v>4.7</v>
      </c>
      <c r="N1922">
        <v>2</v>
      </c>
      <c r="O1922">
        <v>4.9000000000000004</v>
      </c>
      <c r="P1922">
        <v>0</v>
      </c>
      <c r="Q1922">
        <v>0</v>
      </c>
      <c r="R1922">
        <v>0</v>
      </c>
      <c r="S1922">
        <v>0</v>
      </c>
      <c r="T1922">
        <v>0.22600000000000001</v>
      </c>
      <c r="U1922">
        <v>-4.6199999999999998E-2</v>
      </c>
      <c r="V1922">
        <v>4.0000000000000002E-4</v>
      </c>
      <c r="W1922">
        <v>-1.2806999999999999</v>
      </c>
      <c r="X1922">
        <v>1.1437999999999999</v>
      </c>
      <c r="Y1922">
        <v>-8.1500000000000003E-2</v>
      </c>
      <c r="Z1922">
        <v>53</v>
      </c>
      <c r="AA1922">
        <v>4.5999999999999996</v>
      </c>
      <c r="AB1922">
        <v>129</v>
      </c>
      <c r="AC1922">
        <v>4.9000000000000004</v>
      </c>
      <c r="AD1922">
        <v>0</v>
      </c>
      <c r="AE1922">
        <v>0</v>
      </c>
      <c r="AF1922">
        <v>4.8</v>
      </c>
      <c r="AG1922">
        <v>36</v>
      </c>
      <c r="AH1922">
        <v>0</v>
      </c>
    </row>
    <row r="1923" spans="1:34" x14ac:dyDescent="0.35">
      <c r="A1923" t="s">
        <v>34</v>
      </c>
      <c r="B1923" s="1">
        <v>46146.65625</v>
      </c>
      <c r="C1923" t="s">
        <v>34</v>
      </c>
      <c r="D1923" s="1">
        <v>46155.625</v>
      </c>
      <c r="E1923">
        <v>6800</v>
      </c>
      <c r="F1923" t="s">
        <v>36</v>
      </c>
      <c r="G1923">
        <v>3.9</v>
      </c>
      <c r="H1923">
        <v>6.69</v>
      </c>
      <c r="I1923">
        <v>3.76</v>
      </c>
      <c r="J1923">
        <v>5.03</v>
      </c>
      <c r="K1923">
        <v>27</v>
      </c>
      <c r="L1923">
        <v>26</v>
      </c>
      <c r="M1923">
        <v>5</v>
      </c>
      <c r="N1923">
        <v>28</v>
      </c>
      <c r="O1923">
        <v>5.2</v>
      </c>
      <c r="P1923">
        <v>0</v>
      </c>
      <c r="Q1923">
        <v>0</v>
      </c>
      <c r="R1923">
        <v>0</v>
      </c>
      <c r="S1923">
        <v>0</v>
      </c>
      <c r="T1923">
        <v>0.2235</v>
      </c>
      <c r="U1923">
        <v>-4.87E-2</v>
      </c>
      <c r="V1923">
        <v>4.0000000000000002E-4</v>
      </c>
      <c r="W1923">
        <v>-1.3251999999999999</v>
      </c>
      <c r="X1923">
        <v>1.1931</v>
      </c>
      <c r="Y1923">
        <v>-8.5999999999999993E-2</v>
      </c>
      <c r="Z1923">
        <v>42</v>
      </c>
      <c r="AA1923">
        <v>4.8</v>
      </c>
      <c r="AB1923">
        <v>1</v>
      </c>
      <c r="AC1923">
        <v>5.0999999999999996</v>
      </c>
      <c r="AD1923">
        <v>0</v>
      </c>
      <c r="AE1923">
        <v>0</v>
      </c>
      <c r="AF1923">
        <v>5.2695999999999996</v>
      </c>
      <c r="AG1923">
        <v>188</v>
      </c>
      <c r="AH1923">
        <v>0</v>
      </c>
    </row>
    <row r="1924" spans="1:34" x14ac:dyDescent="0.35">
      <c r="A1924" t="s">
        <v>34</v>
      </c>
      <c r="B1924" s="1">
        <v>46146.65625</v>
      </c>
      <c r="C1924" t="s">
        <v>34</v>
      </c>
      <c r="D1924" s="1">
        <v>46155.625</v>
      </c>
      <c r="E1924">
        <v>6810</v>
      </c>
      <c r="F1924" t="s">
        <v>36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185</v>
      </c>
      <c r="M1924">
        <v>5.2</v>
      </c>
      <c r="N1924">
        <v>28</v>
      </c>
      <c r="O1924">
        <v>5.5</v>
      </c>
      <c r="P1924">
        <v>0</v>
      </c>
      <c r="Q1924">
        <v>0</v>
      </c>
      <c r="R1924">
        <v>0</v>
      </c>
      <c r="S1924">
        <v>0</v>
      </c>
      <c r="T1924">
        <v>0.22170000000000001</v>
      </c>
      <c r="U1924">
        <v>-5.1499999999999997E-2</v>
      </c>
      <c r="V1924">
        <v>4.0000000000000002E-4</v>
      </c>
      <c r="W1924">
        <v>-1.379</v>
      </c>
      <c r="X1924">
        <v>1.2466999999999999</v>
      </c>
      <c r="Y1924">
        <v>-9.11E-2</v>
      </c>
      <c r="Z1924">
        <v>41</v>
      </c>
      <c r="AA1924">
        <v>5.0999999999999996</v>
      </c>
      <c r="AB1924">
        <v>1</v>
      </c>
      <c r="AC1924">
        <v>5.4</v>
      </c>
      <c r="AD1924">
        <v>0</v>
      </c>
      <c r="AE1924">
        <v>0</v>
      </c>
      <c r="AF1924">
        <v>0</v>
      </c>
      <c r="AG1924">
        <v>35</v>
      </c>
      <c r="AH1924">
        <v>0</v>
      </c>
    </row>
    <row r="1925" spans="1:34" x14ac:dyDescent="0.35">
      <c r="A1925" t="s">
        <v>34</v>
      </c>
      <c r="B1925" s="1">
        <v>46146.65625</v>
      </c>
      <c r="C1925" t="s">
        <v>34</v>
      </c>
      <c r="D1925" s="1">
        <v>46155.625</v>
      </c>
      <c r="E1925">
        <v>6820</v>
      </c>
      <c r="F1925" t="s">
        <v>36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25</v>
      </c>
      <c r="M1925">
        <v>5.6</v>
      </c>
      <c r="N1925">
        <v>2</v>
      </c>
      <c r="O1925">
        <v>5.8</v>
      </c>
      <c r="P1925">
        <v>0</v>
      </c>
      <c r="Q1925">
        <v>0</v>
      </c>
      <c r="R1925">
        <v>0</v>
      </c>
      <c r="S1925">
        <v>0</v>
      </c>
      <c r="T1925">
        <v>0.21959999999999999</v>
      </c>
      <c r="U1925">
        <v>-5.4399999999999997E-2</v>
      </c>
      <c r="V1925">
        <v>4.0000000000000002E-4</v>
      </c>
      <c r="W1925">
        <v>-1.4305000000000001</v>
      </c>
      <c r="X1925">
        <v>1.3006</v>
      </c>
      <c r="Y1925">
        <v>-9.6299999999999997E-2</v>
      </c>
      <c r="Z1925">
        <v>40</v>
      </c>
      <c r="AA1925">
        <v>5.4</v>
      </c>
      <c r="AB1925">
        <v>1</v>
      </c>
      <c r="AC1925">
        <v>5.7</v>
      </c>
      <c r="AD1925">
        <v>0</v>
      </c>
      <c r="AE1925">
        <v>0</v>
      </c>
      <c r="AF1925">
        <v>0</v>
      </c>
      <c r="AG1925">
        <v>33</v>
      </c>
      <c r="AH1925">
        <v>0</v>
      </c>
    </row>
    <row r="1926" spans="1:34" x14ac:dyDescent="0.35">
      <c r="A1926" t="s">
        <v>34</v>
      </c>
      <c r="B1926" s="1">
        <v>46146.65625</v>
      </c>
      <c r="C1926" t="s">
        <v>34</v>
      </c>
      <c r="D1926" s="1">
        <v>46155.625</v>
      </c>
      <c r="E1926">
        <v>6825</v>
      </c>
      <c r="F1926" t="s">
        <v>36</v>
      </c>
      <c r="G1926">
        <v>5.88</v>
      </c>
      <c r="H1926">
        <v>9.3699999999999992</v>
      </c>
      <c r="I1926">
        <v>5.88</v>
      </c>
      <c r="J1926">
        <v>9.3699999999999992</v>
      </c>
      <c r="K1926">
        <v>12</v>
      </c>
      <c r="L1926">
        <v>175</v>
      </c>
      <c r="M1926">
        <v>5.7</v>
      </c>
      <c r="N1926">
        <v>27</v>
      </c>
      <c r="O1926">
        <v>6</v>
      </c>
      <c r="P1926">
        <v>0</v>
      </c>
      <c r="Q1926">
        <v>0</v>
      </c>
      <c r="R1926">
        <v>0</v>
      </c>
      <c r="S1926">
        <v>0</v>
      </c>
      <c r="T1926">
        <v>0.21890000000000001</v>
      </c>
      <c r="U1926">
        <v>-5.62E-2</v>
      </c>
      <c r="V1926">
        <v>5.0000000000000001E-4</v>
      </c>
      <c r="W1926">
        <v>-1.4652000000000001</v>
      </c>
      <c r="X1926">
        <v>1.333</v>
      </c>
      <c r="Y1926">
        <v>-9.9500000000000005E-2</v>
      </c>
      <c r="Z1926">
        <v>40</v>
      </c>
      <c r="AA1926">
        <v>5.6</v>
      </c>
      <c r="AB1926">
        <v>40</v>
      </c>
      <c r="AC1926">
        <v>5.9</v>
      </c>
      <c r="AD1926">
        <v>0</v>
      </c>
      <c r="AE1926">
        <v>0</v>
      </c>
      <c r="AF1926">
        <v>6.1707999999999998</v>
      </c>
      <c r="AG1926">
        <v>603</v>
      </c>
      <c r="AH1926">
        <v>0</v>
      </c>
    </row>
    <row r="1927" spans="1:34" x14ac:dyDescent="0.35">
      <c r="A1927" t="s">
        <v>34</v>
      </c>
      <c r="B1927" s="1">
        <v>46146.65625</v>
      </c>
      <c r="C1927" t="s">
        <v>34</v>
      </c>
      <c r="D1927" s="1">
        <v>46155.625</v>
      </c>
      <c r="E1927">
        <v>6830</v>
      </c>
      <c r="F1927" t="s">
        <v>36</v>
      </c>
      <c r="G1927">
        <v>7.43</v>
      </c>
      <c r="H1927">
        <v>7.97</v>
      </c>
      <c r="I1927">
        <v>6.2</v>
      </c>
      <c r="J1927">
        <v>6.2</v>
      </c>
      <c r="K1927">
        <v>13</v>
      </c>
      <c r="L1927">
        <v>47</v>
      </c>
      <c r="M1927">
        <v>5.9</v>
      </c>
      <c r="N1927">
        <v>2</v>
      </c>
      <c r="O1927">
        <v>6.1</v>
      </c>
      <c r="P1927">
        <v>0</v>
      </c>
      <c r="Q1927">
        <v>0</v>
      </c>
      <c r="R1927">
        <v>0</v>
      </c>
      <c r="S1927">
        <v>0</v>
      </c>
      <c r="T1927">
        <v>0.2177</v>
      </c>
      <c r="U1927">
        <v>-5.7700000000000001E-2</v>
      </c>
      <c r="V1927">
        <v>5.0000000000000001E-4</v>
      </c>
      <c r="W1927">
        <v>-1.4896</v>
      </c>
      <c r="X1927">
        <v>1.3599000000000001</v>
      </c>
      <c r="Y1927">
        <v>-0.1021</v>
      </c>
      <c r="Z1927">
        <v>40</v>
      </c>
      <c r="AA1927">
        <v>5.8</v>
      </c>
      <c r="AB1927">
        <v>41</v>
      </c>
      <c r="AC1927">
        <v>6.1</v>
      </c>
      <c r="AD1927">
        <v>0</v>
      </c>
      <c r="AE1927">
        <v>0</v>
      </c>
      <c r="AF1927">
        <v>7.2191999999999998</v>
      </c>
      <c r="AG1927">
        <v>123</v>
      </c>
      <c r="AH1927">
        <v>0</v>
      </c>
    </row>
    <row r="1928" spans="1:34" x14ac:dyDescent="0.35">
      <c r="A1928" t="s">
        <v>34</v>
      </c>
      <c r="B1928" s="1">
        <v>46146.65625</v>
      </c>
      <c r="C1928" t="s">
        <v>34</v>
      </c>
      <c r="D1928" s="1">
        <v>46155.625</v>
      </c>
      <c r="E1928">
        <v>6840</v>
      </c>
      <c r="F1928" t="s">
        <v>36</v>
      </c>
      <c r="G1928">
        <v>5.19</v>
      </c>
      <c r="H1928">
        <v>8.5500000000000007</v>
      </c>
      <c r="I1928">
        <v>5.19</v>
      </c>
      <c r="J1928">
        <v>8.5500000000000007</v>
      </c>
      <c r="K1928">
        <v>75</v>
      </c>
      <c r="L1928">
        <v>24</v>
      </c>
      <c r="M1928">
        <v>6.3</v>
      </c>
      <c r="N1928">
        <v>18</v>
      </c>
      <c r="O1928">
        <v>6.5</v>
      </c>
      <c r="P1928">
        <v>0</v>
      </c>
      <c r="Q1928">
        <v>0</v>
      </c>
      <c r="R1928">
        <v>0</v>
      </c>
      <c r="S1928">
        <v>0</v>
      </c>
      <c r="T1928">
        <v>0.21560000000000001</v>
      </c>
      <c r="U1928">
        <v>-6.0999999999999999E-2</v>
      </c>
      <c r="V1928">
        <v>5.0000000000000001E-4</v>
      </c>
      <c r="W1928">
        <v>-1.5463</v>
      </c>
      <c r="X1928">
        <v>1.4191</v>
      </c>
      <c r="Y1928">
        <v>-0.108</v>
      </c>
      <c r="Z1928">
        <v>47</v>
      </c>
      <c r="AA1928">
        <v>6.1</v>
      </c>
      <c r="AB1928">
        <v>9</v>
      </c>
      <c r="AC1928">
        <v>6.4</v>
      </c>
      <c r="AD1928">
        <v>0</v>
      </c>
      <c r="AE1928">
        <v>0</v>
      </c>
      <c r="AF1928">
        <v>6.0663</v>
      </c>
      <c r="AG1928">
        <v>96</v>
      </c>
      <c r="AH1928">
        <v>0</v>
      </c>
    </row>
    <row r="1929" spans="1:34" x14ac:dyDescent="0.35">
      <c r="A1929" t="s">
        <v>34</v>
      </c>
      <c r="B1929" s="1">
        <v>46146.65625</v>
      </c>
      <c r="C1929" t="s">
        <v>34</v>
      </c>
      <c r="D1929" s="1">
        <v>46155.625</v>
      </c>
      <c r="E1929">
        <v>6850</v>
      </c>
      <c r="F1929" t="s">
        <v>36</v>
      </c>
      <c r="G1929">
        <v>5.05</v>
      </c>
      <c r="H1929">
        <v>10.8</v>
      </c>
      <c r="I1929">
        <v>5.05</v>
      </c>
      <c r="J1929">
        <v>8.59</v>
      </c>
      <c r="K1929">
        <v>12</v>
      </c>
      <c r="L1929">
        <v>99</v>
      </c>
      <c r="M1929">
        <v>6.6</v>
      </c>
      <c r="N1929">
        <v>1</v>
      </c>
      <c r="O1929">
        <v>6.9</v>
      </c>
      <c r="P1929">
        <v>0</v>
      </c>
      <c r="Q1929">
        <v>0</v>
      </c>
      <c r="R1929">
        <v>0</v>
      </c>
      <c r="S1929">
        <v>0</v>
      </c>
      <c r="T1929">
        <v>0.2137</v>
      </c>
      <c r="U1929">
        <v>-6.4699999999999994E-2</v>
      </c>
      <c r="V1929">
        <v>5.0000000000000001E-4</v>
      </c>
      <c r="W1929">
        <v>-1.61</v>
      </c>
      <c r="X1929">
        <v>1.4841</v>
      </c>
      <c r="Y1929">
        <v>-0.1145</v>
      </c>
      <c r="Z1929">
        <v>38</v>
      </c>
      <c r="AA1929">
        <v>6.5</v>
      </c>
      <c r="AB1929">
        <v>1</v>
      </c>
      <c r="AC1929">
        <v>6.8</v>
      </c>
      <c r="AD1929">
        <v>0</v>
      </c>
      <c r="AE1929">
        <v>0</v>
      </c>
      <c r="AF1929">
        <v>7.8724999999999996</v>
      </c>
      <c r="AG1929">
        <v>681</v>
      </c>
      <c r="AH1929">
        <v>0</v>
      </c>
    </row>
    <row r="1930" spans="1:34" x14ac:dyDescent="0.35">
      <c r="A1930" t="s">
        <v>34</v>
      </c>
      <c r="B1930" s="1">
        <v>46146.65625</v>
      </c>
      <c r="C1930" t="s">
        <v>34</v>
      </c>
      <c r="D1930" s="1">
        <v>46155.625</v>
      </c>
      <c r="E1930">
        <v>6855</v>
      </c>
      <c r="F1930" t="s">
        <v>36</v>
      </c>
      <c r="G1930">
        <v>7.67</v>
      </c>
      <c r="H1930">
        <v>7.67</v>
      </c>
      <c r="I1930">
        <v>7.67</v>
      </c>
      <c r="J1930">
        <v>7.67</v>
      </c>
      <c r="K1930">
        <v>2</v>
      </c>
      <c r="L1930">
        <v>66</v>
      </c>
      <c r="M1930">
        <v>6.8</v>
      </c>
      <c r="N1930">
        <v>1</v>
      </c>
      <c r="O1930">
        <v>7.1</v>
      </c>
      <c r="P1930">
        <v>0</v>
      </c>
      <c r="Q1930">
        <v>0</v>
      </c>
      <c r="R1930">
        <v>0</v>
      </c>
      <c r="S1930">
        <v>0</v>
      </c>
      <c r="T1930">
        <v>0.2127</v>
      </c>
      <c r="U1930">
        <v>-6.6600000000000006E-2</v>
      </c>
      <c r="V1930">
        <v>5.0000000000000001E-4</v>
      </c>
      <c r="W1930">
        <v>-1.6409</v>
      </c>
      <c r="X1930">
        <v>1.5168999999999999</v>
      </c>
      <c r="Y1930">
        <v>-0.1179</v>
      </c>
      <c r="Z1930">
        <v>18</v>
      </c>
      <c r="AA1930">
        <v>6.7</v>
      </c>
      <c r="AB1930">
        <v>1</v>
      </c>
      <c r="AC1930">
        <v>7</v>
      </c>
      <c r="AD1930">
        <v>0</v>
      </c>
      <c r="AE1930">
        <v>0</v>
      </c>
      <c r="AF1930">
        <v>7.67</v>
      </c>
      <c r="AG1930">
        <v>36</v>
      </c>
      <c r="AH1930">
        <v>0</v>
      </c>
    </row>
    <row r="1931" spans="1:34" x14ac:dyDescent="0.35">
      <c r="A1931" t="s">
        <v>34</v>
      </c>
      <c r="B1931" s="1">
        <v>46146.65625</v>
      </c>
      <c r="C1931" t="s">
        <v>34</v>
      </c>
      <c r="D1931" s="1">
        <v>46155.625</v>
      </c>
      <c r="E1931">
        <v>6860</v>
      </c>
      <c r="F1931" t="s">
        <v>36</v>
      </c>
      <c r="G1931">
        <v>7.11</v>
      </c>
      <c r="H1931">
        <v>7.11</v>
      </c>
      <c r="I1931">
        <v>7.11</v>
      </c>
      <c r="J1931">
        <v>7.11</v>
      </c>
      <c r="K1931">
        <v>1</v>
      </c>
      <c r="L1931">
        <v>23</v>
      </c>
      <c r="M1931">
        <v>7.1</v>
      </c>
      <c r="N1931">
        <v>1</v>
      </c>
      <c r="O1931">
        <v>7.3</v>
      </c>
      <c r="P1931">
        <v>0</v>
      </c>
      <c r="Q1931">
        <v>0</v>
      </c>
      <c r="R1931">
        <v>0</v>
      </c>
      <c r="S1931">
        <v>0</v>
      </c>
      <c r="T1931">
        <v>0.21160000000000001</v>
      </c>
      <c r="U1931">
        <v>-6.8500000000000005E-2</v>
      </c>
      <c r="V1931">
        <v>5.9999999999999995E-4</v>
      </c>
      <c r="W1931">
        <v>-1.6709000000000001</v>
      </c>
      <c r="X1931">
        <v>1.5499000000000001</v>
      </c>
      <c r="Y1931">
        <v>-0.12130000000000001</v>
      </c>
      <c r="Z1931">
        <v>38</v>
      </c>
      <c r="AA1931">
        <v>6.9</v>
      </c>
      <c r="AB1931">
        <v>1</v>
      </c>
      <c r="AC1931">
        <v>7.2</v>
      </c>
      <c r="AD1931">
        <v>0</v>
      </c>
      <c r="AE1931">
        <v>0</v>
      </c>
      <c r="AF1931">
        <v>7.11</v>
      </c>
      <c r="AG1931">
        <v>41</v>
      </c>
      <c r="AH1931">
        <v>0</v>
      </c>
    </row>
    <row r="1932" spans="1:34" x14ac:dyDescent="0.35">
      <c r="A1932" t="s">
        <v>34</v>
      </c>
      <c r="B1932" s="1">
        <v>46146.65625</v>
      </c>
      <c r="C1932" t="s">
        <v>34</v>
      </c>
      <c r="D1932" s="1">
        <v>46155.625</v>
      </c>
      <c r="E1932">
        <v>6865</v>
      </c>
      <c r="F1932" t="s">
        <v>36</v>
      </c>
      <c r="G1932">
        <v>5.0599999999999996</v>
      </c>
      <c r="H1932">
        <v>5.0599999999999996</v>
      </c>
      <c r="I1932">
        <v>5.0599999999999996</v>
      </c>
      <c r="J1932">
        <v>5.0599999999999996</v>
      </c>
      <c r="K1932">
        <v>2</v>
      </c>
      <c r="L1932">
        <v>23</v>
      </c>
      <c r="M1932">
        <v>7.3</v>
      </c>
      <c r="N1932">
        <v>1</v>
      </c>
      <c r="O1932">
        <v>7.5</v>
      </c>
      <c r="P1932">
        <v>0</v>
      </c>
      <c r="Q1932">
        <v>0</v>
      </c>
      <c r="R1932">
        <v>0</v>
      </c>
      <c r="S1932">
        <v>0</v>
      </c>
      <c r="T1932">
        <v>0.2107</v>
      </c>
      <c r="U1932">
        <v>-7.0699999999999999E-2</v>
      </c>
      <c r="V1932">
        <v>5.9999999999999995E-4</v>
      </c>
      <c r="W1932">
        <v>-1.7088000000000001</v>
      </c>
      <c r="X1932">
        <v>1.5884</v>
      </c>
      <c r="Y1932">
        <v>-0.12529999999999999</v>
      </c>
      <c r="Z1932">
        <v>18</v>
      </c>
      <c r="AA1932">
        <v>7.1</v>
      </c>
      <c r="AB1932">
        <v>1</v>
      </c>
      <c r="AC1932">
        <v>7.4</v>
      </c>
      <c r="AD1932">
        <v>0</v>
      </c>
      <c r="AE1932">
        <v>0</v>
      </c>
      <c r="AF1932">
        <v>5.0599999999999996</v>
      </c>
      <c r="AG1932">
        <v>0</v>
      </c>
      <c r="AH1932">
        <v>0</v>
      </c>
    </row>
    <row r="1933" spans="1:34" x14ac:dyDescent="0.35">
      <c r="A1933" t="s">
        <v>34</v>
      </c>
      <c r="B1933" s="1">
        <v>46146.65625</v>
      </c>
      <c r="C1933" t="s">
        <v>34</v>
      </c>
      <c r="D1933" s="1">
        <v>46155.625</v>
      </c>
      <c r="E1933">
        <v>6870</v>
      </c>
      <c r="F1933" t="s">
        <v>36</v>
      </c>
      <c r="G1933">
        <v>8.6300000000000008</v>
      </c>
      <c r="H1933">
        <v>10.24</v>
      </c>
      <c r="I1933">
        <v>8</v>
      </c>
      <c r="J1933">
        <v>8</v>
      </c>
      <c r="K1933">
        <v>9</v>
      </c>
      <c r="L1933">
        <v>47</v>
      </c>
      <c r="M1933">
        <v>7.5</v>
      </c>
      <c r="N1933">
        <v>24</v>
      </c>
      <c r="O1933">
        <v>7.8</v>
      </c>
      <c r="P1933">
        <v>0</v>
      </c>
      <c r="Q1933">
        <v>0</v>
      </c>
      <c r="R1933">
        <v>0</v>
      </c>
      <c r="S1933">
        <v>0</v>
      </c>
      <c r="T1933">
        <v>0.20960000000000001</v>
      </c>
      <c r="U1933">
        <v>-7.2700000000000001E-2</v>
      </c>
      <c r="V1933">
        <v>5.9999999999999995E-4</v>
      </c>
      <c r="W1933">
        <v>-1.7375</v>
      </c>
      <c r="X1933">
        <v>1.6211</v>
      </c>
      <c r="Y1933">
        <v>-0.1288</v>
      </c>
      <c r="Z1933">
        <v>18</v>
      </c>
      <c r="AA1933">
        <v>7.4</v>
      </c>
      <c r="AB1933">
        <v>39</v>
      </c>
      <c r="AC1933">
        <v>7.7</v>
      </c>
      <c r="AD1933">
        <v>0</v>
      </c>
      <c r="AE1933">
        <v>0</v>
      </c>
      <c r="AF1933">
        <v>9.4077999999999999</v>
      </c>
      <c r="AG1933">
        <v>144</v>
      </c>
      <c r="AH1933">
        <v>0</v>
      </c>
    </row>
    <row r="1934" spans="1:34" x14ac:dyDescent="0.35">
      <c r="A1934" t="s">
        <v>34</v>
      </c>
      <c r="B1934" s="1">
        <v>46146.65625</v>
      </c>
      <c r="C1934" t="s">
        <v>34</v>
      </c>
      <c r="D1934" s="1">
        <v>46155.625</v>
      </c>
      <c r="E1934">
        <v>6875</v>
      </c>
      <c r="F1934" t="s">
        <v>36</v>
      </c>
      <c r="G1934">
        <v>6.07</v>
      </c>
      <c r="H1934">
        <v>12.11</v>
      </c>
      <c r="I1934">
        <v>5.19</v>
      </c>
      <c r="J1934">
        <v>7.9</v>
      </c>
      <c r="K1934">
        <v>14</v>
      </c>
      <c r="L1934">
        <v>81</v>
      </c>
      <c r="M1934">
        <v>7.7</v>
      </c>
      <c r="N1934">
        <v>1</v>
      </c>
      <c r="O1934">
        <v>8</v>
      </c>
      <c r="P1934">
        <v>0</v>
      </c>
      <c r="Q1934">
        <v>0</v>
      </c>
      <c r="R1934">
        <v>0</v>
      </c>
      <c r="S1934">
        <v>0</v>
      </c>
      <c r="T1934">
        <v>0.2089</v>
      </c>
      <c r="U1934">
        <v>-7.4899999999999994E-2</v>
      </c>
      <c r="V1934">
        <v>5.9999999999999995E-4</v>
      </c>
      <c r="W1934">
        <v>-1.7744</v>
      </c>
      <c r="X1934">
        <v>1.6577999999999999</v>
      </c>
      <c r="Y1934">
        <v>-0.13289999999999999</v>
      </c>
      <c r="Z1934">
        <v>37</v>
      </c>
      <c r="AA1934">
        <v>7.6</v>
      </c>
      <c r="AB1934">
        <v>1</v>
      </c>
      <c r="AC1934">
        <v>7.9</v>
      </c>
      <c r="AD1934">
        <v>0</v>
      </c>
      <c r="AE1934">
        <v>0</v>
      </c>
      <c r="AF1934">
        <v>6.5979000000000001</v>
      </c>
      <c r="AG1934">
        <v>159</v>
      </c>
      <c r="AH1934">
        <v>0</v>
      </c>
    </row>
    <row r="1935" spans="1:34" x14ac:dyDescent="0.35">
      <c r="A1935" t="s">
        <v>34</v>
      </c>
      <c r="B1935" s="1">
        <v>46146.65625</v>
      </c>
      <c r="C1935" t="s">
        <v>34</v>
      </c>
      <c r="D1935" s="1">
        <v>46155.625</v>
      </c>
      <c r="E1935">
        <v>6880</v>
      </c>
      <c r="F1935" t="s">
        <v>36</v>
      </c>
      <c r="G1935">
        <v>6.4</v>
      </c>
      <c r="H1935">
        <v>10.55</v>
      </c>
      <c r="I1935">
        <v>6.4</v>
      </c>
      <c r="J1935">
        <v>7.6</v>
      </c>
      <c r="K1935">
        <v>165</v>
      </c>
      <c r="L1935">
        <v>61</v>
      </c>
      <c r="M1935">
        <v>8</v>
      </c>
      <c r="N1935">
        <v>17</v>
      </c>
      <c r="O1935">
        <v>8.1999999999999993</v>
      </c>
      <c r="P1935">
        <v>0</v>
      </c>
      <c r="Q1935">
        <v>0</v>
      </c>
      <c r="R1935">
        <v>0</v>
      </c>
      <c r="S1935">
        <v>0</v>
      </c>
      <c r="T1935">
        <v>0.2079</v>
      </c>
      <c r="U1935">
        <v>-7.7200000000000005E-2</v>
      </c>
      <c r="V1935">
        <v>5.9999999999999995E-4</v>
      </c>
      <c r="W1935">
        <v>-1.8099000000000001</v>
      </c>
      <c r="X1935">
        <v>1.6951000000000001</v>
      </c>
      <c r="Y1935">
        <v>-0.13700000000000001</v>
      </c>
      <c r="Z1935">
        <v>45</v>
      </c>
      <c r="AA1935">
        <v>7.8</v>
      </c>
      <c r="AB1935">
        <v>9</v>
      </c>
      <c r="AC1935">
        <v>8.1</v>
      </c>
      <c r="AD1935">
        <v>0</v>
      </c>
      <c r="AE1935">
        <v>0</v>
      </c>
      <c r="AF1935">
        <v>7.6689999999999996</v>
      </c>
      <c r="AG1935">
        <v>191</v>
      </c>
      <c r="AH1935">
        <v>0</v>
      </c>
    </row>
    <row r="1936" spans="1:34" x14ac:dyDescent="0.35">
      <c r="A1936" t="s">
        <v>34</v>
      </c>
      <c r="B1936" s="1">
        <v>46146.65625</v>
      </c>
      <c r="C1936" t="s">
        <v>34</v>
      </c>
      <c r="D1936" s="1">
        <v>46155.625</v>
      </c>
      <c r="E1936">
        <v>6885</v>
      </c>
      <c r="F1936" t="s">
        <v>36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67</v>
      </c>
      <c r="M1936">
        <v>8.1999999999999993</v>
      </c>
      <c r="N1936">
        <v>1</v>
      </c>
      <c r="O1936">
        <v>8.5</v>
      </c>
      <c r="P1936">
        <v>0</v>
      </c>
      <c r="Q1936">
        <v>0</v>
      </c>
      <c r="R1936">
        <v>0</v>
      </c>
      <c r="S1936">
        <v>0</v>
      </c>
      <c r="T1936">
        <v>0.20699999999999999</v>
      </c>
      <c r="U1936">
        <v>-7.9399999999999998E-2</v>
      </c>
      <c r="V1936">
        <v>5.9999999999999995E-4</v>
      </c>
      <c r="W1936">
        <v>-1.8448</v>
      </c>
      <c r="X1936">
        <v>1.7316</v>
      </c>
      <c r="Y1936">
        <v>-0.1411</v>
      </c>
      <c r="Z1936">
        <v>17</v>
      </c>
      <c r="AA1936">
        <v>8.1</v>
      </c>
      <c r="AB1936">
        <v>17</v>
      </c>
      <c r="AC1936">
        <v>8.4</v>
      </c>
      <c r="AD1936">
        <v>0</v>
      </c>
      <c r="AE1936">
        <v>0</v>
      </c>
      <c r="AF1936">
        <v>0</v>
      </c>
      <c r="AG1936">
        <v>1</v>
      </c>
      <c r="AH1936">
        <v>0</v>
      </c>
    </row>
    <row r="1937" spans="1:34" x14ac:dyDescent="0.35">
      <c r="A1937" t="s">
        <v>34</v>
      </c>
      <c r="B1937" s="1">
        <v>46146.65625</v>
      </c>
      <c r="C1937" t="s">
        <v>34</v>
      </c>
      <c r="D1937" s="1">
        <v>46155.625</v>
      </c>
      <c r="E1937">
        <v>6890</v>
      </c>
      <c r="F1937" t="s">
        <v>36</v>
      </c>
      <c r="G1937">
        <v>6.71</v>
      </c>
      <c r="H1937">
        <v>11.15</v>
      </c>
      <c r="I1937">
        <v>6.71</v>
      </c>
      <c r="J1937">
        <v>9.5500000000000007</v>
      </c>
      <c r="K1937">
        <v>77</v>
      </c>
      <c r="L1937">
        <v>69</v>
      </c>
      <c r="M1937">
        <v>8.5</v>
      </c>
      <c r="N1937">
        <v>47</v>
      </c>
      <c r="O1937">
        <v>8.8000000000000007</v>
      </c>
      <c r="P1937">
        <v>0</v>
      </c>
      <c r="Q1937">
        <v>0</v>
      </c>
      <c r="R1937">
        <v>0</v>
      </c>
      <c r="S1937">
        <v>0</v>
      </c>
      <c r="T1937">
        <v>0.20580000000000001</v>
      </c>
      <c r="U1937">
        <v>-8.1799999999999998E-2</v>
      </c>
      <c r="V1937">
        <v>6.9999999999999999E-4</v>
      </c>
      <c r="W1937">
        <v>-1.8782000000000001</v>
      </c>
      <c r="X1937">
        <v>1.7689999999999999</v>
      </c>
      <c r="Y1937">
        <v>-0.14530000000000001</v>
      </c>
      <c r="Z1937">
        <v>19</v>
      </c>
      <c r="AA1937">
        <v>8.4</v>
      </c>
      <c r="AB1937">
        <v>46</v>
      </c>
      <c r="AC1937">
        <v>8.6999999999999993</v>
      </c>
      <c r="AD1937">
        <v>0</v>
      </c>
      <c r="AE1937">
        <v>0</v>
      </c>
      <c r="AF1937">
        <v>8.0409000000000006</v>
      </c>
      <c r="AG1937">
        <v>263</v>
      </c>
      <c r="AH1937">
        <v>0</v>
      </c>
    </row>
    <row r="1938" spans="1:34" x14ac:dyDescent="0.35">
      <c r="A1938" t="s">
        <v>34</v>
      </c>
      <c r="B1938" s="1">
        <v>46146.65625</v>
      </c>
      <c r="C1938" t="s">
        <v>34</v>
      </c>
      <c r="D1938" s="1">
        <v>46155.625</v>
      </c>
      <c r="E1938">
        <v>6895</v>
      </c>
      <c r="F1938" t="s">
        <v>36</v>
      </c>
      <c r="G1938">
        <v>11.64</v>
      </c>
      <c r="H1938">
        <v>11.64</v>
      </c>
      <c r="I1938">
        <v>8.76</v>
      </c>
      <c r="J1938">
        <v>8.82</v>
      </c>
      <c r="K1938">
        <v>3</v>
      </c>
      <c r="L1938">
        <v>34</v>
      </c>
      <c r="M1938">
        <v>8.8000000000000007</v>
      </c>
      <c r="N1938">
        <v>1</v>
      </c>
      <c r="O1938">
        <v>9</v>
      </c>
      <c r="P1938">
        <v>0</v>
      </c>
      <c r="Q1938">
        <v>0</v>
      </c>
      <c r="R1938">
        <v>0</v>
      </c>
      <c r="S1938">
        <v>0</v>
      </c>
      <c r="T1938">
        <v>0.2051</v>
      </c>
      <c r="U1938">
        <v>-8.4400000000000003E-2</v>
      </c>
      <c r="V1938">
        <v>6.9999999999999999E-4</v>
      </c>
      <c r="W1938">
        <v>-1.9196</v>
      </c>
      <c r="X1938">
        <v>1.8092999999999999</v>
      </c>
      <c r="Y1938">
        <v>-0.14990000000000001</v>
      </c>
      <c r="Z1938">
        <v>19</v>
      </c>
      <c r="AA1938">
        <v>8.6</v>
      </c>
      <c r="AB1938">
        <v>1</v>
      </c>
      <c r="AC1938">
        <v>8.9</v>
      </c>
      <c r="AD1938">
        <v>0</v>
      </c>
      <c r="AE1938">
        <v>0</v>
      </c>
      <c r="AF1938">
        <v>9.74</v>
      </c>
      <c r="AG1938">
        <v>0</v>
      </c>
      <c r="AH1938">
        <v>0</v>
      </c>
    </row>
    <row r="1939" spans="1:34" x14ac:dyDescent="0.35">
      <c r="A1939" t="s">
        <v>34</v>
      </c>
      <c r="B1939" s="1">
        <v>46146.65625</v>
      </c>
      <c r="C1939" t="s">
        <v>34</v>
      </c>
      <c r="D1939" s="1">
        <v>46155.625</v>
      </c>
      <c r="E1939">
        <v>6900</v>
      </c>
      <c r="F1939" t="s">
        <v>36</v>
      </c>
      <c r="G1939">
        <v>6.75</v>
      </c>
      <c r="H1939">
        <v>11.77</v>
      </c>
      <c r="I1939">
        <v>6.27</v>
      </c>
      <c r="J1939">
        <v>9</v>
      </c>
      <c r="K1939">
        <v>27</v>
      </c>
      <c r="L1939">
        <v>34</v>
      </c>
      <c r="M1939">
        <v>9.1</v>
      </c>
      <c r="N1939">
        <v>1</v>
      </c>
      <c r="O1939">
        <v>9.3000000000000007</v>
      </c>
      <c r="P1939">
        <v>0</v>
      </c>
      <c r="Q1939">
        <v>0</v>
      </c>
      <c r="R1939">
        <v>0</v>
      </c>
      <c r="S1939">
        <v>0</v>
      </c>
      <c r="T1939">
        <v>0.2039</v>
      </c>
      <c r="U1939">
        <v>-8.6800000000000002E-2</v>
      </c>
      <c r="V1939">
        <v>6.9999999999999999E-4</v>
      </c>
      <c r="W1939">
        <v>-1.9513</v>
      </c>
      <c r="X1939">
        <v>1.8466</v>
      </c>
      <c r="Y1939">
        <v>-0.1542</v>
      </c>
      <c r="Z1939">
        <v>37</v>
      </c>
      <c r="AA1939">
        <v>8.9</v>
      </c>
      <c r="AB1939">
        <v>18</v>
      </c>
      <c r="AC1939">
        <v>9.1999999999999993</v>
      </c>
      <c r="AD1939">
        <v>0</v>
      </c>
      <c r="AE1939">
        <v>0</v>
      </c>
      <c r="AF1939">
        <v>9.1896000000000004</v>
      </c>
      <c r="AG1939">
        <v>395</v>
      </c>
      <c r="AH1939">
        <v>0</v>
      </c>
    </row>
    <row r="1940" spans="1:34" x14ac:dyDescent="0.35">
      <c r="A1940" t="s">
        <v>34</v>
      </c>
      <c r="B1940" s="1">
        <v>46146.65625</v>
      </c>
      <c r="C1940" t="s">
        <v>34</v>
      </c>
      <c r="D1940" s="1">
        <v>46155.625</v>
      </c>
      <c r="E1940">
        <v>6905</v>
      </c>
      <c r="F1940" t="s">
        <v>36</v>
      </c>
      <c r="G1940">
        <v>10.050000000000001</v>
      </c>
      <c r="H1940">
        <v>10.32</v>
      </c>
      <c r="I1940">
        <v>10.050000000000001</v>
      </c>
      <c r="J1940">
        <v>10.32</v>
      </c>
      <c r="K1940">
        <v>20</v>
      </c>
      <c r="L1940">
        <v>29</v>
      </c>
      <c r="M1940">
        <v>9.4</v>
      </c>
      <c r="N1940">
        <v>1</v>
      </c>
      <c r="O1940">
        <v>9.6</v>
      </c>
      <c r="P1940">
        <v>0</v>
      </c>
      <c r="Q1940">
        <v>0</v>
      </c>
      <c r="R1940">
        <v>0</v>
      </c>
      <c r="S1940">
        <v>0</v>
      </c>
      <c r="T1940">
        <v>0.20300000000000001</v>
      </c>
      <c r="U1940">
        <v>-8.9499999999999996E-2</v>
      </c>
      <c r="V1940">
        <v>6.9999999999999999E-4</v>
      </c>
      <c r="W1940">
        <v>-1.9903999999999999</v>
      </c>
      <c r="X1940">
        <v>1.8875</v>
      </c>
      <c r="Y1940">
        <v>-0.15890000000000001</v>
      </c>
      <c r="Z1940">
        <v>18</v>
      </c>
      <c r="AA1940">
        <v>9.1999999999999993</v>
      </c>
      <c r="AB1940">
        <v>18</v>
      </c>
      <c r="AC1940">
        <v>9.5</v>
      </c>
      <c r="AD1940">
        <v>0</v>
      </c>
      <c r="AE1940">
        <v>0</v>
      </c>
      <c r="AF1940">
        <v>10.131</v>
      </c>
      <c r="AG1940">
        <v>1</v>
      </c>
      <c r="AH1940">
        <v>0</v>
      </c>
    </row>
    <row r="1941" spans="1:34" x14ac:dyDescent="0.35">
      <c r="A1941" t="s">
        <v>34</v>
      </c>
      <c r="B1941" s="1">
        <v>46146.65625</v>
      </c>
      <c r="C1941" t="s">
        <v>34</v>
      </c>
      <c r="D1941" s="1">
        <v>46155.625</v>
      </c>
      <c r="E1941">
        <v>6910</v>
      </c>
      <c r="F1941" t="s">
        <v>36</v>
      </c>
      <c r="G1941">
        <v>12.42</v>
      </c>
      <c r="H1941">
        <v>12.42</v>
      </c>
      <c r="I1941">
        <v>10.35</v>
      </c>
      <c r="J1941">
        <v>10.67</v>
      </c>
      <c r="K1941">
        <v>18</v>
      </c>
      <c r="L1941">
        <v>30</v>
      </c>
      <c r="M1941">
        <v>9.6999999999999993</v>
      </c>
      <c r="N1941">
        <v>1</v>
      </c>
      <c r="O1941">
        <v>9.9</v>
      </c>
      <c r="P1941">
        <v>0</v>
      </c>
      <c r="Q1941">
        <v>0</v>
      </c>
      <c r="R1941">
        <v>0</v>
      </c>
      <c r="S1941">
        <v>0</v>
      </c>
      <c r="T1941">
        <v>0.20200000000000001</v>
      </c>
      <c r="U1941">
        <v>-9.2200000000000004E-2</v>
      </c>
      <c r="V1941">
        <v>6.9999999999999999E-4</v>
      </c>
      <c r="W1941">
        <v>-2.0283000000000002</v>
      </c>
      <c r="X1941">
        <v>1.9288000000000001</v>
      </c>
      <c r="Y1941">
        <v>-0.16370000000000001</v>
      </c>
      <c r="Z1941">
        <v>18</v>
      </c>
      <c r="AA1941">
        <v>9.5</v>
      </c>
      <c r="AB1941">
        <v>18</v>
      </c>
      <c r="AC1941">
        <v>9.8000000000000007</v>
      </c>
      <c r="AD1941">
        <v>0</v>
      </c>
      <c r="AE1941">
        <v>0</v>
      </c>
      <c r="AF1941">
        <v>11.244999999999999</v>
      </c>
      <c r="AG1941">
        <v>127</v>
      </c>
      <c r="AH1941">
        <v>0</v>
      </c>
    </row>
    <row r="1942" spans="1:34" x14ac:dyDescent="0.35">
      <c r="A1942" t="s">
        <v>34</v>
      </c>
      <c r="B1942" s="1">
        <v>46146.65625</v>
      </c>
      <c r="C1942" t="s">
        <v>34</v>
      </c>
      <c r="D1942" s="1">
        <v>46155.625</v>
      </c>
      <c r="E1942">
        <v>6915</v>
      </c>
      <c r="F1942" t="s">
        <v>36</v>
      </c>
      <c r="G1942">
        <v>12.5</v>
      </c>
      <c r="H1942">
        <v>12.5</v>
      </c>
      <c r="I1942">
        <v>9.75</v>
      </c>
      <c r="J1942">
        <v>9.75</v>
      </c>
      <c r="K1942">
        <v>2</v>
      </c>
      <c r="L1942">
        <v>32</v>
      </c>
      <c r="M1942">
        <v>10</v>
      </c>
      <c r="N1942">
        <v>1</v>
      </c>
      <c r="O1942">
        <v>10.199999999999999</v>
      </c>
      <c r="P1942">
        <v>0</v>
      </c>
      <c r="Q1942">
        <v>0</v>
      </c>
      <c r="R1942">
        <v>0</v>
      </c>
      <c r="S1942">
        <v>0</v>
      </c>
      <c r="T1942">
        <v>0.20100000000000001</v>
      </c>
      <c r="U1942">
        <v>-9.4899999999999998E-2</v>
      </c>
      <c r="V1942">
        <v>6.9999999999999999E-4</v>
      </c>
      <c r="W1942">
        <v>-2.0651999999999999</v>
      </c>
      <c r="X1942">
        <v>1.97</v>
      </c>
      <c r="Y1942">
        <v>-0.1686</v>
      </c>
      <c r="Z1942">
        <v>18</v>
      </c>
      <c r="AA1942">
        <v>9.8000000000000007</v>
      </c>
      <c r="AB1942">
        <v>1</v>
      </c>
      <c r="AC1942">
        <v>10.1</v>
      </c>
      <c r="AD1942">
        <v>0</v>
      </c>
      <c r="AE1942">
        <v>0</v>
      </c>
      <c r="AF1942">
        <v>11.125</v>
      </c>
      <c r="AG1942">
        <v>21</v>
      </c>
      <c r="AH1942">
        <v>0</v>
      </c>
    </row>
    <row r="1943" spans="1:34" x14ac:dyDescent="0.35">
      <c r="A1943" t="s">
        <v>34</v>
      </c>
      <c r="B1943" s="1">
        <v>46146.65625</v>
      </c>
      <c r="C1943" t="s">
        <v>34</v>
      </c>
      <c r="D1943" s="1">
        <v>46155.625</v>
      </c>
      <c r="E1943">
        <v>6920</v>
      </c>
      <c r="F1943" t="s">
        <v>36</v>
      </c>
      <c r="G1943">
        <v>7.6</v>
      </c>
      <c r="H1943">
        <v>12.51</v>
      </c>
      <c r="I1943">
        <v>7.6</v>
      </c>
      <c r="J1943">
        <v>12.51</v>
      </c>
      <c r="K1943">
        <v>12</v>
      </c>
      <c r="L1943">
        <v>32</v>
      </c>
      <c r="M1943">
        <v>10.3</v>
      </c>
      <c r="N1943">
        <v>29</v>
      </c>
      <c r="O1943">
        <v>10.6</v>
      </c>
      <c r="P1943">
        <v>0</v>
      </c>
      <c r="Q1943">
        <v>0</v>
      </c>
      <c r="R1943">
        <v>0</v>
      </c>
      <c r="S1943">
        <v>0</v>
      </c>
      <c r="T1943">
        <v>0.20019999999999999</v>
      </c>
      <c r="U1943">
        <v>-9.7900000000000001E-2</v>
      </c>
      <c r="V1943">
        <v>8.0000000000000004E-4</v>
      </c>
      <c r="W1943">
        <v>-2.1084999999999998</v>
      </c>
      <c r="X1943">
        <v>2.0152999999999999</v>
      </c>
      <c r="Y1943">
        <v>-0.1741</v>
      </c>
      <c r="Z1943">
        <v>37</v>
      </c>
      <c r="AA1943">
        <v>10.1</v>
      </c>
      <c r="AB1943">
        <v>44</v>
      </c>
      <c r="AC1943">
        <v>10.5</v>
      </c>
      <c r="AD1943">
        <v>0</v>
      </c>
      <c r="AE1943">
        <v>0</v>
      </c>
      <c r="AF1943">
        <v>11.5542</v>
      </c>
      <c r="AG1943">
        <v>286</v>
      </c>
      <c r="AH1943">
        <v>0</v>
      </c>
    </row>
    <row r="1944" spans="1:34" x14ac:dyDescent="0.35">
      <c r="A1944" t="s">
        <v>34</v>
      </c>
      <c r="B1944" s="1">
        <v>46146.65625</v>
      </c>
      <c r="C1944" t="s">
        <v>34</v>
      </c>
      <c r="D1944" s="1">
        <v>46155.625</v>
      </c>
      <c r="E1944">
        <v>6925</v>
      </c>
      <c r="F1944" t="s">
        <v>36</v>
      </c>
      <c r="G1944">
        <v>8.1199999999999992</v>
      </c>
      <c r="H1944">
        <v>11.57</v>
      </c>
      <c r="I1944">
        <v>6.91</v>
      </c>
      <c r="J1944">
        <v>11.57</v>
      </c>
      <c r="K1944">
        <v>15</v>
      </c>
      <c r="L1944">
        <v>53</v>
      </c>
      <c r="M1944">
        <v>10.6</v>
      </c>
      <c r="N1944">
        <v>1</v>
      </c>
      <c r="O1944">
        <v>10.9</v>
      </c>
      <c r="P1944">
        <v>0</v>
      </c>
      <c r="Q1944">
        <v>0</v>
      </c>
      <c r="R1944">
        <v>0</v>
      </c>
      <c r="S1944">
        <v>0</v>
      </c>
      <c r="T1944">
        <v>0.19950000000000001</v>
      </c>
      <c r="U1944">
        <v>-0.10100000000000001</v>
      </c>
      <c r="V1944">
        <v>8.0000000000000004E-4</v>
      </c>
      <c r="W1944">
        <v>-2.1511</v>
      </c>
      <c r="X1944">
        <v>2.0596000000000001</v>
      </c>
      <c r="Y1944">
        <v>-0.17960000000000001</v>
      </c>
      <c r="Z1944">
        <v>18</v>
      </c>
      <c r="AA1944">
        <v>10.5</v>
      </c>
      <c r="AB1944">
        <v>23</v>
      </c>
      <c r="AC1944">
        <v>10.8</v>
      </c>
      <c r="AD1944">
        <v>0</v>
      </c>
      <c r="AE1944">
        <v>0</v>
      </c>
      <c r="AF1944">
        <v>8.4499999999999993</v>
      </c>
      <c r="AG1944">
        <v>345</v>
      </c>
      <c r="AH1944">
        <v>0</v>
      </c>
    </row>
    <row r="1945" spans="1:34" x14ac:dyDescent="0.35">
      <c r="A1945" t="s">
        <v>34</v>
      </c>
      <c r="B1945" s="1">
        <v>46146.65625</v>
      </c>
      <c r="C1945" t="s">
        <v>34</v>
      </c>
      <c r="D1945" s="1">
        <v>46155.625</v>
      </c>
      <c r="E1945">
        <v>6930</v>
      </c>
      <c r="F1945" t="s">
        <v>36</v>
      </c>
      <c r="G1945">
        <v>13.22</v>
      </c>
      <c r="H1945">
        <v>14.4</v>
      </c>
      <c r="I1945">
        <v>10.75</v>
      </c>
      <c r="J1945">
        <v>11.04</v>
      </c>
      <c r="K1945">
        <v>26</v>
      </c>
      <c r="L1945">
        <v>31</v>
      </c>
      <c r="M1945">
        <v>11</v>
      </c>
      <c r="N1945">
        <v>45</v>
      </c>
      <c r="O1945">
        <v>11.3</v>
      </c>
      <c r="P1945">
        <v>0</v>
      </c>
      <c r="Q1945">
        <v>0</v>
      </c>
      <c r="R1945">
        <v>0</v>
      </c>
      <c r="S1945">
        <v>0</v>
      </c>
      <c r="T1945">
        <v>0.19839999999999999</v>
      </c>
      <c r="U1945">
        <v>-0.1041</v>
      </c>
      <c r="V1945">
        <v>8.0000000000000004E-4</v>
      </c>
      <c r="W1945">
        <v>-2.1913</v>
      </c>
      <c r="X1945">
        <v>2.1046999999999998</v>
      </c>
      <c r="Y1945">
        <v>-0.18529999999999999</v>
      </c>
      <c r="Z1945">
        <v>25</v>
      </c>
      <c r="AA1945">
        <v>10.8</v>
      </c>
      <c r="AB1945">
        <v>7</v>
      </c>
      <c r="AC1945">
        <v>11.1</v>
      </c>
      <c r="AD1945">
        <v>0</v>
      </c>
      <c r="AE1945">
        <v>0</v>
      </c>
      <c r="AF1945">
        <v>13.324999999999999</v>
      </c>
      <c r="AG1945">
        <v>106</v>
      </c>
      <c r="AH1945">
        <v>0</v>
      </c>
    </row>
    <row r="1946" spans="1:34" x14ac:dyDescent="0.35">
      <c r="A1946" t="s">
        <v>34</v>
      </c>
      <c r="B1946" s="1">
        <v>46146.65625</v>
      </c>
      <c r="C1946" t="s">
        <v>34</v>
      </c>
      <c r="D1946" s="1">
        <v>46155.625</v>
      </c>
      <c r="E1946">
        <v>6935</v>
      </c>
      <c r="F1946" t="s">
        <v>36</v>
      </c>
      <c r="G1946">
        <v>8.43</v>
      </c>
      <c r="H1946">
        <v>8.43</v>
      </c>
      <c r="I1946">
        <v>8.43</v>
      </c>
      <c r="J1946">
        <v>8.43</v>
      </c>
      <c r="K1946">
        <v>1</v>
      </c>
      <c r="L1946">
        <v>31</v>
      </c>
      <c r="M1946">
        <v>11.3</v>
      </c>
      <c r="N1946">
        <v>4</v>
      </c>
      <c r="O1946">
        <v>11.6</v>
      </c>
      <c r="P1946">
        <v>0</v>
      </c>
      <c r="Q1946">
        <v>0</v>
      </c>
      <c r="R1946">
        <v>0</v>
      </c>
      <c r="S1946">
        <v>0</v>
      </c>
      <c r="T1946">
        <v>0.19750000000000001</v>
      </c>
      <c r="U1946">
        <v>-0.1072</v>
      </c>
      <c r="V1946">
        <v>8.0000000000000004E-4</v>
      </c>
      <c r="W1946">
        <v>-2.2307000000000001</v>
      </c>
      <c r="X1946">
        <v>2.1484999999999999</v>
      </c>
      <c r="Y1946">
        <v>-0.19089999999999999</v>
      </c>
      <c r="Z1946">
        <v>18</v>
      </c>
      <c r="AA1946">
        <v>11.2</v>
      </c>
      <c r="AB1946">
        <v>18</v>
      </c>
      <c r="AC1946">
        <v>11.5</v>
      </c>
      <c r="AD1946">
        <v>0</v>
      </c>
      <c r="AE1946">
        <v>0</v>
      </c>
      <c r="AF1946">
        <v>8.43</v>
      </c>
      <c r="AG1946">
        <v>1</v>
      </c>
      <c r="AH1946">
        <v>0</v>
      </c>
    </row>
    <row r="1947" spans="1:34" x14ac:dyDescent="0.35">
      <c r="A1947" t="s">
        <v>34</v>
      </c>
      <c r="B1947" s="1">
        <v>46146.65625</v>
      </c>
      <c r="C1947" t="s">
        <v>34</v>
      </c>
      <c r="D1947" s="1">
        <v>46155.625</v>
      </c>
      <c r="E1947">
        <v>6940</v>
      </c>
      <c r="F1947" t="s">
        <v>36</v>
      </c>
      <c r="G1947">
        <v>8.4</v>
      </c>
      <c r="H1947">
        <v>15.02</v>
      </c>
      <c r="I1947">
        <v>8.4</v>
      </c>
      <c r="J1947">
        <v>15.02</v>
      </c>
      <c r="K1947">
        <v>8</v>
      </c>
      <c r="L1947">
        <v>31</v>
      </c>
      <c r="M1947">
        <v>11.7</v>
      </c>
      <c r="N1947">
        <v>25</v>
      </c>
      <c r="O1947">
        <v>12</v>
      </c>
      <c r="P1947">
        <v>0</v>
      </c>
      <c r="Q1947">
        <v>0</v>
      </c>
      <c r="R1947">
        <v>0</v>
      </c>
      <c r="S1947">
        <v>0</v>
      </c>
      <c r="T1947">
        <v>0.19670000000000001</v>
      </c>
      <c r="U1947">
        <v>-0.1106</v>
      </c>
      <c r="V1947">
        <v>8.0000000000000004E-4</v>
      </c>
      <c r="W1947">
        <v>-2.2757999999999998</v>
      </c>
      <c r="X1947">
        <v>2.1956000000000002</v>
      </c>
      <c r="Y1947">
        <v>-0.1971</v>
      </c>
      <c r="Z1947">
        <v>36</v>
      </c>
      <c r="AA1947">
        <v>11.5</v>
      </c>
      <c r="AB1947">
        <v>24</v>
      </c>
      <c r="AC1947">
        <v>11.9</v>
      </c>
      <c r="AD1947">
        <v>0</v>
      </c>
      <c r="AE1947">
        <v>0</v>
      </c>
      <c r="AF1947">
        <v>12.99</v>
      </c>
      <c r="AG1947">
        <v>55</v>
      </c>
      <c r="AH1947">
        <v>0</v>
      </c>
    </row>
    <row r="1948" spans="1:34" x14ac:dyDescent="0.35">
      <c r="A1948" t="s">
        <v>34</v>
      </c>
      <c r="B1948" s="1">
        <v>46146.65625</v>
      </c>
      <c r="C1948" t="s">
        <v>34</v>
      </c>
      <c r="D1948" s="1">
        <v>46155.625</v>
      </c>
      <c r="E1948">
        <v>6945</v>
      </c>
      <c r="F1948" t="s">
        <v>36</v>
      </c>
      <c r="G1948">
        <v>10</v>
      </c>
      <c r="H1948">
        <v>12.25</v>
      </c>
      <c r="I1948">
        <v>10</v>
      </c>
      <c r="J1948">
        <v>12.25</v>
      </c>
      <c r="K1948">
        <v>4</v>
      </c>
      <c r="L1948">
        <v>31</v>
      </c>
      <c r="M1948">
        <v>12.1</v>
      </c>
      <c r="N1948">
        <v>24</v>
      </c>
      <c r="O1948">
        <v>12.4</v>
      </c>
      <c r="P1948">
        <v>0</v>
      </c>
      <c r="Q1948">
        <v>0</v>
      </c>
      <c r="R1948">
        <v>0</v>
      </c>
      <c r="S1948">
        <v>0</v>
      </c>
      <c r="T1948">
        <v>0.19589999999999999</v>
      </c>
      <c r="U1948">
        <v>-0.114</v>
      </c>
      <c r="V1948">
        <v>8.9999999999999998E-4</v>
      </c>
      <c r="W1948">
        <v>-2.3199999999999998</v>
      </c>
      <c r="X1948">
        <v>2.2414000000000001</v>
      </c>
      <c r="Y1948">
        <v>-0.2031</v>
      </c>
      <c r="Z1948">
        <v>17</v>
      </c>
      <c r="AA1948">
        <v>11.9</v>
      </c>
      <c r="AB1948">
        <v>25</v>
      </c>
      <c r="AC1948">
        <v>12.3</v>
      </c>
      <c r="AD1948">
        <v>0</v>
      </c>
      <c r="AE1948">
        <v>0</v>
      </c>
      <c r="AF1948">
        <v>11.6875</v>
      </c>
      <c r="AG1948">
        <v>1</v>
      </c>
      <c r="AH1948">
        <v>0</v>
      </c>
    </row>
    <row r="1949" spans="1:34" x14ac:dyDescent="0.35">
      <c r="A1949" t="s">
        <v>34</v>
      </c>
      <c r="B1949" s="1">
        <v>46146.65625</v>
      </c>
      <c r="C1949" t="s">
        <v>34</v>
      </c>
      <c r="D1949" s="1">
        <v>46155.625</v>
      </c>
      <c r="E1949">
        <v>6950</v>
      </c>
      <c r="F1949" t="s">
        <v>36</v>
      </c>
      <c r="G1949">
        <v>9.6999999999999993</v>
      </c>
      <c r="H1949">
        <v>16.52</v>
      </c>
      <c r="I1949">
        <v>7.92</v>
      </c>
      <c r="J1949">
        <v>12.47</v>
      </c>
      <c r="K1949">
        <v>36</v>
      </c>
      <c r="L1949">
        <v>30</v>
      </c>
      <c r="M1949">
        <v>12.5</v>
      </c>
      <c r="N1949">
        <v>24</v>
      </c>
      <c r="O1949">
        <v>12.8</v>
      </c>
      <c r="P1949">
        <v>0</v>
      </c>
      <c r="Q1949">
        <v>0</v>
      </c>
      <c r="R1949">
        <v>0</v>
      </c>
      <c r="S1949">
        <v>0</v>
      </c>
      <c r="T1949">
        <v>0.1948</v>
      </c>
      <c r="U1949">
        <v>-0.11749999999999999</v>
      </c>
      <c r="V1949">
        <v>8.9999999999999998E-4</v>
      </c>
      <c r="W1949">
        <v>-2.3616000000000001</v>
      </c>
      <c r="X1949">
        <v>2.2885</v>
      </c>
      <c r="Y1949">
        <v>-0.2094</v>
      </c>
      <c r="Z1949">
        <v>17</v>
      </c>
      <c r="AA1949">
        <v>12.3</v>
      </c>
      <c r="AB1949">
        <v>25</v>
      </c>
      <c r="AC1949">
        <v>12.7</v>
      </c>
      <c r="AD1949">
        <v>0</v>
      </c>
      <c r="AE1949">
        <v>0</v>
      </c>
      <c r="AF1949">
        <v>12.818099999999999</v>
      </c>
      <c r="AG1949">
        <v>414</v>
      </c>
      <c r="AH1949">
        <v>0</v>
      </c>
    </row>
    <row r="1950" spans="1:34" x14ac:dyDescent="0.35">
      <c r="A1950" t="s">
        <v>34</v>
      </c>
      <c r="B1950" s="1">
        <v>46146.65625</v>
      </c>
      <c r="C1950" t="s">
        <v>34</v>
      </c>
      <c r="D1950" s="1">
        <v>46155.625</v>
      </c>
      <c r="E1950">
        <v>6955</v>
      </c>
      <c r="F1950" t="s">
        <v>36</v>
      </c>
      <c r="G1950">
        <v>15.45</v>
      </c>
      <c r="H1950">
        <v>17.93</v>
      </c>
      <c r="I1950">
        <v>15.45</v>
      </c>
      <c r="J1950">
        <v>17.93</v>
      </c>
      <c r="K1950">
        <v>4</v>
      </c>
      <c r="L1950">
        <v>30</v>
      </c>
      <c r="M1950">
        <v>12.9</v>
      </c>
      <c r="N1950">
        <v>24</v>
      </c>
      <c r="O1950">
        <v>13.2</v>
      </c>
      <c r="P1950">
        <v>0</v>
      </c>
      <c r="Q1950">
        <v>0</v>
      </c>
      <c r="R1950">
        <v>0</v>
      </c>
      <c r="S1950">
        <v>0</v>
      </c>
      <c r="T1950">
        <v>0.19389999999999999</v>
      </c>
      <c r="U1950">
        <v>-0.121</v>
      </c>
      <c r="V1950">
        <v>8.9999999999999998E-4</v>
      </c>
      <c r="W1950">
        <v>-2.4024999999999999</v>
      </c>
      <c r="X1950">
        <v>2.3347000000000002</v>
      </c>
      <c r="Y1950">
        <v>-0.21560000000000001</v>
      </c>
      <c r="Z1950">
        <v>17</v>
      </c>
      <c r="AA1950">
        <v>12.7</v>
      </c>
      <c r="AB1950">
        <v>23</v>
      </c>
      <c r="AC1950">
        <v>13.1</v>
      </c>
      <c r="AD1950">
        <v>0</v>
      </c>
      <c r="AE1950">
        <v>0</v>
      </c>
      <c r="AF1950">
        <v>16.07</v>
      </c>
      <c r="AG1950">
        <v>0</v>
      </c>
      <c r="AH1950">
        <v>0</v>
      </c>
    </row>
    <row r="1951" spans="1:34" x14ac:dyDescent="0.35">
      <c r="A1951" t="s">
        <v>34</v>
      </c>
      <c r="B1951" s="1">
        <v>46146.65625</v>
      </c>
      <c r="C1951" t="s">
        <v>34</v>
      </c>
      <c r="D1951" s="1">
        <v>46155.625</v>
      </c>
      <c r="E1951">
        <v>6960</v>
      </c>
      <c r="F1951" t="s">
        <v>36</v>
      </c>
      <c r="G1951">
        <v>11.61</v>
      </c>
      <c r="H1951">
        <v>16.05</v>
      </c>
      <c r="I1951">
        <v>8.75</v>
      </c>
      <c r="J1951">
        <v>13.28</v>
      </c>
      <c r="K1951">
        <v>125</v>
      </c>
      <c r="L1951">
        <v>62</v>
      </c>
      <c r="M1951">
        <v>13.3</v>
      </c>
      <c r="N1951">
        <v>13</v>
      </c>
      <c r="O1951">
        <v>13.6</v>
      </c>
      <c r="P1951">
        <v>0</v>
      </c>
      <c r="Q1951">
        <v>0</v>
      </c>
      <c r="R1951">
        <v>0</v>
      </c>
      <c r="S1951">
        <v>0</v>
      </c>
      <c r="T1951">
        <v>0.193</v>
      </c>
      <c r="U1951">
        <v>-0.1245</v>
      </c>
      <c r="V1951">
        <v>8.9999999999999998E-4</v>
      </c>
      <c r="W1951">
        <v>-2.4424000000000001</v>
      </c>
      <c r="X1951">
        <v>2.3801999999999999</v>
      </c>
      <c r="Y1951">
        <v>-0.2218</v>
      </c>
      <c r="Z1951">
        <v>22</v>
      </c>
      <c r="AA1951">
        <v>13.2</v>
      </c>
      <c r="AB1951">
        <v>23</v>
      </c>
      <c r="AC1951">
        <v>13.5</v>
      </c>
      <c r="AD1951">
        <v>0</v>
      </c>
      <c r="AE1951">
        <v>0</v>
      </c>
      <c r="AF1951">
        <v>10.438599999999999</v>
      </c>
      <c r="AG1951">
        <v>44</v>
      </c>
      <c r="AH1951">
        <v>0</v>
      </c>
    </row>
    <row r="1952" spans="1:34" x14ac:dyDescent="0.35">
      <c r="A1952" t="s">
        <v>34</v>
      </c>
      <c r="B1952" s="1">
        <v>46146.65625</v>
      </c>
      <c r="C1952" t="s">
        <v>34</v>
      </c>
      <c r="D1952" s="1">
        <v>46155.625</v>
      </c>
      <c r="E1952">
        <v>6965</v>
      </c>
      <c r="F1952" t="s">
        <v>36</v>
      </c>
      <c r="G1952">
        <v>15.8</v>
      </c>
      <c r="H1952">
        <v>18.93</v>
      </c>
      <c r="I1952">
        <v>15.7</v>
      </c>
      <c r="J1952">
        <v>18.93</v>
      </c>
      <c r="K1952">
        <v>16</v>
      </c>
      <c r="L1952">
        <v>29</v>
      </c>
      <c r="M1952">
        <v>13.8</v>
      </c>
      <c r="N1952">
        <v>28</v>
      </c>
      <c r="O1952">
        <v>14.1</v>
      </c>
      <c r="P1952">
        <v>0</v>
      </c>
      <c r="Q1952">
        <v>0</v>
      </c>
      <c r="R1952">
        <v>0</v>
      </c>
      <c r="S1952">
        <v>0</v>
      </c>
      <c r="T1952">
        <v>0.19189999999999999</v>
      </c>
      <c r="U1952">
        <v>-0.12839999999999999</v>
      </c>
      <c r="V1952">
        <v>1E-3</v>
      </c>
      <c r="W1952">
        <v>-2.4861</v>
      </c>
      <c r="X1952">
        <v>2.4308000000000001</v>
      </c>
      <c r="Y1952">
        <v>-0.2288</v>
      </c>
      <c r="Z1952">
        <v>16</v>
      </c>
      <c r="AA1952">
        <v>13.6</v>
      </c>
      <c r="AB1952">
        <v>23</v>
      </c>
      <c r="AC1952">
        <v>14</v>
      </c>
      <c r="AD1952">
        <v>0</v>
      </c>
      <c r="AE1952">
        <v>0</v>
      </c>
      <c r="AF1952">
        <v>17.578099999999999</v>
      </c>
      <c r="AG1952">
        <v>33</v>
      </c>
      <c r="AH1952">
        <v>0</v>
      </c>
    </row>
    <row r="1953" spans="1:34" x14ac:dyDescent="0.35">
      <c r="A1953" t="s">
        <v>34</v>
      </c>
      <c r="B1953" s="1">
        <v>46146.65625</v>
      </c>
      <c r="C1953" t="s">
        <v>34</v>
      </c>
      <c r="D1953" s="1">
        <v>46155.625</v>
      </c>
      <c r="E1953">
        <v>6970</v>
      </c>
      <c r="F1953" t="s">
        <v>36</v>
      </c>
      <c r="G1953">
        <v>11.7</v>
      </c>
      <c r="H1953">
        <v>16.100000000000001</v>
      </c>
      <c r="I1953">
        <v>9.35</v>
      </c>
      <c r="J1953">
        <v>16.100000000000001</v>
      </c>
      <c r="K1953">
        <v>14</v>
      </c>
      <c r="L1953">
        <v>25</v>
      </c>
      <c r="M1953">
        <v>14.2</v>
      </c>
      <c r="N1953">
        <v>28</v>
      </c>
      <c r="O1953">
        <v>14.6</v>
      </c>
      <c r="P1953">
        <v>0</v>
      </c>
      <c r="Q1953">
        <v>0</v>
      </c>
      <c r="R1953">
        <v>0</v>
      </c>
      <c r="S1953">
        <v>0</v>
      </c>
      <c r="T1953">
        <v>0.191</v>
      </c>
      <c r="U1953">
        <v>-0.1323</v>
      </c>
      <c r="V1953">
        <v>1E-3</v>
      </c>
      <c r="W1953">
        <v>-2.5287000000000002</v>
      </c>
      <c r="X1953">
        <v>2.4803999999999999</v>
      </c>
      <c r="Y1953">
        <v>-0.23580000000000001</v>
      </c>
      <c r="Z1953">
        <v>16</v>
      </c>
      <c r="AA1953">
        <v>14.1</v>
      </c>
      <c r="AB1953">
        <v>3</v>
      </c>
      <c r="AC1953">
        <v>14.4</v>
      </c>
      <c r="AD1953">
        <v>0</v>
      </c>
      <c r="AE1953">
        <v>0</v>
      </c>
      <c r="AF1953">
        <v>14.7593</v>
      </c>
      <c r="AG1953">
        <v>231</v>
      </c>
      <c r="AH1953">
        <v>0</v>
      </c>
    </row>
    <row r="1954" spans="1:34" x14ac:dyDescent="0.35">
      <c r="A1954" t="s">
        <v>34</v>
      </c>
      <c r="B1954" s="1">
        <v>46146.65625</v>
      </c>
      <c r="C1954" t="s">
        <v>34</v>
      </c>
      <c r="D1954" s="1">
        <v>46155.625</v>
      </c>
      <c r="E1954">
        <v>6975</v>
      </c>
      <c r="F1954" t="s">
        <v>36</v>
      </c>
      <c r="G1954">
        <v>10.7</v>
      </c>
      <c r="H1954">
        <v>15.57</v>
      </c>
      <c r="I1954">
        <v>9.4</v>
      </c>
      <c r="J1954">
        <v>15.57</v>
      </c>
      <c r="K1954">
        <v>117</v>
      </c>
      <c r="L1954">
        <v>41</v>
      </c>
      <c r="M1954">
        <v>14.7</v>
      </c>
      <c r="N1954">
        <v>17</v>
      </c>
      <c r="O1954">
        <v>15</v>
      </c>
      <c r="P1954">
        <v>0</v>
      </c>
      <c r="Q1954">
        <v>0</v>
      </c>
      <c r="R1954">
        <v>0</v>
      </c>
      <c r="S1954">
        <v>0</v>
      </c>
      <c r="T1954">
        <v>0.19020000000000001</v>
      </c>
      <c r="U1954">
        <v>-0.13650000000000001</v>
      </c>
      <c r="V1954">
        <v>1E-3</v>
      </c>
      <c r="W1954">
        <v>-2.5758000000000001</v>
      </c>
      <c r="X1954">
        <v>2.5325000000000002</v>
      </c>
      <c r="Y1954">
        <v>-0.24340000000000001</v>
      </c>
      <c r="Z1954">
        <v>22</v>
      </c>
      <c r="AA1954">
        <v>14.5</v>
      </c>
      <c r="AB1954">
        <v>23</v>
      </c>
      <c r="AC1954">
        <v>14.9</v>
      </c>
      <c r="AD1954">
        <v>0</v>
      </c>
      <c r="AE1954">
        <v>0</v>
      </c>
      <c r="AF1954">
        <v>11.1439</v>
      </c>
      <c r="AG1954">
        <v>299</v>
      </c>
      <c r="AH1954">
        <v>0</v>
      </c>
    </row>
    <row r="1955" spans="1:34" x14ac:dyDescent="0.35">
      <c r="A1955" t="s">
        <v>34</v>
      </c>
      <c r="B1955" s="1">
        <v>46146.65625</v>
      </c>
      <c r="C1955" t="s">
        <v>34</v>
      </c>
      <c r="D1955" s="1">
        <v>46155.625</v>
      </c>
      <c r="E1955">
        <v>6980</v>
      </c>
      <c r="F1955" t="s">
        <v>36</v>
      </c>
      <c r="G1955">
        <v>12.5</v>
      </c>
      <c r="H1955">
        <v>17.899999999999999</v>
      </c>
      <c r="I1955">
        <v>9.7100000000000009</v>
      </c>
      <c r="J1955">
        <v>14.75</v>
      </c>
      <c r="K1955">
        <v>6</v>
      </c>
      <c r="L1955">
        <v>24</v>
      </c>
      <c r="M1955">
        <v>15.2</v>
      </c>
      <c r="N1955">
        <v>4</v>
      </c>
      <c r="O1955">
        <v>15.5</v>
      </c>
      <c r="P1955">
        <v>0</v>
      </c>
      <c r="Q1955">
        <v>0</v>
      </c>
      <c r="R1955">
        <v>0</v>
      </c>
      <c r="S1955">
        <v>0</v>
      </c>
      <c r="T1955">
        <v>0.1893</v>
      </c>
      <c r="U1955">
        <v>-0.14069999999999999</v>
      </c>
      <c r="V1955">
        <v>1E-3</v>
      </c>
      <c r="W1955">
        <v>-2.621</v>
      </c>
      <c r="X1955">
        <v>2.5838999999999999</v>
      </c>
      <c r="Y1955">
        <v>-0.251</v>
      </c>
      <c r="Z1955">
        <v>15</v>
      </c>
      <c r="AA1955">
        <v>15</v>
      </c>
      <c r="AB1955">
        <v>16</v>
      </c>
      <c r="AC1955">
        <v>15.4</v>
      </c>
      <c r="AD1955">
        <v>0</v>
      </c>
      <c r="AE1955">
        <v>0</v>
      </c>
      <c r="AF1955">
        <v>14.4467</v>
      </c>
      <c r="AG1955">
        <v>55</v>
      </c>
      <c r="AH1955">
        <v>0</v>
      </c>
    </row>
    <row r="1956" spans="1:34" x14ac:dyDescent="0.35">
      <c r="A1956" t="s">
        <v>34</v>
      </c>
      <c r="B1956" s="1">
        <v>46146.65625</v>
      </c>
      <c r="C1956" t="s">
        <v>34</v>
      </c>
      <c r="D1956" s="1">
        <v>46155.625</v>
      </c>
      <c r="E1956">
        <v>6985</v>
      </c>
      <c r="F1956" t="s">
        <v>36</v>
      </c>
      <c r="G1956">
        <v>10.54</v>
      </c>
      <c r="H1956">
        <v>19.43</v>
      </c>
      <c r="I1956">
        <v>9.8699999999999992</v>
      </c>
      <c r="J1956">
        <v>15.86</v>
      </c>
      <c r="K1956">
        <v>15</v>
      </c>
      <c r="L1956">
        <v>23</v>
      </c>
      <c r="M1956">
        <v>15.7</v>
      </c>
      <c r="N1956">
        <v>3</v>
      </c>
      <c r="O1956">
        <v>16</v>
      </c>
      <c r="P1956">
        <v>0</v>
      </c>
      <c r="Q1956">
        <v>0</v>
      </c>
      <c r="R1956">
        <v>0</v>
      </c>
      <c r="S1956">
        <v>0</v>
      </c>
      <c r="T1956">
        <v>0.1883</v>
      </c>
      <c r="U1956">
        <v>-0.1449</v>
      </c>
      <c r="V1956">
        <v>1.1000000000000001E-3</v>
      </c>
      <c r="W1956">
        <v>-2.6644000000000001</v>
      </c>
      <c r="X1956">
        <v>2.6345000000000001</v>
      </c>
      <c r="Y1956">
        <v>-0.25869999999999999</v>
      </c>
      <c r="Z1956">
        <v>15</v>
      </c>
      <c r="AA1956">
        <v>15.5</v>
      </c>
      <c r="AB1956">
        <v>16</v>
      </c>
      <c r="AC1956">
        <v>15.9</v>
      </c>
      <c r="AD1956">
        <v>0</v>
      </c>
      <c r="AE1956">
        <v>0</v>
      </c>
      <c r="AF1956">
        <v>15.586</v>
      </c>
      <c r="AG1956">
        <v>20</v>
      </c>
      <c r="AH1956">
        <v>0</v>
      </c>
    </row>
    <row r="1957" spans="1:34" x14ac:dyDescent="0.35">
      <c r="A1957" t="s">
        <v>34</v>
      </c>
      <c r="B1957" s="1">
        <v>46146.65625</v>
      </c>
      <c r="C1957" t="s">
        <v>34</v>
      </c>
      <c r="D1957" s="1">
        <v>46155.625</v>
      </c>
      <c r="E1957">
        <v>6990</v>
      </c>
      <c r="F1957" t="s">
        <v>36</v>
      </c>
      <c r="G1957">
        <v>11.88</v>
      </c>
      <c r="H1957">
        <v>19.649999999999999</v>
      </c>
      <c r="I1957">
        <v>10.17</v>
      </c>
      <c r="J1957">
        <v>15.9</v>
      </c>
      <c r="K1957">
        <v>35</v>
      </c>
      <c r="L1957">
        <v>23</v>
      </c>
      <c r="M1957">
        <v>16.2</v>
      </c>
      <c r="N1957">
        <v>25</v>
      </c>
      <c r="O1957">
        <v>16.600000000000001</v>
      </c>
      <c r="P1957">
        <v>0</v>
      </c>
      <c r="Q1957">
        <v>0</v>
      </c>
      <c r="R1957">
        <v>0</v>
      </c>
      <c r="S1957">
        <v>0</v>
      </c>
      <c r="T1957">
        <v>0.18729999999999999</v>
      </c>
      <c r="U1957">
        <v>-0.1492</v>
      </c>
      <c r="V1957">
        <v>1.1000000000000001E-3</v>
      </c>
      <c r="W1957">
        <v>-2.7058</v>
      </c>
      <c r="X1957">
        <v>2.6842999999999999</v>
      </c>
      <c r="Y1957">
        <v>-0.26650000000000001</v>
      </c>
      <c r="Z1957">
        <v>15</v>
      </c>
      <c r="AA1957">
        <v>16</v>
      </c>
      <c r="AB1957">
        <v>15</v>
      </c>
      <c r="AC1957">
        <v>16.399999999999999</v>
      </c>
      <c r="AD1957">
        <v>0</v>
      </c>
      <c r="AE1957">
        <v>0</v>
      </c>
      <c r="AF1957">
        <v>16.171399999999998</v>
      </c>
      <c r="AG1957">
        <v>74</v>
      </c>
      <c r="AH1957">
        <v>0</v>
      </c>
    </row>
    <row r="1958" spans="1:34" x14ac:dyDescent="0.35">
      <c r="A1958" t="s">
        <v>34</v>
      </c>
      <c r="B1958" s="1">
        <v>46146.65625</v>
      </c>
      <c r="C1958" t="s">
        <v>34</v>
      </c>
      <c r="D1958" s="1">
        <v>46155.625</v>
      </c>
      <c r="E1958">
        <v>6995</v>
      </c>
      <c r="F1958" t="s">
        <v>36</v>
      </c>
      <c r="G1958">
        <v>10.65</v>
      </c>
      <c r="H1958">
        <v>18.5</v>
      </c>
      <c r="I1958">
        <v>10.65</v>
      </c>
      <c r="J1958">
        <v>16.95</v>
      </c>
      <c r="K1958">
        <v>23</v>
      </c>
      <c r="L1958">
        <v>16</v>
      </c>
      <c r="M1958">
        <v>16.8</v>
      </c>
      <c r="N1958">
        <v>24</v>
      </c>
      <c r="O1958">
        <v>17.100000000000001</v>
      </c>
      <c r="P1958">
        <v>0</v>
      </c>
      <c r="Q1958">
        <v>0</v>
      </c>
      <c r="R1958">
        <v>0</v>
      </c>
      <c r="S1958">
        <v>0</v>
      </c>
      <c r="T1958">
        <v>0.18640000000000001</v>
      </c>
      <c r="U1958">
        <v>-0.1537</v>
      </c>
      <c r="V1958">
        <v>1.1000000000000001E-3</v>
      </c>
      <c r="W1958">
        <v>-2.7511999999999999</v>
      </c>
      <c r="X1958">
        <v>2.7361</v>
      </c>
      <c r="Y1958">
        <v>-0.27460000000000001</v>
      </c>
      <c r="Z1958">
        <v>15</v>
      </c>
      <c r="AA1958">
        <v>16.600000000000001</v>
      </c>
      <c r="AB1958">
        <v>20</v>
      </c>
      <c r="AC1958">
        <v>17</v>
      </c>
      <c r="AD1958">
        <v>0</v>
      </c>
      <c r="AE1958">
        <v>0</v>
      </c>
      <c r="AF1958">
        <v>17.373899999999999</v>
      </c>
      <c r="AG1958">
        <v>104</v>
      </c>
      <c r="AH1958">
        <v>0</v>
      </c>
    </row>
    <row r="1959" spans="1:34" x14ac:dyDescent="0.35">
      <c r="A1959" t="s">
        <v>34</v>
      </c>
      <c r="B1959" s="1">
        <v>46146.65625</v>
      </c>
      <c r="C1959" t="s">
        <v>34</v>
      </c>
      <c r="D1959" s="1">
        <v>46155.625</v>
      </c>
      <c r="E1959">
        <v>7000</v>
      </c>
      <c r="F1959" t="s">
        <v>36</v>
      </c>
      <c r="G1959">
        <v>14.92</v>
      </c>
      <c r="H1959">
        <v>22.69</v>
      </c>
      <c r="I1959">
        <v>10.82</v>
      </c>
      <c r="J1959">
        <v>16.75</v>
      </c>
      <c r="K1959">
        <v>69</v>
      </c>
      <c r="L1959">
        <v>38</v>
      </c>
      <c r="M1959">
        <v>17.3</v>
      </c>
      <c r="N1959">
        <v>37</v>
      </c>
      <c r="O1959">
        <v>17.7</v>
      </c>
      <c r="P1959">
        <v>0</v>
      </c>
      <c r="Q1959">
        <v>0</v>
      </c>
      <c r="R1959">
        <v>0</v>
      </c>
      <c r="S1959">
        <v>0</v>
      </c>
      <c r="T1959">
        <v>0.1855</v>
      </c>
      <c r="U1959">
        <v>-0.15840000000000001</v>
      </c>
      <c r="V1959">
        <v>1.1999999999999999E-3</v>
      </c>
      <c r="W1959">
        <v>-2.7946</v>
      </c>
      <c r="X1959">
        <v>2.7875000000000001</v>
      </c>
      <c r="Y1959">
        <v>-0.2828</v>
      </c>
      <c r="Z1959">
        <v>39</v>
      </c>
      <c r="AA1959">
        <v>17.100000000000001</v>
      </c>
      <c r="AB1959">
        <v>21</v>
      </c>
      <c r="AC1959">
        <v>17.5</v>
      </c>
      <c r="AD1959">
        <v>0</v>
      </c>
      <c r="AE1959">
        <v>0</v>
      </c>
      <c r="AF1959">
        <v>16.887699999999999</v>
      </c>
      <c r="AG1959">
        <v>201</v>
      </c>
      <c r="AH1959">
        <v>0</v>
      </c>
    </row>
    <row r="1960" spans="1:34" x14ac:dyDescent="0.35">
      <c r="A1960" t="s">
        <v>34</v>
      </c>
      <c r="B1960" s="1">
        <v>46146.65625</v>
      </c>
      <c r="C1960" t="s">
        <v>34</v>
      </c>
      <c r="D1960" s="1">
        <v>46155.625</v>
      </c>
      <c r="E1960">
        <v>7005</v>
      </c>
      <c r="F1960" t="s">
        <v>36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22</v>
      </c>
      <c r="M1960">
        <v>17.899999999999999</v>
      </c>
      <c r="N1960">
        <v>19</v>
      </c>
      <c r="O1960">
        <v>18.2</v>
      </c>
      <c r="P1960">
        <v>0</v>
      </c>
      <c r="Q1960">
        <v>0</v>
      </c>
      <c r="R1960">
        <v>0</v>
      </c>
      <c r="S1960">
        <v>0</v>
      </c>
      <c r="T1960">
        <v>0.18440000000000001</v>
      </c>
      <c r="U1960">
        <v>-0.16300000000000001</v>
      </c>
      <c r="V1960">
        <v>1.1999999999999999E-3</v>
      </c>
      <c r="W1960">
        <v>-2.8359000000000001</v>
      </c>
      <c r="X1960">
        <v>2.8388</v>
      </c>
      <c r="Y1960">
        <v>-0.29110000000000003</v>
      </c>
      <c r="Z1960">
        <v>15</v>
      </c>
      <c r="AA1960">
        <v>17.7</v>
      </c>
      <c r="AB1960">
        <v>15</v>
      </c>
      <c r="AC1960">
        <v>18.100000000000001</v>
      </c>
      <c r="AD1960">
        <v>0</v>
      </c>
      <c r="AE1960">
        <v>0</v>
      </c>
      <c r="AF1960">
        <v>0</v>
      </c>
      <c r="AG1960">
        <v>137</v>
      </c>
      <c r="AH1960">
        <v>0</v>
      </c>
    </row>
    <row r="1961" spans="1:34" x14ac:dyDescent="0.35">
      <c r="A1961" t="s">
        <v>34</v>
      </c>
      <c r="B1961" s="1">
        <v>46146.65625</v>
      </c>
      <c r="C1961" t="s">
        <v>34</v>
      </c>
      <c r="D1961" s="1">
        <v>46155.625</v>
      </c>
      <c r="E1961">
        <v>7010</v>
      </c>
      <c r="F1961" t="s">
        <v>36</v>
      </c>
      <c r="G1961">
        <v>17.350000000000001</v>
      </c>
      <c r="H1961">
        <v>17.350000000000001</v>
      </c>
      <c r="I1961">
        <v>17.350000000000001</v>
      </c>
      <c r="J1961">
        <v>17.350000000000001</v>
      </c>
      <c r="K1961">
        <v>6</v>
      </c>
      <c r="L1961">
        <v>21</v>
      </c>
      <c r="M1961">
        <v>18.5</v>
      </c>
      <c r="N1961">
        <v>16</v>
      </c>
      <c r="O1961">
        <v>18.8</v>
      </c>
      <c r="P1961">
        <v>0</v>
      </c>
      <c r="Q1961">
        <v>0</v>
      </c>
      <c r="R1961">
        <v>0</v>
      </c>
      <c r="S1961">
        <v>0</v>
      </c>
      <c r="T1961">
        <v>0.1835</v>
      </c>
      <c r="U1961">
        <v>-0.16800000000000001</v>
      </c>
      <c r="V1961">
        <v>1.1999999999999999E-3</v>
      </c>
      <c r="W1961">
        <v>-2.8805999999999998</v>
      </c>
      <c r="X1961">
        <v>2.8925000000000001</v>
      </c>
      <c r="Y1961">
        <v>-0.3</v>
      </c>
      <c r="Z1961">
        <v>14</v>
      </c>
      <c r="AA1961">
        <v>18.3</v>
      </c>
      <c r="AB1961">
        <v>15</v>
      </c>
      <c r="AC1961">
        <v>18.7</v>
      </c>
      <c r="AD1961">
        <v>0</v>
      </c>
      <c r="AE1961">
        <v>0</v>
      </c>
      <c r="AF1961">
        <v>17.350000000000001</v>
      </c>
      <c r="AG1961">
        <v>72</v>
      </c>
      <c r="AH1961">
        <v>0</v>
      </c>
    </row>
    <row r="1962" spans="1:34" x14ac:dyDescent="0.35">
      <c r="A1962" t="s">
        <v>34</v>
      </c>
      <c r="B1962" s="1">
        <v>46146.65625</v>
      </c>
      <c r="C1962" t="s">
        <v>34</v>
      </c>
      <c r="D1962" s="1">
        <v>46155.625</v>
      </c>
      <c r="E1962">
        <v>7015</v>
      </c>
      <c r="F1962" t="s">
        <v>36</v>
      </c>
      <c r="G1962">
        <v>14.72</v>
      </c>
      <c r="H1962">
        <v>19.48</v>
      </c>
      <c r="I1962">
        <v>13.85</v>
      </c>
      <c r="J1962">
        <v>19.48</v>
      </c>
      <c r="K1962">
        <v>3</v>
      </c>
      <c r="L1962">
        <v>22</v>
      </c>
      <c r="M1962">
        <v>19.100000000000001</v>
      </c>
      <c r="N1962">
        <v>25</v>
      </c>
      <c r="O1962">
        <v>19.5</v>
      </c>
      <c r="P1962">
        <v>0</v>
      </c>
      <c r="Q1962">
        <v>0</v>
      </c>
      <c r="R1962">
        <v>0</v>
      </c>
      <c r="S1962">
        <v>0</v>
      </c>
      <c r="T1962">
        <v>0.1827</v>
      </c>
      <c r="U1962">
        <v>-0.17319999999999999</v>
      </c>
      <c r="V1962">
        <v>1.1999999999999999E-3</v>
      </c>
      <c r="W1962">
        <v>-2.9281999999999999</v>
      </c>
      <c r="X1962">
        <v>2.9483000000000001</v>
      </c>
      <c r="Y1962">
        <v>-0.30940000000000001</v>
      </c>
      <c r="Z1962">
        <v>14</v>
      </c>
      <c r="AA1962">
        <v>18.899999999999999</v>
      </c>
      <c r="AB1962">
        <v>12</v>
      </c>
      <c r="AC1962">
        <v>19.3</v>
      </c>
      <c r="AD1962">
        <v>0</v>
      </c>
      <c r="AE1962">
        <v>0</v>
      </c>
      <c r="AF1962">
        <v>16.0167</v>
      </c>
      <c r="AG1962">
        <v>23</v>
      </c>
      <c r="AH1962">
        <v>0</v>
      </c>
    </row>
    <row r="1963" spans="1:34" x14ac:dyDescent="0.35">
      <c r="A1963" t="s">
        <v>34</v>
      </c>
      <c r="B1963" s="1">
        <v>46146.65625</v>
      </c>
      <c r="C1963" t="s">
        <v>34</v>
      </c>
      <c r="D1963" s="1">
        <v>46155.625</v>
      </c>
      <c r="E1963">
        <v>7020</v>
      </c>
      <c r="F1963" t="s">
        <v>36</v>
      </c>
      <c r="G1963">
        <v>17.02</v>
      </c>
      <c r="H1963">
        <v>20.52</v>
      </c>
      <c r="I1963">
        <v>12.39</v>
      </c>
      <c r="J1963">
        <v>19.579999999999998</v>
      </c>
      <c r="K1963">
        <v>12</v>
      </c>
      <c r="L1963">
        <v>20</v>
      </c>
      <c r="M1963">
        <v>19.7</v>
      </c>
      <c r="N1963">
        <v>23</v>
      </c>
      <c r="O1963">
        <v>20.100000000000001</v>
      </c>
      <c r="P1963">
        <v>0</v>
      </c>
      <c r="Q1963">
        <v>0</v>
      </c>
      <c r="R1963">
        <v>0</v>
      </c>
      <c r="S1963">
        <v>0</v>
      </c>
      <c r="T1963">
        <v>0.1817</v>
      </c>
      <c r="U1963">
        <v>-0.1782</v>
      </c>
      <c r="V1963">
        <v>1.2999999999999999E-3</v>
      </c>
      <c r="W1963">
        <v>-2.9683999999999999</v>
      </c>
      <c r="X1963">
        <v>3.0009999999999999</v>
      </c>
      <c r="Y1963">
        <v>-0.31850000000000001</v>
      </c>
      <c r="Z1963">
        <v>14</v>
      </c>
      <c r="AA1963">
        <v>19.600000000000001</v>
      </c>
      <c r="AB1963">
        <v>15</v>
      </c>
      <c r="AC1963">
        <v>20</v>
      </c>
      <c r="AD1963">
        <v>0</v>
      </c>
      <c r="AE1963">
        <v>0</v>
      </c>
      <c r="AF1963">
        <v>15.8675</v>
      </c>
      <c r="AG1963">
        <v>42</v>
      </c>
      <c r="AH1963">
        <v>0</v>
      </c>
    </row>
    <row r="1964" spans="1:34" x14ac:dyDescent="0.35">
      <c r="A1964" t="s">
        <v>34</v>
      </c>
      <c r="B1964" s="1">
        <v>46146.65625</v>
      </c>
      <c r="C1964" t="s">
        <v>34</v>
      </c>
      <c r="D1964" s="1">
        <v>46155.625</v>
      </c>
      <c r="E1964">
        <v>7025</v>
      </c>
      <c r="F1964" t="s">
        <v>36</v>
      </c>
      <c r="G1964">
        <v>15.72</v>
      </c>
      <c r="H1964">
        <v>26.21</v>
      </c>
      <c r="I1964">
        <v>13.83</v>
      </c>
      <c r="J1964">
        <v>20.92</v>
      </c>
      <c r="K1964">
        <v>74</v>
      </c>
      <c r="L1964">
        <v>34</v>
      </c>
      <c r="M1964">
        <v>20.399999999999999</v>
      </c>
      <c r="N1964">
        <v>11</v>
      </c>
      <c r="O1964">
        <v>20.7</v>
      </c>
      <c r="P1964">
        <v>0</v>
      </c>
      <c r="Q1964">
        <v>0</v>
      </c>
      <c r="R1964">
        <v>0</v>
      </c>
      <c r="S1964">
        <v>0</v>
      </c>
      <c r="T1964">
        <v>0.1807</v>
      </c>
      <c r="U1964">
        <v>-0.1835</v>
      </c>
      <c r="V1964">
        <v>1.2999999999999999E-3</v>
      </c>
      <c r="W1964">
        <v>-3.0114000000000001</v>
      </c>
      <c r="X1964">
        <v>3.0552999999999999</v>
      </c>
      <c r="Y1964">
        <v>-0.32829999999999998</v>
      </c>
      <c r="Z1964">
        <v>20</v>
      </c>
      <c r="AA1964">
        <v>20.2</v>
      </c>
      <c r="AB1964">
        <v>18</v>
      </c>
      <c r="AC1964">
        <v>20.6</v>
      </c>
      <c r="AD1964">
        <v>0</v>
      </c>
      <c r="AE1964">
        <v>0</v>
      </c>
      <c r="AF1964">
        <v>16.566099999999999</v>
      </c>
      <c r="AG1964">
        <v>39</v>
      </c>
      <c r="AH1964">
        <v>0</v>
      </c>
    </row>
    <row r="1965" spans="1:34" x14ac:dyDescent="0.35">
      <c r="A1965" t="s">
        <v>34</v>
      </c>
      <c r="B1965" s="1">
        <v>46146.65625</v>
      </c>
      <c r="C1965" t="s">
        <v>34</v>
      </c>
      <c r="D1965" s="1">
        <v>46155.625</v>
      </c>
      <c r="E1965">
        <v>7030</v>
      </c>
      <c r="F1965" t="s">
        <v>36</v>
      </c>
      <c r="G1965">
        <v>16.8</v>
      </c>
      <c r="H1965">
        <v>23.5</v>
      </c>
      <c r="I1965">
        <v>13.25</v>
      </c>
      <c r="J1965">
        <v>20.94</v>
      </c>
      <c r="K1965">
        <v>32</v>
      </c>
      <c r="L1965">
        <v>15</v>
      </c>
      <c r="M1965">
        <v>21.1</v>
      </c>
      <c r="N1965">
        <v>18</v>
      </c>
      <c r="O1965">
        <v>21.4</v>
      </c>
      <c r="P1965">
        <v>0</v>
      </c>
      <c r="Q1965">
        <v>0</v>
      </c>
      <c r="R1965">
        <v>0</v>
      </c>
      <c r="S1965">
        <v>0</v>
      </c>
      <c r="T1965">
        <v>0.17979999999999999</v>
      </c>
      <c r="U1965">
        <v>-0.18909999999999999</v>
      </c>
      <c r="V1965">
        <v>1.2999999999999999E-3</v>
      </c>
      <c r="W1965">
        <v>-3.0568</v>
      </c>
      <c r="X1965">
        <v>3.1105</v>
      </c>
      <c r="Y1965">
        <v>-0.33850000000000002</v>
      </c>
      <c r="Z1965">
        <v>15</v>
      </c>
      <c r="AA1965">
        <v>20.9</v>
      </c>
      <c r="AB1965">
        <v>13</v>
      </c>
      <c r="AC1965">
        <v>21.3</v>
      </c>
      <c r="AD1965">
        <v>0</v>
      </c>
      <c r="AE1965">
        <v>0</v>
      </c>
      <c r="AF1965">
        <v>18.4556</v>
      </c>
      <c r="AG1965">
        <v>67</v>
      </c>
      <c r="AH1965">
        <v>0</v>
      </c>
    </row>
    <row r="1966" spans="1:34" x14ac:dyDescent="0.35">
      <c r="A1966" t="s">
        <v>34</v>
      </c>
      <c r="B1966" s="1">
        <v>46146.65625</v>
      </c>
      <c r="C1966" t="s">
        <v>34</v>
      </c>
      <c r="D1966" s="1">
        <v>46155.625</v>
      </c>
      <c r="E1966">
        <v>7035</v>
      </c>
      <c r="F1966" t="s">
        <v>36</v>
      </c>
      <c r="G1966">
        <v>18.73</v>
      </c>
      <c r="H1966">
        <v>24.55</v>
      </c>
      <c r="I1966">
        <v>18.73</v>
      </c>
      <c r="J1966">
        <v>21.51</v>
      </c>
      <c r="K1966">
        <v>3</v>
      </c>
      <c r="L1966">
        <v>15</v>
      </c>
      <c r="M1966">
        <v>21.8</v>
      </c>
      <c r="N1966">
        <v>18</v>
      </c>
      <c r="O1966">
        <v>22.1</v>
      </c>
      <c r="P1966">
        <v>0</v>
      </c>
      <c r="Q1966">
        <v>0</v>
      </c>
      <c r="R1966">
        <v>0</v>
      </c>
      <c r="S1966">
        <v>0</v>
      </c>
      <c r="T1966">
        <v>0.1789</v>
      </c>
      <c r="U1966">
        <v>-0.19470000000000001</v>
      </c>
      <c r="V1966">
        <v>1.4E-3</v>
      </c>
      <c r="W1966">
        <v>-3.0996000000000001</v>
      </c>
      <c r="X1966">
        <v>3.1644999999999999</v>
      </c>
      <c r="Y1966">
        <v>-0.34870000000000001</v>
      </c>
      <c r="Z1966">
        <v>14</v>
      </c>
      <c r="AA1966">
        <v>21.6</v>
      </c>
      <c r="AB1966">
        <v>13</v>
      </c>
      <c r="AC1966">
        <v>22</v>
      </c>
      <c r="AD1966">
        <v>0</v>
      </c>
      <c r="AE1966">
        <v>0</v>
      </c>
      <c r="AF1966">
        <v>21.596699999999998</v>
      </c>
      <c r="AG1966">
        <v>12</v>
      </c>
      <c r="AH1966">
        <v>0</v>
      </c>
    </row>
    <row r="1967" spans="1:34" x14ac:dyDescent="0.35">
      <c r="A1967" t="s">
        <v>34</v>
      </c>
      <c r="B1967" s="1">
        <v>46146.65625</v>
      </c>
      <c r="C1967" t="s">
        <v>34</v>
      </c>
      <c r="D1967" s="1">
        <v>46155.625</v>
      </c>
      <c r="E1967">
        <v>7040</v>
      </c>
      <c r="F1967" t="s">
        <v>36</v>
      </c>
      <c r="G1967">
        <v>18.05</v>
      </c>
      <c r="H1967">
        <v>29.2</v>
      </c>
      <c r="I1967">
        <v>14.15</v>
      </c>
      <c r="J1967">
        <v>25</v>
      </c>
      <c r="K1967">
        <v>45</v>
      </c>
      <c r="L1967">
        <v>20</v>
      </c>
      <c r="M1967">
        <v>22.5</v>
      </c>
      <c r="N1967">
        <v>24</v>
      </c>
      <c r="O1967">
        <v>22.9</v>
      </c>
      <c r="P1967">
        <v>0</v>
      </c>
      <c r="Q1967">
        <v>0</v>
      </c>
      <c r="R1967">
        <v>0</v>
      </c>
      <c r="S1967">
        <v>0</v>
      </c>
      <c r="T1967">
        <v>0.17780000000000001</v>
      </c>
      <c r="U1967">
        <v>-0.20039999999999999</v>
      </c>
      <c r="V1967">
        <v>1.4E-3</v>
      </c>
      <c r="W1967">
        <v>-3.1398000000000001</v>
      </c>
      <c r="X1967">
        <v>3.2174999999999998</v>
      </c>
      <c r="Y1967">
        <v>-0.3589</v>
      </c>
      <c r="Z1967">
        <v>35</v>
      </c>
      <c r="AA1967">
        <v>22.3</v>
      </c>
      <c r="AB1967">
        <v>5</v>
      </c>
      <c r="AC1967">
        <v>22.7</v>
      </c>
      <c r="AD1967">
        <v>0</v>
      </c>
      <c r="AE1967">
        <v>0</v>
      </c>
      <c r="AF1967">
        <v>16.7242</v>
      </c>
      <c r="AG1967">
        <v>258</v>
      </c>
      <c r="AH1967">
        <v>0</v>
      </c>
    </row>
    <row r="1968" spans="1:34" x14ac:dyDescent="0.35">
      <c r="A1968" t="s">
        <v>34</v>
      </c>
      <c r="B1968" s="1">
        <v>46146.65625</v>
      </c>
      <c r="C1968" t="s">
        <v>34</v>
      </c>
      <c r="D1968" s="1">
        <v>46155.625</v>
      </c>
      <c r="E1968">
        <v>7045</v>
      </c>
      <c r="F1968" t="s">
        <v>36</v>
      </c>
      <c r="G1968">
        <v>15.05</v>
      </c>
      <c r="H1968">
        <v>23.76</v>
      </c>
      <c r="I1968">
        <v>15.05</v>
      </c>
      <c r="J1968">
        <v>23.76</v>
      </c>
      <c r="K1968">
        <v>2</v>
      </c>
      <c r="L1968">
        <v>19</v>
      </c>
      <c r="M1968">
        <v>23.2</v>
      </c>
      <c r="N1968">
        <v>23</v>
      </c>
      <c r="O1968">
        <v>23.6</v>
      </c>
      <c r="P1968">
        <v>0</v>
      </c>
      <c r="Q1968">
        <v>0</v>
      </c>
      <c r="R1968">
        <v>0</v>
      </c>
      <c r="S1968">
        <v>0</v>
      </c>
      <c r="T1968">
        <v>0.17699999999999999</v>
      </c>
      <c r="U1968">
        <v>-0.20660000000000001</v>
      </c>
      <c r="V1968">
        <v>1.4E-3</v>
      </c>
      <c r="W1968">
        <v>-3.1865999999999999</v>
      </c>
      <c r="X1968">
        <v>3.2732999999999999</v>
      </c>
      <c r="Y1968">
        <v>-0.36990000000000001</v>
      </c>
      <c r="Z1968">
        <v>14</v>
      </c>
      <c r="AA1968">
        <v>23.1</v>
      </c>
      <c r="AB1968">
        <v>13</v>
      </c>
      <c r="AC1968">
        <v>23.5</v>
      </c>
      <c r="AD1968">
        <v>0</v>
      </c>
      <c r="AE1968">
        <v>0</v>
      </c>
      <c r="AF1968">
        <v>19.405000000000001</v>
      </c>
      <c r="AG1968">
        <v>17</v>
      </c>
      <c r="AH1968">
        <v>0</v>
      </c>
    </row>
    <row r="1969" spans="1:34" x14ac:dyDescent="0.35">
      <c r="A1969" t="s">
        <v>34</v>
      </c>
      <c r="B1969" s="1">
        <v>46146.65625</v>
      </c>
      <c r="C1969" t="s">
        <v>34</v>
      </c>
      <c r="D1969" s="1">
        <v>46155.625</v>
      </c>
      <c r="E1969">
        <v>7050</v>
      </c>
      <c r="F1969" t="s">
        <v>36</v>
      </c>
      <c r="G1969">
        <v>19.649999999999999</v>
      </c>
      <c r="H1969">
        <v>30.9</v>
      </c>
      <c r="I1969">
        <v>15.09</v>
      </c>
      <c r="J1969">
        <v>23.69</v>
      </c>
      <c r="K1969">
        <v>39</v>
      </c>
      <c r="L1969">
        <v>19</v>
      </c>
      <c r="M1969">
        <v>24</v>
      </c>
      <c r="N1969">
        <v>21</v>
      </c>
      <c r="O1969">
        <v>24.4</v>
      </c>
      <c r="P1969">
        <v>0</v>
      </c>
      <c r="Q1969">
        <v>0</v>
      </c>
      <c r="R1969">
        <v>0</v>
      </c>
      <c r="S1969">
        <v>0</v>
      </c>
      <c r="T1969">
        <v>0.17599999999999999</v>
      </c>
      <c r="U1969">
        <v>-0.21260000000000001</v>
      </c>
      <c r="V1969">
        <v>1.5E-3</v>
      </c>
      <c r="W1969">
        <v>-3.226</v>
      </c>
      <c r="X1969">
        <v>3.3268</v>
      </c>
      <c r="Y1969">
        <v>-0.38059999999999999</v>
      </c>
      <c r="Z1969">
        <v>14</v>
      </c>
      <c r="AA1969">
        <v>23.9</v>
      </c>
      <c r="AB1969">
        <v>13</v>
      </c>
      <c r="AC1969">
        <v>24.3</v>
      </c>
      <c r="AD1969">
        <v>0</v>
      </c>
      <c r="AE1969">
        <v>0</v>
      </c>
      <c r="AF1969">
        <v>18.874099999999999</v>
      </c>
      <c r="AG1969">
        <v>87</v>
      </c>
      <c r="AH1969">
        <v>0</v>
      </c>
    </row>
    <row r="1970" spans="1:34" x14ac:dyDescent="0.35">
      <c r="A1970" t="s">
        <v>34</v>
      </c>
      <c r="B1970" s="1">
        <v>46146.65625</v>
      </c>
      <c r="C1970" t="s">
        <v>34</v>
      </c>
      <c r="D1970" s="1">
        <v>46155.625</v>
      </c>
      <c r="E1970">
        <v>7055</v>
      </c>
      <c r="F1970" t="s">
        <v>36</v>
      </c>
      <c r="G1970">
        <v>20.03</v>
      </c>
      <c r="H1970">
        <v>21.24</v>
      </c>
      <c r="I1970">
        <v>15.96</v>
      </c>
      <c r="J1970">
        <v>21.24</v>
      </c>
      <c r="K1970">
        <v>16</v>
      </c>
      <c r="L1970">
        <v>18</v>
      </c>
      <c r="M1970">
        <v>24.8</v>
      </c>
      <c r="N1970">
        <v>21</v>
      </c>
      <c r="O1970">
        <v>25.2</v>
      </c>
      <c r="P1970">
        <v>0</v>
      </c>
      <c r="Q1970">
        <v>0</v>
      </c>
      <c r="R1970">
        <v>0</v>
      </c>
      <c r="S1970">
        <v>0</v>
      </c>
      <c r="T1970">
        <v>0.1749</v>
      </c>
      <c r="U1970">
        <v>-0.21870000000000001</v>
      </c>
      <c r="V1970">
        <v>1.5E-3</v>
      </c>
      <c r="W1970">
        <v>-3.2627000000000002</v>
      </c>
      <c r="X1970">
        <v>3.3799000000000001</v>
      </c>
      <c r="Y1970">
        <v>-0.39150000000000001</v>
      </c>
      <c r="Z1970">
        <v>14</v>
      </c>
      <c r="AA1970">
        <v>24.7</v>
      </c>
      <c r="AB1970">
        <v>13</v>
      </c>
      <c r="AC1970">
        <v>25.1</v>
      </c>
      <c r="AD1970">
        <v>0</v>
      </c>
      <c r="AE1970">
        <v>0</v>
      </c>
      <c r="AF1970">
        <v>19.482500000000002</v>
      </c>
      <c r="AG1970">
        <v>24</v>
      </c>
      <c r="AH1970">
        <v>0</v>
      </c>
    </row>
    <row r="1971" spans="1:34" x14ac:dyDescent="0.35">
      <c r="A1971" t="s">
        <v>34</v>
      </c>
      <c r="B1971" s="1">
        <v>46146.65625</v>
      </c>
      <c r="C1971" t="s">
        <v>34</v>
      </c>
      <c r="D1971" s="1">
        <v>46155.625</v>
      </c>
      <c r="E1971">
        <v>7060</v>
      </c>
      <c r="F1971" t="s">
        <v>36</v>
      </c>
      <c r="G1971">
        <v>19.78</v>
      </c>
      <c r="H1971">
        <v>26.6</v>
      </c>
      <c r="I1971">
        <v>16.350000000000001</v>
      </c>
      <c r="J1971">
        <v>25.29</v>
      </c>
      <c r="K1971">
        <v>21</v>
      </c>
      <c r="L1971">
        <v>18</v>
      </c>
      <c r="M1971">
        <v>25.6</v>
      </c>
      <c r="N1971">
        <v>21</v>
      </c>
      <c r="O1971">
        <v>26</v>
      </c>
      <c r="P1971">
        <v>0</v>
      </c>
      <c r="Q1971">
        <v>0</v>
      </c>
      <c r="R1971">
        <v>0</v>
      </c>
      <c r="S1971">
        <v>0</v>
      </c>
      <c r="T1971">
        <v>0.1741</v>
      </c>
      <c r="U1971">
        <v>-0.2253</v>
      </c>
      <c r="V1971">
        <v>1.5E-3</v>
      </c>
      <c r="W1971">
        <v>-3.3050000000000002</v>
      </c>
      <c r="X1971">
        <v>3.4358</v>
      </c>
      <c r="Y1971">
        <v>-0.40350000000000003</v>
      </c>
      <c r="Z1971">
        <v>13</v>
      </c>
      <c r="AA1971">
        <v>25.5</v>
      </c>
      <c r="AB1971">
        <v>10</v>
      </c>
      <c r="AC1971">
        <v>25.9</v>
      </c>
      <c r="AD1971">
        <v>0</v>
      </c>
      <c r="AE1971">
        <v>0</v>
      </c>
      <c r="AF1971">
        <v>23.810500000000001</v>
      </c>
      <c r="AG1971">
        <v>119</v>
      </c>
      <c r="AH1971">
        <v>0</v>
      </c>
    </row>
    <row r="1972" spans="1:34" x14ac:dyDescent="0.35">
      <c r="A1972" t="s">
        <v>34</v>
      </c>
      <c r="B1972" s="1">
        <v>46146.65625</v>
      </c>
      <c r="C1972" t="s">
        <v>34</v>
      </c>
      <c r="D1972" s="1">
        <v>46155.625</v>
      </c>
      <c r="E1972">
        <v>7065</v>
      </c>
      <c r="F1972" t="s">
        <v>36</v>
      </c>
      <c r="G1972">
        <v>25.9</v>
      </c>
      <c r="H1972">
        <v>25.9</v>
      </c>
      <c r="I1972">
        <v>25.9</v>
      </c>
      <c r="J1972">
        <v>25.9</v>
      </c>
      <c r="K1972">
        <v>1</v>
      </c>
      <c r="L1972">
        <v>14</v>
      </c>
      <c r="M1972">
        <v>26.5</v>
      </c>
      <c r="N1972">
        <v>14</v>
      </c>
      <c r="O1972">
        <v>26.8</v>
      </c>
      <c r="P1972">
        <v>0</v>
      </c>
      <c r="Q1972">
        <v>0</v>
      </c>
      <c r="R1972">
        <v>0</v>
      </c>
      <c r="S1972">
        <v>0</v>
      </c>
      <c r="T1972">
        <v>0.1731</v>
      </c>
      <c r="U1972">
        <v>-0.23180000000000001</v>
      </c>
      <c r="V1972">
        <v>1.6000000000000001E-3</v>
      </c>
      <c r="W1972">
        <v>-3.3445</v>
      </c>
      <c r="X1972">
        <v>3.4904999999999999</v>
      </c>
      <c r="Y1972">
        <v>-0.41549999999999998</v>
      </c>
      <c r="Z1972">
        <v>13</v>
      </c>
      <c r="AA1972">
        <v>26.3</v>
      </c>
      <c r="AB1972">
        <v>12</v>
      </c>
      <c r="AC1972">
        <v>26.8</v>
      </c>
      <c r="AD1972">
        <v>0</v>
      </c>
      <c r="AE1972">
        <v>0</v>
      </c>
      <c r="AF1972">
        <v>25.9</v>
      </c>
      <c r="AG1972">
        <v>4</v>
      </c>
      <c r="AH1972">
        <v>0</v>
      </c>
    </row>
    <row r="1973" spans="1:34" x14ac:dyDescent="0.35">
      <c r="A1973" t="s">
        <v>34</v>
      </c>
      <c r="B1973" s="1">
        <v>46146.65625</v>
      </c>
      <c r="C1973" t="s">
        <v>34</v>
      </c>
      <c r="D1973" s="1">
        <v>46155.625</v>
      </c>
      <c r="E1973">
        <v>7070</v>
      </c>
      <c r="F1973" t="s">
        <v>36</v>
      </c>
      <c r="G1973">
        <v>20.11</v>
      </c>
      <c r="H1973">
        <v>30.1</v>
      </c>
      <c r="I1973">
        <v>17.850000000000001</v>
      </c>
      <c r="J1973">
        <v>27.8</v>
      </c>
      <c r="K1973">
        <v>14</v>
      </c>
      <c r="L1973">
        <v>18</v>
      </c>
      <c r="M1973">
        <v>27.3</v>
      </c>
      <c r="N1973">
        <v>17</v>
      </c>
      <c r="O1973">
        <v>27.7</v>
      </c>
      <c r="P1973">
        <v>0</v>
      </c>
      <c r="Q1973">
        <v>0</v>
      </c>
      <c r="R1973">
        <v>0</v>
      </c>
      <c r="S1973">
        <v>0</v>
      </c>
      <c r="T1973">
        <v>0.17219999999999999</v>
      </c>
      <c r="U1973">
        <v>-0.2387</v>
      </c>
      <c r="V1973">
        <v>1.6000000000000001E-3</v>
      </c>
      <c r="W1973">
        <v>-3.3845999999999998</v>
      </c>
      <c r="X1973">
        <v>3.5455000000000001</v>
      </c>
      <c r="Y1973">
        <v>-0.42809999999999998</v>
      </c>
      <c r="Z1973">
        <v>13</v>
      </c>
      <c r="AA1973">
        <v>27.2</v>
      </c>
      <c r="AB1973">
        <v>12</v>
      </c>
      <c r="AC1973">
        <v>27.7</v>
      </c>
      <c r="AD1973">
        <v>0</v>
      </c>
      <c r="AE1973">
        <v>0</v>
      </c>
      <c r="AF1973">
        <v>21.492899999999999</v>
      </c>
      <c r="AG1973">
        <v>39</v>
      </c>
      <c r="AH1973">
        <v>0</v>
      </c>
    </row>
    <row r="1974" spans="1:34" x14ac:dyDescent="0.35">
      <c r="A1974" t="s">
        <v>34</v>
      </c>
      <c r="B1974" s="1">
        <v>46146.65625</v>
      </c>
      <c r="C1974" t="s">
        <v>34</v>
      </c>
      <c r="D1974" s="1">
        <v>46155.625</v>
      </c>
      <c r="E1974">
        <v>7075</v>
      </c>
      <c r="F1974" t="s">
        <v>36</v>
      </c>
      <c r="G1974">
        <v>22.28</v>
      </c>
      <c r="H1974">
        <v>31.97</v>
      </c>
      <c r="I1974">
        <v>18.05</v>
      </c>
      <c r="J1974">
        <v>28.17</v>
      </c>
      <c r="K1974">
        <v>35</v>
      </c>
      <c r="L1974">
        <v>18</v>
      </c>
      <c r="M1974">
        <v>28.2</v>
      </c>
      <c r="N1974">
        <v>14</v>
      </c>
      <c r="O1974">
        <v>28.6</v>
      </c>
      <c r="P1974">
        <v>0</v>
      </c>
      <c r="Q1974">
        <v>0</v>
      </c>
      <c r="R1974">
        <v>0</v>
      </c>
      <c r="S1974">
        <v>0</v>
      </c>
      <c r="T1974">
        <v>0.17119999999999999</v>
      </c>
      <c r="U1974">
        <v>-0.2457</v>
      </c>
      <c r="V1974">
        <v>1.6000000000000001E-3</v>
      </c>
      <c r="W1974">
        <v>-3.4214000000000002</v>
      </c>
      <c r="X1974">
        <v>3.5987</v>
      </c>
      <c r="Y1974">
        <v>-0.44080000000000003</v>
      </c>
      <c r="Z1974">
        <v>28</v>
      </c>
      <c r="AA1974">
        <v>28.1</v>
      </c>
      <c r="AB1974">
        <v>12</v>
      </c>
      <c r="AC1974">
        <v>28.6</v>
      </c>
      <c r="AD1974">
        <v>0</v>
      </c>
      <c r="AE1974">
        <v>0</v>
      </c>
      <c r="AF1974">
        <v>23.777999999999999</v>
      </c>
      <c r="AG1974">
        <v>157</v>
      </c>
      <c r="AH1974">
        <v>0</v>
      </c>
    </row>
    <row r="1975" spans="1:34" x14ac:dyDescent="0.35">
      <c r="A1975" t="s">
        <v>34</v>
      </c>
      <c r="B1975" s="1">
        <v>46146.65625</v>
      </c>
      <c r="C1975" t="s">
        <v>34</v>
      </c>
      <c r="D1975" s="1">
        <v>46155.625</v>
      </c>
      <c r="E1975">
        <v>7080</v>
      </c>
      <c r="F1975" t="s">
        <v>36</v>
      </c>
      <c r="G1975">
        <v>18.670000000000002</v>
      </c>
      <c r="H1975">
        <v>32.450000000000003</v>
      </c>
      <c r="I1975">
        <v>18.670000000000002</v>
      </c>
      <c r="J1975">
        <v>29.19</v>
      </c>
      <c r="K1975">
        <v>70</v>
      </c>
      <c r="L1975">
        <v>13</v>
      </c>
      <c r="M1975">
        <v>29.2</v>
      </c>
      <c r="N1975">
        <v>21</v>
      </c>
      <c r="O1975">
        <v>29.6</v>
      </c>
      <c r="P1975">
        <v>0</v>
      </c>
      <c r="Q1975">
        <v>0</v>
      </c>
      <c r="R1975">
        <v>0</v>
      </c>
      <c r="S1975">
        <v>0</v>
      </c>
      <c r="T1975">
        <v>0.17019999999999999</v>
      </c>
      <c r="U1975">
        <v>-0.25259999999999999</v>
      </c>
      <c r="V1975">
        <v>1.6999999999999999E-3</v>
      </c>
      <c r="W1975">
        <v>-3.4550999999999998</v>
      </c>
      <c r="X1975">
        <v>3.6501000000000001</v>
      </c>
      <c r="Y1975">
        <v>-0.45340000000000003</v>
      </c>
      <c r="Z1975">
        <v>18</v>
      </c>
      <c r="AA1975">
        <v>29.1</v>
      </c>
      <c r="AB1975">
        <v>15</v>
      </c>
      <c r="AC1975">
        <v>29.5</v>
      </c>
      <c r="AD1975">
        <v>0</v>
      </c>
      <c r="AE1975">
        <v>0</v>
      </c>
      <c r="AF1975">
        <v>30.027699999999999</v>
      </c>
      <c r="AG1975">
        <v>70</v>
      </c>
      <c r="AH1975">
        <v>0</v>
      </c>
    </row>
    <row r="1976" spans="1:34" x14ac:dyDescent="0.35">
      <c r="A1976" t="s">
        <v>34</v>
      </c>
      <c r="B1976" s="1">
        <v>46146.65625</v>
      </c>
      <c r="C1976" t="s">
        <v>34</v>
      </c>
      <c r="D1976" s="1">
        <v>46155.625</v>
      </c>
      <c r="E1976">
        <v>7085</v>
      </c>
      <c r="F1976" t="s">
        <v>36</v>
      </c>
      <c r="G1976">
        <v>29.3</v>
      </c>
      <c r="H1976">
        <v>34.97</v>
      </c>
      <c r="I1976">
        <v>29.06</v>
      </c>
      <c r="J1976">
        <v>29.06</v>
      </c>
      <c r="K1976">
        <v>5</v>
      </c>
      <c r="L1976">
        <v>13</v>
      </c>
      <c r="M1976">
        <v>30.1</v>
      </c>
      <c r="N1976">
        <v>16</v>
      </c>
      <c r="O1976">
        <v>30.5</v>
      </c>
      <c r="P1976">
        <v>0</v>
      </c>
      <c r="Q1976">
        <v>0</v>
      </c>
      <c r="R1976">
        <v>0</v>
      </c>
      <c r="S1976">
        <v>0</v>
      </c>
      <c r="T1976">
        <v>0.16930000000000001</v>
      </c>
      <c r="U1976">
        <v>-0.2601</v>
      </c>
      <c r="V1976">
        <v>1.6999999999999999E-3</v>
      </c>
      <c r="W1976">
        <v>-3.4929000000000001</v>
      </c>
      <c r="X1976">
        <v>3.7029000000000001</v>
      </c>
      <c r="Y1976">
        <v>-0.4667</v>
      </c>
      <c r="Z1976">
        <v>13</v>
      </c>
      <c r="AA1976">
        <v>30.1</v>
      </c>
      <c r="AB1976">
        <v>10</v>
      </c>
      <c r="AC1976">
        <v>30.5</v>
      </c>
      <c r="AD1976">
        <v>0</v>
      </c>
      <c r="AE1976">
        <v>0</v>
      </c>
      <c r="AF1976">
        <v>32.654000000000003</v>
      </c>
      <c r="AG1976">
        <v>35</v>
      </c>
      <c r="AH1976">
        <v>0</v>
      </c>
    </row>
    <row r="1977" spans="1:34" x14ac:dyDescent="0.35">
      <c r="A1977" t="s">
        <v>34</v>
      </c>
      <c r="B1977" s="1">
        <v>46146.65625</v>
      </c>
      <c r="C1977" t="s">
        <v>34</v>
      </c>
      <c r="D1977" s="1">
        <v>46155.625</v>
      </c>
      <c r="E1977">
        <v>7090</v>
      </c>
      <c r="F1977" t="s">
        <v>36</v>
      </c>
      <c r="G1977">
        <v>24.42</v>
      </c>
      <c r="H1977">
        <v>38.21</v>
      </c>
      <c r="I1977">
        <v>20.149999999999999</v>
      </c>
      <c r="J1977">
        <v>31.65</v>
      </c>
      <c r="K1977">
        <v>33</v>
      </c>
      <c r="L1977">
        <v>13</v>
      </c>
      <c r="M1977">
        <v>31.1</v>
      </c>
      <c r="N1977">
        <v>16</v>
      </c>
      <c r="O1977">
        <v>31.5</v>
      </c>
      <c r="P1977">
        <v>0</v>
      </c>
      <c r="Q1977">
        <v>0</v>
      </c>
      <c r="R1977">
        <v>0</v>
      </c>
      <c r="S1977">
        <v>0</v>
      </c>
      <c r="T1977">
        <v>0.16819999999999999</v>
      </c>
      <c r="U1977">
        <v>-0.26750000000000002</v>
      </c>
      <c r="V1977">
        <v>1.6999999999999999E-3</v>
      </c>
      <c r="W1977">
        <v>-3.5232000000000001</v>
      </c>
      <c r="X1977">
        <v>3.7534000000000001</v>
      </c>
      <c r="Y1977">
        <v>-0.4798</v>
      </c>
      <c r="Z1977">
        <v>13</v>
      </c>
      <c r="AA1977">
        <v>31.1</v>
      </c>
      <c r="AB1977">
        <v>10</v>
      </c>
      <c r="AC1977">
        <v>31.5</v>
      </c>
      <c r="AD1977">
        <v>0</v>
      </c>
      <c r="AE1977">
        <v>0</v>
      </c>
      <c r="AF1977">
        <v>30.033300000000001</v>
      </c>
      <c r="AG1977">
        <v>77</v>
      </c>
      <c r="AH1977">
        <v>0</v>
      </c>
    </row>
    <row r="1978" spans="1:34" x14ac:dyDescent="0.35">
      <c r="A1978" t="s">
        <v>34</v>
      </c>
      <c r="B1978" s="1">
        <v>46146.65625</v>
      </c>
      <c r="C1978" t="s">
        <v>34</v>
      </c>
      <c r="D1978" s="1">
        <v>46155.625</v>
      </c>
      <c r="E1978">
        <v>7095</v>
      </c>
      <c r="F1978" t="s">
        <v>36</v>
      </c>
      <c r="G1978">
        <v>36.6</v>
      </c>
      <c r="H1978">
        <v>36.6</v>
      </c>
      <c r="I1978">
        <v>34.07</v>
      </c>
      <c r="J1978">
        <v>34.07</v>
      </c>
      <c r="K1978">
        <v>7</v>
      </c>
      <c r="L1978">
        <v>16</v>
      </c>
      <c r="M1978">
        <v>32.1</v>
      </c>
      <c r="N1978">
        <v>12</v>
      </c>
      <c r="O1978">
        <v>32.5</v>
      </c>
      <c r="P1978">
        <v>0</v>
      </c>
      <c r="Q1978">
        <v>0</v>
      </c>
      <c r="R1978">
        <v>0</v>
      </c>
      <c r="S1978">
        <v>0</v>
      </c>
      <c r="T1978">
        <v>0.16719999999999999</v>
      </c>
      <c r="U1978">
        <v>-0.2752</v>
      </c>
      <c r="V1978">
        <v>1.8E-3</v>
      </c>
      <c r="W1978">
        <v>-3.5577000000000001</v>
      </c>
      <c r="X1978">
        <v>3.8050999999999999</v>
      </c>
      <c r="Y1978">
        <v>-0.49380000000000002</v>
      </c>
      <c r="Z1978">
        <v>13</v>
      </c>
      <c r="AA1978">
        <v>32.1</v>
      </c>
      <c r="AB1978">
        <v>12</v>
      </c>
      <c r="AC1978">
        <v>32.6</v>
      </c>
      <c r="AD1978">
        <v>0</v>
      </c>
      <c r="AE1978">
        <v>0</v>
      </c>
      <c r="AF1978">
        <v>35.435699999999997</v>
      </c>
      <c r="AG1978">
        <v>54</v>
      </c>
      <c r="AH1978">
        <v>0</v>
      </c>
    </row>
    <row r="1979" spans="1:34" x14ac:dyDescent="0.35">
      <c r="A1979" t="s">
        <v>34</v>
      </c>
      <c r="B1979" s="1">
        <v>46146.65625</v>
      </c>
      <c r="C1979" t="s">
        <v>34</v>
      </c>
      <c r="D1979" s="1">
        <v>46155.625</v>
      </c>
      <c r="E1979">
        <v>7100</v>
      </c>
      <c r="F1979" t="s">
        <v>36</v>
      </c>
      <c r="G1979">
        <v>28.07</v>
      </c>
      <c r="H1979">
        <v>40.85</v>
      </c>
      <c r="I1979">
        <v>21.42</v>
      </c>
      <c r="J1979">
        <v>33.5</v>
      </c>
      <c r="K1979">
        <v>156</v>
      </c>
      <c r="L1979">
        <v>12</v>
      </c>
      <c r="M1979">
        <v>33.200000000000003</v>
      </c>
      <c r="N1979">
        <v>29</v>
      </c>
      <c r="O1979">
        <v>33.6</v>
      </c>
      <c r="P1979">
        <v>0</v>
      </c>
      <c r="Q1979">
        <v>0</v>
      </c>
      <c r="R1979">
        <v>0</v>
      </c>
      <c r="S1979">
        <v>0</v>
      </c>
      <c r="T1979">
        <v>0.1661</v>
      </c>
      <c r="U1979">
        <v>-0.28289999999999998</v>
      </c>
      <c r="V1979">
        <v>1.8E-3</v>
      </c>
      <c r="W1979">
        <v>-3.5847000000000002</v>
      </c>
      <c r="X1979">
        <v>3.8548</v>
      </c>
      <c r="Y1979">
        <v>-0.50770000000000004</v>
      </c>
      <c r="Z1979">
        <v>18</v>
      </c>
      <c r="AA1979">
        <v>33.200000000000003</v>
      </c>
      <c r="AB1979">
        <v>10</v>
      </c>
      <c r="AC1979">
        <v>33.6</v>
      </c>
      <c r="AD1979">
        <v>0</v>
      </c>
      <c r="AE1979">
        <v>0</v>
      </c>
      <c r="AF1979">
        <v>31.8642</v>
      </c>
      <c r="AG1979">
        <v>105</v>
      </c>
      <c r="AH1979">
        <v>0</v>
      </c>
    </row>
    <row r="1980" spans="1:34" x14ac:dyDescent="0.35">
      <c r="A1980" t="s">
        <v>34</v>
      </c>
      <c r="B1980" s="1">
        <v>46146.65625</v>
      </c>
      <c r="C1980" t="s">
        <v>34</v>
      </c>
      <c r="D1980" s="1">
        <v>46155.625</v>
      </c>
      <c r="E1980">
        <v>7105</v>
      </c>
      <c r="F1980" t="s">
        <v>36</v>
      </c>
      <c r="G1980">
        <v>29.02</v>
      </c>
      <c r="H1980">
        <v>46.2</v>
      </c>
      <c r="I1980">
        <v>28.12</v>
      </c>
      <c r="J1980">
        <v>39.869999999999997</v>
      </c>
      <c r="K1980">
        <v>76</v>
      </c>
      <c r="L1980">
        <v>12</v>
      </c>
      <c r="M1980">
        <v>34.299999999999997</v>
      </c>
      <c r="N1980">
        <v>29</v>
      </c>
      <c r="O1980">
        <v>34.700000000000003</v>
      </c>
      <c r="P1980">
        <v>0</v>
      </c>
      <c r="Q1980">
        <v>0</v>
      </c>
      <c r="R1980">
        <v>0</v>
      </c>
      <c r="S1980">
        <v>0</v>
      </c>
      <c r="T1980">
        <v>0.16520000000000001</v>
      </c>
      <c r="U1980">
        <v>-0.29099999999999998</v>
      </c>
      <c r="V1980">
        <v>1.8E-3</v>
      </c>
      <c r="W1980">
        <v>-3.6149</v>
      </c>
      <c r="X1980">
        <v>3.9051999999999998</v>
      </c>
      <c r="Y1980">
        <v>-0.52259999999999995</v>
      </c>
      <c r="Z1980">
        <v>18</v>
      </c>
      <c r="AA1980">
        <v>34.299999999999997</v>
      </c>
      <c r="AB1980">
        <v>15</v>
      </c>
      <c r="AC1980">
        <v>34.700000000000003</v>
      </c>
      <c r="AD1980">
        <v>0</v>
      </c>
      <c r="AE1980">
        <v>0</v>
      </c>
      <c r="AF1980">
        <v>34.6447</v>
      </c>
      <c r="AG1980">
        <v>49</v>
      </c>
      <c r="AH1980">
        <v>0</v>
      </c>
    </row>
    <row r="1981" spans="1:34" x14ac:dyDescent="0.35">
      <c r="A1981" t="s">
        <v>34</v>
      </c>
      <c r="B1981" s="1">
        <v>46146.65625</v>
      </c>
      <c r="C1981" t="s">
        <v>34</v>
      </c>
      <c r="D1981" s="1">
        <v>46155.625</v>
      </c>
      <c r="E1981">
        <v>7110</v>
      </c>
      <c r="F1981" t="s">
        <v>36</v>
      </c>
      <c r="G1981">
        <v>29.11</v>
      </c>
      <c r="H1981">
        <v>42.98</v>
      </c>
      <c r="I1981">
        <v>26.72</v>
      </c>
      <c r="J1981">
        <v>34</v>
      </c>
      <c r="K1981">
        <v>16</v>
      </c>
      <c r="L1981">
        <v>12</v>
      </c>
      <c r="M1981">
        <v>35.4</v>
      </c>
      <c r="N1981">
        <v>19</v>
      </c>
      <c r="O1981">
        <v>35.799999999999997</v>
      </c>
      <c r="P1981">
        <v>0</v>
      </c>
      <c r="Q1981">
        <v>0</v>
      </c>
      <c r="R1981">
        <v>0</v>
      </c>
      <c r="S1981">
        <v>0</v>
      </c>
      <c r="T1981">
        <v>0.1641</v>
      </c>
      <c r="U1981">
        <v>-0.29909999999999998</v>
      </c>
      <c r="V1981">
        <v>1.9E-3</v>
      </c>
      <c r="W1981">
        <v>-3.6408</v>
      </c>
      <c r="X1981">
        <v>3.9535999999999998</v>
      </c>
      <c r="Y1981">
        <v>-0.53759999999999997</v>
      </c>
      <c r="Z1981">
        <v>12</v>
      </c>
      <c r="AA1981">
        <v>35.4</v>
      </c>
      <c r="AB1981">
        <v>9</v>
      </c>
      <c r="AC1981">
        <v>35.9</v>
      </c>
      <c r="AD1981">
        <v>0</v>
      </c>
      <c r="AE1981">
        <v>0</v>
      </c>
      <c r="AF1981">
        <v>30.59</v>
      </c>
      <c r="AG1981">
        <v>76</v>
      </c>
      <c r="AH1981">
        <v>0</v>
      </c>
    </row>
    <row r="1982" spans="1:34" x14ac:dyDescent="0.35">
      <c r="A1982" t="s">
        <v>34</v>
      </c>
      <c r="B1982" s="1">
        <v>46146.65625</v>
      </c>
      <c r="C1982" t="s">
        <v>34</v>
      </c>
      <c r="D1982" s="1">
        <v>46155.625</v>
      </c>
      <c r="E1982">
        <v>7115</v>
      </c>
      <c r="F1982" t="s">
        <v>36</v>
      </c>
      <c r="G1982">
        <v>29.48</v>
      </c>
      <c r="H1982">
        <v>48.84</v>
      </c>
      <c r="I1982">
        <v>27.44</v>
      </c>
      <c r="J1982">
        <v>36.700000000000003</v>
      </c>
      <c r="K1982">
        <v>21</v>
      </c>
      <c r="L1982">
        <v>12</v>
      </c>
      <c r="M1982">
        <v>36.6</v>
      </c>
      <c r="N1982">
        <v>12</v>
      </c>
      <c r="O1982">
        <v>36.9</v>
      </c>
      <c r="P1982">
        <v>0</v>
      </c>
      <c r="Q1982">
        <v>0</v>
      </c>
      <c r="R1982">
        <v>0</v>
      </c>
      <c r="S1982">
        <v>0</v>
      </c>
      <c r="T1982">
        <v>0.16320000000000001</v>
      </c>
      <c r="U1982">
        <v>-0.30769999999999997</v>
      </c>
      <c r="V1982">
        <v>1.9E-3</v>
      </c>
      <c r="W1982">
        <v>-3.6692999999999998</v>
      </c>
      <c r="X1982">
        <v>4.0015999999999998</v>
      </c>
      <c r="Y1982">
        <v>-0.55320000000000003</v>
      </c>
      <c r="Z1982">
        <v>12</v>
      </c>
      <c r="AA1982">
        <v>36.6</v>
      </c>
      <c r="AB1982">
        <v>16</v>
      </c>
      <c r="AC1982">
        <v>37.200000000000003</v>
      </c>
      <c r="AD1982">
        <v>0</v>
      </c>
      <c r="AE1982">
        <v>0</v>
      </c>
      <c r="AF1982">
        <v>41.381</v>
      </c>
      <c r="AG1982">
        <v>5</v>
      </c>
      <c r="AH1982">
        <v>0</v>
      </c>
    </row>
    <row r="1983" spans="1:34" x14ac:dyDescent="0.35">
      <c r="A1983" t="s">
        <v>34</v>
      </c>
      <c r="B1983" s="1">
        <v>46146.65625</v>
      </c>
      <c r="C1983" t="s">
        <v>34</v>
      </c>
      <c r="D1983" s="1">
        <v>46155.625</v>
      </c>
      <c r="E1983">
        <v>7120</v>
      </c>
      <c r="F1983" t="s">
        <v>36</v>
      </c>
      <c r="G1983">
        <v>28.85</v>
      </c>
      <c r="H1983">
        <v>49</v>
      </c>
      <c r="I1983">
        <v>26.6</v>
      </c>
      <c r="J1983">
        <v>37.14</v>
      </c>
      <c r="K1983">
        <v>51</v>
      </c>
      <c r="L1983">
        <v>25</v>
      </c>
      <c r="M1983">
        <v>37.700000000000003</v>
      </c>
      <c r="N1983">
        <v>11</v>
      </c>
      <c r="O1983">
        <v>38.1</v>
      </c>
      <c r="P1983">
        <v>0</v>
      </c>
      <c r="Q1983">
        <v>0</v>
      </c>
      <c r="R1983">
        <v>0</v>
      </c>
      <c r="S1983">
        <v>0</v>
      </c>
      <c r="T1983">
        <v>0.16189999999999999</v>
      </c>
      <c r="U1983">
        <v>-0.31609999999999999</v>
      </c>
      <c r="V1983">
        <v>1.9E-3</v>
      </c>
      <c r="W1983">
        <v>-3.6867000000000001</v>
      </c>
      <c r="X1983">
        <v>4.0460000000000003</v>
      </c>
      <c r="Y1983">
        <v>-0.56840000000000002</v>
      </c>
      <c r="Z1983">
        <v>16</v>
      </c>
      <c r="AA1983">
        <v>37.799999999999997</v>
      </c>
      <c r="AB1983">
        <v>13</v>
      </c>
      <c r="AC1983">
        <v>38.299999999999997</v>
      </c>
      <c r="AD1983">
        <v>0</v>
      </c>
      <c r="AE1983">
        <v>0</v>
      </c>
      <c r="AF1983">
        <v>38.626100000000001</v>
      </c>
      <c r="AG1983">
        <v>70</v>
      </c>
      <c r="AH1983">
        <v>0</v>
      </c>
    </row>
    <row r="1984" spans="1:34" x14ac:dyDescent="0.35">
      <c r="A1984" t="s">
        <v>34</v>
      </c>
      <c r="B1984" s="1">
        <v>46146.65625</v>
      </c>
      <c r="C1984" t="s">
        <v>34</v>
      </c>
      <c r="D1984" s="1">
        <v>46155.625</v>
      </c>
      <c r="E1984">
        <v>7125</v>
      </c>
      <c r="F1984" t="s">
        <v>36</v>
      </c>
      <c r="G1984">
        <v>32.32</v>
      </c>
      <c r="H1984">
        <v>50.61</v>
      </c>
      <c r="I1984">
        <v>25.55</v>
      </c>
      <c r="J1984">
        <v>39.42</v>
      </c>
      <c r="K1984">
        <v>621</v>
      </c>
      <c r="L1984">
        <v>32</v>
      </c>
      <c r="M1984">
        <v>38.9</v>
      </c>
      <c r="N1984">
        <v>17</v>
      </c>
      <c r="O1984">
        <v>39.4</v>
      </c>
      <c r="P1984">
        <v>0</v>
      </c>
      <c r="Q1984">
        <v>0</v>
      </c>
      <c r="R1984">
        <v>0</v>
      </c>
      <c r="S1984">
        <v>0</v>
      </c>
      <c r="T1984">
        <v>0.16109999999999999</v>
      </c>
      <c r="U1984">
        <v>-0.3251</v>
      </c>
      <c r="V1984">
        <v>2E-3</v>
      </c>
      <c r="W1984">
        <v>-3.7134999999999998</v>
      </c>
      <c r="X1984">
        <v>4.0911</v>
      </c>
      <c r="Y1984">
        <v>-0.58450000000000002</v>
      </c>
      <c r="Z1984">
        <v>5</v>
      </c>
      <c r="AA1984">
        <v>39.1</v>
      </c>
      <c r="AB1984">
        <v>12</v>
      </c>
      <c r="AC1984">
        <v>39.5</v>
      </c>
      <c r="AD1984">
        <v>0</v>
      </c>
      <c r="AE1984">
        <v>0</v>
      </c>
      <c r="AF1984">
        <v>38.3889</v>
      </c>
      <c r="AG1984">
        <v>156</v>
      </c>
      <c r="AH1984">
        <v>0</v>
      </c>
    </row>
    <row r="1985" spans="1:34" x14ac:dyDescent="0.35">
      <c r="A1985" t="s">
        <v>34</v>
      </c>
      <c r="B1985" s="1">
        <v>46146.65625</v>
      </c>
      <c r="C1985" t="s">
        <v>34</v>
      </c>
      <c r="D1985" s="1">
        <v>46155.625</v>
      </c>
      <c r="E1985">
        <v>7130</v>
      </c>
      <c r="F1985" t="s">
        <v>36</v>
      </c>
      <c r="G1985">
        <v>30.4</v>
      </c>
      <c r="H1985">
        <v>43.38</v>
      </c>
      <c r="I1985">
        <v>30.4</v>
      </c>
      <c r="J1985">
        <v>43.38</v>
      </c>
      <c r="K1985">
        <v>3</v>
      </c>
      <c r="L1985">
        <v>11</v>
      </c>
      <c r="M1985">
        <v>40.200000000000003</v>
      </c>
      <c r="N1985">
        <v>11</v>
      </c>
      <c r="O1985">
        <v>40.6</v>
      </c>
      <c r="P1985">
        <v>0</v>
      </c>
      <c r="Q1985">
        <v>0</v>
      </c>
      <c r="R1985">
        <v>0</v>
      </c>
      <c r="S1985">
        <v>0</v>
      </c>
      <c r="T1985">
        <v>0.15989999999999999</v>
      </c>
      <c r="U1985">
        <v>-0.33400000000000002</v>
      </c>
      <c r="V1985">
        <v>2E-3</v>
      </c>
      <c r="W1985">
        <v>-3.7288000000000001</v>
      </c>
      <c r="X1985">
        <v>4.1334999999999997</v>
      </c>
      <c r="Y1985">
        <v>-0.60040000000000004</v>
      </c>
      <c r="Z1985">
        <v>12</v>
      </c>
      <c r="AA1985">
        <v>40.299999999999997</v>
      </c>
      <c r="AB1985">
        <v>8</v>
      </c>
      <c r="AC1985">
        <v>40.799999999999997</v>
      </c>
      <c r="AD1985">
        <v>0</v>
      </c>
      <c r="AE1985">
        <v>0</v>
      </c>
      <c r="AF1985">
        <v>38.19</v>
      </c>
      <c r="AG1985">
        <v>77</v>
      </c>
      <c r="AH1985">
        <v>0</v>
      </c>
    </row>
    <row r="1986" spans="1:34" x14ac:dyDescent="0.35">
      <c r="A1986" t="s">
        <v>34</v>
      </c>
      <c r="B1986" s="1">
        <v>46146.65625</v>
      </c>
      <c r="C1986" t="s">
        <v>34</v>
      </c>
      <c r="D1986" s="1">
        <v>46155.625</v>
      </c>
      <c r="E1986">
        <v>7135</v>
      </c>
      <c r="F1986" t="s">
        <v>36</v>
      </c>
      <c r="G1986">
        <v>31.4</v>
      </c>
      <c r="H1986">
        <v>39.65</v>
      </c>
      <c r="I1986">
        <v>31.4</v>
      </c>
      <c r="J1986">
        <v>39.65</v>
      </c>
      <c r="K1986">
        <v>4</v>
      </c>
      <c r="L1986">
        <v>4</v>
      </c>
      <c r="M1986">
        <v>41.5</v>
      </c>
      <c r="N1986">
        <v>11</v>
      </c>
      <c r="O1986">
        <v>41.9</v>
      </c>
      <c r="P1986">
        <v>0</v>
      </c>
      <c r="Q1986">
        <v>0</v>
      </c>
      <c r="R1986">
        <v>0</v>
      </c>
      <c r="S1986">
        <v>0</v>
      </c>
      <c r="T1986">
        <v>0.1588</v>
      </c>
      <c r="U1986">
        <v>-0.34329999999999999</v>
      </c>
      <c r="V1986">
        <v>2E-3</v>
      </c>
      <c r="W1986">
        <v>-3.7461000000000002</v>
      </c>
      <c r="X1986">
        <v>4.1753999999999998</v>
      </c>
      <c r="Y1986">
        <v>-0.61719999999999997</v>
      </c>
      <c r="Z1986">
        <v>15</v>
      </c>
      <c r="AA1986">
        <v>41.6</v>
      </c>
      <c r="AB1986">
        <v>8</v>
      </c>
      <c r="AC1986">
        <v>42.2</v>
      </c>
      <c r="AD1986">
        <v>0</v>
      </c>
      <c r="AE1986">
        <v>0</v>
      </c>
      <c r="AF1986">
        <v>33.462499999999999</v>
      </c>
      <c r="AG1986">
        <v>32</v>
      </c>
      <c r="AH1986">
        <v>0</v>
      </c>
    </row>
    <row r="1987" spans="1:34" x14ac:dyDescent="0.35">
      <c r="A1987" t="s">
        <v>34</v>
      </c>
      <c r="B1987" s="1">
        <v>46146.65625</v>
      </c>
      <c r="C1987" t="s">
        <v>34</v>
      </c>
      <c r="D1987" s="1">
        <v>46155.625</v>
      </c>
      <c r="E1987">
        <v>7140</v>
      </c>
      <c r="F1987" t="s">
        <v>36</v>
      </c>
      <c r="G1987">
        <v>34.4</v>
      </c>
      <c r="H1987">
        <v>48.52</v>
      </c>
      <c r="I1987">
        <v>29.95</v>
      </c>
      <c r="J1987">
        <v>43.15</v>
      </c>
      <c r="K1987">
        <v>31</v>
      </c>
      <c r="L1987">
        <v>15</v>
      </c>
      <c r="M1987">
        <v>42.8</v>
      </c>
      <c r="N1987">
        <v>12</v>
      </c>
      <c r="O1987">
        <v>43.3</v>
      </c>
      <c r="P1987">
        <v>0</v>
      </c>
      <c r="Q1987">
        <v>0</v>
      </c>
      <c r="R1987">
        <v>0</v>
      </c>
      <c r="S1987">
        <v>0</v>
      </c>
      <c r="T1987">
        <v>0.15790000000000001</v>
      </c>
      <c r="U1987">
        <v>-0.3528</v>
      </c>
      <c r="V1987">
        <v>2.0999999999999999E-3</v>
      </c>
      <c r="W1987">
        <v>-3.7648999999999999</v>
      </c>
      <c r="X1987">
        <v>4.2164999999999999</v>
      </c>
      <c r="Y1987">
        <v>-0.63470000000000004</v>
      </c>
      <c r="Z1987">
        <v>11</v>
      </c>
      <c r="AA1987">
        <v>43</v>
      </c>
      <c r="AB1987">
        <v>8</v>
      </c>
      <c r="AC1987">
        <v>43.5</v>
      </c>
      <c r="AD1987">
        <v>0</v>
      </c>
      <c r="AE1987">
        <v>0</v>
      </c>
      <c r="AF1987">
        <v>42.238700000000001</v>
      </c>
      <c r="AG1987">
        <v>82</v>
      </c>
      <c r="AH1987">
        <v>0</v>
      </c>
    </row>
    <row r="1988" spans="1:34" x14ac:dyDescent="0.35">
      <c r="A1988" t="s">
        <v>34</v>
      </c>
      <c r="B1988" s="1">
        <v>46146.65625</v>
      </c>
      <c r="C1988" t="s">
        <v>34</v>
      </c>
      <c r="D1988" s="1">
        <v>46155.625</v>
      </c>
      <c r="E1988">
        <v>7145</v>
      </c>
      <c r="F1988" t="s">
        <v>36</v>
      </c>
      <c r="G1988">
        <v>34</v>
      </c>
      <c r="H1988">
        <v>50.6</v>
      </c>
      <c r="I1988">
        <v>28.82</v>
      </c>
      <c r="J1988">
        <v>44</v>
      </c>
      <c r="K1988">
        <v>16</v>
      </c>
      <c r="L1988">
        <v>15</v>
      </c>
      <c r="M1988">
        <v>44.2</v>
      </c>
      <c r="N1988">
        <v>16</v>
      </c>
      <c r="O1988">
        <v>44.7</v>
      </c>
      <c r="P1988">
        <v>0</v>
      </c>
      <c r="Q1988">
        <v>0</v>
      </c>
      <c r="R1988">
        <v>0</v>
      </c>
      <c r="S1988">
        <v>0</v>
      </c>
      <c r="T1988">
        <v>0.15679999999999999</v>
      </c>
      <c r="U1988">
        <v>-0.3624</v>
      </c>
      <c r="V1988">
        <v>2.0999999999999999E-3</v>
      </c>
      <c r="W1988">
        <v>-3.7751999999999999</v>
      </c>
      <c r="X1988">
        <v>4.2548000000000004</v>
      </c>
      <c r="Y1988">
        <v>-0.65239999999999998</v>
      </c>
      <c r="Z1988">
        <v>10</v>
      </c>
      <c r="AA1988">
        <v>44.5</v>
      </c>
      <c r="AB1988">
        <v>9</v>
      </c>
      <c r="AC1988">
        <v>45</v>
      </c>
      <c r="AD1988">
        <v>0</v>
      </c>
      <c r="AE1988">
        <v>0</v>
      </c>
      <c r="AF1988">
        <v>36.833799999999997</v>
      </c>
      <c r="AG1988">
        <v>24</v>
      </c>
      <c r="AH1988">
        <v>0</v>
      </c>
    </row>
    <row r="1989" spans="1:34" x14ac:dyDescent="0.35">
      <c r="A1989" t="s">
        <v>34</v>
      </c>
      <c r="B1989" s="1">
        <v>46146.65625</v>
      </c>
      <c r="C1989" t="s">
        <v>34</v>
      </c>
      <c r="D1989" s="1">
        <v>46155.625</v>
      </c>
      <c r="E1989">
        <v>7150</v>
      </c>
      <c r="F1989" t="s">
        <v>36</v>
      </c>
      <c r="G1989">
        <v>38.549999999999997</v>
      </c>
      <c r="H1989">
        <v>55.66</v>
      </c>
      <c r="I1989">
        <v>30.27</v>
      </c>
      <c r="J1989">
        <v>45.9</v>
      </c>
      <c r="K1989">
        <v>68</v>
      </c>
      <c r="L1989">
        <v>10</v>
      </c>
      <c r="M1989">
        <v>45.7</v>
      </c>
      <c r="N1989">
        <v>19</v>
      </c>
      <c r="O1989">
        <v>46.1</v>
      </c>
      <c r="P1989">
        <v>0</v>
      </c>
      <c r="Q1989">
        <v>0</v>
      </c>
      <c r="R1989">
        <v>0</v>
      </c>
      <c r="S1989">
        <v>0</v>
      </c>
      <c r="T1989">
        <v>0.15579999999999999</v>
      </c>
      <c r="U1989">
        <v>-0.37230000000000002</v>
      </c>
      <c r="V1989">
        <v>2.0999999999999999E-3</v>
      </c>
      <c r="W1989">
        <v>-3.7866</v>
      </c>
      <c r="X1989">
        <v>4.2911999999999999</v>
      </c>
      <c r="Y1989">
        <v>-0.67049999999999998</v>
      </c>
      <c r="Z1989">
        <v>15</v>
      </c>
      <c r="AA1989">
        <v>45.9</v>
      </c>
      <c r="AB1989">
        <v>12</v>
      </c>
      <c r="AC1989">
        <v>46.4</v>
      </c>
      <c r="AD1989">
        <v>0</v>
      </c>
      <c r="AE1989">
        <v>0</v>
      </c>
      <c r="AF1989">
        <v>41.218800000000002</v>
      </c>
      <c r="AG1989">
        <v>139</v>
      </c>
      <c r="AH1989">
        <v>0</v>
      </c>
    </row>
    <row r="1990" spans="1:34" x14ac:dyDescent="0.35">
      <c r="A1990" t="s">
        <v>34</v>
      </c>
      <c r="B1990" s="1">
        <v>46146.65625</v>
      </c>
      <c r="C1990" t="s">
        <v>34</v>
      </c>
      <c r="D1990" s="1">
        <v>46155.625</v>
      </c>
      <c r="E1990">
        <v>7155</v>
      </c>
      <c r="F1990" t="s">
        <v>36</v>
      </c>
      <c r="G1990">
        <v>39.31</v>
      </c>
      <c r="H1990">
        <v>40.200000000000003</v>
      </c>
      <c r="I1990">
        <v>39.31</v>
      </c>
      <c r="J1990">
        <v>40.200000000000003</v>
      </c>
      <c r="K1990">
        <v>21</v>
      </c>
      <c r="L1990">
        <v>4</v>
      </c>
      <c r="M1990">
        <v>47.1</v>
      </c>
      <c r="N1990">
        <v>12</v>
      </c>
      <c r="O1990">
        <v>47.6</v>
      </c>
      <c r="P1990">
        <v>0</v>
      </c>
      <c r="Q1990">
        <v>0</v>
      </c>
      <c r="R1990">
        <v>0</v>
      </c>
      <c r="S1990">
        <v>0</v>
      </c>
      <c r="T1990">
        <v>0.1547</v>
      </c>
      <c r="U1990">
        <v>-0.38229999999999997</v>
      </c>
      <c r="V1990">
        <v>2.2000000000000001E-3</v>
      </c>
      <c r="W1990">
        <v>-3.7925</v>
      </c>
      <c r="X1990">
        <v>4.3247999999999998</v>
      </c>
      <c r="Y1990">
        <v>-0.68859999999999999</v>
      </c>
      <c r="Z1990">
        <v>13</v>
      </c>
      <c r="AA1990">
        <v>47.4</v>
      </c>
      <c r="AB1990">
        <v>7</v>
      </c>
      <c r="AC1990">
        <v>47.9</v>
      </c>
      <c r="AD1990">
        <v>0</v>
      </c>
      <c r="AE1990">
        <v>0</v>
      </c>
      <c r="AF1990">
        <v>39.442900000000002</v>
      </c>
      <c r="AG1990">
        <v>22</v>
      </c>
      <c r="AH1990">
        <v>0</v>
      </c>
    </row>
    <row r="1991" spans="1:34" x14ac:dyDescent="0.35">
      <c r="A1991" t="s">
        <v>34</v>
      </c>
      <c r="B1991" s="1">
        <v>46146.65625</v>
      </c>
      <c r="C1991" t="s">
        <v>34</v>
      </c>
      <c r="D1991" s="1">
        <v>46155.625</v>
      </c>
      <c r="E1991">
        <v>7160</v>
      </c>
      <c r="F1991" t="s">
        <v>36</v>
      </c>
      <c r="G1991">
        <v>41.33</v>
      </c>
      <c r="H1991">
        <v>47.93</v>
      </c>
      <c r="I1991">
        <v>32.950000000000003</v>
      </c>
      <c r="J1991">
        <v>47.93</v>
      </c>
      <c r="K1991">
        <v>5</v>
      </c>
      <c r="L1991">
        <v>9</v>
      </c>
      <c r="M1991">
        <v>48.7</v>
      </c>
      <c r="N1991">
        <v>9</v>
      </c>
      <c r="O1991">
        <v>49.1</v>
      </c>
      <c r="P1991">
        <v>0</v>
      </c>
      <c r="Q1991">
        <v>0</v>
      </c>
      <c r="R1991">
        <v>0</v>
      </c>
      <c r="S1991">
        <v>0</v>
      </c>
      <c r="T1991">
        <v>0.1537</v>
      </c>
      <c r="U1991">
        <v>-0.39269999999999999</v>
      </c>
      <c r="V1991">
        <v>2.2000000000000001E-3</v>
      </c>
      <c r="W1991">
        <v>-3.7991999999999999</v>
      </c>
      <c r="X1991">
        <v>4.3563000000000001</v>
      </c>
      <c r="Y1991">
        <v>-0.70709999999999995</v>
      </c>
      <c r="Z1991">
        <v>11</v>
      </c>
      <c r="AA1991">
        <v>49</v>
      </c>
      <c r="AB1991">
        <v>7</v>
      </c>
      <c r="AC1991">
        <v>49.5</v>
      </c>
      <c r="AD1991">
        <v>0</v>
      </c>
      <c r="AE1991">
        <v>0</v>
      </c>
      <c r="AF1991">
        <v>41.99</v>
      </c>
      <c r="AG1991">
        <v>63</v>
      </c>
      <c r="AH1991">
        <v>0</v>
      </c>
    </row>
    <row r="1992" spans="1:34" x14ac:dyDescent="0.35">
      <c r="A1992" t="s">
        <v>34</v>
      </c>
      <c r="B1992" s="1">
        <v>46146.65625</v>
      </c>
      <c r="C1992" t="s">
        <v>34</v>
      </c>
      <c r="D1992" s="1">
        <v>46155.625</v>
      </c>
      <c r="E1992">
        <v>7165</v>
      </c>
      <c r="F1992" t="s">
        <v>36</v>
      </c>
      <c r="G1992">
        <v>42.9</v>
      </c>
      <c r="H1992">
        <v>52.3</v>
      </c>
      <c r="I1992">
        <v>42.9</v>
      </c>
      <c r="J1992">
        <v>50.96</v>
      </c>
      <c r="K1992">
        <v>7</v>
      </c>
      <c r="L1992">
        <v>14</v>
      </c>
      <c r="M1992">
        <v>50.2</v>
      </c>
      <c r="N1992">
        <v>5</v>
      </c>
      <c r="O1992">
        <v>50.7</v>
      </c>
      <c r="P1992">
        <v>0</v>
      </c>
      <c r="Q1992">
        <v>0</v>
      </c>
      <c r="R1992">
        <v>0</v>
      </c>
      <c r="S1992">
        <v>0</v>
      </c>
      <c r="T1992">
        <v>0.15260000000000001</v>
      </c>
      <c r="U1992">
        <v>-0.40310000000000001</v>
      </c>
      <c r="V1992">
        <v>2.2000000000000001E-3</v>
      </c>
      <c r="W1992">
        <v>-3.8001</v>
      </c>
      <c r="X1992">
        <v>4.3853999999999997</v>
      </c>
      <c r="Y1992">
        <v>-0.72589999999999999</v>
      </c>
      <c r="Z1992">
        <v>11</v>
      </c>
      <c r="AA1992">
        <v>50.6</v>
      </c>
      <c r="AB1992">
        <v>7</v>
      </c>
      <c r="AC1992">
        <v>51.1</v>
      </c>
      <c r="AD1992">
        <v>0</v>
      </c>
      <c r="AE1992">
        <v>0</v>
      </c>
      <c r="AF1992">
        <v>50</v>
      </c>
      <c r="AG1992">
        <v>18</v>
      </c>
      <c r="AH1992">
        <v>0</v>
      </c>
    </row>
    <row r="1993" spans="1:34" x14ac:dyDescent="0.35">
      <c r="A1993" t="s">
        <v>34</v>
      </c>
      <c r="B1993" s="1">
        <v>46146.65625</v>
      </c>
      <c r="C1993" t="s">
        <v>34</v>
      </c>
      <c r="D1993" s="1">
        <v>46155.625</v>
      </c>
      <c r="E1993">
        <v>7170</v>
      </c>
      <c r="F1993" t="s">
        <v>36</v>
      </c>
      <c r="G1993">
        <v>40</v>
      </c>
      <c r="H1993">
        <v>57.6</v>
      </c>
      <c r="I1993">
        <v>37.99</v>
      </c>
      <c r="J1993">
        <v>54.35</v>
      </c>
      <c r="K1993">
        <v>9</v>
      </c>
      <c r="L1993">
        <v>13</v>
      </c>
      <c r="M1993">
        <v>51.8</v>
      </c>
      <c r="N1993">
        <v>10</v>
      </c>
      <c r="O1993">
        <v>52.4</v>
      </c>
      <c r="P1993">
        <v>0</v>
      </c>
      <c r="Q1993">
        <v>0</v>
      </c>
      <c r="R1993">
        <v>0</v>
      </c>
      <c r="S1993">
        <v>0</v>
      </c>
      <c r="T1993">
        <v>0.1515</v>
      </c>
      <c r="U1993">
        <v>-0.4138</v>
      </c>
      <c r="V1993">
        <v>2.3E-3</v>
      </c>
      <c r="W1993">
        <v>-3.7982</v>
      </c>
      <c r="X1993">
        <v>4.4122000000000003</v>
      </c>
      <c r="Y1993">
        <v>-0.74539999999999995</v>
      </c>
      <c r="Z1993">
        <v>10</v>
      </c>
      <c r="AA1993">
        <v>52.3</v>
      </c>
      <c r="AB1993">
        <v>8</v>
      </c>
      <c r="AC1993">
        <v>52.8</v>
      </c>
      <c r="AD1993">
        <v>0</v>
      </c>
      <c r="AE1993">
        <v>0</v>
      </c>
      <c r="AF1993">
        <v>47.324399999999997</v>
      </c>
      <c r="AG1993">
        <v>14</v>
      </c>
      <c r="AH1993">
        <v>0</v>
      </c>
    </row>
    <row r="1994" spans="1:34" x14ac:dyDescent="0.35">
      <c r="A1994" t="s">
        <v>34</v>
      </c>
      <c r="B1994" s="1">
        <v>46146.65625</v>
      </c>
      <c r="C1994" t="s">
        <v>34</v>
      </c>
      <c r="D1994" s="1">
        <v>46155.625</v>
      </c>
      <c r="E1994">
        <v>7175</v>
      </c>
      <c r="F1994" t="s">
        <v>36</v>
      </c>
      <c r="G1994">
        <v>44.68</v>
      </c>
      <c r="H1994">
        <v>56.1</v>
      </c>
      <c r="I1994">
        <v>41.06</v>
      </c>
      <c r="J1994">
        <v>56.1</v>
      </c>
      <c r="K1994">
        <v>5</v>
      </c>
      <c r="L1994">
        <v>4</v>
      </c>
      <c r="M1994">
        <v>53.5</v>
      </c>
      <c r="N1994">
        <v>13</v>
      </c>
      <c r="O1994">
        <v>54</v>
      </c>
      <c r="P1994">
        <v>0</v>
      </c>
      <c r="Q1994">
        <v>0</v>
      </c>
      <c r="R1994">
        <v>0</v>
      </c>
      <c r="S1994">
        <v>0</v>
      </c>
      <c r="T1994">
        <v>0.15040000000000001</v>
      </c>
      <c r="U1994">
        <v>-0.42470000000000002</v>
      </c>
      <c r="V1994">
        <v>2.3E-3</v>
      </c>
      <c r="W1994">
        <v>-3.7932000000000001</v>
      </c>
      <c r="X1994">
        <v>4.4364999999999997</v>
      </c>
      <c r="Y1994">
        <v>-0.76539999999999997</v>
      </c>
      <c r="Z1994">
        <v>10</v>
      </c>
      <c r="AA1994">
        <v>54</v>
      </c>
      <c r="AB1994">
        <v>8</v>
      </c>
      <c r="AC1994">
        <v>54.6</v>
      </c>
      <c r="AD1994">
        <v>0</v>
      </c>
      <c r="AE1994">
        <v>0</v>
      </c>
      <c r="AF1994">
        <v>47.55</v>
      </c>
      <c r="AG1994">
        <v>169</v>
      </c>
      <c r="AH1994">
        <v>0</v>
      </c>
    </row>
    <row r="1995" spans="1:34" x14ac:dyDescent="0.35">
      <c r="A1995" t="s">
        <v>34</v>
      </c>
      <c r="B1995" s="1">
        <v>46146.65625</v>
      </c>
      <c r="C1995" t="s">
        <v>34</v>
      </c>
      <c r="D1995" s="1">
        <v>46155.625</v>
      </c>
      <c r="E1995">
        <v>7180</v>
      </c>
      <c r="F1995" t="s">
        <v>36</v>
      </c>
      <c r="G1995">
        <v>46.52</v>
      </c>
      <c r="H1995">
        <v>62.85</v>
      </c>
      <c r="I1995">
        <v>46.52</v>
      </c>
      <c r="J1995">
        <v>53.1</v>
      </c>
      <c r="K1995">
        <v>38</v>
      </c>
      <c r="L1995">
        <v>22</v>
      </c>
      <c r="M1995">
        <v>55.2</v>
      </c>
      <c r="N1995">
        <v>1</v>
      </c>
      <c r="O1995">
        <v>55.7</v>
      </c>
      <c r="P1995">
        <v>0</v>
      </c>
      <c r="Q1995">
        <v>0</v>
      </c>
      <c r="R1995">
        <v>0</v>
      </c>
      <c r="S1995">
        <v>0</v>
      </c>
      <c r="T1995">
        <v>0.14940000000000001</v>
      </c>
      <c r="U1995">
        <v>-0.43590000000000001</v>
      </c>
      <c r="V1995">
        <v>2.3E-3</v>
      </c>
      <c r="W1995">
        <v>-3.7877999999999998</v>
      </c>
      <c r="X1995">
        <v>4.4577999999999998</v>
      </c>
      <c r="Y1995">
        <v>-0.78600000000000003</v>
      </c>
      <c r="Z1995">
        <v>15</v>
      </c>
      <c r="AA1995">
        <v>55.7</v>
      </c>
      <c r="AB1995">
        <v>11</v>
      </c>
      <c r="AC1995">
        <v>56.2</v>
      </c>
      <c r="AD1995">
        <v>0</v>
      </c>
      <c r="AE1995">
        <v>0</v>
      </c>
      <c r="AF1995">
        <v>52.718200000000003</v>
      </c>
      <c r="AG1995">
        <v>43</v>
      </c>
      <c r="AH1995">
        <v>0</v>
      </c>
    </row>
    <row r="1996" spans="1:34" x14ac:dyDescent="0.35">
      <c r="A1996" t="s">
        <v>34</v>
      </c>
      <c r="B1996" s="1">
        <v>46146.65625</v>
      </c>
      <c r="C1996" t="s">
        <v>34</v>
      </c>
      <c r="D1996" s="1">
        <v>46155.625</v>
      </c>
      <c r="E1996">
        <v>7185</v>
      </c>
      <c r="F1996" t="s">
        <v>36</v>
      </c>
      <c r="G1996">
        <v>47.78</v>
      </c>
      <c r="H1996">
        <v>72.28</v>
      </c>
      <c r="I1996">
        <v>40.090000000000003</v>
      </c>
      <c r="J1996">
        <v>60</v>
      </c>
      <c r="K1996">
        <v>6</v>
      </c>
      <c r="L1996">
        <v>8</v>
      </c>
      <c r="M1996">
        <v>57</v>
      </c>
      <c r="N1996">
        <v>4</v>
      </c>
      <c r="O1996">
        <v>57.5</v>
      </c>
      <c r="P1996">
        <v>0</v>
      </c>
      <c r="Q1996">
        <v>0</v>
      </c>
      <c r="R1996">
        <v>0</v>
      </c>
      <c r="S1996">
        <v>0</v>
      </c>
      <c r="T1996">
        <v>0.1482</v>
      </c>
      <c r="U1996">
        <v>-0.44719999999999999</v>
      </c>
      <c r="V1996">
        <v>2.3999999999999998E-3</v>
      </c>
      <c r="W1996">
        <v>-3.7759999999999998</v>
      </c>
      <c r="X1996">
        <v>4.4756999999999998</v>
      </c>
      <c r="Y1996">
        <v>-0.80649999999999999</v>
      </c>
      <c r="Z1996">
        <v>11</v>
      </c>
      <c r="AA1996">
        <v>57.5</v>
      </c>
      <c r="AB1996">
        <v>1</v>
      </c>
      <c r="AC1996">
        <v>58.1</v>
      </c>
      <c r="AD1996">
        <v>0</v>
      </c>
      <c r="AE1996">
        <v>0</v>
      </c>
      <c r="AF1996">
        <v>57.091700000000003</v>
      </c>
      <c r="AG1996">
        <v>14</v>
      </c>
      <c r="AH1996">
        <v>0</v>
      </c>
    </row>
    <row r="1997" spans="1:34" x14ac:dyDescent="0.35">
      <c r="A1997" t="s">
        <v>34</v>
      </c>
      <c r="B1997" s="1">
        <v>46146.65625</v>
      </c>
      <c r="C1997" t="s">
        <v>34</v>
      </c>
      <c r="D1997" s="1">
        <v>46155.625</v>
      </c>
      <c r="E1997">
        <v>7190</v>
      </c>
      <c r="F1997" t="s">
        <v>36</v>
      </c>
      <c r="G1997">
        <v>49.7</v>
      </c>
      <c r="H1997">
        <v>73.22</v>
      </c>
      <c r="I1997">
        <v>46.09</v>
      </c>
      <c r="J1997">
        <v>59.4</v>
      </c>
      <c r="K1997">
        <v>39</v>
      </c>
      <c r="L1997">
        <v>22</v>
      </c>
      <c r="M1997">
        <v>58.8</v>
      </c>
      <c r="N1997">
        <v>1</v>
      </c>
      <c r="O1997">
        <v>59.3</v>
      </c>
      <c r="P1997">
        <v>0</v>
      </c>
      <c r="Q1997">
        <v>0</v>
      </c>
      <c r="R1997">
        <v>0</v>
      </c>
      <c r="S1997">
        <v>0</v>
      </c>
      <c r="T1997">
        <v>0.1472</v>
      </c>
      <c r="U1997">
        <v>-0.4587</v>
      </c>
      <c r="V1997">
        <v>2.3999999999999998E-3</v>
      </c>
      <c r="W1997">
        <v>-3.7633999999999999</v>
      </c>
      <c r="X1997">
        <v>4.4903000000000004</v>
      </c>
      <c r="Y1997">
        <v>-0.82730000000000004</v>
      </c>
      <c r="Z1997">
        <v>15</v>
      </c>
      <c r="AA1997">
        <v>59.4</v>
      </c>
      <c r="AB1997">
        <v>11</v>
      </c>
      <c r="AC1997">
        <v>59.9</v>
      </c>
      <c r="AD1997">
        <v>0</v>
      </c>
      <c r="AE1997">
        <v>0</v>
      </c>
      <c r="AF1997">
        <v>57.570300000000003</v>
      </c>
      <c r="AG1997">
        <v>55</v>
      </c>
      <c r="AH1997">
        <v>0</v>
      </c>
    </row>
    <row r="1998" spans="1:34" x14ac:dyDescent="0.35">
      <c r="A1998" t="s">
        <v>34</v>
      </c>
      <c r="B1998" s="1">
        <v>46146.65625</v>
      </c>
      <c r="C1998" t="s">
        <v>34</v>
      </c>
      <c r="D1998" s="1">
        <v>46155.625</v>
      </c>
      <c r="E1998">
        <v>7195</v>
      </c>
      <c r="F1998" t="s">
        <v>36</v>
      </c>
      <c r="G1998">
        <v>60.77</v>
      </c>
      <c r="H1998">
        <v>65.28</v>
      </c>
      <c r="I1998">
        <v>58.5</v>
      </c>
      <c r="J1998">
        <v>60.84</v>
      </c>
      <c r="K1998">
        <v>26</v>
      </c>
      <c r="L1998">
        <v>12</v>
      </c>
      <c r="M1998">
        <v>60.6</v>
      </c>
      <c r="N1998">
        <v>12</v>
      </c>
      <c r="O1998">
        <v>61.2</v>
      </c>
      <c r="P1998">
        <v>0</v>
      </c>
      <c r="Q1998">
        <v>0</v>
      </c>
      <c r="R1998">
        <v>0</v>
      </c>
      <c r="S1998">
        <v>0</v>
      </c>
      <c r="T1998">
        <v>0.1462</v>
      </c>
      <c r="U1998">
        <v>-0.47039999999999998</v>
      </c>
      <c r="V1998">
        <v>2.3999999999999998E-3</v>
      </c>
      <c r="W1998">
        <v>-3.7471999999999999</v>
      </c>
      <c r="X1998">
        <v>4.5014000000000003</v>
      </c>
      <c r="Y1998">
        <v>-0.84840000000000004</v>
      </c>
      <c r="Z1998">
        <v>11</v>
      </c>
      <c r="AA1998">
        <v>61.3</v>
      </c>
      <c r="AB1998">
        <v>1</v>
      </c>
      <c r="AC1998">
        <v>61.9</v>
      </c>
      <c r="AD1998">
        <v>0</v>
      </c>
      <c r="AE1998">
        <v>0</v>
      </c>
      <c r="AF1998">
        <v>62.570799999999998</v>
      </c>
      <c r="AG1998">
        <v>3</v>
      </c>
      <c r="AH1998">
        <v>0</v>
      </c>
    </row>
    <row r="1999" spans="1:34" x14ac:dyDescent="0.35">
      <c r="A1999" t="s">
        <v>34</v>
      </c>
      <c r="B1999" s="1">
        <v>46146.65625</v>
      </c>
      <c r="C1999" t="s">
        <v>34</v>
      </c>
      <c r="D1999" s="1">
        <v>46155.625</v>
      </c>
      <c r="E1999">
        <v>7200</v>
      </c>
      <c r="F1999" t="s">
        <v>36</v>
      </c>
      <c r="G1999">
        <v>54</v>
      </c>
      <c r="H1999">
        <v>70.900000000000006</v>
      </c>
      <c r="I1999">
        <v>43.74</v>
      </c>
      <c r="J1999">
        <v>64.53</v>
      </c>
      <c r="K1999">
        <v>83</v>
      </c>
      <c r="L1999">
        <v>4</v>
      </c>
      <c r="M1999">
        <v>62.7</v>
      </c>
      <c r="N1999">
        <v>13</v>
      </c>
      <c r="O1999">
        <v>63.2</v>
      </c>
      <c r="P1999">
        <v>0</v>
      </c>
      <c r="Q1999">
        <v>0</v>
      </c>
      <c r="R1999">
        <v>0</v>
      </c>
      <c r="S1999">
        <v>0</v>
      </c>
      <c r="T1999">
        <v>0.14510000000000001</v>
      </c>
      <c r="U1999">
        <v>-0.48230000000000001</v>
      </c>
      <c r="V1999">
        <v>2.3999999999999998E-3</v>
      </c>
      <c r="W1999">
        <v>-3.7269999999999999</v>
      </c>
      <c r="X1999">
        <v>4.5090000000000003</v>
      </c>
      <c r="Y1999">
        <v>-0.87</v>
      </c>
      <c r="Z1999">
        <v>15</v>
      </c>
      <c r="AA1999">
        <v>63.3</v>
      </c>
      <c r="AB1999">
        <v>11</v>
      </c>
      <c r="AC1999">
        <v>63.8</v>
      </c>
      <c r="AD1999">
        <v>0</v>
      </c>
      <c r="AE1999">
        <v>0</v>
      </c>
      <c r="AF1999">
        <v>59.2164</v>
      </c>
      <c r="AG1999">
        <v>35</v>
      </c>
      <c r="AH1999">
        <v>0</v>
      </c>
    </row>
    <row r="2000" spans="1:34" x14ac:dyDescent="0.35">
      <c r="A2000" t="s">
        <v>34</v>
      </c>
      <c r="B2000" s="1">
        <v>46146.65625</v>
      </c>
      <c r="C2000" t="s">
        <v>34</v>
      </c>
      <c r="D2000" s="1">
        <v>46155.625</v>
      </c>
      <c r="E2000">
        <v>7205</v>
      </c>
      <c r="F2000" t="s">
        <v>36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4</v>
      </c>
      <c r="M2000">
        <v>64.7</v>
      </c>
      <c r="N2000">
        <v>12</v>
      </c>
      <c r="O2000">
        <v>65.2</v>
      </c>
      <c r="P2000">
        <v>0</v>
      </c>
      <c r="Q2000">
        <v>0</v>
      </c>
      <c r="R2000">
        <v>0</v>
      </c>
      <c r="S2000">
        <v>0</v>
      </c>
      <c r="T2000">
        <v>0.14399999999999999</v>
      </c>
      <c r="U2000">
        <v>-0.49440000000000001</v>
      </c>
      <c r="V2000">
        <v>2.3999999999999998E-3</v>
      </c>
      <c r="W2000">
        <v>-3.7025000000000001</v>
      </c>
      <c r="X2000">
        <v>4.5129000000000001</v>
      </c>
      <c r="Y2000">
        <v>-0.89229999999999998</v>
      </c>
      <c r="Z2000">
        <v>10</v>
      </c>
      <c r="AA2000">
        <v>65.3</v>
      </c>
      <c r="AB2000">
        <v>8</v>
      </c>
      <c r="AC2000">
        <v>66</v>
      </c>
      <c r="AD2000">
        <v>0</v>
      </c>
      <c r="AE2000">
        <v>0</v>
      </c>
      <c r="AF2000">
        <v>0</v>
      </c>
      <c r="AG2000">
        <v>24</v>
      </c>
      <c r="AH2000">
        <v>0</v>
      </c>
    </row>
    <row r="2001" spans="1:34" x14ac:dyDescent="0.35">
      <c r="A2001" t="s">
        <v>34</v>
      </c>
      <c r="B2001" s="1">
        <v>46146.65625</v>
      </c>
      <c r="C2001" t="s">
        <v>34</v>
      </c>
      <c r="D2001" s="1">
        <v>46155.625</v>
      </c>
      <c r="E2001">
        <v>7210</v>
      </c>
      <c r="F2001" t="s">
        <v>36</v>
      </c>
      <c r="G2001">
        <v>57.6</v>
      </c>
      <c r="H2001">
        <v>82.58</v>
      </c>
      <c r="I2001">
        <v>56.35</v>
      </c>
      <c r="J2001">
        <v>67.989999999999995</v>
      </c>
      <c r="K2001">
        <v>19</v>
      </c>
      <c r="L2001">
        <v>17</v>
      </c>
      <c r="M2001">
        <v>66.599999999999994</v>
      </c>
      <c r="N2001">
        <v>9</v>
      </c>
      <c r="O2001">
        <v>67.2</v>
      </c>
      <c r="P2001">
        <v>0</v>
      </c>
      <c r="Q2001">
        <v>0</v>
      </c>
      <c r="R2001">
        <v>0</v>
      </c>
      <c r="S2001">
        <v>0</v>
      </c>
      <c r="T2001">
        <v>0.1429</v>
      </c>
      <c r="U2001">
        <v>-0.50649999999999995</v>
      </c>
      <c r="V2001">
        <v>2.5000000000000001E-3</v>
      </c>
      <c r="W2001">
        <v>-3.6732999999999998</v>
      </c>
      <c r="X2001">
        <v>4.5129000000000001</v>
      </c>
      <c r="Y2001">
        <v>-0.91459999999999997</v>
      </c>
      <c r="Z2001">
        <v>15</v>
      </c>
      <c r="AA2001">
        <v>67.400000000000006</v>
      </c>
      <c r="AB2001">
        <v>11</v>
      </c>
      <c r="AC2001">
        <v>68</v>
      </c>
      <c r="AD2001">
        <v>0</v>
      </c>
      <c r="AE2001">
        <v>0</v>
      </c>
      <c r="AF2001">
        <v>67.446299999999994</v>
      </c>
      <c r="AG2001">
        <v>26</v>
      </c>
      <c r="AH2001">
        <v>0</v>
      </c>
    </row>
    <row r="2002" spans="1:34" x14ac:dyDescent="0.35">
      <c r="A2002" t="s">
        <v>34</v>
      </c>
      <c r="B2002" s="1">
        <v>46146.65625</v>
      </c>
      <c r="C2002" t="s">
        <v>34</v>
      </c>
      <c r="D2002" s="1">
        <v>46155.625</v>
      </c>
      <c r="E2002">
        <v>7215</v>
      </c>
      <c r="F2002" t="s">
        <v>36</v>
      </c>
      <c r="G2002">
        <v>48.81</v>
      </c>
      <c r="H2002">
        <v>73.209999999999994</v>
      </c>
      <c r="I2002">
        <v>48.81</v>
      </c>
      <c r="J2002">
        <v>72.900000000000006</v>
      </c>
      <c r="K2002">
        <v>12</v>
      </c>
      <c r="L2002">
        <v>8</v>
      </c>
      <c r="M2002">
        <v>68.8</v>
      </c>
      <c r="N2002">
        <v>9</v>
      </c>
      <c r="O2002">
        <v>69.400000000000006</v>
      </c>
      <c r="P2002">
        <v>0</v>
      </c>
      <c r="Q2002">
        <v>0</v>
      </c>
      <c r="R2002">
        <v>0</v>
      </c>
      <c r="S2002">
        <v>0</v>
      </c>
      <c r="T2002">
        <v>0.14180000000000001</v>
      </c>
      <c r="U2002">
        <v>-0.51910000000000001</v>
      </c>
      <c r="V2002">
        <v>2.5000000000000001E-3</v>
      </c>
      <c r="W2002">
        <v>-3.6404000000000001</v>
      </c>
      <c r="X2002">
        <v>4.5086000000000004</v>
      </c>
      <c r="Y2002">
        <v>-0.93759999999999999</v>
      </c>
      <c r="Z2002">
        <v>11</v>
      </c>
      <c r="AA2002">
        <v>69.599999999999994</v>
      </c>
      <c r="AB2002">
        <v>7</v>
      </c>
      <c r="AC2002">
        <v>70.099999999999994</v>
      </c>
      <c r="AD2002">
        <v>0</v>
      </c>
      <c r="AE2002">
        <v>0</v>
      </c>
      <c r="AF2002">
        <v>68.991699999999994</v>
      </c>
      <c r="AG2002">
        <v>5</v>
      </c>
      <c r="AH2002">
        <v>0</v>
      </c>
    </row>
    <row r="2003" spans="1:34" x14ac:dyDescent="0.35">
      <c r="A2003" t="s">
        <v>34</v>
      </c>
      <c r="B2003" s="1">
        <v>46146.65625</v>
      </c>
      <c r="C2003" t="s">
        <v>34</v>
      </c>
      <c r="D2003" s="1">
        <v>46155.625</v>
      </c>
      <c r="E2003">
        <v>7220</v>
      </c>
      <c r="F2003" t="s">
        <v>36</v>
      </c>
      <c r="G2003">
        <v>61.14</v>
      </c>
      <c r="H2003">
        <v>80.599999999999994</v>
      </c>
      <c r="I2003">
        <v>53.5</v>
      </c>
      <c r="J2003">
        <v>71.069999999999993</v>
      </c>
      <c r="K2003">
        <v>62</v>
      </c>
      <c r="L2003">
        <v>8</v>
      </c>
      <c r="M2003">
        <v>71</v>
      </c>
      <c r="N2003">
        <v>9</v>
      </c>
      <c r="O2003">
        <v>71.599999999999994</v>
      </c>
      <c r="P2003">
        <v>0</v>
      </c>
      <c r="Q2003">
        <v>0</v>
      </c>
      <c r="R2003">
        <v>0</v>
      </c>
      <c r="S2003">
        <v>0</v>
      </c>
      <c r="T2003">
        <v>0.14080000000000001</v>
      </c>
      <c r="U2003">
        <v>-0.53169999999999995</v>
      </c>
      <c r="V2003">
        <v>2.5000000000000001E-3</v>
      </c>
      <c r="W2003">
        <v>-3.6053999999999999</v>
      </c>
      <c r="X2003">
        <v>4.5002000000000004</v>
      </c>
      <c r="Y2003">
        <v>-0.96030000000000004</v>
      </c>
      <c r="Z2003">
        <v>11</v>
      </c>
      <c r="AA2003">
        <v>71.8</v>
      </c>
      <c r="AB2003">
        <v>7</v>
      </c>
      <c r="AC2003">
        <v>72.400000000000006</v>
      </c>
      <c r="AD2003">
        <v>0</v>
      </c>
      <c r="AE2003">
        <v>0</v>
      </c>
      <c r="AF2003">
        <v>64.982299999999995</v>
      </c>
      <c r="AG2003">
        <v>55</v>
      </c>
      <c r="AH2003">
        <v>0</v>
      </c>
    </row>
    <row r="2004" spans="1:34" x14ac:dyDescent="0.35">
      <c r="A2004" t="s">
        <v>34</v>
      </c>
      <c r="B2004" s="1">
        <v>46146.65625</v>
      </c>
      <c r="C2004" t="s">
        <v>34</v>
      </c>
      <c r="D2004" s="1">
        <v>46155.625</v>
      </c>
      <c r="E2004">
        <v>7225</v>
      </c>
      <c r="F2004" t="s">
        <v>36</v>
      </c>
      <c r="G2004">
        <v>63.65</v>
      </c>
      <c r="H2004">
        <v>80.3</v>
      </c>
      <c r="I2004">
        <v>57.62</v>
      </c>
      <c r="J2004">
        <v>73.680000000000007</v>
      </c>
      <c r="K2004">
        <v>23</v>
      </c>
      <c r="L2004">
        <v>17</v>
      </c>
      <c r="M2004">
        <v>73.2</v>
      </c>
      <c r="N2004">
        <v>9</v>
      </c>
      <c r="O2004">
        <v>73.8</v>
      </c>
      <c r="P2004">
        <v>0</v>
      </c>
      <c r="Q2004">
        <v>0</v>
      </c>
      <c r="R2004">
        <v>0</v>
      </c>
      <c r="S2004">
        <v>0</v>
      </c>
      <c r="T2004">
        <v>0.13969999999999999</v>
      </c>
      <c r="U2004">
        <v>-0.5444</v>
      </c>
      <c r="V2004">
        <v>2.5000000000000001E-3</v>
      </c>
      <c r="W2004">
        <v>-3.5657000000000001</v>
      </c>
      <c r="X2004">
        <v>4.4874000000000001</v>
      </c>
      <c r="Y2004">
        <v>-0.98329999999999995</v>
      </c>
      <c r="Z2004">
        <v>10</v>
      </c>
      <c r="AA2004">
        <v>74.099999999999994</v>
      </c>
      <c r="AB2004">
        <v>7</v>
      </c>
      <c r="AC2004">
        <v>74.8</v>
      </c>
      <c r="AD2004">
        <v>0</v>
      </c>
      <c r="AE2004">
        <v>0</v>
      </c>
      <c r="AF2004">
        <v>64.966499999999996</v>
      </c>
      <c r="AG2004">
        <v>13</v>
      </c>
      <c r="AH2004">
        <v>0</v>
      </c>
    </row>
    <row r="2005" spans="1:34" x14ac:dyDescent="0.35">
      <c r="A2005" t="s">
        <v>34</v>
      </c>
      <c r="B2005" s="1">
        <v>46146.65625</v>
      </c>
      <c r="C2005" t="s">
        <v>34</v>
      </c>
      <c r="D2005" s="1">
        <v>46155.625</v>
      </c>
      <c r="E2005">
        <v>7230</v>
      </c>
      <c r="F2005" t="s">
        <v>36</v>
      </c>
      <c r="G2005">
        <v>61.98</v>
      </c>
      <c r="H2005">
        <v>72.790000000000006</v>
      </c>
      <c r="I2005">
        <v>59.62</v>
      </c>
      <c r="J2005">
        <v>71</v>
      </c>
      <c r="K2005">
        <v>42</v>
      </c>
      <c r="L2005">
        <v>7</v>
      </c>
      <c r="M2005">
        <v>75.599999999999994</v>
      </c>
      <c r="N2005">
        <v>1</v>
      </c>
      <c r="O2005">
        <v>76.099999999999994</v>
      </c>
      <c r="P2005">
        <v>0</v>
      </c>
      <c r="Q2005">
        <v>0</v>
      </c>
      <c r="R2005">
        <v>0</v>
      </c>
      <c r="S2005">
        <v>0</v>
      </c>
      <c r="T2005">
        <v>0.13850000000000001</v>
      </c>
      <c r="U2005">
        <v>-0.55740000000000001</v>
      </c>
      <c r="V2005">
        <v>2.5000000000000001E-3</v>
      </c>
      <c r="W2005">
        <v>-3.5184000000000002</v>
      </c>
      <c r="X2005">
        <v>4.4698000000000002</v>
      </c>
      <c r="Y2005">
        <v>-1.0069999999999999</v>
      </c>
      <c r="Z2005">
        <v>8</v>
      </c>
      <c r="AA2005">
        <v>76.5</v>
      </c>
      <c r="AB2005">
        <v>6</v>
      </c>
      <c r="AC2005">
        <v>77</v>
      </c>
      <c r="AD2005">
        <v>0</v>
      </c>
      <c r="AE2005">
        <v>0</v>
      </c>
      <c r="AF2005">
        <v>61.892600000000002</v>
      </c>
      <c r="AG2005">
        <v>21</v>
      </c>
      <c r="AH2005">
        <v>0</v>
      </c>
    </row>
    <row r="2006" spans="1:34" x14ac:dyDescent="0.35">
      <c r="A2006" t="s">
        <v>34</v>
      </c>
      <c r="B2006" s="1">
        <v>46146.65625</v>
      </c>
      <c r="C2006" t="s">
        <v>34</v>
      </c>
      <c r="D2006" s="1">
        <v>46155.625</v>
      </c>
      <c r="E2006">
        <v>7235</v>
      </c>
      <c r="F2006" t="s">
        <v>36</v>
      </c>
      <c r="G2006">
        <v>63.66</v>
      </c>
      <c r="H2006">
        <v>84</v>
      </c>
      <c r="I2006">
        <v>60.1</v>
      </c>
      <c r="J2006">
        <v>84</v>
      </c>
      <c r="K2006">
        <v>8</v>
      </c>
      <c r="L2006">
        <v>7</v>
      </c>
      <c r="M2006">
        <v>78</v>
      </c>
      <c r="N2006">
        <v>1</v>
      </c>
      <c r="O2006">
        <v>78.5</v>
      </c>
      <c r="P2006">
        <v>0</v>
      </c>
      <c r="Q2006">
        <v>0</v>
      </c>
      <c r="R2006">
        <v>0</v>
      </c>
      <c r="S2006">
        <v>0</v>
      </c>
      <c r="T2006">
        <v>0.1376</v>
      </c>
      <c r="U2006">
        <v>-0.57040000000000002</v>
      </c>
      <c r="V2006">
        <v>2.5000000000000001E-3</v>
      </c>
      <c r="W2006">
        <v>-3.4746999999999999</v>
      </c>
      <c r="X2006">
        <v>4.4473000000000003</v>
      </c>
      <c r="Y2006">
        <v>-1.0309999999999999</v>
      </c>
      <c r="Z2006">
        <v>9</v>
      </c>
      <c r="AA2006">
        <v>78.900000000000006</v>
      </c>
      <c r="AB2006">
        <v>6</v>
      </c>
      <c r="AC2006">
        <v>79.400000000000006</v>
      </c>
      <c r="AD2006">
        <v>0</v>
      </c>
      <c r="AE2006">
        <v>0</v>
      </c>
      <c r="AF2006">
        <v>64.907499999999999</v>
      </c>
      <c r="AG2006">
        <v>18</v>
      </c>
      <c r="AH2006">
        <v>0</v>
      </c>
    </row>
    <row r="2007" spans="1:34" x14ac:dyDescent="0.35">
      <c r="A2007" t="s">
        <v>34</v>
      </c>
      <c r="B2007" s="1">
        <v>46146.65625</v>
      </c>
      <c r="C2007" t="s">
        <v>34</v>
      </c>
      <c r="D2007" s="1">
        <v>46155.625</v>
      </c>
      <c r="E2007">
        <v>7240</v>
      </c>
      <c r="F2007" t="s">
        <v>36</v>
      </c>
      <c r="G2007">
        <v>70</v>
      </c>
      <c r="H2007">
        <v>70</v>
      </c>
      <c r="I2007">
        <v>58.01</v>
      </c>
      <c r="J2007">
        <v>58.24</v>
      </c>
      <c r="K2007">
        <v>15</v>
      </c>
      <c r="L2007">
        <v>7</v>
      </c>
      <c r="M2007">
        <v>80.400000000000006</v>
      </c>
      <c r="N2007">
        <v>8</v>
      </c>
      <c r="O2007">
        <v>81</v>
      </c>
      <c r="P2007">
        <v>0</v>
      </c>
      <c r="Q2007">
        <v>0</v>
      </c>
      <c r="R2007">
        <v>0</v>
      </c>
      <c r="S2007">
        <v>0</v>
      </c>
      <c r="T2007">
        <v>0.13650000000000001</v>
      </c>
      <c r="U2007">
        <v>-0.58350000000000002</v>
      </c>
      <c r="V2007">
        <v>2.5000000000000001E-3</v>
      </c>
      <c r="W2007">
        <v>-3.4230999999999998</v>
      </c>
      <c r="X2007">
        <v>4.4199000000000002</v>
      </c>
      <c r="Y2007">
        <v>-1.0551999999999999</v>
      </c>
      <c r="Z2007">
        <v>8</v>
      </c>
      <c r="AA2007">
        <v>81.400000000000006</v>
      </c>
      <c r="AB2007">
        <v>6</v>
      </c>
      <c r="AC2007">
        <v>81.900000000000006</v>
      </c>
      <c r="AD2007">
        <v>0</v>
      </c>
      <c r="AE2007">
        <v>0</v>
      </c>
      <c r="AF2007">
        <v>66.147300000000001</v>
      </c>
      <c r="AG2007">
        <v>65</v>
      </c>
      <c r="AH2007">
        <v>0</v>
      </c>
    </row>
    <row r="2008" spans="1:34" x14ac:dyDescent="0.35">
      <c r="A2008" t="s">
        <v>34</v>
      </c>
      <c r="B2008" s="1">
        <v>46146.65625</v>
      </c>
      <c r="C2008" t="s">
        <v>34</v>
      </c>
      <c r="D2008" s="1">
        <v>46155.625</v>
      </c>
      <c r="E2008">
        <v>7245</v>
      </c>
      <c r="F2008" t="s">
        <v>36</v>
      </c>
      <c r="G2008">
        <v>92.1</v>
      </c>
      <c r="H2008">
        <v>92.1</v>
      </c>
      <c r="I2008">
        <v>92.1</v>
      </c>
      <c r="J2008">
        <v>92.1</v>
      </c>
      <c r="K2008">
        <v>10</v>
      </c>
      <c r="L2008">
        <v>7</v>
      </c>
      <c r="M2008">
        <v>83</v>
      </c>
      <c r="N2008">
        <v>7</v>
      </c>
      <c r="O2008">
        <v>83.6</v>
      </c>
      <c r="P2008">
        <v>0</v>
      </c>
      <c r="Q2008">
        <v>0</v>
      </c>
      <c r="R2008">
        <v>0</v>
      </c>
      <c r="S2008">
        <v>0</v>
      </c>
      <c r="T2008">
        <v>0.13550000000000001</v>
      </c>
      <c r="U2008">
        <v>-0.59670000000000001</v>
      </c>
      <c r="V2008">
        <v>2.5000000000000001E-3</v>
      </c>
      <c r="W2008">
        <v>-3.3692000000000002</v>
      </c>
      <c r="X2008">
        <v>4.3879999999999999</v>
      </c>
      <c r="Y2008">
        <v>-1.0790999999999999</v>
      </c>
      <c r="Z2008">
        <v>7</v>
      </c>
      <c r="AA2008">
        <v>84</v>
      </c>
      <c r="AB2008">
        <v>5</v>
      </c>
      <c r="AC2008">
        <v>84.6</v>
      </c>
      <c r="AD2008">
        <v>0</v>
      </c>
      <c r="AE2008">
        <v>0</v>
      </c>
      <c r="AF2008">
        <v>92.1</v>
      </c>
      <c r="AG2008">
        <v>14</v>
      </c>
      <c r="AH2008">
        <v>0</v>
      </c>
    </row>
    <row r="2009" spans="1:34" x14ac:dyDescent="0.35">
      <c r="A2009" t="s">
        <v>34</v>
      </c>
      <c r="B2009" s="1">
        <v>46146.65625</v>
      </c>
      <c r="C2009" t="s">
        <v>34</v>
      </c>
      <c r="D2009" s="1">
        <v>46155.625</v>
      </c>
      <c r="E2009">
        <v>7250</v>
      </c>
      <c r="F2009" t="s">
        <v>36</v>
      </c>
      <c r="G2009">
        <v>75</v>
      </c>
      <c r="H2009">
        <v>95.28</v>
      </c>
      <c r="I2009">
        <v>60.5</v>
      </c>
      <c r="J2009">
        <v>95.28</v>
      </c>
      <c r="K2009">
        <v>304</v>
      </c>
      <c r="L2009">
        <v>6</v>
      </c>
      <c r="M2009">
        <v>85.6</v>
      </c>
      <c r="N2009">
        <v>6</v>
      </c>
      <c r="O2009">
        <v>86.2</v>
      </c>
      <c r="P2009">
        <v>0</v>
      </c>
      <c r="Q2009">
        <v>0</v>
      </c>
      <c r="R2009">
        <v>0</v>
      </c>
      <c r="S2009">
        <v>0</v>
      </c>
      <c r="T2009">
        <v>0.1343</v>
      </c>
      <c r="U2009">
        <v>-0.61009999999999998</v>
      </c>
      <c r="V2009">
        <v>2.5000000000000001E-3</v>
      </c>
      <c r="W2009">
        <v>-3.3073000000000001</v>
      </c>
      <c r="X2009">
        <v>4.3512000000000004</v>
      </c>
      <c r="Y2009">
        <v>-1.1032999999999999</v>
      </c>
      <c r="Z2009">
        <v>7</v>
      </c>
      <c r="AA2009">
        <v>86.6</v>
      </c>
      <c r="AB2009">
        <v>5</v>
      </c>
      <c r="AC2009">
        <v>87.1</v>
      </c>
      <c r="AD2009">
        <v>0</v>
      </c>
      <c r="AE2009">
        <v>0</v>
      </c>
      <c r="AF2009">
        <v>75.779600000000002</v>
      </c>
      <c r="AG2009">
        <v>75</v>
      </c>
      <c r="AH2009">
        <v>0</v>
      </c>
    </row>
    <row r="2010" spans="1:34" x14ac:dyDescent="0.35">
      <c r="A2010" t="s">
        <v>34</v>
      </c>
      <c r="B2010" s="1">
        <v>46146.65625</v>
      </c>
      <c r="C2010" t="s">
        <v>34</v>
      </c>
      <c r="D2010" s="1">
        <v>46155.625</v>
      </c>
      <c r="E2010">
        <v>7255</v>
      </c>
      <c r="F2010" t="s">
        <v>36</v>
      </c>
      <c r="G2010">
        <v>97.6</v>
      </c>
      <c r="H2010">
        <v>97.6</v>
      </c>
      <c r="I2010">
        <v>97.6</v>
      </c>
      <c r="J2010">
        <v>97.6</v>
      </c>
      <c r="K2010">
        <v>10</v>
      </c>
      <c r="L2010">
        <v>6</v>
      </c>
      <c r="M2010">
        <v>88.2</v>
      </c>
      <c r="N2010">
        <v>6</v>
      </c>
      <c r="O2010">
        <v>88.8</v>
      </c>
      <c r="P2010">
        <v>0</v>
      </c>
      <c r="Q2010">
        <v>0</v>
      </c>
      <c r="R2010">
        <v>0</v>
      </c>
      <c r="S2010">
        <v>0</v>
      </c>
      <c r="T2010">
        <v>0.1333</v>
      </c>
      <c r="U2010">
        <v>-0.62339999999999995</v>
      </c>
      <c r="V2010">
        <v>2.5000000000000001E-3</v>
      </c>
      <c r="W2010">
        <v>-3.2464</v>
      </c>
      <c r="X2010">
        <v>4.3094000000000001</v>
      </c>
      <c r="Y2010">
        <v>-1.1275999999999999</v>
      </c>
      <c r="Z2010">
        <v>6</v>
      </c>
      <c r="AA2010">
        <v>89.2</v>
      </c>
      <c r="AB2010">
        <v>5</v>
      </c>
      <c r="AC2010">
        <v>89.8</v>
      </c>
      <c r="AD2010">
        <v>0</v>
      </c>
      <c r="AE2010">
        <v>0</v>
      </c>
      <c r="AF2010">
        <v>97.6</v>
      </c>
      <c r="AG2010">
        <v>11</v>
      </c>
      <c r="AH2010">
        <v>0</v>
      </c>
    </row>
    <row r="2011" spans="1:34" x14ac:dyDescent="0.35">
      <c r="A2011" t="s">
        <v>34</v>
      </c>
      <c r="B2011" s="1">
        <v>46146.65625</v>
      </c>
      <c r="C2011" t="s">
        <v>34</v>
      </c>
      <c r="D2011" s="1">
        <v>46155.625</v>
      </c>
      <c r="E2011">
        <v>7260</v>
      </c>
      <c r="F2011" t="s">
        <v>36</v>
      </c>
      <c r="G2011">
        <v>94.28</v>
      </c>
      <c r="H2011">
        <v>94.28</v>
      </c>
      <c r="I2011">
        <v>94.28</v>
      </c>
      <c r="J2011">
        <v>94.28</v>
      </c>
      <c r="K2011">
        <v>1</v>
      </c>
      <c r="L2011">
        <v>5</v>
      </c>
      <c r="M2011">
        <v>91</v>
      </c>
      <c r="N2011">
        <v>5</v>
      </c>
      <c r="O2011">
        <v>91.6</v>
      </c>
      <c r="P2011">
        <v>0</v>
      </c>
      <c r="Q2011">
        <v>0</v>
      </c>
      <c r="R2011">
        <v>0</v>
      </c>
      <c r="S2011">
        <v>0</v>
      </c>
      <c r="T2011">
        <v>0.13239999999999999</v>
      </c>
      <c r="U2011">
        <v>-0.63670000000000004</v>
      </c>
      <c r="V2011">
        <v>2.5000000000000001E-3</v>
      </c>
      <c r="W2011">
        <v>-3.1835</v>
      </c>
      <c r="X2011">
        <v>4.2621000000000002</v>
      </c>
      <c r="Y2011">
        <v>-1.1521999999999999</v>
      </c>
      <c r="Z2011">
        <v>6</v>
      </c>
      <c r="AA2011">
        <v>92</v>
      </c>
      <c r="AB2011">
        <v>5</v>
      </c>
      <c r="AC2011">
        <v>92.6</v>
      </c>
      <c r="AD2011">
        <v>0</v>
      </c>
      <c r="AE2011">
        <v>0</v>
      </c>
      <c r="AF2011">
        <v>94.28</v>
      </c>
      <c r="AG2011">
        <v>1</v>
      </c>
      <c r="AH2011">
        <v>0</v>
      </c>
    </row>
    <row r="2012" spans="1:34" x14ac:dyDescent="0.35">
      <c r="A2012" t="s">
        <v>34</v>
      </c>
      <c r="B2012" s="1">
        <v>46146.65625</v>
      </c>
      <c r="C2012" t="s">
        <v>34</v>
      </c>
      <c r="D2012" s="1">
        <v>46155.625</v>
      </c>
      <c r="E2012">
        <v>7265</v>
      </c>
      <c r="F2012" t="s">
        <v>36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5</v>
      </c>
      <c r="M2012">
        <v>93.8</v>
      </c>
      <c r="N2012">
        <v>5</v>
      </c>
      <c r="O2012">
        <v>94.4</v>
      </c>
      <c r="P2012">
        <v>0</v>
      </c>
      <c r="Q2012">
        <v>0</v>
      </c>
      <c r="R2012">
        <v>0</v>
      </c>
      <c r="S2012">
        <v>0</v>
      </c>
      <c r="T2012">
        <v>0.13109999999999999</v>
      </c>
      <c r="U2012">
        <v>-0.65049999999999997</v>
      </c>
      <c r="V2012">
        <v>2.5000000000000001E-3</v>
      </c>
      <c r="W2012">
        <v>-3.1053999999999999</v>
      </c>
      <c r="X2012">
        <v>4.2074999999999996</v>
      </c>
      <c r="Y2012">
        <v>-1.1777</v>
      </c>
      <c r="Z2012">
        <v>5</v>
      </c>
      <c r="AA2012">
        <v>94.9</v>
      </c>
      <c r="AB2012">
        <v>4</v>
      </c>
      <c r="AC2012">
        <v>95.6</v>
      </c>
      <c r="AD2012">
        <v>0</v>
      </c>
      <c r="AE2012">
        <v>0</v>
      </c>
      <c r="AF2012">
        <v>0</v>
      </c>
      <c r="AG2012">
        <v>10</v>
      </c>
      <c r="AH2012">
        <v>0</v>
      </c>
    </row>
    <row r="2013" spans="1:34" x14ac:dyDescent="0.35">
      <c r="A2013" t="s">
        <v>34</v>
      </c>
      <c r="B2013" s="1">
        <v>46146.65625</v>
      </c>
      <c r="C2013" t="s">
        <v>34</v>
      </c>
      <c r="D2013" s="1">
        <v>46155.625</v>
      </c>
      <c r="E2013">
        <v>7270</v>
      </c>
      <c r="F2013" t="s">
        <v>36</v>
      </c>
      <c r="G2013">
        <v>75.98</v>
      </c>
      <c r="H2013">
        <v>75.98</v>
      </c>
      <c r="I2013">
        <v>75.98</v>
      </c>
      <c r="J2013">
        <v>75.98</v>
      </c>
      <c r="K2013">
        <v>1</v>
      </c>
      <c r="L2013">
        <v>4</v>
      </c>
      <c r="M2013">
        <v>96.6</v>
      </c>
      <c r="N2013">
        <v>4</v>
      </c>
      <c r="O2013">
        <v>97.2</v>
      </c>
      <c r="P2013">
        <v>0</v>
      </c>
      <c r="Q2013">
        <v>0</v>
      </c>
      <c r="R2013">
        <v>0</v>
      </c>
      <c r="S2013">
        <v>0</v>
      </c>
      <c r="T2013">
        <v>0.13020000000000001</v>
      </c>
      <c r="U2013">
        <v>-0.66379999999999995</v>
      </c>
      <c r="V2013">
        <v>2.5000000000000001E-3</v>
      </c>
      <c r="W2013">
        <v>-3.0352999999999999</v>
      </c>
      <c r="X2013">
        <v>4.1500000000000004</v>
      </c>
      <c r="Y2013">
        <v>-1.202</v>
      </c>
      <c r="Z2013">
        <v>5</v>
      </c>
      <c r="AA2013">
        <v>97.8</v>
      </c>
      <c r="AB2013">
        <v>3</v>
      </c>
      <c r="AC2013">
        <v>98.4</v>
      </c>
      <c r="AD2013">
        <v>0</v>
      </c>
      <c r="AE2013">
        <v>0</v>
      </c>
      <c r="AF2013">
        <v>75.98</v>
      </c>
      <c r="AG2013">
        <v>4</v>
      </c>
      <c r="AH2013">
        <v>0</v>
      </c>
    </row>
    <row r="2014" spans="1:34" x14ac:dyDescent="0.35">
      <c r="A2014" t="s">
        <v>34</v>
      </c>
      <c r="B2014" s="1">
        <v>46146.65625</v>
      </c>
      <c r="C2014" t="s">
        <v>34</v>
      </c>
      <c r="D2014" s="1">
        <v>46155.625</v>
      </c>
      <c r="E2014">
        <v>7275</v>
      </c>
      <c r="F2014" t="s">
        <v>36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3</v>
      </c>
      <c r="M2014">
        <v>99.6</v>
      </c>
      <c r="N2014">
        <v>3</v>
      </c>
      <c r="O2014">
        <v>100.2</v>
      </c>
      <c r="P2014">
        <v>0</v>
      </c>
      <c r="Q2014">
        <v>0</v>
      </c>
      <c r="R2014">
        <v>0</v>
      </c>
      <c r="S2014">
        <v>0</v>
      </c>
      <c r="T2014">
        <v>0.129</v>
      </c>
      <c r="U2014">
        <v>-0.67749999999999999</v>
      </c>
      <c r="V2014">
        <v>2.5000000000000001E-3</v>
      </c>
      <c r="W2014">
        <v>-2.9531999999999998</v>
      </c>
      <c r="X2014">
        <v>4.0865</v>
      </c>
      <c r="Y2014">
        <v>-1.2266999999999999</v>
      </c>
      <c r="Z2014">
        <v>4</v>
      </c>
      <c r="AA2014">
        <v>100.8</v>
      </c>
      <c r="AB2014">
        <v>3</v>
      </c>
      <c r="AC2014">
        <v>101.4</v>
      </c>
      <c r="AD2014">
        <v>0</v>
      </c>
      <c r="AE2014">
        <v>0</v>
      </c>
      <c r="AF2014">
        <v>0</v>
      </c>
      <c r="AG2014">
        <v>6</v>
      </c>
      <c r="AH2014">
        <v>0</v>
      </c>
    </row>
    <row r="2015" spans="1:34" x14ac:dyDescent="0.35">
      <c r="A2015" t="s">
        <v>34</v>
      </c>
      <c r="B2015" s="1">
        <v>46146.65625</v>
      </c>
      <c r="C2015" t="s">
        <v>34</v>
      </c>
      <c r="D2015" s="1">
        <v>46155.625</v>
      </c>
      <c r="E2015">
        <v>7280</v>
      </c>
      <c r="F2015" t="s">
        <v>36</v>
      </c>
      <c r="G2015">
        <v>75.599999999999994</v>
      </c>
      <c r="H2015">
        <v>100</v>
      </c>
      <c r="I2015">
        <v>75.599999999999994</v>
      </c>
      <c r="J2015">
        <v>100</v>
      </c>
      <c r="K2015">
        <v>2</v>
      </c>
      <c r="L2015">
        <v>3</v>
      </c>
      <c r="M2015">
        <v>102.8</v>
      </c>
      <c r="N2015">
        <v>3</v>
      </c>
      <c r="O2015">
        <v>103.4</v>
      </c>
      <c r="P2015">
        <v>0</v>
      </c>
      <c r="Q2015">
        <v>0</v>
      </c>
      <c r="R2015">
        <v>0</v>
      </c>
      <c r="S2015">
        <v>0</v>
      </c>
      <c r="T2015">
        <v>0.12809999999999999</v>
      </c>
      <c r="U2015">
        <v>-0.69069999999999998</v>
      </c>
      <c r="V2015">
        <v>2.3999999999999998E-3</v>
      </c>
      <c r="W2015">
        <v>-2.8765999999999998</v>
      </c>
      <c r="X2015">
        <v>4.0194999999999999</v>
      </c>
      <c r="Y2015">
        <v>-1.2509999999999999</v>
      </c>
      <c r="Z2015">
        <v>15</v>
      </c>
      <c r="AA2015">
        <v>102</v>
      </c>
      <c r="AB2015">
        <v>8</v>
      </c>
      <c r="AC2015">
        <v>105.9</v>
      </c>
      <c r="AD2015">
        <v>0</v>
      </c>
      <c r="AE2015">
        <v>0</v>
      </c>
      <c r="AF2015">
        <v>87.8</v>
      </c>
      <c r="AG2015">
        <v>6</v>
      </c>
      <c r="AH2015">
        <v>0</v>
      </c>
    </row>
    <row r="2016" spans="1:34" x14ac:dyDescent="0.35">
      <c r="A2016" t="s">
        <v>34</v>
      </c>
      <c r="B2016" s="1">
        <v>46146.65625</v>
      </c>
      <c r="C2016" t="s">
        <v>34</v>
      </c>
      <c r="D2016" s="1">
        <v>46155.625</v>
      </c>
      <c r="E2016">
        <v>7285</v>
      </c>
      <c r="F2016" t="s">
        <v>36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1</v>
      </c>
      <c r="M2016">
        <v>104.2</v>
      </c>
      <c r="N2016">
        <v>8</v>
      </c>
      <c r="O2016">
        <v>108</v>
      </c>
      <c r="P2016">
        <v>0</v>
      </c>
      <c r="Q2016">
        <v>0</v>
      </c>
      <c r="R2016">
        <v>0</v>
      </c>
      <c r="S2016">
        <v>0</v>
      </c>
      <c r="T2016">
        <v>0.1275</v>
      </c>
      <c r="U2016">
        <v>-0.70340000000000003</v>
      </c>
      <c r="V2016">
        <v>2.3999999999999998E-3</v>
      </c>
      <c r="W2016">
        <v>-2.8065000000000002</v>
      </c>
      <c r="X2016">
        <v>3.9491999999999998</v>
      </c>
      <c r="Y2016">
        <v>-1.2746</v>
      </c>
      <c r="Z2016">
        <v>8</v>
      </c>
      <c r="AA2016">
        <v>105.1</v>
      </c>
      <c r="AB2016">
        <v>8</v>
      </c>
      <c r="AC2016">
        <v>109.6</v>
      </c>
      <c r="AD2016">
        <v>0</v>
      </c>
      <c r="AE2016">
        <v>0</v>
      </c>
      <c r="AF2016">
        <v>0</v>
      </c>
      <c r="AG2016">
        <v>1</v>
      </c>
      <c r="AH2016">
        <v>0</v>
      </c>
    </row>
    <row r="2017" spans="1:34" x14ac:dyDescent="0.35">
      <c r="A2017" t="s">
        <v>34</v>
      </c>
      <c r="B2017" s="1">
        <v>46146.65625</v>
      </c>
      <c r="C2017" t="s">
        <v>34</v>
      </c>
      <c r="D2017" s="1">
        <v>46155.625</v>
      </c>
      <c r="E2017">
        <v>7290</v>
      </c>
      <c r="F2017" t="s">
        <v>36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8</v>
      </c>
      <c r="M2017">
        <v>107.2</v>
      </c>
      <c r="N2017">
        <v>13</v>
      </c>
      <c r="O2017">
        <v>111.3</v>
      </c>
      <c r="P2017">
        <v>0</v>
      </c>
      <c r="Q2017">
        <v>0</v>
      </c>
      <c r="R2017">
        <v>0</v>
      </c>
      <c r="S2017">
        <v>0</v>
      </c>
      <c r="T2017">
        <v>0.12640000000000001</v>
      </c>
      <c r="U2017">
        <v>-0.71689999999999998</v>
      </c>
      <c r="V2017">
        <v>2.3999999999999998E-3</v>
      </c>
      <c r="W2017">
        <v>-2.7166999999999999</v>
      </c>
      <c r="X2017">
        <v>3.8687999999999998</v>
      </c>
      <c r="Y2017">
        <v>-1.2995000000000001</v>
      </c>
      <c r="Z2017">
        <v>13</v>
      </c>
      <c r="AA2017">
        <v>108.4</v>
      </c>
      <c r="AB2017">
        <v>13</v>
      </c>
      <c r="AC2017">
        <v>112.8</v>
      </c>
      <c r="AD2017">
        <v>0</v>
      </c>
      <c r="AE2017">
        <v>0</v>
      </c>
      <c r="AF2017">
        <v>0</v>
      </c>
      <c r="AG2017">
        <v>5</v>
      </c>
      <c r="AH2017">
        <v>0</v>
      </c>
    </row>
    <row r="2018" spans="1:34" x14ac:dyDescent="0.35">
      <c r="A2018" t="s">
        <v>34</v>
      </c>
      <c r="B2018" s="1">
        <v>46146.65625</v>
      </c>
      <c r="C2018" t="s">
        <v>34</v>
      </c>
      <c r="D2018" s="1">
        <v>46155.625</v>
      </c>
      <c r="E2018">
        <v>7295</v>
      </c>
      <c r="F2018" t="s">
        <v>36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1</v>
      </c>
      <c r="M2018">
        <v>110.4</v>
      </c>
      <c r="N2018">
        <v>7</v>
      </c>
      <c r="O2018">
        <v>114.7</v>
      </c>
      <c r="P2018">
        <v>0</v>
      </c>
      <c r="Q2018">
        <v>0</v>
      </c>
      <c r="R2018">
        <v>0</v>
      </c>
      <c r="S2018">
        <v>0</v>
      </c>
      <c r="T2018">
        <v>0.1255</v>
      </c>
      <c r="U2018">
        <v>-0.72989999999999999</v>
      </c>
      <c r="V2018">
        <v>2.3E-3</v>
      </c>
      <c r="W2018">
        <v>-2.6299000000000001</v>
      </c>
      <c r="X2018">
        <v>3.7863000000000002</v>
      </c>
      <c r="Y2018">
        <v>-1.3232999999999999</v>
      </c>
      <c r="Z2018">
        <v>7</v>
      </c>
      <c r="AA2018">
        <v>111.6</v>
      </c>
      <c r="AB2018">
        <v>7</v>
      </c>
      <c r="AC2018">
        <v>116.2</v>
      </c>
      <c r="AD2018">
        <v>0</v>
      </c>
      <c r="AE2018">
        <v>0</v>
      </c>
      <c r="AF2018">
        <v>0</v>
      </c>
      <c r="AG2018">
        <v>1</v>
      </c>
      <c r="AH2018">
        <v>0</v>
      </c>
    </row>
    <row r="2019" spans="1:34" x14ac:dyDescent="0.35">
      <c r="A2019" t="s">
        <v>34</v>
      </c>
      <c r="B2019" s="1">
        <v>46146.65625</v>
      </c>
      <c r="C2019" t="s">
        <v>34</v>
      </c>
      <c r="D2019" s="1">
        <v>46155.625</v>
      </c>
      <c r="E2019">
        <v>7300</v>
      </c>
      <c r="F2019" t="s">
        <v>36</v>
      </c>
      <c r="G2019">
        <v>92.54</v>
      </c>
      <c r="H2019">
        <v>117.97</v>
      </c>
      <c r="I2019">
        <v>92.54</v>
      </c>
      <c r="J2019">
        <v>117.97</v>
      </c>
      <c r="K2019">
        <v>9</v>
      </c>
      <c r="L2019">
        <v>8</v>
      </c>
      <c r="M2019">
        <v>113.7</v>
      </c>
      <c r="N2019">
        <v>7</v>
      </c>
      <c r="O2019">
        <v>117.7</v>
      </c>
      <c r="P2019">
        <v>0</v>
      </c>
      <c r="Q2019">
        <v>0</v>
      </c>
      <c r="R2019">
        <v>0</v>
      </c>
      <c r="S2019">
        <v>0</v>
      </c>
      <c r="T2019">
        <v>0.1239</v>
      </c>
      <c r="U2019">
        <v>-0.74390000000000001</v>
      </c>
      <c r="V2019">
        <v>2.3E-3</v>
      </c>
      <c r="W2019">
        <v>-2.5221</v>
      </c>
      <c r="X2019">
        <v>3.6930000000000001</v>
      </c>
      <c r="Y2019">
        <v>-1.3486</v>
      </c>
      <c r="Z2019">
        <v>13</v>
      </c>
      <c r="AA2019">
        <v>115</v>
      </c>
      <c r="AB2019">
        <v>7</v>
      </c>
      <c r="AC2019">
        <v>119.1</v>
      </c>
      <c r="AD2019">
        <v>0</v>
      </c>
      <c r="AE2019">
        <v>0</v>
      </c>
      <c r="AF2019">
        <v>109.4933</v>
      </c>
      <c r="AG2019">
        <v>19</v>
      </c>
      <c r="AH2019">
        <v>0</v>
      </c>
    </row>
    <row r="2020" spans="1:34" x14ac:dyDescent="0.35">
      <c r="A2020" t="s">
        <v>34</v>
      </c>
      <c r="B2020" s="1">
        <v>46146.65625</v>
      </c>
      <c r="C2020" t="s">
        <v>34</v>
      </c>
      <c r="D2020" s="1">
        <v>46155.625</v>
      </c>
      <c r="E2020">
        <v>7305</v>
      </c>
      <c r="F2020" t="s">
        <v>36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1</v>
      </c>
      <c r="M2020">
        <v>117.2</v>
      </c>
      <c r="N2020">
        <v>7</v>
      </c>
      <c r="O2020">
        <v>121.4</v>
      </c>
      <c r="P2020">
        <v>0</v>
      </c>
      <c r="Q2020">
        <v>0</v>
      </c>
      <c r="R2020">
        <v>0</v>
      </c>
      <c r="S2020">
        <v>0</v>
      </c>
      <c r="T2020">
        <v>0.1234</v>
      </c>
      <c r="U2020">
        <v>-0.75590000000000002</v>
      </c>
      <c r="V2020">
        <v>2.2000000000000001E-3</v>
      </c>
      <c r="W2020">
        <v>-2.4432</v>
      </c>
      <c r="X2020">
        <v>3.6065999999999998</v>
      </c>
      <c r="Y2020">
        <v>-1.371</v>
      </c>
      <c r="Z2020">
        <v>7</v>
      </c>
      <c r="AA2020">
        <v>118.4</v>
      </c>
      <c r="AB2020">
        <v>7</v>
      </c>
      <c r="AC2020">
        <v>123.1</v>
      </c>
      <c r="AD2020">
        <v>0</v>
      </c>
      <c r="AE2020">
        <v>0</v>
      </c>
      <c r="AF2020">
        <v>0</v>
      </c>
      <c r="AG2020">
        <v>3</v>
      </c>
      <c r="AH2020">
        <v>0</v>
      </c>
    </row>
    <row r="2021" spans="1:34" x14ac:dyDescent="0.35">
      <c r="A2021" t="s">
        <v>34</v>
      </c>
      <c r="B2021" s="1">
        <v>46146.65625</v>
      </c>
      <c r="C2021" t="s">
        <v>34</v>
      </c>
      <c r="D2021" s="1">
        <v>46155.625</v>
      </c>
      <c r="E2021">
        <v>7310</v>
      </c>
      <c r="F2021" t="s">
        <v>36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1</v>
      </c>
      <c r="M2021">
        <v>120.7</v>
      </c>
      <c r="N2021">
        <v>7</v>
      </c>
      <c r="O2021">
        <v>125.1</v>
      </c>
      <c r="P2021">
        <v>0</v>
      </c>
      <c r="Q2021">
        <v>0</v>
      </c>
      <c r="R2021">
        <v>0</v>
      </c>
      <c r="S2021">
        <v>0</v>
      </c>
      <c r="T2021">
        <v>0.1227</v>
      </c>
      <c r="U2021">
        <v>-0.7681</v>
      </c>
      <c r="V2021">
        <v>2.2000000000000001E-3</v>
      </c>
      <c r="W2021">
        <v>-2.3569</v>
      </c>
      <c r="X2021">
        <v>3.5129999999999999</v>
      </c>
      <c r="Y2021">
        <v>-1.3936999999999999</v>
      </c>
      <c r="Z2021">
        <v>7</v>
      </c>
      <c r="AA2021">
        <v>121.9</v>
      </c>
      <c r="AB2021">
        <v>7</v>
      </c>
      <c r="AC2021">
        <v>126.6</v>
      </c>
      <c r="AD2021">
        <v>0</v>
      </c>
      <c r="AE2021">
        <v>0</v>
      </c>
      <c r="AF2021">
        <v>0</v>
      </c>
      <c r="AG2021">
        <v>5</v>
      </c>
      <c r="AH2021">
        <v>0</v>
      </c>
    </row>
    <row r="2022" spans="1:34" x14ac:dyDescent="0.35">
      <c r="A2022" t="s">
        <v>34</v>
      </c>
      <c r="B2022" s="1">
        <v>46146.65625</v>
      </c>
      <c r="C2022" t="s">
        <v>34</v>
      </c>
      <c r="D2022" s="1">
        <v>46155.625</v>
      </c>
      <c r="E2022">
        <v>7315</v>
      </c>
      <c r="F2022" t="s">
        <v>36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1</v>
      </c>
      <c r="M2022">
        <v>124.3</v>
      </c>
      <c r="N2022">
        <v>7</v>
      </c>
      <c r="O2022">
        <v>128.80000000000001</v>
      </c>
      <c r="P2022">
        <v>0</v>
      </c>
      <c r="Q2022">
        <v>0</v>
      </c>
      <c r="R2022">
        <v>0</v>
      </c>
      <c r="S2022">
        <v>0</v>
      </c>
      <c r="T2022">
        <v>0.122</v>
      </c>
      <c r="U2022">
        <v>-0.78010000000000002</v>
      </c>
      <c r="V2022">
        <v>2.0999999999999999E-3</v>
      </c>
      <c r="W2022">
        <v>-2.2671000000000001</v>
      </c>
      <c r="X2022">
        <v>3.4148000000000001</v>
      </c>
      <c r="Y2022">
        <v>-1.4159999999999999</v>
      </c>
      <c r="Z2022">
        <v>7</v>
      </c>
      <c r="AA2022">
        <v>125.5</v>
      </c>
      <c r="AB2022">
        <v>7</v>
      </c>
      <c r="AC2022">
        <v>130.30000000000001</v>
      </c>
      <c r="AD2022">
        <v>0</v>
      </c>
      <c r="AE2022">
        <v>0</v>
      </c>
      <c r="AF2022">
        <v>0</v>
      </c>
      <c r="AG2022">
        <v>0</v>
      </c>
      <c r="AH2022">
        <v>0</v>
      </c>
    </row>
    <row r="2023" spans="1:34" x14ac:dyDescent="0.35">
      <c r="A2023" t="s">
        <v>34</v>
      </c>
      <c r="B2023" s="1">
        <v>46146.65625</v>
      </c>
      <c r="C2023" t="s">
        <v>34</v>
      </c>
      <c r="D2023" s="1">
        <v>46155.625</v>
      </c>
      <c r="E2023">
        <v>7320</v>
      </c>
      <c r="F2023" t="s">
        <v>36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1</v>
      </c>
      <c r="M2023">
        <v>127.7</v>
      </c>
      <c r="N2023">
        <v>7</v>
      </c>
      <c r="O2023">
        <v>132.30000000000001</v>
      </c>
      <c r="P2023">
        <v>0</v>
      </c>
      <c r="Q2023">
        <v>0</v>
      </c>
      <c r="R2023">
        <v>0</v>
      </c>
      <c r="S2023">
        <v>0</v>
      </c>
      <c r="T2023">
        <v>0.1205</v>
      </c>
      <c r="U2023">
        <v>-0.79339999999999999</v>
      </c>
      <c r="V2023">
        <v>2.0999999999999999E-3</v>
      </c>
      <c r="W2023">
        <v>-2.153</v>
      </c>
      <c r="X2023">
        <v>3.3029000000000002</v>
      </c>
      <c r="Y2023">
        <v>-1.44</v>
      </c>
      <c r="Z2023">
        <v>7</v>
      </c>
      <c r="AA2023">
        <v>129.19999999999999</v>
      </c>
      <c r="AB2023">
        <v>7</v>
      </c>
      <c r="AC2023">
        <v>134</v>
      </c>
      <c r="AD2023">
        <v>0</v>
      </c>
      <c r="AE2023">
        <v>0</v>
      </c>
      <c r="AF2023">
        <v>0</v>
      </c>
      <c r="AG2023">
        <v>0</v>
      </c>
      <c r="AH2023">
        <v>0</v>
      </c>
    </row>
    <row r="2024" spans="1:34" x14ac:dyDescent="0.35">
      <c r="A2024" t="s">
        <v>34</v>
      </c>
      <c r="B2024" s="1">
        <v>46146.65625</v>
      </c>
      <c r="C2024" t="s">
        <v>34</v>
      </c>
      <c r="D2024" s="1">
        <v>46155.625</v>
      </c>
      <c r="E2024">
        <v>7325</v>
      </c>
      <c r="F2024" t="s">
        <v>36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1</v>
      </c>
      <c r="M2024">
        <v>131.4</v>
      </c>
      <c r="N2024">
        <v>7</v>
      </c>
      <c r="O2024">
        <v>136.1</v>
      </c>
      <c r="P2024">
        <v>0</v>
      </c>
      <c r="Q2024">
        <v>0</v>
      </c>
      <c r="R2024">
        <v>0</v>
      </c>
      <c r="S2024">
        <v>0</v>
      </c>
      <c r="T2024">
        <v>0.1195</v>
      </c>
      <c r="U2024">
        <v>-0.8054</v>
      </c>
      <c r="V2024">
        <v>2E-3</v>
      </c>
      <c r="W2024">
        <v>-2.0539000000000001</v>
      </c>
      <c r="X2024">
        <v>3.1951999999999998</v>
      </c>
      <c r="Y2024">
        <v>-1.4622999999999999</v>
      </c>
      <c r="Z2024">
        <v>7</v>
      </c>
      <c r="AA2024">
        <v>132.9</v>
      </c>
      <c r="AB2024">
        <v>7</v>
      </c>
      <c r="AC2024">
        <v>137.80000000000001</v>
      </c>
      <c r="AD2024">
        <v>0</v>
      </c>
      <c r="AE2024">
        <v>0</v>
      </c>
      <c r="AF2024">
        <v>0</v>
      </c>
      <c r="AG2024">
        <v>0</v>
      </c>
      <c r="AH2024">
        <v>0</v>
      </c>
    </row>
    <row r="2025" spans="1:34" x14ac:dyDescent="0.35">
      <c r="A2025" t="s">
        <v>34</v>
      </c>
      <c r="B2025" s="1">
        <v>46146.65625</v>
      </c>
      <c r="C2025" t="s">
        <v>34</v>
      </c>
      <c r="D2025" s="1">
        <v>46155.625</v>
      </c>
      <c r="E2025">
        <v>7330</v>
      </c>
      <c r="F2025" t="s">
        <v>36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8</v>
      </c>
      <c r="M2025">
        <v>135.1</v>
      </c>
      <c r="N2025">
        <v>7</v>
      </c>
      <c r="O2025">
        <v>140.1</v>
      </c>
      <c r="P2025">
        <v>0</v>
      </c>
      <c r="Q2025">
        <v>0</v>
      </c>
      <c r="R2025">
        <v>0</v>
      </c>
      <c r="S2025">
        <v>0</v>
      </c>
      <c r="T2025">
        <v>0.1188</v>
      </c>
      <c r="U2025">
        <v>-0.81679999999999997</v>
      </c>
      <c r="V2025">
        <v>2E-3</v>
      </c>
      <c r="W2025">
        <v>-1.9601999999999999</v>
      </c>
      <c r="X2025">
        <v>3.0869</v>
      </c>
      <c r="Y2025">
        <v>-1.4836</v>
      </c>
      <c r="Z2025">
        <v>7</v>
      </c>
      <c r="AA2025">
        <v>136.69999999999999</v>
      </c>
      <c r="AB2025">
        <v>7</v>
      </c>
      <c r="AC2025">
        <v>141.69999999999999</v>
      </c>
      <c r="AD2025">
        <v>0</v>
      </c>
      <c r="AE2025">
        <v>0</v>
      </c>
      <c r="AF2025">
        <v>0</v>
      </c>
      <c r="AG2025">
        <v>3</v>
      </c>
      <c r="AH2025">
        <v>0</v>
      </c>
    </row>
    <row r="2026" spans="1:34" x14ac:dyDescent="0.35">
      <c r="A2026" t="s">
        <v>34</v>
      </c>
      <c r="B2026" s="1">
        <v>46146.65625</v>
      </c>
      <c r="C2026" t="s">
        <v>34</v>
      </c>
      <c r="D2026" s="1">
        <v>46155.625</v>
      </c>
      <c r="E2026">
        <v>7335</v>
      </c>
      <c r="F2026" t="s">
        <v>36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138.80000000000001</v>
      </c>
      <c r="N2026">
        <v>7</v>
      </c>
      <c r="O2026">
        <v>143.69999999999999</v>
      </c>
      <c r="P2026">
        <v>0</v>
      </c>
      <c r="Q2026">
        <v>0</v>
      </c>
      <c r="R2026">
        <v>0</v>
      </c>
      <c r="S2026">
        <v>0</v>
      </c>
      <c r="T2026">
        <v>0.1171</v>
      </c>
      <c r="U2026">
        <v>-0.82979999999999998</v>
      </c>
      <c r="V2026">
        <v>1.9E-3</v>
      </c>
      <c r="W2026">
        <v>-1.8368</v>
      </c>
      <c r="X2026">
        <v>2.9559000000000002</v>
      </c>
      <c r="Y2026">
        <v>-1.5076000000000001</v>
      </c>
      <c r="Z2026">
        <v>5</v>
      </c>
      <c r="AA2026">
        <v>140.69999999999999</v>
      </c>
      <c r="AB2026">
        <v>6</v>
      </c>
      <c r="AC2026">
        <v>145.69999999999999</v>
      </c>
      <c r="AD2026">
        <v>0</v>
      </c>
      <c r="AE2026">
        <v>0</v>
      </c>
      <c r="AF2026">
        <v>0</v>
      </c>
      <c r="AG2026">
        <v>0</v>
      </c>
      <c r="AH2026">
        <v>0</v>
      </c>
    </row>
    <row r="2027" spans="1:34" x14ac:dyDescent="0.35">
      <c r="A2027" t="s">
        <v>34</v>
      </c>
      <c r="B2027" s="1">
        <v>46146.65625</v>
      </c>
      <c r="C2027" t="s">
        <v>34</v>
      </c>
      <c r="D2027" s="1">
        <v>46155.625</v>
      </c>
      <c r="E2027">
        <v>7340</v>
      </c>
      <c r="F2027" t="s">
        <v>36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7</v>
      </c>
      <c r="M2027">
        <v>142.6</v>
      </c>
      <c r="N2027">
        <v>6</v>
      </c>
      <c r="O2027">
        <v>147.80000000000001</v>
      </c>
      <c r="P2027">
        <v>0</v>
      </c>
      <c r="Q2027">
        <v>0</v>
      </c>
      <c r="R2027">
        <v>0</v>
      </c>
      <c r="S2027">
        <v>0</v>
      </c>
      <c r="T2027">
        <v>0.1162</v>
      </c>
      <c r="U2027">
        <v>-0.84089999999999998</v>
      </c>
      <c r="V2027">
        <v>1.8E-3</v>
      </c>
      <c r="W2027">
        <v>-1.7382</v>
      </c>
      <c r="X2027">
        <v>2.8393000000000002</v>
      </c>
      <c r="Y2027">
        <v>-1.5279</v>
      </c>
      <c r="Z2027">
        <v>6</v>
      </c>
      <c r="AA2027">
        <v>144.5</v>
      </c>
      <c r="AB2027">
        <v>6</v>
      </c>
      <c r="AC2027">
        <v>149.6</v>
      </c>
      <c r="AD2027">
        <v>0</v>
      </c>
      <c r="AE2027">
        <v>0</v>
      </c>
      <c r="AF2027">
        <v>0</v>
      </c>
      <c r="AG2027">
        <v>0</v>
      </c>
      <c r="AH2027">
        <v>0</v>
      </c>
    </row>
    <row r="2028" spans="1:34" x14ac:dyDescent="0.35">
      <c r="A2028" t="s">
        <v>34</v>
      </c>
      <c r="B2028" s="1">
        <v>46146.65625</v>
      </c>
      <c r="C2028" t="s">
        <v>34</v>
      </c>
      <c r="D2028" s="1">
        <v>46155.625</v>
      </c>
      <c r="E2028">
        <v>7345</v>
      </c>
      <c r="F2028" t="s">
        <v>36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7</v>
      </c>
      <c r="M2028">
        <v>146.69999999999999</v>
      </c>
      <c r="N2028">
        <v>6</v>
      </c>
      <c r="O2028">
        <v>152</v>
      </c>
      <c r="P2028">
        <v>0</v>
      </c>
      <c r="Q2028">
        <v>0</v>
      </c>
      <c r="R2028">
        <v>0</v>
      </c>
      <c r="S2028">
        <v>0</v>
      </c>
      <c r="T2028">
        <v>0.1158</v>
      </c>
      <c r="U2028">
        <v>-0.85050000000000003</v>
      </c>
      <c r="V2028">
        <v>1.8E-3</v>
      </c>
      <c r="W2028">
        <v>-1.6561999999999999</v>
      </c>
      <c r="X2028">
        <v>2.7336</v>
      </c>
      <c r="Y2028">
        <v>-1.546</v>
      </c>
      <c r="Z2028">
        <v>6</v>
      </c>
      <c r="AA2028">
        <v>148.5</v>
      </c>
      <c r="AB2028">
        <v>6</v>
      </c>
      <c r="AC2028">
        <v>153.80000000000001</v>
      </c>
      <c r="AD2028">
        <v>0</v>
      </c>
      <c r="AE2028">
        <v>0</v>
      </c>
      <c r="AF2028">
        <v>0</v>
      </c>
      <c r="AG2028">
        <v>0</v>
      </c>
      <c r="AH2028">
        <v>0</v>
      </c>
    </row>
    <row r="2029" spans="1:34" x14ac:dyDescent="0.35">
      <c r="A2029" t="s">
        <v>34</v>
      </c>
      <c r="B2029" s="1">
        <v>46146.65625</v>
      </c>
      <c r="C2029" t="s">
        <v>34</v>
      </c>
      <c r="D2029" s="1">
        <v>46155.625</v>
      </c>
      <c r="E2029">
        <v>7350</v>
      </c>
      <c r="F2029" t="s">
        <v>36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7</v>
      </c>
      <c r="M2029">
        <v>151</v>
      </c>
      <c r="N2029">
        <v>6</v>
      </c>
      <c r="O2029">
        <v>156.1</v>
      </c>
      <c r="P2029">
        <v>0</v>
      </c>
      <c r="Q2029">
        <v>0</v>
      </c>
      <c r="R2029">
        <v>0</v>
      </c>
      <c r="S2029">
        <v>0</v>
      </c>
      <c r="T2029">
        <v>0.1154</v>
      </c>
      <c r="U2029">
        <v>-0.85980000000000001</v>
      </c>
      <c r="V2029">
        <v>1.6999999999999999E-3</v>
      </c>
      <c r="W2029">
        <v>-1.5746</v>
      </c>
      <c r="X2029">
        <v>2.6263000000000001</v>
      </c>
      <c r="Y2029">
        <v>-1.5636000000000001</v>
      </c>
      <c r="Z2029">
        <v>6</v>
      </c>
      <c r="AA2029">
        <v>152.6</v>
      </c>
      <c r="AB2029">
        <v>6</v>
      </c>
      <c r="AC2029">
        <v>157.9</v>
      </c>
      <c r="AD2029">
        <v>0</v>
      </c>
      <c r="AE2029">
        <v>0</v>
      </c>
      <c r="AF2029">
        <v>0</v>
      </c>
      <c r="AG2029">
        <v>8</v>
      </c>
      <c r="AH2029">
        <v>0</v>
      </c>
    </row>
    <row r="2030" spans="1:34" x14ac:dyDescent="0.35">
      <c r="A2030" t="s">
        <v>34</v>
      </c>
      <c r="B2030" s="1">
        <v>46146.65625</v>
      </c>
      <c r="C2030" t="s">
        <v>34</v>
      </c>
      <c r="D2030" s="1">
        <v>46155.625</v>
      </c>
      <c r="E2030">
        <v>7355</v>
      </c>
      <c r="F2030" t="s">
        <v>36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7</v>
      </c>
      <c r="M2030">
        <v>155</v>
      </c>
      <c r="N2030">
        <v>6</v>
      </c>
      <c r="O2030">
        <v>160.5</v>
      </c>
      <c r="P2030">
        <v>0</v>
      </c>
      <c r="Q2030">
        <v>0</v>
      </c>
      <c r="R2030">
        <v>0</v>
      </c>
      <c r="S2030">
        <v>0</v>
      </c>
      <c r="T2030">
        <v>0.1148</v>
      </c>
      <c r="U2030">
        <v>-0.86919999999999997</v>
      </c>
      <c r="V2030">
        <v>1.6000000000000001E-3</v>
      </c>
      <c r="W2030">
        <v>-1.4873000000000001</v>
      </c>
      <c r="X2030">
        <v>2.5124</v>
      </c>
      <c r="Y2030">
        <v>-1.5812999999999999</v>
      </c>
      <c r="Z2030">
        <v>6</v>
      </c>
      <c r="AA2030">
        <v>156.69999999999999</v>
      </c>
      <c r="AB2030">
        <v>6</v>
      </c>
      <c r="AC2030">
        <v>162.1</v>
      </c>
      <c r="AD2030">
        <v>0</v>
      </c>
      <c r="AE2030">
        <v>0</v>
      </c>
      <c r="AF2030">
        <v>0</v>
      </c>
      <c r="AG2030">
        <v>0</v>
      </c>
      <c r="AH2030">
        <v>0</v>
      </c>
    </row>
    <row r="2031" spans="1:34" x14ac:dyDescent="0.35">
      <c r="A2031" t="s">
        <v>34</v>
      </c>
      <c r="B2031" s="1">
        <v>46146.65625</v>
      </c>
      <c r="C2031" t="s">
        <v>34</v>
      </c>
      <c r="D2031" s="1">
        <v>46155.625</v>
      </c>
      <c r="E2031">
        <v>7360</v>
      </c>
      <c r="F2031" t="s">
        <v>36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7</v>
      </c>
      <c r="M2031">
        <v>158.9</v>
      </c>
      <c r="N2031">
        <v>6</v>
      </c>
      <c r="O2031">
        <v>164.4</v>
      </c>
      <c r="P2031">
        <v>0</v>
      </c>
      <c r="Q2031">
        <v>0</v>
      </c>
      <c r="R2031">
        <v>0</v>
      </c>
      <c r="S2031">
        <v>0</v>
      </c>
      <c r="T2031">
        <v>0.11269999999999999</v>
      </c>
      <c r="U2031">
        <v>-0.88160000000000005</v>
      </c>
      <c r="V2031">
        <v>1.6000000000000001E-3</v>
      </c>
      <c r="W2031">
        <v>-1.3529</v>
      </c>
      <c r="X2031">
        <v>2.3578000000000001</v>
      </c>
      <c r="Y2031">
        <v>-1.6037999999999999</v>
      </c>
      <c r="Z2031">
        <v>6</v>
      </c>
      <c r="AA2031">
        <v>161</v>
      </c>
      <c r="AB2031">
        <v>6</v>
      </c>
      <c r="AC2031">
        <v>166.3</v>
      </c>
      <c r="AD2031">
        <v>0</v>
      </c>
      <c r="AE2031">
        <v>0</v>
      </c>
      <c r="AF2031">
        <v>0</v>
      </c>
      <c r="AG2031">
        <v>0</v>
      </c>
      <c r="AH2031">
        <v>0</v>
      </c>
    </row>
    <row r="2032" spans="1:34" x14ac:dyDescent="0.35">
      <c r="A2032" t="s">
        <v>34</v>
      </c>
      <c r="B2032" s="1">
        <v>46146.65625</v>
      </c>
      <c r="C2032" t="s">
        <v>34</v>
      </c>
      <c r="D2032" s="1">
        <v>46155.625</v>
      </c>
      <c r="E2032">
        <v>7365</v>
      </c>
      <c r="F2032" t="s">
        <v>36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7</v>
      </c>
      <c r="M2032">
        <v>163.4</v>
      </c>
      <c r="N2032">
        <v>6</v>
      </c>
      <c r="O2032">
        <v>169.1</v>
      </c>
      <c r="P2032">
        <v>0</v>
      </c>
      <c r="Q2032">
        <v>0</v>
      </c>
      <c r="R2032">
        <v>0</v>
      </c>
      <c r="S2032">
        <v>0</v>
      </c>
      <c r="T2032">
        <v>0.1134</v>
      </c>
      <c r="U2032">
        <v>-0.88749999999999996</v>
      </c>
      <c r="V2032">
        <v>1.5E-3</v>
      </c>
      <c r="W2032">
        <v>-1.3087</v>
      </c>
      <c r="X2032">
        <v>2.2797000000000001</v>
      </c>
      <c r="Y2032">
        <v>-1.6153</v>
      </c>
      <c r="Z2032">
        <v>6</v>
      </c>
      <c r="AA2032">
        <v>165.1</v>
      </c>
      <c r="AB2032">
        <v>6</v>
      </c>
      <c r="AC2032">
        <v>170.7</v>
      </c>
      <c r="AD2032">
        <v>0</v>
      </c>
      <c r="AE2032">
        <v>0</v>
      </c>
      <c r="AF2032">
        <v>0</v>
      </c>
      <c r="AG2032">
        <v>0</v>
      </c>
      <c r="AH2032">
        <v>0</v>
      </c>
    </row>
    <row r="2033" spans="1:34" x14ac:dyDescent="0.35">
      <c r="A2033" t="s">
        <v>34</v>
      </c>
      <c r="B2033" s="1">
        <v>46146.65625</v>
      </c>
      <c r="C2033" t="s">
        <v>34</v>
      </c>
      <c r="D2033" s="1">
        <v>46155.625</v>
      </c>
      <c r="E2033">
        <v>7370</v>
      </c>
      <c r="F2033" t="s">
        <v>36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7</v>
      </c>
      <c r="M2033">
        <v>167.9</v>
      </c>
      <c r="N2033">
        <v>6</v>
      </c>
      <c r="O2033">
        <v>173</v>
      </c>
      <c r="P2033">
        <v>0</v>
      </c>
      <c r="Q2033">
        <v>0</v>
      </c>
      <c r="R2033">
        <v>0</v>
      </c>
      <c r="S2033">
        <v>0</v>
      </c>
      <c r="T2033">
        <v>0.112</v>
      </c>
      <c r="U2033">
        <v>-0.89729999999999999</v>
      </c>
      <c r="V2033">
        <v>1.4E-3</v>
      </c>
      <c r="W2033">
        <v>-1.2029000000000001</v>
      </c>
      <c r="X2033">
        <v>2.1461999999999999</v>
      </c>
      <c r="Y2033">
        <v>-1.6338999999999999</v>
      </c>
      <c r="Z2033">
        <v>6</v>
      </c>
      <c r="AA2033">
        <v>169.5</v>
      </c>
      <c r="AB2033">
        <v>6</v>
      </c>
      <c r="AC2033">
        <v>175.1</v>
      </c>
      <c r="AD2033">
        <v>0</v>
      </c>
      <c r="AE2033">
        <v>0</v>
      </c>
      <c r="AF2033">
        <v>0</v>
      </c>
      <c r="AG2033">
        <v>0</v>
      </c>
      <c r="AH2033">
        <v>0</v>
      </c>
    </row>
    <row r="2034" spans="1:34" x14ac:dyDescent="0.35">
      <c r="A2034" t="s">
        <v>34</v>
      </c>
      <c r="B2034" s="1">
        <v>46146.65625</v>
      </c>
      <c r="C2034" t="s">
        <v>34</v>
      </c>
      <c r="D2034" s="1">
        <v>46155.625</v>
      </c>
      <c r="E2034">
        <v>7375</v>
      </c>
      <c r="F2034" t="s">
        <v>36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7</v>
      </c>
      <c r="M2034">
        <v>172.3</v>
      </c>
      <c r="N2034">
        <v>6</v>
      </c>
      <c r="O2034">
        <v>177.4</v>
      </c>
      <c r="P2034">
        <v>0</v>
      </c>
      <c r="Q2034">
        <v>0</v>
      </c>
      <c r="R2034">
        <v>0</v>
      </c>
      <c r="S2034">
        <v>0</v>
      </c>
      <c r="T2034">
        <v>0.1114</v>
      </c>
      <c r="U2034">
        <v>-0.90529999999999999</v>
      </c>
      <c r="V2034">
        <v>1.2999999999999999E-3</v>
      </c>
      <c r="W2034">
        <v>-1.1208</v>
      </c>
      <c r="X2034">
        <v>2.0316000000000001</v>
      </c>
      <c r="Y2034">
        <v>-1.649</v>
      </c>
      <c r="Z2034">
        <v>6</v>
      </c>
      <c r="AA2034">
        <v>173.9</v>
      </c>
      <c r="AB2034">
        <v>6</v>
      </c>
      <c r="AC2034">
        <v>179.5</v>
      </c>
      <c r="AD2034">
        <v>0</v>
      </c>
      <c r="AE2034">
        <v>0</v>
      </c>
      <c r="AF2034">
        <v>0</v>
      </c>
      <c r="AG2034">
        <v>1</v>
      </c>
      <c r="AH2034">
        <v>0</v>
      </c>
    </row>
    <row r="2035" spans="1:34" x14ac:dyDescent="0.35">
      <c r="A2035" t="s">
        <v>34</v>
      </c>
      <c r="B2035" s="1">
        <v>46146.65625</v>
      </c>
      <c r="C2035" t="s">
        <v>34</v>
      </c>
      <c r="D2035" s="1">
        <v>46155.625</v>
      </c>
      <c r="E2035">
        <v>7380</v>
      </c>
      <c r="F2035" t="s">
        <v>36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7</v>
      </c>
      <c r="M2035">
        <v>176.7</v>
      </c>
      <c r="N2035">
        <v>6</v>
      </c>
      <c r="O2035">
        <v>182</v>
      </c>
      <c r="P2035">
        <v>0</v>
      </c>
      <c r="Q2035">
        <v>0</v>
      </c>
      <c r="R2035">
        <v>0</v>
      </c>
      <c r="S2035">
        <v>0</v>
      </c>
      <c r="T2035">
        <v>0.11119999999999999</v>
      </c>
      <c r="U2035">
        <v>-0.91190000000000004</v>
      </c>
      <c r="V2035">
        <v>1.2999999999999999E-3</v>
      </c>
      <c r="W2035">
        <v>-1.0547</v>
      </c>
      <c r="X2035">
        <v>1.9326000000000001</v>
      </c>
      <c r="Y2035">
        <v>-1.6617</v>
      </c>
      <c r="Z2035">
        <v>6</v>
      </c>
      <c r="AA2035">
        <v>178.3</v>
      </c>
      <c r="AB2035">
        <v>6</v>
      </c>
      <c r="AC2035">
        <v>184</v>
      </c>
      <c r="AD2035">
        <v>0</v>
      </c>
      <c r="AE2035">
        <v>0</v>
      </c>
      <c r="AF2035">
        <v>0</v>
      </c>
      <c r="AG2035">
        <v>0</v>
      </c>
      <c r="AH2035">
        <v>0</v>
      </c>
    </row>
    <row r="2036" spans="1:34" x14ac:dyDescent="0.35">
      <c r="A2036" t="s">
        <v>34</v>
      </c>
      <c r="B2036" s="1">
        <v>46146.65625</v>
      </c>
      <c r="C2036" t="s">
        <v>34</v>
      </c>
      <c r="D2036" s="1">
        <v>46155.625</v>
      </c>
      <c r="E2036">
        <v>7390</v>
      </c>
      <c r="F2036" t="s">
        <v>36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1</v>
      </c>
      <c r="M2036">
        <v>185.5</v>
      </c>
      <c r="N2036">
        <v>6</v>
      </c>
      <c r="O2036">
        <v>191.3</v>
      </c>
      <c r="P2036">
        <v>0</v>
      </c>
      <c r="Q2036">
        <v>0</v>
      </c>
      <c r="R2036">
        <v>0</v>
      </c>
      <c r="S2036">
        <v>0</v>
      </c>
      <c r="T2036">
        <v>0.1101</v>
      </c>
      <c r="U2036">
        <v>-0.92589999999999995</v>
      </c>
      <c r="V2036">
        <v>1.1000000000000001E-3</v>
      </c>
      <c r="W2036">
        <v>-0.90429999999999999</v>
      </c>
      <c r="X2036">
        <v>1.7159</v>
      </c>
      <c r="Y2036">
        <v>-1.6883999999999999</v>
      </c>
      <c r="Z2036">
        <v>6</v>
      </c>
      <c r="AA2036">
        <v>187.3</v>
      </c>
      <c r="AB2036">
        <v>6</v>
      </c>
      <c r="AC2036">
        <v>193.1</v>
      </c>
      <c r="AD2036">
        <v>0</v>
      </c>
      <c r="AE2036">
        <v>0</v>
      </c>
      <c r="AF2036">
        <v>0</v>
      </c>
      <c r="AG2036">
        <v>0</v>
      </c>
      <c r="AH2036">
        <v>0</v>
      </c>
    </row>
    <row r="2037" spans="1:34" x14ac:dyDescent="0.35">
      <c r="A2037" t="s">
        <v>34</v>
      </c>
      <c r="B2037" s="1">
        <v>46146.65625</v>
      </c>
      <c r="C2037" t="s">
        <v>34</v>
      </c>
      <c r="D2037" s="1">
        <v>46155.625</v>
      </c>
      <c r="E2037">
        <v>7400</v>
      </c>
      <c r="F2037" t="s">
        <v>36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6</v>
      </c>
      <c r="M2037">
        <v>194.9</v>
      </c>
      <c r="N2037">
        <v>6</v>
      </c>
      <c r="O2037">
        <v>200.5</v>
      </c>
      <c r="P2037">
        <v>0</v>
      </c>
      <c r="Q2037">
        <v>0</v>
      </c>
      <c r="R2037">
        <v>0</v>
      </c>
      <c r="S2037">
        <v>0</v>
      </c>
      <c r="T2037">
        <v>0.1104</v>
      </c>
      <c r="U2037">
        <v>-0.93559999999999999</v>
      </c>
      <c r="V2037">
        <v>1E-3</v>
      </c>
      <c r="W2037">
        <v>-0.80369999999999997</v>
      </c>
      <c r="X2037">
        <v>1.5507</v>
      </c>
      <c r="Y2037">
        <v>-1.7077</v>
      </c>
      <c r="Z2037">
        <v>6</v>
      </c>
      <c r="AA2037">
        <v>196.5</v>
      </c>
      <c r="AB2037">
        <v>6</v>
      </c>
      <c r="AC2037">
        <v>202.3</v>
      </c>
      <c r="AD2037">
        <v>0</v>
      </c>
      <c r="AE2037">
        <v>0</v>
      </c>
      <c r="AF2037">
        <v>0</v>
      </c>
      <c r="AG2037">
        <v>1</v>
      </c>
      <c r="AH2037">
        <v>0</v>
      </c>
    </row>
    <row r="2038" spans="1:34" x14ac:dyDescent="0.35">
      <c r="A2038" t="s">
        <v>34</v>
      </c>
      <c r="B2038" s="1">
        <v>46146.65625</v>
      </c>
      <c r="C2038" t="s">
        <v>34</v>
      </c>
      <c r="D2038" s="1">
        <v>46155.625</v>
      </c>
      <c r="E2038">
        <v>7410</v>
      </c>
      <c r="F2038" t="s">
        <v>36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1</v>
      </c>
      <c r="M2038">
        <v>200.6</v>
      </c>
      <c r="N2038">
        <v>2</v>
      </c>
      <c r="O2038">
        <v>213</v>
      </c>
      <c r="P2038">
        <v>0</v>
      </c>
      <c r="Q2038">
        <v>0</v>
      </c>
      <c r="R2038">
        <v>0</v>
      </c>
      <c r="S2038">
        <v>0</v>
      </c>
      <c r="T2038">
        <v>0.107</v>
      </c>
      <c r="U2038">
        <v>-0.95030000000000003</v>
      </c>
      <c r="V2038">
        <v>8.0000000000000004E-4</v>
      </c>
      <c r="W2038">
        <v>-0.62019999999999997</v>
      </c>
      <c r="X2038">
        <v>1.2884</v>
      </c>
      <c r="Y2038">
        <v>-1.7358</v>
      </c>
      <c r="Z2038">
        <v>2</v>
      </c>
      <c r="AA2038">
        <v>201</v>
      </c>
      <c r="AB2038">
        <v>1</v>
      </c>
      <c r="AC2038">
        <v>223.2</v>
      </c>
      <c r="AD2038">
        <v>0</v>
      </c>
      <c r="AE2038">
        <v>0</v>
      </c>
      <c r="AF2038">
        <v>0</v>
      </c>
      <c r="AG2038">
        <v>1</v>
      </c>
      <c r="AH2038">
        <v>0</v>
      </c>
    </row>
    <row r="2039" spans="1:34" x14ac:dyDescent="0.35">
      <c r="A2039" t="s">
        <v>34</v>
      </c>
      <c r="B2039" s="1">
        <v>46146.65625</v>
      </c>
      <c r="C2039" t="s">
        <v>34</v>
      </c>
      <c r="D2039" s="1">
        <v>46155.625</v>
      </c>
      <c r="E2039">
        <v>7420</v>
      </c>
      <c r="F2039" t="s">
        <v>36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1</v>
      </c>
      <c r="M2039">
        <v>210.1</v>
      </c>
      <c r="N2039">
        <v>1</v>
      </c>
      <c r="O2039">
        <v>223.8</v>
      </c>
      <c r="P2039">
        <v>0</v>
      </c>
      <c r="Q2039">
        <v>0</v>
      </c>
      <c r="R2039">
        <v>0</v>
      </c>
      <c r="S2039">
        <v>0</v>
      </c>
      <c r="T2039">
        <v>0.1148</v>
      </c>
      <c r="U2039">
        <v>-0.94610000000000005</v>
      </c>
      <c r="V2039">
        <v>8.0000000000000004E-4</v>
      </c>
      <c r="W2039">
        <v>-0.71609999999999996</v>
      </c>
      <c r="X2039">
        <v>1.3593</v>
      </c>
      <c r="Y2039">
        <v>-1.7304999999999999</v>
      </c>
      <c r="Z2039">
        <v>1</v>
      </c>
      <c r="AA2039">
        <v>208.7</v>
      </c>
      <c r="AB2039">
        <v>1</v>
      </c>
      <c r="AC2039">
        <v>227.7</v>
      </c>
      <c r="AD2039">
        <v>0</v>
      </c>
      <c r="AE2039">
        <v>0</v>
      </c>
      <c r="AF2039">
        <v>0</v>
      </c>
      <c r="AG2039">
        <v>0</v>
      </c>
      <c r="AH2039">
        <v>0</v>
      </c>
    </row>
    <row r="2040" spans="1:34" x14ac:dyDescent="0.35">
      <c r="A2040" t="s">
        <v>34</v>
      </c>
      <c r="B2040" s="1">
        <v>46146.65625</v>
      </c>
      <c r="C2040" t="s">
        <v>34</v>
      </c>
      <c r="D2040" s="1">
        <v>46155.625</v>
      </c>
      <c r="E2040">
        <v>7425</v>
      </c>
      <c r="F2040" t="s">
        <v>36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1</v>
      </c>
      <c r="M2040">
        <v>210.8</v>
      </c>
      <c r="N2040">
        <v>1</v>
      </c>
      <c r="O2040">
        <v>228.7</v>
      </c>
      <c r="P2040">
        <v>0</v>
      </c>
      <c r="Q2040">
        <v>0</v>
      </c>
      <c r="R2040">
        <v>0</v>
      </c>
      <c r="S2040">
        <v>0</v>
      </c>
      <c r="T2040">
        <v>9.3299999999999994E-2</v>
      </c>
      <c r="U2040">
        <v>-0.97870000000000001</v>
      </c>
      <c r="V2040">
        <v>5.0000000000000001E-4</v>
      </c>
      <c r="W2040">
        <v>-0.24129999999999999</v>
      </c>
      <c r="X2040">
        <v>0.6946</v>
      </c>
      <c r="Y2040">
        <v>-1.7887</v>
      </c>
      <c r="Z2040">
        <v>2</v>
      </c>
      <c r="AA2040">
        <v>212.4</v>
      </c>
      <c r="AB2040">
        <v>1</v>
      </c>
      <c r="AC2040">
        <v>236</v>
      </c>
      <c r="AD2040">
        <v>0</v>
      </c>
      <c r="AE2040">
        <v>0</v>
      </c>
      <c r="AF2040">
        <v>0</v>
      </c>
      <c r="AG2040">
        <v>2</v>
      </c>
      <c r="AH2040">
        <v>0</v>
      </c>
    </row>
    <row r="2041" spans="1:34" x14ac:dyDescent="0.35">
      <c r="A2041" t="s">
        <v>34</v>
      </c>
      <c r="B2041" s="1">
        <v>46146.65625</v>
      </c>
      <c r="C2041" t="s">
        <v>34</v>
      </c>
      <c r="D2041" s="1">
        <v>46155.625</v>
      </c>
      <c r="E2041">
        <v>7430</v>
      </c>
      <c r="F2041" t="s">
        <v>36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1</v>
      </c>
      <c r="M2041">
        <v>215.6</v>
      </c>
      <c r="N2041">
        <v>1</v>
      </c>
      <c r="O2041">
        <v>234.2</v>
      </c>
      <c r="P2041">
        <v>0</v>
      </c>
      <c r="Q2041">
        <v>0</v>
      </c>
      <c r="R2041">
        <v>0</v>
      </c>
      <c r="S2041">
        <v>0</v>
      </c>
      <c r="T2041">
        <v>8.77E-2</v>
      </c>
      <c r="U2041">
        <v>-0.98660000000000003</v>
      </c>
      <c r="V2041">
        <v>2.9999999999999997E-4</v>
      </c>
      <c r="W2041">
        <v>-0.1386</v>
      </c>
      <c r="X2041">
        <v>0.49259999999999998</v>
      </c>
      <c r="Y2041">
        <v>-1.8032999999999999</v>
      </c>
      <c r="Z2041">
        <v>1</v>
      </c>
      <c r="AA2041">
        <v>217.4</v>
      </c>
      <c r="AB2041">
        <v>3</v>
      </c>
      <c r="AC2041">
        <v>241</v>
      </c>
      <c r="AD2041">
        <v>0</v>
      </c>
      <c r="AE2041">
        <v>0</v>
      </c>
      <c r="AF2041">
        <v>0</v>
      </c>
      <c r="AG2041">
        <v>0</v>
      </c>
      <c r="AH2041">
        <v>0</v>
      </c>
    </row>
    <row r="2042" spans="1:34" x14ac:dyDescent="0.35">
      <c r="A2042" t="s">
        <v>34</v>
      </c>
      <c r="B2042" s="1">
        <v>46146.65625</v>
      </c>
      <c r="C2042" t="s">
        <v>34</v>
      </c>
      <c r="D2042" s="1">
        <v>46155.625</v>
      </c>
      <c r="E2042">
        <v>7440</v>
      </c>
      <c r="F2042" t="s">
        <v>36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1</v>
      </c>
      <c r="M2042">
        <v>225.8</v>
      </c>
      <c r="N2042">
        <v>2</v>
      </c>
      <c r="O2042">
        <v>244.3</v>
      </c>
      <c r="P2042">
        <v>0</v>
      </c>
      <c r="Q2042">
        <v>0</v>
      </c>
      <c r="R2042">
        <v>0</v>
      </c>
      <c r="S2042">
        <v>0</v>
      </c>
      <c r="T2042">
        <v>0.16109999999999999</v>
      </c>
      <c r="U2042">
        <v>-0.89449999999999996</v>
      </c>
      <c r="V2042">
        <v>1E-3</v>
      </c>
      <c r="W2042">
        <v>-1.7655000000000001</v>
      </c>
      <c r="X2042">
        <v>2.1440000000000001</v>
      </c>
      <c r="Y2042">
        <v>-1.6454</v>
      </c>
      <c r="Z2042">
        <v>1</v>
      </c>
      <c r="AA2042">
        <v>227.5</v>
      </c>
      <c r="AB2042">
        <v>3</v>
      </c>
      <c r="AC2042">
        <v>250.7</v>
      </c>
      <c r="AD2042">
        <v>0</v>
      </c>
      <c r="AE2042">
        <v>0</v>
      </c>
      <c r="AF2042">
        <v>0</v>
      </c>
      <c r="AG2042">
        <v>0</v>
      </c>
      <c r="AH2042">
        <v>0</v>
      </c>
    </row>
    <row r="2043" spans="1:34" x14ac:dyDescent="0.35">
      <c r="A2043" t="s">
        <v>34</v>
      </c>
      <c r="B2043" s="1">
        <v>46146.65625</v>
      </c>
      <c r="C2043" t="s">
        <v>34</v>
      </c>
      <c r="D2043" s="1">
        <v>46155.625</v>
      </c>
      <c r="E2043">
        <v>7450</v>
      </c>
      <c r="F2043" t="s">
        <v>36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1</v>
      </c>
      <c r="M2043">
        <v>234.9</v>
      </c>
      <c r="N2043">
        <v>1</v>
      </c>
      <c r="O2043">
        <v>254</v>
      </c>
      <c r="P2043">
        <v>0</v>
      </c>
      <c r="Q2043">
        <v>0</v>
      </c>
      <c r="R2043">
        <v>0</v>
      </c>
      <c r="S2043">
        <v>0</v>
      </c>
      <c r="T2043">
        <v>0.16800000000000001</v>
      </c>
      <c r="U2043">
        <v>-0.89339999999999997</v>
      </c>
      <c r="V2043">
        <v>1E-3</v>
      </c>
      <c r="W2043">
        <v>-1.8575999999999999</v>
      </c>
      <c r="X2043">
        <v>2.1568999999999998</v>
      </c>
      <c r="Y2043">
        <v>-1.6458999999999999</v>
      </c>
      <c r="Z2043">
        <v>1</v>
      </c>
      <c r="AA2043">
        <v>237.3</v>
      </c>
      <c r="AB2043">
        <v>2</v>
      </c>
      <c r="AC2043">
        <v>260.3</v>
      </c>
      <c r="AD2043">
        <v>0</v>
      </c>
      <c r="AE2043">
        <v>0</v>
      </c>
      <c r="AF2043">
        <v>0</v>
      </c>
      <c r="AG2043">
        <v>3</v>
      </c>
      <c r="AH2043">
        <v>0</v>
      </c>
    </row>
    <row r="2044" spans="1:34" x14ac:dyDescent="0.35">
      <c r="A2044" t="s">
        <v>34</v>
      </c>
      <c r="B2044" s="1">
        <v>46146.65625</v>
      </c>
      <c r="C2044" t="s">
        <v>34</v>
      </c>
      <c r="D2044" s="1">
        <v>46155.625</v>
      </c>
      <c r="E2044">
        <v>7475</v>
      </c>
      <c r="F2044" t="s">
        <v>36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1</v>
      </c>
      <c r="M2044">
        <v>259.2</v>
      </c>
      <c r="N2044">
        <v>1</v>
      </c>
      <c r="O2044">
        <v>279.89999999999998</v>
      </c>
      <c r="P2044">
        <v>0</v>
      </c>
      <c r="Q2044">
        <v>0</v>
      </c>
      <c r="R2044">
        <v>0</v>
      </c>
      <c r="S2044">
        <v>0</v>
      </c>
      <c r="T2044">
        <v>0.10539999999999999</v>
      </c>
      <c r="U2044">
        <v>-0.98599999999999999</v>
      </c>
      <c r="V2044">
        <v>2.9999999999999997E-4</v>
      </c>
      <c r="W2044">
        <v>-0.17449999999999999</v>
      </c>
      <c r="X2044">
        <v>0.48830000000000001</v>
      </c>
      <c r="Y2044">
        <v>-1.8124</v>
      </c>
      <c r="Z2044">
        <v>3</v>
      </c>
      <c r="AA2044">
        <v>261.10000000000002</v>
      </c>
      <c r="AB2044">
        <v>1</v>
      </c>
      <c r="AC2044">
        <v>281.2</v>
      </c>
      <c r="AD2044">
        <v>0</v>
      </c>
      <c r="AE2044">
        <v>0</v>
      </c>
      <c r="AF2044">
        <v>0</v>
      </c>
      <c r="AG2044">
        <v>0</v>
      </c>
      <c r="AH2044">
        <v>0</v>
      </c>
    </row>
    <row r="2045" spans="1:34" x14ac:dyDescent="0.35">
      <c r="A2045" t="s">
        <v>34</v>
      </c>
      <c r="B2045" s="1">
        <v>46146.65625</v>
      </c>
      <c r="C2045" t="s">
        <v>34</v>
      </c>
      <c r="D2045" s="1">
        <v>46155.625</v>
      </c>
      <c r="E2045">
        <v>7500</v>
      </c>
      <c r="F2045" t="s">
        <v>36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1</v>
      </c>
      <c r="M2045">
        <v>285.2</v>
      </c>
      <c r="N2045">
        <v>1</v>
      </c>
      <c r="O2045">
        <v>304</v>
      </c>
      <c r="P2045">
        <v>0</v>
      </c>
      <c r="Q2045">
        <v>0</v>
      </c>
      <c r="R2045">
        <v>0</v>
      </c>
      <c r="S2045">
        <v>0</v>
      </c>
      <c r="T2045">
        <v>0.11559999999999999</v>
      </c>
      <c r="U2045">
        <v>-0.98560000000000003</v>
      </c>
      <c r="V2045">
        <v>2.9999999999999997E-4</v>
      </c>
      <c r="W2045">
        <v>-0.19789999999999999</v>
      </c>
      <c r="X2045">
        <v>0.49130000000000001</v>
      </c>
      <c r="Y2045">
        <v>-1.8171999999999999</v>
      </c>
      <c r="Z2045">
        <v>1</v>
      </c>
      <c r="AA2045">
        <v>287.3</v>
      </c>
      <c r="AB2045">
        <v>3</v>
      </c>
      <c r="AC2045">
        <v>309.89999999999998</v>
      </c>
      <c r="AD2045">
        <v>0</v>
      </c>
      <c r="AE2045">
        <v>0</v>
      </c>
      <c r="AF2045">
        <v>0</v>
      </c>
      <c r="AG2045">
        <v>0</v>
      </c>
      <c r="AH2045">
        <v>0</v>
      </c>
    </row>
    <row r="2046" spans="1:34" x14ac:dyDescent="0.35">
      <c r="A2046" t="s">
        <v>34</v>
      </c>
      <c r="B2046" s="1">
        <v>46146.65625</v>
      </c>
      <c r="C2046" t="s">
        <v>34</v>
      </c>
      <c r="D2046" s="1">
        <v>46155.625</v>
      </c>
      <c r="E2046">
        <v>7525</v>
      </c>
      <c r="F2046" t="s">
        <v>36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1</v>
      </c>
      <c r="M2046">
        <v>310.10000000000002</v>
      </c>
      <c r="N2046">
        <v>1</v>
      </c>
      <c r="O2046">
        <v>329.3</v>
      </c>
      <c r="P2046">
        <v>0</v>
      </c>
      <c r="Q2046">
        <v>0</v>
      </c>
      <c r="R2046">
        <v>0</v>
      </c>
      <c r="S2046">
        <v>0</v>
      </c>
      <c r="T2046">
        <v>0.12690000000000001</v>
      </c>
      <c r="U2046">
        <v>-0.98440000000000005</v>
      </c>
      <c r="V2046">
        <v>2.9999999999999997E-4</v>
      </c>
      <c r="W2046">
        <v>-0.23630000000000001</v>
      </c>
      <c r="X2046">
        <v>0.5141</v>
      </c>
      <c r="Y2046">
        <v>-1.8208</v>
      </c>
      <c r="Z2046">
        <v>3</v>
      </c>
      <c r="AA2046">
        <v>310.8</v>
      </c>
      <c r="AB2046">
        <v>1</v>
      </c>
      <c r="AC2046">
        <v>329.7</v>
      </c>
      <c r="AD2046">
        <v>0</v>
      </c>
      <c r="AE2046">
        <v>0</v>
      </c>
      <c r="AF2046">
        <v>0</v>
      </c>
      <c r="AG2046">
        <v>0</v>
      </c>
      <c r="AH2046">
        <v>0</v>
      </c>
    </row>
    <row r="2047" spans="1:34" x14ac:dyDescent="0.35">
      <c r="A2047" t="s">
        <v>34</v>
      </c>
      <c r="B2047" s="1">
        <v>46146.65625</v>
      </c>
      <c r="C2047" t="s">
        <v>34</v>
      </c>
      <c r="D2047" s="1">
        <v>46155.625</v>
      </c>
      <c r="E2047">
        <v>7550</v>
      </c>
      <c r="F2047" t="s">
        <v>36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1</v>
      </c>
      <c r="M2047">
        <v>335</v>
      </c>
      <c r="N2047">
        <v>1</v>
      </c>
      <c r="O2047">
        <v>354.5</v>
      </c>
      <c r="P2047">
        <v>0</v>
      </c>
      <c r="Q2047">
        <v>0</v>
      </c>
      <c r="R2047">
        <v>0</v>
      </c>
      <c r="S2047">
        <v>0</v>
      </c>
      <c r="T2047">
        <v>0.13700000000000001</v>
      </c>
      <c r="U2047">
        <v>-0.98419999999999996</v>
      </c>
      <c r="V2047">
        <v>2.9999999999999997E-4</v>
      </c>
      <c r="W2047">
        <v>-0.2596</v>
      </c>
      <c r="X2047">
        <v>0.51459999999999995</v>
      </c>
      <c r="Y2047">
        <v>-1.8259000000000001</v>
      </c>
      <c r="Z2047">
        <v>3</v>
      </c>
      <c r="AA2047">
        <v>335.7</v>
      </c>
      <c r="AB2047">
        <v>1</v>
      </c>
      <c r="AC2047">
        <v>354.5</v>
      </c>
      <c r="AD2047">
        <v>0</v>
      </c>
      <c r="AE2047">
        <v>0</v>
      </c>
      <c r="AF2047">
        <v>0</v>
      </c>
      <c r="AG2047">
        <v>0</v>
      </c>
      <c r="AH2047">
        <v>0</v>
      </c>
    </row>
    <row r="2048" spans="1:34" x14ac:dyDescent="0.35">
      <c r="A2048" t="s">
        <v>34</v>
      </c>
      <c r="B2048" s="1">
        <v>46146.65625</v>
      </c>
      <c r="C2048" t="s">
        <v>34</v>
      </c>
      <c r="D2048" s="1">
        <v>46155.625</v>
      </c>
      <c r="E2048">
        <v>7575</v>
      </c>
      <c r="F2048" t="s">
        <v>36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1</v>
      </c>
      <c r="M2048">
        <v>359.9</v>
      </c>
      <c r="N2048">
        <v>1</v>
      </c>
      <c r="O2048">
        <v>379.1</v>
      </c>
      <c r="P2048">
        <v>0</v>
      </c>
      <c r="Q2048">
        <v>0</v>
      </c>
      <c r="R2048">
        <v>0</v>
      </c>
      <c r="S2048">
        <v>0</v>
      </c>
      <c r="T2048">
        <v>0.13930000000000001</v>
      </c>
      <c r="U2048">
        <v>-0.98819999999999997</v>
      </c>
      <c r="V2048">
        <v>2.0000000000000001E-4</v>
      </c>
      <c r="W2048">
        <v>-0.1898</v>
      </c>
      <c r="X2048">
        <v>0.40410000000000001</v>
      </c>
      <c r="Y2048">
        <v>-1.8385</v>
      </c>
      <c r="Z2048">
        <v>3</v>
      </c>
      <c r="AA2048">
        <v>360.6</v>
      </c>
      <c r="AB2048">
        <v>1</v>
      </c>
      <c r="AC2048">
        <v>380.4</v>
      </c>
      <c r="AD2048">
        <v>0</v>
      </c>
      <c r="AE2048">
        <v>0</v>
      </c>
      <c r="AF2048">
        <v>0</v>
      </c>
      <c r="AG2048">
        <v>0</v>
      </c>
      <c r="AH2048">
        <v>0</v>
      </c>
    </row>
    <row r="2049" spans="1:34" x14ac:dyDescent="0.35">
      <c r="A2049" t="s">
        <v>34</v>
      </c>
      <c r="B2049" s="1">
        <v>46146.65625</v>
      </c>
      <c r="C2049" t="s">
        <v>34</v>
      </c>
      <c r="D2049" s="1">
        <v>46155.625</v>
      </c>
      <c r="E2049">
        <v>7600</v>
      </c>
      <c r="F2049" t="s">
        <v>36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1</v>
      </c>
      <c r="M2049">
        <v>384.6</v>
      </c>
      <c r="N2049">
        <v>1</v>
      </c>
      <c r="O2049">
        <v>403.8</v>
      </c>
      <c r="P2049">
        <v>0</v>
      </c>
      <c r="Q2049">
        <v>0</v>
      </c>
      <c r="R2049">
        <v>0</v>
      </c>
      <c r="S2049">
        <v>0</v>
      </c>
      <c r="T2049">
        <v>0.13689999999999999</v>
      </c>
      <c r="U2049">
        <v>-0.99299999999999999</v>
      </c>
      <c r="V2049">
        <v>1E-4</v>
      </c>
      <c r="W2049">
        <v>-9.5000000000000001E-2</v>
      </c>
      <c r="X2049">
        <v>0.26350000000000001</v>
      </c>
      <c r="Y2049">
        <v>-1.8523000000000001</v>
      </c>
      <c r="Z2049">
        <v>2</v>
      </c>
      <c r="AA2049">
        <v>385.6</v>
      </c>
      <c r="AB2049">
        <v>1</v>
      </c>
      <c r="AC2049">
        <v>405.1</v>
      </c>
      <c r="AD2049">
        <v>0</v>
      </c>
      <c r="AE2049">
        <v>0</v>
      </c>
      <c r="AF2049">
        <v>0</v>
      </c>
      <c r="AG2049">
        <v>0</v>
      </c>
      <c r="AH2049">
        <v>0</v>
      </c>
    </row>
    <row r="2050" spans="1:34" x14ac:dyDescent="0.35">
      <c r="A2050" t="s">
        <v>34</v>
      </c>
      <c r="B2050" s="1">
        <v>46146.65625</v>
      </c>
      <c r="C2050" t="s">
        <v>34</v>
      </c>
      <c r="D2050" s="1">
        <v>46155.625</v>
      </c>
      <c r="E2050">
        <v>7625</v>
      </c>
      <c r="F2050" t="s">
        <v>36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1</v>
      </c>
      <c r="M2050">
        <v>409.1</v>
      </c>
      <c r="N2050">
        <v>1</v>
      </c>
      <c r="O2050">
        <v>428.8</v>
      </c>
      <c r="P2050">
        <v>0</v>
      </c>
      <c r="Q2050">
        <v>0</v>
      </c>
      <c r="R2050">
        <v>0</v>
      </c>
      <c r="S2050">
        <v>0</v>
      </c>
      <c r="T2050">
        <v>0.12839999999999999</v>
      </c>
      <c r="U2050">
        <v>-0.99729999999999996</v>
      </c>
      <c r="V2050">
        <v>1E-4</v>
      </c>
      <c r="W2050">
        <v>-5.1000000000000004E-3</v>
      </c>
      <c r="X2050">
        <v>0.1191</v>
      </c>
      <c r="Y2050">
        <v>-1.8653999999999999</v>
      </c>
      <c r="Z2050">
        <v>3</v>
      </c>
      <c r="AA2050">
        <v>410.5</v>
      </c>
      <c r="AB2050">
        <v>1</v>
      </c>
      <c r="AC2050">
        <v>429.4</v>
      </c>
      <c r="AD2050">
        <v>0</v>
      </c>
      <c r="AE2050">
        <v>0</v>
      </c>
      <c r="AF2050">
        <v>0</v>
      </c>
      <c r="AG2050">
        <v>0</v>
      </c>
      <c r="AH2050">
        <v>0</v>
      </c>
    </row>
    <row r="2051" spans="1:34" x14ac:dyDescent="0.35">
      <c r="A2051" t="s">
        <v>34</v>
      </c>
      <c r="B2051" s="1">
        <v>46146.65625</v>
      </c>
      <c r="C2051" t="s">
        <v>34</v>
      </c>
      <c r="D2051" s="1">
        <v>46155.625</v>
      </c>
      <c r="E2051">
        <v>7650</v>
      </c>
      <c r="F2051" t="s">
        <v>36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1</v>
      </c>
      <c r="M2051">
        <v>434.8</v>
      </c>
      <c r="N2051">
        <v>1</v>
      </c>
      <c r="O2051">
        <v>452</v>
      </c>
      <c r="P2051">
        <v>0</v>
      </c>
      <c r="Q2051">
        <v>0</v>
      </c>
      <c r="R2051">
        <v>0</v>
      </c>
      <c r="S2051">
        <v>0</v>
      </c>
      <c r="T2051">
        <v>0.2475</v>
      </c>
      <c r="U2051">
        <v>-0.93469999999999998</v>
      </c>
      <c r="V2051">
        <v>5.0000000000000001E-4</v>
      </c>
      <c r="W2051">
        <v>-1.8206</v>
      </c>
      <c r="X2051">
        <v>1.4856</v>
      </c>
      <c r="Y2051">
        <v>-1.7634000000000001</v>
      </c>
      <c r="Z2051">
        <v>2</v>
      </c>
      <c r="AA2051">
        <v>435.5</v>
      </c>
      <c r="AB2051">
        <v>1</v>
      </c>
      <c r="AC2051">
        <v>459.2</v>
      </c>
      <c r="AD2051">
        <v>0</v>
      </c>
      <c r="AE2051">
        <v>0</v>
      </c>
      <c r="AF2051">
        <v>0</v>
      </c>
      <c r="AG2051">
        <v>0</v>
      </c>
      <c r="AH2051">
        <v>0</v>
      </c>
    </row>
    <row r="2052" spans="1:34" x14ac:dyDescent="0.35">
      <c r="A2052" t="s">
        <v>34</v>
      </c>
      <c r="B2052" s="1">
        <v>46146.65625</v>
      </c>
      <c r="C2052" t="s">
        <v>34</v>
      </c>
      <c r="D2052" s="1">
        <v>46155.625</v>
      </c>
      <c r="E2052">
        <v>7675</v>
      </c>
      <c r="F2052" t="s">
        <v>36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1</v>
      </c>
      <c r="M2052">
        <v>459</v>
      </c>
      <c r="N2052">
        <v>1</v>
      </c>
      <c r="O2052">
        <v>478.7</v>
      </c>
      <c r="P2052">
        <v>0</v>
      </c>
      <c r="Q2052">
        <v>0</v>
      </c>
      <c r="R2052">
        <v>0</v>
      </c>
      <c r="S2052">
        <v>0</v>
      </c>
      <c r="T2052">
        <v>0.13389999999999999</v>
      </c>
      <c r="U2052">
        <v>-0.99860000000000004</v>
      </c>
      <c r="V2052">
        <v>0</v>
      </c>
      <c r="W2052">
        <v>0</v>
      </c>
      <c r="X2052">
        <v>6.9500000000000006E-2</v>
      </c>
      <c r="Y2052">
        <v>-1.8786</v>
      </c>
      <c r="Z2052">
        <v>3</v>
      </c>
      <c r="AA2052">
        <v>460.4</v>
      </c>
      <c r="AB2052">
        <v>1</v>
      </c>
      <c r="AC2052">
        <v>479.3</v>
      </c>
      <c r="AD2052">
        <v>0</v>
      </c>
      <c r="AE2052">
        <v>0</v>
      </c>
      <c r="AF2052">
        <v>0</v>
      </c>
      <c r="AG2052">
        <v>0</v>
      </c>
      <c r="AH2052">
        <v>0</v>
      </c>
    </row>
    <row r="2053" spans="1:34" x14ac:dyDescent="0.35">
      <c r="A2053" t="s">
        <v>34</v>
      </c>
      <c r="B2053" s="1">
        <v>46146.65625</v>
      </c>
      <c r="C2053" t="s">
        <v>34</v>
      </c>
      <c r="D2053" s="1">
        <v>46155.625</v>
      </c>
      <c r="E2053">
        <v>7700</v>
      </c>
      <c r="F2053" t="s">
        <v>36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1</v>
      </c>
      <c r="M2053">
        <v>484</v>
      </c>
      <c r="N2053">
        <v>1</v>
      </c>
      <c r="O2053">
        <v>502.8</v>
      </c>
      <c r="P2053">
        <v>0</v>
      </c>
      <c r="Q2053">
        <v>0</v>
      </c>
      <c r="R2053">
        <v>0</v>
      </c>
      <c r="S2053">
        <v>0</v>
      </c>
      <c r="T2053">
        <v>0.2742</v>
      </c>
      <c r="U2053">
        <v>-0.93469999999999998</v>
      </c>
      <c r="V2053">
        <v>4.0000000000000002E-4</v>
      </c>
      <c r="W2053">
        <v>-2.0173000000000001</v>
      </c>
      <c r="X2053">
        <v>1.4802</v>
      </c>
      <c r="Y2053">
        <v>-1.7746</v>
      </c>
      <c r="Z2053">
        <v>1</v>
      </c>
      <c r="AA2053">
        <v>486.1</v>
      </c>
      <c r="AB2053">
        <v>1</v>
      </c>
      <c r="AC2053">
        <v>509.3</v>
      </c>
      <c r="AD2053">
        <v>0</v>
      </c>
      <c r="AE2053">
        <v>0</v>
      </c>
      <c r="AF2053">
        <v>0</v>
      </c>
      <c r="AG2053">
        <v>0</v>
      </c>
      <c r="AH2053">
        <v>0</v>
      </c>
    </row>
    <row r="2054" spans="1:34" x14ac:dyDescent="0.35">
      <c r="A2054" t="s">
        <v>34</v>
      </c>
      <c r="B2054" s="1">
        <v>46146.65625</v>
      </c>
      <c r="C2054" t="s">
        <v>34</v>
      </c>
      <c r="D2054" s="1">
        <v>46155.625</v>
      </c>
      <c r="E2054">
        <v>7725</v>
      </c>
      <c r="F2054" t="s">
        <v>36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1</v>
      </c>
      <c r="M2054">
        <v>509.4</v>
      </c>
      <c r="N2054">
        <v>2</v>
      </c>
      <c r="O2054">
        <v>529.5</v>
      </c>
      <c r="P2054">
        <v>0</v>
      </c>
      <c r="Q2054">
        <v>0</v>
      </c>
      <c r="R2054">
        <v>0</v>
      </c>
      <c r="S2054">
        <v>0</v>
      </c>
      <c r="T2054">
        <v>0.1401</v>
      </c>
      <c r="U2054">
        <v>-0.99919999999999998</v>
      </c>
      <c r="V2054">
        <v>0</v>
      </c>
      <c r="W2054">
        <v>0</v>
      </c>
      <c r="X2054">
        <v>4.2099999999999999E-2</v>
      </c>
      <c r="Y2054">
        <v>-1.8912</v>
      </c>
      <c r="Z2054">
        <v>2</v>
      </c>
      <c r="AA2054">
        <v>510.3</v>
      </c>
      <c r="AB2054">
        <v>1</v>
      </c>
      <c r="AC2054">
        <v>533</v>
      </c>
      <c r="AD2054">
        <v>0</v>
      </c>
      <c r="AE2054">
        <v>0</v>
      </c>
      <c r="AF2054">
        <v>0</v>
      </c>
      <c r="AG2054">
        <v>0</v>
      </c>
      <c r="AH2054">
        <v>0</v>
      </c>
    </row>
    <row r="2055" spans="1:34" x14ac:dyDescent="0.35">
      <c r="A2055" t="s">
        <v>34</v>
      </c>
      <c r="B2055" s="1">
        <v>46146.65625</v>
      </c>
      <c r="C2055" t="s">
        <v>34</v>
      </c>
      <c r="D2055" s="1">
        <v>46155.625</v>
      </c>
      <c r="E2055">
        <v>7800</v>
      </c>
      <c r="F2055" t="s">
        <v>36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1</v>
      </c>
      <c r="M2055">
        <v>584.6</v>
      </c>
      <c r="N2055">
        <v>1</v>
      </c>
      <c r="O2055">
        <v>602.20000000000005</v>
      </c>
      <c r="P2055">
        <v>0</v>
      </c>
      <c r="Q2055">
        <v>0</v>
      </c>
      <c r="R2055">
        <v>0</v>
      </c>
      <c r="S2055">
        <v>0</v>
      </c>
      <c r="T2055">
        <v>0.31090000000000001</v>
      </c>
      <c r="U2055">
        <v>-0.94410000000000005</v>
      </c>
      <c r="V2055">
        <v>2.9999999999999997E-4</v>
      </c>
      <c r="W2055">
        <v>-1.9954000000000001</v>
      </c>
      <c r="X2055">
        <v>1.3082</v>
      </c>
      <c r="Y2055">
        <v>-1.8134999999999999</v>
      </c>
      <c r="Z2055">
        <v>1</v>
      </c>
      <c r="AA2055">
        <v>585.5</v>
      </c>
      <c r="AB2055">
        <v>3</v>
      </c>
      <c r="AC2055">
        <v>609.20000000000005</v>
      </c>
      <c r="AD2055">
        <v>0</v>
      </c>
      <c r="AE2055">
        <v>0</v>
      </c>
      <c r="AF2055">
        <v>0</v>
      </c>
      <c r="AG2055">
        <v>0</v>
      </c>
      <c r="AH2055">
        <v>0</v>
      </c>
    </row>
    <row r="2056" spans="1:34" x14ac:dyDescent="0.35">
      <c r="A2056" t="s">
        <v>34</v>
      </c>
      <c r="B2056" s="1">
        <v>46146.65625</v>
      </c>
      <c r="C2056" t="s">
        <v>34</v>
      </c>
      <c r="D2056" s="1">
        <v>46155.625</v>
      </c>
      <c r="E2056">
        <v>7900</v>
      </c>
      <c r="F2056" t="s">
        <v>36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1</v>
      </c>
      <c r="M2056">
        <v>684.4</v>
      </c>
      <c r="N2056">
        <v>1</v>
      </c>
      <c r="O2056">
        <v>703.2</v>
      </c>
      <c r="P2056">
        <v>0</v>
      </c>
      <c r="Q2056">
        <v>0</v>
      </c>
      <c r="R2056">
        <v>0</v>
      </c>
      <c r="S2056">
        <v>0</v>
      </c>
      <c r="T2056">
        <v>0.21429999999999999</v>
      </c>
      <c r="U2056">
        <v>-0.99660000000000004</v>
      </c>
      <c r="V2056">
        <v>0</v>
      </c>
      <c r="W2056">
        <v>-3.15E-2</v>
      </c>
      <c r="X2056">
        <v>0.13059999999999999</v>
      </c>
      <c r="Y2056">
        <v>-1.9256</v>
      </c>
      <c r="Z2056">
        <v>1</v>
      </c>
      <c r="AA2056">
        <v>686.5</v>
      </c>
      <c r="AB2056">
        <v>3</v>
      </c>
      <c r="AC2056">
        <v>709.1</v>
      </c>
      <c r="AD2056">
        <v>0</v>
      </c>
      <c r="AE2056">
        <v>0</v>
      </c>
      <c r="AF2056">
        <v>0</v>
      </c>
      <c r="AG2056">
        <v>0</v>
      </c>
      <c r="AH2056">
        <v>0</v>
      </c>
    </row>
    <row r="2057" spans="1:34" x14ac:dyDescent="0.35">
      <c r="A2057" t="s">
        <v>34</v>
      </c>
      <c r="B2057" s="1">
        <v>46146.65625</v>
      </c>
      <c r="C2057" t="s">
        <v>34</v>
      </c>
      <c r="D2057" s="1">
        <v>46155.625</v>
      </c>
      <c r="E2057">
        <v>8000</v>
      </c>
      <c r="F2057" t="s">
        <v>36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1</v>
      </c>
      <c r="M2057">
        <v>783.4</v>
      </c>
      <c r="N2057">
        <v>1</v>
      </c>
      <c r="O2057">
        <v>803.2</v>
      </c>
      <c r="P2057">
        <v>0</v>
      </c>
      <c r="Q2057">
        <v>0</v>
      </c>
      <c r="R2057">
        <v>0</v>
      </c>
      <c r="S2057">
        <v>0</v>
      </c>
      <c r="T2057">
        <v>0.40239999999999998</v>
      </c>
      <c r="U2057">
        <v>-0.9466</v>
      </c>
      <c r="V2057">
        <v>2.0000000000000001E-4</v>
      </c>
      <c r="W2057">
        <v>-2.4748999999999999</v>
      </c>
      <c r="X2057">
        <v>1.2491000000000001</v>
      </c>
      <c r="Y2057">
        <v>-1.8628</v>
      </c>
      <c r="Z2057">
        <v>1</v>
      </c>
      <c r="AA2057">
        <v>786.4</v>
      </c>
      <c r="AB2057">
        <v>3</v>
      </c>
      <c r="AC2057">
        <v>809</v>
      </c>
      <c r="AD2057">
        <v>0</v>
      </c>
      <c r="AE2057">
        <v>0</v>
      </c>
      <c r="AF2057">
        <v>0</v>
      </c>
      <c r="AG2057">
        <v>0</v>
      </c>
      <c r="AH2057">
        <v>0</v>
      </c>
    </row>
    <row r="2058" spans="1:34" x14ac:dyDescent="0.35">
      <c r="A2058" t="s">
        <v>34</v>
      </c>
      <c r="B2058" s="1">
        <v>46146.65625</v>
      </c>
      <c r="C2058" t="s">
        <v>34</v>
      </c>
      <c r="D2058" s="1">
        <v>46155.625</v>
      </c>
      <c r="E2058">
        <v>8200</v>
      </c>
      <c r="F2058" t="s">
        <v>36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1</v>
      </c>
      <c r="M2058">
        <v>983.2</v>
      </c>
      <c r="N2058">
        <v>1</v>
      </c>
      <c r="O2058">
        <v>1003.1</v>
      </c>
      <c r="P2058">
        <v>0</v>
      </c>
      <c r="Q2058">
        <v>0</v>
      </c>
      <c r="R2058">
        <v>0</v>
      </c>
      <c r="S2058">
        <v>0</v>
      </c>
      <c r="T2058">
        <v>0.47710000000000002</v>
      </c>
      <c r="U2058">
        <v>-0.95330000000000004</v>
      </c>
      <c r="V2058">
        <v>2.0000000000000001E-4</v>
      </c>
      <c r="W2058">
        <v>-2.6002000000000001</v>
      </c>
      <c r="X2058">
        <v>1.1188</v>
      </c>
      <c r="Y2058">
        <v>-1.9191</v>
      </c>
      <c r="Z2058">
        <v>1</v>
      </c>
      <c r="AA2058">
        <v>986.3</v>
      </c>
      <c r="AB2058">
        <v>3</v>
      </c>
      <c r="AC2058">
        <v>1008.8</v>
      </c>
      <c r="AD2058">
        <v>0</v>
      </c>
      <c r="AE2058">
        <v>0</v>
      </c>
      <c r="AF2058">
        <v>0</v>
      </c>
      <c r="AG2058">
        <v>0</v>
      </c>
      <c r="AH2058">
        <v>0</v>
      </c>
    </row>
    <row r="2059" spans="1:34" x14ac:dyDescent="0.35">
      <c r="A2059" t="s">
        <v>34</v>
      </c>
      <c r="B2059" s="1">
        <v>46146.65625</v>
      </c>
      <c r="C2059" t="s">
        <v>34</v>
      </c>
      <c r="D2059" s="1">
        <v>46155.625</v>
      </c>
      <c r="E2059">
        <v>8400</v>
      </c>
      <c r="F2059" t="s">
        <v>36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1</v>
      </c>
      <c r="M2059">
        <v>1183.7</v>
      </c>
      <c r="N2059">
        <v>1</v>
      </c>
      <c r="O2059">
        <v>1202.9000000000001</v>
      </c>
      <c r="P2059">
        <v>0</v>
      </c>
      <c r="Q2059">
        <v>0</v>
      </c>
      <c r="R2059">
        <v>0</v>
      </c>
      <c r="S2059">
        <v>0</v>
      </c>
      <c r="T2059">
        <v>0.33929999999999999</v>
      </c>
      <c r="U2059">
        <v>-0.99780000000000002</v>
      </c>
      <c r="V2059">
        <v>0</v>
      </c>
      <c r="W2059">
        <v>0</v>
      </c>
      <c r="X2059">
        <v>8.48E-2</v>
      </c>
      <c r="Y2059">
        <v>-2.0392000000000001</v>
      </c>
      <c r="Z2059">
        <v>3</v>
      </c>
      <c r="AA2059">
        <v>1184.5999999999999</v>
      </c>
      <c r="AB2059">
        <v>1</v>
      </c>
      <c r="AC2059">
        <v>1203.5</v>
      </c>
      <c r="AD2059">
        <v>0</v>
      </c>
      <c r="AE2059">
        <v>0</v>
      </c>
      <c r="AF2059">
        <v>0</v>
      </c>
      <c r="AG2059">
        <v>0</v>
      </c>
      <c r="AH2059">
        <v>0</v>
      </c>
    </row>
    <row r="2060" spans="1:34" x14ac:dyDescent="0.35">
      <c r="A2060" t="s">
        <v>34</v>
      </c>
      <c r="B2060" s="1">
        <v>46146.65625</v>
      </c>
      <c r="C2060" t="s">
        <v>34</v>
      </c>
      <c r="D2060" s="1">
        <v>46155.625</v>
      </c>
      <c r="E2060">
        <v>8600</v>
      </c>
      <c r="F2060" t="s">
        <v>36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1</v>
      </c>
      <c r="M2060">
        <v>1382.8</v>
      </c>
      <c r="N2060">
        <v>1</v>
      </c>
      <c r="O2060">
        <v>1401.5</v>
      </c>
      <c r="P2060">
        <v>0</v>
      </c>
      <c r="Q2060">
        <v>0</v>
      </c>
      <c r="R2060">
        <v>0</v>
      </c>
      <c r="S2060">
        <v>0</v>
      </c>
      <c r="T2060">
        <v>0.58919999999999995</v>
      </c>
      <c r="U2060">
        <v>-0.96830000000000005</v>
      </c>
      <c r="V2060">
        <v>1E-4</v>
      </c>
      <c r="W2060">
        <v>-2.2282999999999999</v>
      </c>
      <c r="X2060">
        <v>0.81240000000000001</v>
      </c>
      <c r="Y2060">
        <v>-2.0343</v>
      </c>
      <c r="Z2060">
        <v>1</v>
      </c>
      <c r="AA2060">
        <v>1384.8</v>
      </c>
      <c r="AB2060">
        <v>3</v>
      </c>
      <c r="AC2060">
        <v>1408.4</v>
      </c>
      <c r="AD2060">
        <v>0</v>
      </c>
      <c r="AE2060">
        <v>0</v>
      </c>
      <c r="AF2060">
        <v>0</v>
      </c>
      <c r="AG2060">
        <v>0</v>
      </c>
      <c r="AH2060">
        <v>0</v>
      </c>
    </row>
    <row r="2061" spans="1:34" x14ac:dyDescent="0.35">
      <c r="A2061" t="s">
        <v>34</v>
      </c>
      <c r="B2061" s="1">
        <v>46146.65625</v>
      </c>
      <c r="C2061" t="s">
        <v>34</v>
      </c>
      <c r="D2061" s="1">
        <v>46155.625</v>
      </c>
      <c r="E2061">
        <v>8800</v>
      </c>
      <c r="F2061" t="s">
        <v>36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1</v>
      </c>
      <c r="M2061">
        <v>1582.6</v>
      </c>
      <c r="N2061">
        <v>1</v>
      </c>
      <c r="O2061">
        <v>1601.3</v>
      </c>
      <c r="P2061">
        <v>0</v>
      </c>
      <c r="Q2061">
        <v>0</v>
      </c>
      <c r="R2061">
        <v>0</v>
      </c>
      <c r="S2061">
        <v>0</v>
      </c>
      <c r="T2061">
        <v>0.65139999999999998</v>
      </c>
      <c r="U2061">
        <v>-0.9708</v>
      </c>
      <c r="V2061">
        <v>1E-4</v>
      </c>
      <c r="W2061">
        <v>-2.2660999999999998</v>
      </c>
      <c r="X2061">
        <v>0.75619999999999998</v>
      </c>
      <c r="Y2061">
        <v>-2.0834999999999999</v>
      </c>
      <c r="Z2061">
        <v>1</v>
      </c>
      <c r="AA2061">
        <v>1584.6</v>
      </c>
      <c r="AB2061">
        <v>3</v>
      </c>
      <c r="AC2061">
        <v>1608.2</v>
      </c>
      <c r="AD2061">
        <v>0</v>
      </c>
      <c r="AE2061">
        <v>0</v>
      </c>
      <c r="AF2061">
        <v>0</v>
      </c>
      <c r="AG2061">
        <v>0</v>
      </c>
      <c r="AH2061">
        <v>0</v>
      </c>
    </row>
    <row r="2062" spans="1:34" x14ac:dyDescent="0.35">
      <c r="A2062" t="s">
        <v>34</v>
      </c>
      <c r="B2062" s="1">
        <v>46146.65625</v>
      </c>
      <c r="C2062" t="s">
        <v>34</v>
      </c>
      <c r="D2062" s="1">
        <v>46155.625</v>
      </c>
      <c r="E2062">
        <v>9000</v>
      </c>
      <c r="F2062" t="s">
        <v>36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1</v>
      </c>
      <c r="M2062">
        <v>1782.3</v>
      </c>
      <c r="N2062">
        <v>1</v>
      </c>
      <c r="O2062">
        <v>1801.4</v>
      </c>
      <c r="P2062">
        <v>0</v>
      </c>
      <c r="Q2062">
        <v>0</v>
      </c>
      <c r="R2062">
        <v>0</v>
      </c>
      <c r="S2062">
        <v>0</v>
      </c>
      <c r="T2062">
        <v>0.72070000000000001</v>
      </c>
      <c r="U2062">
        <v>-0.97109999999999996</v>
      </c>
      <c r="V2062">
        <v>1E-4</v>
      </c>
      <c r="W2062">
        <v>-2.4773999999999998</v>
      </c>
      <c r="X2062">
        <v>0.74780000000000002</v>
      </c>
      <c r="Y2062">
        <v>-2.1291000000000002</v>
      </c>
      <c r="Z2062">
        <v>1</v>
      </c>
      <c r="AA2062">
        <v>1784.6</v>
      </c>
      <c r="AB2062">
        <v>3</v>
      </c>
      <c r="AC2062">
        <v>1808</v>
      </c>
      <c r="AD2062">
        <v>0</v>
      </c>
      <c r="AE2062">
        <v>0</v>
      </c>
      <c r="AF2062">
        <v>0</v>
      </c>
      <c r="AG2062">
        <v>0</v>
      </c>
      <c r="AH2062">
        <v>0</v>
      </c>
    </row>
    <row r="2063" spans="1:34" x14ac:dyDescent="0.35">
      <c r="A2063" t="s">
        <v>34</v>
      </c>
      <c r="B2063" s="1">
        <v>46146.65625</v>
      </c>
      <c r="C2063" t="s">
        <v>34</v>
      </c>
      <c r="D2063" s="1">
        <v>46155.625</v>
      </c>
      <c r="E2063">
        <v>9200</v>
      </c>
      <c r="F2063" t="s">
        <v>36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1</v>
      </c>
      <c r="M2063">
        <v>1982.3</v>
      </c>
      <c r="N2063">
        <v>1</v>
      </c>
      <c r="O2063">
        <v>2002.6</v>
      </c>
      <c r="P2063">
        <v>0</v>
      </c>
      <c r="Q2063">
        <v>0</v>
      </c>
      <c r="R2063">
        <v>0</v>
      </c>
      <c r="S2063">
        <v>0</v>
      </c>
      <c r="T2063">
        <v>0.50629999999999997</v>
      </c>
      <c r="U2063">
        <v>-0.99880000000000002</v>
      </c>
      <c r="V2063">
        <v>0</v>
      </c>
      <c r="W2063">
        <v>0</v>
      </c>
      <c r="X2063">
        <v>4.7699999999999999E-2</v>
      </c>
      <c r="Y2063">
        <v>-2.2195</v>
      </c>
      <c r="Z2063">
        <v>3</v>
      </c>
      <c r="AA2063">
        <v>1983.8</v>
      </c>
      <c r="AB2063">
        <v>1</v>
      </c>
      <c r="AC2063">
        <v>2002.6</v>
      </c>
      <c r="AD2063">
        <v>0</v>
      </c>
      <c r="AE2063">
        <v>0</v>
      </c>
      <c r="AF2063">
        <v>0</v>
      </c>
      <c r="AG2063">
        <v>0</v>
      </c>
      <c r="AH2063">
        <v>0</v>
      </c>
    </row>
    <row r="2064" spans="1:34" x14ac:dyDescent="0.35">
      <c r="A2064" t="s">
        <v>34</v>
      </c>
      <c r="B2064" s="1">
        <v>46146.65625</v>
      </c>
      <c r="C2064" t="s">
        <v>34</v>
      </c>
      <c r="D2064" s="1">
        <v>46155.625</v>
      </c>
      <c r="E2064">
        <v>9400</v>
      </c>
      <c r="F2064" t="s">
        <v>36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2183.1</v>
      </c>
      <c r="N2064">
        <v>2</v>
      </c>
      <c r="O2064">
        <v>2202.8000000000002</v>
      </c>
      <c r="P2064">
        <v>0</v>
      </c>
      <c r="Q2064">
        <v>0</v>
      </c>
      <c r="R2064">
        <v>0</v>
      </c>
      <c r="S2064">
        <v>0</v>
      </c>
      <c r="T2064">
        <v>0.55269999999999997</v>
      </c>
      <c r="U2064">
        <v>-0.99870000000000003</v>
      </c>
      <c r="V2064">
        <v>0</v>
      </c>
      <c r="W2064">
        <v>0</v>
      </c>
      <c r="X2064">
        <v>4.9200000000000001E-2</v>
      </c>
      <c r="Y2064">
        <v>-2.2644000000000002</v>
      </c>
      <c r="Z2064">
        <v>2</v>
      </c>
      <c r="AA2064">
        <v>2183.6</v>
      </c>
      <c r="AB2064">
        <v>1</v>
      </c>
      <c r="AC2064">
        <v>2207.1</v>
      </c>
      <c r="AD2064">
        <v>0</v>
      </c>
      <c r="AE2064">
        <v>0</v>
      </c>
      <c r="AF2064">
        <v>0</v>
      </c>
      <c r="AG2064">
        <v>0</v>
      </c>
      <c r="AH2064">
        <v>0</v>
      </c>
    </row>
    <row r="2065" spans="1:34" x14ac:dyDescent="0.35">
      <c r="A2065" t="s">
        <v>34</v>
      </c>
      <c r="B2065" s="1">
        <v>46146.65625</v>
      </c>
      <c r="C2065" t="s">
        <v>34</v>
      </c>
      <c r="D2065" s="1">
        <v>46156.625</v>
      </c>
      <c r="E2065">
        <v>2800</v>
      </c>
      <c r="F2065" t="s">
        <v>35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319</v>
      </c>
      <c r="O2065">
        <v>0.05</v>
      </c>
      <c r="P2065">
        <v>0</v>
      </c>
      <c r="Q2065">
        <v>0</v>
      </c>
      <c r="R2065">
        <v>0</v>
      </c>
      <c r="S2065">
        <v>0</v>
      </c>
      <c r="T2065">
        <v>1.5412999999999999</v>
      </c>
      <c r="U2065">
        <v>-1E-4</v>
      </c>
      <c r="V2065">
        <v>0</v>
      </c>
      <c r="W2065">
        <v>-1.5599999999999999E-2</v>
      </c>
      <c r="X2065">
        <v>2.8999999999999998E-3</v>
      </c>
      <c r="Y2065">
        <v>-1E-4</v>
      </c>
      <c r="Z2065">
        <v>0</v>
      </c>
      <c r="AA2065">
        <v>0</v>
      </c>
      <c r="AB2065">
        <v>409</v>
      </c>
      <c r="AC2065">
        <v>0.1</v>
      </c>
      <c r="AD2065">
        <v>0</v>
      </c>
      <c r="AE2065">
        <v>0</v>
      </c>
      <c r="AF2065">
        <v>0</v>
      </c>
      <c r="AG2065">
        <v>11</v>
      </c>
      <c r="AH2065">
        <v>0</v>
      </c>
    </row>
    <row r="2066" spans="1:34" x14ac:dyDescent="0.35">
      <c r="A2066" t="s">
        <v>34</v>
      </c>
      <c r="B2066" s="1">
        <v>46146.65625</v>
      </c>
      <c r="C2066" t="s">
        <v>34</v>
      </c>
      <c r="D2066" s="1">
        <v>46156.625</v>
      </c>
      <c r="E2066">
        <v>3000</v>
      </c>
      <c r="F2066" t="s">
        <v>35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328</v>
      </c>
      <c r="O2066">
        <v>0.05</v>
      </c>
      <c r="P2066">
        <v>0</v>
      </c>
      <c r="Q2066">
        <v>0</v>
      </c>
      <c r="R2066">
        <v>0</v>
      </c>
      <c r="S2066">
        <v>0</v>
      </c>
      <c r="T2066">
        <v>1.4321999999999999</v>
      </c>
      <c r="U2066">
        <v>-1E-4</v>
      </c>
      <c r="V2066">
        <v>0</v>
      </c>
      <c r="W2066">
        <v>-1.5599999999999999E-2</v>
      </c>
      <c r="X2066">
        <v>3.0999999999999999E-3</v>
      </c>
      <c r="Y2066">
        <v>-1E-4</v>
      </c>
      <c r="Z2066">
        <v>0</v>
      </c>
      <c r="AA2066">
        <v>0</v>
      </c>
      <c r="AB2066">
        <v>430</v>
      </c>
      <c r="AC2066">
        <v>0.1</v>
      </c>
      <c r="AD2066">
        <v>0</v>
      </c>
      <c r="AE2066">
        <v>0</v>
      </c>
      <c r="AF2066">
        <v>0</v>
      </c>
      <c r="AG2066">
        <v>3</v>
      </c>
      <c r="AH2066">
        <v>0</v>
      </c>
    </row>
    <row r="2067" spans="1:34" x14ac:dyDescent="0.35">
      <c r="A2067" t="s">
        <v>34</v>
      </c>
      <c r="B2067" s="1">
        <v>46146.65625</v>
      </c>
      <c r="C2067" t="s">
        <v>34</v>
      </c>
      <c r="D2067" s="1">
        <v>46156.625</v>
      </c>
      <c r="E2067">
        <v>3200</v>
      </c>
      <c r="F2067" t="s">
        <v>35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302</v>
      </c>
      <c r="O2067">
        <v>0.05</v>
      </c>
      <c r="P2067">
        <v>0</v>
      </c>
      <c r="Q2067">
        <v>0</v>
      </c>
      <c r="R2067">
        <v>0</v>
      </c>
      <c r="S2067">
        <v>0</v>
      </c>
      <c r="T2067">
        <v>1.3302</v>
      </c>
      <c r="U2067">
        <v>-1E-4</v>
      </c>
      <c r="V2067">
        <v>0</v>
      </c>
      <c r="W2067">
        <v>-1.55E-2</v>
      </c>
      <c r="X2067">
        <v>3.3E-3</v>
      </c>
      <c r="Y2067">
        <v>-1E-4</v>
      </c>
      <c r="Z2067">
        <v>0</v>
      </c>
      <c r="AA2067">
        <v>0</v>
      </c>
      <c r="AB2067">
        <v>420</v>
      </c>
      <c r="AC2067">
        <v>0.1</v>
      </c>
      <c r="AD2067">
        <v>0</v>
      </c>
      <c r="AE2067">
        <v>0</v>
      </c>
      <c r="AF2067">
        <v>0</v>
      </c>
      <c r="AG2067">
        <v>2</v>
      </c>
      <c r="AH2067">
        <v>0</v>
      </c>
    </row>
    <row r="2068" spans="1:34" x14ac:dyDescent="0.35">
      <c r="A2068" t="s">
        <v>34</v>
      </c>
      <c r="B2068" s="1">
        <v>46146.65625</v>
      </c>
      <c r="C2068" t="s">
        <v>34</v>
      </c>
      <c r="D2068" s="1">
        <v>46156.625</v>
      </c>
      <c r="E2068">
        <v>3400</v>
      </c>
      <c r="F2068" t="s">
        <v>35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271</v>
      </c>
      <c r="O2068">
        <v>0.05</v>
      </c>
      <c r="P2068">
        <v>0</v>
      </c>
      <c r="Q2068">
        <v>0</v>
      </c>
      <c r="R2068">
        <v>0</v>
      </c>
      <c r="S2068">
        <v>0</v>
      </c>
      <c r="T2068">
        <v>1.2342</v>
      </c>
      <c r="U2068">
        <v>-1E-4</v>
      </c>
      <c r="V2068">
        <v>0</v>
      </c>
      <c r="W2068">
        <v>-1.55E-2</v>
      </c>
      <c r="X2068">
        <v>3.5999999999999999E-3</v>
      </c>
      <c r="Y2068">
        <v>-2.0000000000000001E-4</v>
      </c>
      <c r="Z2068">
        <v>0</v>
      </c>
      <c r="AA2068">
        <v>0</v>
      </c>
      <c r="AB2068">
        <v>408</v>
      </c>
      <c r="AC2068">
        <v>0.1</v>
      </c>
      <c r="AD2068">
        <v>0</v>
      </c>
      <c r="AE2068">
        <v>0</v>
      </c>
      <c r="AF2068">
        <v>0</v>
      </c>
      <c r="AG2068">
        <v>43</v>
      </c>
      <c r="AH2068">
        <v>0</v>
      </c>
    </row>
    <row r="2069" spans="1:34" x14ac:dyDescent="0.35">
      <c r="A2069" t="s">
        <v>34</v>
      </c>
      <c r="B2069" s="1">
        <v>46146.65625</v>
      </c>
      <c r="C2069" t="s">
        <v>34</v>
      </c>
      <c r="D2069" s="1">
        <v>46156.625</v>
      </c>
      <c r="E2069">
        <v>3600</v>
      </c>
      <c r="F2069" t="s">
        <v>36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229</v>
      </c>
      <c r="O2069">
        <v>0.05</v>
      </c>
      <c r="P2069">
        <v>0</v>
      </c>
      <c r="Q2069">
        <v>0</v>
      </c>
      <c r="R2069">
        <v>0</v>
      </c>
      <c r="S2069">
        <v>0</v>
      </c>
      <c r="T2069">
        <v>1.1436999999999999</v>
      </c>
      <c r="U2069">
        <v>-1E-4</v>
      </c>
      <c r="V2069">
        <v>0</v>
      </c>
      <c r="W2069">
        <v>-1.54E-2</v>
      </c>
      <c r="X2069">
        <v>3.8999999999999998E-3</v>
      </c>
      <c r="Y2069">
        <v>-2.0000000000000001E-4</v>
      </c>
      <c r="Z2069">
        <v>0</v>
      </c>
      <c r="AA2069">
        <v>0</v>
      </c>
      <c r="AB2069">
        <v>391</v>
      </c>
      <c r="AC2069">
        <v>0.1</v>
      </c>
      <c r="AD2069">
        <v>0</v>
      </c>
      <c r="AE2069">
        <v>0</v>
      </c>
      <c r="AF2069">
        <v>0</v>
      </c>
      <c r="AG2069">
        <v>81</v>
      </c>
      <c r="AH2069">
        <v>0</v>
      </c>
    </row>
    <row r="2070" spans="1:34" x14ac:dyDescent="0.35">
      <c r="A2070" t="s">
        <v>34</v>
      </c>
      <c r="B2070" s="1">
        <v>46146.65625</v>
      </c>
      <c r="C2070" t="s">
        <v>34</v>
      </c>
      <c r="D2070" s="1">
        <v>46156.625</v>
      </c>
      <c r="E2070">
        <v>3800</v>
      </c>
      <c r="F2070" t="s">
        <v>36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799</v>
      </c>
      <c r="O2070">
        <v>0.1</v>
      </c>
      <c r="P2070">
        <v>0</v>
      </c>
      <c r="Q2070">
        <v>0</v>
      </c>
      <c r="R2070">
        <v>0</v>
      </c>
      <c r="S2070">
        <v>0</v>
      </c>
      <c r="T2070">
        <v>1.1051</v>
      </c>
      <c r="U2070">
        <v>-2.0000000000000001E-4</v>
      </c>
      <c r="V2070">
        <v>0</v>
      </c>
      <c r="W2070">
        <v>-2.92E-2</v>
      </c>
      <c r="X2070">
        <v>7.3000000000000001E-3</v>
      </c>
      <c r="Y2070">
        <v>-2.9999999999999997E-4</v>
      </c>
      <c r="Z2070">
        <v>0</v>
      </c>
      <c r="AA2070">
        <v>0</v>
      </c>
      <c r="AB2070">
        <v>374</v>
      </c>
      <c r="AC2070">
        <v>0.1</v>
      </c>
      <c r="AD2070">
        <v>0</v>
      </c>
      <c r="AE2070">
        <v>0</v>
      </c>
      <c r="AF2070">
        <v>0</v>
      </c>
      <c r="AG2070">
        <v>26</v>
      </c>
      <c r="AH2070">
        <v>0</v>
      </c>
    </row>
    <row r="2071" spans="1:34" x14ac:dyDescent="0.35">
      <c r="A2071" t="s">
        <v>34</v>
      </c>
      <c r="B2071" s="1">
        <v>46146.65625</v>
      </c>
      <c r="C2071" t="s">
        <v>34</v>
      </c>
      <c r="D2071" s="1">
        <v>46156.625</v>
      </c>
      <c r="E2071">
        <v>4000</v>
      </c>
      <c r="F2071" t="s">
        <v>36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712</v>
      </c>
      <c r="O2071">
        <v>0.1</v>
      </c>
      <c r="P2071">
        <v>0</v>
      </c>
      <c r="Q2071">
        <v>0</v>
      </c>
      <c r="R2071">
        <v>0</v>
      </c>
      <c r="S2071">
        <v>0</v>
      </c>
      <c r="T2071">
        <v>1.0203</v>
      </c>
      <c r="U2071">
        <v>-2.0000000000000001E-4</v>
      </c>
      <c r="V2071">
        <v>0</v>
      </c>
      <c r="W2071">
        <v>-2.9100000000000001E-2</v>
      </c>
      <c r="X2071">
        <v>7.9000000000000008E-3</v>
      </c>
      <c r="Y2071">
        <v>-2.9999999999999997E-4</v>
      </c>
      <c r="Z2071">
        <v>0</v>
      </c>
      <c r="AA2071">
        <v>0</v>
      </c>
      <c r="AB2071">
        <v>25</v>
      </c>
      <c r="AC2071">
        <v>0.05</v>
      </c>
      <c r="AD2071">
        <v>0</v>
      </c>
      <c r="AE2071">
        <v>0</v>
      </c>
      <c r="AF2071">
        <v>0</v>
      </c>
      <c r="AG2071">
        <v>74</v>
      </c>
      <c r="AH2071">
        <v>0</v>
      </c>
    </row>
    <row r="2072" spans="1:34" x14ac:dyDescent="0.35">
      <c r="A2072" t="s">
        <v>34</v>
      </c>
      <c r="B2072" s="1">
        <v>46146.65625</v>
      </c>
      <c r="C2072" t="s">
        <v>34</v>
      </c>
      <c r="D2072" s="1">
        <v>46156.625</v>
      </c>
      <c r="E2072">
        <v>4200</v>
      </c>
      <c r="F2072" t="s">
        <v>36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750</v>
      </c>
      <c r="O2072">
        <v>0.05</v>
      </c>
      <c r="P2072">
        <v>0</v>
      </c>
      <c r="Q2072">
        <v>0</v>
      </c>
      <c r="R2072">
        <v>0</v>
      </c>
      <c r="S2072">
        <v>0</v>
      </c>
      <c r="T2072">
        <v>0.89910000000000001</v>
      </c>
      <c r="U2072">
        <v>-1E-4</v>
      </c>
      <c r="V2072">
        <v>0</v>
      </c>
      <c r="W2072">
        <v>-1.52E-2</v>
      </c>
      <c r="X2072">
        <v>4.8999999999999998E-3</v>
      </c>
      <c r="Y2072">
        <v>-2.0000000000000001E-4</v>
      </c>
      <c r="Z2072">
        <v>0</v>
      </c>
      <c r="AA2072">
        <v>0</v>
      </c>
      <c r="AB2072">
        <v>750</v>
      </c>
      <c r="AC2072">
        <v>0.05</v>
      </c>
      <c r="AD2072">
        <v>0</v>
      </c>
      <c r="AE2072">
        <v>0</v>
      </c>
      <c r="AF2072">
        <v>0</v>
      </c>
      <c r="AG2072">
        <v>95</v>
      </c>
      <c r="AH2072">
        <v>0</v>
      </c>
    </row>
    <row r="2073" spans="1:34" x14ac:dyDescent="0.35">
      <c r="A2073" t="s">
        <v>34</v>
      </c>
      <c r="B2073" s="1">
        <v>46146.65625</v>
      </c>
      <c r="C2073" t="s">
        <v>34</v>
      </c>
      <c r="D2073" s="1">
        <v>46156.625</v>
      </c>
      <c r="E2073">
        <v>4400</v>
      </c>
      <c r="F2073" t="s">
        <v>36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474</v>
      </c>
      <c r="O2073">
        <v>0.1</v>
      </c>
      <c r="P2073">
        <v>0</v>
      </c>
      <c r="Q2073">
        <v>0</v>
      </c>
      <c r="R2073">
        <v>0</v>
      </c>
      <c r="S2073">
        <v>0</v>
      </c>
      <c r="T2073">
        <v>0.86229999999999996</v>
      </c>
      <c r="U2073">
        <v>-2.0000000000000001E-4</v>
      </c>
      <c r="V2073">
        <v>0</v>
      </c>
      <c r="W2073">
        <v>-2.8799999999999999E-2</v>
      </c>
      <c r="X2073">
        <v>9.4000000000000004E-3</v>
      </c>
      <c r="Y2073">
        <v>-4.0000000000000002E-4</v>
      </c>
      <c r="Z2073">
        <v>0</v>
      </c>
      <c r="AA2073">
        <v>0</v>
      </c>
      <c r="AB2073">
        <v>395</v>
      </c>
      <c r="AC2073">
        <v>0.15</v>
      </c>
      <c r="AD2073">
        <v>0</v>
      </c>
      <c r="AE2073">
        <v>0</v>
      </c>
      <c r="AF2073">
        <v>0</v>
      </c>
      <c r="AG2073">
        <v>2273</v>
      </c>
      <c r="AH2073">
        <v>0</v>
      </c>
    </row>
    <row r="2074" spans="1:34" x14ac:dyDescent="0.35">
      <c r="A2074" t="s">
        <v>34</v>
      </c>
      <c r="B2074" s="1">
        <v>46146.65625</v>
      </c>
      <c r="C2074" t="s">
        <v>34</v>
      </c>
      <c r="D2074" s="1">
        <v>46156.625</v>
      </c>
      <c r="E2074">
        <v>4600</v>
      </c>
      <c r="F2074" t="s">
        <v>36</v>
      </c>
      <c r="G2074">
        <v>0.05</v>
      </c>
      <c r="H2074">
        <v>0.05</v>
      </c>
      <c r="I2074">
        <v>0.05</v>
      </c>
      <c r="J2074">
        <v>0.05</v>
      </c>
      <c r="K2074">
        <v>500</v>
      </c>
      <c r="L2074">
        <v>0</v>
      </c>
      <c r="M2074">
        <v>0</v>
      </c>
      <c r="N2074">
        <v>173</v>
      </c>
      <c r="O2074">
        <v>0.1</v>
      </c>
      <c r="P2074">
        <v>0</v>
      </c>
      <c r="Q2074">
        <v>0</v>
      </c>
      <c r="R2074">
        <v>0</v>
      </c>
      <c r="S2074">
        <v>0</v>
      </c>
      <c r="T2074">
        <v>0.78839999999999999</v>
      </c>
      <c r="U2074">
        <v>-2.0000000000000001E-4</v>
      </c>
      <c r="V2074">
        <v>0</v>
      </c>
      <c r="W2074">
        <v>-2.87E-2</v>
      </c>
      <c r="X2074">
        <v>1.0200000000000001E-2</v>
      </c>
      <c r="Y2074">
        <v>-4.0000000000000002E-4</v>
      </c>
      <c r="Z2074">
        <v>0</v>
      </c>
      <c r="AA2074">
        <v>0</v>
      </c>
      <c r="AB2074">
        <v>344</v>
      </c>
      <c r="AC2074">
        <v>0.15</v>
      </c>
      <c r="AD2074">
        <v>0</v>
      </c>
      <c r="AE2074">
        <v>0</v>
      </c>
      <c r="AF2074">
        <v>0.05</v>
      </c>
      <c r="AG2074">
        <v>1219</v>
      </c>
      <c r="AH2074">
        <v>0</v>
      </c>
    </row>
    <row r="2075" spans="1:34" x14ac:dyDescent="0.35">
      <c r="A2075" t="s">
        <v>34</v>
      </c>
      <c r="B2075" s="1">
        <v>46146.65625</v>
      </c>
      <c r="C2075" t="s">
        <v>34</v>
      </c>
      <c r="D2075" s="1">
        <v>46156.625</v>
      </c>
      <c r="E2075">
        <v>4800</v>
      </c>
      <c r="F2075" t="s">
        <v>36</v>
      </c>
      <c r="G2075">
        <v>0.1</v>
      </c>
      <c r="H2075">
        <v>0.1</v>
      </c>
      <c r="I2075">
        <v>0.1</v>
      </c>
      <c r="J2075">
        <v>0.1</v>
      </c>
      <c r="K2075">
        <v>1</v>
      </c>
      <c r="L2075">
        <v>0</v>
      </c>
      <c r="M2075">
        <v>0</v>
      </c>
      <c r="N2075">
        <v>308</v>
      </c>
      <c r="O2075">
        <v>0.15</v>
      </c>
      <c r="P2075">
        <v>0</v>
      </c>
      <c r="Q2075">
        <v>0</v>
      </c>
      <c r="R2075">
        <v>0</v>
      </c>
      <c r="S2075">
        <v>0</v>
      </c>
      <c r="T2075">
        <v>0.7379</v>
      </c>
      <c r="U2075">
        <v>-4.0000000000000002E-4</v>
      </c>
      <c r="V2075">
        <v>0</v>
      </c>
      <c r="W2075">
        <v>-4.1399999999999999E-2</v>
      </c>
      <c r="X2075">
        <v>1.54E-2</v>
      </c>
      <c r="Y2075">
        <v>-6.9999999999999999E-4</v>
      </c>
      <c r="Z2075">
        <v>0</v>
      </c>
      <c r="AA2075">
        <v>0</v>
      </c>
      <c r="AB2075">
        <v>374</v>
      </c>
      <c r="AC2075">
        <v>0.2</v>
      </c>
      <c r="AD2075">
        <v>0</v>
      </c>
      <c r="AE2075">
        <v>0</v>
      </c>
      <c r="AF2075">
        <v>0.1</v>
      </c>
      <c r="AG2075">
        <v>235</v>
      </c>
      <c r="AH2075">
        <v>0</v>
      </c>
    </row>
    <row r="2076" spans="1:34" x14ac:dyDescent="0.35">
      <c r="A2076" t="s">
        <v>34</v>
      </c>
      <c r="B2076" s="1">
        <v>46146.65625</v>
      </c>
      <c r="C2076" t="s">
        <v>34</v>
      </c>
      <c r="D2076" s="1">
        <v>46156.625</v>
      </c>
      <c r="E2076">
        <v>5000</v>
      </c>
      <c r="F2076" t="s">
        <v>36</v>
      </c>
      <c r="G2076">
        <v>0.15</v>
      </c>
      <c r="H2076">
        <v>0.17</v>
      </c>
      <c r="I2076">
        <v>0.15</v>
      </c>
      <c r="J2076">
        <v>0.17</v>
      </c>
      <c r="K2076">
        <v>14</v>
      </c>
      <c r="L2076">
        <v>25</v>
      </c>
      <c r="M2076">
        <v>0.1</v>
      </c>
      <c r="N2076">
        <v>51</v>
      </c>
      <c r="O2076">
        <v>0.15</v>
      </c>
      <c r="P2076">
        <v>0</v>
      </c>
      <c r="Q2076">
        <v>0</v>
      </c>
      <c r="R2076">
        <v>0</v>
      </c>
      <c r="S2076">
        <v>0</v>
      </c>
      <c r="T2076">
        <v>0.69350000000000001</v>
      </c>
      <c r="U2076">
        <v>-5.9999999999999995E-4</v>
      </c>
      <c r="V2076">
        <v>0</v>
      </c>
      <c r="W2076">
        <v>-6.54E-2</v>
      </c>
      <c r="X2076">
        <v>2.5399999999999999E-2</v>
      </c>
      <c r="Y2076">
        <v>-1.1999999999999999E-3</v>
      </c>
      <c r="Z2076">
        <v>21</v>
      </c>
      <c r="AA2076">
        <v>0.05</v>
      </c>
      <c r="AB2076">
        <v>1</v>
      </c>
      <c r="AC2076">
        <v>0.15</v>
      </c>
      <c r="AD2076">
        <v>0</v>
      </c>
      <c r="AE2076">
        <v>0</v>
      </c>
      <c r="AF2076">
        <v>0.1686</v>
      </c>
      <c r="AG2076">
        <v>1423</v>
      </c>
      <c r="AH2076">
        <v>0</v>
      </c>
    </row>
    <row r="2077" spans="1:34" x14ac:dyDescent="0.35">
      <c r="A2077" t="s">
        <v>34</v>
      </c>
      <c r="B2077" s="1">
        <v>46146.65625</v>
      </c>
      <c r="C2077" t="s">
        <v>34</v>
      </c>
      <c r="D2077" s="1">
        <v>46156.625</v>
      </c>
      <c r="E2077">
        <v>5200</v>
      </c>
      <c r="F2077" t="s">
        <v>36</v>
      </c>
      <c r="G2077">
        <v>0.15</v>
      </c>
      <c r="H2077">
        <v>0.15</v>
      </c>
      <c r="I2077">
        <v>0.15</v>
      </c>
      <c r="J2077">
        <v>0.15</v>
      </c>
      <c r="K2077">
        <v>1</v>
      </c>
      <c r="L2077">
        <v>113</v>
      </c>
      <c r="M2077">
        <v>0.1</v>
      </c>
      <c r="N2077">
        <v>618</v>
      </c>
      <c r="O2077">
        <v>0.25</v>
      </c>
      <c r="P2077">
        <v>0</v>
      </c>
      <c r="Q2077">
        <v>0</v>
      </c>
      <c r="R2077">
        <v>0</v>
      </c>
      <c r="S2077">
        <v>0</v>
      </c>
      <c r="T2077">
        <v>0.64039999999999997</v>
      </c>
      <c r="U2077">
        <v>-8.9999999999999998E-4</v>
      </c>
      <c r="V2077">
        <v>0</v>
      </c>
      <c r="W2077">
        <v>-8.7900000000000006E-2</v>
      </c>
      <c r="X2077">
        <v>3.6400000000000002E-2</v>
      </c>
      <c r="Y2077">
        <v>-1.6999999999999999E-3</v>
      </c>
      <c r="Z2077">
        <v>10</v>
      </c>
      <c r="AA2077">
        <v>0.1</v>
      </c>
      <c r="AB2077">
        <v>281</v>
      </c>
      <c r="AC2077">
        <v>0.25</v>
      </c>
      <c r="AD2077">
        <v>0</v>
      </c>
      <c r="AE2077">
        <v>0</v>
      </c>
      <c r="AF2077">
        <v>0.15</v>
      </c>
      <c r="AG2077">
        <v>851</v>
      </c>
      <c r="AH2077">
        <v>0</v>
      </c>
    </row>
    <row r="2078" spans="1:34" x14ac:dyDescent="0.35">
      <c r="A2078" t="s">
        <v>34</v>
      </c>
      <c r="B2078" s="1">
        <v>46146.65625</v>
      </c>
      <c r="C2078" t="s">
        <v>34</v>
      </c>
      <c r="D2078" s="1">
        <v>46156.625</v>
      </c>
      <c r="E2078">
        <v>5300</v>
      </c>
      <c r="F2078" t="s">
        <v>36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476</v>
      </c>
      <c r="M2078">
        <v>0.1</v>
      </c>
      <c r="N2078">
        <v>376</v>
      </c>
      <c r="O2078">
        <v>0.25</v>
      </c>
      <c r="P2078">
        <v>0</v>
      </c>
      <c r="Q2078">
        <v>0</v>
      </c>
      <c r="R2078">
        <v>0</v>
      </c>
      <c r="S2078">
        <v>0</v>
      </c>
      <c r="T2078">
        <v>0.60540000000000005</v>
      </c>
      <c r="U2078">
        <v>-8.9999999999999998E-4</v>
      </c>
      <c r="V2078">
        <v>0</v>
      </c>
      <c r="W2078">
        <v>-8.7499999999999994E-2</v>
      </c>
      <c r="X2078">
        <v>3.8399999999999997E-2</v>
      </c>
      <c r="Y2078">
        <v>-1.8E-3</v>
      </c>
      <c r="Z2078">
        <v>46</v>
      </c>
      <c r="AA2078">
        <v>0.1</v>
      </c>
      <c r="AB2078">
        <v>345</v>
      </c>
      <c r="AC2078">
        <v>0.3</v>
      </c>
      <c r="AD2078">
        <v>0</v>
      </c>
      <c r="AE2078">
        <v>0</v>
      </c>
      <c r="AF2078">
        <v>0</v>
      </c>
      <c r="AG2078">
        <v>2614</v>
      </c>
      <c r="AH2078">
        <v>0</v>
      </c>
    </row>
    <row r="2079" spans="1:34" x14ac:dyDescent="0.35">
      <c r="A2079" t="s">
        <v>34</v>
      </c>
      <c r="B2079" s="1">
        <v>46146.65625</v>
      </c>
      <c r="C2079" t="s">
        <v>34</v>
      </c>
      <c r="D2079" s="1">
        <v>46156.625</v>
      </c>
      <c r="E2079">
        <v>5400</v>
      </c>
      <c r="F2079" t="s">
        <v>36</v>
      </c>
      <c r="G2079">
        <v>0.25</v>
      </c>
      <c r="H2079">
        <v>0.25</v>
      </c>
      <c r="I2079">
        <v>0.25</v>
      </c>
      <c r="J2079">
        <v>0.25</v>
      </c>
      <c r="K2079">
        <v>100</v>
      </c>
      <c r="L2079">
        <v>400</v>
      </c>
      <c r="M2079">
        <v>0.15</v>
      </c>
      <c r="N2079">
        <v>395</v>
      </c>
      <c r="O2079">
        <v>0.3</v>
      </c>
      <c r="P2079">
        <v>0</v>
      </c>
      <c r="Q2079">
        <v>0</v>
      </c>
      <c r="R2079">
        <v>0</v>
      </c>
      <c r="S2079">
        <v>0</v>
      </c>
      <c r="T2079">
        <v>0.58330000000000004</v>
      </c>
      <c r="U2079">
        <v>-1.1999999999999999E-3</v>
      </c>
      <c r="V2079">
        <v>0</v>
      </c>
      <c r="W2079">
        <v>-0.1091</v>
      </c>
      <c r="X2079">
        <v>4.9000000000000002E-2</v>
      </c>
      <c r="Y2079">
        <v>-2.3E-3</v>
      </c>
      <c r="Z2079">
        <v>30</v>
      </c>
      <c r="AA2079">
        <v>0.15</v>
      </c>
      <c r="AB2079">
        <v>345</v>
      </c>
      <c r="AC2079">
        <v>0.35</v>
      </c>
      <c r="AD2079">
        <v>0</v>
      </c>
      <c r="AE2079">
        <v>0</v>
      </c>
      <c r="AF2079">
        <v>0.25</v>
      </c>
      <c r="AG2079">
        <v>126</v>
      </c>
      <c r="AH2079">
        <v>0</v>
      </c>
    </row>
    <row r="2080" spans="1:34" x14ac:dyDescent="0.35">
      <c r="A2080" t="s">
        <v>34</v>
      </c>
      <c r="B2080" s="1">
        <v>46146.65625</v>
      </c>
      <c r="C2080" t="s">
        <v>34</v>
      </c>
      <c r="D2080" s="1">
        <v>46156.625</v>
      </c>
      <c r="E2080">
        <v>5500</v>
      </c>
      <c r="F2080" t="s">
        <v>36</v>
      </c>
      <c r="G2080">
        <v>0.2</v>
      </c>
      <c r="H2080">
        <v>0.2</v>
      </c>
      <c r="I2080">
        <v>0.2</v>
      </c>
      <c r="J2080">
        <v>0.2</v>
      </c>
      <c r="K2080">
        <v>1</v>
      </c>
      <c r="L2080">
        <v>485</v>
      </c>
      <c r="M2080">
        <v>0.2</v>
      </c>
      <c r="N2080">
        <v>340</v>
      </c>
      <c r="O2080">
        <v>0.35</v>
      </c>
      <c r="P2080">
        <v>0</v>
      </c>
      <c r="Q2080">
        <v>0</v>
      </c>
      <c r="R2080">
        <v>0</v>
      </c>
      <c r="S2080">
        <v>0</v>
      </c>
      <c r="T2080">
        <v>0.55830000000000002</v>
      </c>
      <c r="U2080">
        <v>-1.5E-3</v>
      </c>
      <c r="V2080">
        <v>0</v>
      </c>
      <c r="W2080">
        <v>-0.1298</v>
      </c>
      <c r="X2080">
        <v>6.0400000000000002E-2</v>
      </c>
      <c r="Y2080">
        <v>-2.8999999999999998E-3</v>
      </c>
      <c r="Z2080">
        <v>10</v>
      </c>
      <c r="AA2080">
        <v>0.2</v>
      </c>
      <c r="AB2080">
        <v>198</v>
      </c>
      <c r="AC2080">
        <v>0.35</v>
      </c>
      <c r="AD2080">
        <v>0</v>
      </c>
      <c r="AE2080">
        <v>0</v>
      </c>
      <c r="AF2080">
        <v>0.2</v>
      </c>
      <c r="AG2080">
        <v>219</v>
      </c>
      <c r="AH2080">
        <v>0</v>
      </c>
    </row>
    <row r="2081" spans="1:34" x14ac:dyDescent="0.35">
      <c r="A2081" t="s">
        <v>34</v>
      </c>
      <c r="B2081" s="1">
        <v>46146.65625</v>
      </c>
      <c r="C2081" t="s">
        <v>34</v>
      </c>
      <c r="D2081" s="1">
        <v>46156.625</v>
      </c>
      <c r="E2081">
        <v>5600</v>
      </c>
      <c r="F2081" t="s">
        <v>36</v>
      </c>
      <c r="G2081">
        <v>0.34</v>
      </c>
      <c r="H2081">
        <v>0.55000000000000004</v>
      </c>
      <c r="I2081">
        <v>0.25</v>
      </c>
      <c r="J2081">
        <v>0.31</v>
      </c>
      <c r="K2081">
        <v>24</v>
      </c>
      <c r="L2081">
        <v>554</v>
      </c>
      <c r="M2081">
        <v>0.25</v>
      </c>
      <c r="N2081">
        <v>239</v>
      </c>
      <c r="O2081">
        <v>0.4</v>
      </c>
      <c r="P2081">
        <v>0</v>
      </c>
      <c r="Q2081">
        <v>0</v>
      </c>
      <c r="R2081">
        <v>0</v>
      </c>
      <c r="S2081">
        <v>0</v>
      </c>
      <c r="T2081">
        <v>0.53200000000000003</v>
      </c>
      <c r="U2081">
        <v>-1.9E-3</v>
      </c>
      <c r="V2081">
        <v>0</v>
      </c>
      <c r="W2081">
        <v>-0.14960000000000001</v>
      </c>
      <c r="X2081">
        <v>7.2599999999999998E-2</v>
      </c>
      <c r="Y2081">
        <v>-3.5999999999999999E-3</v>
      </c>
      <c r="Z2081">
        <v>10</v>
      </c>
      <c r="AA2081">
        <v>0.25</v>
      </c>
      <c r="AB2081">
        <v>191</v>
      </c>
      <c r="AC2081">
        <v>0.4</v>
      </c>
      <c r="AD2081">
        <v>0</v>
      </c>
      <c r="AE2081">
        <v>0</v>
      </c>
      <c r="AF2081">
        <v>0.35</v>
      </c>
      <c r="AG2081">
        <v>568</v>
      </c>
      <c r="AH2081">
        <v>0</v>
      </c>
    </row>
    <row r="2082" spans="1:34" x14ac:dyDescent="0.35">
      <c r="A2082" t="s">
        <v>34</v>
      </c>
      <c r="B2082" s="1">
        <v>46146.65625</v>
      </c>
      <c r="C2082" t="s">
        <v>34</v>
      </c>
      <c r="D2082" s="1">
        <v>46156.625</v>
      </c>
      <c r="E2082">
        <v>5700</v>
      </c>
      <c r="F2082" t="s">
        <v>36</v>
      </c>
      <c r="G2082">
        <v>0.3</v>
      </c>
      <c r="H2082">
        <v>0.6</v>
      </c>
      <c r="I2082">
        <v>0.3</v>
      </c>
      <c r="J2082">
        <v>0.4</v>
      </c>
      <c r="K2082">
        <v>32</v>
      </c>
      <c r="L2082">
        <v>496</v>
      </c>
      <c r="M2082">
        <v>0.3</v>
      </c>
      <c r="N2082">
        <v>169</v>
      </c>
      <c r="O2082">
        <v>0.45</v>
      </c>
      <c r="P2082">
        <v>0</v>
      </c>
      <c r="Q2082">
        <v>0</v>
      </c>
      <c r="R2082">
        <v>0</v>
      </c>
      <c r="S2082">
        <v>0</v>
      </c>
      <c r="T2082">
        <v>0.50409999999999999</v>
      </c>
      <c r="U2082">
        <v>-2.2000000000000001E-3</v>
      </c>
      <c r="V2082">
        <v>0</v>
      </c>
      <c r="W2082">
        <v>-0.1686</v>
      </c>
      <c r="X2082">
        <v>8.5699999999999998E-2</v>
      </c>
      <c r="Y2082">
        <v>-4.3E-3</v>
      </c>
      <c r="Z2082">
        <v>43</v>
      </c>
      <c r="AA2082">
        <v>0.3</v>
      </c>
      <c r="AB2082">
        <v>410</v>
      </c>
      <c r="AC2082">
        <v>0.5</v>
      </c>
      <c r="AD2082">
        <v>0</v>
      </c>
      <c r="AE2082">
        <v>0</v>
      </c>
      <c r="AF2082">
        <v>0.4375</v>
      </c>
      <c r="AG2082">
        <v>275</v>
      </c>
      <c r="AH2082">
        <v>0</v>
      </c>
    </row>
    <row r="2083" spans="1:34" x14ac:dyDescent="0.35">
      <c r="A2083" t="s">
        <v>34</v>
      </c>
      <c r="B2083" s="1">
        <v>46146.65625</v>
      </c>
      <c r="C2083" t="s">
        <v>34</v>
      </c>
      <c r="D2083" s="1">
        <v>46156.625</v>
      </c>
      <c r="E2083">
        <v>5800</v>
      </c>
      <c r="F2083" t="s">
        <v>36</v>
      </c>
      <c r="G2083">
        <v>0.35</v>
      </c>
      <c r="H2083">
        <v>0.7</v>
      </c>
      <c r="I2083">
        <v>0.35</v>
      </c>
      <c r="J2083">
        <v>0.5</v>
      </c>
      <c r="K2083">
        <v>115</v>
      </c>
      <c r="L2083">
        <v>326</v>
      </c>
      <c r="M2083">
        <v>0.4</v>
      </c>
      <c r="N2083">
        <v>207</v>
      </c>
      <c r="O2083">
        <v>0.55000000000000004</v>
      </c>
      <c r="P2083">
        <v>0</v>
      </c>
      <c r="Q2083">
        <v>0</v>
      </c>
      <c r="R2083">
        <v>0</v>
      </c>
      <c r="S2083">
        <v>0</v>
      </c>
      <c r="T2083">
        <v>0.48070000000000002</v>
      </c>
      <c r="U2083">
        <v>-2.8999999999999998E-3</v>
      </c>
      <c r="V2083">
        <v>0</v>
      </c>
      <c r="W2083">
        <v>-0.20610000000000001</v>
      </c>
      <c r="X2083">
        <v>0.1086</v>
      </c>
      <c r="Y2083">
        <v>-5.5999999999999999E-3</v>
      </c>
      <c r="Z2083">
        <v>229</v>
      </c>
      <c r="AA2083">
        <v>0.35</v>
      </c>
      <c r="AB2083">
        <v>164</v>
      </c>
      <c r="AC2083">
        <v>0.55000000000000004</v>
      </c>
      <c r="AD2083">
        <v>0</v>
      </c>
      <c r="AE2083">
        <v>0</v>
      </c>
      <c r="AF2083">
        <v>0.58199999999999996</v>
      </c>
      <c r="AG2083">
        <v>630</v>
      </c>
      <c r="AH2083">
        <v>0</v>
      </c>
    </row>
    <row r="2084" spans="1:34" x14ac:dyDescent="0.35">
      <c r="A2084" t="s">
        <v>34</v>
      </c>
      <c r="B2084" s="1">
        <v>46146.65625</v>
      </c>
      <c r="C2084" t="s">
        <v>34</v>
      </c>
      <c r="D2084" s="1">
        <v>46156.625</v>
      </c>
      <c r="E2084">
        <v>5875</v>
      </c>
      <c r="F2084" t="s">
        <v>36</v>
      </c>
      <c r="G2084">
        <v>0.42</v>
      </c>
      <c r="H2084">
        <v>0.85</v>
      </c>
      <c r="I2084">
        <v>0.42</v>
      </c>
      <c r="J2084">
        <v>0.75</v>
      </c>
      <c r="K2084">
        <v>107</v>
      </c>
      <c r="L2084">
        <v>627</v>
      </c>
      <c r="M2084">
        <v>0.45</v>
      </c>
      <c r="N2084">
        <v>101</v>
      </c>
      <c r="O2084">
        <v>0.6</v>
      </c>
      <c r="P2084">
        <v>0</v>
      </c>
      <c r="Q2084">
        <v>0</v>
      </c>
      <c r="R2084">
        <v>0</v>
      </c>
      <c r="S2084">
        <v>0</v>
      </c>
      <c r="T2084">
        <v>0.45910000000000001</v>
      </c>
      <c r="U2084">
        <v>-3.3E-3</v>
      </c>
      <c r="V2084">
        <v>0</v>
      </c>
      <c r="W2084">
        <v>-0.2235</v>
      </c>
      <c r="X2084">
        <v>0.12280000000000001</v>
      </c>
      <c r="Y2084">
        <v>-6.4000000000000003E-3</v>
      </c>
      <c r="Z2084">
        <v>40</v>
      </c>
      <c r="AA2084">
        <v>0.45</v>
      </c>
      <c r="AB2084">
        <v>155</v>
      </c>
      <c r="AC2084">
        <v>0.6</v>
      </c>
      <c r="AD2084">
        <v>0</v>
      </c>
      <c r="AE2084">
        <v>0</v>
      </c>
      <c r="AF2084">
        <v>0.70499999999999996</v>
      </c>
      <c r="AG2084">
        <v>511</v>
      </c>
      <c r="AH2084">
        <v>0</v>
      </c>
    </row>
    <row r="2085" spans="1:34" x14ac:dyDescent="0.35">
      <c r="A2085" t="s">
        <v>34</v>
      </c>
      <c r="B2085" s="1">
        <v>46146.65625</v>
      </c>
      <c r="C2085" t="s">
        <v>34</v>
      </c>
      <c r="D2085" s="1">
        <v>46156.625</v>
      </c>
      <c r="E2085">
        <v>5900</v>
      </c>
      <c r="F2085" t="s">
        <v>36</v>
      </c>
      <c r="G2085">
        <v>0.63</v>
      </c>
      <c r="H2085">
        <v>0.83</v>
      </c>
      <c r="I2085">
        <v>0.56999999999999995</v>
      </c>
      <c r="J2085">
        <v>0.56999999999999995</v>
      </c>
      <c r="K2085">
        <v>2060</v>
      </c>
      <c r="L2085">
        <v>358</v>
      </c>
      <c r="M2085">
        <v>0.5</v>
      </c>
      <c r="N2085">
        <v>194</v>
      </c>
      <c r="O2085">
        <v>0.65</v>
      </c>
      <c r="P2085">
        <v>0</v>
      </c>
      <c r="Q2085">
        <v>0</v>
      </c>
      <c r="R2085">
        <v>0</v>
      </c>
      <c r="S2085">
        <v>0</v>
      </c>
      <c r="T2085">
        <v>0.4546</v>
      </c>
      <c r="U2085">
        <v>-3.5999999999999999E-3</v>
      </c>
      <c r="V2085">
        <v>0</v>
      </c>
      <c r="W2085">
        <v>-0.2414</v>
      </c>
      <c r="X2085">
        <v>0.1333</v>
      </c>
      <c r="Y2085">
        <v>-7.0000000000000001E-3</v>
      </c>
      <c r="Z2085">
        <v>135</v>
      </c>
      <c r="AA2085">
        <v>0.45</v>
      </c>
      <c r="AB2085">
        <v>152</v>
      </c>
      <c r="AC2085">
        <v>0.65</v>
      </c>
      <c r="AD2085">
        <v>0</v>
      </c>
      <c r="AE2085">
        <v>0</v>
      </c>
      <c r="AF2085">
        <v>0.82650000000000001</v>
      </c>
      <c r="AG2085">
        <v>406</v>
      </c>
      <c r="AH2085">
        <v>0</v>
      </c>
    </row>
    <row r="2086" spans="1:34" x14ac:dyDescent="0.35">
      <c r="A2086" t="s">
        <v>34</v>
      </c>
      <c r="B2086" s="1">
        <v>46146.65625</v>
      </c>
      <c r="C2086" t="s">
        <v>34</v>
      </c>
      <c r="D2086" s="1">
        <v>46156.625</v>
      </c>
      <c r="E2086">
        <v>5925</v>
      </c>
      <c r="F2086" t="s">
        <v>36</v>
      </c>
      <c r="G2086">
        <v>0.5</v>
      </c>
      <c r="H2086">
        <v>0.8</v>
      </c>
      <c r="I2086">
        <v>0.47</v>
      </c>
      <c r="J2086">
        <v>0.55000000000000004</v>
      </c>
      <c r="K2086">
        <v>69</v>
      </c>
      <c r="L2086">
        <v>609</v>
      </c>
      <c r="M2086">
        <v>0.5</v>
      </c>
      <c r="N2086">
        <v>300</v>
      </c>
      <c r="O2086">
        <v>0.7</v>
      </c>
      <c r="P2086">
        <v>0</v>
      </c>
      <c r="Q2086">
        <v>0</v>
      </c>
      <c r="R2086">
        <v>0</v>
      </c>
      <c r="S2086">
        <v>0</v>
      </c>
      <c r="T2086">
        <v>0.44800000000000001</v>
      </c>
      <c r="U2086">
        <v>-3.8E-3</v>
      </c>
      <c r="V2086">
        <v>0</v>
      </c>
      <c r="W2086">
        <v>-0.25</v>
      </c>
      <c r="X2086">
        <v>0.13969999999999999</v>
      </c>
      <c r="Y2086">
        <v>-7.4000000000000003E-3</v>
      </c>
      <c r="Z2086">
        <v>123</v>
      </c>
      <c r="AA2086">
        <v>0.5</v>
      </c>
      <c r="AB2086">
        <v>139</v>
      </c>
      <c r="AC2086">
        <v>0.65</v>
      </c>
      <c r="AD2086">
        <v>0</v>
      </c>
      <c r="AE2086">
        <v>0</v>
      </c>
      <c r="AF2086">
        <v>0.70779999999999998</v>
      </c>
      <c r="AG2086">
        <v>12</v>
      </c>
      <c r="AH2086">
        <v>0</v>
      </c>
    </row>
    <row r="2087" spans="1:34" x14ac:dyDescent="0.35">
      <c r="A2087" t="s">
        <v>34</v>
      </c>
      <c r="B2087" s="1">
        <v>46146.65625</v>
      </c>
      <c r="C2087" t="s">
        <v>34</v>
      </c>
      <c r="D2087" s="1">
        <v>46156.625</v>
      </c>
      <c r="E2087">
        <v>5950</v>
      </c>
      <c r="F2087" t="s">
        <v>36</v>
      </c>
      <c r="G2087">
        <v>0.7</v>
      </c>
      <c r="H2087">
        <v>0.7</v>
      </c>
      <c r="I2087">
        <v>0.7</v>
      </c>
      <c r="J2087">
        <v>0.7</v>
      </c>
      <c r="K2087">
        <v>21</v>
      </c>
      <c r="L2087">
        <v>489</v>
      </c>
      <c r="M2087">
        <v>0.55000000000000004</v>
      </c>
      <c r="N2087">
        <v>159</v>
      </c>
      <c r="O2087">
        <v>0.7</v>
      </c>
      <c r="P2087">
        <v>0</v>
      </c>
      <c r="Q2087">
        <v>0</v>
      </c>
      <c r="R2087">
        <v>0</v>
      </c>
      <c r="S2087">
        <v>0</v>
      </c>
      <c r="T2087">
        <v>0.441</v>
      </c>
      <c r="U2087">
        <v>-4.0000000000000001E-3</v>
      </c>
      <c r="V2087">
        <v>0</v>
      </c>
      <c r="W2087">
        <v>-0.25840000000000002</v>
      </c>
      <c r="X2087">
        <v>0.14630000000000001</v>
      </c>
      <c r="Y2087">
        <v>-7.7999999999999996E-3</v>
      </c>
      <c r="Z2087">
        <v>18</v>
      </c>
      <c r="AA2087">
        <v>0.55000000000000004</v>
      </c>
      <c r="AB2087">
        <v>147</v>
      </c>
      <c r="AC2087">
        <v>0.7</v>
      </c>
      <c r="AD2087">
        <v>0</v>
      </c>
      <c r="AE2087">
        <v>0</v>
      </c>
      <c r="AF2087">
        <v>0.7</v>
      </c>
      <c r="AG2087">
        <v>389</v>
      </c>
      <c r="AH2087">
        <v>0</v>
      </c>
    </row>
    <row r="2088" spans="1:34" x14ac:dyDescent="0.35">
      <c r="A2088" t="s">
        <v>34</v>
      </c>
      <c r="B2088" s="1">
        <v>46146.65625</v>
      </c>
      <c r="C2088" t="s">
        <v>34</v>
      </c>
      <c r="D2088" s="1">
        <v>46156.625</v>
      </c>
      <c r="E2088">
        <v>5975</v>
      </c>
      <c r="F2088" t="s">
        <v>36</v>
      </c>
      <c r="G2088">
        <v>0.61</v>
      </c>
      <c r="H2088">
        <v>1</v>
      </c>
      <c r="I2088">
        <v>0.6</v>
      </c>
      <c r="J2088">
        <v>0.7</v>
      </c>
      <c r="K2088">
        <v>93</v>
      </c>
      <c r="L2088">
        <v>231</v>
      </c>
      <c r="M2088">
        <v>0.6</v>
      </c>
      <c r="N2088">
        <v>273</v>
      </c>
      <c r="O2088">
        <v>0.75</v>
      </c>
      <c r="P2088">
        <v>0</v>
      </c>
      <c r="Q2088">
        <v>0</v>
      </c>
      <c r="R2088">
        <v>0</v>
      </c>
      <c r="S2088">
        <v>0</v>
      </c>
      <c r="T2088">
        <v>0.43590000000000001</v>
      </c>
      <c r="U2088">
        <v>-4.3E-3</v>
      </c>
      <c r="V2088">
        <v>0</v>
      </c>
      <c r="W2088">
        <v>-0.27560000000000001</v>
      </c>
      <c r="X2088">
        <v>0.15720000000000001</v>
      </c>
      <c r="Y2088">
        <v>-8.3999999999999995E-3</v>
      </c>
      <c r="Z2088">
        <v>127</v>
      </c>
      <c r="AA2088">
        <v>0.55000000000000004</v>
      </c>
      <c r="AB2088">
        <v>351</v>
      </c>
      <c r="AC2088">
        <v>0.75</v>
      </c>
      <c r="AD2088">
        <v>0</v>
      </c>
      <c r="AE2088">
        <v>0</v>
      </c>
      <c r="AF2088">
        <v>0.82599999999999996</v>
      </c>
      <c r="AG2088">
        <v>827</v>
      </c>
      <c r="AH2088">
        <v>0</v>
      </c>
    </row>
    <row r="2089" spans="1:34" x14ac:dyDescent="0.35">
      <c r="A2089" t="s">
        <v>34</v>
      </c>
      <c r="B2089" s="1">
        <v>46146.65625</v>
      </c>
      <c r="C2089" t="s">
        <v>34</v>
      </c>
      <c r="D2089" s="1">
        <v>46156.625</v>
      </c>
      <c r="E2089">
        <v>6000</v>
      </c>
      <c r="F2089" t="s">
        <v>36</v>
      </c>
      <c r="G2089">
        <v>0.8</v>
      </c>
      <c r="H2089">
        <v>0.8</v>
      </c>
      <c r="I2089">
        <v>0.7</v>
      </c>
      <c r="J2089">
        <v>0.7</v>
      </c>
      <c r="K2089">
        <v>20</v>
      </c>
      <c r="L2089">
        <v>523</v>
      </c>
      <c r="M2089">
        <v>0.6</v>
      </c>
      <c r="N2089">
        <v>58</v>
      </c>
      <c r="O2089">
        <v>0.75</v>
      </c>
      <c r="P2089">
        <v>0</v>
      </c>
      <c r="Q2089">
        <v>0</v>
      </c>
      <c r="R2089">
        <v>0</v>
      </c>
      <c r="S2089">
        <v>0</v>
      </c>
      <c r="T2089">
        <v>0.42699999999999999</v>
      </c>
      <c r="U2089">
        <v>-4.4000000000000003E-3</v>
      </c>
      <c r="V2089">
        <v>0</v>
      </c>
      <c r="W2089">
        <v>-0.27479999999999999</v>
      </c>
      <c r="X2089">
        <v>0.16009999999999999</v>
      </c>
      <c r="Y2089">
        <v>-8.6E-3</v>
      </c>
      <c r="Z2089">
        <v>93</v>
      </c>
      <c r="AA2089">
        <v>0.6</v>
      </c>
      <c r="AB2089">
        <v>131</v>
      </c>
      <c r="AC2089">
        <v>0.75</v>
      </c>
      <c r="AD2089">
        <v>0</v>
      </c>
      <c r="AE2089">
        <v>0</v>
      </c>
      <c r="AF2089">
        <v>0.72499999999999998</v>
      </c>
      <c r="AG2089">
        <v>425</v>
      </c>
      <c r="AH2089">
        <v>0</v>
      </c>
    </row>
    <row r="2090" spans="1:34" x14ac:dyDescent="0.35">
      <c r="A2090" t="s">
        <v>34</v>
      </c>
      <c r="B2090" s="1">
        <v>46146.65625</v>
      </c>
      <c r="C2090" t="s">
        <v>34</v>
      </c>
      <c r="D2090" s="1">
        <v>46156.625</v>
      </c>
      <c r="E2090">
        <v>6025</v>
      </c>
      <c r="F2090" t="s">
        <v>36</v>
      </c>
      <c r="G2090">
        <v>0.75</v>
      </c>
      <c r="H2090">
        <v>0.95</v>
      </c>
      <c r="I2090">
        <v>0.7</v>
      </c>
      <c r="J2090">
        <v>0.7</v>
      </c>
      <c r="K2090">
        <v>95</v>
      </c>
      <c r="L2090">
        <v>256</v>
      </c>
      <c r="M2090">
        <v>0.65</v>
      </c>
      <c r="N2090">
        <v>326</v>
      </c>
      <c r="O2090">
        <v>0.8</v>
      </c>
      <c r="P2090">
        <v>0</v>
      </c>
      <c r="Q2090">
        <v>0</v>
      </c>
      <c r="R2090">
        <v>0</v>
      </c>
      <c r="S2090">
        <v>0</v>
      </c>
      <c r="T2090">
        <v>0.42149999999999999</v>
      </c>
      <c r="U2090">
        <v>-4.7999999999999996E-3</v>
      </c>
      <c r="V2090">
        <v>0</v>
      </c>
      <c r="W2090">
        <v>-0.29160000000000003</v>
      </c>
      <c r="X2090">
        <v>0.1716</v>
      </c>
      <c r="Y2090">
        <v>-9.1999999999999998E-3</v>
      </c>
      <c r="Z2090">
        <v>82</v>
      </c>
      <c r="AA2090">
        <v>0.65</v>
      </c>
      <c r="AB2090">
        <v>139</v>
      </c>
      <c r="AC2090">
        <v>0.8</v>
      </c>
      <c r="AD2090">
        <v>0</v>
      </c>
      <c r="AE2090">
        <v>0</v>
      </c>
      <c r="AF2090">
        <v>0.86050000000000004</v>
      </c>
      <c r="AG2090">
        <v>95</v>
      </c>
      <c r="AH2090">
        <v>0</v>
      </c>
    </row>
    <row r="2091" spans="1:34" x14ac:dyDescent="0.35">
      <c r="A2091" t="s">
        <v>34</v>
      </c>
      <c r="B2091" s="1">
        <v>46146.65625</v>
      </c>
      <c r="C2091" t="s">
        <v>34</v>
      </c>
      <c r="D2091" s="1">
        <v>46156.625</v>
      </c>
      <c r="E2091">
        <v>6050</v>
      </c>
      <c r="F2091" t="s">
        <v>36</v>
      </c>
      <c r="G2091">
        <v>0.62</v>
      </c>
      <c r="H2091">
        <v>1.2</v>
      </c>
      <c r="I2091">
        <v>0.62</v>
      </c>
      <c r="J2091">
        <v>1.2</v>
      </c>
      <c r="K2091">
        <v>116</v>
      </c>
      <c r="L2091">
        <v>215</v>
      </c>
      <c r="M2091">
        <v>0.7</v>
      </c>
      <c r="N2091">
        <v>279</v>
      </c>
      <c r="O2091">
        <v>0.85</v>
      </c>
      <c r="P2091">
        <v>0</v>
      </c>
      <c r="Q2091">
        <v>0</v>
      </c>
      <c r="R2091">
        <v>0</v>
      </c>
      <c r="S2091">
        <v>0</v>
      </c>
      <c r="T2091">
        <v>0.41570000000000001</v>
      </c>
      <c r="U2091">
        <v>-5.1000000000000004E-3</v>
      </c>
      <c r="V2091">
        <v>0</v>
      </c>
      <c r="W2091">
        <v>-0.308</v>
      </c>
      <c r="X2091">
        <v>0.18329999999999999</v>
      </c>
      <c r="Y2091">
        <v>-9.9000000000000008E-3</v>
      </c>
      <c r="Z2091">
        <v>115</v>
      </c>
      <c r="AA2091">
        <v>0.65</v>
      </c>
      <c r="AB2091">
        <v>335</v>
      </c>
      <c r="AC2091">
        <v>0.85</v>
      </c>
      <c r="AD2091">
        <v>0</v>
      </c>
      <c r="AE2091">
        <v>0</v>
      </c>
      <c r="AF2091">
        <v>0.96870000000000001</v>
      </c>
      <c r="AG2091">
        <v>120</v>
      </c>
      <c r="AH2091">
        <v>0</v>
      </c>
    </row>
    <row r="2092" spans="1:34" x14ac:dyDescent="0.35">
      <c r="A2092" t="s">
        <v>34</v>
      </c>
      <c r="B2092" s="1">
        <v>46146.65625</v>
      </c>
      <c r="C2092" t="s">
        <v>34</v>
      </c>
      <c r="D2092" s="1">
        <v>46156.625</v>
      </c>
      <c r="E2092">
        <v>6075</v>
      </c>
      <c r="F2092" t="s">
        <v>36</v>
      </c>
      <c r="G2092">
        <v>0.7</v>
      </c>
      <c r="H2092">
        <v>1.1000000000000001</v>
      </c>
      <c r="I2092">
        <v>0.7</v>
      </c>
      <c r="J2092">
        <v>1.1000000000000001</v>
      </c>
      <c r="K2092">
        <v>95</v>
      </c>
      <c r="L2092">
        <v>147</v>
      </c>
      <c r="M2092">
        <v>0.75</v>
      </c>
      <c r="N2092">
        <v>58</v>
      </c>
      <c r="O2092">
        <v>0.85</v>
      </c>
      <c r="P2092">
        <v>0</v>
      </c>
      <c r="Q2092">
        <v>0</v>
      </c>
      <c r="R2092">
        <v>0</v>
      </c>
      <c r="S2092">
        <v>0</v>
      </c>
      <c r="T2092">
        <v>0.40839999999999999</v>
      </c>
      <c r="U2092">
        <v>-5.4000000000000003E-3</v>
      </c>
      <c r="V2092">
        <v>0</v>
      </c>
      <c r="W2092">
        <v>-0.31569999999999998</v>
      </c>
      <c r="X2092">
        <v>0.191</v>
      </c>
      <c r="Y2092">
        <v>-1.04E-2</v>
      </c>
      <c r="Z2092">
        <v>87</v>
      </c>
      <c r="AA2092">
        <v>0.7</v>
      </c>
      <c r="AB2092">
        <v>57</v>
      </c>
      <c r="AC2092">
        <v>0.85</v>
      </c>
      <c r="AD2092">
        <v>0</v>
      </c>
      <c r="AE2092">
        <v>0</v>
      </c>
      <c r="AF2092">
        <v>1</v>
      </c>
      <c r="AG2092">
        <v>128</v>
      </c>
      <c r="AH2092">
        <v>0</v>
      </c>
    </row>
    <row r="2093" spans="1:34" x14ac:dyDescent="0.35">
      <c r="A2093" t="s">
        <v>34</v>
      </c>
      <c r="B2093" s="1">
        <v>46146.65625</v>
      </c>
      <c r="C2093" t="s">
        <v>34</v>
      </c>
      <c r="D2093" s="1">
        <v>46156.625</v>
      </c>
      <c r="E2093">
        <v>6100</v>
      </c>
      <c r="F2093" t="s">
        <v>36</v>
      </c>
      <c r="G2093">
        <v>0.72</v>
      </c>
      <c r="H2093">
        <v>1.1000000000000001</v>
      </c>
      <c r="I2093">
        <v>0.69</v>
      </c>
      <c r="J2093">
        <v>1.1000000000000001</v>
      </c>
      <c r="K2093">
        <v>96</v>
      </c>
      <c r="L2093">
        <v>248</v>
      </c>
      <c r="M2093">
        <v>0.75</v>
      </c>
      <c r="N2093">
        <v>318</v>
      </c>
      <c r="O2093">
        <v>0.9</v>
      </c>
      <c r="P2093">
        <v>0</v>
      </c>
      <c r="Q2093">
        <v>0</v>
      </c>
      <c r="R2093">
        <v>0</v>
      </c>
      <c r="S2093">
        <v>0</v>
      </c>
      <c r="T2093">
        <v>0.40089999999999998</v>
      </c>
      <c r="U2093">
        <v>-5.5999999999999999E-3</v>
      </c>
      <c r="V2093">
        <v>0</v>
      </c>
      <c r="W2093">
        <v>-0.32319999999999999</v>
      </c>
      <c r="X2093">
        <v>0.19889999999999999</v>
      </c>
      <c r="Y2093">
        <v>-1.09E-2</v>
      </c>
      <c r="Z2093">
        <v>85</v>
      </c>
      <c r="AA2093">
        <v>0.75</v>
      </c>
      <c r="AB2093">
        <v>131</v>
      </c>
      <c r="AC2093">
        <v>0.9</v>
      </c>
      <c r="AD2093">
        <v>0</v>
      </c>
      <c r="AE2093">
        <v>0</v>
      </c>
      <c r="AF2093">
        <v>1.032</v>
      </c>
      <c r="AG2093">
        <v>347</v>
      </c>
      <c r="AH2093">
        <v>0</v>
      </c>
    </row>
    <row r="2094" spans="1:34" x14ac:dyDescent="0.35">
      <c r="A2094" t="s">
        <v>34</v>
      </c>
      <c r="B2094" s="1">
        <v>46146.65625</v>
      </c>
      <c r="C2094" t="s">
        <v>34</v>
      </c>
      <c r="D2094" s="1">
        <v>46156.625</v>
      </c>
      <c r="E2094">
        <v>6125</v>
      </c>
      <c r="F2094" t="s">
        <v>36</v>
      </c>
      <c r="G2094">
        <v>1.1000000000000001</v>
      </c>
      <c r="H2094">
        <v>1.1499999999999999</v>
      </c>
      <c r="I2094">
        <v>1.1000000000000001</v>
      </c>
      <c r="J2094">
        <v>1.1499999999999999</v>
      </c>
      <c r="K2094">
        <v>70</v>
      </c>
      <c r="L2094">
        <v>244</v>
      </c>
      <c r="M2094">
        <v>0.8</v>
      </c>
      <c r="N2094">
        <v>184</v>
      </c>
      <c r="O2094">
        <v>0.95</v>
      </c>
      <c r="P2094">
        <v>0</v>
      </c>
      <c r="Q2094">
        <v>0</v>
      </c>
      <c r="R2094">
        <v>0</v>
      </c>
      <c r="S2094">
        <v>0</v>
      </c>
      <c r="T2094">
        <v>0.3947</v>
      </c>
      <c r="U2094">
        <v>-6.0000000000000001E-3</v>
      </c>
      <c r="V2094">
        <v>0</v>
      </c>
      <c r="W2094">
        <v>-0.33889999999999998</v>
      </c>
      <c r="X2094">
        <v>0.2112</v>
      </c>
      <c r="Y2094">
        <v>-1.17E-2</v>
      </c>
      <c r="Z2094">
        <v>73</v>
      </c>
      <c r="AA2094">
        <v>0.8</v>
      </c>
      <c r="AB2094">
        <v>272</v>
      </c>
      <c r="AC2094">
        <v>0.95</v>
      </c>
      <c r="AD2094">
        <v>0</v>
      </c>
      <c r="AE2094">
        <v>0</v>
      </c>
      <c r="AF2094">
        <v>1.1429</v>
      </c>
      <c r="AG2094">
        <v>213</v>
      </c>
      <c r="AH2094">
        <v>0</v>
      </c>
    </row>
    <row r="2095" spans="1:34" x14ac:dyDescent="0.35">
      <c r="A2095" t="s">
        <v>34</v>
      </c>
      <c r="B2095" s="1">
        <v>46146.65625</v>
      </c>
      <c r="C2095" t="s">
        <v>34</v>
      </c>
      <c r="D2095" s="1">
        <v>46156.625</v>
      </c>
      <c r="E2095">
        <v>6150</v>
      </c>
      <c r="F2095" t="s">
        <v>36</v>
      </c>
      <c r="G2095">
        <v>0.72</v>
      </c>
      <c r="H2095">
        <v>0.72</v>
      </c>
      <c r="I2095">
        <v>0.72</v>
      </c>
      <c r="J2095">
        <v>0.72</v>
      </c>
      <c r="K2095">
        <v>3</v>
      </c>
      <c r="L2095">
        <v>174</v>
      </c>
      <c r="M2095">
        <v>0.85</v>
      </c>
      <c r="N2095">
        <v>171</v>
      </c>
      <c r="O2095">
        <v>1</v>
      </c>
      <c r="P2095">
        <v>0</v>
      </c>
      <c r="Q2095">
        <v>0</v>
      </c>
      <c r="R2095">
        <v>0</v>
      </c>
      <c r="S2095">
        <v>0</v>
      </c>
      <c r="T2095">
        <v>0.38829999999999998</v>
      </c>
      <c r="U2095">
        <v>-6.4000000000000003E-3</v>
      </c>
      <c r="V2095">
        <v>0</v>
      </c>
      <c r="W2095">
        <v>-0.3543</v>
      </c>
      <c r="X2095">
        <v>0.22359999999999999</v>
      </c>
      <c r="Y2095">
        <v>-1.24E-2</v>
      </c>
      <c r="Z2095">
        <v>108</v>
      </c>
      <c r="AA2095">
        <v>0.8</v>
      </c>
      <c r="AB2095">
        <v>310</v>
      </c>
      <c r="AC2095">
        <v>1</v>
      </c>
      <c r="AD2095">
        <v>0</v>
      </c>
      <c r="AE2095">
        <v>0</v>
      </c>
      <c r="AF2095">
        <v>0.72</v>
      </c>
      <c r="AG2095">
        <v>46</v>
      </c>
      <c r="AH2095">
        <v>0</v>
      </c>
    </row>
    <row r="2096" spans="1:34" x14ac:dyDescent="0.35">
      <c r="A2096" t="s">
        <v>34</v>
      </c>
      <c r="B2096" s="1">
        <v>46146.65625</v>
      </c>
      <c r="C2096" t="s">
        <v>34</v>
      </c>
      <c r="D2096" s="1">
        <v>46156.625</v>
      </c>
      <c r="E2096">
        <v>6175</v>
      </c>
      <c r="F2096" t="s">
        <v>36</v>
      </c>
      <c r="G2096">
        <v>0.77</v>
      </c>
      <c r="H2096">
        <v>0.77</v>
      </c>
      <c r="I2096">
        <v>0.77</v>
      </c>
      <c r="J2096">
        <v>0.77</v>
      </c>
      <c r="K2096">
        <v>3</v>
      </c>
      <c r="L2096">
        <v>97</v>
      </c>
      <c r="M2096">
        <v>0.9</v>
      </c>
      <c r="N2096">
        <v>183</v>
      </c>
      <c r="O2096">
        <v>1.05</v>
      </c>
      <c r="P2096">
        <v>0</v>
      </c>
      <c r="Q2096">
        <v>0</v>
      </c>
      <c r="R2096">
        <v>0</v>
      </c>
      <c r="S2096">
        <v>0</v>
      </c>
      <c r="T2096">
        <v>0.38169999999999998</v>
      </c>
      <c r="U2096">
        <v>-6.7999999999999996E-3</v>
      </c>
      <c r="V2096">
        <v>0</v>
      </c>
      <c r="W2096">
        <v>-0.36940000000000001</v>
      </c>
      <c r="X2096">
        <v>0.2364</v>
      </c>
      <c r="Y2096">
        <v>-1.3299999999999999E-2</v>
      </c>
      <c r="Z2096">
        <v>101</v>
      </c>
      <c r="AA2096">
        <v>0.85</v>
      </c>
      <c r="AB2096">
        <v>313</v>
      </c>
      <c r="AC2096">
        <v>1.05</v>
      </c>
      <c r="AD2096">
        <v>0</v>
      </c>
      <c r="AE2096">
        <v>0</v>
      </c>
      <c r="AF2096">
        <v>0.77</v>
      </c>
      <c r="AG2096">
        <v>41</v>
      </c>
      <c r="AH2096">
        <v>0</v>
      </c>
    </row>
    <row r="2097" spans="1:34" x14ac:dyDescent="0.35">
      <c r="A2097" t="s">
        <v>34</v>
      </c>
      <c r="B2097" s="1">
        <v>46146.65625</v>
      </c>
      <c r="C2097" t="s">
        <v>34</v>
      </c>
      <c r="D2097" s="1">
        <v>46156.625</v>
      </c>
      <c r="E2097">
        <v>6200</v>
      </c>
      <c r="F2097" t="s">
        <v>36</v>
      </c>
      <c r="G2097">
        <v>1.05</v>
      </c>
      <c r="H2097">
        <v>1.05</v>
      </c>
      <c r="I2097">
        <v>1.05</v>
      </c>
      <c r="J2097">
        <v>1.05</v>
      </c>
      <c r="K2097">
        <v>1</v>
      </c>
      <c r="L2097">
        <v>170</v>
      </c>
      <c r="M2097">
        <v>0.95</v>
      </c>
      <c r="N2097">
        <v>185</v>
      </c>
      <c r="O2097">
        <v>1.1000000000000001</v>
      </c>
      <c r="P2097">
        <v>0</v>
      </c>
      <c r="Q2097">
        <v>0</v>
      </c>
      <c r="R2097">
        <v>0</v>
      </c>
      <c r="S2097">
        <v>0</v>
      </c>
      <c r="T2097">
        <v>0.37490000000000001</v>
      </c>
      <c r="U2097">
        <v>-7.1999999999999998E-3</v>
      </c>
      <c r="V2097">
        <v>0</v>
      </c>
      <c r="W2097">
        <v>-0.38419999999999999</v>
      </c>
      <c r="X2097">
        <v>0.24959999999999999</v>
      </c>
      <c r="Y2097">
        <v>-1.41E-2</v>
      </c>
      <c r="Z2097">
        <v>96</v>
      </c>
      <c r="AA2097">
        <v>0.9</v>
      </c>
      <c r="AB2097">
        <v>315</v>
      </c>
      <c r="AC2097">
        <v>1.1000000000000001</v>
      </c>
      <c r="AD2097">
        <v>0</v>
      </c>
      <c r="AE2097">
        <v>0</v>
      </c>
      <c r="AF2097">
        <v>1.05</v>
      </c>
      <c r="AG2097">
        <v>556</v>
      </c>
      <c r="AH2097">
        <v>0</v>
      </c>
    </row>
    <row r="2098" spans="1:34" x14ac:dyDescent="0.35">
      <c r="A2098" t="s">
        <v>34</v>
      </c>
      <c r="B2098" s="1">
        <v>46146.65625</v>
      </c>
      <c r="C2098" t="s">
        <v>34</v>
      </c>
      <c r="D2098" s="1">
        <v>46156.625</v>
      </c>
      <c r="E2098">
        <v>6225</v>
      </c>
      <c r="F2098" t="s">
        <v>36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93</v>
      </c>
      <c r="M2098">
        <v>1</v>
      </c>
      <c r="N2098">
        <v>180</v>
      </c>
      <c r="O2098">
        <v>1.1499999999999999</v>
      </c>
      <c r="P2098">
        <v>0</v>
      </c>
      <c r="Q2098">
        <v>0</v>
      </c>
      <c r="R2098">
        <v>0</v>
      </c>
      <c r="S2098">
        <v>0</v>
      </c>
      <c r="T2098">
        <v>0.36809999999999998</v>
      </c>
      <c r="U2098">
        <v>-7.7000000000000002E-3</v>
      </c>
      <c r="V2098">
        <v>1E-4</v>
      </c>
      <c r="W2098">
        <v>-0.3987</v>
      </c>
      <c r="X2098">
        <v>0.26329999999999998</v>
      </c>
      <c r="Y2098">
        <v>-1.49E-2</v>
      </c>
      <c r="Z2098">
        <v>99</v>
      </c>
      <c r="AA2098">
        <v>0.95</v>
      </c>
      <c r="AB2098">
        <v>308</v>
      </c>
      <c r="AC2098">
        <v>1.1499999999999999</v>
      </c>
      <c r="AD2098">
        <v>0</v>
      </c>
      <c r="AE2098">
        <v>0</v>
      </c>
      <c r="AF2098">
        <v>0</v>
      </c>
      <c r="AG2098">
        <v>61</v>
      </c>
      <c r="AH2098">
        <v>0</v>
      </c>
    </row>
    <row r="2099" spans="1:34" x14ac:dyDescent="0.35">
      <c r="A2099" t="s">
        <v>34</v>
      </c>
      <c r="B2099" s="1">
        <v>46146.65625</v>
      </c>
      <c r="C2099" t="s">
        <v>34</v>
      </c>
      <c r="D2099" s="1">
        <v>46156.625</v>
      </c>
      <c r="E2099">
        <v>6250</v>
      </c>
      <c r="F2099" t="s">
        <v>36</v>
      </c>
      <c r="G2099">
        <v>1.8</v>
      </c>
      <c r="H2099">
        <v>1.8</v>
      </c>
      <c r="I2099">
        <v>1.8</v>
      </c>
      <c r="J2099">
        <v>1.8</v>
      </c>
      <c r="K2099">
        <v>3</v>
      </c>
      <c r="L2099">
        <v>166</v>
      </c>
      <c r="M2099">
        <v>1.05</v>
      </c>
      <c r="N2099">
        <v>158</v>
      </c>
      <c r="O2099">
        <v>1.2</v>
      </c>
      <c r="P2099">
        <v>0</v>
      </c>
      <c r="Q2099">
        <v>0</v>
      </c>
      <c r="R2099">
        <v>0</v>
      </c>
      <c r="S2099">
        <v>0</v>
      </c>
      <c r="T2099">
        <v>0.36120000000000002</v>
      </c>
      <c r="U2099">
        <v>-8.0999999999999996E-3</v>
      </c>
      <c r="V2099">
        <v>1E-4</v>
      </c>
      <c r="W2099">
        <v>-0.41299999999999998</v>
      </c>
      <c r="X2099">
        <v>0.27739999999999998</v>
      </c>
      <c r="Y2099">
        <v>-1.5800000000000002E-2</v>
      </c>
      <c r="Z2099">
        <v>91</v>
      </c>
      <c r="AA2099">
        <v>1</v>
      </c>
      <c r="AB2099">
        <v>294</v>
      </c>
      <c r="AC2099">
        <v>1.2</v>
      </c>
      <c r="AD2099">
        <v>0</v>
      </c>
      <c r="AE2099">
        <v>0</v>
      </c>
      <c r="AF2099">
        <v>1.8</v>
      </c>
      <c r="AG2099">
        <v>52</v>
      </c>
      <c r="AH2099">
        <v>0</v>
      </c>
    </row>
    <row r="2100" spans="1:34" x14ac:dyDescent="0.35">
      <c r="A2100" t="s">
        <v>34</v>
      </c>
      <c r="B2100" s="1">
        <v>46146.65625</v>
      </c>
      <c r="C2100" t="s">
        <v>34</v>
      </c>
      <c r="D2100" s="1">
        <v>46156.625</v>
      </c>
      <c r="E2100">
        <v>6275</v>
      </c>
      <c r="F2100" t="s">
        <v>36</v>
      </c>
      <c r="G2100">
        <v>1.2</v>
      </c>
      <c r="H2100">
        <v>1.22</v>
      </c>
      <c r="I2100">
        <v>1.2</v>
      </c>
      <c r="J2100">
        <v>1.22</v>
      </c>
      <c r="K2100">
        <v>2</v>
      </c>
      <c r="L2100">
        <v>193</v>
      </c>
      <c r="M2100">
        <v>1.1000000000000001</v>
      </c>
      <c r="N2100">
        <v>233</v>
      </c>
      <c r="O2100">
        <v>1.25</v>
      </c>
      <c r="P2100">
        <v>0</v>
      </c>
      <c r="Q2100">
        <v>0</v>
      </c>
      <c r="R2100">
        <v>0</v>
      </c>
      <c r="S2100">
        <v>0</v>
      </c>
      <c r="T2100">
        <v>0.35399999999999998</v>
      </c>
      <c r="U2100">
        <v>-8.6E-3</v>
      </c>
      <c r="V2100">
        <v>1E-4</v>
      </c>
      <c r="W2100">
        <v>-0.42680000000000001</v>
      </c>
      <c r="X2100">
        <v>0.29210000000000003</v>
      </c>
      <c r="Y2100">
        <v>-1.6799999999999999E-2</v>
      </c>
      <c r="Z2100">
        <v>63</v>
      </c>
      <c r="AA2100">
        <v>1.1000000000000001</v>
      </c>
      <c r="AB2100">
        <v>233</v>
      </c>
      <c r="AC2100">
        <v>1.25</v>
      </c>
      <c r="AD2100">
        <v>0</v>
      </c>
      <c r="AE2100">
        <v>0</v>
      </c>
      <c r="AF2100">
        <v>1.21</v>
      </c>
      <c r="AG2100">
        <v>446</v>
      </c>
      <c r="AH2100">
        <v>0</v>
      </c>
    </row>
    <row r="2101" spans="1:34" x14ac:dyDescent="0.35">
      <c r="A2101" t="s">
        <v>34</v>
      </c>
      <c r="B2101" s="1">
        <v>46146.65625</v>
      </c>
      <c r="C2101" t="s">
        <v>34</v>
      </c>
      <c r="D2101" s="1">
        <v>46156.625</v>
      </c>
      <c r="E2101">
        <v>6300</v>
      </c>
      <c r="F2101" t="s">
        <v>36</v>
      </c>
      <c r="G2101">
        <v>1.03</v>
      </c>
      <c r="H2101">
        <v>1.2</v>
      </c>
      <c r="I2101">
        <v>1.03</v>
      </c>
      <c r="J2101">
        <v>1.2</v>
      </c>
      <c r="K2101">
        <v>12</v>
      </c>
      <c r="L2101">
        <v>191</v>
      </c>
      <c r="M2101">
        <v>1.1499999999999999</v>
      </c>
      <c r="N2101">
        <v>102</v>
      </c>
      <c r="O2101">
        <v>1.3</v>
      </c>
      <c r="P2101">
        <v>0</v>
      </c>
      <c r="Q2101">
        <v>0</v>
      </c>
      <c r="R2101">
        <v>0</v>
      </c>
      <c r="S2101">
        <v>0</v>
      </c>
      <c r="T2101">
        <v>0.3468</v>
      </c>
      <c r="U2101">
        <v>-9.1000000000000004E-3</v>
      </c>
      <c r="V2101">
        <v>1E-4</v>
      </c>
      <c r="W2101">
        <v>-0.44040000000000001</v>
      </c>
      <c r="X2101">
        <v>0.30709999999999998</v>
      </c>
      <c r="Y2101">
        <v>-1.78E-2</v>
      </c>
      <c r="Z2101">
        <v>61</v>
      </c>
      <c r="AA2101">
        <v>1.1499999999999999</v>
      </c>
      <c r="AB2101">
        <v>191</v>
      </c>
      <c r="AC2101">
        <v>1.3</v>
      </c>
      <c r="AD2101">
        <v>0</v>
      </c>
      <c r="AE2101">
        <v>0</v>
      </c>
      <c r="AF2101">
        <v>1.0608</v>
      </c>
      <c r="AG2101">
        <v>432</v>
      </c>
      <c r="AH2101">
        <v>0</v>
      </c>
    </row>
    <row r="2102" spans="1:34" x14ac:dyDescent="0.35">
      <c r="A2102" t="s">
        <v>34</v>
      </c>
      <c r="B2102" s="1">
        <v>46146.65625</v>
      </c>
      <c r="C2102" t="s">
        <v>34</v>
      </c>
      <c r="D2102" s="1">
        <v>46156.625</v>
      </c>
      <c r="E2102">
        <v>6325</v>
      </c>
      <c r="F2102" t="s">
        <v>36</v>
      </c>
      <c r="G2102">
        <v>1.34</v>
      </c>
      <c r="H2102">
        <v>1.34</v>
      </c>
      <c r="I2102">
        <v>1.34</v>
      </c>
      <c r="J2102">
        <v>1.34</v>
      </c>
      <c r="K2102">
        <v>2</v>
      </c>
      <c r="L2102">
        <v>159</v>
      </c>
      <c r="M2102">
        <v>1.25</v>
      </c>
      <c r="N2102">
        <v>152</v>
      </c>
      <c r="O2102">
        <v>1.4</v>
      </c>
      <c r="P2102">
        <v>0</v>
      </c>
      <c r="Q2102">
        <v>0</v>
      </c>
      <c r="R2102">
        <v>0</v>
      </c>
      <c r="S2102">
        <v>0</v>
      </c>
      <c r="T2102">
        <v>0.3412</v>
      </c>
      <c r="U2102">
        <v>-9.9000000000000008E-3</v>
      </c>
      <c r="V2102">
        <v>1E-4</v>
      </c>
      <c r="W2102">
        <v>-0.46870000000000001</v>
      </c>
      <c r="X2102">
        <v>0.3306</v>
      </c>
      <c r="Y2102">
        <v>-1.9400000000000001E-2</v>
      </c>
      <c r="Z2102">
        <v>75</v>
      </c>
      <c r="AA2102">
        <v>1.2</v>
      </c>
      <c r="AB2102">
        <v>262</v>
      </c>
      <c r="AC2102">
        <v>1.4</v>
      </c>
      <c r="AD2102">
        <v>0</v>
      </c>
      <c r="AE2102">
        <v>0</v>
      </c>
      <c r="AF2102">
        <v>1.34</v>
      </c>
      <c r="AG2102">
        <v>118</v>
      </c>
      <c r="AH2102">
        <v>0</v>
      </c>
    </row>
    <row r="2103" spans="1:34" x14ac:dyDescent="0.35">
      <c r="A2103" t="s">
        <v>34</v>
      </c>
      <c r="B2103" s="1">
        <v>46146.65625</v>
      </c>
      <c r="C2103" t="s">
        <v>34</v>
      </c>
      <c r="D2103" s="1">
        <v>46156.625</v>
      </c>
      <c r="E2103">
        <v>6350</v>
      </c>
      <c r="F2103" t="s">
        <v>36</v>
      </c>
      <c r="G2103">
        <v>1.17</v>
      </c>
      <c r="H2103">
        <v>1.65</v>
      </c>
      <c r="I2103">
        <v>1.17</v>
      </c>
      <c r="J2103">
        <v>1.42</v>
      </c>
      <c r="K2103">
        <v>41</v>
      </c>
      <c r="L2103">
        <v>142</v>
      </c>
      <c r="M2103">
        <v>1.3</v>
      </c>
      <c r="N2103">
        <v>91</v>
      </c>
      <c r="O2103">
        <v>1.45</v>
      </c>
      <c r="P2103">
        <v>0</v>
      </c>
      <c r="Q2103">
        <v>0</v>
      </c>
      <c r="R2103">
        <v>0</v>
      </c>
      <c r="S2103">
        <v>0</v>
      </c>
      <c r="T2103">
        <v>0.33360000000000001</v>
      </c>
      <c r="U2103">
        <v>-1.0500000000000001E-2</v>
      </c>
      <c r="V2103">
        <v>1E-4</v>
      </c>
      <c r="W2103">
        <v>-0.48130000000000001</v>
      </c>
      <c r="X2103">
        <v>0.34649999999999997</v>
      </c>
      <c r="Y2103">
        <v>-2.0400000000000001E-2</v>
      </c>
      <c r="Z2103">
        <v>59</v>
      </c>
      <c r="AA2103">
        <v>1.3</v>
      </c>
      <c r="AB2103">
        <v>222</v>
      </c>
      <c r="AC2103">
        <v>1.45</v>
      </c>
      <c r="AD2103">
        <v>0</v>
      </c>
      <c r="AE2103">
        <v>0</v>
      </c>
      <c r="AF2103">
        <v>1.5273000000000001</v>
      </c>
      <c r="AG2103">
        <v>876</v>
      </c>
      <c r="AH2103">
        <v>0</v>
      </c>
    </row>
    <row r="2104" spans="1:34" x14ac:dyDescent="0.35">
      <c r="A2104" t="s">
        <v>34</v>
      </c>
      <c r="B2104" s="1">
        <v>46146.65625</v>
      </c>
      <c r="C2104" t="s">
        <v>34</v>
      </c>
      <c r="D2104" s="1">
        <v>46156.625</v>
      </c>
      <c r="E2104">
        <v>6375</v>
      </c>
      <c r="F2104" t="s">
        <v>36</v>
      </c>
      <c r="G2104">
        <v>2.13</v>
      </c>
      <c r="H2104">
        <v>2.13</v>
      </c>
      <c r="I2104">
        <v>2.13</v>
      </c>
      <c r="J2104">
        <v>2.13</v>
      </c>
      <c r="K2104">
        <v>2000</v>
      </c>
      <c r="L2104">
        <v>185</v>
      </c>
      <c r="M2104">
        <v>1.4</v>
      </c>
      <c r="N2104">
        <v>218</v>
      </c>
      <c r="O2104">
        <v>1.55</v>
      </c>
      <c r="P2104">
        <v>0</v>
      </c>
      <c r="Q2104">
        <v>0</v>
      </c>
      <c r="R2104">
        <v>0</v>
      </c>
      <c r="S2104">
        <v>0</v>
      </c>
      <c r="T2104">
        <v>0.32729999999999998</v>
      </c>
      <c r="U2104">
        <v>-1.1299999999999999E-2</v>
      </c>
      <c r="V2104">
        <v>1E-4</v>
      </c>
      <c r="W2104">
        <v>-0.50829999999999997</v>
      </c>
      <c r="X2104">
        <v>0.37119999999999997</v>
      </c>
      <c r="Y2104">
        <v>-2.2100000000000002E-2</v>
      </c>
      <c r="Z2104">
        <v>73</v>
      </c>
      <c r="AA2104">
        <v>1.35</v>
      </c>
      <c r="AB2104">
        <v>213</v>
      </c>
      <c r="AC2104">
        <v>1.55</v>
      </c>
      <c r="AD2104">
        <v>0</v>
      </c>
      <c r="AE2104">
        <v>0</v>
      </c>
      <c r="AF2104">
        <v>2.13</v>
      </c>
      <c r="AG2104">
        <v>101</v>
      </c>
      <c r="AH2104">
        <v>0</v>
      </c>
    </row>
    <row r="2105" spans="1:34" x14ac:dyDescent="0.35">
      <c r="A2105" t="s">
        <v>34</v>
      </c>
      <c r="B2105" s="1">
        <v>46146.65625</v>
      </c>
      <c r="C2105" t="s">
        <v>34</v>
      </c>
      <c r="D2105" s="1">
        <v>46156.625</v>
      </c>
      <c r="E2105">
        <v>6400</v>
      </c>
      <c r="F2105" t="s">
        <v>36</v>
      </c>
      <c r="G2105">
        <v>1.26</v>
      </c>
      <c r="H2105">
        <v>2.4</v>
      </c>
      <c r="I2105">
        <v>1.26</v>
      </c>
      <c r="J2105">
        <v>1.69</v>
      </c>
      <c r="K2105">
        <v>24</v>
      </c>
      <c r="L2105">
        <v>153</v>
      </c>
      <c r="M2105">
        <v>1.5</v>
      </c>
      <c r="N2105">
        <v>221</v>
      </c>
      <c r="O2105">
        <v>1.65</v>
      </c>
      <c r="P2105">
        <v>0</v>
      </c>
      <c r="Q2105">
        <v>0</v>
      </c>
      <c r="R2105">
        <v>0</v>
      </c>
      <c r="S2105">
        <v>0</v>
      </c>
      <c r="T2105">
        <v>0.3211</v>
      </c>
      <c r="U2105">
        <v>-1.2200000000000001E-2</v>
      </c>
      <c r="V2105">
        <v>1E-4</v>
      </c>
      <c r="W2105">
        <v>-0.53449999999999998</v>
      </c>
      <c r="X2105">
        <v>0.39650000000000002</v>
      </c>
      <c r="Y2105">
        <v>-2.3800000000000002E-2</v>
      </c>
      <c r="Z2105">
        <v>72</v>
      </c>
      <c r="AA2105">
        <v>1.45</v>
      </c>
      <c r="AB2105">
        <v>216</v>
      </c>
      <c r="AC2105">
        <v>1.65</v>
      </c>
      <c r="AD2105">
        <v>0</v>
      </c>
      <c r="AE2105">
        <v>0</v>
      </c>
      <c r="AF2105">
        <v>1.7045999999999999</v>
      </c>
      <c r="AG2105">
        <v>579</v>
      </c>
      <c r="AH2105">
        <v>0</v>
      </c>
    </row>
    <row r="2106" spans="1:34" x14ac:dyDescent="0.35">
      <c r="A2106" t="s">
        <v>34</v>
      </c>
      <c r="B2106" s="1">
        <v>46146.65625</v>
      </c>
      <c r="C2106" t="s">
        <v>34</v>
      </c>
      <c r="D2106" s="1">
        <v>46156.625</v>
      </c>
      <c r="E2106">
        <v>6425</v>
      </c>
      <c r="F2106" t="s">
        <v>36</v>
      </c>
      <c r="G2106">
        <v>1.42</v>
      </c>
      <c r="H2106">
        <v>1.42</v>
      </c>
      <c r="I2106">
        <v>1.42</v>
      </c>
      <c r="J2106">
        <v>1.42</v>
      </c>
      <c r="K2106">
        <v>1</v>
      </c>
      <c r="L2106">
        <v>152</v>
      </c>
      <c r="M2106">
        <v>1.6</v>
      </c>
      <c r="N2106">
        <v>220</v>
      </c>
      <c r="O2106">
        <v>1.75</v>
      </c>
      <c r="P2106">
        <v>0</v>
      </c>
      <c r="Q2106">
        <v>0</v>
      </c>
      <c r="R2106">
        <v>0</v>
      </c>
      <c r="S2106">
        <v>0</v>
      </c>
      <c r="T2106">
        <v>0.3145</v>
      </c>
      <c r="U2106">
        <v>-1.32E-2</v>
      </c>
      <c r="V2106">
        <v>1E-4</v>
      </c>
      <c r="W2106">
        <v>-0.55989999999999995</v>
      </c>
      <c r="X2106">
        <v>0.4229</v>
      </c>
      <c r="Y2106">
        <v>-2.5700000000000001E-2</v>
      </c>
      <c r="Z2106">
        <v>70</v>
      </c>
      <c r="AA2106">
        <v>1.55</v>
      </c>
      <c r="AB2106">
        <v>204</v>
      </c>
      <c r="AC2106">
        <v>1.75</v>
      </c>
      <c r="AD2106">
        <v>0</v>
      </c>
      <c r="AE2106">
        <v>0</v>
      </c>
      <c r="AF2106">
        <v>1.42</v>
      </c>
      <c r="AG2106">
        <v>62</v>
      </c>
      <c r="AH2106">
        <v>0</v>
      </c>
    </row>
    <row r="2107" spans="1:34" x14ac:dyDescent="0.35">
      <c r="A2107" t="s">
        <v>34</v>
      </c>
      <c r="B2107" s="1">
        <v>46146.65625</v>
      </c>
      <c r="C2107" t="s">
        <v>34</v>
      </c>
      <c r="D2107" s="1">
        <v>46156.625</v>
      </c>
      <c r="E2107">
        <v>6450</v>
      </c>
      <c r="F2107" t="s">
        <v>36</v>
      </c>
      <c r="G2107">
        <v>1.54</v>
      </c>
      <c r="H2107">
        <v>1.54</v>
      </c>
      <c r="I2107">
        <v>1.4</v>
      </c>
      <c r="J2107">
        <v>1.4</v>
      </c>
      <c r="K2107">
        <v>12</v>
      </c>
      <c r="L2107">
        <v>182</v>
      </c>
      <c r="M2107">
        <v>1.7</v>
      </c>
      <c r="N2107">
        <v>183</v>
      </c>
      <c r="O2107">
        <v>1.9</v>
      </c>
      <c r="P2107">
        <v>0</v>
      </c>
      <c r="Q2107">
        <v>0</v>
      </c>
      <c r="R2107">
        <v>0</v>
      </c>
      <c r="S2107">
        <v>0</v>
      </c>
      <c r="T2107">
        <v>0.30819999999999997</v>
      </c>
      <c r="U2107">
        <v>-1.43E-2</v>
      </c>
      <c r="V2107">
        <v>1E-4</v>
      </c>
      <c r="W2107">
        <v>-0.59130000000000005</v>
      </c>
      <c r="X2107">
        <v>0.45419999999999999</v>
      </c>
      <c r="Y2107">
        <v>-2.7900000000000001E-2</v>
      </c>
      <c r="Z2107">
        <v>73</v>
      </c>
      <c r="AA2107">
        <v>1.65</v>
      </c>
      <c r="AB2107">
        <v>177</v>
      </c>
      <c r="AC2107">
        <v>1.85</v>
      </c>
      <c r="AD2107">
        <v>0</v>
      </c>
      <c r="AE2107">
        <v>0</v>
      </c>
      <c r="AF2107">
        <v>1.5266999999999999</v>
      </c>
      <c r="AG2107">
        <v>272</v>
      </c>
      <c r="AH2107">
        <v>0</v>
      </c>
    </row>
    <row r="2108" spans="1:34" x14ac:dyDescent="0.35">
      <c r="A2108" t="s">
        <v>34</v>
      </c>
      <c r="B2108" s="1">
        <v>46146.65625</v>
      </c>
      <c r="C2108" t="s">
        <v>34</v>
      </c>
      <c r="D2108" s="1">
        <v>46156.625</v>
      </c>
      <c r="E2108">
        <v>6475</v>
      </c>
      <c r="F2108" t="s">
        <v>36</v>
      </c>
      <c r="G2108">
        <v>1.75</v>
      </c>
      <c r="H2108">
        <v>1.94</v>
      </c>
      <c r="I2108">
        <v>1.65</v>
      </c>
      <c r="J2108">
        <v>1.94</v>
      </c>
      <c r="K2108">
        <v>3</v>
      </c>
      <c r="L2108">
        <v>113</v>
      </c>
      <c r="M2108">
        <v>1.85</v>
      </c>
      <c r="N2108">
        <v>206</v>
      </c>
      <c r="O2108">
        <v>2</v>
      </c>
      <c r="P2108">
        <v>0</v>
      </c>
      <c r="Q2108">
        <v>0</v>
      </c>
      <c r="R2108">
        <v>0</v>
      </c>
      <c r="S2108">
        <v>0</v>
      </c>
      <c r="T2108">
        <v>0.30170000000000002</v>
      </c>
      <c r="U2108">
        <v>-1.54E-2</v>
      </c>
      <c r="V2108">
        <v>1E-4</v>
      </c>
      <c r="W2108">
        <v>-0.62160000000000004</v>
      </c>
      <c r="X2108">
        <v>0.48599999999999999</v>
      </c>
      <c r="Y2108">
        <v>-3.0200000000000001E-2</v>
      </c>
      <c r="Z2108">
        <v>72</v>
      </c>
      <c r="AA2108">
        <v>1.8</v>
      </c>
      <c r="AB2108">
        <v>204</v>
      </c>
      <c r="AC2108">
        <v>2</v>
      </c>
      <c r="AD2108">
        <v>0</v>
      </c>
      <c r="AE2108">
        <v>0</v>
      </c>
      <c r="AF2108">
        <v>1.78</v>
      </c>
      <c r="AG2108">
        <v>413</v>
      </c>
      <c r="AH2108">
        <v>0</v>
      </c>
    </row>
    <row r="2109" spans="1:34" x14ac:dyDescent="0.35">
      <c r="A2109" t="s">
        <v>34</v>
      </c>
      <c r="B2109" s="1">
        <v>46146.65625</v>
      </c>
      <c r="C2109" t="s">
        <v>34</v>
      </c>
      <c r="D2109" s="1">
        <v>46156.625</v>
      </c>
      <c r="E2109">
        <v>6500</v>
      </c>
      <c r="F2109" t="s">
        <v>36</v>
      </c>
      <c r="G2109">
        <v>1.95</v>
      </c>
      <c r="H2109">
        <v>2.8</v>
      </c>
      <c r="I2109">
        <v>1.75</v>
      </c>
      <c r="J2109">
        <v>2.8</v>
      </c>
      <c r="K2109">
        <v>6</v>
      </c>
      <c r="L2109">
        <v>113</v>
      </c>
      <c r="M2109">
        <v>2</v>
      </c>
      <c r="N2109">
        <v>207</v>
      </c>
      <c r="O2109">
        <v>2.15</v>
      </c>
      <c r="P2109">
        <v>0</v>
      </c>
      <c r="Q2109">
        <v>0</v>
      </c>
      <c r="R2109">
        <v>0</v>
      </c>
      <c r="S2109">
        <v>0</v>
      </c>
      <c r="T2109">
        <v>0.2954</v>
      </c>
      <c r="U2109">
        <v>-1.6799999999999999E-2</v>
      </c>
      <c r="V2109">
        <v>1E-4</v>
      </c>
      <c r="W2109">
        <v>-0.65749999999999997</v>
      </c>
      <c r="X2109">
        <v>0.52229999999999999</v>
      </c>
      <c r="Y2109">
        <v>-3.2899999999999999E-2</v>
      </c>
      <c r="Z2109">
        <v>57</v>
      </c>
      <c r="AA2109">
        <v>1.95</v>
      </c>
      <c r="AB2109">
        <v>43</v>
      </c>
      <c r="AC2109">
        <v>2.1</v>
      </c>
      <c r="AD2109">
        <v>0</v>
      </c>
      <c r="AE2109">
        <v>0</v>
      </c>
      <c r="AF2109">
        <v>1.9917</v>
      </c>
      <c r="AG2109">
        <v>390</v>
      </c>
      <c r="AH2109">
        <v>0</v>
      </c>
    </row>
    <row r="2110" spans="1:34" x14ac:dyDescent="0.35">
      <c r="A2110" t="s">
        <v>34</v>
      </c>
      <c r="B2110" s="1">
        <v>46146.65625</v>
      </c>
      <c r="C2110" t="s">
        <v>34</v>
      </c>
      <c r="D2110" s="1">
        <v>46156.625</v>
      </c>
      <c r="E2110">
        <v>6525</v>
      </c>
      <c r="F2110" t="s">
        <v>36</v>
      </c>
      <c r="G2110">
        <v>2.0499999999999998</v>
      </c>
      <c r="H2110">
        <v>2.0499999999999998</v>
      </c>
      <c r="I2110">
        <v>1.9</v>
      </c>
      <c r="J2110">
        <v>1.9</v>
      </c>
      <c r="K2110">
        <v>3</v>
      </c>
      <c r="L2110">
        <v>112</v>
      </c>
      <c r="M2110">
        <v>2.15</v>
      </c>
      <c r="N2110">
        <v>30</v>
      </c>
      <c r="O2110">
        <v>2.2999999999999998</v>
      </c>
      <c r="P2110">
        <v>0</v>
      </c>
      <c r="Q2110">
        <v>0</v>
      </c>
      <c r="R2110">
        <v>0</v>
      </c>
      <c r="S2110">
        <v>0</v>
      </c>
      <c r="T2110">
        <v>0.28889999999999999</v>
      </c>
      <c r="U2110">
        <v>-1.8200000000000001E-2</v>
      </c>
      <c r="V2110">
        <v>1E-4</v>
      </c>
      <c r="W2110">
        <v>-0.69210000000000005</v>
      </c>
      <c r="X2110">
        <v>0.55969999999999998</v>
      </c>
      <c r="Y2110">
        <v>-3.5700000000000003E-2</v>
      </c>
      <c r="Z2110">
        <v>78</v>
      </c>
      <c r="AA2110">
        <v>2.1</v>
      </c>
      <c r="AB2110">
        <v>193</v>
      </c>
      <c r="AC2110">
        <v>2.2999999999999998</v>
      </c>
      <c r="AD2110">
        <v>0</v>
      </c>
      <c r="AE2110">
        <v>0</v>
      </c>
      <c r="AF2110">
        <v>1.95</v>
      </c>
      <c r="AG2110">
        <v>83</v>
      </c>
      <c r="AH2110">
        <v>0</v>
      </c>
    </row>
    <row r="2111" spans="1:34" x14ac:dyDescent="0.35">
      <c r="A2111" t="s">
        <v>34</v>
      </c>
      <c r="B2111" s="1">
        <v>46146.65625</v>
      </c>
      <c r="C2111" t="s">
        <v>34</v>
      </c>
      <c r="D2111" s="1">
        <v>46156.625</v>
      </c>
      <c r="E2111">
        <v>6550</v>
      </c>
      <c r="F2111" t="s">
        <v>36</v>
      </c>
      <c r="G2111">
        <v>1.95</v>
      </c>
      <c r="H2111">
        <v>2.75</v>
      </c>
      <c r="I2111">
        <v>1.95</v>
      </c>
      <c r="J2111">
        <v>2.37</v>
      </c>
      <c r="K2111">
        <v>6</v>
      </c>
      <c r="L2111">
        <v>173</v>
      </c>
      <c r="M2111">
        <v>2.2999999999999998</v>
      </c>
      <c r="N2111">
        <v>69</v>
      </c>
      <c r="O2111">
        <v>2.5</v>
      </c>
      <c r="P2111">
        <v>0</v>
      </c>
      <c r="Q2111">
        <v>0</v>
      </c>
      <c r="R2111">
        <v>0</v>
      </c>
      <c r="S2111">
        <v>0</v>
      </c>
      <c r="T2111">
        <v>0.28249999999999997</v>
      </c>
      <c r="U2111">
        <v>-1.9900000000000001E-2</v>
      </c>
      <c r="V2111">
        <v>1E-4</v>
      </c>
      <c r="W2111">
        <v>-0.73160000000000003</v>
      </c>
      <c r="X2111">
        <v>0.60240000000000005</v>
      </c>
      <c r="Y2111">
        <v>-3.8899999999999997E-2</v>
      </c>
      <c r="Z2111">
        <v>74</v>
      </c>
      <c r="AA2111">
        <v>2.25</v>
      </c>
      <c r="AB2111">
        <v>74</v>
      </c>
      <c r="AC2111">
        <v>2.4500000000000002</v>
      </c>
      <c r="AD2111">
        <v>0</v>
      </c>
      <c r="AE2111">
        <v>0</v>
      </c>
      <c r="AF2111">
        <v>2.4900000000000002</v>
      </c>
      <c r="AG2111">
        <v>266</v>
      </c>
      <c r="AH2111">
        <v>0</v>
      </c>
    </row>
    <row r="2112" spans="1:34" x14ac:dyDescent="0.35">
      <c r="A2112" t="s">
        <v>34</v>
      </c>
      <c r="B2112" s="1">
        <v>46146.65625</v>
      </c>
      <c r="C2112" t="s">
        <v>34</v>
      </c>
      <c r="D2112" s="1">
        <v>46156.625</v>
      </c>
      <c r="E2112">
        <v>6575</v>
      </c>
      <c r="F2112" t="s">
        <v>36</v>
      </c>
      <c r="G2112">
        <v>2.65</v>
      </c>
      <c r="H2112">
        <v>2.65</v>
      </c>
      <c r="I2112">
        <v>2.65</v>
      </c>
      <c r="J2112">
        <v>2.65</v>
      </c>
      <c r="K2112">
        <v>1</v>
      </c>
      <c r="L2112">
        <v>89</v>
      </c>
      <c r="M2112">
        <v>2.5499999999999998</v>
      </c>
      <c r="N2112">
        <v>96</v>
      </c>
      <c r="O2112">
        <v>2.7</v>
      </c>
      <c r="P2112">
        <v>0</v>
      </c>
      <c r="Q2112">
        <v>0</v>
      </c>
      <c r="R2112">
        <v>0</v>
      </c>
      <c r="S2112">
        <v>0</v>
      </c>
      <c r="T2112">
        <v>0.27660000000000001</v>
      </c>
      <c r="U2112">
        <v>-2.1899999999999999E-2</v>
      </c>
      <c r="V2112">
        <v>2.0000000000000001E-4</v>
      </c>
      <c r="W2112">
        <v>-0.78169999999999995</v>
      </c>
      <c r="X2112">
        <v>0.65439999999999998</v>
      </c>
      <c r="Y2112">
        <v>-4.2900000000000001E-2</v>
      </c>
      <c r="Z2112">
        <v>74</v>
      </c>
      <c r="AA2112">
        <v>2.4500000000000002</v>
      </c>
      <c r="AB2112">
        <v>47</v>
      </c>
      <c r="AC2112">
        <v>2.65</v>
      </c>
      <c r="AD2112">
        <v>0</v>
      </c>
      <c r="AE2112">
        <v>0</v>
      </c>
      <c r="AF2112">
        <v>2.65</v>
      </c>
      <c r="AG2112">
        <v>1046</v>
      </c>
      <c r="AH2112">
        <v>0</v>
      </c>
    </row>
    <row r="2113" spans="1:34" x14ac:dyDescent="0.35">
      <c r="A2113" t="s">
        <v>34</v>
      </c>
      <c r="B2113" s="1">
        <v>46146.65625</v>
      </c>
      <c r="C2113" t="s">
        <v>34</v>
      </c>
      <c r="D2113" s="1">
        <v>46156.625</v>
      </c>
      <c r="E2113">
        <v>6600</v>
      </c>
      <c r="F2113" t="s">
        <v>36</v>
      </c>
      <c r="G2113">
        <v>2.5499999999999998</v>
      </c>
      <c r="H2113">
        <v>2.5499999999999998</v>
      </c>
      <c r="I2113">
        <v>2.21</v>
      </c>
      <c r="J2113">
        <v>2.21</v>
      </c>
      <c r="K2113">
        <v>4</v>
      </c>
      <c r="L2113">
        <v>172</v>
      </c>
      <c r="M2113">
        <v>2.75</v>
      </c>
      <c r="N2113">
        <v>67</v>
      </c>
      <c r="O2113">
        <v>2.95</v>
      </c>
      <c r="P2113">
        <v>0</v>
      </c>
      <c r="Q2113">
        <v>0</v>
      </c>
      <c r="R2113">
        <v>0</v>
      </c>
      <c r="S2113">
        <v>0</v>
      </c>
      <c r="T2113">
        <v>0.27039999999999997</v>
      </c>
      <c r="U2113">
        <v>-2.4E-2</v>
      </c>
      <c r="V2113">
        <v>2.0000000000000001E-4</v>
      </c>
      <c r="W2113">
        <v>-0.82950000000000002</v>
      </c>
      <c r="X2113">
        <v>0.70720000000000005</v>
      </c>
      <c r="Y2113">
        <v>-4.7100000000000003E-2</v>
      </c>
      <c r="Z2113">
        <v>72</v>
      </c>
      <c r="AA2113">
        <v>2.7</v>
      </c>
      <c r="AB2113">
        <v>176</v>
      </c>
      <c r="AC2113">
        <v>2.9</v>
      </c>
      <c r="AD2113">
        <v>0</v>
      </c>
      <c r="AE2113">
        <v>0</v>
      </c>
      <c r="AF2113">
        <v>2.3149999999999999</v>
      </c>
      <c r="AG2113">
        <v>136</v>
      </c>
      <c r="AH2113">
        <v>0</v>
      </c>
    </row>
    <row r="2114" spans="1:34" x14ac:dyDescent="0.35">
      <c r="A2114" t="s">
        <v>34</v>
      </c>
      <c r="B2114" s="1">
        <v>46146.65625</v>
      </c>
      <c r="C2114" t="s">
        <v>34</v>
      </c>
      <c r="D2114" s="1">
        <v>46156.625</v>
      </c>
      <c r="E2114">
        <v>6625</v>
      </c>
      <c r="F2114" t="s">
        <v>36</v>
      </c>
      <c r="G2114">
        <v>3.5</v>
      </c>
      <c r="H2114">
        <v>3.5</v>
      </c>
      <c r="I2114">
        <v>3.08</v>
      </c>
      <c r="J2114">
        <v>3.08</v>
      </c>
      <c r="K2114">
        <v>2</v>
      </c>
      <c r="L2114">
        <v>169</v>
      </c>
      <c r="M2114">
        <v>3</v>
      </c>
      <c r="N2114">
        <v>49</v>
      </c>
      <c r="O2114">
        <v>3.2</v>
      </c>
      <c r="P2114">
        <v>0</v>
      </c>
      <c r="Q2114">
        <v>0</v>
      </c>
      <c r="R2114">
        <v>0</v>
      </c>
      <c r="S2114">
        <v>0</v>
      </c>
      <c r="T2114">
        <v>0.26390000000000002</v>
      </c>
      <c r="U2114">
        <v>-2.64E-2</v>
      </c>
      <c r="V2114">
        <v>2.0000000000000001E-4</v>
      </c>
      <c r="W2114">
        <v>-0.88060000000000005</v>
      </c>
      <c r="X2114">
        <v>0.76459999999999995</v>
      </c>
      <c r="Y2114">
        <v>-5.1900000000000002E-2</v>
      </c>
      <c r="Z2114">
        <v>70</v>
      </c>
      <c r="AA2114">
        <v>2.95</v>
      </c>
      <c r="AB2114">
        <v>203</v>
      </c>
      <c r="AC2114">
        <v>3.2</v>
      </c>
      <c r="AD2114">
        <v>0</v>
      </c>
      <c r="AE2114">
        <v>0</v>
      </c>
      <c r="AF2114">
        <v>3.29</v>
      </c>
      <c r="AG2114">
        <v>414</v>
      </c>
      <c r="AH2114">
        <v>0</v>
      </c>
    </row>
    <row r="2115" spans="1:34" x14ac:dyDescent="0.35">
      <c r="A2115" t="s">
        <v>34</v>
      </c>
      <c r="B2115" s="1">
        <v>46146.65625</v>
      </c>
      <c r="C2115" t="s">
        <v>34</v>
      </c>
      <c r="D2115" s="1">
        <v>46156.625</v>
      </c>
      <c r="E2115">
        <v>6650</v>
      </c>
      <c r="F2115" t="s">
        <v>36</v>
      </c>
      <c r="G2115">
        <v>2.85</v>
      </c>
      <c r="H2115">
        <v>2.85</v>
      </c>
      <c r="I2115">
        <v>2.85</v>
      </c>
      <c r="J2115">
        <v>2.85</v>
      </c>
      <c r="K2115">
        <v>1</v>
      </c>
      <c r="L2115">
        <v>252</v>
      </c>
      <c r="M2115">
        <v>3.3</v>
      </c>
      <c r="N2115">
        <v>203</v>
      </c>
      <c r="O2115">
        <v>3.6</v>
      </c>
      <c r="P2115">
        <v>0</v>
      </c>
      <c r="Q2115">
        <v>0</v>
      </c>
      <c r="R2115">
        <v>0</v>
      </c>
      <c r="S2115">
        <v>0</v>
      </c>
      <c r="T2115">
        <v>0.25790000000000002</v>
      </c>
      <c r="U2115">
        <v>-2.92E-2</v>
      </c>
      <c r="V2115">
        <v>2.0000000000000001E-4</v>
      </c>
      <c r="W2115">
        <v>-0.9405</v>
      </c>
      <c r="X2115">
        <v>0.8306</v>
      </c>
      <c r="Y2115">
        <v>-5.7299999999999997E-2</v>
      </c>
      <c r="Z2115">
        <v>69</v>
      </c>
      <c r="AA2115">
        <v>3.2</v>
      </c>
      <c r="AB2115">
        <v>203</v>
      </c>
      <c r="AC2115">
        <v>3.5</v>
      </c>
      <c r="AD2115">
        <v>0</v>
      </c>
      <c r="AE2115">
        <v>0</v>
      </c>
      <c r="AF2115">
        <v>2.85</v>
      </c>
      <c r="AG2115">
        <v>127</v>
      </c>
      <c r="AH2115">
        <v>0</v>
      </c>
    </row>
    <row r="2116" spans="1:34" x14ac:dyDescent="0.35">
      <c r="A2116" t="s">
        <v>34</v>
      </c>
      <c r="B2116" s="1">
        <v>46146.65625</v>
      </c>
      <c r="C2116" t="s">
        <v>34</v>
      </c>
      <c r="D2116" s="1">
        <v>46156.625</v>
      </c>
      <c r="E2116">
        <v>6675</v>
      </c>
      <c r="F2116" t="s">
        <v>36</v>
      </c>
      <c r="G2116">
        <v>2.92</v>
      </c>
      <c r="H2116">
        <v>5.37</v>
      </c>
      <c r="I2116">
        <v>2.92</v>
      </c>
      <c r="J2116">
        <v>5.37</v>
      </c>
      <c r="K2116">
        <v>22</v>
      </c>
      <c r="L2116">
        <v>32</v>
      </c>
      <c r="M2116">
        <v>3.7</v>
      </c>
      <c r="N2116">
        <v>64</v>
      </c>
      <c r="O2116">
        <v>3.9</v>
      </c>
      <c r="P2116">
        <v>0</v>
      </c>
      <c r="Q2116">
        <v>0</v>
      </c>
      <c r="R2116">
        <v>0</v>
      </c>
      <c r="S2116">
        <v>0</v>
      </c>
      <c r="T2116">
        <v>0.252</v>
      </c>
      <c r="U2116">
        <v>-3.2399999999999998E-2</v>
      </c>
      <c r="V2116">
        <v>2.0000000000000001E-4</v>
      </c>
      <c r="W2116">
        <v>-1.0078</v>
      </c>
      <c r="X2116">
        <v>0.90610000000000002</v>
      </c>
      <c r="Y2116">
        <v>-6.3700000000000007E-2</v>
      </c>
      <c r="Z2116">
        <v>66</v>
      </c>
      <c r="AA2116">
        <v>3.6</v>
      </c>
      <c r="AB2116">
        <v>129</v>
      </c>
      <c r="AC2116">
        <v>3.9</v>
      </c>
      <c r="AD2116">
        <v>0</v>
      </c>
      <c r="AE2116">
        <v>0</v>
      </c>
      <c r="AF2116">
        <v>4.8132000000000001</v>
      </c>
      <c r="AG2116">
        <v>84</v>
      </c>
      <c r="AH2116">
        <v>0</v>
      </c>
    </row>
    <row r="2117" spans="1:34" x14ac:dyDescent="0.35">
      <c r="A2117" t="s">
        <v>34</v>
      </c>
      <c r="B2117" s="1">
        <v>46146.65625</v>
      </c>
      <c r="C2117" t="s">
        <v>34</v>
      </c>
      <c r="D2117" s="1">
        <v>46156.625</v>
      </c>
      <c r="E2117">
        <v>6680</v>
      </c>
      <c r="F2117" t="s">
        <v>36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231</v>
      </c>
      <c r="M2117">
        <v>3.7</v>
      </c>
      <c r="N2117">
        <v>153</v>
      </c>
      <c r="O2117">
        <v>4</v>
      </c>
      <c r="P2117">
        <v>0</v>
      </c>
      <c r="Q2117">
        <v>0</v>
      </c>
      <c r="R2117">
        <v>0</v>
      </c>
      <c r="S2117">
        <v>0</v>
      </c>
      <c r="T2117">
        <v>0.25130000000000002</v>
      </c>
      <c r="U2117">
        <v>-3.3300000000000003E-2</v>
      </c>
      <c r="V2117">
        <v>2.9999999999999997E-4</v>
      </c>
      <c r="W2117">
        <v>-1.0274000000000001</v>
      </c>
      <c r="X2117">
        <v>0.92500000000000004</v>
      </c>
      <c r="Y2117">
        <v>-6.54E-2</v>
      </c>
      <c r="Z2117">
        <v>66</v>
      </c>
      <c r="AA2117">
        <v>3.6</v>
      </c>
      <c r="AB2117">
        <v>38</v>
      </c>
      <c r="AC2117">
        <v>3.9</v>
      </c>
      <c r="AD2117">
        <v>0</v>
      </c>
      <c r="AE2117">
        <v>0</v>
      </c>
      <c r="AF2117">
        <v>0</v>
      </c>
      <c r="AG2117">
        <v>36</v>
      </c>
      <c r="AH2117">
        <v>0</v>
      </c>
    </row>
    <row r="2118" spans="1:34" x14ac:dyDescent="0.35">
      <c r="A2118" t="s">
        <v>34</v>
      </c>
      <c r="B2118" s="1">
        <v>46146.65625</v>
      </c>
      <c r="C2118" t="s">
        <v>34</v>
      </c>
      <c r="D2118" s="1">
        <v>46156.625</v>
      </c>
      <c r="E2118">
        <v>6690</v>
      </c>
      <c r="F2118" t="s">
        <v>36</v>
      </c>
      <c r="G2118">
        <v>4.04</v>
      </c>
      <c r="H2118">
        <v>4.04</v>
      </c>
      <c r="I2118">
        <v>4.04</v>
      </c>
      <c r="J2118">
        <v>4.04</v>
      </c>
      <c r="K2118">
        <v>1</v>
      </c>
      <c r="L2118">
        <v>157</v>
      </c>
      <c r="M2118">
        <v>3.9</v>
      </c>
      <c r="N2118">
        <v>17</v>
      </c>
      <c r="O2118">
        <v>4.0999999999999996</v>
      </c>
      <c r="P2118">
        <v>0</v>
      </c>
      <c r="Q2118">
        <v>0</v>
      </c>
      <c r="R2118">
        <v>0</v>
      </c>
      <c r="S2118">
        <v>0</v>
      </c>
      <c r="T2118">
        <v>0.24879999999999999</v>
      </c>
      <c r="U2118">
        <v>-3.4700000000000002E-2</v>
      </c>
      <c r="V2118">
        <v>2.9999999999999997E-4</v>
      </c>
      <c r="W2118">
        <v>-1.0548</v>
      </c>
      <c r="X2118">
        <v>0.95740000000000003</v>
      </c>
      <c r="Y2118">
        <v>-6.8199999999999997E-2</v>
      </c>
      <c r="Z2118">
        <v>65</v>
      </c>
      <c r="AA2118">
        <v>3.8</v>
      </c>
      <c r="AB2118">
        <v>66</v>
      </c>
      <c r="AC2118">
        <v>4.0999999999999996</v>
      </c>
      <c r="AD2118">
        <v>0</v>
      </c>
      <c r="AE2118">
        <v>0</v>
      </c>
      <c r="AF2118">
        <v>4.04</v>
      </c>
      <c r="AG2118">
        <v>392</v>
      </c>
      <c r="AH2118">
        <v>0</v>
      </c>
    </row>
    <row r="2119" spans="1:34" x14ac:dyDescent="0.35">
      <c r="A2119" t="s">
        <v>34</v>
      </c>
      <c r="B2119" s="1">
        <v>46146.65625</v>
      </c>
      <c r="C2119" t="s">
        <v>34</v>
      </c>
      <c r="D2119" s="1">
        <v>46156.625</v>
      </c>
      <c r="E2119">
        <v>6700</v>
      </c>
      <c r="F2119" t="s">
        <v>36</v>
      </c>
      <c r="G2119">
        <v>3.1</v>
      </c>
      <c r="H2119">
        <v>5.81</v>
      </c>
      <c r="I2119">
        <v>3.1</v>
      </c>
      <c r="J2119">
        <v>4.12</v>
      </c>
      <c r="K2119">
        <v>26</v>
      </c>
      <c r="L2119">
        <v>79</v>
      </c>
      <c r="M2119">
        <v>4.0999999999999996</v>
      </c>
      <c r="N2119">
        <v>166</v>
      </c>
      <c r="O2119">
        <v>4.3</v>
      </c>
      <c r="P2119">
        <v>0</v>
      </c>
      <c r="Q2119">
        <v>0</v>
      </c>
      <c r="R2119">
        <v>0</v>
      </c>
      <c r="S2119">
        <v>0</v>
      </c>
      <c r="T2119">
        <v>0.24690000000000001</v>
      </c>
      <c r="U2119">
        <v>-3.6400000000000002E-2</v>
      </c>
      <c r="V2119">
        <v>2.9999999999999997E-4</v>
      </c>
      <c r="W2119">
        <v>-1.0921000000000001</v>
      </c>
      <c r="X2119">
        <v>0.99570000000000003</v>
      </c>
      <c r="Y2119">
        <v>-7.17E-2</v>
      </c>
      <c r="Z2119">
        <v>65</v>
      </c>
      <c r="AA2119">
        <v>4</v>
      </c>
      <c r="AB2119">
        <v>65</v>
      </c>
      <c r="AC2119">
        <v>4.3</v>
      </c>
      <c r="AD2119">
        <v>0</v>
      </c>
      <c r="AE2119">
        <v>0</v>
      </c>
      <c r="AF2119">
        <v>5.0231000000000003</v>
      </c>
      <c r="AG2119">
        <v>434</v>
      </c>
      <c r="AH2119">
        <v>0</v>
      </c>
    </row>
    <row r="2120" spans="1:34" x14ac:dyDescent="0.35">
      <c r="A2120" t="s">
        <v>34</v>
      </c>
      <c r="B2120" s="1">
        <v>46146.65625</v>
      </c>
      <c r="C2120" t="s">
        <v>34</v>
      </c>
      <c r="D2120" s="1">
        <v>46156.625</v>
      </c>
      <c r="E2120">
        <v>6710</v>
      </c>
      <c r="F2120" t="s">
        <v>36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155</v>
      </c>
      <c r="M2120">
        <v>4.2</v>
      </c>
      <c r="N2120">
        <v>137</v>
      </c>
      <c r="O2120">
        <v>4.5</v>
      </c>
      <c r="P2120">
        <v>0</v>
      </c>
      <c r="Q2120">
        <v>0</v>
      </c>
      <c r="R2120">
        <v>0</v>
      </c>
      <c r="S2120">
        <v>0</v>
      </c>
      <c r="T2120">
        <v>0.24429999999999999</v>
      </c>
      <c r="U2120">
        <v>-3.7900000000000003E-2</v>
      </c>
      <c r="V2120">
        <v>2.9999999999999997E-4</v>
      </c>
      <c r="W2120">
        <v>-1.1181000000000001</v>
      </c>
      <c r="X2120">
        <v>1.0277000000000001</v>
      </c>
      <c r="Y2120">
        <v>-7.46E-2</v>
      </c>
      <c r="Z2120">
        <v>73</v>
      </c>
      <c r="AA2120">
        <v>4.0999999999999996</v>
      </c>
      <c r="AB2120">
        <v>36</v>
      </c>
      <c r="AC2120">
        <v>4.4000000000000004</v>
      </c>
      <c r="AD2120">
        <v>0</v>
      </c>
      <c r="AE2120">
        <v>0</v>
      </c>
      <c r="AF2120">
        <v>0</v>
      </c>
      <c r="AG2120">
        <v>96</v>
      </c>
      <c r="AH2120">
        <v>0</v>
      </c>
    </row>
    <row r="2121" spans="1:34" x14ac:dyDescent="0.35">
      <c r="A2121" t="s">
        <v>34</v>
      </c>
      <c r="B2121" s="1">
        <v>46146.65625</v>
      </c>
      <c r="C2121" t="s">
        <v>34</v>
      </c>
      <c r="D2121" s="1">
        <v>46156.625</v>
      </c>
      <c r="E2121">
        <v>6720</v>
      </c>
      <c r="F2121" t="s">
        <v>36</v>
      </c>
      <c r="G2121">
        <v>6.8</v>
      </c>
      <c r="H2121">
        <v>6.8</v>
      </c>
      <c r="I2121">
        <v>6.8</v>
      </c>
      <c r="J2121">
        <v>6.8</v>
      </c>
      <c r="K2121">
        <v>2</v>
      </c>
      <c r="L2121">
        <v>150</v>
      </c>
      <c r="M2121">
        <v>4.4000000000000004</v>
      </c>
      <c r="N2121">
        <v>121</v>
      </c>
      <c r="O2121">
        <v>4.7</v>
      </c>
      <c r="P2121">
        <v>0</v>
      </c>
      <c r="Q2121">
        <v>0</v>
      </c>
      <c r="R2121">
        <v>0</v>
      </c>
      <c r="S2121">
        <v>0</v>
      </c>
      <c r="T2121">
        <v>0.24210000000000001</v>
      </c>
      <c r="U2121">
        <v>-3.9699999999999999E-2</v>
      </c>
      <c r="V2121">
        <v>2.9999999999999997E-4</v>
      </c>
      <c r="W2121">
        <v>-1.1534</v>
      </c>
      <c r="X2121">
        <v>1.0663</v>
      </c>
      <c r="Y2121">
        <v>-7.8200000000000006E-2</v>
      </c>
      <c r="Z2121">
        <v>73</v>
      </c>
      <c r="AA2121">
        <v>4.3</v>
      </c>
      <c r="AB2121">
        <v>39</v>
      </c>
      <c r="AC2121">
        <v>4.5999999999999996</v>
      </c>
      <c r="AD2121">
        <v>0</v>
      </c>
      <c r="AE2121">
        <v>0</v>
      </c>
      <c r="AF2121">
        <v>6.8</v>
      </c>
      <c r="AG2121">
        <v>23</v>
      </c>
      <c r="AH2121">
        <v>0</v>
      </c>
    </row>
    <row r="2122" spans="1:34" x14ac:dyDescent="0.35">
      <c r="A2122" t="s">
        <v>34</v>
      </c>
      <c r="B2122" s="1">
        <v>46146.65625</v>
      </c>
      <c r="C2122" t="s">
        <v>34</v>
      </c>
      <c r="D2122" s="1">
        <v>46156.625</v>
      </c>
      <c r="E2122">
        <v>6725</v>
      </c>
      <c r="F2122" t="s">
        <v>36</v>
      </c>
      <c r="G2122">
        <v>3.59</v>
      </c>
      <c r="H2122">
        <v>4.63</v>
      </c>
      <c r="I2122">
        <v>3.59</v>
      </c>
      <c r="J2122">
        <v>4.63</v>
      </c>
      <c r="K2122">
        <v>7</v>
      </c>
      <c r="L2122">
        <v>152</v>
      </c>
      <c r="M2122">
        <v>4.5</v>
      </c>
      <c r="N2122">
        <v>121</v>
      </c>
      <c r="O2122">
        <v>4.8</v>
      </c>
      <c r="P2122">
        <v>0</v>
      </c>
      <c r="Q2122">
        <v>0</v>
      </c>
      <c r="R2122">
        <v>0</v>
      </c>
      <c r="S2122">
        <v>0</v>
      </c>
      <c r="T2122">
        <v>0.24099999999999999</v>
      </c>
      <c r="U2122">
        <v>-4.0599999999999997E-2</v>
      </c>
      <c r="V2122">
        <v>2.9999999999999997E-4</v>
      </c>
      <c r="W2122">
        <v>-1.1708000000000001</v>
      </c>
      <c r="X2122">
        <v>1.0857000000000001</v>
      </c>
      <c r="Y2122">
        <v>-0.08</v>
      </c>
      <c r="Z2122">
        <v>71</v>
      </c>
      <c r="AA2122">
        <v>4.4000000000000004</v>
      </c>
      <c r="AB2122">
        <v>69</v>
      </c>
      <c r="AC2122">
        <v>4.8</v>
      </c>
      <c r="AD2122">
        <v>0</v>
      </c>
      <c r="AE2122">
        <v>0</v>
      </c>
      <c r="AF2122">
        <v>3.7385999999999999</v>
      </c>
      <c r="AG2122">
        <v>151</v>
      </c>
      <c r="AH2122">
        <v>0</v>
      </c>
    </row>
    <row r="2123" spans="1:34" x14ac:dyDescent="0.35">
      <c r="A2123" t="s">
        <v>34</v>
      </c>
      <c r="B2123" s="1">
        <v>46146.65625</v>
      </c>
      <c r="C2123" t="s">
        <v>34</v>
      </c>
      <c r="D2123" s="1">
        <v>46156.625</v>
      </c>
      <c r="E2123">
        <v>6730</v>
      </c>
      <c r="F2123" t="s">
        <v>36</v>
      </c>
      <c r="G2123">
        <v>5.3</v>
      </c>
      <c r="H2123">
        <v>5.3</v>
      </c>
      <c r="I2123">
        <v>5.3</v>
      </c>
      <c r="J2123">
        <v>5.3</v>
      </c>
      <c r="K2123">
        <v>2</v>
      </c>
      <c r="L2123">
        <v>29</v>
      </c>
      <c r="M2123">
        <v>4.7</v>
      </c>
      <c r="N2123">
        <v>121</v>
      </c>
      <c r="O2123">
        <v>4.9000000000000004</v>
      </c>
      <c r="P2123">
        <v>0</v>
      </c>
      <c r="Q2123">
        <v>0</v>
      </c>
      <c r="R2123">
        <v>0</v>
      </c>
      <c r="S2123">
        <v>0</v>
      </c>
      <c r="T2123">
        <v>0.23980000000000001</v>
      </c>
      <c r="U2123">
        <v>-4.1500000000000002E-2</v>
      </c>
      <c r="V2123">
        <v>2.9999999999999997E-4</v>
      </c>
      <c r="W2123">
        <v>-1.1878</v>
      </c>
      <c r="X2123">
        <v>1.1052</v>
      </c>
      <c r="Y2123">
        <v>-8.1799999999999998E-2</v>
      </c>
      <c r="Z2123">
        <v>62</v>
      </c>
      <c r="AA2123">
        <v>4.5</v>
      </c>
      <c r="AB2123">
        <v>62</v>
      </c>
      <c r="AC2123">
        <v>4.9000000000000004</v>
      </c>
      <c r="AD2123">
        <v>0</v>
      </c>
      <c r="AE2123">
        <v>0</v>
      </c>
      <c r="AF2123">
        <v>5.3</v>
      </c>
      <c r="AG2123">
        <v>36</v>
      </c>
      <c r="AH2123">
        <v>0</v>
      </c>
    </row>
    <row r="2124" spans="1:34" x14ac:dyDescent="0.35">
      <c r="A2124" t="s">
        <v>34</v>
      </c>
      <c r="B2124" s="1">
        <v>46146.65625</v>
      </c>
      <c r="C2124" t="s">
        <v>34</v>
      </c>
      <c r="D2124" s="1">
        <v>46156.625</v>
      </c>
      <c r="E2124">
        <v>6740</v>
      </c>
      <c r="F2124" t="s">
        <v>36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68</v>
      </c>
      <c r="M2124">
        <v>4.9000000000000004</v>
      </c>
      <c r="N2124">
        <v>17</v>
      </c>
      <c r="O2124">
        <v>5.0999999999999996</v>
      </c>
      <c r="P2124">
        <v>0</v>
      </c>
      <c r="Q2124">
        <v>0</v>
      </c>
      <c r="R2124">
        <v>0</v>
      </c>
      <c r="S2124">
        <v>0</v>
      </c>
      <c r="T2124">
        <v>0.2379</v>
      </c>
      <c r="U2124">
        <v>-4.3700000000000003E-2</v>
      </c>
      <c r="V2124">
        <v>2.9999999999999997E-4</v>
      </c>
      <c r="W2124">
        <v>-1.2309000000000001</v>
      </c>
      <c r="X2124">
        <v>1.1507000000000001</v>
      </c>
      <c r="Y2124">
        <v>-8.5999999999999993E-2</v>
      </c>
      <c r="Z2124">
        <v>61</v>
      </c>
      <c r="AA2124">
        <v>4.8</v>
      </c>
      <c r="AB2124">
        <v>62</v>
      </c>
      <c r="AC2124">
        <v>5.0999999999999996</v>
      </c>
      <c r="AD2124">
        <v>0</v>
      </c>
      <c r="AE2124">
        <v>0</v>
      </c>
      <c r="AF2124">
        <v>0</v>
      </c>
      <c r="AG2124">
        <v>29</v>
      </c>
      <c r="AH2124">
        <v>0</v>
      </c>
    </row>
    <row r="2125" spans="1:34" x14ac:dyDescent="0.35">
      <c r="A2125" t="s">
        <v>34</v>
      </c>
      <c r="B2125" s="1">
        <v>46146.65625</v>
      </c>
      <c r="C2125" t="s">
        <v>34</v>
      </c>
      <c r="D2125" s="1">
        <v>46156.625</v>
      </c>
      <c r="E2125">
        <v>6750</v>
      </c>
      <c r="F2125" t="s">
        <v>36</v>
      </c>
      <c r="G2125">
        <v>4</v>
      </c>
      <c r="H2125">
        <v>5.61</v>
      </c>
      <c r="I2125">
        <v>3.8</v>
      </c>
      <c r="J2125">
        <v>5.6</v>
      </c>
      <c r="K2125">
        <v>14</v>
      </c>
      <c r="L2125">
        <v>113</v>
      </c>
      <c r="M2125">
        <v>5.0999999999999996</v>
      </c>
      <c r="N2125">
        <v>104</v>
      </c>
      <c r="O2125">
        <v>5.4</v>
      </c>
      <c r="P2125">
        <v>0</v>
      </c>
      <c r="Q2125">
        <v>0</v>
      </c>
      <c r="R2125">
        <v>0</v>
      </c>
      <c r="S2125">
        <v>0</v>
      </c>
      <c r="T2125">
        <v>0.2359</v>
      </c>
      <c r="U2125">
        <v>-4.5900000000000003E-2</v>
      </c>
      <c r="V2125">
        <v>2.9999999999999997E-4</v>
      </c>
      <c r="W2125">
        <v>-1.2726</v>
      </c>
      <c r="X2125">
        <v>1.1968000000000001</v>
      </c>
      <c r="Y2125">
        <v>-9.0399999999999994E-2</v>
      </c>
      <c r="Z2125">
        <v>44</v>
      </c>
      <c r="AA2125">
        <v>5</v>
      </c>
      <c r="AB2125">
        <v>45</v>
      </c>
      <c r="AC2125">
        <v>5.3</v>
      </c>
      <c r="AD2125">
        <v>0</v>
      </c>
      <c r="AE2125">
        <v>0</v>
      </c>
      <c r="AF2125">
        <v>4.4006999999999996</v>
      </c>
      <c r="AG2125">
        <v>309</v>
      </c>
      <c r="AH2125">
        <v>0</v>
      </c>
    </row>
    <row r="2126" spans="1:34" x14ac:dyDescent="0.35">
      <c r="A2126" t="s">
        <v>34</v>
      </c>
      <c r="B2126" s="1">
        <v>46146.65625</v>
      </c>
      <c r="C2126" t="s">
        <v>34</v>
      </c>
      <c r="D2126" s="1">
        <v>46156.625</v>
      </c>
      <c r="E2126">
        <v>6760</v>
      </c>
      <c r="F2126" t="s">
        <v>36</v>
      </c>
      <c r="G2126">
        <v>4.7</v>
      </c>
      <c r="H2126">
        <v>7.9</v>
      </c>
      <c r="I2126">
        <v>4.7</v>
      </c>
      <c r="J2126">
        <v>5.2</v>
      </c>
      <c r="K2126">
        <v>12</v>
      </c>
      <c r="L2126">
        <v>27</v>
      </c>
      <c r="M2126">
        <v>5.4</v>
      </c>
      <c r="N2126">
        <v>2</v>
      </c>
      <c r="O2126">
        <v>5.6</v>
      </c>
      <c r="P2126">
        <v>0</v>
      </c>
      <c r="Q2126">
        <v>0</v>
      </c>
      <c r="R2126">
        <v>0</v>
      </c>
      <c r="S2126">
        <v>0</v>
      </c>
      <c r="T2126">
        <v>0.23369999999999999</v>
      </c>
      <c r="U2126">
        <v>-4.82E-2</v>
      </c>
      <c r="V2126">
        <v>4.0000000000000002E-4</v>
      </c>
      <c r="W2126">
        <v>-1.3129999999999999</v>
      </c>
      <c r="X2126">
        <v>1.2432000000000001</v>
      </c>
      <c r="Y2126">
        <v>-9.4899999999999998E-2</v>
      </c>
      <c r="Z2126">
        <v>44</v>
      </c>
      <c r="AA2126">
        <v>5.3</v>
      </c>
      <c r="AB2126">
        <v>45</v>
      </c>
      <c r="AC2126">
        <v>5.6</v>
      </c>
      <c r="AD2126">
        <v>0</v>
      </c>
      <c r="AE2126">
        <v>0</v>
      </c>
      <c r="AF2126">
        <v>5.8608000000000002</v>
      </c>
      <c r="AG2126">
        <v>400</v>
      </c>
      <c r="AH2126">
        <v>0</v>
      </c>
    </row>
    <row r="2127" spans="1:34" x14ac:dyDescent="0.35">
      <c r="A2127" t="s">
        <v>34</v>
      </c>
      <c r="B2127" s="1">
        <v>46146.65625</v>
      </c>
      <c r="C2127" t="s">
        <v>34</v>
      </c>
      <c r="D2127" s="1">
        <v>46156.625</v>
      </c>
      <c r="E2127">
        <v>6770</v>
      </c>
      <c r="F2127" t="s">
        <v>36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114</v>
      </c>
      <c r="M2127">
        <v>5.6</v>
      </c>
      <c r="N2127">
        <v>77</v>
      </c>
      <c r="O2127">
        <v>5.9</v>
      </c>
      <c r="P2127">
        <v>0</v>
      </c>
      <c r="Q2127">
        <v>0</v>
      </c>
      <c r="R2127">
        <v>0</v>
      </c>
      <c r="S2127">
        <v>0</v>
      </c>
      <c r="T2127">
        <v>0.23139999999999999</v>
      </c>
      <c r="U2127">
        <v>-5.04E-2</v>
      </c>
      <c r="V2127">
        <v>4.0000000000000002E-4</v>
      </c>
      <c r="W2127">
        <v>-1.3522000000000001</v>
      </c>
      <c r="X2127">
        <v>1.2897000000000001</v>
      </c>
      <c r="Y2127">
        <v>-9.9400000000000002E-2</v>
      </c>
      <c r="Z2127">
        <v>43</v>
      </c>
      <c r="AA2127">
        <v>5.5</v>
      </c>
      <c r="AB2127">
        <v>44</v>
      </c>
      <c r="AC2127">
        <v>5.9</v>
      </c>
      <c r="AD2127">
        <v>0</v>
      </c>
      <c r="AE2127">
        <v>0</v>
      </c>
      <c r="AF2127">
        <v>0</v>
      </c>
      <c r="AG2127">
        <v>219</v>
      </c>
      <c r="AH2127">
        <v>0</v>
      </c>
    </row>
    <row r="2128" spans="1:34" x14ac:dyDescent="0.35">
      <c r="A2128" t="s">
        <v>34</v>
      </c>
      <c r="B2128" s="1">
        <v>46146.65625</v>
      </c>
      <c r="C2128" t="s">
        <v>34</v>
      </c>
      <c r="D2128" s="1">
        <v>46156.625</v>
      </c>
      <c r="E2128">
        <v>6775</v>
      </c>
      <c r="F2128" t="s">
        <v>36</v>
      </c>
      <c r="G2128">
        <v>4.13</v>
      </c>
      <c r="H2128">
        <v>4.13</v>
      </c>
      <c r="I2128">
        <v>4.13</v>
      </c>
      <c r="J2128">
        <v>4.13</v>
      </c>
      <c r="K2128">
        <v>1</v>
      </c>
      <c r="L2128">
        <v>50</v>
      </c>
      <c r="M2128">
        <v>5.8</v>
      </c>
      <c r="N2128">
        <v>2</v>
      </c>
      <c r="O2128">
        <v>6</v>
      </c>
      <c r="P2128">
        <v>0</v>
      </c>
      <c r="Q2128">
        <v>0</v>
      </c>
      <c r="R2128">
        <v>0</v>
      </c>
      <c r="S2128">
        <v>0</v>
      </c>
      <c r="T2128">
        <v>0.23039999999999999</v>
      </c>
      <c r="U2128">
        <v>-5.1700000000000003E-2</v>
      </c>
      <c r="V2128">
        <v>4.0000000000000002E-4</v>
      </c>
      <c r="W2128">
        <v>-1.3757999999999999</v>
      </c>
      <c r="X2128">
        <v>1.3158000000000001</v>
      </c>
      <c r="Y2128">
        <v>-0.1021</v>
      </c>
      <c r="Z2128">
        <v>42</v>
      </c>
      <c r="AA2128">
        <v>5.7</v>
      </c>
      <c r="AB2128">
        <v>44</v>
      </c>
      <c r="AC2128">
        <v>6</v>
      </c>
      <c r="AD2128">
        <v>0</v>
      </c>
      <c r="AE2128">
        <v>0</v>
      </c>
      <c r="AF2128">
        <v>4.13</v>
      </c>
      <c r="AG2128">
        <v>572</v>
      </c>
      <c r="AH2128">
        <v>0</v>
      </c>
    </row>
    <row r="2129" spans="1:34" x14ac:dyDescent="0.35">
      <c r="A2129" t="s">
        <v>34</v>
      </c>
      <c r="B2129" s="1">
        <v>46146.65625</v>
      </c>
      <c r="C2129" t="s">
        <v>34</v>
      </c>
      <c r="D2129" s="1">
        <v>46156.625</v>
      </c>
      <c r="E2129">
        <v>6780</v>
      </c>
      <c r="F2129" t="s">
        <v>36</v>
      </c>
      <c r="G2129">
        <v>7.95</v>
      </c>
      <c r="H2129">
        <v>8.8000000000000007</v>
      </c>
      <c r="I2129">
        <v>7.95</v>
      </c>
      <c r="J2129">
        <v>8.8000000000000007</v>
      </c>
      <c r="K2129">
        <v>8</v>
      </c>
      <c r="L2129">
        <v>106</v>
      </c>
      <c r="M2129">
        <v>5.9</v>
      </c>
      <c r="N2129">
        <v>102</v>
      </c>
      <c r="O2129">
        <v>6.2</v>
      </c>
      <c r="P2129">
        <v>0</v>
      </c>
      <c r="Q2129">
        <v>0</v>
      </c>
      <c r="R2129">
        <v>0</v>
      </c>
      <c r="S2129">
        <v>0</v>
      </c>
      <c r="T2129">
        <v>0.22939999999999999</v>
      </c>
      <c r="U2129">
        <v>-5.2999999999999999E-2</v>
      </c>
      <c r="V2129">
        <v>4.0000000000000002E-4</v>
      </c>
      <c r="W2129">
        <v>-1.399</v>
      </c>
      <c r="X2129">
        <v>1.3416999999999999</v>
      </c>
      <c r="Y2129">
        <v>-0.1047</v>
      </c>
      <c r="Z2129">
        <v>42</v>
      </c>
      <c r="AA2129">
        <v>5.8</v>
      </c>
      <c r="AB2129">
        <v>1</v>
      </c>
      <c r="AC2129">
        <v>6.1</v>
      </c>
      <c r="AD2129">
        <v>0</v>
      </c>
      <c r="AE2129">
        <v>0</v>
      </c>
      <c r="AF2129">
        <v>8.4162999999999997</v>
      </c>
      <c r="AG2129">
        <v>48</v>
      </c>
      <c r="AH2129">
        <v>0</v>
      </c>
    </row>
    <row r="2130" spans="1:34" x14ac:dyDescent="0.35">
      <c r="A2130" t="s">
        <v>34</v>
      </c>
      <c r="B2130" s="1">
        <v>46146.65625</v>
      </c>
      <c r="C2130" t="s">
        <v>34</v>
      </c>
      <c r="D2130" s="1">
        <v>46156.625</v>
      </c>
      <c r="E2130">
        <v>6790</v>
      </c>
      <c r="F2130" t="s">
        <v>36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110</v>
      </c>
      <c r="M2130">
        <v>6.2</v>
      </c>
      <c r="N2130">
        <v>2</v>
      </c>
      <c r="O2130">
        <v>6.5</v>
      </c>
      <c r="P2130">
        <v>0</v>
      </c>
      <c r="Q2130">
        <v>0</v>
      </c>
      <c r="R2130">
        <v>0</v>
      </c>
      <c r="S2130">
        <v>0</v>
      </c>
      <c r="T2130">
        <v>0.2273</v>
      </c>
      <c r="U2130">
        <v>-5.57E-2</v>
      </c>
      <c r="V2130">
        <v>4.0000000000000002E-4</v>
      </c>
      <c r="W2130">
        <v>-1.4441999999999999</v>
      </c>
      <c r="X2130">
        <v>1.3934</v>
      </c>
      <c r="Y2130">
        <v>-0.1101</v>
      </c>
      <c r="Z2130">
        <v>42</v>
      </c>
      <c r="AA2130">
        <v>6.1</v>
      </c>
      <c r="AB2130">
        <v>43</v>
      </c>
      <c r="AC2130">
        <v>6.5</v>
      </c>
      <c r="AD2130">
        <v>0</v>
      </c>
      <c r="AE2130">
        <v>0</v>
      </c>
      <c r="AF2130">
        <v>0</v>
      </c>
      <c r="AG2130">
        <v>39</v>
      </c>
      <c r="AH2130">
        <v>0</v>
      </c>
    </row>
    <row r="2131" spans="1:34" x14ac:dyDescent="0.35">
      <c r="A2131" t="s">
        <v>34</v>
      </c>
      <c r="B2131" s="1">
        <v>46146.65625</v>
      </c>
      <c r="C2131" t="s">
        <v>34</v>
      </c>
      <c r="D2131" s="1">
        <v>46156.625</v>
      </c>
      <c r="E2131">
        <v>6800</v>
      </c>
      <c r="F2131" t="s">
        <v>36</v>
      </c>
      <c r="G2131">
        <v>4.5999999999999996</v>
      </c>
      <c r="H2131">
        <v>9.65</v>
      </c>
      <c r="I2131">
        <v>4.5999999999999996</v>
      </c>
      <c r="J2131">
        <v>9.65</v>
      </c>
      <c r="K2131">
        <v>12</v>
      </c>
      <c r="L2131">
        <v>25</v>
      </c>
      <c r="M2131">
        <v>6.6</v>
      </c>
      <c r="N2131">
        <v>1</v>
      </c>
      <c r="O2131">
        <v>6.8</v>
      </c>
      <c r="P2131">
        <v>0</v>
      </c>
      <c r="Q2131">
        <v>0</v>
      </c>
      <c r="R2131">
        <v>0</v>
      </c>
      <c r="S2131">
        <v>0</v>
      </c>
      <c r="T2131">
        <v>0.22539999999999999</v>
      </c>
      <c r="U2131">
        <v>-5.8700000000000002E-2</v>
      </c>
      <c r="V2131">
        <v>4.0000000000000002E-4</v>
      </c>
      <c r="W2131">
        <v>-1.4962</v>
      </c>
      <c r="X2131">
        <v>1.4504999999999999</v>
      </c>
      <c r="Y2131">
        <v>-0.11600000000000001</v>
      </c>
      <c r="Z2131">
        <v>19</v>
      </c>
      <c r="AA2131">
        <v>6.5</v>
      </c>
      <c r="AB2131">
        <v>43</v>
      </c>
      <c r="AC2131">
        <v>6.8</v>
      </c>
      <c r="AD2131">
        <v>0</v>
      </c>
      <c r="AE2131">
        <v>0</v>
      </c>
      <c r="AF2131">
        <v>8.2891999999999992</v>
      </c>
      <c r="AG2131">
        <v>777</v>
      </c>
      <c r="AH2131">
        <v>0</v>
      </c>
    </row>
    <row r="2132" spans="1:34" x14ac:dyDescent="0.35">
      <c r="A2132" t="s">
        <v>34</v>
      </c>
      <c r="B2132" s="1">
        <v>46146.65625</v>
      </c>
      <c r="C2132" t="s">
        <v>34</v>
      </c>
      <c r="D2132" s="1">
        <v>46156.625</v>
      </c>
      <c r="E2132">
        <v>6810</v>
      </c>
      <c r="F2132" t="s">
        <v>36</v>
      </c>
      <c r="G2132">
        <v>7.2</v>
      </c>
      <c r="H2132">
        <v>7.2</v>
      </c>
      <c r="I2132">
        <v>7.2</v>
      </c>
      <c r="J2132">
        <v>7.2</v>
      </c>
      <c r="K2132">
        <v>2</v>
      </c>
      <c r="L2132">
        <v>85</v>
      </c>
      <c r="M2132">
        <v>6.9</v>
      </c>
      <c r="N2132">
        <v>1</v>
      </c>
      <c r="O2132">
        <v>7.2</v>
      </c>
      <c r="P2132">
        <v>0</v>
      </c>
      <c r="Q2132">
        <v>0</v>
      </c>
      <c r="R2132">
        <v>0</v>
      </c>
      <c r="S2132">
        <v>0</v>
      </c>
      <c r="T2132">
        <v>0.2233</v>
      </c>
      <c r="U2132">
        <v>-6.1800000000000001E-2</v>
      </c>
      <c r="V2132">
        <v>5.0000000000000001E-4</v>
      </c>
      <c r="W2132">
        <v>-1.5464</v>
      </c>
      <c r="X2132">
        <v>1.5077</v>
      </c>
      <c r="Y2132">
        <v>-0.1221</v>
      </c>
      <c r="Z2132">
        <v>40</v>
      </c>
      <c r="AA2132">
        <v>6.8</v>
      </c>
      <c r="AB2132">
        <v>1</v>
      </c>
      <c r="AC2132">
        <v>7.1</v>
      </c>
      <c r="AD2132">
        <v>0</v>
      </c>
      <c r="AE2132">
        <v>0</v>
      </c>
      <c r="AF2132">
        <v>7.2</v>
      </c>
      <c r="AG2132">
        <v>17</v>
      </c>
      <c r="AH2132">
        <v>0</v>
      </c>
    </row>
    <row r="2133" spans="1:34" x14ac:dyDescent="0.35">
      <c r="A2133" t="s">
        <v>34</v>
      </c>
      <c r="B2133" s="1">
        <v>46146.65625</v>
      </c>
      <c r="C2133" t="s">
        <v>34</v>
      </c>
      <c r="D2133" s="1">
        <v>46156.625</v>
      </c>
      <c r="E2133">
        <v>6820</v>
      </c>
      <c r="F2133" t="s">
        <v>36</v>
      </c>
      <c r="G2133">
        <v>5.63</v>
      </c>
      <c r="H2133">
        <v>8.41</v>
      </c>
      <c r="I2133">
        <v>5.63</v>
      </c>
      <c r="J2133">
        <v>7.2</v>
      </c>
      <c r="K2133">
        <v>7</v>
      </c>
      <c r="L2133">
        <v>47</v>
      </c>
      <c r="M2133">
        <v>7.3</v>
      </c>
      <c r="N2133">
        <v>27</v>
      </c>
      <c r="O2133">
        <v>7.6</v>
      </c>
      <c r="P2133">
        <v>0</v>
      </c>
      <c r="Q2133">
        <v>0</v>
      </c>
      <c r="R2133">
        <v>0</v>
      </c>
      <c r="S2133">
        <v>0</v>
      </c>
      <c r="T2133">
        <v>0.22120000000000001</v>
      </c>
      <c r="U2133">
        <v>-6.4899999999999999E-2</v>
      </c>
      <c r="V2133">
        <v>5.0000000000000001E-4</v>
      </c>
      <c r="W2133">
        <v>-1.5948</v>
      </c>
      <c r="X2133">
        <v>1.5653999999999999</v>
      </c>
      <c r="Y2133">
        <v>-0.12820000000000001</v>
      </c>
      <c r="Z2133">
        <v>18</v>
      </c>
      <c r="AA2133">
        <v>7.2</v>
      </c>
      <c r="AB2133">
        <v>1</v>
      </c>
      <c r="AC2133">
        <v>7.5</v>
      </c>
      <c r="AD2133">
        <v>0</v>
      </c>
      <c r="AE2133">
        <v>0</v>
      </c>
      <c r="AF2133">
        <v>7.27</v>
      </c>
      <c r="AG2133">
        <v>32</v>
      </c>
      <c r="AH2133">
        <v>0</v>
      </c>
    </row>
    <row r="2134" spans="1:34" x14ac:dyDescent="0.35">
      <c r="A2134" t="s">
        <v>34</v>
      </c>
      <c r="B2134" s="1">
        <v>46146.65625</v>
      </c>
      <c r="C2134" t="s">
        <v>34</v>
      </c>
      <c r="D2134" s="1">
        <v>46156.625</v>
      </c>
      <c r="E2134">
        <v>6825</v>
      </c>
      <c r="F2134" t="s">
        <v>36</v>
      </c>
      <c r="G2134">
        <v>5.78</v>
      </c>
      <c r="H2134">
        <v>8.25</v>
      </c>
      <c r="I2134">
        <v>5.78</v>
      </c>
      <c r="J2134">
        <v>8.25</v>
      </c>
      <c r="K2134">
        <v>6</v>
      </c>
      <c r="L2134">
        <v>46</v>
      </c>
      <c r="M2134">
        <v>7.5</v>
      </c>
      <c r="N2134">
        <v>27</v>
      </c>
      <c r="O2134">
        <v>7.8</v>
      </c>
      <c r="P2134">
        <v>0</v>
      </c>
      <c r="Q2134">
        <v>0</v>
      </c>
      <c r="R2134">
        <v>0</v>
      </c>
      <c r="S2134">
        <v>0</v>
      </c>
      <c r="T2134">
        <v>0.22020000000000001</v>
      </c>
      <c r="U2134">
        <v>-6.6600000000000006E-2</v>
      </c>
      <c r="V2134">
        <v>5.0000000000000001E-4</v>
      </c>
      <c r="W2134">
        <v>-1.6223000000000001</v>
      </c>
      <c r="X2134">
        <v>1.597</v>
      </c>
      <c r="Y2134">
        <v>-0.13159999999999999</v>
      </c>
      <c r="Z2134">
        <v>18</v>
      </c>
      <c r="AA2134">
        <v>7.4</v>
      </c>
      <c r="AB2134">
        <v>40</v>
      </c>
      <c r="AC2134">
        <v>7.7</v>
      </c>
      <c r="AD2134">
        <v>0</v>
      </c>
      <c r="AE2134">
        <v>0</v>
      </c>
      <c r="AF2134">
        <v>6.3367000000000004</v>
      </c>
      <c r="AG2134">
        <v>364</v>
      </c>
      <c r="AH2134">
        <v>0</v>
      </c>
    </row>
    <row r="2135" spans="1:34" x14ac:dyDescent="0.35">
      <c r="A2135" t="s">
        <v>34</v>
      </c>
      <c r="B2135" s="1">
        <v>46146.65625</v>
      </c>
      <c r="C2135" t="s">
        <v>34</v>
      </c>
      <c r="D2135" s="1">
        <v>46156.625</v>
      </c>
      <c r="E2135">
        <v>6830</v>
      </c>
      <c r="F2135" t="s">
        <v>36</v>
      </c>
      <c r="G2135">
        <v>6.1</v>
      </c>
      <c r="H2135">
        <v>8.4499999999999993</v>
      </c>
      <c r="I2135">
        <v>5.3</v>
      </c>
      <c r="J2135">
        <v>8.4499999999999993</v>
      </c>
      <c r="K2135">
        <v>6</v>
      </c>
      <c r="L2135">
        <v>45</v>
      </c>
      <c r="M2135">
        <v>7.7</v>
      </c>
      <c r="N2135">
        <v>3</v>
      </c>
      <c r="O2135">
        <v>8</v>
      </c>
      <c r="P2135">
        <v>0</v>
      </c>
      <c r="Q2135">
        <v>0</v>
      </c>
      <c r="R2135">
        <v>0</v>
      </c>
      <c r="S2135">
        <v>0</v>
      </c>
      <c r="T2135">
        <v>0.2195</v>
      </c>
      <c r="U2135">
        <v>-6.8699999999999997E-2</v>
      </c>
      <c r="V2135">
        <v>5.0000000000000001E-4</v>
      </c>
      <c r="W2135">
        <v>-1.6571</v>
      </c>
      <c r="X2135">
        <v>1.6338999999999999</v>
      </c>
      <c r="Y2135">
        <v>-0.13569999999999999</v>
      </c>
      <c r="Z2135">
        <v>18</v>
      </c>
      <c r="AA2135">
        <v>7.6</v>
      </c>
      <c r="AB2135">
        <v>1</v>
      </c>
      <c r="AC2135">
        <v>7.9</v>
      </c>
      <c r="AD2135">
        <v>0</v>
      </c>
      <c r="AE2135">
        <v>0</v>
      </c>
      <c r="AF2135">
        <v>6.4183000000000003</v>
      </c>
      <c r="AG2135">
        <v>55</v>
      </c>
      <c r="AH2135">
        <v>0</v>
      </c>
    </row>
    <row r="2136" spans="1:34" x14ac:dyDescent="0.35">
      <c r="A2136" t="s">
        <v>34</v>
      </c>
      <c r="B2136" s="1">
        <v>46146.65625</v>
      </c>
      <c r="C2136" t="s">
        <v>34</v>
      </c>
      <c r="D2136" s="1">
        <v>46156.625</v>
      </c>
      <c r="E2136">
        <v>6840</v>
      </c>
      <c r="F2136" t="s">
        <v>36</v>
      </c>
      <c r="G2136">
        <v>5.6</v>
      </c>
      <c r="H2136">
        <v>9.19</v>
      </c>
      <c r="I2136">
        <v>5.6</v>
      </c>
      <c r="J2136">
        <v>9.19</v>
      </c>
      <c r="K2136">
        <v>5</v>
      </c>
      <c r="L2136">
        <v>23</v>
      </c>
      <c r="M2136">
        <v>8.1999999999999993</v>
      </c>
      <c r="N2136">
        <v>1</v>
      </c>
      <c r="O2136">
        <v>8.4</v>
      </c>
      <c r="P2136">
        <v>0</v>
      </c>
      <c r="Q2136">
        <v>0</v>
      </c>
      <c r="R2136">
        <v>0</v>
      </c>
      <c r="S2136">
        <v>0</v>
      </c>
      <c r="T2136">
        <v>0.2172</v>
      </c>
      <c r="U2136">
        <v>-7.22E-2</v>
      </c>
      <c r="V2136">
        <v>5.0000000000000001E-4</v>
      </c>
      <c r="W2136">
        <v>-1.7088000000000001</v>
      </c>
      <c r="X2136">
        <v>1.6978</v>
      </c>
      <c r="Y2136">
        <v>-0.14280000000000001</v>
      </c>
      <c r="Z2136">
        <v>39</v>
      </c>
      <c r="AA2136">
        <v>8</v>
      </c>
      <c r="AB2136">
        <v>41</v>
      </c>
      <c r="AC2136">
        <v>8.4</v>
      </c>
      <c r="AD2136">
        <v>0</v>
      </c>
      <c r="AE2136">
        <v>0</v>
      </c>
      <c r="AF2136">
        <v>8.4719999999999995</v>
      </c>
      <c r="AG2136">
        <v>217</v>
      </c>
      <c r="AH2136">
        <v>0</v>
      </c>
    </row>
    <row r="2137" spans="1:34" x14ac:dyDescent="0.35">
      <c r="A2137" t="s">
        <v>34</v>
      </c>
      <c r="B2137" s="1">
        <v>46146.65625</v>
      </c>
      <c r="C2137" t="s">
        <v>34</v>
      </c>
      <c r="D2137" s="1">
        <v>46156.625</v>
      </c>
      <c r="E2137">
        <v>6850</v>
      </c>
      <c r="F2137" t="s">
        <v>36</v>
      </c>
      <c r="G2137">
        <v>6.69</v>
      </c>
      <c r="H2137">
        <v>12.1</v>
      </c>
      <c r="I2137">
        <v>5.93</v>
      </c>
      <c r="J2137">
        <v>9</v>
      </c>
      <c r="K2137">
        <v>17</v>
      </c>
      <c r="L2137">
        <v>60</v>
      </c>
      <c r="M2137">
        <v>8.6</v>
      </c>
      <c r="N2137">
        <v>19</v>
      </c>
      <c r="O2137">
        <v>8.9</v>
      </c>
      <c r="P2137">
        <v>0</v>
      </c>
      <c r="Q2137">
        <v>0</v>
      </c>
      <c r="R2137">
        <v>0</v>
      </c>
      <c r="S2137">
        <v>0</v>
      </c>
      <c r="T2137">
        <v>0.2152</v>
      </c>
      <c r="U2137">
        <v>-7.6100000000000001E-2</v>
      </c>
      <c r="V2137">
        <v>5.9999999999999995E-4</v>
      </c>
      <c r="W2137">
        <v>-1.7661</v>
      </c>
      <c r="X2137">
        <v>1.7655000000000001</v>
      </c>
      <c r="Y2137">
        <v>-0.15060000000000001</v>
      </c>
      <c r="Z2137">
        <v>17</v>
      </c>
      <c r="AA2137">
        <v>8.5</v>
      </c>
      <c r="AB2137">
        <v>31</v>
      </c>
      <c r="AC2137">
        <v>8.8000000000000007</v>
      </c>
      <c r="AD2137">
        <v>0</v>
      </c>
      <c r="AE2137">
        <v>0</v>
      </c>
      <c r="AF2137">
        <v>7.9782000000000002</v>
      </c>
      <c r="AG2137">
        <v>1383</v>
      </c>
      <c r="AH2137">
        <v>0</v>
      </c>
    </row>
    <row r="2138" spans="1:34" x14ac:dyDescent="0.35">
      <c r="A2138" t="s">
        <v>34</v>
      </c>
      <c r="B2138" s="1">
        <v>46146.65625</v>
      </c>
      <c r="C2138" t="s">
        <v>34</v>
      </c>
      <c r="D2138" s="1">
        <v>46156.625</v>
      </c>
      <c r="E2138">
        <v>6860</v>
      </c>
      <c r="F2138" t="s">
        <v>36</v>
      </c>
      <c r="G2138">
        <v>13.65</v>
      </c>
      <c r="H2138">
        <v>13.65</v>
      </c>
      <c r="I2138">
        <v>13.65</v>
      </c>
      <c r="J2138">
        <v>13.65</v>
      </c>
      <c r="K2138">
        <v>3</v>
      </c>
      <c r="L2138">
        <v>43</v>
      </c>
      <c r="M2138">
        <v>9.1</v>
      </c>
      <c r="N2138">
        <v>3</v>
      </c>
      <c r="O2138">
        <v>9.4</v>
      </c>
      <c r="P2138">
        <v>0</v>
      </c>
      <c r="Q2138">
        <v>0</v>
      </c>
      <c r="R2138">
        <v>0</v>
      </c>
      <c r="S2138">
        <v>0</v>
      </c>
      <c r="T2138">
        <v>0.21329999999999999</v>
      </c>
      <c r="U2138">
        <v>-8.0299999999999996E-2</v>
      </c>
      <c r="V2138">
        <v>5.9999999999999995E-4</v>
      </c>
      <c r="W2138">
        <v>-1.8283</v>
      </c>
      <c r="X2138">
        <v>1.8367</v>
      </c>
      <c r="Y2138">
        <v>-0.15909999999999999</v>
      </c>
      <c r="Z2138">
        <v>17</v>
      </c>
      <c r="AA2138">
        <v>9</v>
      </c>
      <c r="AB2138">
        <v>1</v>
      </c>
      <c r="AC2138">
        <v>9.3000000000000007</v>
      </c>
      <c r="AD2138">
        <v>0</v>
      </c>
      <c r="AE2138">
        <v>0</v>
      </c>
      <c r="AF2138">
        <v>13.65</v>
      </c>
      <c r="AG2138">
        <v>105</v>
      </c>
      <c r="AH2138">
        <v>0</v>
      </c>
    </row>
    <row r="2139" spans="1:34" x14ac:dyDescent="0.35">
      <c r="A2139" t="s">
        <v>34</v>
      </c>
      <c r="B2139" s="1">
        <v>46146.65625</v>
      </c>
      <c r="C2139" t="s">
        <v>34</v>
      </c>
      <c r="D2139" s="1">
        <v>46156.625</v>
      </c>
      <c r="E2139">
        <v>6870</v>
      </c>
      <c r="F2139" t="s">
        <v>36</v>
      </c>
      <c r="G2139">
        <v>7.47</v>
      </c>
      <c r="H2139">
        <v>14.35</v>
      </c>
      <c r="I2139">
        <v>7.47</v>
      </c>
      <c r="J2139">
        <v>14.34</v>
      </c>
      <c r="K2139">
        <v>4</v>
      </c>
      <c r="L2139">
        <v>24</v>
      </c>
      <c r="M2139">
        <v>9.6999999999999993</v>
      </c>
      <c r="N2139">
        <v>1</v>
      </c>
      <c r="O2139">
        <v>9.9</v>
      </c>
      <c r="P2139">
        <v>0</v>
      </c>
      <c r="Q2139">
        <v>0</v>
      </c>
      <c r="R2139">
        <v>0</v>
      </c>
      <c r="S2139">
        <v>0</v>
      </c>
      <c r="T2139">
        <v>0.21160000000000001</v>
      </c>
      <c r="U2139">
        <v>-8.48E-2</v>
      </c>
      <c r="V2139">
        <v>5.9999999999999995E-4</v>
      </c>
      <c r="W2139">
        <v>-1.8947000000000001</v>
      </c>
      <c r="X2139">
        <v>1.9117</v>
      </c>
      <c r="Y2139">
        <v>-0.1681</v>
      </c>
      <c r="Z2139">
        <v>19</v>
      </c>
      <c r="AA2139">
        <v>9.5</v>
      </c>
      <c r="AB2139">
        <v>45</v>
      </c>
      <c r="AC2139">
        <v>9.9</v>
      </c>
      <c r="AD2139">
        <v>0</v>
      </c>
      <c r="AE2139">
        <v>0</v>
      </c>
      <c r="AF2139">
        <v>12.625</v>
      </c>
      <c r="AG2139">
        <v>59</v>
      </c>
      <c r="AH2139">
        <v>0</v>
      </c>
    </row>
    <row r="2140" spans="1:34" x14ac:dyDescent="0.35">
      <c r="A2140" t="s">
        <v>34</v>
      </c>
      <c r="B2140" s="1">
        <v>46146.65625</v>
      </c>
      <c r="C2140" t="s">
        <v>34</v>
      </c>
      <c r="D2140" s="1">
        <v>46156.625</v>
      </c>
      <c r="E2140">
        <v>6875</v>
      </c>
      <c r="F2140" t="s">
        <v>36</v>
      </c>
      <c r="G2140">
        <v>6.87</v>
      </c>
      <c r="H2140">
        <v>12</v>
      </c>
      <c r="I2140">
        <v>6.47</v>
      </c>
      <c r="J2140">
        <v>10.35</v>
      </c>
      <c r="K2140">
        <v>40</v>
      </c>
      <c r="L2140">
        <v>54</v>
      </c>
      <c r="M2140">
        <v>9.9</v>
      </c>
      <c r="N2140">
        <v>1</v>
      </c>
      <c r="O2140">
        <v>10.199999999999999</v>
      </c>
      <c r="P2140">
        <v>0</v>
      </c>
      <c r="Q2140">
        <v>0</v>
      </c>
      <c r="R2140">
        <v>0</v>
      </c>
      <c r="S2140">
        <v>0</v>
      </c>
      <c r="T2140">
        <v>0.21079999999999999</v>
      </c>
      <c r="U2140">
        <v>-8.7300000000000003E-2</v>
      </c>
      <c r="V2140">
        <v>5.9999999999999995E-4</v>
      </c>
      <c r="W2140">
        <v>-1.9306000000000001</v>
      </c>
      <c r="X2140">
        <v>1.9508000000000001</v>
      </c>
      <c r="Y2140">
        <v>-0.1729</v>
      </c>
      <c r="Z2140">
        <v>18</v>
      </c>
      <c r="AA2140">
        <v>9.8000000000000007</v>
      </c>
      <c r="AB2140">
        <v>46</v>
      </c>
      <c r="AC2140">
        <v>10.1</v>
      </c>
      <c r="AD2140">
        <v>0</v>
      </c>
      <c r="AE2140">
        <v>0</v>
      </c>
      <c r="AF2140">
        <v>11.012499999999999</v>
      </c>
      <c r="AG2140">
        <v>92</v>
      </c>
      <c r="AH2140">
        <v>0</v>
      </c>
    </row>
    <row r="2141" spans="1:34" x14ac:dyDescent="0.35">
      <c r="A2141" t="s">
        <v>34</v>
      </c>
      <c r="B2141" s="1">
        <v>46146.65625</v>
      </c>
      <c r="C2141" t="s">
        <v>34</v>
      </c>
      <c r="D2141" s="1">
        <v>46156.625</v>
      </c>
      <c r="E2141">
        <v>6880</v>
      </c>
      <c r="F2141" t="s">
        <v>36</v>
      </c>
      <c r="G2141">
        <v>7.57</v>
      </c>
      <c r="H2141">
        <v>13.95</v>
      </c>
      <c r="I2141">
        <v>7.57</v>
      </c>
      <c r="J2141">
        <v>13.95</v>
      </c>
      <c r="K2141">
        <v>18</v>
      </c>
      <c r="L2141">
        <v>31</v>
      </c>
      <c r="M2141">
        <v>10.199999999999999</v>
      </c>
      <c r="N2141">
        <v>24</v>
      </c>
      <c r="O2141">
        <v>10.5</v>
      </c>
      <c r="P2141">
        <v>0</v>
      </c>
      <c r="Q2141">
        <v>0</v>
      </c>
      <c r="R2141">
        <v>0</v>
      </c>
      <c r="S2141">
        <v>0</v>
      </c>
      <c r="T2141">
        <v>0.20960000000000001</v>
      </c>
      <c r="U2141">
        <v>-8.9499999999999996E-2</v>
      </c>
      <c r="V2141">
        <v>5.9999999999999995E-4</v>
      </c>
      <c r="W2141">
        <v>-1.958</v>
      </c>
      <c r="X2141">
        <v>1.9871000000000001</v>
      </c>
      <c r="Y2141">
        <v>-0.17730000000000001</v>
      </c>
      <c r="Z2141">
        <v>18</v>
      </c>
      <c r="AA2141">
        <v>10.1</v>
      </c>
      <c r="AB2141">
        <v>46</v>
      </c>
      <c r="AC2141">
        <v>10.4</v>
      </c>
      <c r="AD2141">
        <v>0</v>
      </c>
      <c r="AE2141">
        <v>0</v>
      </c>
      <c r="AF2141">
        <v>12.158300000000001</v>
      </c>
      <c r="AG2141">
        <v>103</v>
      </c>
      <c r="AH2141">
        <v>0</v>
      </c>
    </row>
    <row r="2142" spans="1:34" x14ac:dyDescent="0.35">
      <c r="A2142" t="s">
        <v>34</v>
      </c>
      <c r="B2142" s="1">
        <v>46146.65625</v>
      </c>
      <c r="C2142" t="s">
        <v>34</v>
      </c>
      <c r="D2142" s="1">
        <v>46156.625</v>
      </c>
      <c r="E2142">
        <v>6890</v>
      </c>
      <c r="F2142" t="s">
        <v>36</v>
      </c>
      <c r="G2142">
        <v>7.3</v>
      </c>
      <c r="H2142">
        <v>13.45</v>
      </c>
      <c r="I2142">
        <v>7.3</v>
      </c>
      <c r="J2142">
        <v>11.12</v>
      </c>
      <c r="K2142">
        <v>17</v>
      </c>
      <c r="L2142">
        <v>31</v>
      </c>
      <c r="M2142">
        <v>10.8</v>
      </c>
      <c r="N2142">
        <v>24</v>
      </c>
      <c r="O2142">
        <v>11.1</v>
      </c>
      <c r="P2142">
        <v>0</v>
      </c>
      <c r="Q2142">
        <v>0</v>
      </c>
      <c r="R2142">
        <v>0</v>
      </c>
      <c r="S2142">
        <v>0</v>
      </c>
      <c r="T2142">
        <v>0.2077</v>
      </c>
      <c r="U2142">
        <v>-9.4500000000000001E-2</v>
      </c>
      <c r="V2142">
        <v>6.9999999999999999E-4</v>
      </c>
      <c r="W2142">
        <v>-2.0247999999999999</v>
      </c>
      <c r="X2142">
        <v>2.0670000000000002</v>
      </c>
      <c r="Y2142">
        <v>-0.18720000000000001</v>
      </c>
      <c r="Z2142">
        <v>18</v>
      </c>
      <c r="AA2142">
        <v>10.7</v>
      </c>
      <c r="AB2142">
        <v>46</v>
      </c>
      <c r="AC2142">
        <v>11</v>
      </c>
      <c r="AD2142">
        <v>0</v>
      </c>
      <c r="AE2142">
        <v>0</v>
      </c>
      <c r="AF2142">
        <v>11.4482</v>
      </c>
      <c r="AG2142">
        <v>172</v>
      </c>
      <c r="AH2142">
        <v>0</v>
      </c>
    </row>
    <row r="2143" spans="1:34" x14ac:dyDescent="0.35">
      <c r="A2143" t="s">
        <v>34</v>
      </c>
      <c r="B2143" s="1">
        <v>46146.65625</v>
      </c>
      <c r="C2143" t="s">
        <v>34</v>
      </c>
      <c r="D2143" s="1">
        <v>46156.625</v>
      </c>
      <c r="E2143">
        <v>6900</v>
      </c>
      <c r="F2143" t="s">
        <v>36</v>
      </c>
      <c r="G2143">
        <v>9.6</v>
      </c>
      <c r="H2143">
        <v>16.649999999999999</v>
      </c>
      <c r="I2143">
        <v>7.82</v>
      </c>
      <c r="J2143">
        <v>11.77</v>
      </c>
      <c r="K2143">
        <v>75</v>
      </c>
      <c r="L2143">
        <v>22</v>
      </c>
      <c r="M2143">
        <v>11.5</v>
      </c>
      <c r="N2143">
        <v>17</v>
      </c>
      <c r="O2143">
        <v>11.7</v>
      </c>
      <c r="P2143">
        <v>0</v>
      </c>
      <c r="Q2143">
        <v>0</v>
      </c>
      <c r="R2143">
        <v>0</v>
      </c>
      <c r="S2143">
        <v>0</v>
      </c>
      <c r="T2143">
        <v>0.2059</v>
      </c>
      <c r="U2143">
        <v>-9.98E-2</v>
      </c>
      <c r="V2143">
        <v>6.9999999999999999E-4</v>
      </c>
      <c r="W2143">
        <v>-2.0948000000000002</v>
      </c>
      <c r="X2143">
        <v>2.1505999999999998</v>
      </c>
      <c r="Y2143">
        <v>-0.19800000000000001</v>
      </c>
      <c r="Z2143">
        <v>25</v>
      </c>
      <c r="AA2143">
        <v>11.3</v>
      </c>
      <c r="AB2143">
        <v>8</v>
      </c>
      <c r="AC2143">
        <v>11.6</v>
      </c>
      <c r="AD2143">
        <v>0</v>
      </c>
      <c r="AE2143">
        <v>0</v>
      </c>
      <c r="AF2143">
        <v>12.0748</v>
      </c>
      <c r="AG2143">
        <v>810</v>
      </c>
      <c r="AH2143">
        <v>0</v>
      </c>
    </row>
    <row r="2144" spans="1:34" x14ac:dyDescent="0.35">
      <c r="A2144" t="s">
        <v>34</v>
      </c>
      <c r="B2144" s="1">
        <v>46146.65625</v>
      </c>
      <c r="C2144" t="s">
        <v>34</v>
      </c>
      <c r="D2144" s="1">
        <v>46156.625</v>
      </c>
      <c r="E2144">
        <v>6910</v>
      </c>
      <c r="F2144" t="s">
        <v>36</v>
      </c>
      <c r="G2144">
        <v>7.85</v>
      </c>
      <c r="H2144">
        <v>12.42</v>
      </c>
      <c r="I2144">
        <v>7.85</v>
      </c>
      <c r="J2144">
        <v>12.42</v>
      </c>
      <c r="K2144">
        <v>9</v>
      </c>
      <c r="L2144">
        <v>21</v>
      </c>
      <c r="M2144">
        <v>12.2</v>
      </c>
      <c r="N2144">
        <v>5</v>
      </c>
      <c r="O2144">
        <v>12.4</v>
      </c>
      <c r="P2144">
        <v>0</v>
      </c>
      <c r="Q2144">
        <v>0</v>
      </c>
      <c r="R2144">
        <v>0</v>
      </c>
      <c r="S2144">
        <v>0</v>
      </c>
      <c r="T2144">
        <v>0.20430000000000001</v>
      </c>
      <c r="U2144">
        <v>-0.10539999999999999</v>
      </c>
      <c r="V2144">
        <v>8.0000000000000004E-4</v>
      </c>
      <c r="W2144">
        <v>-2.1676000000000002</v>
      </c>
      <c r="X2144">
        <v>2.2361</v>
      </c>
      <c r="Y2144">
        <v>-0.2094</v>
      </c>
      <c r="Z2144">
        <v>18</v>
      </c>
      <c r="AA2144">
        <v>12</v>
      </c>
      <c r="AB2144">
        <v>47</v>
      </c>
      <c r="AC2144">
        <v>12.4</v>
      </c>
      <c r="AD2144">
        <v>0</v>
      </c>
      <c r="AE2144">
        <v>0</v>
      </c>
      <c r="AF2144">
        <v>8.4277999999999995</v>
      </c>
      <c r="AG2144">
        <v>126</v>
      </c>
      <c r="AH2144">
        <v>0</v>
      </c>
    </row>
    <row r="2145" spans="1:34" x14ac:dyDescent="0.35">
      <c r="A2145" t="s">
        <v>34</v>
      </c>
      <c r="B2145" s="1">
        <v>46146.65625</v>
      </c>
      <c r="C2145" t="s">
        <v>34</v>
      </c>
      <c r="D2145" s="1">
        <v>46156.625</v>
      </c>
      <c r="E2145">
        <v>6920</v>
      </c>
      <c r="F2145" t="s">
        <v>36</v>
      </c>
      <c r="G2145">
        <v>9.23</v>
      </c>
      <c r="H2145">
        <v>13.77</v>
      </c>
      <c r="I2145">
        <v>9.23</v>
      </c>
      <c r="J2145">
        <v>11.66</v>
      </c>
      <c r="K2145">
        <v>8</v>
      </c>
      <c r="L2145">
        <v>21</v>
      </c>
      <c r="M2145">
        <v>12.9</v>
      </c>
      <c r="N2145">
        <v>19</v>
      </c>
      <c r="O2145">
        <v>13.1</v>
      </c>
      <c r="P2145">
        <v>0</v>
      </c>
      <c r="Q2145">
        <v>0</v>
      </c>
      <c r="R2145">
        <v>0</v>
      </c>
      <c r="S2145">
        <v>0</v>
      </c>
      <c r="T2145">
        <v>0.2024</v>
      </c>
      <c r="U2145">
        <v>-0.1115</v>
      </c>
      <c r="V2145">
        <v>8.0000000000000004E-4</v>
      </c>
      <c r="W2145">
        <v>-2.2416999999999998</v>
      </c>
      <c r="X2145">
        <v>2.3249</v>
      </c>
      <c r="Y2145">
        <v>-0.22170000000000001</v>
      </c>
      <c r="Z2145">
        <v>24</v>
      </c>
      <c r="AA2145">
        <v>12.7</v>
      </c>
      <c r="AB2145">
        <v>8</v>
      </c>
      <c r="AC2145">
        <v>13</v>
      </c>
      <c r="AD2145">
        <v>0</v>
      </c>
      <c r="AE2145">
        <v>0</v>
      </c>
      <c r="AF2145">
        <v>12.585000000000001</v>
      </c>
      <c r="AG2145">
        <v>42</v>
      </c>
      <c r="AH2145">
        <v>0</v>
      </c>
    </row>
    <row r="2146" spans="1:34" x14ac:dyDescent="0.35">
      <c r="A2146" t="s">
        <v>34</v>
      </c>
      <c r="B2146" s="1">
        <v>46146.65625</v>
      </c>
      <c r="C2146" t="s">
        <v>34</v>
      </c>
      <c r="D2146" s="1">
        <v>46156.625</v>
      </c>
      <c r="E2146">
        <v>6925</v>
      </c>
      <c r="F2146" t="s">
        <v>36</v>
      </c>
      <c r="G2146">
        <v>9.7200000000000006</v>
      </c>
      <c r="H2146">
        <v>16.98</v>
      </c>
      <c r="I2146">
        <v>8.5500000000000007</v>
      </c>
      <c r="J2146">
        <v>12.11</v>
      </c>
      <c r="K2146">
        <v>53</v>
      </c>
      <c r="L2146">
        <v>20</v>
      </c>
      <c r="M2146">
        <v>13.3</v>
      </c>
      <c r="N2146">
        <v>19</v>
      </c>
      <c r="O2146">
        <v>13.5</v>
      </c>
      <c r="P2146">
        <v>0</v>
      </c>
      <c r="Q2146">
        <v>0</v>
      </c>
      <c r="R2146">
        <v>0</v>
      </c>
      <c r="S2146">
        <v>0</v>
      </c>
      <c r="T2146">
        <v>0.20130000000000001</v>
      </c>
      <c r="U2146">
        <v>-0.1145</v>
      </c>
      <c r="V2146">
        <v>8.0000000000000004E-4</v>
      </c>
      <c r="W2146">
        <v>-2.2740999999999998</v>
      </c>
      <c r="X2146">
        <v>2.3666</v>
      </c>
      <c r="Y2146">
        <v>-0.22750000000000001</v>
      </c>
      <c r="Z2146">
        <v>17</v>
      </c>
      <c r="AA2146">
        <v>13.1</v>
      </c>
      <c r="AB2146">
        <v>8</v>
      </c>
      <c r="AC2146">
        <v>13.4</v>
      </c>
      <c r="AD2146">
        <v>0</v>
      </c>
      <c r="AE2146">
        <v>0</v>
      </c>
      <c r="AF2146">
        <v>12.762600000000001</v>
      </c>
      <c r="AG2146">
        <v>757</v>
      </c>
      <c r="AH2146">
        <v>0</v>
      </c>
    </row>
    <row r="2147" spans="1:34" x14ac:dyDescent="0.35">
      <c r="A2147" t="s">
        <v>34</v>
      </c>
      <c r="B2147" s="1">
        <v>46146.65625</v>
      </c>
      <c r="C2147" t="s">
        <v>34</v>
      </c>
      <c r="D2147" s="1">
        <v>46156.625</v>
      </c>
      <c r="E2147">
        <v>6930</v>
      </c>
      <c r="F2147" t="s">
        <v>36</v>
      </c>
      <c r="G2147">
        <v>11.2</v>
      </c>
      <c r="H2147">
        <v>11.2</v>
      </c>
      <c r="I2147">
        <v>8.75</v>
      </c>
      <c r="J2147">
        <v>9.9</v>
      </c>
      <c r="K2147">
        <v>10</v>
      </c>
      <c r="L2147">
        <v>20</v>
      </c>
      <c r="M2147">
        <v>13.7</v>
      </c>
      <c r="N2147">
        <v>5</v>
      </c>
      <c r="O2147">
        <v>13.9</v>
      </c>
      <c r="P2147">
        <v>0</v>
      </c>
      <c r="Q2147">
        <v>0</v>
      </c>
      <c r="R2147">
        <v>0</v>
      </c>
      <c r="S2147">
        <v>0</v>
      </c>
      <c r="T2147">
        <v>0.20039999999999999</v>
      </c>
      <c r="U2147">
        <v>-0.1177</v>
      </c>
      <c r="V2147">
        <v>8.0000000000000004E-4</v>
      </c>
      <c r="W2147">
        <v>-2.3115999999999999</v>
      </c>
      <c r="X2147">
        <v>2.4116</v>
      </c>
      <c r="Y2147">
        <v>-0.23380000000000001</v>
      </c>
      <c r="Z2147">
        <v>17</v>
      </c>
      <c r="AA2147">
        <v>13.5</v>
      </c>
      <c r="AB2147">
        <v>46</v>
      </c>
      <c r="AC2147">
        <v>13.9</v>
      </c>
      <c r="AD2147">
        <v>0</v>
      </c>
      <c r="AE2147">
        <v>0</v>
      </c>
      <c r="AF2147">
        <v>9.2769999999999992</v>
      </c>
      <c r="AG2147">
        <v>55</v>
      </c>
      <c r="AH2147">
        <v>0</v>
      </c>
    </row>
    <row r="2148" spans="1:34" x14ac:dyDescent="0.35">
      <c r="A2148" t="s">
        <v>34</v>
      </c>
      <c r="B2148" s="1">
        <v>46146.65625</v>
      </c>
      <c r="C2148" t="s">
        <v>34</v>
      </c>
      <c r="D2148" s="1">
        <v>46156.625</v>
      </c>
      <c r="E2148">
        <v>6935</v>
      </c>
      <c r="F2148" t="s">
        <v>36</v>
      </c>
      <c r="G2148">
        <v>11.42</v>
      </c>
      <c r="H2148">
        <v>17.579999999999998</v>
      </c>
      <c r="I2148">
        <v>9.3699999999999992</v>
      </c>
      <c r="J2148">
        <v>14.25</v>
      </c>
      <c r="K2148">
        <v>57</v>
      </c>
      <c r="L2148">
        <v>19</v>
      </c>
      <c r="M2148">
        <v>14.1</v>
      </c>
      <c r="N2148">
        <v>19</v>
      </c>
      <c r="O2148">
        <v>14.3</v>
      </c>
      <c r="P2148">
        <v>0</v>
      </c>
      <c r="Q2148">
        <v>0</v>
      </c>
      <c r="R2148">
        <v>0</v>
      </c>
      <c r="S2148">
        <v>0</v>
      </c>
      <c r="T2148">
        <v>0.19950000000000001</v>
      </c>
      <c r="U2148">
        <v>-0.12089999999999999</v>
      </c>
      <c r="V2148">
        <v>8.0000000000000004E-4</v>
      </c>
      <c r="W2148">
        <v>-2.3477999999999999</v>
      </c>
      <c r="X2148">
        <v>2.4567000000000001</v>
      </c>
      <c r="Y2148">
        <v>-0.2402</v>
      </c>
      <c r="Z2148">
        <v>17</v>
      </c>
      <c r="AA2148">
        <v>13.9</v>
      </c>
      <c r="AB2148">
        <v>7</v>
      </c>
      <c r="AC2148">
        <v>14.2</v>
      </c>
      <c r="AD2148">
        <v>0</v>
      </c>
      <c r="AE2148">
        <v>0</v>
      </c>
      <c r="AF2148">
        <v>13.8667</v>
      </c>
      <c r="AG2148">
        <v>10</v>
      </c>
      <c r="AH2148">
        <v>0</v>
      </c>
    </row>
    <row r="2149" spans="1:34" x14ac:dyDescent="0.35">
      <c r="A2149" t="s">
        <v>34</v>
      </c>
      <c r="B2149" s="1">
        <v>46146.65625</v>
      </c>
      <c r="C2149" t="s">
        <v>34</v>
      </c>
      <c r="D2149" s="1">
        <v>46156.625</v>
      </c>
      <c r="E2149">
        <v>6940</v>
      </c>
      <c r="F2149" t="s">
        <v>36</v>
      </c>
      <c r="G2149">
        <v>19.38</v>
      </c>
      <c r="H2149">
        <v>19.38</v>
      </c>
      <c r="I2149">
        <v>13.95</v>
      </c>
      <c r="J2149">
        <v>14.68</v>
      </c>
      <c r="K2149">
        <v>24</v>
      </c>
      <c r="L2149">
        <v>19</v>
      </c>
      <c r="M2149">
        <v>14.5</v>
      </c>
      <c r="N2149">
        <v>1</v>
      </c>
      <c r="O2149">
        <v>14.7</v>
      </c>
      <c r="P2149">
        <v>0</v>
      </c>
      <c r="Q2149">
        <v>0</v>
      </c>
      <c r="R2149">
        <v>0</v>
      </c>
      <c r="S2149">
        <v>0</v>
      </c>
      <c r="T2149">
        <v>0.19850000000000001</v>
      </c>
      <c r="U2149">
        <v>-0.1242</v>
      </c>
      <c r="V2149">
        <v>8.9999999999999998E-4</v>
      </c>
      <c r="W2149">
        <v>-2.3828999999999998</v>
      </c>
      <c r="X2149">
        <v>2.5017999999999998</v>
      </c>
      <c r="Y2149">
        <v>-0.2467</v>
      </c>
      <c r="Z2149">
        <v>16</v>
      </c>
      <c r="AA2149">
        <v>14.3</v>
      </c>
      <c r="AB2149">
        <v>45</v>
      </c>
      <c r="AC2149">
        <v>14.7</v>
      </c>
      <c r="AD2149">
        <v>0</v>
      </c>
      <c r="AE2149">
        <v>0</v>
      </c>
      <c r="AF2149">
        <v>15.786300000000001</v>
      </c>
      <c r="AG2149">
        <v>41</v>
      </c>
      <c r="AH2149">
        <v>0</v>
      </c>
    </row>
    <row r="2150" spans="1:34" x14ac:dyDescent="0.35">
      <c r="A2150" t="s">
        <v>34</v>
      </c>
      <c r="B2150" s="1">
        <v>46146.65625</v>
      </c>
      <c r="C2150" t="s">
        <v>34</v>
      </c>
      <c r="D2150" s="1">
        <v>46156.625</v>
      </c>
      <c r="E2150">
        <v>6945</v>
      </c>
      <c r="F2150" t="s">
        <v>36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24</v>
      </c>
      <c r="M2150">
        <v>14.9</v>
      </c>
      <c r="N2150">
        <v>5</v>
      </c>
      <c r="O2150">
        <v>15.2</v>
      </c>
      <c r="P2150">
        <v>0</v>
      </c>
      <c r="Q2150">
        <v>0</v>
      </c>
      <c r="R2150">
        <v>0</v>
      </c>
      <c r="S2150">
        <v>0</v>
      </c>
      <c r="T2150">
        <v>0.19800000000000001</v>
      </c>
      <c r="U2150">
        <v>-0.12790000000000001</v>
      </c>
      <c r="V2150">
        <v>8.9999999999999998E-4</v>
      </c>
      <c r="W2150">
        <v>-2.4287999999999998</v>
      </c>
      <c r="X2150">
        <v>2.5526</v>
      </c>
      <c r="Y2150">
        <v>-0.25419999999999998</v>
      </c>
      <c r="Z2150">
        <v>16</v>
      </c>
      <c r="AA2150">
        <v>14.8</v>
      </c>
      <c r="AB2150">
        <v>9</v>
      </c>
      <c r="AC2150">
        <v>15.1</v>
      </c>
      <c r="AD2150">
        <v>0</v>
      </c>
      <c r="AE2150">
        <v>0</v>
      </c>
      <c r="AF2150">
        <v>0</v>
      </c>
      <c r="AG2150">
        <v>0</v>
      </c>
      <c r="AH2150">
        <v>0</v>
      </c>
    </row>
    <row r="2151" spans="1:34" x14ac:dyDescent="0.35">
      <c r="A2151" t="s">
        <v>34</v>
      </c>
      <c r="B2151" s="1">
        <v>46146.65625</v>
      </c>
      <c r="C2151" t="s">
        <v>34</v>
      </c>
      <c r="D2151" s="1">
        <v>46156.625</v>
      </c>
      <c r="E2151">
        <v>6950</v>
      </c>
      <c r="F2151" t="s">
        <v>36</v>
      </c>
      <c r="G2151">
        <v>11.42</v>
      </c>
      <c r="H2151">
        <v>21.44</v>
      </c>
      <c r="I2151">
        <v>10.050000000000001</v>
      </c>
      <c r="J2151">
        <v>16.5</v>
      </c>
      <c r="K2151">
        <v>75</v>
      </c>
      <c r="L2151">
        <v>18</v>
      </c>
      <c r="M2151">
        <v>15.4</v>
      </c>
      <c r="N2151">
        <v>14</v>
      </c>
      <c r="O2151">
        <v>15.6</v>
      </c>
      <c r="P2151">
        <v>0</v>
      </c>
      <c r="Q2151">
        <v>0</v>
      </c>
      <c r="R2151">
        <v>0</v>
      </c>
      <c r="S2151">
        <v>0</v>
      </c>
      <c r="T2151">
        <v>0.19670000000000001</v>
      </c>
      <c r="U2151">
        <v>-0.1313</v>
      </c>
      <c r="V2151">
        <v>8.9999999999999998E-4</v>
      </c>
      <c r="W2151">
        <v>-2.4607000000000001</v>
      </c>
      <c r="X2151">
        <v>2.5985</v>
      </c>
      <c r="Y2151">
        <v>-0.26100000000000001</v>
      </c>
      <c r="Z2151">
        <v>16</v>
      </c>
      <c r="AA2151">
        <v>15.2</v>
      </c>
      <c r="AB2151">
        <v>7</v>
      </c>
      <c r="AC2151">
        <v>15.5</v>
      </c>
      <c r="AD2151">
        <v>0</v>
      </c>
      <c r="AE2151">
        <v>0</v>
      </c>
      <c r="AF2151">
        <v>15.067299999999999</v>
      </c>
      <c r="AG2151">
        <v>241</v>
      </c>
      <c r="AH2151">
        <v>0</v>
      </c>
    </row>
    <row r="2152" spans="1:34" x14ac:dyDescent="0.35">
      <c r="A2152" t="s">
        <v>34</v>
      </c>
      <c r="B2152" s="1">
        <v>46146.65625</v>
      </c>
      <c r="C2152" t="s">
        <v>34</v>
      </c>
      <c r="D2152" s="1">
        <v>46156.625</v>
      </c>
      <c r="E2152">
        <v>6955</v>
      </c>
      <c r="F2152" t="s">
        <v>36</v>
      </c>
      <c r="G2152">
        <v>11.03</v>
      </c>
      <c r="H2152">
        <v>19.54</v>
      </c>
      <c r="I2152">
        <v>11.03</v>
      </c>
      <c r="J2152">
        <v>15.9</v>
      </c>
      <c r="K2152">
        <v>57</v>
      </c>
      <c r="L2152">
        <v>22</v>
      </c>
      <c r="M2152">
        <v>15.8</v>
      </c>
      <c r="N2152">
        <v>18</v>
      </c>
      <c r="O2152">
        <v>16.100000000000001</v>
      </c>
      <c r="P2152">
        <v>0</v>
      </c>
      <c r="Q2152">
        <v>0</v>
      </c>
      <c r="R2152">
        <v>0</v>
      </c>
      <c r="S2152">
        <v>0</v>
      </c>
      <c r="T2152">
        <v>0.1961</v>
      </c>
      <c r="U2152">
        <v>-0.1351</v>
      </c>
      <c r="V2152">
        <v>8.9999999999999998E-4</v>
      </c>
      <c r="W2152">
        <v>-2.5036999999999998</v>
      </c>
      <c r="X2152">
        <v>2.6486000000000001</v>
      </c>
      <c r="Y2152">
        <v>-0.26860000000000001</v>
      </c>
      <c r="Z2152">
        <v>16</v>
      </c>
      <c r="AA2152">
        <v>15.7</v>
      </c>
      <c r="AB2152">
        <v>7</v>
      </c>
      <c r="AC2152">
        <v>16</v>
      </c>
      <c r="AD2152">
        <v>0</v>
      </c>
      <c r="AE2152">
        <v>0</v>
      </c>
      <c r="AF2152">
        <v>15.6479</v>
      </c>
      <c r="AG2152">
        <v>0</v>
      </c>
      <c r="AH2152">
        <v>0</v>
      </c>
    </row>
    <row r="2153" spans="1:34" x14ac:dyDescent="0.35">
      <c r="A2153" t="s">
        <v>34</v>
      </c>
      <c r="B2153" s="1">
        <v>46146.65625</v>
      </c>
      <c r="C2153" t="s">
        <v>34</v>
      </c>
      <c r="D2153" s="1">
        <v>46156.625</v>
      </c>
      <c r="E2153">
        <v>6960</v>
      </c>
      <c r="F2153" t="s">
        <v>36</v>
      </c>
      <c r="G2153">
        <v>10.82</v>
      </c>
      <c r="H2153">
        <v>12.19</v>
      </c>
      <c r="I2153">
        <v>10.75</v>
      </c>
      <c r="J2153">
        <v>12.19</v>
      </c>
      <c r="K2153">
        <v>7</v>
      </c>
      <c r="L2153">
        <v>17</v>
      </c>
      <c r="M2153">
        <v>16.3</v>
      </c>
      <c r="N2153">
        <v>5</v>
      </c>
      <c r="O2153">
        <v>16.600000000000001</v>
      </c>
      <c r="P2153">
        <v>0</v>
      </c>
      <c r="Q2153">
        <v>0</v>
      </c>
      <c r="R2153">
        <v>0</v>
      </c>
      <c r="S2153">
        <v>0</v>
      </c>
      <c r="T2153">
        <v>0.19520000000000001</v>
      </c>
      <c r="U2153">
        <v>-0.13900000000000001</v>
      </c>
      <c r="V2153">
        <v>1E-3</v>
      </c>
      <c r="W2153">
        <v>-2.5440999999999998</v>
      </c>
      <c r="X2153">
        <v>2.6995</v>
      </c>
      <c r="Y2153">
        <v>-0.27660000000000001</v>
      </c>
      <c r="Z2153">
        <v>15</v>
      </c>
      <c r="AA2153">
        <v>16.100000000000001</v>
      </c>
      <c r="AB2153">
        <v>22</v>
      </c>
      <c r="AC2153">
        <v>16.5</v>
      </c>
      <c r="AD2153">
        <v>0</v>
      </c>
      <c r="AE2153">
        <v>0</v>
      </c>
      <c r="AF2153">
        <v>11.2014</v>
      </c>
      <c r="AG2153">
        <v>39</v>
      </c>
      <c r="AH2153">
        <v>0</v>
      </c>
    </row>
    <row r="2154" spans="1:34" x14ac:dyDescent="0.35">
      <c r="A2154" t="s">
        <v>34</v>
      </c>
      <c r="B2154" s="1">
        <v>46146.65625</v>
      </c>
      <c r="C2154" t="s">
        <v>34</v>
      </c>
      <c r="D2154" s="1">
        <v>46156.625</v>
      </c>
      <c r="E2154">
        <v>6965</v>
      </c>
      <c r="F2154" t="s">
        <v>36</v>
      </c>
      <c r="G2154">
        <v>12.47</v>
      </c>
      <c r="H2154">
        <v>20.51</v>
      </c>
      <c r="I2154">
        <v>11.22</v>
      </c>
      <c r="J2154">
        <v>16.52</v>
      </c>
      <c r="K2154">
        <v>35</v>
      </c>
      <c r="L2154">
        <v>17</v>
      </c>
      <c r="M2154">
        <v>16.8</v>
      </c>
      <c r="N2154">
        <v>27</v>
      </c>
      <c r="O2154">
        <v>17.100000000000001</v>
      </c>
      <c r="P2154">
        <v>0</v>
      </c>
      <c r="Q2154">
        <v>0</v>
      </c>
      <c r="R2154">
        <v>0</v>
      </c>
      <c r="S2154">
        <v>0</v>
      </c>
      <c r="T2154">
        <v>0.19389999999999999</v>
      </c>
      <c r="U2154">
        <v>-0.1424</v>
      </c>
      <c r="V2154">
        <v>1E-3</v>
      </c>
      <c r="W2154">
        <v>-2.5722999999999998</v>
      </c>
      <c r="X2154">
        <v>2.7437</v>
      </c>
      <c r="Y2154">
        <v>-0.28360000000000002</v>
      </c>
      <c r="Z2154">
        <v>21</v>
      </c>
      <c r="AA2154">
        <v>16.600000000000001</v>
      </c>
      <c r="AB2154">
        <v>28</v>
      </c>
      <c r="AC2154">
        <v>17</v>
      </c>
      <c r="AD2154">
        <v>0</v>
      </c>
      <c r="AE2154">
        <v>0</v>
      </c>
      <c r="AF2154">
        <v>16.217400000000001</v>
      </c>
      <c r="AG2154">
        <v>28</v>
      </c>
      <c r="AH2154">
        <v>0</v>
      </c>
    </row>
    <row r="2155" spans="1:34" x14ac:dyDescent="0.35">
      <c r="A2155" t="s">
        <v>34</v>
      </c>
      <c r="B2155" s="1">
        <v>46146.65625</v>
      </c>
      <c r="C2155" t="s">
        <v>34</v>
      </c>
      <c r="D2155" s="1">
        <v>46156.625</v>
      </c>
      <c r="E2155">
        <v>6970</v>
      </c>
      <c r="F2155" t="s">
        <v>36</v>
      </c>
      <c r="G2155">
        <v>13.03</v>
      </c>
      <c r="H2155">
        <v>21.3</v>
      </c>
      <c r="I2155">
        <v>13.03</v>
      </c>
      <c r="J2155">
        <v>18.920000000000002</v>
      </c>
      <c r="K2155">
        <v>12</v>
      </c>
      <c r="L2155">
        <v>16</v>
      </c>
      <c r="M2155">
        <v>17.3</v>
      </c>
      <c r="N2155">
        <v>21</v>
      </c>
      <c r="O2155">
        <v>17.600000000000001</v>
      </c>
      <c r="P2155">
        <v>0</v>
      </c>
      <c r="Q2155">
        <v>0</v>
      </c>
      <c r="R2155">
        <v>0</v>
      </c>
      <c r="S2155">
        <v>0</v>
      </c>
      <c r="T2155">
        <v>0.19289999999999999</v>
      </c>
      <c r="U2155">
        <v>-0.1464</v>
      </c>
      <c r="V2155">
        <v>1E-3</v>
      </c>
      <c r="W2155">
        <v>-2.6101000000000001</v>
      </c>
      <c r="X2155">
        <v>2.7928000000000002</v>
      </c>
      <c r="Y2155">
        <v>-0.29160000000000003</v>
      </c>
      <c r="Z2155">
        <v>15</v>
      </c>
      <c r="AA2155">
        <v>17.100000000000001</v>
      </c>
      <c r="AB2155">
        <v>21</v>
      </c>
      <c r="AC2155">
        <v>17.5</v>
      </c>
      <c r="AD2155">
        <v>0</v>
      </c>
      <c r="AE2155">
        <v>0</v>
      </c>
      <c r="AF2155">
        <v>18.162500000000001</v>
      </c>
      <c r="AG2155">
        <v>28</v>
      </c>
      <c r="AH2155">
        <v>0</v>
      </c>
    </row>
    <row r="2156" spans="1:34" x14ac:dyDescent="0.35">
      <c r="A2156" t="s">
        <v>34</v>
      </c>
      <c r="B2156" s="1">
        <v>46146.65625</v>
      </c>
      <c r="C2156" t="s">
        <v>34</v>
      </c>
      <c r="D2156" s="1">
        <v>46156.625</v>
      </c>
      <c r="E2156">
        <v>6975</v>
      </c>
      <c r="F2156" t="s">
        <v>36</v>
      </c>
      <c r="G2156">
        <v>15.64</v>
      </c>
      <c r="H2156">
        <v>24.19</v>
      </c>
      <c r="I2156">
        <v>11.31</v>
      </c>
      <c r="J2156">
        <v>17.8</v>
      </c>
      <c r="K2156">
        <v>38</v>
      </c>
      <c r="L2156">
        <v>16</v>
      </c>
      <c r="M2156">
        <v>17.8</v>
      </c>
      <c r="N2156">
        <v>16</v>
      </c>
      <c r="O2156">
        <v>18.100000000000001</v>
      </c>
      <c r="P2156">
        <v>0</v>
      </c>
      <c r="Q2156">
        <v>0</v>
      </c>
      <c r="R2156">
        <v>0</v>
      </c>
      <c r="S2156">
        <v>0</v>
      </c>
      <c r="T2156">
        <v>0.1923</v>
      </c>
      <c r="U2156">
        <v>-0.15079999999999999</v>
      </c>
      <c r="V2156">
        <v>1E-3</v>
      </c>
      <c r="W2156">
        <v>-2.657</v>
      </c>
      <c r="X2156">
        <v>2.8460999999999999</v>
      </c>
      <c r="Y2156">
        <v>-0.3004</v>
      </c>
      <c r="Z2156">
        <v>15</v>
      </c>
      <c r="AA2156">
        <v>17.7</v>
      </c>
      <c r="AB2156">
        <v>7</v>
      </c>
      <c r="AC2156">
        <v>18</v>
      </c>
      <c r="AD2156">
        <v>0</v>
      </c>
      <c r="AE2156">
        <v>0</v>
      </c>
      <c r="AF2156">
        <v>18.831600000000002</v>
      </c>
      <c r="AG2156">
        <v>127</v>
      </c>
      <c r="AH2156">
        <v>0</v>
      </c>
    </row>
    <row r="2157" spans="1:34" x14ac:dyDescent="0.35">
      <c r="A2157" t="s">
        <v>34</v>
      </c>
      <c r="B2157" s="1">
        <v>46146.65625</v>
      </c>
      <c r="C2157" t="s">
        <v>34</v>
      </c>
      <c r="D2157" s="1">
        <v>46156.625</v>
      </c>
      <c r="E2157">
        <v>6980</v>
      </c>
      <c r="F2157" t="s">
        <v>36</v>
      </c>
      <c r="G2157">
        <v>15.05</v>
      </c>
      <c r="H2157">
        <v>20.88</v>
      </c>
      <c r="I2157">
        <v>15.05</v>
      </c>
      <c r="J2157">
        <v>20.65</v>
      </c>
      <c r="K2157">
        <v>35</v>
      </c>
      <c r="L2157">
        <v>22</v>
      </c>
      <c r="M2157">
        <v>18.3</v>
      </c>
      <c r="N2157">
        <v>1</v>
      </c>
      <c r="O2157">
        <v>18.600000000000001</v>
      </c>
      <c r="P2157">
        <v>0</v>
      </c>
      <c r="Q2157">
        <v>0</v>
      </c>
      <c r="R2157">
        <v>0</v>
      </c>
      <c r="S2157">
        <v>0</v>
      </c>
      <c r="T2157">
        <v>0.1913</v>
      </c>
      <c r="U2157">
        <v>-0.15479999999999999</v>
      </c>
      <c r="V2157">
        <v>1E-3</v>
      </c>
      <c r="W2157">
        <v>-2.6915</v>
      </c>
      <c r="X2157">
        <v>2.8940999999999999</v>
      </c>
      <c r="Y2157">
        <v>-0.30840000000000001</v>
      </c>
      <c r="Z2157">
        <v>15</v>
      </c>
      <c r="AA2157">
        <v>18.2</v>
      </c>
      <c r="AB2157">
        <v>21</v>
      </c>
      <c r="AC2157">
        <v>18.600000000000001</v>
      </c>
      <c r="AD2157">
        <v>0</v>
      </c>
      <c r="AE2157">
        <v>0</v>
      </c>
      <c r="AF2157">
        <v>18.771100000000001</v>
      </c>
      <c r="AG2157">
        <v>48</v>
      </c>
      <c r="AH2157">
        <v>0</v>
      </c>
    </row>
    <row r="2158" spans="1:34" x14ac:dyDescent="0.35">
      <c r="A2158" t="s">
        <v>34</v>
      </c>
      <c r="B2158" s="1">
        <v>46146.65625</v>
      </c>
      <c r="C2158" t="s">
        <v>34</v>
      </c>
      <c r="D2158" s="1">
        <v>46156.625</v>
      </c>
      <c r="E2158">
        <v>6985</v>
      </c>
      <c r="F2158" t="s">
        <v>36</v>
      </c>
      <c r="G2158">
        <v>16.489999999999998</v>
      </c>
      <c r="H2158">
        <v>20.9</v>
      </c>
      <c r="I2158">
        <v>16.489999999999998</v>
      </c>
      <c r="J2158">
        <v>18.57</v>
      </c>
      <c r="K2158">
        <v>6</v>
      </c>
      <c r="L2158">
        <v>15</v>
      </c>
      <c r="M2158">
        <v>18.899999999999999</v>
      </c>
      <c r="N2158">
        <v>16</v>
      </c>
      <c r="O2158">
        <v>19.2</v>
      </c>
      <c r="P2158">
        <v>0</v>
      </c>
      <c r="Q2158">
        <v>0</v>
      </c>
      <c r="R2158">
        <v>0</v>
      </c>
      <c r="S2158">
        <v>0</v>
      </c>
      <c r="T2158">
        <v>0.1903</v>
      </c>
      <c r="U2158">
        <v>-0.159</v>
      </c>
      <c r="V2158">
        <v>1.1000000000000001E-3</v>
      </c>
      <c r="W2158">
        <v>-2.7296</v>
      </c>
      <c r="X2158">
        <v>2.9441000000000002</v>
      </c>
      <c r="Y2158">
        <v>-0.31690000000000002</v>
      </c>
      <c r="Z2158">
        <v>21</v>
      </c>
      <c r="AA2158">
        <v>18.7</v>
      </c>
      <c r="AB2158">
        <v>10</v>
      </c>
      <c r="AC2158">
        <v>19.100000000000001</v>
      </c>
      <c r="AD2158">
        <v>0</v>
      </c>
      <c r="AE2158">
        <v>0</v>
      </c>
      <c r="AF2158">
        <v>18.708300000000001</v>
      </c>
      <c r="AG2158">
        <v>22</v>
      </c>
      <c r="AH2158">
        <v>0</v>
      </c>
    </row>
    <row r="2159" spans="1:34" x14ac:dyDescent="0.35">
      <c r="A2159" t="s">
        <v>34</v>
      </c>
      <c r="B2159" s="1">
        <v>46146.65625</v>
      </c>
      <c r="C2159" t="s">
        <v>34</v>
      </c>
      <c r="D2159" s="1">
        <v>46156.625</v>
      </c>
      <c r="E2159">
        <v>6990</v>
      </c>
      <c r="F2159" t="s">
        <v>36</v>
      </c>
      <c r="G2159">
        <v>14.37</v>
      </c>
      <c r="H2159">
        <v>24.1</v>
      </c>
      <c r="I2159">
        <v>13.02</v>
      </c>
      <c r="J2159">
        <v>19.95</v>
      </c>
      <c r="K2159">
        <v>58</v>
      </c>
      <c r="L2159">
        <v>16</v>
      </c>
      <c r="M2159">
        <v>19.5</v>
      </c>
      <c r="N2159">
        <v>37</v>
      </c>
      <c r="O2159">
        <v>19.8</v>
      </c>
      <c r="P2159">
        <v>0</v>
      </c>
      <c r="Q2159">
        <v>0</v>
      </c>
      <c r="R2159">
        <v>0</v>
      </c>
      <c r="S2159">
        <v>0</v>
      </c>
      <c r="T2159">
        <v>0.1893</v>
      </c>
      <c r="U2159">
        <v>-0.16339999999999999</v>
      </c>
      <c r="V2159">
        <v>1.1000000000000001E-3</v>
      </c>
      <c r="W2159">
        <v>-2.7660999999999998</v>
      </c>
      <c r="X2159">
        <v>2.9942000000000002</v>
      </c>
      <c r="Y2159">
        <v>-0.32550000000000001</v>
      </c>
      <c r="Z2159">
        <v>21</v>
      </c>
      <c r="AA2159">
        <v>19.3</v>
      </c>
      <c r="AB2159">
        <v>27</v>
      </c>
      <c r="AC2159">
        <v>19.7</v>
      </c>
      <c r="AD2159">
        <v>0</v>
      </c>
      <c r="AE2159">
        <v>0</v>
      </c>
      <c r="AF2159">
        <v>18.2867</v>
      </c>
      <c r="AG2159">
        <v>111</v>
      </c>
      <c r="AH2159">
        <v>0</v>
      </c>
    </row>
    <row r="2160" spans="1:34" x14ac:dyDescent="0.35">
      <c r="A2160" t="s">
        <v>34</v>
      </c>
      <c r="B2160" s="1">
        <v>46146.65625</v>
      </c>
      <c r="C2160" t="s">
        <v>34</v>
      </c>
      <c r="D2160" s="1">
        <v>46156.625</v>
      </c>
      <c r="E2160">
        <v>6995</v>
      </c>
      <c r="F2160" t="s">
        <v>36</v>
      </c>
      <c r="G2160">
        <v>15.18</v>
      </c>
      <c r="H2160">
        <v>24.48</v>
      </c>
      <c r="I2160">
        <v>15.18</v>
      </c>
      <c r="J2160">
        <v>24.48</v>
      </c>
      <c r="K2160">
        <v>3</v>
      </c>
      <c r="L2160">
        <v>22</v>
      </c>
      <c r="M2160">
        <v>20</v>
      </c>
      <c r="N2160">
        <v>1</v>
      </c>
      <c r="O2160">
        <v>20.3</v>
      </c>
      <c r="P2160">
        <v>0</v>
      </c>
      <c r="Q2160">
        <v>0</v>
      </c>
      <c r="R2160">
        <v>0</v>
      </c>
      <c r="S2160">
        <v>0</v>
      </c>
      <c r="T2160">
        <v>0.1885</v>
      </c>
      <c r="U2160">
        <v>-0.16789999999999999</v>
      </c>
      <c r="V2160">
        <v>1.1000000000000001E-3</v>
      </c>
      <c r="W2160">
        <v>-2.8056000000000001</v>
      </c>
      <c r="X2160">
        <v>3.0464000000000002</v>
      </c>
      <c r="Y2160">
        <v>-0.33460000000000001</v>
      </c>
      <c r="Z2160">
        <v>14</v>
      </c>
      <c r="AA2160">
        <v>19.899999999999999</v>
      </c>
      <c r="AB2160">
        <v>21</v>
      </c>
      <c r="AC2160">
        <v>20.3</v>
      </c>
      <c r="AD2160">
        <v>0</v>
      </c>
      <c r="AE2160">
        <v>0</v>
      </c>
      <c r="AF2160">
        <v>20.503299999999999</v>
      </c>
      <c r="AG2160">
        <v>35</v>
      </c>
      <c r="AH2160">
        <v>0</v>
      </c>
    </row>
    <row r="2161" spans="1:34" x14ac:dyDescent="0.35">
      <c r="A2161" t="s">
        <v>34</v>
      </c>
      <c r="B2161" s="1">
        <v>46146.65625</v>
      </c>
      <c r="C2161" t="s">
        <v>34</v>
      </c>
      <c r="D2161" s="1">
        <v>46156.625</v>
      </c>
      <c r="E2161">
        <v>7000</v>
      </c>
      <c r="F2161" t="s">
        <v>36</v>
      </c>
      <c r="G2161">
        <v>15.8</v>
      </c>
      <c r="H2161">
        <v>28.03</v>
      </c>
      <c r="I2161">
        <v>13.77</v>
      </c>
      <c r="J2161">
        <v>21.03</v>
      </c>
      <c r="K2161">
        <v>105</v>
      </c>
      <c r="L2161">
        <v>34</v>
      </c>
      <c r="M2161">
        <v>20.6</v>
      </c>
      <c r="N2161">
        <v>1</v>
      </c>
      <c r="O2161">
        <v>20.9</v>
      </c>
      <c r="P2161">
        <v>0</v>
      </c>
      <c r="Q2161">
        <v>0</v>
      </c>
      <c r="R2161">
        <v>0</v>
      </c>
      <c r="S2161">
        <v>0</v>
      </c>
      <c r="T2161">
        <v>0.1875</v>
      </c>
      <c r="U2161">
        <v>-0.17249999999999999</v>
      </c>
      <c r="V2161">
        <v>1.1000000000000001E-3</v>
      </c>
      <c r="W2161">
        <v>-2.8433000000000002</v>
      </c>
      <c r="X2161">
        <v>3.0985</v>
      </c>
      <c r="Y2161">
        <v>-0.34379999999999999</v>
      </c>
      <c r="Z2161">
        <v>20</v>
      </c>
      <c r="AA2161">
        <v>20.5</v>
      </c>
      <c r="AB2161">
        <v>22</v>
      </c>
      <c r="AC2161">
        <v>20.9</v>
      </c>
      <c r="AD2161">
        <v>0</v>
      </c>
      <c r="AE2161">
        <v>0</v>
      </c>
      <c r="AF2161">
        <v>22.2362</v>
      </c>
      <c r="AG2161">
        <v>324</v>
      </c>
      <c r="AH2161">
        <v>0</v>
      </c>
    </row>
    <row r="2162" spans="1:34" x14ac:dyDescent="0.35">
      <c r="A2162" t="s">
        <v>34</v>
      </c>
      <c r="B2162" s="1">
        <v>46146.65625</v>
      </c>
      <c r="C2162" t="s">
        <v>34</v>
      </c>
      <c r="D2162" s="1">
        <v>46156.625</v>
      </c>
      <c r="E2162">
        <v>7005</v>
      </c>
      <c r="F2162" t="s">
        <v>36</v>
      </c>
      <c r="G2162">
        <v>16.440000000000001</v>
      </c>
      <c r="H2162">
        <v>25.88</v>
      </c>
      <c r="I2162">
        <v>16.440000000000001</v>
      </c>
      <c r="J2162">
        <v>21.15</v>
      </c>
      <c r="K2162">
        <v>4</v>
      </c>
      <c r="L2162">
        <v>15</v>
      </c>
      <c r="M2162">
        <v>21.3</v>
      </c>
      <c r="N2162">
        <v>19</v>
      </c>
      <c r="O2162">
        <v>21.6</v>
      </c>
      <c r="P2162">
        <v>0</v>
      </c>
      <c r="Q2162">
        <v>0</v>
      </c>
      <c r="R2162">
        <v>0</v>
      </c>
      <c r="S2162">
        <v>0</v>
      </c>
      <c r="T2162">
        <v>0.1865</v>
      </c>
      <c r="U2162">
        <v>-0.1772</v>
      </c>
      <c r="V2162">
        <v>1.1999999999999999E-3</v>
      </c>
      <c r="W2162">
        <v>-2.8792</v>
      </c>
      <c r="X2162">
        <v>3.1503000000000001</v>
      </c>
      <c r="Y2162">
        <v>-0.3533</v>
      </c>
      <c r="Z2162">
        <v>14</v>
      </c>
      <c r="AA2162">
        <v>21.1</v>
      </c>
      <c r="AB2162">
        <v>16</v>
      </c>
      <c r="AC2162">
        <v>21.5</v>
      </c>
      <c r="AD2162">
        <v>0</v>
      </c>
      <c r="AE2162">
        <v>0</v>
      </c>
      <c r="AF2162">
        <v>21.39</v>
      </c>
      <c r="AG2162">
        <v>4</v>
      </c>
      <c r="AH2162">
        <v>0</v>
      </c>
    </row>
    <row r="2163" spans="1:34" x14ac:dyDescent="0.35">
      <c r="A2163" t="s">
        <v>34</v>
      </c>
      <c r="B2163" s="1">
        <v>46146.65625</v>
      </c>
      <c r="C2163" t="s">
        <v>34</v>
      </c>
      <c r="D2163" s="1">
        <v>46156.625</v>
      </c>
      <c r="E2163">
        <v>7010</v>
      </c>
      <c r="F2163" t="s">
        <v>36</v>
      </c>
      <c r="G2163">
        <v>16.149999999999999</v>
      </c>
      <c r="H2163">
        <v>22.28</v>
      </c>
      <c r="I2163">
        <v>15.97</v>
      </c>
      <c r="J2163">
        <v>22.28</v>
      </c>
      <c r="K2163">
        <v>17</v>
      </c>
      <c r="L2163">
        <v>15</v>
      </c>
      <c r="M2163">
        <v>21.9</v>
      </c>
      <c r="N2163">
        <v>4</v>
      </c>
      <c r="O2163">
        <v>22.2</v>
      </c>
      <c r="P2163">
        <v>0</v>
      </c>
      <c r="Q2163">
        <v>0</v>
      </c>
      <c r="R2163">
        <v>0</v>
      </c>
      <c r="S2163">
        <v>0</v>
      </c>
      <c r="T2163">
        <v>0.18579999999999999</v>
      </c>
      <c r="U2163">
        <v>-0.18229999999999999</v>
      </c>
      <c r="V2163">
        <v>1.1999999999999999E-3</v>
      </c>
      <c r="W2163">
        <v>-2.9222999999999999</v>
      </c>
      <c r="X2163">
        <v>3.2054999999999998</v>
      </c>
      <c r="Y2163">
        <v>-0.36370000000000002</v>
      </c>
      <c r="Z2163">
        <v>20</v>
      </c>
      <c r="AA2163">
        <v>21.8</v>
      </c>
      <c r="AB2163">
        <v>6</v>
      </c>
      <c r="AC2163">
        <v>22.1</v>
      </c>
      <c r="AD2163">
        <v>0</v>
      </c>
      <c r="AE2163">
        <v>0</v>
      </c>
      <c r="AF2163">
        <v>19.372900000000001</v>
      </c>
      <c r="AG2163">
        <v>29</v>
      </c>
      <c r="AH2163">
        <v>0</v>
      </c>
    </row>
    <row r="2164" spans="1:34" x14ac:dyDescent="0.35">
      <c r="A2164" t="s">
        <v>34</v>
      </c>
      <c r="B2164" s="1">
        <v>46146.65625</v>
      </c>
      <c r="C2164" t="s">
        <v>34</v>
      </c>
      <c r="D2164" s="1">
        <v>46156.625</v>
      </c>
      <c r="E2164">
        <v>7015</v>
      </c>
      <c r="F2164" t="s">
        <v>36</v>
      </c>
      <c r="G2164">
        <v>16.7</v>
      </c>
      <c r="H2164">
        <v>28.4</v>
      </c>
      <c r="I2164">
        <v>16.7</v>
      </c>
      <c r="J2164">
        <v>22.5</v>
      </c>
      <c r="K2164">
        <v>32</v>
      </c>
      <c r="L2164">
        <v>15</v>
      </c>
      <c r="M2164">
        <v>22.6</v>
      </c>
      <c r="N2164">
        <v>4</v>
      </c>
      <c r="O2164">
        <v>22.9</v>
      </c>
      <c r="P2164">
        <v>0</v>
      </c>
      <c r="Q2164">
        <v>0</v>
      </c>
      <c r="R2164">
        <v>0</v>
      </c>
      <c r="S2164">
        <v>0</v>
      </c>
      <c r="T2164">
        <v>0.18479999999999999</v>
      </c>
      <c r="U2164">
        <v>-0.18729999999999999</v>
      </c>
      <c r="V2164">
        <v>1.1999999999999999E-3</v>
      </c>
      <c r="W2164">
        <v>-2.9586000000000001</v>
      </c>
      <c r="X2164">
        <v>3.2578999999999998</v>
      </c>
      <c r="Y2164">
        <v>-0.37390000000000001</v>
      </c>
      <c r="Z2164">
        <v>15</v>
      </c>
      <c r="AA2164">
        <v>22.4</v>
      </c>
      <c r="AB2164">
        <v>18</v>
      </c>
      <c r="AC2164">
        <v>22.9</v>
      </c>
      <c r="AD2164">
        <v>0</v>
      </c>
      <c r="AE2164">
        <v>0</v>
      </c>
      <c r="AF2164">
        <v>20.418099999999999</v>
      </c>
      <c r="AG2164">
        <v>35</v>
      </c>
      <c r="AH2164">
        <v>0</v>
      </c>
    </row>
    <row r="2165" spans="1:34" x14ac:dyDescent="0.35">
      <c r="A2165" t="s">
        <v>34</v>
      </c>
      <c r="B2165" s="1">
        <v>46146.65625</v>
      </c>
      <c r="C2165" t="s">
        <v>34</v>
      </c>
      <c r="D2165" s="1">
        <v>46156.625</v>
      </c>
      <c r="E2165">
        <v>7020</v>
      </c>
      <c r="F2165" t="s">
        <v>36</v>
      </c>
      <c r="G2165">
        <v>19.75</v>
      </c>
      <c r="H2165">
        <v>28.9</v>
      </c>
      <c r="I2165">
        <v>15.07</v>
      </c>
      <c r="J2165">
        <v>23.46</v>
      </c>
      <c r="K2165">
        <v>53</v>
      </c>
      <c r="L2165">
        <v>15</v>
      </c>
      <c r="M2165">
        <v>23.3</v>
      </c>
      <c r="N2165">
        <v>34</v>
      </c>
      <c r="O2165">
        <v>23.6</v>
      </c>
      <c r="P2165">
        <v>0</v>
      </c>
      <c r="Q2165">
        <v>0</v>
      </c>
      <c r="R2165">
        <v>0</v>
      </c>
      <c r="S2165">
        <v>0</v>
      </c>
      <c r="T2165">
        <v>0.18379999999999999</v>
      </c>
      <c r="U2165">
        <v>-0.19220000000000001</v>
      </c>
      <c r="V2165">
        <v>1.1999999999999999E-3</v>
      </c>
      <c r="W2165">
        <v>-2.9929999999999999</v>
      </c>
      <c r="X2165">
        <v>3.3089</v>
      </c>
      <c r="Y2165">
        <v>-0.38400000000000001</v>
      </c>
      <c r="Z2165">
        <v>19</v>
      </c>
      <c r="AA2165">
        <v>23.1</v>
      </c>
      <c r="AB2165">
        <v>8</v>
      </c>
      <c r="AC2165">
        <v>23.5</v>
      </c>
      <c r="AD2165">
        <v>0</v>
      </c>
      <c r="AE2165">
        <v>0</v>
      </c>
      <c r="AF2165">
        <v>18.7011</v>
      </c>
      <c r="AG2165">
        <v>135</v>
      </c>
      <c r="AH2165">
        <v>0</v>
      </c>
    </row>
    <row r="2166" spans="1:34" x14ac:dyDescent="0.35">
      <c r="A2166" t="s">
        <v>34</v>
      </c>
      <c r="B2166" s="1">
        <v>46146.65625</v>
      </c>
      <c r="C2166" t="s">
        <v>34</v>
      </c>
      <c r="D2166" s="1">
        <v>46156.625</v>
      </c>
      <c r="E2166">
        <v>7025</v>
      </c>
      <c r="F2166" t="s">
        <v>36</v>
      </c>
      <c r="G2166">
        <v>20.350000000000001</v>
      </c>
      <c r="H2166">
        <v>28.83</v>
      </c>
      <c r="I2166">
        <v>15.75</v>
      </c>
      <c r="J2166">
        <v>23.9</v>
      </c>
      <c r="K2166">
        <v>24</v>
      </c>
      <c r="L2166">
        <v>15</v>
      </c>
      <c r="M2166">
        <v>24</v>
      </c>
      <c r="N2166">
        <v>19</v>
      </c>
      <c r="O2166">
        <v>24.3</v>
      </c>
      <c r="P2166">
        <v>0</v>
      </c>
      <c r="Q2166">
        <v>0</v>
      </c>
      <c r="R2166">
        <v>0</v>
      </c>
      <c r="S2166">
        <v>0</v>
      </c>
      <c r="T2166">
        <v>0.18279999999999999</v>
      </c>
      <c r="U2166">
        <v>-0.19750000000000001</v>
      </c>
      <c r="V2166">
        <v>1.2999999999999999E-3</v>
      </c>
      <c r="W2166">
        <v>-3.0295999999999998</v>
      </c>
      <c r="X2166">
        <v>3.3611</v>
      </c>
      <c r="Y2166">
        <v>-0.39450000000000002</v>
      </c>
      <c r="Z2166">
        <v>14</v>
      </c>
      <c r="AA2166">
        <v>23.8</v>
      </c>
      <c r="AB2166">
        <v>18</v>
      </c>
      <c r="AC2166">
        <v>24.3</v>
      </c>
      <c r="AD2166">
        <v>0</v>
      </c>
      <c r="AE2166">
        <v>0</v>
      </c>
      <c r="AF2166">
        <v>23.090800000000002</v>
      </c>
      <c r="AG2166">
        <v>50</v>
      </c>
      <c r="AH2166">
        <v>0</v>
      </c>
    </row>
    <row r="2167" spans="1:34" x14ac:dyDescent="0.35">
      <c r="A2167" t="s">
        <v>34</v>
      </c>
      <c r="B2167" s="1">
        <v>46146.65625</v>
      </c>
      <c r="C2167" t="s">
        <v>34</v>
      </c>
      <c r="D2167" s="1">
        <v>46156.625</v>
      </c>
      <c r="E2167">
        <v>7030</v>
      </c>
      <c r="F2167" t="s">
        <v>36</v>
      </c>
      <c r="G2167">
        <v>18.399999999999999</v>
      </c>
      <c r="H2167">
        <v>29.34</v>
      </c>
      <c r="I2167">
        <v>16.45</v>
      </c>
      <c r="J2167">
        <v>26.47</v>
      </c>
      <c r="K2167">
        <v>20</v>
      </c>
      <c r="L2167">
        <v>15</v>
      </c>
      <c r="M2167">
        <v>24.7</v>
      </c>
      <c r="N2167">
        <v>4</v>
      </c>
      <c r="O2167">
        <v>25</v>
      </c>
      <c r="P2167">
        <v>0</v>
      </c>
      <c r="Q2167">
        <v>0</v>
      </c>
      <c r="R2167">
        <v>0</v>
      </c>
      <c r="S2167">
        <v>0</v>
      </c>
      <c r="T2167">
        <v>0.18190000000000001</v>
      </c>
      <c r="U2167">
        <v>-0.20300000000000001</v>
      </c>
      <c r="V2167">
        <v>1.2999999999999999E-3</v>
      </c>
      <c r="W2167">
        <v>-3.0684</v>
      </c>
      <c r="X2167">
        <v>3.4142000000000001</v>
      </c>
      <c r="Y2167">
        <v>-0.40550000000000003</v>
      </c>
      <c r="Z2167">
        <v>14</v>
      </c>
      <c r="AA2167">
        <v>24.6</v>
      </c>
      <c r="AB2167">
        <v>14</v>
      </c>
      <c r="AC2167">
        <v>25</v>
      </c>
      <c r="AD2167">
        <v>0</v>
      </c>
      <c r="AE2167">
        <v>0</v>
      </c>
      <c r="AF2167">
        <v>23.5335</v>
      </c>
      <c r="AG2167">
        <v>64</v>
      </c>
      <c r="AH2167">
        <v>0</v>
      </c>
    </row>
    <row r="2168" spans="1:34" x14ac:dyDescent="0.35">
      <c r="A2168" t="s">
        <v>34</v>
      </c>
      <c r="B2168" s="1">
        <v>46146.65625</v>
      </c>
      <c r="C2168" t="s">
        <v>34</v>
      </c>
      <c r="D2168" s="1">
        <v>46156.625</v>
      </c>
      <c r="E2168">
        <v>7035</v>
      </c>
      <c r="F2168" t="s">
        <v>36</v>
      </c>
      <c r="G2168">
        <v>17.739999999999998</v>
      </c>
      <c r="H2168">
        <v>31.6</v>
      </c>
      <c r="I2168">
        <v>17.739999999999998</v>
      </c>
      <c r="J2168">
        <v>31.6</v>
      </c>
      <c r="K2168">
        <v>4</v>
      </c>
      <c r="L2168">
        <v>15</v>
      </c>
      <c r="M2168">
        <v>25.4</v>
      </c>
      <c r="N2168">
        <v>1</v>
      </c>
      <c r="O2168">
        <v>25.7</v>
      </c>
      <c r="P2168">
        <v>0</v>
      </c>
      <c r="Q2168">
        <v>0</v>
      </c>
      <c r="R2168">
        <v>0</v>
      </c>
      <c r="S2168">
        <v>0</v>
      </c>
      <c r="T2168">
        <v>0.18099999999999999</v>
      </c>
      <c r="U2168">
        <v>-0.20849999999999999</v>
      </c>
      <c r="V2168">
        <v>1.2999999999999999E-3</v>
      </c>
      <c r="W2168">
        <v>-3.1048</v>
      </c>
      <c r="X2168">
        <v>3.4668000000000001</v>
      </c>
      <c r="Y2168">
        <v>-0.41649999999999998</v>
      </c>
      <c r="Z2168">
        <v>14</v>
      </c>
      <c r="AA2168">
        <v>25.3</v>
      </c>
      <c r="AB2168">
        <v>3</v>
      </c>
      <c r="AC2168">
        <v>25.7</v>
      </c>
      <c r="AD2168">
        <v>0</v>
      </c>
      <c r="AE2168">
        <v>0</v>
      </c>
      <c r="AF2168">
        <v>21.204999999999998</v>
      </c>
      <c r="AG2168">
        <v>26</v>
      </c>
      <c r="AH2168">
        <v>0</v>
      </c>
    </row>
    <row r="2169" spans="1:34" x14ac:dyDescent="0.35">
      <c r="A2169" t="s">
        <v>34</v>
      </c>
      <c r="B2169" s="1">
        <v>46146.65625</v>
      </c>
      <c r="C2169" t="s">
        <v>34</v>
      </c>
      <c r="D2169" s="1">
        <v>46156.625</v>
      </c>
      <c r="E2169">
        <v>7040</v>
      </c>
      <c r="F2169" t="s">
        <v>36</v>
      </c>
      <c r="G2169">
        <v>17.45</v>
      </c>
      <c r="H2169">
        <v>35.4</v>
      </c>
      <c r="I2169">
        <v>17.45</v>
      </c>
      <c r="J2169">
        <v>28.05</v>
      </c>
      <c r="K2169">
        <v>273</v>
      </c>
      <c r="L2169">
        <v>14</v>
      </c>
      <c r="M2169">
        <v>26.2</v>
      </c>
      <c r="N2169">
        <v>4</v>
      </c>
      <c r="O2169">
        <v>26.5</v>
      </c>
      <c r="P2169">
        <v>0</v>
      </c>
      <c r="Q2169">
        <v>0</v>
      </c>
      <c r="R2169">
        <v>0</v>
      </c>
      <c r="S2169">
        <v>0</v>
      </c>
      <c r="T2169">
        <v>0.18</v>
      </c>
      <c r="U2169">
        <v>-0.21410000000000001</v>
      </c>
      <c r="V2169">
        <v>1.4E-3</v>
      </c>
      <c r="W2169">
        <v>-3.1389</v>
      </c>
      <c r="X2169">
        <v>3.5190000000000001</v>
      </c>
      <c r="Y2169">
        <v>-0.42759999999999998</v>
      </c>
      <c r="Z2169">
        <v>19</v>
      </c>
      <c r="AA2169">
        <v>26.1</v>
      </c>
      <c r="AB2169">
        <v>19</v>
      </c>
      <c r="AC2169">
        <v>26.5</v>
      </c>
      <c r="AD2169">
        <v>0</v>
      </c>
      <c r="AE2169">
        <v>0</v>
      </c>
      <c r="AF2169">
        <v>33.585900000000002</v>
      </c>
      <c r="AG2169">
        <v>42</v>
      </c>
      <c r="AH2169">
        <v>0</v>
      </c>
    </row>
    <row r="2170" spans="1:34" x14ac:dyDescent="0.35">
      <c r="A2170" t="s">
        <v>34</v>
      </c>
      <c r="B2170" s="1">
        <v>46146.65625</v>
      </c>
      <c r="C2170" t="s">
        <v>34</v>
      </c>
      <c r="D2170" s="1">
        <v>46156.625</v>
      </c>
      <c r="E2170">
        <v>7045</v>
      </c>
      <c r="F2170" t="s">
        <v>36</v>
      </c>
      <c r="G2170">
        <v>22.19</v>
      </c>
      <c r="H2170">
        <v>30.81</v>
      </c>
      <c r="I2170">
        <v>21.15</v>
      </c>
      <c r="J2170">
        <v>27.22</v>
      </c>
      <c r="K2170">
        <v>24</v>
      </c>
      <c r="L2170">
        <v>14</v>
      </c>
      <c r="M2170">
        <v>27</v>
      </c>
      <c r="N2170">
        <v>4</v>
      </c>
      <c r="O2170">
        <v>27.3</v>
      </c>
      <c r="P2170">
        <v>0</v>
      </c>
      <c r="Q2170">
        <v>0</v>
      </c>
      <c r="R2170">
        <v>0</v>
      </c>
      <c r="S2170">
        <v>0</v>
      </c>
      <c r="T2170">
        <v>0.17910000000000001</v>
      </c>
      <c r="U2170">
        <v>-0.22</v>
      </c>
      <c r="V2170">
        <v>1.4E-3</v>
      </c>
      <c r="W2170">
        <v>-3.1745999999999999</v>
      </c>
      <c r="X2170">
        <v>3.5724999999999998</v>
      </c>
      <c r="Y2170">
        <v>-0.43940000000000001</v>
      </c>
      <c r="Z2170">
        <v>14</v>
      </c>
      <c r="AA2170">
        <v>26.9</v>
      </c>
      <c r="AB2170">
        <v>14</v>
      </c>
      <c r="AC2170">
        <v>27.3</v>
      </c>
      <c r="AD2170">
        <v>0</v>
      </c>
      <c r="AE2170">
        <v>0</v>
      </c>
      <c r="AF2170">
        <v>27.873799999999999</v>
      </c>
      <c r="AG2170">
        <v>169</v>
      </c>
      <c r="AH2170">
        <v>0</v>
      </c>
    </row>
    <row r="2171" spans="1:34" x14ac:dyDescent="0.35">
      <c r="A2171" t="s">
        <v>34</v>
      </c>
      <c r="B2171" s="1">
        <v>46146.65625</v>
      </c>
      <c r="C2171" t="s">
        <v>34</v>
      </c>
      <c r="D2171" s="1">
        <v>46156.625</v>
      </c>
      <c r="E2171">
        <v>7050</v>
      </c>
      <c r="F2171" t="s">
        <v>36</v>
      </c>
      <c r="G2171">
        <v>21.5</v>
      </c>
      <c r="H2171">
        <v>34</v>
      </c>
      <c r="I2171">
        <v>18.350000000000001</v>
      </c>
      <c r="J2171">
        <v>27.9</v>
      </c>
      <c r="K2171">
        <v>328</v>
      </c>
      <c r="L2171">
        <v>25</v>
      </c>
      <c r="M2171">
        <v>27.8</v>
      </c>
      <c r="N2171">
        <v>4</v>
      </c>
      <c r="O2171">
        <v>28.1</v>
      </c>
      <c r="P2171">
        <v>0</v>
      </c>
      <c r="Q2171">
        <v>0</v>
      </c>
      <c r="R2171">
        <v>0</v>
      </c>
      <c r="S2171">
        <v>0</v>
      </c>
      <c r="T2171">
        <v>0.17810000000000001</v>
      </c>
      <c r="U2171">
        <v>-0.22589999999999999</v>
      </c>
      <c r="V2171">
        <v>1.4E-3</v>
      </c>
      <c r="W2171">
        <v>-3.2078000000000002</v>
      </c>
      <c r="X2171">
        <v>3.6255000000000002</v>
      </c>
      <c r="Y2171">
        <v>-0.45129999999999998</v>
      </c>
      <c r="Z2171">
        <v>18</v>
      </c>
      <c r="AA2171">
        <v>27.7</v>
      </c>
      <c r="AB2171">
        <v>18</v>
      </c>
      <c r="AC2171">
        <v>28.1</v>
      </c>
      <c r="AD2171">
        <v>0</v>
      </c>
      <c r="AE2171">
        <v>0</v>
      </c>
      <c r="AF2171">
        <v>29.847899999999999</v>
      </c>
      <c r="AG2171">
        <v>421</v>
      </c>
      <c r="AH2171">
        <v>0</v>
      </c>
    </row>
    <row r="2172" spans="1:34" x14ac:dyDescent="0.35">
      <c r="A2172" t="s">
        <v>34</v>
      </c>
      <c r="B2172" s="1">
        <v>46146.65625</v>
      </c>
      <c r="C2172" t="s">
        <v>34</v>
      </c>
      <c r="D2172" s="1">
        <v>46156.625</v>
      </c>
      <c r="E2172">
        <v>7055</v>
      </c>
      <c r="F2172" t="s">
        <v>36</v>
      </c>
      <c r="G2172">
        <v>24.06</v>
      </c>
      <c r="H2172">
        <v>30.97</v>
      </c>
      <c r="I2172">
        <v>24.06</v>
      </c>
      <c r="J2172">
        <v>30.97</v>
      </c>
      <c r="K2172">
        <v>3</v>
      </c>
      <c r="L2172">
        <v>14</v>
      </c>
      <c r="M2172">
        <v>28.6</v>
      </c>
      <c r="N2172">
        <v>22</v>
      </c>
      <c r="O2172">
        <v>29</v>
      </c>
      <c r="P2172">
        <v>0</v>
      </c>
      <c r="Q2172">
        <v>0</v>
      </c>
      <c r="R2172">
        <v>0</v>
      </c>
      <c r="S2172">
        <v>0</v>
      </c>
      <c r="T2172">
        <v>0.1772</v>
      </c>
      <c r="U2172">
        <v>-0.23200000000000001</v>
      </c>
      <c r="V2172">
        <v>1.4E-3</v>
      </c>
      <c r="W2172">
        <v>-3.2423999999999999</v>
      </c>
      <c r="X2172">
        <v>3.6789999999999998</v>
      </c>
      <c r="Y2172">
        <v>-0.46389999999999998</v>
      </c>
      <c r="Z2172">
        <v>13</v>
      </c>
      <c r="AA2172">
        <v>28.5</v>
      </c>
      <c r="AB2172">
        <v>13</v>
      </c>
      <c r="AC2172">
        <v>29</v>
      </c>
      <c r="AD2172">
        <v>0</v>
      </c>
      <c r="AE2172">
        <v>0</v>
      </c>
      <c r="AF2172">
        <v>28.5</v>
      </c>
      <c r="AG2172">
        <v>11</v>
      </c>
      <c r="AH2172">
        <v>0</v>
      </c>
    </row>
    <row r="2173" spans="1:34" x14ac:dyDescent="0.35">
      <c r="A2173" t="s">
        <v>34</v>
      </c>
      <c r="B2173" s="1">
        <v>46146.65625</v>
      </c>
      <c r="C2173" t="s">
        <v>34</v>
      </c>
      <c r="D2173" s="1">
        <v>46156.625</v>
      </c>
      <c r="E2173">
        <v>7060</v>
      </c>
      <c r="F2173" t="s">
        <v>36</v>
      </c>
      <c r="G2173">
        <v>24.24</v>
      </c>
      <c r="H2173">
        <v>35.299999999999997</v>
      </c>
      <c r="I2173">
        <v>23.21</v>
      </c>
      <c r="J2173">
        <v>33.520000000000003</v>
      </c>
      <c r="K2173">
        <v>7</v>
      </c>
      <c r="L2173">
        <v>14</v>
      </c>
      <c r="M2173">
        <v>29.5</v>
      </c>
      <c r="N2173">
        <v>4</v>
      </c>
      <c r="O2173">
        <v>29.8</v>
      </c>
      <c r="P2173">
        <v>0</v>
      </c>
      <c r="Q2173">
        <v>0</v>
      </c>
      <c r="R2173">
        <v>0</v>
      </c>
      <c r="S2173">
        <v>0</v>
      </c>
      <c r="T2173">
        <v>0.1762</v>
      </c>
      <c r="U2173">
        <v>-0.2382</v>
      </c>
      <c r="V2173">
        <v>1.5E-3</v>
      </c>
      <c r="W2173">
        <v>-3.2742</v>
      </c>
      <c r="X2173">
        <v>3.7313999999999998</v>
      </c>
      <c r="Y2173">
        <v>-0.47660000000000002</v>
      </c>
      <c r="Z2173">
        <v>13</v>
      </c>
      <c r="AA2173">
        <v>29.4</v>
      </c>
      <c r="AB2173">
        <v>13</v>
      </c>
      <c r="AC2173">
        <v>29.9</v>
      </c>
      <c r="AD2173">
        <v>0</v>
      </c>
      <c r="AE2173">
        <v>0</v>
      </c>
      <c r="AF2173">
        <v>30.618600000000001</v>
      </c>
      <c r="AG2173">
        <v>283</v>
      </c>
      <c r="AH2173">
        <v>0</v>
      </c>
    </row>
    <row r="2174" spans="1:34" x14ac:dyDescent="0.35">
      <c r="A2174" t="s">
        <v>34</v>
      </c>
      <c r="B2174" s="1">
        <v>46146.65625</v>
      </c>
      <c r="C2174" t="s">
        <v>34</v>
      </c>
      <c r="D2174" s="1">
        <v>46156.625</v>
      </c>
      <c r="E2174">
        <v>7065</v>
      </c>
      <c r="F2174" t="s">
        <v>36</v>
      </c>
      <c r="G2174">
        <v>23.02</v>
      </c>
      <c r="H2174">
        <v>35.53</v>
      </c>
      <c r="I2174">
        <v>21.35</v>
      </c>
      <c r="J2174">
        <v>35.53</v>
      </c>
      <c r="K2174">
        <v>15</v>
      </c>
      <c r="L2174">
        <v>14</v>
      </c>
      <c r="M2174">
        <v>30.4</v>
      </c>
      <c r="N2174">
        <v>4</v>
      </c>
      <c r="O2174">
        <v>30.7</v>
      </c>
      <c r="P2174">
        <v>0</v>
      </c>
      <c r="Q2174">
        <v>0</v>
      </c>
      <c r="R2174">
        <v>0</v>
      </c>
      <c r="S2174">
        <v>0</v>
      </c>
      <c r="T2174">
        <v>0.17519999999999999</v>
      </c>
      <c r="U2174">
        <v>-0.24460000000000001</v>
      </c>
      <c r="V2174">
        <v>1.5E-3</v>
      </c>
      <c r="W2174">
        <v>-3.3069999999999999</v>
      </c>
      <c r="X2174">
        <v>3.7835999999999999</v>
      </c>
      <c r="Y2174">
        <v>-0.48959999999999998</v>
      </c>
      <c r="Z2174">
        <v>13</v>
      </c>
      <c r="AA2174">
        <v>30.3</v>
      </c>
      <c r="AB2174">
        <v>1</v>
      </c>
      <c r="AC2174">
        <v>30.7</v>
      </c>
      <c r="AD2174">
        <v>0</v>
      </c>
      <c r="AE2174">
        <v>0</v>
      </c>
      <c r="AF2174">
        <v>27.968699999999998</v>
      </c>
      <c r="AG2174">
        <v>9</v>
      </c>
      <c r="AH2174">
        <v>0</v>
      </c>
    </row>
    <row r="2175" spans="1:34" x14ac:dyDescent="0.35">
      <c r="A2175" t="s">
        <v>34</v>
      </c>
      <c r="B2175" s="1">
        <v>46146.65625</v>
      </c>
      <c r="C2175" t="s">
        <v>34</v>
      </c>
      <c r="D2175" s="1">
        <v>46156.625</v>
      </c>
      <c r="E2175">
        <v>7070</v>
      </c>
      <c r="F2175" t="s">
        <v>36</v>
      </c>
      <c r="G2175">
        <v>22.17</v>
      </c>
      <c r="H2175">
        <v>40.020000000000003</v>
      </c>
      <c r="I2175">
        <v>20.9</v>
      </c>
      <c r="J2175">
        <v>30.44</v>
      </c>
      <c r="K2175">
        <v>52</v>
      </c>
      <c r="L2175">
        <v>13</v>
      </c>
      <c r="M2175">
        <v>31.3</v>
      </c>
      <c r="N2175">
        <v>4</v>
      </c>
      <c r="O2175">
        <v>31.6</v>
      </c>
      <c r="P2175">
        <v>0</v>
      </c>
      <c r="Q2175">
        <v>0</v>
      </c>
      <c r="R2175">
        <v>0</v>
      </c>
      <c r="S2175">
        <v>0</v>
      </c>
      <c r="T2175">
        <v>0.17419999999999999</v>
      </c>
      <c r="U2175">
        <v>-0.25109999999999999</v>
      </c>
      <c r="V2175">
        <v>1.5E-3</v>
      </c>
      <c r="W2175">
        <v>-3.3370000000000002</v>
      </c>
      <c r="X2175">
        <v>3.8344</v>
      </c>
      <c r="Y2175">
        <v>-0.50270000000000004</v>
      </c>
      <c r="Z2175">
        <v>18</v>
      </c>
      <c r="AA2175">
        <v>31.2</v>
      </c>
      <c r="AB2175">
        <v>18</v>
      </c>
      <c r="AC2175">
        <v>31.7</v>
      </c>
      <c r="AD2175">
        <v>0</v>
      </c>
      <c r="AE2175">
        <v>0</v>
      </c>
      <c r="AF2175">
        <v>26.801300000000001</v>
      </c>
      <c r="AG2175">
        <v>45</v>
      </c>
      <c r="AH2175">
        <v>0</v>
      </c>
    </row>
    <row r="2176" spans="1:34" x14ac:dyDescent="0.35">
      <c r="A2176" t="s">
        <v>34</v>
      </c>
      <c r="B2176" s="1">
        <v>46146.65625</v>
      </c>
      <c r="C2176" t="s">
        <v>34</v>
      </c>
      <c r="D2176" s="1">
        <v>46156.625</v>
      </c>
      <c r="E2176">
        <v>7075</v>
      </c>
      <c r="F2176" t="s">
        <v>36</v>
      </c>
      <c r="G2176">
        <v>27.22</v>
      </c>
      <c r="H2176">
        <v>38.94</v>
      </c>
      <c r="I2176">
        <v>20.98</v>
      </c>
      <c r="J2176">
        <v>31.91</v>
      </c>
      <c r="K2176">
        <v>41</v>
      </c>
      <c r="L2176">
        <v>13</v>
      </c>
      <c r="M2176">
        <v>32.200000000000003</v>
      </c>
      <c r="N2176">
        <v>17</v>
      </c>
      <c r="O2176">
        <v>32.6</v>
      </c>
      <c r="P2176">
        <v>0</v>
      </c>
      <c r="Q2176">
        <v>0</v>
      </c>
      <c r="R2176">
        <v>0</v>
      </c>
      <c r="S2176">
        <v>0</v>
      </c>
      <c r="T2176">
        <v>0.17330000000000001</v>
      </c>
      <c r="U2176">
        <v>-0.25790000000000002</v>
      </c>
      <c r="V2176">
        <v>1.6000000000000001E-3</v>
      </c>
      <c r="W2176">
        <v>-3.3675999999999999</v>
      </c>
      <c r="X2176">
        <v>3.8852000000000002</v>
      </c>
      <c r="Y2176">
        <v>-0.51619999999999999</v>
      </c>
      <c r="Z2176">
        <v>13</v>
      </c>
      <c r="AA2176">
        <v>32.200000000000003</v>
      </c>
      <c r="AB2176">
        <v>11</v>
      </c>
      <c r="AC2176">
        <v>32.6</v>
      </c>
      <c r="AD2176">
        <v>0</v>
      </c>
      <c r="AE2176">
        <v>0</v>
      </c>
      <c r="AF2176">
        <v>28.519300000000001</v>
      </c>
      <c r="AG2176">
        <v>60</v>
      </c>
      <c r="AH2176">
        <v>0</v>
      </c>
    </row>
    <row r="2177" spans="1:34" x14ac:dyDescent="0.35">
      <c r="A2177" t="s">
        <v>34</v>
      </c>
      <c r="B2177" s="1">
        <v>46146.65625</v>
      </c>
      <c r="C2177" t="s">
        <v>34</v>
      </c>
      <c r="D2177" s="1">
        <v>46156.625</v>
      </c>
      <c r="E2177">
        <v>7080</v>
      </c>
      <c r="F2177" t="s">
        <v>36</v>
      </c>
      <c r="G2177">
        <v>27.39</v>
      </c>
      <c r="H2177">
        <v>39.270000000000003</v>
      </c>
      <c r="I2177">
        <v>27.39</v>
      </c>
      <c r="J2177">
        <v>39.270000000000003</v>
      </c>
      <c r="K2177">
        <v>24</v>
      </c>
      <c r="L2177">
        <v>13</v>
      </c>
      <c r="M2177">
        <v>33.200000000000003</v>
      </c>
      <c r="N2177">
        <v>1</v>
      </c>
      <c r="O2177">
        <v>33.5</v>
      </c>
      <c r="P2177">
        <v>0</v>
      </c>
      <c r="Q2177">
        <v>0</v>
      </c>
      <c r="R2177">
        <v>0</v>
      </c>
      <c r="S2177">
        <v>0</v>
      </c>
      <c r="T2177">
        <v>0.17230000000000001</v>
      </c>
      <c r="U2177">
        <v>-0.2646</v>
      </c>
      <c r="V2177">
        <v>1.6000000000000001E-3</v>
      </c>
      <c r="W2177">
        <v>-3.3956</v>
      </c>
      <c r="X2177">
        <v>3.9348999999999998</v>
      </c>
      <c r="Y2177">
        <v>-0.52969999999999995</v>
      </c>
      <c r="Z2177">
        <v>13</v>
      </c>
      <c r="AA2177">
        <v>33.200000000000003</v>
      </c>
      <c r="AB2177">
        <v>11</v>
      </c>
      <c r="AC2177">
        <v>33.6</v>
      </c>
      <c r="AD2177">
        <v>0</v>
      </c>
      <c r="AE2177">
        <v>0</v>
      </c>
      <c r="AF2177">
        <v>37.933300000000003</v>
      </c>
      <c r="AG2177">
        <v>77</v>
      </c>
      <c r="AH2177">
        <v>0</v>
      </c>
    </row>
    <row r="2178" spans="1:34" x14ac:dyDescent="0.35">
      <c r="A2178" t="s">
        <v>34</v>
      </c>
      <c r="B2178" s="1">
        <v>46146.65625</v>
      </c>
      <c r="C2178" t="s">
        <v>34</v>
      </c>
      <c r="D2178" s="1">
        <v>46156.625</v>
      </c>
      <c r="E2178">
        <v>7085</v>
      </c>
      <c r="F2178" t="s">
        <v>36</v>
      </c>
      <c r="G2178">
        <v>23.23</v>
      </c>
      <c r="H2178">
        <v>23.23</v>
      </c>
      <c r="I2178">
        <v>23.23</v>
      </c>
      <c r="J2178">
        <v>23.23</v>
      </c>
      <c r="K2178">
        <v>2</v>
      </c>
      <c r="L2178">
        <v>13</v>
      </c>
      <c r="M2178">
        <v>34.200000000000003</v>
      </c>
      <c r="N2178">
        <v>1</v>
      </c>
      <c r="O2178">
        <v>34.5</v>
      </c>
      <c r="P2178">
        <v>0</v>
      </c>
      <c r="Q2178">
        <v>0</v>
      </c>
      <c r="R2178">
        <v>0</v>
      </c>
      <c r="S2178">
        <v>0</v>
      </c>
      <c r="T2178">
        <v>0.17130000000000001</v>
      </c>
      <c r="U2178">
        <v>-0.2717</v>
      </c>
      <c r="V2178">
        <v>1.6000000000000001E-3</v>
      </c>
      <c r="W2178">
        <v>-3.4239000000000002</v>
      </c>
      <c r="X2178">
        <v>3.9849999999999999</v>
      </c>
      <c r="Y2178">
        <v>-0.54379999999999995</v>
      </c>
      <c r="Z2178">
        <v>12</v>
      </c>
      <c r="AA2178">
        <v>34.200000000000003</v>
      </c>
      <c r="AB2178">
        <v>11</v>
      </c>
      <c r="AC2178">
        <v>34.6</v>
      </c>
      <c r="AD2178">
        <v>0</v>
      </c>
      <c r="AE2178">
        <v>0</v>
      </c>
      <c r="AF2178">
        <v>23.23</v>
      </c>
      <c r="AG2178">
        <v>140</v>
      </c>
      <c r="AH2178">
        <v>0</v>
      </c>
    </row>
    <row r="2179" spans="1:34" x14ac:dyDescent="0.35">
      <c r="A2179" t="s">
        <v>34</v>
      </c>
      <c r="B2179" s="1">
        <v>46146.65625</v>
      </c>
      <c r="C2179" t="s">
        <v>34</v>
      </c>
      <c r="D2179" s="1">
        <v>46156.625</v>
      </c>
      <c r="E2179">
        <v>7090</v>
      </c>
      <c r="F2179" t="s">
        <v>36</v>
      </c>
      <c r="G2179">
        <v>27.49</v>
      </c>
      <c r="H2179">
        <v>38.64</v>
      </c>
      <c r="I2179">
        <v>27.33</v>
      </c>
      <c r="J2179">
        <v>35.700000000000003</v>
      </c>
      <c r="K2179">
        <v>29</v>
      </c>
      <c r="L2179">
        <v>12</v>
      </c>
      <c r="M2179">
        <v>35.200000000000003</v>
      </c>
      <c r="N2179">
        <v>20</v>
      </c>
      <c r="O2179">
        <v>35.6</v>
      </c>
      <c r="P2179">
        <v>0</v>
      </c>
      <c r="Q2179">
        <v>0</v>
      </c>
      <c r="R2179">
        <v>0</v>
      </c>
      <c r="S2179">
        <v>0</v>
      </c>
      <c r="T2179">
        <v>0.17019999999999999</v>
      </c>
      <c r="U2179">
        <v>-0.27879999999999999</v>
      </c>
      <c r="V2179">
        <v>1.6999999999999999E-3</v>
      </c>
      <c r="W2179">
        <v>-3.4489999999999998</v>
      </c>
      <c r="X2179">
        <v>4.0343</v>
      </c>
      <c r="Y2179">
        <v>-0.55810000000000004</v>
      </c>
      <c r="Z2179">
        <v>13</v>
      </c>
      <c r="AA2179">
        <v>35.200000000000003</v>
      </c>
      <c r="AB2179">
        <v>13</v>
      </c>
      <c r="AC2179">
        <v>35.700000000000003</v>
      </c>
      <c r="AD2179">
        <v>0</v>
      </c>
      <c r="AE2179">
        <v>0</v>
      </c>
      <c r="AF2179">
        <v>33.109000000000002</v>
      </c>
      <c r="AG2179">
        <v>39</v>
      </c>
      <c r="AH2179">
        <v>0</v>
      </c>
    </row>
    <row r="2180" spans="1:34" x14ac:dyDescent="0.35">
      <c r="A2180" t="s">
        <v>34</v>
      </c>
      <c r="B2180" s="1">
        <v>46146.65625</v>
      </c>
      <c r="C2180" t="s">
        <v>34</v>
      </c>
      <c r="D2180" s="1">
        <v>46156.625</v>
      </c>
      <c r="E2180">
        <v>7095</v>
      </c>
      <c r="F2180" t="s">
        <v>36</v>
      </c>
      <c r="G2180">
        <v>43.64</v>
      </c>
      <c r="H2180">
        <v>43.64</v>
      </c>
      <c r="I2180">
        <v>37.75</v>
      </c>
      <c r="J2180">
        <v>37.75</v>
      </c>
      <c r="K2180">
        <v>11</v>
      </c>
      <c r="L2180">
        <v>12</v>
      </c>
      <c r="M2180">
        <v>36.299999999999997</v>
      </c>
      <c r="N2180">
        <v>4</v>
      </c>
      <c r="O2180">
        <v>36.6</v>
      </c>
      <c r="P2180">
        <v>0</v>
      </c>
      <c r="Q2180">
        <v>0</v>
      </c>
      <c r="R2180">
        <v>0</v>
      </c>
      <c r="S2180">
        <v>0</v>
      </c>
      <c r="T2180">
        <v>0.16930000000000001</v>
      </c>
      <c r="U2180">
        <v>-0.2863</v>
      </c>
      <c r="V2180">
        <v>1.6999999999999999E-3</v>
      </c>
      <c r="W2180">
        <v>-3.4773999999999998</v>
      </c>
      <c r="X2180">
        <v>4.0846</v>
      </c>
      <c r="Y2180">
        <v>-0.57340000000000002</v>
      </c>
      <c r="Z2180">
        <v>13</v>
      </c>
      <c r="AA2180">
        <v>36.299999999999997</v>
      </c>
      <c r="AB2180">
        <v>11</v>
      </c>
      <c r="AC2180">
        <v>36.700000000000003</v>
      </c>
      <c r="AD2180">
        <v>0</v>
      </c>
      <c r="AE2180">
        <v>0</v>
      </c>
      <c r="AF2180">
        <v>43.104500000000002</v>
      </c>
      <c r="AG2180">
        <v>25</v>
      </c>
      <c r="AH2180">
        <v>0</v>
      </c>
    </row>
    <row r="2181" spans="1:34" x14ac:dyDescent="0.35">
      <c r="A2181" t="s">
        <v>34</v>
      </c>
      <c r="B2181" s="1">
        <v>46146.65625</v>
      </c>
      <c r="C2181" t="s">
        <v>34</v>
      </c>
      <c r="D2181" s="1">
        <v>46156.625</v>
      </c>
      <c r="E2181">
        <v>7100</v>
      </c>
      <c r="F2181" t="s">
        <v>36</v>
      </c>
      <c r="G2181">
        <v>30.79</v>
      </c>
      <c r="H2181">
        <v>48.07</v>
      </c>
      <c r="I2181">
        <v>24.75</v>
      </c>
      <c r="J2181">
        <v>37.159999999999997</v>
      </c>
      <c r="K2181">
        <v>623</v>
      </c>
      <c r="L2181">
        <v>22</v>
      </c>
      <c r="M2181">
        <v>37.299999999999997</v>
      </c>
      <c r="N2181">
        <v>4</v>
      </c>
      <c r="O2181">
        <v>37.700000000000003</v>
      </c>
      <c r="P2181">
        <v>0</v>
      </c>
      <c r="Q2181">
        <v>0</v>
      </c>
      <c r="R2181">
        <v>0</v>
      </c>
      <c r="S2181">
        <v>0</v>
      </c>
      <c r="T2181">
        <v>0.16830000000000001</v>
      </c>
      <c r="U2181">
        <v>-0.29370000000000002</v>
      </c>
      <c r="V2181">
        <v>1.6999999999999999E-3</v>
      </c>
      <c r="W2181">
        <v>-3.4990999999999999</v>
      </c>
      <c r="X2181">
        <v>4.1325000000000003</v>
      </c>
      <c r="Y2181">
        <v>-0.58860000000000001</v>
      </c>
      <c r="Z2181">
        <v>18</v>
      </c>
      <c r="AA2181">
        <v>37.4</v>
      </c>
      <c r="AB2181">
        <v>16</v>
      </c>
      <c r="AC2181">
        <v>37.799999999999997</v>
      </c>
      <c r="AD2181">
        <v>0</v>
      </c>
      <c r="AE2181">
        <v>0</v>
      </c>
      <c r="AF2181">
        <v>36.185000000000002</v>
      </c>
      <c r="AG2181">
        <v>359</v>
      </c>
      <c r="AH2181">
        <v>0</v>
      </c>
    </row>
    <row r="2182" spans="1:34" x14ac:dyDescent="0.35">
      <c r="A2182" t="s">
        <v>34</v>
      </c>
      <c r="B2182" s="1">
        <v>46146.65625</v>
      </c>
      <c r="C2182" t="s">
        <v>34</v>
      </c>
      <c r="D2182" s="1">
        <v>46156.625</v>
      </c>
      <c r="E2182">
        <v>7105</v>
      </c>
      <c r="F2182" t="s">
        <v>36</v>
      </c>
      <c r="G2182">
        <v>40.53</v>
      </c>
      <c r="H2182">
        <v>40.53</v>
      </c>
      <c r="I2182">
        <v>36.92</v>
      </c>
      <c r="J2182">
        <v>38.08</v>
      </c>
      <c r="K2182">
        <v>9</v>
      </c>
      <c r="L2182">
        <v>12</v>
      </c>
      <c r="M2182">
        <v>38.5</v>
      </c>
      <c r="N2182">
        <v>4</v>
      </c>
      <c r="O2182">
        <v>38.799999999999997</v>
      </c>
      <c r="P2182">
        <v>0</v>
      </c>
      <c r="Q2182">
        <v>0</v>
      </c>
      <c r="R2182">
        <v>0</v>
      </c>
      <c r="S2182">
        <v>0</v>
      </c>
      <c r="T2182">
        <v>0.1673</v>
      </c>
      <c r="U2182">
        <v>-0.3014</v>
      </c>
      <c r="V2182">
        <v>1.6999999999999999E-3</v>
      </c>
      <c r="W2182">
        <v>-3.524</v>
      </c>
      <c r="X2182">
        <v>4.1802000000000001</v>
      </c>
      <c r="Y2182">
        <v>-0.60450000000000004</v>
      </c>
      <c r="Z2182">
        <v>12</v>
      </c>
      <c r="AA2182">
        <v>38.5</v>
      </c>
      <c r="AB2182">
        <v>10</v>
      </c>
      <c r="AC2182">
        <v>39</v>
      </c>
      <c r="AD2182">
        <v>0</v>
      </c>
      <c r="AE2182">
        <v>0</v>
      </c>
      <c r="AF2182">
        <v>38.223300000000002</v>
      </c>
      <c r="AG2182">
        <v>9</v>
      </c>
      <c r="AH2182">
        <v>0</v>
      </c>
    </row>
    <row r="2183" spans="1:34" x14ac:dyDescent="0.35">
      <c r="A2183" t="s">
        <v>34</v>
      </c>
      <c r="B2183" s="1">
        <v>46146.65625</v>
      </c>
      <c r="C2183" t="s">
        <v>34</v>
      </c>
      <c r="D2183" s="1">
        <v>46156.625</v>
      </c>
      <c r="E2183">
        <v>7110</v>
      </c>
      <c r="F2183" t="s">
        <v>36</v>
      </c>
      <c r="G2183">
        <v>26.35</v>
      </c>
      <c r="H2183">
        <v>45.08</v>
      </c>
      <c r="I2183">
        <v>26.05</v>
      </c>
      <c r="J2183">
        <v>39.33</v>
      </c>
      <c r="K2183">
        <v>59</v>
      </c>
      <c r="L2183">
        <v>12</v>
      </c>
      <c r="M2183">
        <v>39.6</v>
      </c>
      <c r="N2183">
        <v>26</v>
      </c>
      <c r="O2183">
        <v>40</v>
      </c>
      <c r="P2183">
        <v>0</v>
      </c>
      <c r="Q2183">
        <v>0</v>
      </c>
      <c r="R2183">
        <v>0</v>
      </c>
      <c r="S2183">
        <v>0</v>
      </c>
      <c r="T2183">
        <v>0.16619999999999999</v>
      </c>
      <c r="U2183">
        <v>-0.30919999999999997</v>
      </c>
      <c r="V2183">
        <v>1.8E-3</v>
      </c>
      <c r="W2183">
        <v>-3.5419999999999998</v>
      </c>
      <c r="X2183">
        <v>4.2252999999999998</v>
      </c>
      <c r="Y2183">
        <v>-0.62019999999999997</v>
      </c>
      <c r="Z2183">
        <v>6</v>
      </c>
      <c r="AA2183">
        <v>39.700000000000003</v>
      </c>
      <c r="AB2183">
        <v>15</v>
      </c>
      <c r="AC2183">
        <v>40.1</v>
      </c>
      <c r="AD2183">
        <v>0</v>
      </c>
      <c r="AE2183">
        <v>0</v>
      </c>
      <c r="AF2183">
        <v>40.1036</v>
      </c>
      <c r="AG2183">
        <v>78</v>
      </c>
      <c r="AH2183">
        <v>0</v>
      </c>
    </row>
    <row r="2184" spans="1:34" x14ac:dyDescent="0.35">
      <c r="A2184" t="s">
        <v>34</v>
      </c>
      <c r="B2184" s="1">
        <v>46146.65625</v>
      </c>
      <c r="C2184" t="s">
        <v>34</v>
      </c>
      <c r="D2184" s="1">
        <v>46156.625</v>
      </c>
      <c r="E2184">
        <v>7115</v>
      </c>
      <c r="F2184" t="s">
        <v>36</v>
      </c>
      <c r="G2184">
        <v>34.21</v>
      </c>
      <c r="H2184">
        <v>46.72</v>
      </c>
      <c r="I2184">
        <v>26.91</v>
      </c>
      <c r="J2184">
        <v>40.869999999999997</v>
      </c>
      <c r="K2184">
        <v>11</v>
      </c>
      <c r="L2184">
        <v>11</v>
      </c>
      <c r="M2184">
        <v>40.799999999999997</v>
      </c>
      <c r="N2184">
        <v>1</v>
      </c>
      <c r="O2184">
        <v>41.1</v>
      </c>
      <c r="P2184">
        <v>0</v>
      </c>
      <c r="Q2184">
        <v>0</v>
      </c>
      <c r="R2184">
        <v>0</v>
      </c>
      <c r="S2184">
        <v>0</v>
      </c>
      <c r="T2184">
        <v>0.16520000000000001</v>
      </c>
      <c r="U2184">
        <v>-0.31719999999999998</v>
      </c>
      <c r="V2184">
        <v>1.8E-3</v>
      </c>
      <c r="W2184">
        <v>-3.5628000000000002</v>
      </c>
      <c r="X2184">
        <v>4.2698</v>
      </c>
      <c r="Y2184">
        <v>-0.63639999999999997</v>
      </c>
      <c r="Z2184">
        <v>12</v>
      </c>
      <c r="AA2184">
        <v>40.799999999999997</v>
      </c>
      <c r="AB2184">
        <v>10</v>
      </c>
      <c r="AC2184">
        <v>41.3</v>
      </c>
      <c r="AD2184">
        <v>0</v>
      </c>
      <c r="AE2184">
        <v>0</v>
      </c>
      <c r="AF2184">
        <v>33.125500000000002</v>
      </c>
      <c r="AG2184">
        <v>14</v>
      </c>
      <c r="AH2184">
        <v>0</v>
      </c>
    </row>
    <row r="2185" spans="1:34" x14ac:dyDescent="0.35">
      <c r="A2185" t="s">
        <v>34</v>
      </c>
      <c r="B2185" s="1">
        <v>46146.65625</v>
      </c>
      <c r="C2185" t="s">
        <v>34</v>
      </c>
      <c r="D2185" s="1">
        <v>46156.625</v>
      </c>
      <c r="E2185">
        <v>7120</v>
      </c>
      <c r="F2185" t="s">
        <v>36</v>
      </c>
      <c r="G2185">
        <v>30.39</v>
      </c>
      <c r="H2185">
        <v>49.91</v>
      </c>
      <c r="I2185">
        <v>28.05</v>
      </c>
      <c r="J2185">
        <v>41.87</v>
      </c>
      <c r="K2185">
        <v>50</v>
      </c>
      <c r="L2185">
        <v>11</v>
      </c>
      <c r="M2185">
        <v>42</v>
      </c>
      <c r="N2185">
        <v>14</v>
      </c>
      <c r="O2185">
        <v>42.4</v>
      </c>
      <c r="P2185">
        <v>0</v>
      </c>
      <c r="Q2185">
        <v>0</v>
      </c>
      <c r="R2185">
        <v>0</v>
      </c>
      <c r="S2185">
        <v>0</v>
      </c>
      <c r="T2185">
        <v>0.16420000000000001</v>
      </c>
      <c r="U2185">
        <v>-0.32540000000000002</v>
      </c>
      <c r="V2185">
        <v>1.8E-3</v>
      </c>
      <c r="W2185">
        <v>-3.5798999999999999</v>
      </c>
      <c r="X2185">
        <v>4.3128000000000002</v>
      </c>
      <c r="Y2185">
        <v>-0.65269999999999995</v>
      </c>
      <c r="Z2185">
        <v>12</v>
      </c>
      <c r="AA2185">
        <v>42.1</v>
      </c>
      <c r="AB2185">
        <v>9</v>
      </c>
      <c r="AC2185">
        <v>42.6</v>
      </c>
      <c r="AD2185">
        <v>0</v>
      </c>
      <c r="AE2185">
        <v>0</v>
      </c>
      <c r="AF2185">
        <v>41.753</v>
      </c>
      <c r="AG2185">
        <v>117</v>
      </c>
      <c r="AH2185">
        <v>0</v>
      </c>
    </row>
    <row r="2186" spans="1:34" x14ac:dyDescent="0.35">
      <c r="A2186" t="s">
        <v>34</v>
      </c>
      <c r="B2186" s="1">
        <v>46146.65625</v>
      </c>
      <c r="C2186" t="s">
        <v>34</v>
      </c>
      <c r="D2186" s="1">
        <v>46156.625</v>
      </c>
      <c r="E2186">
        <v>7125</v>
      </c>
      <c r="F2186" t="s">
        <v>36</v>
      </c>
      <c r="G2186">
        <v>37.229999999999997</v>
      </c>
      <c r="H2186">
        <v>48.9</v>
      </c>
      <c r="I2186">
        <v>28.76</v>
      </c>
      <c r="J2186">
        <v>42.87</v>
      </c>
      <c r="K2186">
        <v>50</v>
      </c>
      <c r="L2186">
        <v>21</v>
      </c>
      <c r="M2186">
        <v>43.2</v>
      </c>
      <c r="N2186">
        <v>14</v>
      </c>
      <c r="O2186">
        <v>43.6</v>
      </c>
      <c r="P2186">
        <v>0</v>
      </c>
      <c r="Q2186">
        <v>0</v>
      </c>
      <c r="R2186">
        <v>0</v>
      </c>
      <c r="S2186">
        <v>0</v>
      </c>
      <c r="T2186">
        <v>0.16300000000000001</v>
      </c>
      <c r="U2186">
        <v>-0.3337</v>
      </c>
      <c r="V2186">
        <v>1.9E-3</v>
      </c>
      <c r="W2186">
        <v>-3.5931000000000002</v>
      </c>
      <c r="X2186">
        <v>4.3544</v>
      </c>
      <c r="Y2186">
        <v>-0.66920000000000002</v>
      </c>
      <c r="Z2186">
        <v>17</v>
      </c>
      <c r="AA2186">
        <v>43.4</v>
      </c>
      <c r="AB2186">
        <v>9</v>
      </c>
      <c r="AC2186">
        <v>43.9</v>
      </c>
      <c r="AD2186">
        <v>0</v>
      </c>
      <c r="AE2186">
        <v>0</v>
      </c>
      <c r="AF2186">
        <v>38.067599999999999</v>
      </c>
      <c r="AG2186">
        <v>71</v>
      </c>
      <c r="AH2186">
        <v>0</v>
      </c>
    </row>
    <row r="2187" spans="1:34" x14ac:dyDescent="0.35">
      <c r="A2187" t="s">
        <v>34</v>
      </c>
      <c r="B2187" s="1">
        <v>46146.65625</v>
      </c>
      <c r="C2187" t="s">
        <v>34</v>
      </c>
      <c r="D2187" s="1">
        <v>46156.625</v>
      </c>
      <c r="E2187">
        <v>7130</v>
      </c>
      <c r="F2187" t="s">
        <v>36</v>
      </c>
      <c r="G2187">
        <v>38.26</v>
      </c>
      <c r="H2187">
        <v>49.21</v>
      </c>
      <c r="I2187">
        <v>30.08</v>
      </c>
      <c r="J2187">
        <v>43.36</v>
      </c>
      <c r="K2187">
        <v>22</v>
      </c>
      <c r="L2187">
        <v>11</v>
      </c>
      <c r="M2187">
        <v>44.5</v>
      </c>
      <c r="N2187">
        <v>14</v>
      </c>
      <c r="O2187">
        <v>44.9</v>
      </c>
      <c r="P2187">
        <v>0</v>
      </c>
      <c r="Q2187">
        <v>0</v>
      </c>
      <c r="R2187">
        <v>0</v>
      </c>
      <c r="S2187">
        <v>0</v>
      </c>
      <c r="T2187">
        <v>0.16209999999999999</v>
      </c>
      <c r="U2187">
        <v>-0.34229999999999999</v>
      </c>
      <c r="V2187">
        <v>1.9E-3</v>
      </c>
      <c r="W2187">
        <v>-3.6084999999999998</v>
      </c>
      <c r="X2187">
        <v>4.3958000000000004</v>
      </c>
      <c r="Y2187">
        <v>-0.68659999999999999</v>
      </c>
      <c r="Z2187">
        <v>26</v>
      </c>
      <c r="AA2187">
        <v>44.6</v>
      </c>
      <c r="AB2187">
        <v>1</v>
      </c>
      <c r="AC2187">
        <v>45.1</v>
      </c>
      <c r="AD2187">
        <v>0</v>
      </c>
      <c r="AE2187">
        <v>0</v>
      </c>
      <c r="AF2187">
        <v>42.209499999999998</v>
      </c>
      <c r="AG2187">
        <v>85</v>
      </c>
      <c r="AH2187">
        <v>0</v>
      </c>
    </row>
    <row r="2188" spans="1:34" x14ac:dyDescent="0.35">
      <c r="A2188" t="s">
        <v>34</v>
      </c>
      <c r="B2188" s="1">
        <v>46146.65625</v>
      </c>
      <c r="C2188" t="s">
        <v>34</v>
      </c>
      <c r="D2188" s="1">
        <v>46156.625</v>
      </c>
      <c r="E2188">
        <v>7135</v>
      </c>
      <c r="F2188" t="s">
        <v>36</v>
      </c>
      <c r="G2188">
        <v>50.01</v>
      </c>
      <c r="H2188">
        <v>50.01</v>
      </c>
      <c r="I2188">
        <v>43.21</v>
      </c>
      <c r="J2188">
        <v>43.21</v>
      </c>
      <c r="K2188">
        <v>4</v>
      </c>
      <c r="L2188">
        <v>10</v>
      </c>
      <c r="M2188">
        <v>45.8</v>
      </c>
      <c r="N2188">
        <v>3</v>
      </c>
      <c r="O2188">
        <v>46.2</v>
      </c>
      <c r="P2188">
        <v>0</v>
      </c>
      <c r="Q2188">
        <v>0</v>
      </c>
      <c r="R2188">
        <v>0</v>
      </c>
      <c r="S2188">
        <v>0</v>
      </c>
      <c r="T2188">
        <v>0.16109999999999999</v>
      </c>
      <c r="U2188">
        <v>-0.35099999999999998</v>
      </c>
      <c r="V2188">
        <v>1.9E-3</v>
      </c>
      <c r="W2188">
        <v>-3.6225999999999998</v>
      </c>
      <c r="X2188">
        <v>4.4359999999999999</v>
      </c>
      <c r="Y2188">
        <v>-0.7046</v>
      </c>
      <c r="Z2188">
        <v>11</v>
      </c>
      <c r="AA2188">
        <v>46</v>
      </c>
      <c r="AB2188">
        <v>9</v>
      </c>
      <c r="AC2188">
        <v>46.5</v>
      </c>
      <c r="AD2188">
        <v>0</v>
      </c>
      <c r="AE2188">
        <v>0</v>
      </c>
      <c r="AF2188">
        <v>46.37</v>
      </c>
      <c r="AG2188">
        <v>70</v>
      </c>
      <c r="AH2188">
        <v>0</v>
      </c>
    </row>
    <row r="2189" spans="1:34" x14ac:dyDescent="0.35">
      <c r="A2189" t="s">
        <v>34</v>
      </c>
      <c r="B2189" s="1">
        <v>46146.65625</v>
      </c>
      <c r="C2189" t="s">
        <v>34</v>
      </c>
      <c r="D2189" s="1">
        <v>46156.625</v>
      </c>
      <c r="E2189">
        <v>7140</v>
      </c>
      <c r="F2189" t="s">
        <v>36</v>
      </c>
      <c r="G2189">
        <v>40.049999999999997</v>
      </c>
      <c r="H2189">
        <v>60.45</v>
      </c>
      <c r="I2189">
        <v>31.82</v>
      </c>
      <c r="J2189">
        <v>49.65</v>
      </c>
      <c r="K2189">
        <v>188</v>
      </c>
      <c r="L2189">
        <v>10</v>
      </c>
      <c r="M2189">
        <v>47.2</v>
      </c>
      <c r="N2189">
        <v>13</v>
      </c>
      <c r="O2189">
        <v>47.6</v>
      </c>
      <c r="P2189">
        <v>0</v>
      </c>
      <c r="Q2189">
        <v>0</v>
      </c>
      <c r="R2189">
        <v>0</v>
      </c>
      <c r="S2189">
        <v>0</v>
      </c>
      <c r="T2189">
        <v>0.16</v>
      </c>
      <c r="U2189">
        <v>-0.3599</v>
      </c>
      <c r="V2189">
        <v>2E-3</v>
      </c>
      <c r="W2189">
        <v>-3.6324000000000001</v>
      </c>
      <c r="X2189">
        <v>4.4741999999999997</v>
      </c>
      <c r="Y2189">
        <v>-0.72289999999999999</v>
      </c>
      <c r="Z2189">
        <v>15</v>
      </c>
      <c r="AA2189">
        <v>47.4</v>
      </c>
      <c r="AB2189">
        <v>13</v>
      </c>
      <c r="AC2189">
        <v>47.9</v>
      </c>
      <c r="AD2189">
        <v>0</v>
      </c>
      <c r="AE2189">
        <v>0</v>
      </c>
      <c r="AF2189">
        <v>45.802300000000002</v>
      </c>
      <c r="AG2189">
        <v>304</v>
      </c>
      <c r="AH2189">
        <v>0</v>
      </c>
    </row>
    <row r="2190" spans="1:34" x14ac:dyDescent="0.35">
      <c r="A2190" t="s">
        <v>34</v>
      </c>
      <c r="B2190" s="1">
        <v>46146.65625</v>
      </c>
      <c r="C2190" t="s">
        <v>34</v>
      </c>
      <c r="D2190" s="1">
        <v>46156.625</v>
      </c>
      <c r="E2190">
        <v>7145</v>
      </c>
      <c r="F2190" t="s">
        <v>36</v>
      </c>
      <c r="G2190">
        <v>39.21</v>
      </c>
      <c r="H2190">
        <v>57.18</v>
      </c>
      <c r="I2190">
        <v>35.61</v>
      </c>
      <c r="J2190">
        <v>57.18</v>
      </c>
      <c r="K2190">
        <v>50</v>
      </c>
      <c r="L2190">
        <v>10</v>
      </c>
      <c r="M2190">
        <v>48.6</v>
      </c>
      <c r="N2190">
        <v>13</v>
      </c>
      <c r="O2190">
        <v>49</v>
      </c>
      <c r="P2190">
        <v>0</v>
      </c>
      <c r="Q2190">
        <v>0</v>
      </c>
      <c r="R2190">
        <v>0</v>
      </c>
      <c r="S2190">
        <v>0</v>
      </c>
      <c r="T2190">
        <v>0.159</v>
      </c>
      <c r="U2190">
        <v>-0.36899999999999999</v>
      </c>
      <c r="V2190">
        <v>2E-3</v>
      </c>
      <c r="W2190">
        <v>-3.6406999999999998</v>
      </c>
      <c r="X2190">
        <v>4.5103999999999997</v>
      </c>
      <c r="Y2190">
        <v>-0.74150000000000005</v>
      </c>
      <c r="Z2190">
        <v>11</v>
      </c>
      <c r="AA2190">
        <v>48.8</v>
      </c>
      <c r="AB2190">
        <v>9</v>
      </c>
      <c r="AC2190">
        <v>49.3</v>
      </c>
      <c r="AD2190">
        <v>0</v>
      </c>
      <c r="AE2190">
        <v>0</v>
      </c>
      <c r="AF2190">
        <v>40.643999999999998</v>
      </c>
      <c r="AG2190">
        <v>27</v>
      </c>
      <c r="AH2190">
        <v>0</v>
      </c>
    </row>
    <row r="2191" spans="1:34" x14ac:dyDescent="0.35">
      <c r="A2191" t="s">
        <v>34</v>
      </c>
      <c r="B2191" s="1">
        <v>46146.65625</v>
      </c>
      <c r="C2191" t="s">
        <v>34</v>
      </c>
      <c r="D2191" s="1">
        <v>46156.625</v>
      </c>
      <c r="E2191">
        <v>7150</v>
      </c>
      <c r="F2191" t="s">
        <v>36</v>
      </c>
      <c r="G2191">
        <v>42.1</v>
      </c>
      <c r="H2191">
        <v>65</v>
      </c>
      <c r="I2191">
        <v>33.71</v>
      </c>
      <c r="J2191">
        <v>49.93</v>
      </c>
      <c r="K2191">
        <v>113</v>
      </c>
      <c r="L2191">
        <v>19</v>
      </c>
      <c r="M2191">
        <v>50</v>
      </c>
      <c r="N2191">
        <v>1</v>
      </c>
      <c r="O2191">
        <v>50.4</v>
      </c>
      <c r="P2191">
        <v>0</v>
      </c>
      <c r="Q2191">
        <v>0</v>
      </c>
      <c r="R2191">
        <v>0</v>
      </c>
      <c r="S2191">
        <v>0</v>
      </c>
      <c r="T2191">
        <v>0.15790000000000001</v>
      </c>
      <c r="U2191">
        <v>-0.37840000000000001</v>
      </c>
      <c r="V2191">
        <v>2E-3</v>
      </c>
      <c r="W2191">
        <v>-3.6474000000000002</v>
      </c>
      <c r="X2191">
        <v>4.5444000000000004</v>
      </c>
      <c r="Y2191">
        <v>-0.76039999999999996</v>
      </c>
      <c r="Z2191">
        <v>15</v>
      </c>
      <c r="AA2191">
        <v>50.3</v>
      </c>
      <c r="AB2191">
        <v>13</v>
      </c>
      <c r="AC2191">
        <v>50.8</v>
      </c>
      <c r="AD2191">
        <v>0</v>
      </c>
      <c r="AE2191">
        <v>0</v>
      </c>
      <c r="AF2191">
        <v>50.0627</v>
      </c>
      <c r="AG2191">
        <v>712</v>
      </c>
      <c r="AH2191">
        <v>0</v>
      </c>
    </row>
    <row r="2192" spans="1:34" x14ac:dyDescent="0.35">
      <c r="A2192" t="s">
        <v>34</v>
      </c>
      <c r="B2192" s="1">
        <v>46146.65625</v>
      </c>
      <c r="C2192" t="s">
        <v>34</v>
      </c>
      <c r="D2192" s="1">
        <v>46156.625</v>
      </c>
      <c r="E2192">
        <v>7155</v>
      </c>
      <c r="F2192" t="s">
        <v>36</v>
      </c>
      <c r="G2192">
        <v>57.09</v>
      </c>
      <c r="H2192">
        <v>57.09</v>
      </c>
      <c r="I2192">
        <v>51.42</v>
      </c>
      <c r="J2192">
        <v>51.98</v>
      </c>
      <c r="K2192">
        <v>26</v>
      </c>
      <c r="L2192">
        <v>9</v>
      </c>
      <c r="M2192">
        <v>51.5</v>
      </c>
      <c r="N2192">
        <v>3</v>
      </c>
      <c r="O2192">
        <v>51.9</v>
      </c>
      <c r="P2192">
        <v>0</v>
      </c>
      <c r="Q2192">
        <v>0</v>
      </c>
      <c r="R2192">
        <v>0</v>
      </c>
      <c r="S2192">
        <v>0</v>
      </c>
      <c r="T2192">
        <v>0.15679999999999999</v>
      </c>
      <c r="U2192">
        <v>-0.38779999999999998</v>
      </c>
      <c r="V2192">
        <v>2E-3</v>
      </c>
      <c r="W2192">
        <v>-3.6495000000000002</v>
      </c>
      <c r="X2192">
        <v>4.5761000000000003</v>
      </c>
      <c r="Y2192">
        <v>-0.77929999999999999</v>
      </c>
      <c r="Z2192">
        <v>11</v>
      </c>
      <c r="AA2192">
        <v>51.8</v>
      </c>
      <c r="AB2192">
        <v>8</v>
      </c>
      <c r="AC2192">
        <v>52.3</v>
      </c>
      <c r="AD2192">
        <v>0</v>
      </c>
      <c r="AE2192">
        <v>0</v>
      </c>
      <c r="AF2192">
        <v>52.511499999999998</v>
      </c>
      <c r="AG2192">
        <v>66</v>
      </c>
      <c r="AH2192">
        <v>0</v>
      </c>
    </row>
    <row r="2193" spans="1:34" x14ac:dyDescent="0.35">
      <c r="A2193" t="s">
        <v>34</v>
      </c>
      <c r="B2193" s="1">
        <v>46146.65625</v>
      </c>
      <c r="C2193" t="s">
        <v>34</v>
      </c>
      <c r="D2193" s="1">
        <v>46156.625</v>
      </c>
      <c r="E2193">
        <v>7160</v>
      </c>
      <c r="F2193" t="s">
        <v>36</v>
      </c>
      <c r="G2193">
        <v>45.78</v>
      </c>
      <c r="H2193">
        <v>57.1</v>
      </c>
      <c r="I2193">
        <v>42.16</v>
      </c>
      <c r="J2193">
        <v>53.2</v>
      </c>
      <c r="K2193">
        <v>64</v>
      </c>
      <c r="L2193">
        <v>18</v>
      </c>
      <c r="M2193">
        <v>53</v>
      </c>
      <c r="N2193">
        <v>3</v>
      </c>
      <c r="O2193">
        <v>53.5</v>
      </c>
      <c r="P2193">
        <v>0</v>
      </c>
      <c r="Q2193">
        <v>0</v>
      </c>
      <c r="R2193">
        <v>0</v>
      </c>
      <c r="S2193">
        <v>0</v>
      </c>
      <c r="T2193">
        <v>0.15579999999999999</v>
      </c>
      <c r="U2193">
        <v>-0.39750000000000002</v>
      </c>
      <c r="V2193">
        <v>2.0999999999999999E-3</v>
      </c>
      <c r="W2193">
        <v>-3.6526000000000001</v>
      </c>
      <c r="X2193">
        <v>4.6058000000000003</v>
      </c>
      <c r="Y2193">
        <v>-0.79869999999999997</v>
      </c>
      <c r="Z2193">
        <v>15</v>
      </c>
      <c r="AA2193">
        <v>53.4</v>
      </c>
      <c r="AB2193">
        <v>12</v>
      </c>
      <c r="AC2193">
        <v>53.9</v>
      </c>
      <c r="AD2193">
        <v>0</v>
      </c>
      <c r="AE2193">
        <v>0</v>
      </c>
      <c r="AF2193">
        <v>53.07</v>
      </c>
      <c r="AG2193">
        <v>28</v>
      </c>
      <c r="AH2193">
        <v>0</v>
      </c>
    </row>
    <row r="2194" spans="1:34" x14ac:dyDescent="0.35">
      <c r="A2194" t="s">
        <v>34</v>
      </c>
      <c r="B2194" s="1">
        <v>46146.65625</v>
      </c>
      <c r="C2194" t="s">
        <v>34</v>
      </c>
      <c r="D2194" s="1">
        <v>46156.625</v>
      </c>
      <c r="E2194">
        <v>7165</v>
      </c>
      <c r="F2194" t="s">
        <v>36</v>
      </c>
      <c r="G2194">
        <v>37.549999999999997</v>
      </c>
      <c r="H2194">
        <v>61.5</v>
      </c>
      <c r="I2194">
        <v>37.549999999999997</v>
      </c>
      <c r="J2194">
        <v>55.61</v>
      </c>
      <c r="K2194">
        <v>51</v>
      </c>
      <c r="L2194">
        <v>9</v>
      </c>
      <c r="M2194">
        <v>54.6</v>
      </c>
      <c r="N2194">
        <v>1</v>
      </c>
      <c r="O2194">
        <v>55</v>
      </c>
      <c r="P2194">
        <v>0</v>
      </c>
      <c r="Q2194">
        <v>0</v>
      </c>
      <c r="R2194">
        <v>0</v>
      </c>
      <c r="S2194">
        <v>0</v>
      </c>
      <c r="T2194">
        <v>0.15479999999999999</v>
      </c>
      <c r="U2194">
        <v>-0.40739999999999998</v>
      </c>
      <c r="V2194">
        <v>2.0999999999999999E-3</v>
      </c>
      <c r="W2194">
        <v>-3.6536</v>
      </c>
      <c r="X2194">
        <v>4.6336000000000004</v>
      </c>
      <c r="Y2194">
        <v>-0.81859999999999999</v>
      </c>
      <c r="Z2194">
        <v>11</v>
      </c>
      <c r="AA2194">
        <v>55</v>
      </c>
      <c r="AB2194">
        <v>8</v>
      </c>
      <c r="AC2194">
        <v>55.5</v>
      </c>
      <c r="AD2194">
        <v>0</v>
      </c>
      <c r="AE2194">
        <v>0</v>
      </c>
      <c r="AF2194">
        <v>54.927599999999998</v>
      </c>
      <c r="AG2194">
        <v>90</v>
      </c>
      <c r="AH2194">
        <v>0</v>
      </c>
    </row>
    <row r="2195" spans="1:34" x14ac:dyDescent="0.35">
      <c r="A2195" t="s">
        <v>34</v>
      </c>
      <c r="B2195" s="1">
        <v>46146.65625</v>
      </c>
      <c r="C2195" t="s">
        <v>34</v>
      </c>
      <c r="D2195" s="1">
        <v>46156.625</v>
      </c>
      <c r="E2195">
        <v>7170</v>
      </c>
      <c r="F2195" t="s">
        <v>36</v>
      </c>
      <c r="G2195">
        <v>46</v>
      </c>
      <c r="H2195">
        <v>61</v>
      </c>
      <c r="I2195">
        <v>41.78</v>
      </c>
      <c r="J2195">
        <v>57.66</v>
      </c>
      <c r="K2195">
        <v>102</v>
      </c>
      <c r="L2195">
        <v>17</v>
      </c>
      <c r="M2195">
        <v>56.2</v>
      </c>
      <c r="N2195">
        <v>3</v>
      </c>
      <c r="O2195">
        <v>56.7</v>
      </c>
      <c r="P2195">
        <v>0</v>
      </c>
      <c r="Q2195">
        <v>0</v>
      </c>
      <c r="R2195">
        <v>0</v>
      </c>
      <c r="S2195">
        <v>0</v>
      </c>
      <c r="T2195">
        <v>0.1537</v>
      </c>
      <c r="U2195">
        <v>-0.41739999999999999</v>
      </c>
      <c r="V2195">
        <v>2.0999999999999999E-3</v>
      </c>
      <c r="W2195">
        <v>-3.6494</v>
      </c>
      <c r="X2195">
        <v>4.6590999999999996</v>
      </c>
      <c r="Y2195">
        <v>-0.83909999999999996</v>
      </c>
      <c r="Z2195">
        <v>10</v>
      </c>
      <c r="AA2195">
        <v>56.7</v>
      </c>
      <c r="AB2195">
        <v>12</v>
      </c>
      <c r="AC2195">
        <v>57.2</v>
      </c>
      <c r="AD2195">
        <v>0</v>
      </c>
      <c r="AE2195">
        <v>0</v>
      </c>
      <c r="AF2195">
        <v>52.163400000000003</v>
      </c>
      <c r="AG2195">
        <v>28</v>
      </c>
      <c r="AH2195">
        <v>0</v>
      </c>
    </row>
    <row r="2196" spans="1:34" x14ac:dyDescent="0.35">
      <c r="A2196" t="s">
        <v>34</v>
      </c>
      <c r="B2196" s="1">
        <v>46146.65625</v>
      </c>
      <c r="C2196" t="s">
        <v>34</v>
      </c>
      <c r="D2196" s="1">
        <v>46156.625</v>
      </c>
      <c r="E2196">
        <v>7175</v>
      </c>
      <c r="F2196" t="s">
        <v>36</v>
      </c>
      <c r="G2196">
        <v>50.45</v>
      </c>
      <c r="H2196">
        <v>60.65</v>
      </c>
      <c r="I2196">
        <v>41.64</v>
      </c>
      <c r="J2196">
        <v>56.61</v>
      </c>
      <c r="K2196">
        <v>45</v>
      </c>
      <c r="L2196">
        <v>12</v>
      </c>
      <c r="M2196">
        <v>57.8</v>
      </c>
      <c r="N2196">
        <v>3</v>
      </c>
      <c r="O2196">
        <v>58.3</v>
      </c>
      <c r="P2196">
        <v>0</v>
      </c>
      <c r="Q2196">
        <v>0</v>
      </c>
      <c r="R2196">
        <v>0</v>
      </c>
      <c r="S2196">
        <v>0</v>
      </c>
      <c r="T2196">
        <v>0.1527</v>
      </c>
      <c r="U2196">
        <v>-0.42759999999999998</v>
      </c>
      <c r="V2196">
        <v>2.2000000000000001E-3</v>
      </c>
      <c r="W2196">
        <v>-3.6429999999999998</v>
      </c>
      <c r="X2196">
        <v>4.6821999999999999</v>
      </c>
      <c r="Y2196">
        <v>-0.86009999999999998</v>
      </c>
      <c r="Z2196">
        <v>11</v>
      </c>
      <c r="AA2196">
        <v>58.4</v>
      </c>
      <c r="AB2196">
        <v>8</v>
      </c>
      <c r="AC2196">
        <v>58.9</v>
      </c>
      <c r="AD2196">
        <v>0</v>
      </c>
      <c r="AE2196">
        <v>0</v>
      </c>
      <c r="AF2196">
        <v>55.883800000000001</v>
      </c>
      <c r="AG2196">
        <v>58</v>
      </c>
      <c r="AH2196">
        <v>0</v>
      </c>
    </row>
    <row r="2197" spans="1:34" x14ac:dyDescent="0.35">
      <c r="A2197" t="s">
        <v>34</v>
      </c>
      <c r="B2197" s="1">
        <v>46146.65625</v>
      </c>
      <c r="C2197" t="s">
        <v>34</v>
      </c>
      <c r="D2197" s="1">
        <v>46156.625</v>
      </c>
      <c r="E2197">
        <v>7180</v>
      </c>
      <c r="F2197" t="s">
        <v>36</v>
      </c>
      <c r="G2197">
        <v>47.77</v>
      </c>
      <c r="H2197">
        <v>72.2</v>
      </c>
      <c r="I2197">
        <v>40.85</v>
      </c>
      <c r="J2197">
        <v>63.57</v>
      </c>
      <c r="K2197">
        <v>11</v>
      </c>
      <c r="L2197">
        <v>8</v>
      </c>
      <c r="M2197">
        <v>59.6</v>
      </c>
      <c r="N2197">
        <v>2</v>
      </c>
      <c r="O2197">
        <v>60.1</v>
      </c>
      <c r="P2197">
        <v>0</v>
      </c>
      <c r="Q2197">
        <v>0</v>
      </c>
      <c r="R2197">
        <v>0</v>
      </c>
      <c r="S2197">
        <v>0</v>
      </c>
      <c r="T2197">
        <v>0.1517</v>
      </c>
      <c r="U2197">
        <v>-0.438</v>
      </c>
      <c r="V2197">
        <v>2.2000000000000001E-3</v>
      </c>
      <c r="W2197">
        <v>-3.6364999999999998</v>
      </c>
      <c r="X2197">
        <v>4.7023999999999999</v>
      </c>
      <c r="Y2197">
        <v>-0.88160000000000005</v>
      </c>
      <c r="Z2197">
        <v>11</v>
      </c>
      <c r="AA2197">
        <v>60.1</v>
      </c>
      <c r="AB2197">
        <v>8</v>
      </c>
      <c r="AC2197">
        <v>60.6</v>
      </c>
      <c r="AD2197">
        <v>0</v>
      </c>
      <c r="AE2197">
        <v>0</v>
      </c>
      <c r="AF2197">
        <v>51.718200000000003</v>
      </c>
      <c r="AG2197">
        <v>137</v>
      </c>
      <c r="AH2197">
        <v>0</v>
      </c>
    </row>
    <row r="2198" spans="1:34" x14ac:dyDescent="0.35">
      <c r="A2198" t="s">
        <v>34</v>
      </c>
      <c r="B2198" s="1">
        <v>46146.65625</v>
      </c>
      <c r="C2198" t="s">
        <v>34</v>
      </c>
      <c r="D2198" s="1">
        <v>46156.625</v>
      </c>
      <c r="E2198">
        <v>7185</v>
      </c>
      <c r="F2198" t="s">
        <v>36</v>
      </c>
      <c r="G2198">
        <v>51.78</v>
      </c>
      <c r="H2198">
        <v>65.42</v>
      </c>
      <c r="I2198">
        <v>51.78</v>
      </c>
      <c r="J2198">
        <v>59.69</v>
      </c>
      <c r="K2198">
        <v>9</v>
      </c>
      <c r="L2198">
        <v>8</v>
      </c>
      <c r="M2198">
        <v>61.4</v>
      </c>
      <c r="N2198">
        <v>2</v>
      </c>
      <c r="O2198">
        <v>61.8</v>
      </c>
      <c r="P2198">
        <v>0</v>
      </c>
      <c r="Q2198">
        <v>0</v>
      </c>
      <c r="R2198">
        <v>0</v>
      </c>
      <c r="S2198">
        <v>0</v>
      </c>
      <c r="T2198">
        <v>0.15060000000000001</v>
      </c>
      <c r="U2198">
        <v>-0.4486</v>
      </c>
      <c r="V2198">
        <v>2.2000000000000001E-3</v>
      </c>
      <c r="W2198">
        <v>-3.6246999999999998</v>
      </c>
      <c r="X2198">
        <v>4.7195</v>
      </c>
      <c r="Y2198">
        <v>-0.90300000000000002</v>
      </c>
      <c r="Z2198">
        <v>11</v>
      </c>
      <c r="AA2198">
        <v>61.9</v>
      </c>
      <c r="AB2198">
        <v>1</v>
      </c>
      <c r="AC2198">
        <v>62.5</v>
      </c>
      <c r="AD2198">
        <v>0</v>
      </c>
      <c r="AE2198">
        <v>0</v>
      </c>
      <c r="AF2198">
        <v>56.811100000000003</v>
      </c>
      <c r="AG2198">
        <v>7</v>
      </c>
      <c r="AH2198">
        <v>0</v>
      </c>
    </row>
    <row r="2199" spans="1:34" x14ac:dyDescent="0.35">
      <c r="A2199" t="s">
        <v>34</v>
      </c>
      <c r="B2199" s="1">
        <v>46146.65625</v>
      </c>
      <c r="C2199" t="s">
        <v>34</v>
      </c>
      <c r="D2199" s="1">
        <v>46156.625</v>
      </c>
      <c r="E2199">
        <v>7190</v>
      </c>
      <c r="F2199" t="s">
        <v>36</v>
      </c>
      <c r="G2199">
        <v>52.27</v>
      </c>
      <c r="H2199">
        <v>71.44</v>
      </c>
      <c r="I2199">
        <v>44.06</v>
      </c>
      <c r="J2199">
        <v>61.78</v>
      </c>
      <c r="K2199">
        <v>29</v>
      </c>
      <c r="L2199">
        <v>8</v>
      </c>
      <c r="M2199">
        <v>63.2</v>
      </c>
      <c r="N2199">
        <v>2</v>
      </c>
      <c r="O2199">
        <v>63.7</v>
      </c>
      <c r="P2199">
        <v>0</v>
      </c>
      <c r="Q2199">
        <v>0</v>
      </c>
      <c r="R2199">
        <v>0</v>
      </c>
      <c r="S2199">
        <v>0</v>
      </c>
      <c r="T2199">
        <v>0.14949999999999999</v>
      </c>
      <c r="U2199">
        <v>-0.45939999999999998</v>
      </c>
      <c r="V2199">
        <v>2.2000000000000001E-3</v>
      </c>
      <c r="W2199">
        <v>-3.6101000000000001</v>
      </c>
      <c r="X2199">
        <v>4.7335000000000003</v>
      </c>
      <c r="Y2199">
        <v>-0.92459999999999998</v>
      </c>
      <c r="Z2199">
        <v>10</v>
      </c>
      <c r="AA2199">
        <v>63.8</v>
      </c>
      <c r="AB2199">
        <v>8</v>
      </c>
      <c r="AC2199">
        <v>64.3</v>
      </c>
      <c r="AD2199">
        <v>0</v>
      </c>
      <c r="AE2199">
        <v>0</v>
      </c>
      <c r="AF2199">
        <v>63.247599999999998</v>
      </c>
      <c r="AG2199">
        <v>13</v>
      </c>
      <c r="AH2199">
        <v>0</v>
      </c>
    </row>
    <row r="2200" spans="1:34" x14ac:dyDescent="0.35">
      <c r="A2200" t="s">
        <v>34</v>
      </c>
      <c r="B2200" s="1">
        <v>46146.65625</v>
      </c>
      <c r="C2200" t="s">
        <v>34</v>
      </c>
      <c r="D2200" s="1">
        <v>46156.625</v>
      </c>
      <c r="E2200">
        <v>7195</v>
      </c>
      <c r="F2200" t="s">
        <v>36</v>
      </c>
      <c r="G2200">
        <v>53.85</v>
      </c>
      <c r="H2200">
        <v>78.14</v>
      </c>
      <c r="I2200">
        <v>51.39</v>
      </c>
      <c r="J2200">
        <v>65.87</v>
      </c>
      <c r="K2200">
        <v>30</v>
      </c>
      <c r="L2200">
        <v>21</v>
      </c>
      <c r="M2200">
        <v>65</v>
      </c>
      <c r="N2200">
        <v>2</v>
      </c>
      <c r="O2200">
        <v>65.5</v>
      </c>
      <c r="P2200">
        <v>0</v>
      </c>
      <c r="Q2200">
        <v>0</v>
      </c>
      <c r="R2200">
        <v>0</v>
      </c>
      <c r="S2200">
        <v>0</v>
      </c>
      <c r="T2200">
        <v>0.14849999999999999</v>
      </c>
      <c r="U2200">
        <v>-0.4703</v>
      </c>
      <c r="V2200">
        <v>2.2000000000000001E-3</v>
      </c>
      <c r="W2200">
        <v>-3.5951</v>
      </c>
      <c r="X2200">
        <v>4.7443999999999997</v>
      </c>
      <c r="Y2200">
        <v>-0.9466</v>
      </c>
      <c r="Z2200">
        <v>14</v>
      </c>
      <c r="AA2200">
        <v>65.7</v>
      </c>
      <c r="AB2200">
        <v>8</v>
      </c>
      <c r="AC2200">
        <v>66.2</v>
      </c>
      <c r="AD2200">
        <v>0</v>
      </c>
      <c r="AE2200">
        <v>0</v>
      </c>
      <c r="AF2200">
        <v>57.8033</v>
      </c>
      <c r="AG2200">
        <v>146</v>
      </c>
      <c r="AH2200">
        <v>0</v>
      </c>
    </row>
    <row r="2201" spans="1:34" x14ac:dyDescent="0.35">
      <c r="A2201" t="s">
        <v>34</v>
      </c>
      <c r="B2201" s="1">
        <v>46146.65625</v>
      </c>
      <c r="C2201" t="s">
        <v>34</v>
      </c>
      <c r="D2201" s="1">
        <v>46156.625</v>
      </c>
      <c r="E2201">
        <v>7200</v>
      </c>
      <c r="F2201" t="s">
        <v>36</v>
      </c>
      <c r="G2201">
        <v>59.08</v>
      </c>
      <c r="H2201">
        <v>82</v>
      </c>
      <c r="I2201">
        <v>47.7</v>
      </c>
      <c r="J2201">
        <v>65.5</v>
      </c>
      <c r="K2201">
        <v>136</v>
      </c>
      <c r="L2201">
        <v>17</v>
      </c>
      <c r="M2201">
        <v>67</v>
      </c>
      <c r="N2201">
        <v>2</v>
      </c>
      <c r="O2201">
        <v>67.5</v>
      </c>
      <c r="P2201">
        <v>0</v>
      </c>
      <c r="Q2201">
        <v>0</v>
      </c>
      <c r="R2201">
        <v>0</v>
      </c>
      <c r="S2201">
        <v>0</v>
      </c>
      <c r="T2201">
        <v>0.1474</v>
      </c>
      <c r="U2201">
        <v>-0.48139999999999999</v>
      </c>
      <c r="V2201">
        <v>2.3E-3</v>
      </c>
      <c r="W2201">
        <v>-3.5745</v>
      </c>
      <c r="X2201">
        <v>4.7521000000000004</v>
      </c>
      <c r="Y2201">
        <v>-0.96919999999999995</v>
      </c>
      <c r="Z2201">
        <v>9</v>
      </c>
      <c r="AA2201">
        <v>67.7</v>
      </c>
      <c r="AB2201">
        <v>8</v>
      </c>
      <c r="AC2201">
        <v>68.2</v>
      </c>
      <c r="AD2201">
        <v>0</v>
      </c>
      <c r="AE2201">
        <v>0</v>
      </c>
      <c r="AF2201">
        <v>65.746899999999997</v>
      </c>
      <c r="AG2201">
        <v>79</v>
      </c>
      <c r="AH2201">
        <v>0</v>
      </c>
    </row>
    <row r="2202" spans="1:34" x14ac:dyDescent="0.35">
      <c r="A2202" t="s">
        <v>34</v>
      </c>
      <c r="B2202" s="1">
        <v>46146.65625</v>
      </c>
      <c r="C2202" t="s">
        <v>34</v>
      </c>
      <c r="D2202" s="1">
        <v>46156.625</v>
      </c>
      <c r="E2202">
        <v>7205</v>
      </c>
      <c r="F2202" t="s">
        <v>36</v>
      </c>
      <c r="G2202">
        <v>59.89</v>
      </c>
      <c r="H2202">
        <v>73.23</v>
      </c>
      <c r="I2202">
        <v>52.21</v>
      </c>
      <c r="J2202">
        <v>67.33</v>
      </c>
      <c r="K2202">
        <v>12</v>
      </c>
      <c r="L2202">
        <v>8</v>
      </c>
      <c r="M2202">
        <v>69</v>
      </c>
      <c r="N2202">
        <v>2</v>
      </c>
      <c r="O2202">
        <v>69.5</v>
      </c>
      <c r="P2202">
        <v>0</v>
      </c>
      <c r="Q2202">
        <v>0</v>
      </c>
      <c r="R2202">
        <v>0</v>
      </c>
      <c r="S2202">
        <v>0</v>
      </c>
      <c r="T2202">
        <v>0.1464</v>
      </c>
      <c r="U2202">
        <v>-0.49270000000000003</v>
      </c>
      <c r="V2202">
        <v>2.3E-3</v>
      </c>
      <c r="W2202">
        <v>-3.5531000000000001</v>
      </c>
      <c r="X2202">
        <v>4.7563000000000004</v>
      </c>
      <c r="Y2202">
        <v>-0.99239999999999995</v>
      </c>
      <c r="Z2202">
        <v>9</v>
      </c>
      <c r="AA2202">
        <v>69.7</v>
      </c>
      <c r="AB2202">
        <v>8</v>
      </c>
      <c r="AC2202">
        <v>70.2</v>
      </c>
      <c r="AD2202">
        <v>0</v>
      </c>
      <c r="AE2202">
        <v>0</v>
      </c>
      <c r="AF2202">
        <v>63.181699999999999</v>
      </c>
      <c r="AG2202">
        <v>21</v>
      </c>
      <c r="AH2202">
        <v>0</v>
      </c>
    </row>
    <row r="2203" spans="1:34" x14ac:dyDescent="0.35">
      <c r="A2203" t="s">
        <v>34</v>
      </c>
      <c r="B2203" s="1">
        <v>46146.65625</v>
      </c>
      <c r="C2203" t="s">
        <v>34</v>
      </c>
      <c r="D2203" s="1">
        <v>46156.625</v>
      </c>
      <c r="E2203">
        <v>7210</v>
      </c>
      <c r="F2203" t="s">
        <v>36</v>
      </c>
      <c r="G2203">
        <v>61.8</v>
      </c>
      <c r="H2203">
        <v>96.11</v>
      </c>
      <c r="I2203">
        <v>50</v>
      </c>
      <c r="J2203">
        <v>69.8</v>
      </c>
      <c r="K2203">
        <v>76</v>
      </c>
      <c r="L2203">
        <v>17</v>
      </c>
      <c r="M2203">
        <v>71</v>
      </c>
      <c r="N2203">
        <v>1</v>
      </c>
      <c r="O2203">
        <v>71.5</v>
      </c>
      <c r="P2203">
        <v>0</v>
      </c>
      <c r="Q2203">
        <v>0</v>
      </c>
      <c r="R2203">
        <v>0</v>
      </c>
      <c r="S2203">
        <v>0</v>
      </c>
      <c r="T2203">
        <v>0.1454</v>
      </c>
      <c r="U2203">
        <v>-0.50409999999999999</v>
      </c>
      <c r="V2203">
        <v>2.3E-3</v>
      </c>
      <c r="W2203">
        <v>-3.5283000000000002</v>
      </c>
      <c r="X2203">
        <v>4.7568999999999999</v>
      </c>
      <c r="Y2203">
        <v>-1.016</v>
      </c>
      <c r="Z2203">
        <v>9</v>
      </c>
      <c r="AA2203">
        <v>71.8</v>
      </c>
      <c r="AB2203">
        <v>8</v>
      </c>
      <c r="AC2203">
        <v>72.3</v>
      </c>
      <c r="AD2203">
        <v>0</v>
      </c>
      <c r="AE2203">
        <v>0</v>
      </c>
      <c r="AF2203">
        <v>68.098299999999995</v>
      </c>
      <c r="AG2203">
        <v>121</v>
      </c>
      <c r="AH2203">
        <v>0</v>
      </c>
    </row>
    <row r="2204" spans="1:34" x14ac:dyDescent="0.35">
      <c r="A2204" t="s">
        <v>34</v>
      </c>
      <c r="B2204" s="1">
        <v>46146.65625</v>
      </c>
      <c r="C2204" t="s">
        <v>34</v>
      </c>
      <c r="D2204" s="1">
        <v>46156.625</v>
      </c>
      <c r="E2204">
        <v>7215</v>
      </c>
      <c r="F2204" t="s">
        <v>36</v>
      </c>
      <c r="G2204">
        <v>64.3</v>
      </c>
      <c r="H2204">
        <v>71.52</v>
      </c>
      <c r="I2204">
        <v>51.45</v>
      </c>
      <c r="J2204">
        <v>71.52</v>
      </c>
      <c r="K2204">
        <v>15</v>
      </c>
      <c r="L2204">
        <v>8</v>
      </c>
      <c r="M2204">
        <v>73.2</v>
      </c>
      <c r="N2204">
        <v>1</v>
      </c>
      <c r="O2204">
        <v>73.599999999999994</v>
      </c>
      <c r="P2204">
        <v>0</v>
      </c>
      <c r="Q2204">
        <v>0</v>
      </c>
      <c r="R2204">
        <v>0</v>
      </c>
      <c r="S2204">
        <v>0</v>
      </c>
      <c r="T2204">
        <v>0.14430000000000001</v>
      </c>
      <c r="U2204">
        <v>-0.51570000000000005</v>
      </c>
      <c r="V2204">
        <v>2.3E-3</v>
      </c>
      <c r="W2204">
        <v>-3.4998</v>
      </c>
      <c r="X2204">
        <v>4.7537000000000003</v>
      </c>
      <c r="Y2204">
        <v>-1.0397000000000001</v>
      </c>
      <c r="Z2204">
        <v>10</v>
      </c>
      <c r="AA2204">
        <v>73.900000000000006</v>
      </c>
      <c r="AB2204">
        <v>8</v>
      </c>
      <c r="AC2204">
        <v>74.599999999999994</v>
      </c>
      <c r="AD2204">
        <v>0</v>
      </c>
      <c r="AE2204">
        <v>0</v>
      </c>
      <c r="AF2204">
        <v>57.338700000000003</v>
      </c>
      <c r="AG2204">
        <v>40</v>
      </c>
      <c r="AH2204">
        <v>0</v>
      </c>
    </row>
    <row r="2205" spans="1:34" x14ac:dyDescent="0.35">
      <c r="A2205" t="s">
        <v>34</v>
      </c>
      <c r="B2205" s="1">
        <v>46146.65625</v>
      </c>
      <c r="C2205" t="s">
        <v>34</v>
      </c>
      <c r="D2205" s="1">
        <v>46156.625</v>
      </c>
      <c r="E2205">
        <v>7220</v>
      </c>
      <c r="F2205" t="s">
        <v>36</v>
      </c>
      <c r="G2205">
        <v>61.69</v>
      </c>
      <c r="H2205">
        <v>73.34</v>
      </c>
      <c r="I2205">
        <v>61.69</v>
      </c>
      <c r="J2205">
        <v>73.34</v>
      </c>
      <c r="K2205">
        <v>14</v>
      </c>
      <c r="L2205">
        <v>8</v>
      </c>
      <c r="M2205">
        <v>75.2</v>
      </c>
      <c r="N2205">
        <v>9</v>
      </c>
      <c r="O2205">
        <v>75.8</v>
      </c>
      <c r="P2205">
        <v>0</v>
      </c>
      <c r="Q2205">
        <v>0</v>
      </c>
      <c r="R2205">
        <v>0</v>
      </c>
      <c r="S2205">
        <v>0</v>
      </c>
      <c r="T2205">
        <v>0.14330000000000001</v>
      </c>
      <c r="U2205">
        <v>-0.52749999999999997</v>
      </c>
      <c r="V2205">
        <v>2.3E-3</v>
      </c>
      <c r="W2205">
        <v>-3.4678</v>
      </c>
      <c r="X2205">
        <v>4.7466999999999997</v>
      </c>
      <c r="Y2205">
        <v>-1.0633999999999999</v>
      </c>
      <c r="Z2205">
        <v>10</v>
      </c>
      <c r="AA2205">
        <v>76.099999999999994</v>
      </c>
      <c r="AB2205">
        <v>8</v>
      </c>
      <c r="AC2205">
        <v>76.8</v>
      </c>
      <c r="AD2205">
        <v>0</v>
      </c>
      <c r="AE2205">
        <v>0</v>
      </c>
      <c r="AF2205">
        <v>70.011399999999995</v>
      </c>
      <c r="AG2205">
        <v>37</v>
      </c>
      <c r="AH2205">
        <v>0</v>
      </c>
    </row>
    <row r="2206" spans="1:34" x14ac:dyDescent="0.35">
      <c r="A2206" t="s">
        <v>34</v>
      </c>
      <c r="B2206" s="1">
        <v>46146.65625</v>
      </c>
      <c r="C2206" t="s">
        <v>34</v>
      </c>
      <c r="D2206" s="1">
        <v>46156.625</v>
      </c>
      <c r="E2206">
        <v>7225</v>
      </c>
      <c r="F2206" t="s">
        <v>36</v>
      </c>
      <c r="G2206">
        <v>66.739999999999995</v>
      </c>
      <c r="H2206">
        <v>66.739999999999995</v>
      </c>
      <c r="I2206">
        <v>57.09</v>
      </c>
      <c r="J2206">
        <v>57.09</v>
      </c>
      <c r="K2206">
        <v>9</v>
      </c>
      <c r="L2206">
        <v>8</v>
      </c>
      <c r="M2206">
        <v>77.599999999999994</v>
      </c>
      <c r="N2206">
        <v>1</v>
      </c>
      <c r="O2206">
        <v>78</v>
      </c>
      <c r="P2206">
        <v>0</v>
      </c>
      <c r="Q2206">
        <v>0</v>
      </c>
      <c r="R2206">
        <v>0</v>
      </c>
      <c r="S2206">
        <v>0</v>
      </c>
      <c r="T2206">
        <v>0.14230000000000001</v>
      </c>
      <c r="U2206">
        <v>-0.5393</v>
      </c>
      <c r="V2206">
        <v>2.3E-3</v>
      </c>
      <c r="W2206">
        <v>-3.4346000000000001</v>
      </c>
      <c r="X2206">
        <v>4.7358000000000002</v>
      </c>
      <c r="Y2206">
        <v>-1.0871999999999999</v>
      </c>
      <c r="Z2206">
        <v>9</v>
      </c>
      <c r="AA2206">
        <v>78.400000000000006</v>
      </c>
      <c r="AB2206">
        <v>7</v>
      </c>
      <c r="AC2206">
        <v>78.900000000000006</v>
      </c>
      <c r="AD2206">
        <v>0</v>
      </c>
      <c r="AE2206">
        <v>0</v>
      </c>
      <c r="AF2206">
        <v>60.083300000000001</v>
      </c>
      <c r="AG2206">
        <v>181</v>
      </c>
      <c r="AH2206">
        <v>0</v>
      </c>
    </row>
    <row r="2207" spans="1:34" x14ac:dyDescent="0.35">
      <c r="A2207" t="s">
        <v>34</v>
      </c>
      <c r="B2207" s="1">
        <v>46146.65625</v>
      </c>
      <c r="C2207" t="s">
        <v>34</v>
      </c>
      <c r="D2207" s="1">
        <v>46156.625</v>
      </c>
      <c r="E2207">
        <v>7230</v>
      </c>
      <c r="F2207" t="s">
        <v>36</v>
      </c>
      <c r="G2207">
        <v>64.599999999999994</v>
      </c>
      <c r="H2207">
        <v>100.66</v>
      </c>
      <c r="I2207">
        <v>59</v>
      </c>
      <c r="J2207">
        <v>81.319999999999993</v>
      </c>
      <c r="K2207">
        <v>6</v>
      </c>
      <c r="L2207">
        <v>7</v>
      </c>
      <c r="M2207">
        <v>79.8</v>
      </c>
      <c r="N2207">
        <v>1</v>
      </c>
      <c r="O2207">
        <v>80.3</v>
      </c>
      <c r="P2207">
        <v>0</v>
      </c>
      <c r="Q2207">
        <v>0</v>
      </c>
      <c r="R2207">
        <v>0</v>
      </c>
      <c r="S2207">
        <v>0</v>
      </c>
      <c r="T2207">
        <v>0.14130000000000001</v>
      </c>
      <c r="U2207">
        <v>-0.55130000000000001</v>
      </c>
      <c r="V2207">
        <v>2.3E-3</v>
      </c>
      <c r="W2207">
        <v>-3.3978000000000002</v>
      </c>
      <c r="X2207">
        <v>4.7206000000000001</v>
      </c>
      <c r="Y2207">
        <v>-1.1115999999999999</v>
      </c>
      <c r="Z2207">
        <v>8</v>
      </c>
      <c r="AA2207">
        <v>80.7</v>
      </c>
      <c r="AB2207">
        <v>6</v>
      </c>
      <c r="AC2207">
        <v>81.2</v>
      </c>
      <c r="AD2207">
        <v>0</v>
      </c>
      <c r="AE2207">
        <v>0</v>
      </c>
      <c r="AF2207">
        <v>76.875</v>
      </c>
      <c r="AG2207">
        <v>45</v>
      </c>
      <c r="AH2207">
        <v>0</v>
      </c>
    </row>
    <row r="2208" spans="1:34" x14ac:dyDescent="0.35">
      <c r="A2208" t="s">
        <v>34</v>
      </c>
      <c r="B2208" s="1">
        <v>46146.65625</v>
      </c>
      <c r="C2208" t="s">
        <v>34</v>
      </c>
      <c r="D2208" s="1">
        <v>46156.625</v>
      </c>
      <c r="E2208">
        <v>7235</v>
      </c>
      <c r="F2208" t="s">
        <v>36</v>
      </c>
      <c r="G2208">
        <v>68.760000000000005</v>
      </c>
      <c r="H2208">
        <v>103.26</v>
      </c>
      <c r="I2208">
        <v>63.4</v>
      </c>
      <c r="J2208">
        <v>86.25</v>
      </c>
      <c r="K2208">
        <v>53</v>
      </c>
      <c r="L2208">
        <v>7</v>
      </c>
      <c r="M2208">
        <v>82.2</v>
      </c>
      <c r="N2208">
        <v>1</v>
      </c>
      <c r="O2208">
        <v>82.7</v>
      </c>
      <c r="P2208">
        <v>0</v>
      </c>
      <c r="Q2208">
        <v>0</v>
      </c>
      <c r="R2208">
        <v>0</v>
      </c>
      <c r="S2208">
        <v>0</v>
      </c>
      <c r="T2208">
        <v>0.14030000000000001</v>
      </c>
      <c r="U2208">
        <v>-0.56340000000000001</v>
      </c>
      <c r="V2208">
        <v>2.3999999999999998E-3</v>
      </c>
      <c r="W2208">
        <v>-3.3570000000000002</v>
      </c>
      <c r="X2208">
        <v>4.7008000000000001</v>
      </c>
      <c r="Y2208">
        <v>-1.1365000000000001</v>
      </c>
      <c r="Z2208">
        <v>9</v>
      </c>
      <c r="AA2208">
        <v>83</v>
      </c>
      <c r="AB2208">
        <v>6</v>
      </c>
      <c r="AC2208">
        <v>83.6</v>
      </c>
      <c r="AD2208">
        <v>0</v>
      </c>
      <c r="AE2208">
        <v>0</v>
      </c>
      <c r="AF2208">
        <v>71.683999999999997</v>
      </c>
      <c r="AG2208">
        <v>52</v>
      </c>
      <c r="AH2208">
        <v>0</v>
      </c>
    </row>
    <row r="2209" spans="1:34" x14ac:dyDescent="0.35">
      <c r="A2209" t="s">
        <v>34</v>
      </c>
      <c r="B2209" s="1">
        <v>46146.65625</v>
      </c>
      <c r="C2209" t="s">
        <v>34</v>
      </c>
      <c r="D2209" s="1">
        <v>46156.625</v>
      </c>
      <c r="E2209">
        <v>7240</v>
      </c>
      <c r="F2209" t="s">
        <v>36</v>
      </c>
      <c r="G2209">
        <v>75.17</v>
      </c>
      <c r="H2209">
        <v>91.8</v>
      </c>
      <c r="I2209">
        <v>60.6</v>
      </c>
      <c r="J2209">
        <v>82.19</v>
      </c>
      <c r="K2209">
        <v>22</v>
      </c>
      <c r="L2209">
        <v>7</v>
      </c>
      <c r="M2209">
        <v>84.6</v>
      </c>
      <c r="N2209">
        <v>1</v>
      </c>
      <c r="O2209">
        <v>85.1</v>
      </c>
      <c r="P2209">
        <v>0</v>
      </c>
      <c r="Q2209">
        <v>0</v>
      </c>
      <c r="R2209">
        <v>0</v>
      </c>
      <c r="S2209">
        <v>0</v>
      </c>
      <c r="T2209">
        <v>0.1391</v>
      </c>
      <c r="U2209">
        <v>-0.57569999999999999</v>
      </c>
      <c r="V2209">
        <v>2.3999999999999998E-3</v>
      </c>
      <c r="W2209">
        <v>-3.3094000000000001</v>
      </c>
      <c r="X2209">
        <v>4.6763000000000003</v>
      </c>
      <c r="Y2209">
        <v>-1.1618999999999999</v>
      </c>
      <c r="Z2209">
        <v>9</v>
      </c>
      <c r="AA2209">
        <v>85.5</v>
      </c>
      <c r="AB2209">
        <v>7</v>
      </c>
      <c r="AC2209">
        <v>86.2</v>
      </c>
      <c r="AD2209">
        <v>0</v>
      </c>
      <c r="AE2209">
        <v>0</v>
      </c>
      <c r="AF2209">
        <v>71.354500000000002</v>
      </c>
      <c r="AG2209">
        <v>28</v>
      </c>
      <c r="AH2209">
        <v>0</v>
      </c>
    </row>
    <row r="2210" spans="1:34" x14ac:dyDescent="0.35">
      <c r="A2210" t="s">
        <v>34</v>
      </c>
      <c r="B2210" s="1">
        <v>46146.65625</v>
      </c>
      <c r="C2210" t="s">
        <v>34</v>
      </c>
      <c r="D2210" s="1">
        <v>46156.625</v>
      </c>
      <c r="E2210">
        <v>7245</v>
      </c>
      <c r="F2210" t="s">
        <v>36</v>
      </c>
      <c r="G2210">
        <v>71.209999999999994</v>
      </c>
      <c r="H2210">
        <v>81.150000000000006</v>
      </c>
      <c r="I2210">
        <v>71.209999999999994</v>
      </c>
      <c r="J2210">
        <v>81.150000000000006</v>
      </c>
      <c r="K2210">
        <v>11</v>
      </c>
      <c r="L2210">
        <v>7</v>
      </c>
      <c r="M2210">
        <v>87</v>
      </c>
      <c r="N2210">
        <v>8</v>
      </c>
      <c r="O2210">
        <v>87.6</v>
      </c>
      <c r="P2210">
        <v>0</v>
      </c>
      <c r="Q2210">
        <v>0</v>
      </c>
      <c r="R2210">
        <v>0</v>
      </c>
      <c r="S2210">
        <v>0</v>
      </c>
      <c r="T2210">
        <v>0.13819999999999999</v>
      </c>
      <c r="U2210">
        <v>-0.58789999999999998</v>
      </c>
      <c r="V2210">
        <v>2.3999999999999998E-3</v>
      </c>
      <c r="W2210">
        <v>-3.2658999999999998</v>
      </c>
      <c r="X2210">
        <v>4.6478000000000002</v>
      </c>
      <c r="Y2210">
        <v>-1.1870000000000001</v>
      </c>
      <c r="Z2210">
        <v>9</v>
      </c>
      <c r="AA2210">
        <v>88</v>
      </c>
      <c r="AB2210">
        <v>6</v>
      </c>
      <c r="AC2210">
        <v>88.6</v>
      </c>
      <c r="AD2210">
        <v>0</v>
      </c>
      <c r="AE2210">
        <v>0</v>
      </c>
      <c r="AF2210">
        <v>80.246399999999994</v>
      </c>
      <c r="AG2210">
        <v>5</v>
      </c>
      <c r="AH2210">
        <v>0</v>
      </c>
    </row>
    <row r="2211" spans="1:34" x14ac:dyDescent="0.35">
      <c r="A2211" t="s">
        <v>34</v>
      </c>
      <c r="B2211" s="1">
        <v>46146.65625</v>
      </c>
      <c r="C2211" t="s">
        <v>34</v>
      </c>
      <c r="D2211" s="1">
        <v>46156.625</v>
      </c>
      <c r="E2211">
        <v>7250</v>
      </c>
      <c r="F2211" t="s">
        <v>36</v>
      </c>
      <c r="G2211">
        <v>73.540000000000006</v>
      </c>
      <c r="H2211">
        <v>89.42</v>
      </c>
      <c r="I2211">
        <v>67.239999999999995</v>
      </c>
      <c r="J2211">
        <v>89.16</v>
      </c>
      <c r="K2211">
        <v>44</v>
      </c>
      <c r="L2211">
        <v>7</v>
      </c>
      <c r="M2211">
        <v>89.6</v>
      </c>
      <c r="N2211">
        <v>7</v>
      </c>
      <c r="O2211">
        <v>90.2</v>
      </c>
      <c r="P2211">
        <v>0</v>
      </c>
      <c r="Q2211">
        <v>0</v>
      </c>
      <c r="R2211">
        <v>0</v>
      </c>
      <c r="S2211">
        <v>0</v>
      </c>
      <c r="T2211">
        <v>0.13719999999999999</v>
      </c>
      <c r="U2211">
        <v>-0.60029999999999994</v>
      </c>
      <c r="V2211">
        <v>2.3999999999999998E-3</v>
      </c>
      <c r="W2211">
        <v>-3.2155</v>
      </c>
      <c r="X2211">
        <v>4.6148999999999996</v>
      </c>
      <c r="Y2211">
        <v>-1.2121</v>
      </c>
      <c r="Z2211">
        <v>7</v>
      </c>
      <c r="AA2211">
        <v>90.6</v>
      </c>
      <c r="AB2211">
        <v>6</v>
      </c>
      <c r="AC2211">
        <v>91.2</v>
      </c>
      <c r="AD2211">
        <v>0</v>
      </c>
      <c r="AE2211">
        <v>0</v>
      </c>
      <c r="AF2211">
        <v>87.531400000000005</v>
      </c>
      <c r="AG2211">
        <v>273</v>
      </c>
      <c r="AH2211">
        <v>0</v>
      </c>
    </row>
    <row r="2212" spans="1:34" x14ac:dyDescent="0.35">
      <c r="A2212" t="s">
        <v>34</v>
      </c>
      <c r="B2212" s="1">
        <v>46146.65625</v>
      </c>
      <c r="C2212" t="s">
        <v>34</v>
      </c>
      <c r="D2212" s="1">
        <v>46156.625</v>
      </c>
      <c r="E2212">
        <v>7255</v>
      </c>
      <c r="F2212" t="s">
        <v>36</v>
      </c>
      <c r="G2212">
        <v>75.92</v>
      </c>
      <c r="H2212">
        <v>75.92</v>
      </c>
      <c r="I2212">
        <v>75.92</v>
      </c>
      <c r="J2212">
        <v>75.92</v>
      </c>
      <c r="K2212">
        <v>1</v>
      </c>
      <c r="L2212">
        <v>6</v>
      </c>
      <c r="M2212">
        <v>92.2</v>
      </c>
      <c r="N2212">
        <v>6</v>
      </c>
      <c r="O2212">
        <v>92.8</v>
      </c>
      <c r="P2212">
        <v>0</v>
      </c>
      <c r="Q2212">
        <v>0</v>
      </c>
      <c r="R2212">
        <v>0</v>
      </c>
      <c r="S2212">
        <v>0</v>
      </c>
      <c r="T2212">
        <v>0.13619999999999999</v>
      </c>
      <c r="U2212">
        <v>-0.61280000000000001</v>
      </c>
      <c r="V2212">
        <v>2.3999999999999998E-3</v>
      </c>
      <c r="W2212">
        <v>-3.161</v>
      </c>
      <c r="X2212">
        <v>4.5776000000000003</v>
      </c>
      <c r="Y2212">
        <v>-1.2373000000000001</v>
      </c>
      <c r="Z2212">
        <v>7</v>
      </c>
      <c r="AA2212">
        <v>93.2</v>
      </c>
      <c r="AB2212">
        <v>6</v>
      </c>
      <c r="AC2212">
        <v>93.8</v>
      </c>
      <c r="AD2212">
        <v>0</v>
      </c>
      <c r="AE2212">
        <v>0</v>
      </c>
      <c r="AF2212">
        <v>75.92</v>
      </c>
      <c r="AG2212">
        <v>1</v>
      </c>
      <c r="AH2212">
        <v>0</v>
      </c>
    </row>
    <row r="2213" spans="1:34" x14ac:dyDescent="0.35">
      <c r="A2213" t="s">
        <v>34</v>
      </c>
      <c r="B2213" s="1">
        <v>46146.65625</v>
      </c>
      <c r="C2213" t="s">
        <v>34</v>
      </c>
      <c r="D2213" s="1">
        <v>46156.625</v>
      </c>
      <c r="E2213">
        <v>7260</v>
      </c>
      <c r="F2213" t="s">
        <v>36</v>
      </c>
      <c r="G2213">
        <v>72.760000000000005</v>
      </c>
      <c r="H2213">
        <v>92.7</v>
      </c>
      <c r="I2213">
        <v>72.760000000000005</v>
      </c>
      <c r="J2213">
        <v>90.6</v>
      </c>
      <c r="K2213">
        <v>5</v>
      </c>
      <c r="L2213">
        <v>6</v>
      </c>
      <c r="M2213">
        <v>95</v>
      </c>
      <c r="N2213">
        <v>6</v>
      </c>
      <c r="O2213">
        <v>95.6</v>
      </c>
      <c r="P2213">
        <v>0</v>
      </c>
      <c r="Q2213">
        <v>0</v>
      </c>
      <c r="R2213">
        <v>0</v>
      </c>
      <c r="S2213">
        <v>0</v>
      </c>
      <c r="T2213">
        <v>0.13519999999999999</v>
      </c>
      <c r="U2213">
        <v>-0.62529999999999997</v>
      </c>
      <c r="V2213">
        <v>2.3E-3</v>
      </c>
      <c r="W2213">
        <v>-3.1053000000000002</v>
      </c>
      <c r="X2213">
        <v>4.5354000000000001</v>
      </c>
      <c r="Y2213">
        <v>-1.2627999999999999</v>
      </c>
      <c r="Z2213">
        <v>6</v>
      </c>
      <c r="AA2213">
        <v>96</v>
      </c>
      <c r="AB2213">
        <v>5</v>
      </c>
      <c r="AC2213">
        <v>96.6</v>
      </c>
      <c r="AD2213">
        <v>0</v>
      </c>
      <c r="AE2213">
        <v>0</v>
      </c>
      <c r="AF2213">
        <v>87.912000000000006</v>
      </c>
      <c r="AG2213">
        <v>41</v>
      </c>
      <c r="AH2213">
        <v>0</v>
      </c>
    </row>
    <row r="2214" spans="1:34" x14ac:dyDescent="0.35">
      <c r="A2214" t="s">
        <v>34</v>
      </c>
      <c r="B2214" s="1">
        <v>46146.65625</v>
      </c>
      <c r="C2214" t="s">
        <v>34</v>
      </c>
      <c r="D2214" s="1">
        <v>46156.625</v>
      </c>
      <c r="E2214">
        <v>7265</v>
      </c>
      <c r="F2214" t="s">
        <v>36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5</v>
      </c>
      <c r="M2214">
        <v>97.6</v>
      </c>
      <c r="N2214">
        <v>5</v>
      </c>
      <c r="O2214">
        <v>98.2</v>
      </c>
      <c r="P2214">
        <v>0</v>
      </c>
      <c r="Q2214">
        <v>0</v>
      </c>
      <c r="R2214">
        <v>0</v>
      </c>
      <c r="S2214">
        <v>0</v>
      </c>
      <c r="T2214">
        <v>0.13420000000000001</v>
      </c>
      <c r="U2214">
        <v>-0.63780000000000003</v>
      </c>
      <c r="V2214">
        <v>2.3E-3</v>
      </c>
      <c r="W2214">
        <v>-3.0453000000000001</v>
      </c>
      <c r="X2214">
        <v>4.4874999999999998</v>
      </c>
      <c r="Y2214">
        <v>-1.2888999999999999</v>
      </c>
      <c r="Z2214">
        <v>6</v>
      </c>
      <c r="AA2214">
        <v>98.8</v>
      </c>
      <c r="AB2214">
        <v>5</v>
      </c>
      <c r="AC2214">
        <v>99.3</v>
      </c>
      <c r="AD2214">
        <v>0</v>
      </c>
      <c r="AE2214">
        <v>0</v>
      </c>
      <c r="AF2214">
        <v>0</v>
      </c>
      <c r="AG2214">
        <v>11</v>
      </c>
      <c r="AH2214">
        <v>0</v>
      </c>
    </row>
    <row r="2215" spans="1:34" x14ac:dyDescent="0.35">
      <c r="A2215" t="s">
        <v>34</v>
      </c>
      <c r="B2215" s="1">
        <v>46146.65625</v>
      </c>
      <c r="C2215" t="s">
        <v>34</v>
      </c>
      <c r="D2215" s="1">
        <v>46156.625</v>
      </c>
      <c r="E2215">
        <v>7270</v>
      </c>
      <c r="F2215" t="s">
        <v>36</v>
      </c>
      <c r="G2215">
        <v>84.52</v>
      </c>
      <c r="H2215">
        <v>84.52</v>
      </c>
      <c r="I2215">
        <v>84.52</v>
      </c>
      <c r="J2215">
        <v>84.52</v>
      </c>
      <c r="K2215">
        <v>2</v>
      </c>
      <c r="L2215">
        <v>5</v>
      </c>
      <c r="M2215">
        <v>100.6</v>
      </c>
      <c r="N2215">
        <v>5</v>
      </c>
      <c r="O2215">
        <v>101.2</v>
      </c>
      <c r="P2215">
        <v>0</v>
      </c>
      <c r="Q2215">
        <v>0</v>
      </c>
      <c r="R2215">
        <v>0</v>
      </c>
      <c r="S2215">
        <v>0</v>
      </c>
      <c r="T2215">
        <v>0.13339999999999999</v>
      </c>
      <c r="U2215">
        <v>-0.6502</v>
      </c>
      <c r="V2215">
        <v>2.3E-3</v>
      </c>
      <c r="W2215">
        <v>-2.9870000000000001</v>
      </c>
      <c r="X2215">
        <v>4.4355000000000002</v>
      </c>
      <c r="Y2215">
        <v>-1.3145</v>
      </c>
      <c r="Z2215">
        <v>5</v>
      </c>
      <c r="AA2215">
        <v>101.6</v>
      </c>
      <c r="AB2215">
        <v>4</v>
      </c>
      <c r="AC2215">
        <v>102.2</v>
      </c>
      <c r="AD2215">
        <v>0</v>
      </c>
      <c r="AE2215">
        <v>0</v>
      </c>
      <c r="AF2215">
        <v>84.52</v>
      </c>
      <c r="AG2215">
        <v>16</v>
      </c>
      <c r="AH2215">
        <v>0</v>
      </c>
    </row>
    <row r="2216" spans="1:34" x14ac:dyDescent="0.35">
      <c r="A2216" t="s">
        <v>34</v>
      </c>
      <c r="B2216" s="1">
        <v>46146.65625</v>
      </c>
      <c r="C2216" t="s">
        <v>34</v>
      </c>
      <c r="D2216" s="1">
        <v>46156.625</v>
      </c>
      <c r="E2216">
        <v>7275</v>
      </c>
      <c r="F2216" t="s">
        <v>36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4</v>
      </c>
      <c r="M2216">
        <v>103.4</v>
      </c>
      <c r="N2216">
        <v>4</v>
      </c>
      <c r="O2216">
        <v>104</v>
      </c>
      <c r="P2216">
        <v>0</v>
      </c>
      <c r="Q2216">
        <v>0</v>
      </c>
      <c r="R2216">
        <v>0</v>
      </c>
      <c r="S2216">
        <v>0</v>
      </c>
      <c r="T2216">
        <v>0.13220000000000001</v>
      </c>
      <c r="U2216">
        <v>-0.66310000000000002</v>
      </c>
      <c r="V2216">
        <v>2.3E-3</v>
      </c>
      <c r="W2216">
        <v>-2.9156</v>
      </c>
      <c r="X2216">
        <v>4.3773999999999997</v>
      </c>
      <c r="Y2216">
        <v>-1.3407</v>
      </c>
      <c r="Z2216">
        <v>5</v>
      </c>
      <c r="AA2216">
        <v>104.6</v>
      </c>
      <c r="AB2216">
        <v>3</v>
      </c>
      <c r="AC2216">
        <v>105.1</v>
      </c>
      <c r="AD2216">
        <v>0</v>
      </c>
      <c r="AE2216">
        <v>0</v>
      </c>
      <c r="AF2216">
        <v>0</v>
      </c>
      <c r="AG2216">
        <v>80</v>
      </c>
      <c r="AH2216">
        <v>0</v>
      </c>
    </row>
    <row r="2217" spans="1:34" x14ac:dyDescent="0.35">
      <c r="A2217" t="s">
        <v>34</v>
      </c>
      <c r="B2217" s="1">
        <v>46146.65625</v>
      </c>
      <c r="C2217" t="s">
        <v>34</v>
      </c>
      <c r="D2217" s="1">
        <v>46156.625</v>
      </c>
      <c r="E2217">
        <v>7280</v>
      </c>
      <c r="F2217" t="s">
        <v>36</v>
      </c>
      <c r="G2217">
        <v>96.8</v>
      </c>
      <c r="H2217">
        <v>110.2</v>
      </c>
      <c r="I2217">
        <v>79.180000000000007</v>
      </c>
      <c r="J2217">
        <v>109.9</v>
      </c>
      <c r="K2217">
        <v>34</v>
      </c>
      <c r="L2217">
        <v>3</v>
      </c>
      <c r="M2217">
        <v>106.4</v>
      </c>
      <c r="N2217">
        <v>3</v>
      </c>
      <c r="O2217">
        <v>107</v>
      </c>
      <c r="P2217">
        <v>0</v>
      </c>
      <c r="Q2217">
        <v>0</v>
      </c>
      <c r="R2217">
        <v>0</v>
      </c>
      <c r="S2217">
        <v>0</v>
      </c>
      <c r="T2217">
        <v>0.1313</v>
      </c>
      <c r="U2217">
        <v>-0.67549999999999999</v>
      </c>
      <c r="V2217">
        <v>2.3E-3</v>
      </c>
      <c r="W2217">
        <v>-2.8492000000000002</v>
      </c>
      <c r="X2217">
        <v>4.3167</v>
      </c>
      <c r="Y2217">
        <v>-1.3658999999999999</v>
      </c>
      <c r="Z2217">
        <v>4</v>
      </c>
      <c r="AA2217">
        <v>107.6</v>
      </c>
      <c r="AB2217">
        <v>3</v>
      </c>
      <c r="AC2217">
        <v>108.1</v>
      </c>
      <c r="AD2217">
        <v>0</v>
      </c>
      <c r="AE2217">
        <v>0</v>
      </c>
      <c r="AF2217">
        <v>92.863500000000002</v>
      </c>
      <c r="AG2217">
        <v>20</v>
      </c>
      <c r="AH2217">
        <v>0</v>
      </c>
    </row>
    <row r="2218" spans="1:34" x14ac:dyDescent="0.35">
      <c r="A2218" t="s">
        <v>34</v>
      </c>
      <c r="B2218" s="1">
        <v>46146.65625</v>
      </c>
      <c r="C2218" t="s">
        <v>34</v>
      </c>
      <c r="D2218" s="1">
        <v>46156.625</v>
      </c>
      <c r="E2218">
        <v>7285</v>
      </c>
      <c r="F2218" t="s">
        <v>36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3</v>
      </c>
      <c r="M2218">
        <v>109.4</v>
      </c>
      <c r="N2218">
        <v>3</v>
      </c>
      <c r="O2218">
        <v>110</v>
      </c>
      <c r="P2218">
        <v>0</v>
      </c>
      <c r="Q2218">
        <v>0</v>
      </c>
      <c r="R2218">
        <v>0</v>
      </c>
      <c r="S2218">
        <v>0</v>
      </c>
      <c r="T2218">
        <v>0.1303</v>
      </c>
      <c r="U2218">
        <v>-0.68820000000000003</v>
      </c>
      <c r="V2218">
        <v>2.3E-3</v>
      </c>
      <c r="W2218">
        <v>-2.7759</v>
      </c>
      <c r="X2218">
        <v>4.2503000000000002</v>
      </c>
      <c r="Y2218">
        <v>-1.3917999999999999</v>
      </c>
      <c r="Z2218">
        <v>8</v>
      </c>
      <c r="AA2218">
        <v>108.7</v>
      </c>
      <c r="AB2218">
        <v>8</v>
      </c>
      <c r="AC2218">
        <v>113.1</v>
      </c>
      <c r="AD2218">
        <v>0</v>
      </c>
      <c r="AE2218">
        <v>0</v>
      </c>
      <c r="AF2218">
        <v>0</v>
      </c>
      <c r="AG2218">
        <v>9</v>
      </c>
      <c r="AH2218">
        <v>0</v>
      </c>
    </row>
    <row r="2219" spans="1:34" x14ac:dyDescent="0.35">
      <c r="A2219" t="s">
        <v>34</v>
      </c>
      <c r="B2219" s="1">
        <v>46146.65625</v>
      </c>
      <c r="C2219" t="s">
        <v>34</v>
      </c>
      <c r="D2219" s="1">
        <v>46156.625</v>
      </c>
      <c r="E2219">
        <v>7290</v>
      </c>
      <c r="F2219" t="s">
        <v>36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9</v>
      </c>
      <c r="M2219">
        <v>110.7</v>
      </c>
      <c r="N2219">
        <v>15</v>
      </c>
      <c r="O2219">
        <v>114.6</v>
      </c>
      <c r="P2219">
        <v>0</v>
      </c>
      <c r="Q2219">
        <v>0</v>
      </c>
      <c r="R2219">
        <v>0</v>
      </c>
      <c r="S2219">
        <v>0</v>
      </c>
      <c r="T2219">
        <v>0.12939999999999999</v>
      </c>
      <c r="U2219">
        <v>-0.70050000000000001</v>
      </c>
      <c r="V2219">
        <v>2.2000000000000001E-3</v>
      </c>
      <c r="W2219">
        <v>-2.7048000000000001</v>
      </c>
      <c r="X2219">
        <v>4.1794000000000002</v>
      </c>
      <c r="Y2219">
        <v>-1.4175</v>
      </c>
      <c r="Z2219">
        <v>15</v>
      </c>
      <c r="AA2219">
        <v>111.8</v>
      </c>
      <c r="AB2219">
        <v>8</v>
      </c>
      <c r="AC2219">
        <v>115.7</v>
      </c>
      <c r="AD2219">
        <v>0</v>
      </c>
      <c r="AE2219">
        <v>0</v>
      </c>
      <c r="AF2219">
        <v>0</v>
      </c>
      <c r="AG2219">
        <v>6</v>
      </c>
      <c r="AH2219">
        <v>0</v>
      </c>
    </row>
    <row r="2220" spans="1:34" x14ac:dyDescent="0.35">
      <c r="A2220" t="s">
        <v>34</v>
      </c>
      <c r="B2220" s="1">
        <v>46146.65625</v>
      </c>
      <c r="C2220" t="s">
        <v>34</v>
      </c>
      <c r="D2220" s="1">
        <v>46156.625</v>
      </c>
      <c r="E2220">
        <v>7295</v>
      </c>
      <c r="F2220" t="s">
        <v>36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1</v>
      </c>
      <c r="M2220">
        <v>114</v>
      </c>
      <c r="N2220">
        <v>7</v>
      </c>
      <c r="O2220">
        <v>117.9</v>
      </c>
      <c r="P2220">
        <v>0</v>
      </c>
      <c r="Q2220">
        <v>0</v>
      </c>
      <c r="R2220">
        <v>0</v>
      </c>
      <c r="S2220">
        <v>0</v>
      </c>
      <c r="T2220">
        <v>0.12870000000000001</v>
      </c>
      <c r="U2220">
        <v>-0.71250000000000002</v>
      </c>
      <c r="V2220">
        <v>2.2000000000000001E-3</v>
      </c>
      <c r="W2220">
        <v>-2.6368</v>
      </c>
      <c r="X2220">
        <v>4.1052999999999997</v>
      </c>
      <c r="Y2220">
        <v>-1.4423999999999999</v>
      </c>
      <c r="Z2220">
        <v>7</v>
      </c>
      <c r="AA2220">
        <v>115</v>
      </c>
      <c r="AB2220">
        <v>7</v>
      </c>
      <c r="AC2220">
        <v>119.5</v>
      </c>
      <c r="AD2220">
        <v>0</v>
      </c>
      <c r="AE2220">
        <v>0</v>
      </c>
      <c r="AF2220">
        <v>0</v>
      </c>
      <c r="AG2220">
        <v>2</v>
      </c>
      <c r="AH2220">
        <v>0</v>
      </c>
    </row>
    <row r="2221" spans="1:34" x14ac:dyDescent="0.35">
      <c r="A2221" t="s">
        <v>34</v>
      </c>
      <c r="B2221" s="1">
        <v>46146.65625</v>
      </c>
      <c r="C2221" t="s">
        <v>34</v>
      </c>
      <c r="D2221" s="1">
        <v>46156.625</v>
      </c>
      <c r="E2221">
        <v>7300</v>
      </c>
      <c r="F2221" t="s">
        <v>36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8</v>
      </c>
      <c r="M2221">
        <v>117.1</v>
      </c>
      <c r="N2221">
        <v>13</v>
      </c>
      <c r="O2221">
        <v>121.1</v>
      </c>
      <c r="P2221">
        <v>0</v>
      </c>
      <c r="Q2221">
        <v>0</v>
      </c>
      <c r="R2221">
        <v>0</v>
      </c>
      <c r="S2221">
        <v>0</v>
      </c>
      <c r="T2221">
        <v>0.1275</v>
      </c>
      <c r="U2221">
        <v>-0.72519999999999996</v>
      </c>
      <c r="V2221">
        <v>2.2000000000000001E-3</v>
      </c>
      <c r="W2221">
        <v>-2.5514000000000001</v>
      </c>
      <c r="X2221">
        <v>4.0218999999999996</v>
      </c>
      <c r="Y2221">
        <v>-1.4684999999999999</v>
      </c>
      <c r="Z2221">
        <v>13</v>
      </c>
      <c r="AA2221">
        <v>118.3</v>
      </c>
      <c r="AB2221">
        <v>7</v>
      </c>
      <c r="AC2221">
        <v>122.3</v>
      </c>
      <c r="AD2221">
        <v>0</v>
      </c>
      <c r="AE2221">
        <v>0</v>
      </c>
      <c r="AF2221">
        <v>0</v>
      </c>
      <c r="AG2221">
        <v>6</v>
      </c>
      <c r="AH2221">
        <v>0</v>
      </c>
    </row>
    <row r="2222" spans="1:34" x14ac:dyDescent="0.35">
      <c r="A2222" t="s">
        <v>34</v>
      </c>
      <c r="B2222" s="1">
        <v>46146.65625</v>
      </c>
      <c r="C2222" t="s">
        <v>34</v>
      </c>
      <c r="D2222" s="1">
        <v>46156.625</v>
      </c>
      <c r="E2222">
        <v>7305</v>
      </c>
      <c r="F2222" t="s">
        <v>36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1</v>
      </c>
      <c r="M2222">
        <v>120.4</v>
      </c>
      <c r="N2222">
        <v>7</v>
      </c>
      <c r="O2222">
        <v>124.4</v>
      </c>
      <c r="P2222">
        <v>0</v>
      </c>
      <c r="Q2222">
        <v>0</v>
      </c>
      <c r="R2222">
        <v>0</v>
      </c>
      <c r="S2222">
        <v>0</v>
      </c>
      <c r="T2222">
        <v>0.12659999999999999</v>
      </c>
      <c r="U2222">
        <v>-0.73740000000000006</v>
      </c>
      <c r="V2222">
        <v>2.2000000000000001E-3</v>
      </c>
      <c r="W2222">
        <v>-2.4712000000000001</v>
      </c>
      <c r="X2222">
        <v>3.9382000000000001</v>
      </c>
      <c r="Y2222">
        <v>-1.4932000000000001</v>
      </c>
      <c r="Z2222">
        <v>7</v>
      </c>
      <c r="AA2222">
        <v>121.5</v>
      </c>
      <c r="AB2222">
        <v>7</v>
      </c>
      <c r="AC2222">
        <v>126.2</v>
      </c>
      <c r="AD2222">
        <v>0</v>
      </c>
      <c r="AE2222">
        <v>0</v>
      </c>
      <c r="AF2222">
        <v>0</v>
      </c>
      <c r="AG2222">
        <v>7</v>
      </c>
      <c r="AH2222">
        <v>0</v>
      </c>
    </row>
    <row r="2223" spans="1:34" x14ac:dyDescent="0.35">
      <c r="A2223" t="s">
        <v>34</v>
      </c>
      <c r="B2223" s="1">
        <v>46146.65625</v>
      </c>
      <c r="C2223" t="s">
        <v>34</v>
      </c>
      <c r="D2223" s="1">
        <v>46156.625</v>
      </c>
      <c r="E2223">
        <v>7310</v>
      </c>
      <c r="F2223" t="s">
        <v>36</v>
      </c>
      <c r="G2223">
        <v>97.42</v>
      </c>
      <c r="H2223">
        <v>108.94</v>
      </c>
      <c r="I2223">
        <v>97.42</v>
      </c>
      <c r="J2223">
        <v>108.94</v>
      </c>
      <c r="K2223">
        <v>2</v>
      </c>
      <c r="L2223">
        <v>1</v>
      </c>
      <c r="M2223">
        <v>123.8</v>
      </c>
      <c r="N2223">
        <v>7</v>
      </c>
      <c r="O2223">
        <v>127.8</v>
      </c>
      <c r="P2223">
        <v>0</v>
      </c>
      <c r="Q2223">
        <v>0</v>
      </c>
      <c r="R2223">
        <v>0</v>
      </c>
      <c r="S2223">
        <v>0</v>
      </c>
      <c r="T2223">
        <v>0.12559999999999999</v>
      </c>
      <c r="U2223">
        <v>-0.74960000000000004</v>
      </c>
      <c r="V2223">
        <v>2.0999999999999999E-3</v>
      </c>
      <c r="W2223">
        <v>-2.3874</v>
      </c>
      <c r="X2223">
        <v>3.8490000000000002</v>
      </c>
      <c r="Y2223">
        <v>-1.5184</v>
      </c>
      <c r="Z2223">
        <v>13</v>
      </c>
      <c r="AA2223">
        <v>124.9</v>
      </c>
      <c r="AB2223">
        <v>13</v>
      </c>
      <c r="AC2223">
        <v>129.6</v>
      </c>
      <c r="AD2223">
        <v>0</v>
      </c>
      <c r="AE2223">
        <v>0</v>
      </c>
      <c r="AF2223">
        <v>103.18</v>
      </c>
      <c r="AG2223">
        <v>7</v>
      </c>
      <c r="AH2223">
        <v>0</v>
      </c>
    </row>
    <row r="2224" spans="1:34" x14ac:dyDescent="0.35">
      <c r="A2224" t="s">
        <v>34</v>
      </c>
      <c r="B2224" s="1">
        <v>46146.65625</v>
      </c>
      <c r="C2224" t="s">
        <v>34</v>
      </c>
      <c r="D2224" s="1">
        <v>46156.625</v>
      </c>
      <c r="E2224">
        <v>7315</v>
      </c>
      <c r="F2224" t="s">
        <v>36</v>
      </c>
      <c r="G2224">
        <v>100.47</v>
      </c>
      <c r="H2224">
        <v>100.47</v>
      </c>
      <c r="I2224">
        <v>99.01</v>
      </c>
      <c r="J2224">
        <v>99.01</v>
      </c>
      <c r="K2224">
        <v>2</v>
      </c>
      <c r="L2224">
        <v>1</v>
      </c>
      <c r="M2224">
        <v>127.2</v>
      </c>
      <c r="N2224">
        <v>1</v>
      </c>
      <c r="O2224">
        <v>131.30000000000001</v>
      </c>
      <c r="P2224">
        <v>0</v>
      </c>
      <c r="Q2224">
        <v>0</v>
      </c>
      <c r="R2224">
        <v>0</v>
      </c>
      <c r="S2224">
        <v>0</v>
      </c>
      <c r="T2224">
        <v>0.1246</v>
      </c>
      <c r="U2224">
        <v>-0.76170000000000004</v>
      </c>
      <c r="V2224">
        <v>2.0999999999999999E-3</v>
      </c>
      <c r="W2224">
        <v>-2.3022</v>
      </c>
      <c r="X2224">
        <v>3.7547999999999999</v>
      </c>
      <c r="Y2224">
        <v>-1.5435000000000001</v>
      </c>
      <c r="Z2224">
        <v>7</v>
      </c>
      <c r="AA2224">
        <v>128.4</v>
      </c>
      <c r="AB2224">
        <v>7</v>
      </c>
      <c r="AC2224">
        <v>133.19999999999999</v>
      </c>
      <c r="AD2224">
        <v>0</v>
      </c>
      <c r="AE2224">
        <v>0</v>
      </c>
      <c r="AF2224">
        <v>99.74</v>
      </c>
      <c r="AG2224">
        <v>0</v>
      </c>
      <c r="AH2224">
        <v>0</v>
      </c>
    </row>
    <row r="2225" spans="1:34" x14ac:dyDescent="0.35">
      <c r="A2225" t="s">
        <v>34</v>
      </c>
      <c r="B2225" s="1">
        <v>46146.65625</v>
      </c>
      <c r="C2225" t="s">
        <v>34</v>
      </c>
      <c r="D2225" s="1">
        <v>46156.625</v>
      </c>
      <c r="E2225">
        <v>7320</v>
      </c>
      <c r="F2225" t="s">
        <v>36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1</v>
      </c>
      <c r="M2225">
        <v>130.80000000000001</v>
      </c>
      <c r="N2225">
        <v>7</v>
      </c>
      <c r="O2225">
        <v>135.1</v>
      </c>
      <c r="P2225">
        <v>0</v>
      </c>
      <c r="Q2225">
        <v>0</v>
      </c>
      <c r="R2225">
        <v>0</v>
      </c>
      <c r="S2225">
        <v>0</v>
      </c>
      <c r="T2225">
        <v>0.1242</v>
      </c>
      <c r="U2225">
        <v>-0.77259999999999995</v>
      </c>
      <c r="V2225">
        <v>2E-3</v>
      </c>
      <c r="W2225">
        <v>-2.2301000000000002</v>
      </c>
      <c r="X2225">
        <v>3.6635</v>
      </c>
      <c r="Y2225">
        <v>-1.5665</v>
      </c>
      <c r="Z2225">
        <v>7</v>
      </c>
      <c r="AA2225">
        <v>132</v>
      </c>
      <c r="AB2225">
        <v>7</v>
      </c>
      <c r="AC2225">
        <v>136.9</v>
      </c>
      <c r="AD2225">
        <v>0</v>
      </c>
      <c r="AE2225">
        <v>0</v>
      </c>
      <c r="AF2225">
        <v>0</v>
      </c>
      <c r="AG2225">
        <v>0</v>
      </c>
      <c r="AH2225">
        <v>0</v>
      </c>
    </row>
    <row r="2226" spans="1:34" x14ac:dyDescent="0.35">
      <c r="A2226" t="s">
        <v>34</v>
      </c>
      <c r="B2226" s="1">
        <v>46146.65625</v>
      </c>
      <c r="C2226" t="s">
        <v>34</v>
      </c>
      <c r="D2226" s="1">
        <v>46156.625</v>
      </c>
      <c r="E2226">
        <v>7325</v>
      </c>
      <c r="F2226" t="s">
        <v>36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1</v>
      </c>
      <c r="M2226">
        <v>134.30000000000001</v>
      </c>
      <c r="N2226">
        <v>7</v>
      </c>
      <c r="O2226">
        <v>138.69999999999999</v>
      </c>
      <c r="P2226">
        <v>0</v>
      </c>
      <c r="Q2226">
        <v>0</v>
      </c>
      <c r="R2226">
        <v>0</v>
      </c>
      <c r="S2226">
        <v>0</v>
      </c>
      <c r="T2226">
        <v>0.1231</v>
      </c>
      <c r="U2226">
        <v>-0.78449999999999998</v>
      </c>
      <c r="V2226">
        <v>2E-3</v>
      </c>
      <c r="W2226">
        <v>-2.1392000000000002</v>
      </c>
      <c r="X2226">
        <v>3.5600999999999998</v>
      </c>
      <c r="Y2226">
        <v>-1.5908</v>
      </c>
      <c r="Z2226">
        <v>7</v>
      </c>
      <c r="AA2226">
        <v>135.6</v>
      </c>
      <c r="AB2226">
        <v>7</v>
      </c>
      <c r="AC2226">
        <v>140.6</v>
      </c>
      <c r="AD2226">
        <v>0</v>
      </c>
      <c r="AE2226">
        <v>0</v>
      </c>
      <c r="AF2226">
        <v>0</v>
      </c>
      <c r="AG2226">
        <v>1</v>
      </c>
      <c r="AH2226">
        <v>0</v>
      </c>
    </row>
    <row r="2227" spans="1:34" x14ac:dyDescent="0.35">
      <c r="A2227" t="s">
        <v>34</v>
      </c>
      <c r="B2227" s="1">
        <v>46146.65625</v>
      </c>
      <c r="C2227" t="s">
        <v>34</v>
      </c>
      <c r="D2227" s="1">
        <v>46156.625</v>
      </c>
      <c r="E2227">
        <v>7330</v>
      </c>
      <c r="F2227" t="s">
        <v>36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8</v>
      </c>
      <c r="M2227">
        <v>137.69999999999999</v>
      </c>
      <c r="N2227">
        <v>7</v>
      </c>
      <c r="O2227">
        <v>142.30000000000001</v>
      </c>
      <c r="P2227">
        <v>0</v>
      </c>
      <c r="Q2227">
        <v>0</v>
      </c>
      <c r="R2227">
        <v>0</v>
      </c>
      <c r="S2227">
        <v>0</v>
      </c>
      <c r="T2227">
        <v>0.1217</v>
      </c>
      <c r="U2227">
        <v>-0.79690000000000005</v>
      </c>
      <c r="V2227">
        <v>1.9E-3</v>
      </c>
      <c r="W2227">
        <v>-2.0366</v>
      </c>
      <c r="X2227">
        <v>3.448</v>
      </c>
      <c r="Y2227">
        <v>-1.6161000000000001</v>
      </c>
      <c r="Z2227">
        <v>7</v>
      </c>
      <c r="AA2227">
        <v>139.30000000000001</v>
      </c>
      <c r="AB2227">
        <v>7</v>
      </c>
      <c r="AC2227">
        <v>144.30000000000001</v>
      </c>
      <c r="AD2227">
        <v>0</v>
      </c>
      <c r="AE2227">
        <v>0</v>
      </c>
      <c r="AF2227">
        <v>0</v>
      </c>
      <c r="AG2227">
        <v>0</v>
      </c>
      <c r="AH2227">
        <v>0</v>
      </c>
    </row>
    <row r="2228" spans="1:34" x14ac:dyDescent="0.35">
      <c r="A2228" t="s">
        <v>34</v>
      </c>
      <c r="B2228" s="1">
        <v>46146.65625</v>
      </c>
      <c r="C2228" t="s">
        <v>34</v>
      </c>
      <c r="D2228" s="1">
        <v>46156.625</v>
      </c>
      <c r="E2228">
        <v>7335</v>
      </c>
      <c r="F2228" t="s">
        <v>36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8</v>
      </c>
      <c r="M2228">
        <v>141.4</v>
      </c>
      <c r="N2228">
        <v>6</v>
      </c>
      <c r="O2228">
        <v>146.6</v>
      </c>
      <c r="P2228">
        <v>0</v>
      </c>
      <c r="Q2228">
        <v>0</v>
      </c>
      <c r="R2228">
        <v>0</v>
      </c>
      <c r="S2228">
        <v>0</v>
      </c>
      <c r="T2228">
        <v>0.1207</v>
      </c>
      <c r="U2228">
        <v>-0.80830000000000002</v>
      </c>
      <c r="V2228">
        <v>1.9E-3</v>
      </c>
      <c r="W2228">
        <v>-1.9441999999999999</v>
      </c>
      <c r="X2228">
        <v>3.3384</v>
      </c>
      <c r="Y2228">
        <v>-1.6398999999999999</v>
      </c>
      <c r="Z2228">
        <v>7</v>
      </c>
      <c r="AA2228">
        <v>142.9</v>
      </c>
      <c r="AB2228">
        <v>7</v>
      </c>
      <c r="AC2228">
        <v>148</v>
      </c>
      <c r="AD2228">
        <v>0</v>
      </c>
      <c r="AE2228">
        <v>0</v>
      </c>
      <c r="AF2228">
        <v>0</v>
      </c>
      <c r="AG2228">
        <v>0</v>
      </c>
      <c r="AH2228">
        <v>0</v>
      </c>
    </row>
    <row r="2229" spans="1:34" x14ac:dyDescent="0.35">
      <c r="A2229" t="s">
        <v>34</v>
      </c>
      <c r="B2229" s="1">
        <v>46146.65625</v>
      </c>
      <c r="C2229" t="s">
        <v>34</v>
      </c>
      <c r="D2229" s="1">
        <v>46156.625</v>
      </c>
      <c r="E2229">
        <v>7340</v>
      </c>
      <c r="F2229" t="s">
        <v>36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7</v>
      </c>
      <c r="M2229">
        <v>145.30000000000001</v>
      </c>
      <c r="N2229">
        <v>7</v>
      </c>
      <c r="O2229">
        <v>150.19999999999999</v>
      </c>
      <c r="P2229">
        <v>0</v>
      </c>
      <c r="Q2229">
        <v>0</v>
      </c>
      <c r="R2229">
        <v>0</v>
      </c>
      <c r="S2229">
        <v>0</v>
      </c>
      <c r="T2229">
        <v>0.1205</v>
      </c>
      <c r="U2229">
        <v>-0.81769999999999998</v>
      </c>
      <c r="V2229">
        <v>1.8E-3</v>
      </c>
      <c r="W2229">
        <v>-1.8778999999999999</v>
      </c>
      <c r="X2229">
        <v>3.2425999999999999</v>
      </c>
      <c r="Y2229">
        <v>-1.66</v>
      </c>
      <c r="Z2229">
        <v>7</v>
      </c>
      <c r="AA2229">
        <v>146.80000000000001</v>
      </c>
      <c r="AB2229">
        <v>7</v>
      </c>
      <c r="AC2229">
        <v>152</v>
      </c>
      <c r="AD2229">
        <v>0</v>
      </c>
      <c r="AE2229">
        <v>0</v>
      </c>
      <c r="AF2229">
        <v>0</v>
      </c>
      <c r="AG2229">
        <v>0</v>
      </c>
      <c r="AH2229">
        <v>0</v>
      </c>
    </row>
    <row r="2230" spans="1:34" x14ac:dyDescent="0.35">
      <c r="A2230" t="s">
        <v>34</v>
      </c>
      <c r="B2230" s="1">
        <v>46146.65625</v>
      </c>
      <c r="C2230" t="s">
        <v>34</v>
      </c>
      <c r="D2230" s="1">
        <v>46156.625</v>
      </c>
      <c r="E2230">
        <v>7345</v>
      </c>
      <c r="F2230" t="s">
        <v>36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7</v>
      </c>
      <c r="M2230">
        <v>149.1</v>
      </c>
      <c r="N2230">
        <v>7</v>
      </c>
      <c r="O2230">
        <v>154.30000000000001</v>
      </c>
      <c r="P2230">
        <v>0</v>
      </c>
      <c r="Q2230">
        <v>0</v>
      </c>
      <c r="R2230">
        <v>0</v>
      </c>
      <c r="S2230">
        <v>0</v>
      </c>
      <c r="T2230">
        <v>0.11990000000000001</v>
      </c>
      <c r="U2230">
        <v>-0.82779999999999998</v>
      </c>
      <c r="V2230">
        <v>1.8E-3</v>
      </c>
      <c r="W2230">
        <v>-1.7968999999999999</v>
      </c>
      <c r="X2230">
        <v>3.1347</v>
      </c>
      <c r="Y2230">
        <v>-1.6812</v>
      </c>
      <c r="Z2230">
        <v>6</v>
      </c>
      <c r="AA2230">
        <v>150.69999999999999</v>
      </c>
      <c r="AB2230">
        <v>6</v>
      </c>
      <c r="AC2230">
        <v>155.9</v>
      </c>
      <c r="AD2230">
        <v>0</v>
      </c>
      <c r="AE2230">
        <v>0</v>
      </c>
      <c r="AF2230">
        <v>0</v>
      </c>
      <c r="AG2230">
        <v>0</v>
      </c>
      <c r="AH2230">
        <v>0</v>
      </c>
    </row>
    <row r="2231" spans="1:34" x14ac:dyDescent="0.35">
      <c r="A2231" t="s">
        <v>34</v>
      </c>
      <c r="B2231" s="1">
        <v>46146.65625</v>
      </c>
      <c r="C2231" t="s">
        <v>34</v>
      </c>
      <c r="D2231" s="1">
        <v>46156.625</v>
      </c>
      <c r="E2231">
        <v>7350</v>
      </c>
      <c r="F2231" t="s">
        <v>36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7</v>
      </c>
      <c r="M2231">
        <v>152.69999999999999</v>
      </c>
      <c r="N2231">
        <v>6</v>
      </c>
      <c r="O2231">
        <v>157.9</v>
      </c>
      <c r="P2231">
        <v>0</v>
      </c>
      <c r="Q2231">
        <v>0</v>
      </c>
      <c r="R2231">
        <v>0</v>
      </c>
      <c r="S2231">
        <v>0</v>
      </c>
      <c r="T2231">
        <v>0.1179</v>
      </c>
      <c r="U2231">
        <v>-0.84060000000000001</v>
      </c>
      <c r="V2231">
        <v>1.6999999999999999E-3</v>
      </c>
      <c r="W2231">
        <v>-1.6738999999999999</v>
      </c>
      <c r="X2231">
        <v>2.9943</v>
      </c>
      <c r="Y2231">
        <v>-1.7071000000000001</v>
      </c>
      <c r="Z2231">
        <v>6</v>
      </c>
      <c r="AA2231">
        <v>154.69999999999999</v>
      </c>
      <c r="AB2231">
        <v>6</v>
      </c>
      <c r="AC2231">
        <v>159.9</v>
      </c>
      <c r="AD2231">
        <v>0</v>
      </c>
      <c r="AE2231">
        <v>0</v>
      </c>
      <c r="AF2231">
        <v>0</v>
      </c>
      <c r="AG2231">
        <v>1</v>
      </c>
      <c r="AH2231">
        <v>0</v>
      </c>
    </row>
    <row r="2232" spans="1:34" x14ac:dyDescent="0.35">
      <c r="A2232" t="s">
        <v>34</v>
      </c>
      <c r="B2232" s="1">
        <v>46146.65625</v>
      </c>
      <c r="C2232" t="s">
        <v>34</v>
      </c>
      <c r="D2232" s="1">
        <v>46156.625</v>
      </c>
      <c r="E2232">
        <v>7355</v>
      </c>
      <c r="F2232" t="s">
        <v>36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6</v>
      </c>
      <c r="M2232">
        <v>157.1</v>
      </c>
      <c r="N2232">
        <v>6</v>
      </c>
      <c r="O2232">
        <v>162.1</v>
      </c>
      <c r="P2232">
        <v>0</v>
      </c>
      <c r="Q2232">
        <v>0</v>
      </c>
      <c r="R2232">
        <v>0</v>
      </c>
      <c r="S2232">
        <v>0</v>
      </c>
      <c r="T2232">
        <v>0.1181</v>
      </c>
      <c r="U2232">
        <v>-0.84850000000000003</v>
      </c>
      <c r="V2232">
        <v>1.6999999999999999E-3</v>
      </c>
      <c r="W2232">
        <v>-1.617</v>
      </c>
      <c r="X2232">
        <v>2.9032</v>
      </c>
      <c r="Y2232">
        <v>-1.7239</v>
      </c>
      <c r="Z2232">
        <v>6</v>
      </c>
      <c r="AA2232">
        <v>158.69999999999999</v>
      </c>
      <c r="AB2232">
        <v>6</v>
      </c>
      <c r="AC2232">
        <v>164</v>
      </c>
      <c r="AD2232">
        <v>0</v>
      </c>
      <c r="AE2232">
        <v>0</v>
      </c>
      <c r="AF2232">
        <v>0</v>
      </c>
      <c r="AG2232">
        <v>0</v>
      </c>
      <c r="AH2232">
        <v>0</v>
      </c>
    </row>
    <row r="2233" spans="1:34" x14ac:dyDescent="0.35">
      <c r="A2233" t="s">
        <v>34</v>
      </c>
      <c r="B2233" s="1">
        <v>46146.65625</v>
      </c>
      <c r="C2233" t="s">
        <v>34</v>
      </c>
      <c r="D2233" s="1">
        <v>46156.625</v>
      </c>
      <c r="E2233">
        <v>7360</v>
      </c>
      <c r="F2233" t="s">
        <v>36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7</v>
      </c>
      <c r="M2233">
        <v>160.80000000000001</v>
      </c>
      <c r="N2233">
        <v>6</v>
      </c>
      <c r="O2233">
        <v>166.1</v>
      </c>
      <c r="P2233">
        <v>0</v>
      </c>
      <c r="Q2233">
        <v>0</v>
      </c>
      <c r="R2233">
        <v>0</v>
      </c>
      <c r="S2233">
        <v>0</v>
      </c>
      <c r="T2233">
        <v>0.1164</v>
      </c>
      <c r="U2233">
        <v>-0.8599</v>
      </c>
      <c r="V2233">
        <v>1.6000000000000001E-3</v>
      </c>
      <c r="W2233">
        <v>-1.5063</v>
      </c>
      <c r="X2233">
        <v>2.7664</v>
      </c>
      <c r="Y2233">
        <v>-1.7478</v>
      </c>
      <c r="Z2233">
        <v>6</v>
      </c>
      <c r="AA2233">
        <v>162.80000000000001</v>
      </c>
      <c r="AB2233">
        <v>6</v>
      </c>
      <c r="AC2233">
        <v>168.1</v>
      </c>
      <c r="AD2233">
        <v>0</v>
      </c>
      <c r="AE2233">
        <v>0</v>
      </c>
      <c r="AF2233">
        <v>0</v>
      </c>
      <c r="AG2233">
        <v>0</v>
      </c>
      <c r="AH2233">
        <v>0</v>
      </c>
    </row>
    <row r="2234" spans="1:34" x14ac:dyDescent="0.35">
      <c r="A2234" t="s">
        <v>34</v>
      </c>
      <c r="B2234" s="1">
        <v>46146.65625</v>
      </c>
      <c r="C2234" t="s">
        <v>34</v>
      </c>
      <c r="D2234" s="1">
        <v>46156.625</v>
      </c>
      <c r="E2234">
        <v>7365</v>
      </c>
      <c r="F2234" t="s">
        <v>36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6</v>
      </c>
      <c r="M2234">
        <v>165.1</v>
      </c>
      <c r="N2234">
        <v>6</v>
      </c>
      <c r="O2234">
        <v>170.6</v>
      </c>
      <c r="P2234">
        <v>0</v>
      </c>
      <c r="Q2234">
        <v>0</v>
      </c>
      <c r="R2234">
        <v>0</v>
      </c>
      <c r="S2234">
        <v>0</v>
      </c>
      <c r="T2234">
        <v>0.1166</v>
      </c>
      <c r="U2234">
        <v>-0.86709999999999998</v>
      </c>
      <c r="V2234">
        <v>1.5E-3</v>
      </c>
      <c r="W2234">
        <v>-1.4515</v>
      </c>
      <c r="X2234">
        <v>2.6743000000000001</v>
      </c>
      <c r="Y2234">
        <v>-1.7634000000000001</v>
      </c>
      <c r="Z2234">
        <v>6</v>
      </c>
      <c r="AA2234">
        <v>166.9</v>
      </c>
      <c r="AB2234">
        <v>6</v>
      </c>
      <c r="AC2234">
        <v>172.4</v>
      </c>
      <c r="AD2234">
        <v>0</v>
      </c>
      <c r="AE2234">
        <v>0</v>
      </c>
      <c r="AF2234">
        <v>0</v>
      </c>
      <c r="AG2234">
        <v>0</v>
      </c>
      <c r="AH2234">
        <v>0</v>
      </c>
    </row>
    <row r="2235" spans="1:34" x14ac:dyDescent="0.35">
      <c r="A2235" t="s">
        <v>34</v>
      </c>
      <c r="B2235" s="1">
        <v>46146.65625</v>
      </c>
      <c r="C2235" t="s">
        <v>34</v>
      </c>
      <c r="D2235" s="1">
        <v>46156.625</v>
      </c>
      <c r="E2235">
        <v>7370</v>
      </c>
      <c r="F2235" t="s">
        <v>36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6</v>
      </c>
      <c r="M2235">
        <v>169.3</v>
      </c>
      <c r="N2235">
        <v>6</v>
      </c>
      <c r="O2235">
        <v>174.8</v>
      </c>
      <c r="P2235">
        <v>0</v>
      </c>
      <c r="Q2235">
        <v>0</v>
      </c>
      <c r="R2235">
        <v>0</v>
      </c>
      <c r="S2235">
        <v>0</v>
      </c>
      <c r="T2235">
        <v>0.1159</v>
      </c>
      <c r="U2235">
        <v>-0.87590000000000001</v>
      </c>
      <c r="V2235">
        <v>1.5E-3</v>
      </c>
      <c r="W2235">
        <v>-1.3694999999999999</v>
      </c>
      <c r="X2235">
        <v>2.5577999999999999</v>
      </c>
      <c r="Y2235">
        <v>-1.782</v>
      </c>
      <c r="Z2235">
        <v>6</v>
      </c>
      <c r="AA2235">
        <v>171.1</v>
      </c>
      <c r="AB2235">
        <v>6</v>
      </c>
      <c r="AC2235">
        <v>176.6</v>
      </c>
      <c r="AD2235">
        <v>0</v>
      </c>
      <c r="AE2235">
        <v>0</v>
      </c>
      <c r="AF2235">
        <v>0</v>
      </c>
      <c r="AG2235">
        <v>0</v>
      </c>
      <c r="AH2235">
        <v>0</v>
      </c>
    </row>
    <row r="2236" spans="1:34" x14ac:dyDescent="0.35">
      <c r="A2236" t="s">
        <v>34</v>
      </c>
      <c r="B2236" s="1">
        <v>46146.65625</v>
      </c>
      <c r="C2236" t="s">
        <v>34</v>
      </c>
      <c r="D2236" s="1">
        <v>46156.625</v>
      </c>
      <c r="E2236">
        <v>7375</v>
      </c>
      <c r="F2236" t="s">
        <v>36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6</v>
      </c>
      <c r="M2236">
        <v>173.8</v>
      </c>
      <c r="N2236">
        <v>6</v>
      </c>
      <c r="O2236">
        <v>178.8</v>
      </c>
      <c r="P2236">
        <v>0</v>
      </c>
      <c r="Q2236">
        <v>0</v>
      </c>
      <c r="R2236">
        <v>0</v>
      </c>
      <c r="S2236">
        <v>0</v>
      </c>
      <c r="T2236">
        <v>0.1152</v>
      </c>
      <c r="U2236">
        <v>-0.88449999999999995</v>
      </c>
      <c r="V2236">
        <v>1.4E-3</v>
      </c>
      <c r="W2236">
        <v>-1.2885</v>
      </c>
      <c r="X2236">
        <v>2.4422000000000001</v>
      </c>
      <c r="Y2236">
        <v>-1.7999000000000001</v>
      </c>
      <c r="Z2236">
        <v>6</v>
      </c>
      <c r="AA2236">
        <v>175.4</v>
      </c>
      <c r="AB2236">
        <v>6</v>
      </c>
      <c r="AC2236">
        <v>180.9</v>
      </c>
      <c r="AD2236">
        <v>0</v>
      </c>
      <c r="AE2236">
        <v>0</v>
      </c>
      <c r="AF2236">
        <v>0</v>
      </c>
      <c r="AG2236">
        <v>0</v>
      </c>
      <c r="AH2236">
        <v>0</v>
      </c>
    </row>
    <row r="2237" spans="1:34" x14ac:dyDescent="0.35">
      <c r="A2237" t="s">
        <v>34</v>
      </c>
      <c r="B2237" s="1">
        <v>46146.65625</v>
      </c>
      <c r="C2237" t="s">
        <v>34</v>
      </c>
      <c r="D2237" s="1">
        <v>46156.625</v>
      </c>
      <c r="E2237">
        <v>7380</v>
      </c>
      <c r="F2237" t="s">
        <v>36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7</v>
      </c>
      <c r="M2237">
        <v>177.7</v>
      </c>
      <c r="N2237">
        <v>6</v>
      </c>
      <c r="O2237">
        <v>183.2</v>
      </c>
      <c r="P2237">
        <v>0</v>
      </c>
      <c r="Q2237">
        <v>0</v>
      </c>
      <c r="R2237">
        <v>0</v>
      </c>
      <c r="S2237">
        <v>0</v>
      </c>
      <c r="T2237">
        <v>0.1138</v>
      </c>
      <c r="U2237">
        <v>-0.89410000000000001</v>
      </c>
      <c r="V2237">
        <v>1.2999999999999999E-3</v>
      </c>
      <c r="W2237">
        <v>-1.1892</v>
      </c>
      <c r="X2237">
        <v>2.3073999999999999</v>
      </c>
      <c r="Y2237">
        <v>-1.8203</v>
      </c>
      <c r="Z2237">
        <v>6</v>
      </c>
      <c r="AA2237">
        <v>179.6</v>
      </c>
      <c r="AB2237">
        <v>6</v>
      </c>
      <c r="AC2237">
        <v>185.2</v>
      </c>
      <c r="AD2237">
        <v>0</v>
      </c>
      <c r="AE2237">
        <v>0</v>
      </c>
      <c r="AF2237">
        <v>0</v>
      </c>
      <c r="AG2237">
        <v>0</v>
      </c>
      <c r="AH2237">
        <v>0</v>
      </c>
    </row>
    <row r="2238" spans="1:34" x14ac:dyDescent="0.35">
      <c r="A2238" t="s">
        <v>34</v>
      </c>
      <c r="B2238" s="1">
        <v>46146.65625</v>
      </c>
      <c r="C2238" t="s">
        <v>34</v>
      </c>
      <c r="D2238" s="1">
        <v>46156.625</v>
      </c>
      <c r="E2238">
        <v>7390</v>
      </c>
      <c r="F2238" t="s">
        <v>36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6</v>
      </c>
      <c r="M2238">
        <v>186.7</v>
      </c>
      <c r="N2238">
        <v>6</v>
      </c>
      <c r="O2238">
        <v>192.3</v>
      </c>
      <c r="P2238">
        <v>0</v>
      </c>
      <c r="Q2238">
        <v>0</v>
      </c>
      <c r="R2238">
        <v>0</v>
      </c>
      <c r="S2238">
        <v>0</v>
      </c>
      <c r="T2238">
        <v>0.1138</v>
      </c>
      <c r="U2238">
        <v>-0.90649999999999997</v>
      </c>
      <c r="V2238">
        <v>1.1999999999999999E-3</v>
      </c>
      <c r="W2238">
        <v>-1.0770999999999999</v>
      </c>
      <c r="X2238">
        <v>2.1191</v>
      </c>
      <c r="Y2238">
        <v>-1.8474999999999999</v>
      </c>
      <c r="Z2238">
        <v>6</v>
      </c>
      <c r="AA2238">
        <v>188.4</v>
      </c>
      <c r="AB2238">
        <v>6</v>
      </c>
      <c r="AC2238">
        <v>194.1</v>
      </c>
      <c r="AD2238">
        <v>0</v>
      </c>
      <c r="AE2238">
        <v>0</v>
      </c>
      <c r="AF2238">
        <v>0</v>
      </c>
      <c r="AG2238">
        <v>0</v>
      </c>
      <c r="AH2238">
        <v>0</v>
      </c>
    </row>
    <row r="2239" spans="1:34" x14ac:dyDescent="0.35">
      <c r="A2239" t="s">
        <v>34</v>
      </c>
      <c r="B2239" s="1">
        <v>46146.65625</v>
      </c>
      <c r="C2239" t="s">
        <v>34</v>
      </c>
      <c r="D2239" s="1">
        <v>46156.625</v>
      </c>
      <c r="E2239">
        <v>7400</v>
      </c>
      <c r="F2239" t="s">
        <v>36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7</v>
      </c>
      <c r="M2239">
        <v>195.7</v>
      </c>
      <c r="N2239">
        <v>6</v>
      </c>
      <c r="O2239">
        <v>201.5</v>
      </c>
      <c r="P2239">
        <v>0</v>
      </c>
      <c r="Q2239">
        <v>0</v>
      </c>
      <c r="R2239">
        <v>0</v>
      </c>
      <c r="S2239">
        <v>0</v>
      </c>
      <c r="T2239">
        <v>0.1135</v>
      </c>
      <c r="U2239">
        <v>-0.91849999999999998</v>
      </c>
      <c r="V2239">
        <v>1.1000000000000001E-3</v>
      </c>
      <c r="W2239">
        <v>-0.96060000000000001</v>
      </c>
      <c r="X2239">
        <v>1.9281999999999999</v>
      </c>
      <c r="Y2239">
        <v>-1.8734999999999999</v>
      </c>
      <c r="Z2239">
        <v>6</v>
      </c>
      <c r="AA2239">
        <v>197.4</v>
      </c>
      <c r="AB2239">
        <v>6</v>
      </c>
      <c r="AC2239">
        <v>203.1</v>
      </c>
      <c r="AD2239">
        <v>0</v>
      </c>
      <c r="AE2239">
        <v>0</v>
      </c>
      <c r="AF2239">
        <v>0</v>
      </c>
      <c r="AG2239">
        <v>3</v>
      </c>
      <c r="AH2239">
        <v>0</v>
      </c>
    </row>
    <row r="2240" spans="1:34" x14ac:dyDescent="0.35">
      <c r="A2240" t="s">
        <v>34</v>
      </c>
      <c r="B2240" s="1">
        <v>46146.65625</v>
      </c>
      <c r="C2240" t="s">
        <v>34</v>
      </c>
      <c r="D2240" s="1">
        <v>46156.625</v>
      </c>
      <c r="E2240">
        <v>7410</v>
      </c>
      <c r="F2240" t="s">
        <v>36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1</v>
      </c>
      <c r="M2240">
        <v>201.2</v>
      </c>
      <c r="N2240">
        <v>1</v>
      </c>
      <c r="O2240">
        <v>212.9</v>
      </c>
      <c r="P2240">
        <v>0</v>
      </c>
      <c r="Q2240">
        <v>0</v>
      </c>
      <c r="R2240">
        <v>0</v>
      </c>
      <c r="S2240">
        <v>0</v>
      </c>
      <c r="T2240">
        <v>0.1082</v>
      </c>
      <c r="U2240">
        <v>-0.93830000000000002</v>
      </c>
      <c r="V2240">
        <v>8.9999999999999998E-4</v>
      </c>
      <c r="W2240">
        <v>-0.72330000000000005</v>
      </c>
      <c r="X2240">
        <v>1.5886</v>
      </c>
      <c r="Y2240">
        <v>-1.9149</v>
      </c>
      <c r="Z2240">
        <v>1</v>
      </c>
      <c r="AA2240">
        <v>201</v>
      </c>
      <c r="AB2240">
        <v>1</v>
      </c>
      <c r="AC2240">
        <v>216.8</v>
      </c>
      <c r="AD2240">
        <v>0</v>
      </c>
      <c r="AE2240">
        <v>0</v>
      </c>
      <c r="AF2240">
        <v>0</v>
      </c>
      <c r="AG2240">
        <v>0</v>
      </c>
      <c r="AH2240">
        <v>0</v>
      </c>
    </row>
    <row r="2241" spans="1:34" x14ac:dyDescent="0.35">
      <c r="A2241" t="s">
        <v>34</v>
      </c>
      <c r="B2241" s="1">
        <v>46146.65625</v>
      </c>
      <c r="C2241" t="s">
        <v>34</v>
      </c>
      <c r="D2241" s="1">
        <v>46156.625</v>
      </c>
      <c r="E2241">
        <v>7420</v>
      </c>
      <c r="F2241" t="s">
        <v>36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1</v>
      </c>
      <c r="M2241">
        <v>210.1</v>
      </c>
      <c r="N2241">
        <v>1</v>
      </c>
      <c r="O2241">
        <v>223.8</v>
      </c>
      <c r="P2241">
        <v>0</v>
      </c>
      <c r="Q2241">
        <v>0</v>
      </c>
      <c r="R2241">
        <v>0</v>
      </c>
      <c r="S2241">
        <v>0</v>
      </c>
      <c r="T2241">
        <v>0.1118</v>
      </c>
      <c r="U2241">
        <v>-0.94089999999999996</v>
      </c>
      <c r="V2241">
        <v>8.9999999999999998E-4</v>
      </c>
      <c r="W2241">
        <v>-0.72030000000000005</v>
      </c>
      <c r="X2241">
        <v>1.5353000000000001</v>
      </c>
      <c r="Y2241">
        <v>-1.9229000000000001</v>
      </c>
      <c r="Z2241">
        <v>2</v>
      </c>
      <c r="AA2241">
        <v>209</v>
      </c>
      <c r="AB2241">
        <v>1</v>
      </c>
      <c r="AC2241">
        <v>228.1</v>
      </c>
      <c r="AD2241">
        <v>0</v>
      </c>
      <c r="AE2241">
        <v>0</v>
      </c>
      <c r="AF2241">
        <v>0</v>
      </c>
      <c r="AG2241">
        <v>0</v>
      </c>
      <c r="AH2241">
        <v>0</v>
      </c>
    </row>
    <row r="2242" spans="1:34" x14ac:dyDescent="0.35">
      <c r="A2242" t="s">
        <v>34</v>
      </c>
      <c r="B2242" s="1">
        <v>46146.65625</v>
      </c>
      <c r="C2242" t="s">
        <v>34</v>
      </c>
      <c r="D2242" s="1">
        <v>46156.625</v>
      </c>
      <c r="E2242">
        <v>7425</v>
      </c>
      <c r="F2242" t="s">
        <v>36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1</v>
      </c>
      <c r="M2242">
        <v>211.8</v>
      </c>
      <c r="N2242">
        <v>2</v>
      </c>
      <c r="O2242">
        <v>230.8</v>
      </c>
      <c r="P2242">
        <v>0</v>
      </c>
      <c r="Q2242">
        <v>0</v>
      </c>
      <c r="R2242">
        <v>0</v>
      </c>
      <c r="S2242">
        <v>0</v>
      </c>
      <c r="T2242">
        <v>0.111</v>
      </c>
      <c r="U2242">
        <v>-0.94599999999999995</v>
      </c>
      <c r="V2242">
        <v>8.0000000000000004E-4</v>
      </c>
      <c r="W2242">
        <v>-0.6603</v>
      </c>
      <c r="X2242">
        <v>1.4379</v>
      </c>
      <c r="Y2242">
        <v>-1.9345000000000001</v>
      </c>
      <c r="Z2242">
        <v>2</v>
      </c>
      <c r="AA2242">
        <v>212.9</v>
      </c>
      <c r="AB2242">
        <v>1</v>
      </c>
      <c r="AC2242">
        <v>232.5</v>
      </c>
      <c r="AD2242">
        <v>0</v>
      </c>
      <c r="AE2242">
        <v>0</v>
      </c>
      <c r="AF2242">
        <v>0</v>
      </c>
      <c r="AG2242">
        <v>0</v>
      </c>
      <c r="AH2242">
        <v>0</v>
      </c>
    </row>
    <row r="2243" spans="1:34" x14ac:dyDescent="0.35">
      <c r="A2243" t="s">
        <v>34</v>
      </c>
      <c r="B2243" s="1">
        <v>46146.65625</v>
      </c>
      <c r="C2243" t="s">
        <v>34</v>
      </c>
      <c r="D2243" s="1">
        <v>46156.625</v>
      </c>
      <c r="E2243">
        <v>7430</v>
      </c>
      <c r="F2243" t="s">
        <v>36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1</v>
      </c>
      <c r="M2243">
        <v>216.3</v>
      </c>
      <c r="N2243">
        <v>2</v>
      </c>
      <c r="O2243">
        <v>235.5</v>
      </c>
      <c r="P2243">
        <v>0</v>
      </c>
      <c r="Q2243">
        <v>0</v>
      </c>
      <c r="R2243">
        <v>0</v>
      </c>
      <c r="S2243">
        <v>0</v>
      </c>
      <c r="T2243">
        <v>0.1091</v>
      </c>
      <c r="U2243">
        <v>-0.95289999999999997</v>
      </c>
      <c r="V2243">
        <v>8.0000000000000004E-4</v>
      </c>
      <c r="W2243">
        <v>-0.5746</v>
      </c>
      <c r="X2243">
        <v>1.3026</v>
      </c>
      <c r="Y2243">
        <v>-1.9494</v>
      </c>
      <c r="Z2243">
        <v>2</v>
      </c>
      <c r="AA2243">
        <v>217.6</v>
      </c>
      <c r="AB2243">
        <v>1</v>
      </c>
      <c r="AC2243">
        <v>237.2</v>
      </c>
      <c r="AD2243">
        <v>0</v>
      </c>
      <c r="AE2243">
        <v>0</v>
      </c>
      <c r="AF2243">
        <v>0</v>
      </c>
      <c r="AG2243">
        <v>0</v>
      </c>
      <c r="AH2243">
        <v>0</v>
      </c>
    </row>
    <row r="2244" spans="1:34" x14ac:dyDescent="0.35">
      <c r="A2244" t="s">
        <v>34</v>
      </c>
      <c r="B2244" s="1">
        <v>46146.65625</v>
      </c>
      <c r="C2244" t="s">
        <v>34</v>
      </c>
      <c r="D2244" s="1">
        <v>46156.625</v>
      </c>
      <c r="E2244">
        <v>7440</v>
      </c>
      <c r="F2244" t="s">
        <v>36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1</v>
      </c>
      <c r="M2244">
        <v>226.1</v>
      </c>
      <c r="N2244">
        <v>2</v>
      </c>
      <c r="O2244">
        <v>245</v>
      </c>
      <c r="P2244">
        <v>0</v>
      </c>
      <c r="Q2244">
        <v>0</v>
      </c>
      <c r="R2244">
        <v>0</v>
      </c>
      <c r="S2244">
        <v>0</v>
      </c>
      <c r="T2244">
        <v>0.10979999999999999</v>
      </c>
      <c r="U2244">
        <v>-0.95879999999999999</v>
      </c>
      <c r="V2244">
        <v>6.9999999999999999E-4</v>
      </c>
      <c r="W2244">
        <v>-0.51229999999999998</v>
      </c>
      <c r="X2244">
        <v>1.1783999999999999</v>
      </c>
      <c r="Y2244">
        <v>-1.9636</v>
      </c>
      <c r="Z2244">
        <v>2</v>
      </c>
      <c r="AA2244">
        <v>227</v>
      </c>
      <c r="AB2244">
        <v>1</v>
      </c>
      <c r="AC2244">
        <v>246.7</v>
      </c>
      <c r="AD2244">
        <v>0</v>
      </c>
      <c r="AE2244">
        <v>0</v>
      </c>
      <c r="AF2244">
        <v>0</v>
      </c>
      <c r="AG2244">
        <v>0</v>
      </c>
      <c r="AH2244">
        <v>0</v>
      </c>
    </row>
    <row r="2245" spans="1:34" x14ac:dyDescent="0.35">
      <c r="A2245" t="s">
        <v>34</v>
      </c>
      <c r="B2245" s="1">
        <v>46146.65625</v>
      </c>
      <c r="C2245" t="s">
        <v>34</v>
      </c>
      <c r="D2245" s="1">
        <v>46156.625</v>
      </c>
      <c r="E2245">
        <v>7450</v>
      </c>
      <c r="F2245" t="s">
        <v>36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1</v>
      </c>
      <c r="M2245">
        <v>234.9</v>
      </c>
      <c r="N2245">
        <v>2</v>
      </c>
      <c r="O2245">
        <v>254.6</v>
      </c>
      <c r="P2245">
        <v>0</v>
      </c>
      <c r="Q2245">
        <v>0</v>
      </c>
      <c r="R2245">
        <v>0</v>
      </c>
      <c r="S2245">
        <v>0</v>
      </c>
      <c r="T2245">
        <v>0.1056</v>
      </c>
      <c r="U2245">
        <v>-0.97009999999999996</v>
      </c>
      <c r="V2245">
        <v>5.0000000000000001E-4</v>
      </c>
      <c r="W2245">
        <v>-0.3644</v>
      </c>
      <c r="X2245">
        <v>0.92920000000000003</v>
      </c>
      <c r="Y2245">
        <v>-1.9884999999999999</v>
      </c>
      <c r="Z2245">
        <v>1</v>
      </c>
      <c r="AA2245">
        <v>237.9</v>
      </c>
      <c r="AB2245">
        <v>1</v>
      </c>
      <c r="AC2245">
        <v>259.89999999999998</v>
      </c>
      <c r="AD2245">
        <v>0</v>
      </c>
      <c r="AE2245">
        <v>0</v>
      </c>
      <c r="AF2245">
        <v>0</v>
      </c>
      <c r="AG2245">
        <v>0</v>
      </c>
      <c r="AH2245">
        <v>0</v>
      </c>
    </row>
    <row r="2246" spans="1:34" x14ac:dyDescent="0.35">
      <c r="A2246" t="s">
        <v>34</v>
      </c>
      <c r="B2246" s="1">
        <v>46146.65625</v>
      </c>
      <c r="C2246" t="s">
        <v>34</v>
      </c>
      <c r="D2246" s="1">
        <v>46156.625</v>
      </c>
      <c r="E2246">
        <v>7475</v>
      </c>
      <c r="F2246" t="s">
        <v>36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1</v>
      </c>
      <c r="M2246">
        <v>259.5</v>
      </c>
      <c r="N2246">
        <v>1</v>
      </c>
      <c r="O2246">
        <v>279</v>
      </c>
      <c r="P2246">
        <v>0</v>
      </c>
      <c r="Q2246">
        <v>0</v>
      </c>
      <c r="R2246">
        <v>0</v>
      </c>
      <c r="S2246">
        <v>0</v>
      </c>
      <c r="T2246">
        <v>0.10730000000000001</v>
      </c>
      <c r="U2246">
        <v>-0.97940000000000005</v>
      </c>
      <c r="V2246">
        <v>4.0000000000000002E-4</v>
      </c>
      <c r="W2246">
        <v>-0.25519999999999998</v>
      </c>
      <c r="X2246">
        <v>0.69479999999999997</v>
      </c>
      <c r="Y2246">
        <v>-2.0139999999999998</v>
      </c>
      <c r="Z2246">
        <v>1</v>
      </c>
      <c r="AA2246">
        <v>262.2</v>
      </c>
      <c r="AB2246">
        <v>1</v>
      </c>
      <c r="AC2246">
        <v>284.3</v>
      </c>
      <c r="AD2246">
        <v>0</v>
      </c>
      <c r="AE2246">
        <v>0</v>
      </c>
      <c r="AF2246">
        <v>0</v>
      </c>
      <c r="AG2246">
        <v>0</v>
      </c>
      <c r="AH2246">
        <v>0</v>
      </c>
    </row>
    <row r="2247" spans="1:34" x14ac:dyDescent="0.35">
      <c r="A2247" t="s">
        <v>34</v>
      </c>
      <c r="B2247" s="1">
        <v>46146.65625</v>
      </c>
      <c r="C2247" t="s">
        <v>34</v>
      </c>
      <c r="D2247" s="1">
        <v>46156.625</v>
      </c>
      <c r="E2247">
        <v>7500</v>
      </c>
      <c r="F2247" t="s">
        <v>36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1</v>
      </c>
      <c r="M2247">
        <v>283.89999999999998</v>
      </c>
      <c r="N2247">
        <v>1</v>
      </c>
      <c r="O2247">
        <v>303.8</v>
      </c>
      <c r="P2247">
        <v>0</v>
      </c>
      <c r="Q2247">
        <v>0</v>
      </c>
      <c r="R2247">
        <v>0</v>
      </c>
      <c r="S2247">
        <v>0</v>
      </c>
      <c r="T2247">
        <v>0.1075</v>
      </c>
      <c r="U2247">
        <v>-0.98699999999999999</v>
      </c>
      <c r="V2247">
        <v>2.9999999999999997E-4</v>
      </c>
      <c r="W2247">
        <v>-0.15609999999999999</v>
      </c>
      <c r="X2247">
        <v>0.48470000000000002</v>
      </c>
      <c r="Y2247">
        <v>-2.0358999999999998</v>
      </c>
      <c r="Z2247">
        <v>3</v>
      </c>
      <c r="AA2247">
        <v>285.5</v>
      </c>
      <c r="AB2247">
        <v>1</v>
      </c>
      <c r="AC2247">
        <v>304.3</v>
      </c>
      <c r="AD2247">
        <v>0</v>
      </c>
      <c r="AE2247">
        <v>0</v>
      </c>
      <c r="AF2247">
        <v>0</v>
      </c>
      <c r="AG2247">
        <v>0</v>
      </c>
      <c r="AH2247">
        <v>0</v>
      </c>
    </row>
    <row r="2248" spans="1:34" x14ac:dyDescent="0.35">
      <c r="A2248" t="s">
        <v>34</v>
      </c>
      <c r="B2248" s="1">
        <v>46146.65625</v>
      </c>
      <c r="C2248" t="s">
        <v>34</v>
      </c>
      <c r="D2248" s="1">
        <v>46156.625</v>
      </c>
      <c r="E2248">
        <v>7525</v>
      </c>
      <c r="F2248" t="s">
        <v>36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1</v>
      </c>
      <c r="M2248">
        <v>309.60000000000002</v>
      </c>
      <c r="N2248">
        <v>1</v>
      </c>
      <c r="O2248">
        <v>328.4</v>
      </c>
      <c r="P2248">
        <v>0</v>
      </c>
      <c r="Q2248">
        <v>0</v>
      </c>
      <c r="R2248">
        <v>0</v>
      </c>
      <c r="S2248">
        <v>0</v>
      </c>
      <c r="T2248">
        <v>0.1196</v>
      </c>
      <c r="U2248">
        <v>-0.98480000000000001</v>
      </c>
      <c r="V2248">
        <v>2.9999999999999997E-4</v>
      </c>
      <c r="W2248">
        <v>-0.20610000000000001</v>
      </c>
      <c r="X2248">
        <v>0.53649999999999998</v>
      </c>
      <c r="Y2248">
        <v>-2.0392999999999999</v>
      </c>
      <c r="Z2248">
        <v>1</v>
      </c>
      <c r="AA2248">
        <v>311.60000000000002</v>
      </c>
      <c r="AB2248">
        <v>3</v>
      </c>
      <c r="AC2248">
        <v>334.3</v>
      </c>
      <c r="AD2248">
        <v>0</v>
      </c>
      <c r="AE2248">
        <v>0</v>
      </c>
      <c r="AF2248">
        <v>0</v>
      </c>
      <c r="AG2248">
        <v>0</v>
      </c>
      <c r="AH2248">
        <v>0</v>
      </c>
    </row>
    <row r="2249" spans="1:34" x14ac:dyDescent="0.35">
      <c r="A2249" t="s">
        <v>34</v>
      </c>
      <c r="B2249" s="1">
        <v>46146.65625</v>
      </c>
      <c r="C2249" t="s">
        <v>34</v>
      </c>
      <c r="D2249" s="1">
        <v>46156.625</v>
      </c>
      <c r="E2249">
        <v>7550</v>
      </c>
      <c r="F2249" t="s">
        <v>36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1</v>
      </c>
      <c r="M2249">
        <v>333.5</v>
      </c>
      <c r="N2249">
        <v>1</v>
      </c>
      <c r="O2249">
        <v>353.2</v>
      </c>
      <c r="P2249">
        <v>0</v>
      </c>
      <c r="Q2249">
        <v>0</v>
      </c>
      <c r="R2249">
        <v>0</v>
      </c>
      <c r="S2249">
        <v>0</v>
      </c>
      <c r="T2249">
        <v>0.1024</v>
      </c>
      <c r="U2249">
        <v>-0.99690000000000001</v>
      </c>
      <c r="V2249">
        <v>1E-4</v>
      </c>
      <c r="W2249">
        <v>-9.1000000000000004E-3</v>
      </c>
      <c r="X2249">
        <v>0.15509999999999999</v>
      </c>
      <c r="Y2249">
        <v>-2.0697000000000001</v>
      </c>
      <c r="Z2249">
        <v>1</v>
      </c>
      <c r="AA2249">
        <v>336.5</v>
      </c>
      <c r="AB2249">
        <v>1</v>
      </c>
      <c r="AC2249">
        <v>358.7</v>
      </c>
      <c r="AD2249">
        <v>0</v>
      </c>
      <c r="AE2249">
        <v>0</v>
      </c>
      <c r="AF2249">
        <v>0</v>
      </c>
      <c r="AG2249">
        <v>0</v>
      </c>
      <c r="AH2249">
        <v>0</v>
      </c>
    </row>
    <row r="2250" spans="1:34" x14ac:dyDescent="0.35">
      <c r="A2250" t="s">
        <v>34</v>
      </c>
      <c r="B2250" s="1">
        <v>46146.65625</v>
      </c>
      <c r="C2250" t="s">
        <v>34</v>
      </c>
      <c r="D2250" s="1">
        <v>46156.625</v>
      </c>
      <c r="E2250">
        <v>7575</v>
      </c>
      <c r="F2250" t="s">
        <v>36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1</v>
      </c>
      <c r="M2250">
        <v>358.4</v>
      </c>
      <c r="N2250">
        <v>1</v>
      </c>
      <c r="O2250">
        <v>378.1</v>
      </c>
      <c r="P2250">
        <v>0</v>
      </c>
      <c r="Q2250">
        <v>0</v>
      </c>
      <c r="R2250">
        <v>0</v>
      </c>
      <c r="S2250">
        <v>0</v>
      </c>
      <c r="T2250">
        <v>9.8699999999999996E-2</v>
      </c>
      <c r="U2250">
        <v>-0.99880000000000002</v>
      </c>
      <c r="V2250">
        <v>0</v>
      </c>
      <c r="W2250">
        <v>0</v>
      </c>
      <c r="X2250">
        <v>7.0099999999999996E-2</v>
      </c>
      <c r="Y2250">
        <v>-2.0808</v>
      </c>
      <c r="Z2250">
        <v>1</v>
      </c>
      <c r="AA2250">
        <v>361.4</v>
      </c>
      <c r="AB2250">
        <v>1</v>
      </c>
      <c r="AC2250">
        <v>383.6</v>
      </c>
      <c r="AD2250">
        <v>0</v>
      </c>
      <c r="AE2250">
        <v>0</v>
      </c>
      <c r="AF2250">
        <v>0</v>
      </c>
      <c r="AG2250">
        <v>0</v>
      </c>
      <c r="AH2250">
        <v>0</v>
      </c>
    </row>
    <row r="2251" spans="1:34" x14ac:dyDescent="0.35">
      <c r="A2251" t="s">
        <v>34</v>
      </c>
      <c r="B2251" s="1">
        <v>46146.65625</v>
      </c>
      <c r="C2251" t="s">
        <v>34</v>
      </c>
      <c r="D2251" s="1">
        <v>46156.625</v>
      </c>
      <c r="E2251">
        <v>7600</v>
      </c>
      <c r="F2251" t="s">
        <v>36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1</v>
      </c>
      <c r="M2251">
        <v>384</v>
      </c>
      <c r="N2251">
        <v>2</v>
      </c>
      <c r="O2251">
        <v>404.1</v>
      </c>
      <c r="P2251">
        <v>0</v>
      </c>
      <c r="Q2251">
        <v>0</v>
      </c>
      <c r="R2251">
        <v>0</v>
      </c>
      <c r="S2251">
        <v>0</v>
      </c>
      <c r="T2251">
        <v>0.1462</v>
      </c>
      <c r="U2251">
        <v>-0.98519999999999996</v>
      </c>
      <c r="V2251">
        <v>2.0000000000000001E-4</v>
      </c>
      <c r="W2251">
        <v>-0.24390000000000001</v>
      </c>
      <c r="X2251">
        <v>0.50770000000000004</v>
      </c>
      <c r="Y2251">
        <v>-2.0625</v>
      </c>
      <c r="Z2251">
        <v>2</v>
      </c>
      <c r="AA2251">
        <v>385</v>
      </c>
      <c r="AB2251">
        <v>1</v>
      </c>
      <c r="AC2251">
        <v>407.5</v>
      </c>
      <c r="AD2251">
        <v>0</v>
      </c>
      <c r="AE2251">
        <v>0</v>
      </c>
      <c r="AF2251">
        <v>0</v>
      </c>
      <c r="AG2251">
        <v>0</v>
      </c>
      <c r="AH2251">
        <v>0</v>
      </c>
    </row>
    <row r="2252" spans="1:34" x14ac:dyDescent="0.35">
      <c r="A2252" t="s">
        <v>34</v>
      </c>
      <c r="B2252" s="1">
        <v>46146.65625</v>
      </c>
      <c r="C2252" t="s">
        <v>34</v>
      </c>
      <c r="D2252" s="1">
        <v>46156.625</v>
      </c>
      <c r="E2252">
        <v>7625</v>
      </c>
      <c r="F2252" t="s">
        <v>36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1</v>
      </c>
      <c r="M2252">
        <v>408.7</v>
      </c>
      <c r="N2252">
        <v>1</v>
      </c>
      <c r="O2252">
        <v>427.9</v>
      </c>
      <c r="P2252">
        <v>0</v>
      </c>
      <c r="Q2252">
        <v>0</v>
      </c>
      <c r="R2252">
        <v>0</v>
      </c>
      <c r="S2252">
        <v>0</v>
      </c>
      <c r="T2252">
        <v>0.125</v>
      </c>
      <c r="U2252">
        <v>-0.99670000000000003</v>
      </c>
      <c r="V2252">
        <v>1E-4</v>
      </c>
      <c r="W2252">
        <v>-1.4800000000000001E-2</v>
      </c>
      <c r="X2252">
        <v>0.1537</v>
      </c>
      <c r="Y2252">
        <v>-2.0916000000000001</v>
      </c>
      <c r="Z2252">
        <v>1</v>
      </c>
      <c r="AA2252">
        <v>411.2</v>
      </c>
      <c r="AB2252">
        <v>3</v>
      </c>
      <c r="AC2252">
        <v>433.9</v>
      </c>
      <c r="AD2252">
        <v>0</v>
      </c>
      <c r="AE2252">
        <v>0</v>
      </c>
      <c r="AF2252">
        <v>0</v>
      </c>
      <c r="AG2252">
        <v>0</v>
      </c>
      <c r="AH2252">
        <v>0</v>
      </c>
    </row>
    <row r="2253" spans="1:34" x14ac:dyDescent="0.35">
      <c r="A2253" t="s">
        <v>34</v>
      </c>
      <c r="B2253" s="1">
        <v>46146.65625</v>
      </c>
      <c r="C2253" t="s">
        <v>34</v>
      </c>
      <c r="D2253" s="1">
        <v>46156.625</v>
      </c>
      <c r="E2253">
        <v>7650</v>
      </c>
      <c r="F2253" t="s">
        <v>36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1</v>
      </c>
      <c r="M2253">
        <v>433.2</v>
      </c>
      <c r="N2253">
        <v>1</v>
      </c>
      <c r="O2253">
        <v>452.8</v>
      </c>
      <c r="P2253">
        <v>0</v>
      </c>
      <c r="Q2253">
        <v>0</v>
      </c>
      <c r="R2253">
        <v>0</v>
      </c>
      <c r="S2253">
        <v>0</v>
      </c>
      <c r="T2253">
        <v>0.247</v>
      </c>
      <c r="U2253">
        <v>-0.92390000000000005</v>
      </c>
      <c r="V2253">
        <v>5.0000000000000001E-4</v>
      </c>
      <c r="W2253">
        <v>-1.9701</v>
      </c>
      <c r="X2253">
        <v>1.7572000000000001</v>
      </c>
      <c r="Y2253">
        <v>-1.9602999999999999</v>
      </c>
      <c r="Z2253">
        <v>1</v>
      </c>
      <c r="AA2253">
        <v>436.2</v>
      </c>
      <c r="AB2253">
        <v>1</v>
      </c>
      <c r="AC2253">
        <v>458.4</v>
      </c>
      <c r="AD2253">
        <v>0</v>
      </c>
      <c r="AE2253">
        <v>0</v>
      </c>
      <c r="AF2253">
        <v>0</v>
      </c>
      <c r="AG2253">
        <v>0</v>
      </c>
      <c r="AH2253">
        <v>0</v>
      </c>
    </row>
    <row r="2254" spans="1:34" x14ac:dyDescent="0.35">
      <c r="A2254" t="s">
        <v>34</v>
      </c>
      <c r="B2254" s="1">
        <v>46146.65625</v>
      </c>
      <c r="C2254" t="s">
        <v>34</v>
      </c>
      <c r="D2254" s="1">
        <v>46156.625</v>
      </c>
      <c r="E2254">
        <v>7675</v>
      </c>
      <c r="F2254" t="s">
        <v>36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1</v>
      </c>
      <c r="M2254">
        <v>459.3</v>
      </c>
      <c r="N2254">
        <v>1</v>
      </c>
      <c r="O2254">
        <v>478.1</v>
      </c>
      <c r="P2254">
        <v>0</v>
      </c>
      <c r="Q2254">
        <v>0</v>
      </c>
      <c r="R2254">
        <v>0</v>
      </c>
      <c r="S2254">
        <v>0</v>
      </c>
      <c r="T2254">
        <v>0.16139999999999999</v>
      </c>
      <c r="U2254">
        <v>-0.99029999999999996</v>
      </c>
      <c r="V2254">
        <v>1E-4</v>
      </c>
      <c r="W2254">
        <v>-0.1646</v>
      </c>
      <c r="X2254">
        <v>0.35539999999999999</v>
      </c>
      <c r="Y2254">
        <v>-2.0943999999999998</v>
      </c>
      <c r="Z2254">
        <v>3</v>
      </c>
      <c r="AA2254">
        <v>459.8</v>
      </c>
      <c r="AB2254">
        <v>1</v>
      </c>
      <c r="AC2254">
        <v>483.3</v>
      </c>
      <c r="AD2254">
        <v>0</v>
      </c>
      <c r="AE2254">
        <v>0</v>
      </c>
      <c r="AF2254">
        <v>0</v>
      </c>
      <c r="AG2254">
        <v>0</v>
      </c>
      <c r="AH2254">
        <v>0</v>
      </c>
    </row>
    <row r="2255" spans="1:34" x14ac:dyDescent="0.35">
      <c r="A2255" t="s">
        <v>34</v>
      </c>
      <c r="B2255" s="1">
        <v>46146.65625</v>
      </c>
      <c r="C2255" t="s">
        <v>34</v>
      </c>
      <c r="D2255" s="1">
        <v>46156.625</v>
      </c>
      <c r="E2255">
        <v>7700</v>
      </c>
      <c r="F2255" t="s">
        <v>36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1</v>
      </c>
      <c r="M2255">
        <v>483.1</v>
      </c>
      <c r="N2255">
        <v>1</v>
      </c>
      <c r="O2255">
        <v>502.8</v>
      </c>
      <c r="P2255">
        <v>0</v>
      </c>
      <c r="Q2255">
        <v>0</v>
      </c>
      <c r="R2255">
        <v>0</v>
      </c>
      <c r="S2255">
        <v>0</v>
      </c>
      <c r="T2255">
        <v>0.2676</v>
      </c>
      <c r="U2255">
        <v>-0.9284</v>
      </c>
      <c r="V2255">
        <v>4.0000000000000002E-4</v>
      </c>
      <c r="W2255">
        <v>-2.0268000000000002</v>
      </c>
      <c r="X2255">
        <v>1.6724000000000001</v>
      </c>
      <c r="Y2255">
        <v>-1.9842</v>
      </c>
      <c r="Z2255">
        <v>1</v>
      </c>
      <c r="AA2255">
        <v>486.1</v>
      </c>
      <c r="AB2255">
        <v>1</v>
      </c>
      <c r="AC2255">
        <v>508.3</v>
      </c>
      <c r="AD2255">
        <v>0</v>
      </c>
      <c r="AE2255">
        <v>0</v>
      </c>
      <c r="AF2255">
        <v>0</v>
      </c>
      <c r="AG2255">
        <v>0</v>
      </c>
      <c r="AH2255">
        <v>0</v>
      </c>
    </row>
    <row r="2256" spans="1:34" x14ac:dyDescent="0.35">
      <c r="A2256" t="s">
        <v>34</v>
      </c>
      <c r="B2256" s="1">
        <v>46146.65625</v>
      </c>
      <c r="C2256" t="s">
        <v>34</v>
      </c>
      <c r="D2256" s="1">
        <v>46156.625</v>
      </c>
      <c r="E2256">
        <v>7725</v>
      </c>
      <c r="F2256" t="s">
        <v>36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1</v>
      </c>
      <c r="M2256">
        <v>508.8</v>
      </c>
      <c r="N2256">
        <v>1</v>
      </c>
      <c r="O2256">
        <v>527.79999999999995</v>
      </c>
      <c r="P2256">
        <v>0</v>
      </c>
      <c r="Q2256">
        <v>0</v>
      </c>
      <c r="R2256">
        <v>0</v>
      </c>
      <c r="S2256">
        <v>0</v>
      </c>
      <c r="T2256">
        <v>0.2737</v>
      </c>
      <c r="U2256">
        <v>-0.93369999999999997</v>
      </c>
      <c r="V2256">
        <v>4.0000000000000002E-4</v>
      </c>
      <c r="W2256">
        <v>-1.9412</v>
      </c>
      <c r="X2256">
        <v>1.5773999999999999</v>
      </c>
      <c r="Y2256">
        <v>-2.0019999999999998</v>
      </c>
      <c r="Z2256">
        <v>1</v>
      </c>
      <c r="AA2256">
        <v>511</v>
      </c>
      <c r="AB2256">
        <v>2</v>
      </c>
      <c r="AC2256">
        <v>533.70000000000005</v>
      </c>
      <c r="AD2256">
        <v>0</v>
      </c>
      <c r="AE2256">
        <v>0</v>
      </c>
      <c r="AF2256">
        <v>0</v>
      </c>
      <c r="AG2256">
        <v>0</v>
      </c>
      <c r="AH2256">
        <v>0</v>
      </c>
    </row>
    <row r="2257" spans="1:34" x14ac:dyDescent="0.35">
      <c r="A2257" t="s">
        <v>34</v>
      </c>
      <c r="B2257" s="1">
        <v>46146.65625</v>
      </c>
      <c r="C2257" t="s">
        <v>34</v>
      </c>
      <c r="D2257" s="1">
        <v>46156.625</v>
      </c>
      <c r="E2257">
        <v>7800</v>
      </c>
      <c r="F2257" t="s">
        <v>36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1</v>
      </c>
      <c r="M2257">
        <v>582.9</v>
      </c>
      <c r="N2257">
        <v>1</v>
      </c>
      <c r="O2257">
        <v>602.20000000000005</v>
      </c>
      <c r="P2257">
        <v>0</v>
      </c>
      <c r="Q2257">
        <v>0</v>
      </c>
      <c r="R2257">
        <v>0</v>
      </c>
      <c r="S2257">
        <v>0</v>
      </c>
      <c r="T2257">
        <v>0.30359999999999998</v>
      </c>
      <c r="U2257">
        <v>-0.93830000000000002</v>
      </c>
      <c r="V2257">
        <v>2.9999999999999997E-4</v>
      </c>
      <c r="W2257">
        <v>-2.0247000000000002</v>
      </c>
      <c r="X2257">
        <v>1.4893000000000001</v>
      </c>
      <c r="Y2257">
        <v>-2.0329000000000002</v>
      </c>
      <c r="Z2257">
        <v>1</v>
      </c>
      <c r="AA2257">
        <v>585.4</v>
      </c>
      <c r="AB2257">
        <v>1</v>
      </c>
      <c r="AC2257">
        <v>608.5</v>
      </c>
      <c r="AD2257">
        <v>0</v>
      </c>
      <c r="AE2257">
        <v>0</v>
      </c>
      <c r="AF2257">
        <v>0</v>
      </c>
      <c r="AG2257">
        <v>0</v>
      </c>
      <c r="AH2257">
        <v>0</v>
      </c>
    </row>
    <row r="2258" spans="1:34" x14ac:dyDescent="0.35">
      <c r="A2258" t="s">
        <v>34</v>
      </c>
      <c r="B2258" s="1">
        <v>46146.65625</v>
      </c>
      <c r="C2258" t="s">
        <v>34</v>
      </c>
      <c r="D2258" s="1">
        <v>46156.625</v>
      </c>
      <c r="E2258">
        <v>7900</v>
      </c>
      <c r="F2258" t="s">
        <v>36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683.5</v>
      </c>
      <c r="N2258">
        <v>1</v>
      </c>
      <c r="O2258">
        <v>702.5</v>
      </c>
      <c r="P2258">
        <v>0</v>
      </c>
      <c r="Q2258">
        <v>0</v>
      </c>
      <c r="R2258">
        <v>0</v>
      </c>
      <c r="S2258">
        <v>0</v>
      </c>
      <c r="T2258">
        <v>0.19450000000000001</v>
      </c>
      <c r="U2258">
        <v>-0.99770000000000003</v>
      </c>
      <c r="V2258">
        <v>0</v>
      </c>
      <c r="W2258">
        <v>0</v>
      </c>
      <c r="X2258">
        <v>0.1011</v>
      </c>
      <c r="Y2258">
        <v>-2.1755</v>
      </c>
      <c r="Z2258">
        <v>1</v>
      </c>
      <c r="AA2258">
        <v>685.7</v>
      </c>
      <c r="AB2258">
        <v>3</v>
      </c>
      <c r="AC2258">
        <v>708.4</v>
      </c>
      <c r="AD2258">
        <v>0</v>
      </c>
      <c r="AE2258">
        <v>0</v>
      </c>
      <c r="AF2258">
        <v>0</v>
      </c>
      <c r="AG2258">
        <v>0</v>
      </c>
      <c r="AH2258">
        <v>0</v>
      </c>
    </row>
    <row r="2259" spans="1:34" x14ac:dyDescent="0.35">
      <c r="A2259" t="s">
        <v>34</v>
      </c>
      <c r="B2259" s="1">
        <v>46146.65625</v>
      </c>
      <c r="C2259" t="s">
        <v>34</v>
      </c>
      <c r="D2259" s="1">
        <v>46156.625</v>
      </c>
      <c r="E2259">
        <v>8000</v>
      </c>
      <c r="F2259" t="s">
        <v>36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1</v>
      </c>
      <c r="M2259">
        <v>782.6</v>
      </c>
      <c r="N2259">
        <v>1</v>
      </c>
      <c r="O2259">
        <v>802.5</v>
      </c>
      <c r="P2259">
        <v>0</v>
      </c>
      <c r="Q2259">
        <v>0</v>
      </c>
      <c r="R2259">
        <v>0</v>
      </c>
      <c r="S2259">
        <v>0</v>
      </c>
      <c r="T2259">
        <v>0.38169999999999998</v>
      </c>
      <c r="U2259">
        <v>-0.94650000000000001</v>
      </c>
      <c r="V2259">
        <v>2.0000000000000001E-4</v>
      </c>
      <c r="W2259">
        <v>-2.2422</v>
      </c>
      <c r="X2259">
        <v>1.3213999999999999</v>
      </c>
      <c r="Y2259">
        <v>-2.1089000000000002</v>
      </c>
      <c r="Z2259">
        <v>1</v>
      </c>
      <c r="AA2259">
        <v>785.7</v>
      </c>
      <c r="AB2259">
        <v>3</v>
      </c>
      <c r="AC2259">
        <v>808.3</v>
      </c>
      <c r="AD2259">
        <v>0</v>
      </c>
      <c r="AE2259">
        <v>0</v>
      </c>
      <c r="AF2259">
        <v>0</v>
      </c>
      <c r="AG2259">
        <v>0</v>
      </c>
      <c r="AH2259">
        <v>0</v>
      </c>
    </row>
    <row r="2260" spans="1:34" x14ac:dyDescent="0.35">
      <c r="A2260" t="s">
        <v>34</v>
      </c>
      <c r="B2260" s="1">
        <v>46146.65625</v>
      </c>
      <c r="C2260" t="s">
        <v>34</v>
      </c>
      <c r="D2260" s="1">
        <v>46156.625</v>
      </c>
      <c r="E2260">
        <v>8200</v>
      </c>
      <c r="F2260" t="s">
        <v>36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1</v>
      </c>
      <c r="M2260">
        <v>982.5</v>
      </c>
      <c r="N2260">
        <v>1</v>
      </c>
      <c r="O2260">
        <v>1000.4</v>
      </c>
      <c r="P2260">
        <v>0</v>
      </c>
      <c r="Q2260">
        <v>0</v>
      </c>
      <c r="R2260">
        <v>0</v>
      </c>
      <c r="S2260">
        <v>0</v>
      </c>
      <c r="T2260">
        <v>0.42299999999999999</v>
      </c>
      <c r="U2260">
        <v>-0.96419999999999995</v>
      </c>
      <c r="V2260">
        <v>2.0000000000000001E-4</v>
      </c>
      <c r="W2260">
        <v>-1.7185999999999999</v>
      </c>
      <c r="X2260">
        <v>0.9556</v>
      </c>
      <c r="Y2260">
        <v>-2.2023000000000001</v>
      </c>
      <c r="Z2260">
        <v>3</v>
      </c>
      <c r="AA2260">
        <v>984</v>
      </c>
      <c r="AB2260">
        <v>1</v>
      </c>
      <c r="AC2260">
        <v>1007.6</v>
      </c>
      <c r="AD2260">
        <v>0</v>
      </c>
      <c r="AE2260">
        <v>0</v>
      </c>
      <c r="AF2260">
        <v>0</v>
      </c>
      <c r="AG2260">
        <v>0</v>
      </c>
      <c r="AH2260">
        <v>0</v>
      </c>
    </row>
    <row r="2261" spans="1:34" x14ac:dyDescent="0.35">
      <c r="A2261" t="s">
        <v>34</v>
      </c>
      <c r="B2261" s="1">
        <v>46146.65625</v>
      </c>
      <c r="C2261" t="s">
        <v>34</v>
      </c>
      <c r="D2261" s="1">
        <v>46156.625</v>
      </c>
      <c r="E2261">
        <v>8400</v>
      </c>
      <c r="F2261" t="s">
        <v>36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1</v>
      </c>
      <c r="M2261">
        <v>1182.2</v>
      </c>
      <c r="N2261">
        <v>1</v>
      </c>
      <c r="O2261">
        <v>1201.2</v>
      </c>
      <c r="P2261">
        <v>0</v>
      </c>
      <c r="Q2261">
        <v>0</v>
      </c>
      <c r="R2261">
        <v>0</v>
      </c>
      <c r="S2261">
        <v>0</v>
      </c>
      <c r="T2261">
        <v>0.50419999999999998</v>
      </c>
      <c r="U2261">
        <v>-0.96289999999999998</v>
      </c>
      <c r="V2261">
        <v>1E-4</v>
      </c>
      <c r="W2261">
        <v>-2.1162999999999998</v>
      </c>
      <c r="X2261">
        <v>0.97850000000000004</v>
      </c>
      <c r="Y2261">
        <v>-2.2599999999999998</v>
      </c>
      <c r="Z2261">
        <v>1</v>
      </c>
      <c r="AA2261">
        <v>1184.4000000000001</v>
      </c>
      <c r="AB2261">
        <v>1</v>
      </c>
      <c r="AC2261">
        <v>1207.7</v>
      </c>
      <c r="AD2261">
        <v>0</v>
      </c>
      <c r="AE2261">
        <v>0</v>
      </c>
      <c r="AF2261">
        <v>0</v>
      </c>
      <c r="AG2261">
        <v>0</v>
      </c>
      <c r="AH2261">
        <v>0</v>
      </c>
    </row>
    <row r="2262" spans="1:34" x14ac:dyDescent="0.35">
      <c r="A2262" t="s">
        <v>34</v>
      </c>
      <c r="B2262" s="1">
        <v>46146.65625</v>
      </c>
      <c r="C2262" t="s">
        <v>34</v>
      </c>
      <c r="D2262" s="1">
        <v>46156.625</v>
      </c>
      <c r="E2262">
        <v>8600</v>
      </c>
      <c r="F2262" t="s">
        <v>36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1</v>
      </c>
      <c r="M2262">
        <v>1382.4</v>
      </c>
      <c r="N2262">
        <v>1</v>
      </c>
      <c r="O2262">
        <v>1401.7</v>
      </c>
      <c r="P2262">
        <v>0</v>
      </c>
      <c r="Q2262">
        <v>0</v>
      </c>
      <c r="R2262">
        <v>0</v>
      </c>
      <c r="S2262">
        <v>0</v>
      </c>
      <c r="T2262">
        <v>0.58009999999999995</v>
      </c>
      <c r="U2262">
        <v>-0.9627</v>
      </c>
      <c r="V2262">
        <v>1E-4</v>
      </c>
      <c r="W2262">
        <v>-2.4424999999999999</v>
      </c>
      <c r="X2262">
        <v>0.97809999999999997</v>
      </c>
      <c r="Y2262">
        <v>-2.3191000000000002</v>
      </c>
      <c r="Z2262">
        <v>1</v>
      </c>
      <c r="AA2262">
        <v>1384.9</v>
      </c>
      <c r="AB2262">
        <v>1</v>
      </c>
      <c r="AC2262">
        <v>1407.2</v>
      </c>
      <c r="AD2262">
        <v>0</v>
      </c>
      <c r="AE2262">
        <v>0</v>
      </c>
      <c r="AF2262">
        <v>0</v>
      </c>
      <c r="AG2262">
        <v>0</v>
      </c>
      <c r="AH2262">
        <v>0</v>
      </c>
    </row>
    <row r="2263" spans="1:34" x14ac:dyDescent="0.35">
      <c r="A2263" t="s">
        <v>34</v>
      </c>
      <c r="B2263" s="1">
        <v>46146.65625</v>
      </c>
      <c r="C2263" t="s">
        <v>34</v>
      </c>
      <c r="D2263" s="1">
        <v>46156.625</v>
      </c>
      <c r="E2263">
        <v>8800</v>
      </c>
      <c r="F2263" t="s">
        <v>36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1</v>
      </c>
      <c r="M2263">
        <v>1581.8</v>
      </c>
      <c r="N2263">
        <v>1</v>
      </c>
      <c r="O2263">
        <v>1601.6</v>
      </c>
      <c r="P2263">
        <v>0</v>
      </c>
      <c r="Q2263">
        <v>0</v>
      </c>
      <c r="R2263">
        <v>0</v>
      </c>
      <c r="S2263">
        <v>0</v>
      </c>
      <c r="T2263">
        <v>0.64200000000000002</v>
      </c>
      <c r="U2263">
        <v>-0.96530000000000005</v>
      </c>
      <c r="V2263">
        <v>1E-4</v>
      </c>
      <c r="W2263">
        <v>-2.5173000000000001</v>
      </c>
      <c r="X2263">
        <v>0.91830000000000001</v>
      </c>
      <c r="Y2263">
        <v>-2.3837999999999999</v>
      </c>
      <c r="Z2263">
        <v>1</v>
      </c>
      <c r="AA2263">
        <v>1584.8</v>
      </c>
      <c r="AB2263">
        <v>1</v>
      </c>
      <c r="AC2263">
        <v>1607</v>
      </c>
      <c r="AD2263">
        <v>0</v>
      </c>
      <c r="AE2263">
        <v>0</v>
      </c>
      <c r="AF2263">
        <v>0</v>
      </c>
      <c r="AG2263">
        <v>0</v>
      </c>
      <c r="AH2263">
        <v>0</v>
      </c>
    </row>
    <row r="2264" spans="1:34" x14ac:dyDescent="0.35">
      <c r="A2264" t="s">
        <v>34</v>
      </c>
      <c r="B2264" s="1">
        <v>46146.65625</v>
      </c>
      <c r="C2264" t="s">
        <v>34</v>
      </c>
      <c r="D2264" s="1">
        <v>46156.625</v>
      </c>
      <c r="E2264">
        <v>9000</v>
      </c>
      <c r="F2264" t="s">
        <v>36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1</v>
      </c>
      <c r="M2264">
        <v>1781.6</v>
      </c>
      <c r="N2264">
        <v>1</v>
      </c>
      <c r="O2264">
        <v>1801.2</v>
      </c>
      <c r="P2264">
        <v>0</v>
      </c>
      <c r="Q2264">
        <v>0</v>
      </c>
      <c r="R2264">
        <v>0</v>
      </c>
      <c r="S2264">
        <v>0</v>
      </c>
      <c r="T2264">
        <v>0.69820000000000004</v>
      </c>
      <c r="U2264">
        <v>-0.96819999999999995</v>
      </c>
      <c r="V2264">
        <v>1E-4</v>
      </c>
      <c r="W2264">
        <v>-2.5169999999999999</v>
      </c>
      <c r="X2264">
        <v>0.85470000000000002</v>
      </c>
      <c r="Y2264">
        <v>-2.4487999999999999</v>
      </c>
      <c r="Z2264">
        <v>1</v>
      </c>
      <c r="AA2264">
        <v>1784.5</v>
      </c>
      <c r="AB2264">
        <v>1</v>
      </c>
      <c r="AC2264">
        <v>1806.8</v>
      </c>
      <c r="AD2264">
        <v>0</v>
      </c>
      <c r="AE2264">
        <v>0</v>
      </c>
      <c r="AF2264">
        <v>0</v>
      </c>
      <c r="AG2264">
        <v>0</v>
      </c>
      <c r="AH2264">
        <v>0</v>
      </c>
    </row>
    <row r="2265" spans="1:34" x14ac:dyDescent="0.35">
      <c r="A2265" t="s">
        <v>34</v>
      </c>
      <c r="B2265" s="1">
        <v>46146.65625</v>
      </c>
      <c r="C2265" t="s">
        <v>34</v>
      </c>
      <c r="D2265" s="1">
        <v>46156.625</v>
      </c>
      <c r="E2265">
        <v>9200</v>
      </c>
      <c r="F2265" t="s">
        <v>36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1</v>
      </c>
      <c r="M2265">
        <v>1981.3</v>
      </c>
      <c r="N2265">
        <v>1</v>
      </c>
      <c r="O2265">
        <v>2001</v>
      </c>
      <c r="P2265">
        <v>0</v>
      </c>
      <c r="Q2265">
        <v>0</v>
      </c>
      <c r="R2265">
        <v>0</v>
      </c>
      <c r="S2265">
        <v>0</v>
      </c>
      <c r="T2265">
        <v>0.75449999999999995</v>
      </c>
      <c r="U2265">
        <v>-0.97009999999999996</v>
      </c>
      <c r="V2265">
        <v>1E-4</v>
      </c>
      <c r="W2265">
        <v>-2.5550999999999999</v>
      </c>
      <c r="X2265">
        <v>0.81040000000000001</v>
      </c>
      <c r="Y2265">
        <v>-2.5121000000000002</v>
      </c>
      <c r="Z2265">
        <v>1</v>
      </c>
      <c r="AA2265">
        <v>1984.3</v>
      </c>
      <c r="AB2265">
        <v>1</v>
      </c>
      <c r="AC2265">
        <v>2006.6</v>
      </c>
      <c r="AD2265">
        <v>0</v>
      </c>
      <c r="AE2265">
        <v>0</v>
      </c>
      <c r="AF2265">
        <v>0</v>
      </c>
      <c r="AG2265">
        <v>0</v>
      </c>
      <c r="AH2265">
        <v>0</v>
      </c>
    </row>
    <row r="2266" spans="1:34" x14ac:dyDescent="0.35">
      <c r="A2266" t="s">
        <v>34</v>
      </c>
      <c r="B2266" s="1">
        <v>46146.65625</v>
      </c>
      <c r="C2266" t="s">
        <v>34</v>
      </c>
      <c r="D2266" s="1">
        <v>46156.625</v>
      </c>
      <c r="E2266">
        <v>9400</v>
      </c>
      <c r="F2266" t="s">
        <v>36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1</v>
      </c>
      <c r="M2266">
        <v>2181.1</v>
      </c>
      <c r="N2266">
        <v>1</v>
      </c>
      <c r="O2266">
        <v>2200.8000000000002</v>
      </c>
      <c r="P2266">
        <v>0</v>
      </c>
      <c r="Q2266">
        <v>0</v>
      </c>
      <c r="R2266">
        <v>0</v>
      </c>
      <c r="S2266">
        <v>0</v>
      </c>
      <c r="T2266">
        <v>0.80169999999999997</v>
      </c>
      <c r="U2266">
        <v>-0.97289999999999999</v>
      </c>
      <c r="V2266">
        <v>1E-4</v>
      </c>
      <c r="W2266">
        <v>-2.4561000000000002</v>
      </c>
      <c r="X2266">
        <v>0.74409999999999998</v>
      </c>
      <c r="Y2266">
        <v>-2.5775000000000001</v>
      </c>
      <c r="Z2266">
        <v>1</v>
      </c>
      <c r="AA2266">
        <v>2184.1</v>
      </c>
      <c r="AB2266">
        <v>2</v>
      </c>
      <c r="AC2266">
        <v>2206.6999999999998</v>
      </c>
      <c r="AD2266">
        <v>0</v>
      </c>
      <c r="AE2266">
        <v>0</v>
      </c>
      <c r="AF2266">
        <v>0</v>
      </c>
      <c r="AG2266">
        <v>0</v>
      </c>
      <c r="AH2266">
        <v>0</v>
      </c>
    </row>
    <row r="2267" spans="1:34" x14ac:dyDescent="0.35">
      <c r="A2267" t="s">
        <v>37</v>
      </c>
      <c r="B2267" s="1">
        <v>46146.65625</v>
      </c>
      <c r="C2267" t="s">
        <v>37</v>
      </c>
      <c r="D2267" s="1">
        <v>46157.354166666664</v>
      </c>
      <c r="E2267">
        <v>200</v>
      </c>
      <c r="F2267" t="s">
        <v>35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225</v>
      </c>
      <c r="O2267">
        <v>0.05</v>
      </c>
      <c r="P2267">
        <v>0</v>
      </c>
      <c r="Q2267">
        <v>0</v>
      </c>
      <c r="R2267">
        <v>0</v>
      </c>
      <c r="S2267">
        <v>0</v>
      </c>
      <c r="T2267">
        <v>5.6702000000000004</v>
      </c>
      <c r="U2267">
        <v>0</v>
      </c>
      <c r="V2267">
        <v>0</v>
      </c>
      <c r="W2267">
        <v>-1.44E-2</v>
      </c>
      <c r="X2267">
        <v>6.9999999999999999E-4</v>
      </c>
      <c r="Y2267">
        <v>0</v>
      </c>
      <c r="Z2267">
        <v>0</v>
      </c>
      <c r="AA2267">
        <v>0</v>
      </c>
      <c r="AB2267">
        <v>9</v>
      </c>
      <c r="AC2267">
        <v>0.05</v>
      </c>
      <c r="AD2267">
        <v>0</v>
      </c>
      <c r="AE2267">
        <v>0</v>
      </c>
      <c r="AF2267">
        <v>0</v>
      </c>
      <c r="AG2267">
        <v>15</v>
      </c>
      <c r="AH2267">
        <v>0</v>
      </c>
    </row>
    <row r="2268" spans="1:34" x14ac:dyDescent="0.35">
      <c r="A2268" t="s">
        <v>37</v>
      </c>
      <c r="B2268" s="1">
        <v>46146.65625</v>
      </c>
      <c r="C2268" t="s">
        <v>37</v>
      </c>
      <c r="D2268" s="1">
        <v>46157.354166666664</v>
      </c>
      <c r="E2268">
        <v>400</v>
      </c>
      <c r="F2268" t="s">
        <v>35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219</v>
      </c>
      <c r="O2268">
        <v>0.05</v>
      </c>
      <c r="P2268">
        <v>0</v>
      </c>
      <c r="Q2268">
        <v>0</v>
      </c>
      <c r="R2268">
        <v>0</v>
      </c>
      <c r="S2268">
        <v>0</v>
      </c>
      <c r="T2268">
        <v>4.5281000000000002</v>
      </c>
      <c r="U2268">
        <v>0</v>
      </c>
      <c r="V2268">
        <v>0</v>
      </c>
      <c r="W2268">
        <v>-1.46E-2</v>
      </c>
      <c r="X2268">
        <v>1E-3</v>
      </c>
      <c r="Y2268">
        <v>0</v>
      </c>
      <c r="Z2268">
        <v>0</v>
      </c>
      <c r="AA2268">
        <v>0</v>
      </c>
      <c r="AB2268">
        <v>3</v>
      </c>
      <c r="AC2268">
        <v>0.05</v>
      </c>
      <c r="AD2268">
        <v>0</v>
      </c>
      <c r="AE2268">
        <v>0</v>
      </c>
      <c r="AF2268">
        <v>0</v>
      </c>
      <c r="AG2268">
        <v>3674</v>
      </c>
      <c r="AH2268">
        <v>0</v>
      </c>
    </row>
    <row r="2269" spans="1:34" x14ac:dyDescent="0.35">
      <c r="A2269" t="s">
        <v>37</v>
      </c>
      <c r="B2269" s="1">
        <v>46146.65625</v>
      </c>
      <c r="C2269" t="s">
        <v>37</v>
      </c>
      <c r="D2269" s="1">
        <v>46157.354166666664</v>
      </c>
      <c r="E2269">
        <v>600</v>
      </c>
      <c r="F2269" t="s">
        <v>35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268</v>
      </c>
      <c r="O2269">
        <v>0.05</v>
      </c>
      <c r="P2269">
        <v>0</v>
      </c>
      <c r="Q2269">
        <v>0</v>
      </c>
      <c r="R2269">
        <v>0</v>
      </c>
      <c r="S2269">
        <v>0</v>
      </c>
      <c r="T2269">
        <v>3.8773</v>
      </c>
      <c r="U2269">
        <v>0</v>
      </c>
      <c r="V2269">
        <v>0</v>
      </c>
      <c r="W2269">
        <v>-1.47E-2</v>
      </c>
      <c r="X2269">
        <v>1.1000000000000001E-3</v>
      </c>
      <c r="Y2269">
        <v>-1E-4</v>
      </c>
      <c r="Z2269">
        <v>0</v>
      </c>
      <c r="AA2269">
        <v>0</v>
      </c>
      <c r="AB2269">
        <v>3</v>
      </c>
      <c r="AC2269">
        <v>0.05</v>
      </c>
      <c r="AD2269">
        <v>0</v>
      </c>
      <c r="AE2269">
        <v>0</v>
      </c>
      <c r="AF2269">
        <v>0</v>
      </c>
      <c r="AG2269">
        <v>7922</v>
      </c>
      <c r="AH2269">
        <v>0</v>
      </c>
    </row>
    <row r="2270" spans="1:34" x14ac:dyDescent="0.35">
      <c r="A2270" t="s">
        <v>37</v>
      </c>
      <c r="B2270" s="1">
        <v>46146.65625</v>
      </c>
      <c r="C2270" t="s">
        <v>37</v>
      </c>
      <c r="D2270" s="1">
        <v>46157.354166666664</v>
      </c>
      <c r="E2270">
        <v>800</v>
      </c>
      <c r="F2270" t="s">
        <v>35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267</v>
      </c>
      <c r="O2270">
        <v>0.05</v>
      </c>
      <c r="P2270">
        <v>0</v>
      </c>
      <c r="Q2270">
        <v>0</v>
      </c>
      <c r="R2270">
        <v>0</v>
      </c>
      <c r="S2270">
        <v>0</v>
      </c>
      <c r="T2270">
        <v>3.4222999999999999</v>
      </c>
      <c r="U2270">
        <v>0</v>
      </c>
      <c r="V2270">
        <v>0</v>
      </c>
      <c r="W2270">
        <v>-1.47E-2</v>
      </c>
      <c r="X2270">
        <v>1.2999999999999999E-3</v>
      </c>
      <c r="Y2270">
        <v>-1E-4</v>
      </c>
      <c r="Z2270">
        <v>0</v>
      </c>
      <c r="AA2270">
        <v>0</v>
      </c>
      <c r="AB2270">
        <v>3</v>
      </c>
      <c r="AC2270">
        <v>0.05</v>
      </c>
      <c r="AD2270">
        <v>0</v>
      </c>
      <c r="AE2270">
        <v>0</v>
      </c>
      <c r="AF2270">
        <v>0</v>
      </c>
      <c r="AG2270">
        <v>1197</v>
      </c>
      <c r="AH2270">
        <v>0</v>
      </c>
    </row>
    <row r="2271" spans="1:34" x14ac:dyDescent="0.35">
      <c r="A2271" t="s">
        <v>37</v>
      </c>
      <c r="B2271" s="1">
        <v>46146.65625</v>
      </c>
      <c r="C2271" t="s">
        <v>37</v>
      </c>
      <c r="D2271" s="1">
        <v>46157.354166666664</v>
      </c>
      <c r="E2271">
        <v>1000</v>
      </c>
      <c r="F2271" t="s">
        <v>35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266</v>
      </c>
      <c r="O2271">
        <v>0.05</v>
      </c>
      <c r="P2271">
        <v>0</v>
      </c>
      <c r="Q2271">
        <v>0</v>
      </c>
      <c r="R2271">
        <v>0</v>
      </c>
      <c r="S2271">
        <v>0</v>
      </c>
      <c r="T2271">
        <v>3.0729000000000002</v>
      </c>
      <c r="U2271">
        <v>0</v>
      </c>
      <c r="V2271">
        <v>0</v>
      </c>
      <c r="W2271">
        <v>-1.47E-2</v>
      </c>
      <c r="X2271">
        <v>1.4E-3</v>
      </c>
      <c r="Y2271">
        <v>-1E-4</v>
      </c>
      <c r="Z2271">
        <v>0</v>
      </c>
      <c r="AA2271">
        <v>0</v>
      </c>
      <c r="AB2271">
        <v>2</v>
      </c>
      <c r="AC2271">
        <v>0.05</v>
      </c>
      <c r="AD2271">
        <v>0</v>
      </c>
      <c r="AE2271">
        <v>0</v>
      </c>
      <c r="AF2271">
        <v>0</v>
      </c>
      <c r="AG2271">
        <v>2827</v>
      </c>
      <c r="AH2271">
        <v>0</v>
      </c>
    </row>
    <row r="2272" spans="1:34" x14ac:dyDescent="0.35">
      <c r="A2272" t="s">
        <v>37</v>
      </c>
      <c r="B2272" s="1">
        <v>46146.65625</v>
      </c>
      <c r="C2272" t="s">
        <v>37</v>
      </c>
      <c r="D2272" s="1">
        <v>46157.354166666664</v>
      </c>
      <c r="E2272">
        <v>1200</v>
      </c>
      <c r="F2272" t="s">
        <v>35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268</v>
      </c>
      <c r="O2272">
        <v>0.05</v>
      </c>
      <c r="P2272">
        <v>0</v>
      </c>
      <c r="Q2272">
        <v>0</v>
      </c>
      <c r="R2272">
        <v>0</v>
      </c>
      <c r="S2272">
        <v>0</v>
      </c>
      <c r="T2272">
        <v>2.7890999999999999</v>
      </c>
      <c r="U2272">
        <v>0</v>
      </c>
      <c r="V2272">
        <v>0</v>
      </c>
      <c r="W2272">
        <v>-1.47E-2</v>
      </c>
      <c r="X2272">
        <v>1.6000000000000001E-3</v>
      </c>
      <c r="Y2272">
        <v>-1E-4</v>
      </c>
      <c r="Z2272">
        <v>0</v>
      </c>
      <c r="AA2272">
        <v>0</v>
      </c>
      <c r="AB2272">
        <v>6</v>
      </c>
      <c r="AC2272">
        <v>0.05</v>
      </c>
      <c r="AD2272">
        <v>0</v>
      </c>
      <c r="AE2272">
        <v>0</v>
      </c>
      <c r="AF2272">
        <v>0</v>
      </c>
      <c r="AG2272">
        <v>3300</v>
      </c>
      <c r="AH2272">
        <v>0</v>
      </c>
    </row>
    <row r="2273" spans="1:34" x14ac:dyDescent="0.35">
      <c r="A2273" t="s">
        <v>37</v>
      </c>
      <c r="B2273" s="1">
        <v>46146.65625</v>
      </c>
      <c r="C2273" t="s">
        <v>37</v>
      </c>
      <c r="D2273" s="1">
        <v>46157.354166666664</v>
      </c>
      <c r="E2273">
        <v>1400</v>
      </c>
      <c r="F2273" t="s">
        <v>35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264</v>
      </c>
      <c r="O2273">
        <v>0.05</v>
      </c>
      <c r="P2273">
        <v>0</v>
      </c>
      <c r="Q2273">
        <v>0</v>
      </c>
      <c r="R2273">
        <v>0</v>
      </c>
      <c r="S2273">
        <v>0</v>
      </c>
      <c r="T2273">
        <v>2.5505</v>
      </c>
      <c r="U2273">
        <v>0</v>
      </c>
      <c r="V2273">
        <v>0</v>
      </c>
      <c r="W2273">
        <v>-1.47E-2</v>
      </c>
      <c r="X2273">
        <v>1.8E-3</v>
      </c>
      <c r="Y2273">
        <v>-1E-4</v>
      </c>
      <c r="Z2273">
        <v>0</v>
      </c>
      <c r="AA2273">
        <v>0</v>
      </c>
      <c r="AB2273">
        <v>2</v>
      </c>
      <c r="AC2273">
        <v>0.05</v>
      </c>
      <c r="AD2273">
        <v>0</v>
      </c>
      <c r="AE2273">
        <v>0</v>
      </c>
      <c r="AF2273">
        <v>0</v>
      </c>
      <c r="AG2273">
        <v>2403</v>
      </c>
      <c r="AH2273">
        <v>0</v>
      </c>
    </row>
    <row r="2274" spans="1:34" x14ac:dyDescent="0.35">
      <c r="A2274" t="s">
        <v>37</v>
      </c>
      <c r="B2274" s="1">
        <v>46146.65625</v>
      </c>
      <c r="C2274" t="s">
        <v>37</v>
      </c>
      <c r="D2274" s="1">
        <v>46157.354166666664</v>
      </c>
      <c r="E2274">
        <v>1600</v>
      </c>
      <c r="F2274" t="s">
        <v>35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262</v>
      </c>
      <c r="O2274">
        <v>0.05</v>
      </c>
      <c r="P2274">
        <v>0</v>
      </c>
      <c r="Q2274">
        <v>0</v>
      </c>
      <c r="R2274">
        <v>0</v>
      </c>
      <c r="S2274">
        <v>0</v>
      </c>
      <c r="T2274">
        <v>2.3445999999999998</v>
      </c>
      <c r="U2274">
        <v>0</v>
      </c>
      <c r="V2274">
        <v>0</v>
      </c>
      <c r="W2274">
        <v>-1.47E-2</v>
      </c>
      <c r="X2274">
        <v>1.9E-3</v>
      </c>
      <c r="Y2274">
        <v>-1E-4</v>
      </c>
      <c r="Z2274">
        <v>0</v>
      </c>
      <c r="AA2274">
        <v>0</v>
      </c>
      <c r="AB2274">
        <v>2</v>
      </c>
      <c r="AC2274">
        <v>0.05</v>
      </c>
      <c r="AD2274">
        <v>0</v>
      </c>
      <c r="AE2274">
        <v>0</v>
      </c>
      <c r="AF2274">
        <v>0</v>
      </c>
      <c r="AG2274">
        <v>9575</v>
      </c>
      <c r="AH2274">
        <v>0</v>
      </c>
    </row>
    <row r="2275" spans="1:34" x14ac:dyDescent="0.35">
      <c r="A2275" t="s">
        <v>37</v>
      </c>
      <c r="B2275" s="1">
        <v>46146.65625</v>
      </c>
      <c r="C2275" t="s">
        <v>37</v>
      </c>
      <c r="D2275" s="1">
        <v>46157.354166666664</v>
      </c>
      <c r="E2275">
        <v>1800</v>
      </c>
      <c r="F2275" t="s">
        <v>35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258</v>
      </c>
      <c r="O2275">
        <v>0.05</v>
      </c>
      <c r="P2275">
        <v>0</v>
      </c>
      <c r="Q2275">
        <v>0</v>
      </c>
      <c r="R2275">
        <v>0</v>
      </c>
      <c r="S2275">
        <v>0</v>
      </c>
      <c r="T2275">
        <v>2.1637</v>
      </c>
      <c r="U2275">
        <v>0</v>
      </c>
      <c r="V2275">
        <v>0</v>
      </c>
      <c r="W2275">
        <v>-1.47E-2</v>
      </c>
      <c r="X2275">
        <v>2.0999999999999999E-3</v>
      </c>
      <c r="Y2275">
        <v>-1E-4</v>
      </c>
      <c r="Z2275">
        <v>0</v>
      </c>
      <c r="AA2275">
        <v>0</v>
      </c>
      <c r="AB2275">
        <v>607</v>
      </c>
      <c r="AC2275">
        <v>0.1</v>
      </c>
      <c r="AD2275">
        <v>0</v>
      </c>
      <c r="AE2275">
        <v>0</v>
      </c>
      <c r="AF2275">
        <v>0</v>
      </c>
      <c r="AG2275">
        <v>2594</v>
      </c>
      <c r="AH2275">
        <v>0</v>
      </c>
    </row>
    <row r="2276" spans="1:34" x14ac:dyDescent="0.35">
      <c r="A2276" t="s">
        <v>37</v>
      </c>
      <c r="B2276" s="1">
        <v>46146.65625</v>
      </c>
      <c r="C2276" t="s">
        <v>37</v>
      </c>
      <c r="D2276" s="1">
        <v>46157.354166666664</v>
      </c>
      <c r="E2276">
        <v>2000</v>
      </c>
      <c r="F2276" t="s">
        <v>35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320</v>
      </c>
      <c r="O2276">
        <v>0.05</v>
      </c>
      <c r="P2276">
        <v>0</v>
      </c>
      <c r="Q2276">
        <v>0</v>
      </c>
      <c r="R2276">
        <v>0</v>
      </c>
      <c r="S2276">
        <v>0</v>
      </c>
      <c r="T2276">
        <v>2.0021</v>
      </c>
      <c r="U2276">
        <v>-1E-4</v>
      </c>
      <c r="V2276">
        <v>0</v>
      </c>
      <c r="W2276">
        <v>-1.47E-2</v>
      </c>
      <c r="X2276">
        <v>2.2000000000000001E-3</v>
      </c>
      <c r="Y2276">
        <v>-1E-4</v>
      </c>
      <c r="Z2276">
        <v>0</v>
      </c>
      <c r="AA2276">
        <v>0</v>
      </c>
      <c r="AB2276">
        <v>651</v>
      </c>
      <c r="AC2276">
        <v>0.1</v>
      </c>
      <c r="AD2276">
        <v>0</v>
      </c>
      <c r="AE2276">
        <v>0</v>
      </c>
      <c r="AF2276">
        <v>0</v>
      </c>
      <c r="AG2276">
        <v>6197</v>
      </c>
      <c r="AH2276">
        <v>0</v>
      </c>
    </row>
    <row r="2277" spans="1:34" x14ac:dyDescent="0.35">
      <c r="A2277" t="s">
        <v>37</v>
      </c>
      <c r="B2277" s="1">
        <v>46146.65625</v>
      </c>
      <c r="C2277" t="s">
        <v>37</v>
      </c>
      <c r="D2277" s="1">
        <v>46157.354166666664</v>
      </c>
      <c r="E2277">
        <v>2200</v>
      </c>
      <c r="F2277" t="s">
        <v>35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1012</v>
      </c>
      <c r="O2277">
        <v>0.05</v>
      </c>
      <c r="P2277">
        <v>0</v>
      </c>
      <c r="Q2277">
        <v>0</v>
      </c>
      <c r="R2277">
        <v>0</v>
      </c>
      <c r="S2277">
        <v>0</v>
      </c>
      <c r="T2277">
        <v>1.8562000000000001</v>
      </c>
      <c r="U2277">
        <v>-1E-4</v>
      </c>
      <c r="V2277">
        <v>0</v>
      </c>
      <c r="W2277">
        <v>-1.46E-2</v>
      </c>
      <c r="X2277">
        <v>2.3999999999999998E-3</v>
      </c>
      <c r="Y2277">
        <v>-1E-4</v>
      </c>
      <c r="Z2277">
        <v>0</v>
      </c>
      <c r="AA2277">
        <v>0</v>
      </c>
      <c r="AB2277">
        <v>780</v>
      </c>
      <c r="AC2277">
        <v>0.05</v>
      </c>
      <c r="AD2277">
        <v>0</v>
      </c>
      <c r="AE2277">
        <v>0</v>
      </c>
      <c r="AF2277">
        <v>0</v>
      </c>
      <c r="AG2277">
        <v>1068</v>
      </c>
      <c r="AH2277">
        <v>0</v>
      </c>
    </row>
    <row r="2278" spans="1:34" x14ac:dyDescent="0.35">
      <c r="A2278" t="s">
        <v>37</v>
      </c>
      <c r="B2278" s="1">
        <v>46146.65625</v>
      </c>
      <c r="C2278" t="s">
        <v>37</v>
      </c>
      <c r="D2278" s="1">
        <v>46157.354166666664</v>
      </c>
      <c r="E2278">
        <v>2300</v>
      </c>
      <c r="F2278" t="s">
        <v>35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810</v>
      </c>
      <c r="O2278">
        <v>0.05</v>
      </c>
      <c r="P2278">
        <v>0</v>
      </c>
      <c r="Q2278">
        <v>0</v>
      </c>
      <c r="R2278">
        <v>0</v>
      </c>
      <c r="S2278">
        <v>0</v>
      </c>
      <c r="T2278">
        <v>1.7883</v>
      </c>
      <c r="U2278">
        <v>-1E-4</v>
      </c>
      <c r="V2278">
        <v>0</v>
      </c>
      <c r="W2278">
        <v>-1.46E-2</v>
      </c>
      <c r="X2278">
        <v>2.5000000000000001E-3</v>
      </c>
      <c r="Y2278">
        <v>-1E-4</v>
      </c>
      <c r="Z2278">
        <v>0</v>
      </c>
      <c r="AA2278">
        <v>0</v>
      </c>
      <c r="AB2278">
        <v>592</v>
      </c>
      <c r="AC2278">
        <v>0.05</v>
      </c>
      <c r="AD2278">
        <v>0</v>
      </c>
      <c r="AE2278">
        <v>0</v>
      </c>
      <c r="AF2278">
        <v>0</v>
      </c>
      <c r="AG2278">
        <v>2065</v>
      </c>
      <c r="AH2278">
        <v>0</v>
      </c>
    </row>
    <row r="2279" spans="1:34" x14ac:dyDescent="0.35">
      <c r="A2279" t="s">
        <v>37</v>
      </c>
      <c r="B2279" s="1">
        <v>46146.65625</v>
      </c>
      <c r="C2279" t="s">
        <v>37</v>
      </c>
      <c r="D2279" s="1">
        <v>46157.354166666664</v>
      </c>
      <c r="E2279">
        <v>2400</v>
      </c>
      <c r="F2279" t="s">
        <v>35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306</v>
      </c>
      <c r="O2279">
        <v>0.05</v>
      </c>
      <c r="P2279">
        <v>0</v>
      </c>
      <c r="Q2279">
        <v>0</v>
      </c>
      <c r="R2279">
        <v>0</v>
      </c>
      <c r="S2279">
        <v>0</v>
      </c>
      <c r="T2279">
        <v>1.7232000000000001</v>
      </c>
      <c r="U2279">
        <v>-1E-4</v>
      </c>
      <c r="V2279">
        <v>0</v>
      </c>
      <c r="W2279">
        <v>-1.46E-2</v>
      </c>
      <c r="X2279">
        <v>2.5999999999999999E-3</v>
      </c>
      <c r="Y2279">
        <v>-1E-4</v>
      </c>
      <c r="Z2279">
        <v>0</v>
      </c>
      <c r="AA2279">
        <v>0</v>
      </c>
      <c r="AB2279">
        <v>642</v>
      </c>
      <c r="AC2279">
        <v>0.1</v>
      </c>
      <c r="AD2279">
        <v>0</v>
      </c>
      <c r="AE2279">
        <v>0</v>
      </c>
      <c r="AF2279">
        <v>0</v>
      </c>
      <c r="AG2279">
        <v>6272</v>
      </c>
      <c r="AH2279">
        <v>0</v>
      </c>
    </row>
    <row r="2280" spans="1:34" x14ac:dyDescent="0.35">
      <c r="A2280" t="s">
        <v>37</v>
      </c>
      <c r="B2280" s="1">
        <v>46146.65625</v>
      </c>
      <c r="C2280" t="s">
        <v>37</v>
      </c>
      <c r="D2280" s="1">
        <v>46157.354166666664</v>
      </c>
      <c r="E2280">
        <v>2500</v>
      </c>
      <c r="F2280" t="s">
        <v>35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302</v>
      </c>
      <c r="O2280">
        <v>0.05</v>
      </c>
      <c r="P2280">
        <v>0</v>
      </c>
      <c r="Q2280">
        <v>0</v>
      </c>
      <c r="R2280">
        <v>0</v>
      </c>
      <c r="S2280">
        <v>0</v>
      </c>
      <c r="T2280">
        <v>1.6609</v>
      </c>
      <c r="U2280">
        <v>-1E-4</v>
      </c>
      <c r="V2280">
        <v>0</v>
      </c>
      <c r="W2280">
        <v>-1.46E-2</v>
      </c>
      <c r="X2280">
        <v>2.7000000000000001E-3</v>
      </c>
      <c r="Y2280">
        <v>-1E-4</v>
      </c>
      <c r="Z2280">
        <v>0</v>
      </c>
      <c r="AA2280">
        <v>0</v>
      </c>
      <c r="AB2280">
        <v>640</v>
      </c>
      <c r="AC2280">
        <v>0.1</v>
      </c>
      <c r="AD2280">
        <v>0</v>
      </c>
      <c r="AE2280">
        <v>0</v>
      </c>
      <c r="AF2280">
        <v>0</v>
      </c>
      <c r="AG2280">
        <v>7373</v>
      </c>
      <c r="AH2280">
        <v>0</v>
      </c>
    </row>
    <row r="2281" spans="1:34" x14ac:dyDescent="0.35">
      <c r="A2281" t="s">
        <v>37</v>
      </c>
      <c r="B2281" s="1">
        <v>46146.65625</v>
      </c>
      <c r="C2281" t="s">
        <v>37</v>
      </c>
      <c r="D2281" s="1">
        <v>46157.354166666664</v>
      </c>
      <c r="E2281">
        <v>2600</v>
      </c>
      <c r="F2281" t="s">
        <v>35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815</v>
      </c>
      <c r="O2281">
        <v>0.05</v>
      </c>
      <c r="P2281">
        <v>0</v>
      </c>
      <c r="Q2281">
        <v>0</v>
      </c>
      <c r="R2281">
        <v>0</v>
      </c>
      <c r="S2281">
        <v>0</v>
      </c>
      <c r="T2281">
        <v>1.6009</v>
      </c>
      <c r="U2281">
        <v>-1E-4</v>
      </c>
      <c r="V2281">
        <v>0</v>
      </c>
      <c r="W2281">
        <v>-1.46E-2</v>
      </c>
      <c r="X2281">
        <v>2.8E-3</v>
      </c>
      <c r="Y2281">
        <v>-1E-4</v>
      </c>
      <c r="Z2281">
        <v>0</v>
      </c>
      <c r="AA2281">
        <v>0</v>
      </c>
      <c r="AB2281">
        <v>604</v>
      </c>
      <c r="AC2281">
        <v>0.05</v>
      </c>
      <c r="AD2281">
        <v>0</v>
      </c>
      <c r="AE2281">
        <v>0</v>
      </c>
      <c r="AF2281">
        <v>0</v>
      </c>
      <c r="AG2281">
        <v>1767</v>
      </c>
      <c r="AH2281">
        <v>0</v>
      </c>
    </row>
    <row r="2282" spans="1:34" x14ac:dyDescent="0.35">
      <c r="A2282" t="s">
        <v>37</v>
      </c>
      <c r="B2282" s="1">
        <v>46146.65625</v>
      </c>
      <c r="C2282" t="s">
        <v>37</v>
      </c>
      <c r="D2282" s="1">
        <v>46157.354166666664</v>
      </c>
      <c r="E2282">
        <v>2700</v>
      </c>
      <c r="F2282" t="s">
        <v>35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586</v>
      </c>
      <c r="O2282">
        <v>0.05</v>
      </c>
      <c r="P2282">
        <v>0</v>
      </c>
      <c r="Q2282">
        <v>0</v>
      </c>
      <c r="R2282">
        <v>0</v>
      </c>
      <c r="S2282">
        <v>0</v>
      </c>
      <c r="T2282">
        <v>1.5434000000000001</v>
      </c>
      <c r="U2282">
        <v>-1E-4</v>
      </c>
      <c r="V2282">
        <v>0</v>
      </c>
      <c r="W2282">
        <v>-1.46E-2</v>
      </c>
      <c r="X2282">
        <v>2.8999999999999998E-3</v>
      </c>
      <c r="Y2282">
        <v>-1E-4</v>
      </c>
      <c r="Z2282">
        <v>0</v>
      </c>
      <c r="AA2282">
        <v>0</v>
      </c>
      <c r="AB2282">
        <v>379</v>
      </c>
      <c r="AC2282">
        <v>0.05</v>
      </c>
      <c r="AD2282">
        <v>0</v>
      </c>
      <c r="AE2282">
        <v>0</v>
      </c>
      <c r="AF2282">
        <v>0</v>
      </c>
      <c r="AG2282">
        <v>2271</v>
      </c>
      <c r="AH2282">
        <v>0</v>
      </c>
    </row>
    <row r="2283" spans="1:34" x14ac:dyDescent="0.35">
      <c r="A2283" t="s">
        <v>37</v>
      </c>
      <c r="B2283" s="1">
        <v>46146.65625</v>
      </c>
      <c r="C2283" t="s">
        <v>37</v>
      </c>
      <c r="D2283" s="1">
        <v>46157.354166666664</v>
      </c>
      <c r="E2283">
        <v>2800</v>
      </c>
      <c r="F2283" t="s">
        <v>35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288</v>
      </c>
      <c r="O2283">
        <v>0.05</v>
      </c>
      <c r="P2283">
        <v>0</v>
      </c>
      <c r="Q2283">
        <v>0</v>
      </c>
      <c r="R2283">
        <v>0</v>
      </c>
      <c r="S2283">
        <v>0</v>
      </c>
      <c r="T2283">
        <v>1.4878</v>
      </c>
      <c r="U2283">
        <v>-1E-4</v>
      </c>
      <c r="V2283">
        <v>0</v>
      </c>
      <c r="W2283">
        <v>-1.4500000000000001E-2</v>
      </c>
      <c r="X2283">
        <v>3.0000000000000001E-3</v>
      </c>
      <c r="Y2283">
        <v>-1E-4</v>
      </c>
      <c r="Z2283">
        <v>0</v>
      </c>
      <c r="AA2283">
        <v>0</v>
      </c>
      <c r="AB2283">
        <v>683</v>
      </c>
      <c r="AC2283">
        <v>0.1</v>
      </c>
      <c r="AD2283">
        <v>0</v>
      </c>
      <c r="AE2283">
        <v>0</v>
      </c>
      <c r="AF2283">
        <v>0</v>
      </c>
      <c r="AG2283">
        <v>1093</v>
      </c>
      <c r="AH2283">
        <v>0</v>
      </c>
    </row>
    <row r="2284" spans="1:34" x14ac:dyDescent="0.35">
      <c r="A2284" t="s">
        <v>37</v>
      </c>
      <c r="B2284" s="1">
        <v>46146.65625</v>
      </c>
      <c r="C2284" t="s">
        <v>37</v>
      </c>
      <c r="D2284" s="1">
        <v>46157.354166666664</v>
      </c>
      <c r="E2284">
        <v>2900</v>
      </c>
      <c r="F2284" t="s">
        <v>35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284</v>
      </c>
      <c r="O2284">
        <v>0.05</v>
      </c>
      <c r="P2284">
        <v>0</v>
      </c>
      <c r="Q2284">
        <v>0</v>
      </c>
      <c r="R2284">
        <v>0</v>
      </c>
      <c r="S2284">
        <v>0</v>
      </c>
      <c r="T2284">
        <v>1.4341999999999999</v>
      </c>
      <c r="U2284">
        <v>-1E-4</v>
      </c>
      <c r="V2284">
        <v>0</v>
      </c>
      <c r="W2284">
        <v>-1.4500000000000001E-2</v>
      </c>
      <c r="X2284">
        <v>3.0999999999999999E-3</v>
      </c>
      <c r="Y2284">
        <v>-1E-4</v>
      </c>
      <c r="Z2284">
        <v>0</v>
      </c>
      <c r="AA2284">
        <v>0</v>
      </c>
      <c r="AB2284">
        <v>1042</v>
      </c>
      <c r="AC2284">
        <v>0.1</v>
      </c>
      <c r="AD2284">
        <v>0</v>
      </c>
      <c r="AE2284">
        <v>0</v>
      </c>
      <c r="AF2284">
        <v>0</v>
      </c>
      <c r="AG2284">
        <v>19967</v>
      </c>
      <c r="AH2284">
        <v>0</v>
      </c>
    </row>
    <row r="2285" spans="1:34" x14ac:dyDescent="0.35">
      <c r="A2285" t="s">
        <v>37</v>
      </c>
      <c r="B2285" s="1">
        <v>46146.65625</v>
      </c>
      <c r="C2285" t="s">
        <v>37</v>
      </c>
      <c r="D2285" s="1">
        <v>46157.354166666664</v>
      </c>
      <c r="E2285">
        <v>3000</v>
      </c>
      <c r="F2285" t="s">
        <v>35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279</v>
      </c>
      <c r="O2285">
        <v>0.05</v>
      </c>
      <c r="P2285">
        <v>0</v>
      </c>
      <c r="Q2285">
        <v>0</v>
      </c>
      <c r="R2285">
        <v>0</v>
      </c>
      <c r="S2285">
        <v>0</v>
      </c>
      <c r="T2285">
        <v>1.3825000000000001</v>
      </c>
      <c r="U2285">
        <v>-1E-4</v>
      </c>
      <c r="V2285">
        <v>0</v>
      </c>
      <c r="W2285">
        <v>-1.4500000000000001E-2</v>
      </c>
      <c r="X2285">
        <v>3.2000000000000002E-3</v>
      </c>
      <c r="Y2285">
        <v>-1E-4</v>
      </c>
      <c r="Z2285">
        <v>0</v>
      </c>
      <c r="AA2285">
        <v>0</v>
      </c>
      <c r="AB2285">
        <v>620</v>
      </c>
      <c r="AC2285">
        <v>0.1</v>
      </c>
      <c r="AD2285">
        <v>0</v>
      </c>
      <c r="AE2285">
        <v>0</v>
      </c>
      <c r="AF2285">
        <v>0</v>
      </c>
      <c r="AG2285">
        <v>4599</v>
      </c>
      <c r="AH2285">
        <v>0</v>
      </c>
    </row>
    <row r="2286" spans="1:34" x14ac:dyDescent="0.35">
      <c r="A2286" t="s">
        <v>37</v>
      </c>
      <c r="B2286" s="1">
        <v>46146.65625</v>
      </c>
      <c r="C2286" t="s">
        <v>37</v>
      </c>
      <c r="D2286" s="1">
        <v>46157.354166666664</v>
      </c>
      <c r="E2286">
        <v>3100</v>
      </c>
      <c r="F2286" t="s">
        <v>35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275</v>
      </c>
      <c r="O2286">
        <v>0.05</v>
      </c>
      <c r="P2286">
        <v>0</v>
      </c>
      <c r="Q2286">
        <v>0</v>
      </c>
      <c r="R2286">
        <v>0</v>
      </c>
      <c r="S2286">
        <v>0</v>
      </c>
      <c r="T2286">
        <v>1.3326</v>
      </c>
      <c r="U2286">
        <v>-1E-4</v>
      </c>
      <c r="V2286">
        <v>0</v>
      </c>
      <c r="W2286">
        <v>-1.4500000000000001E-2</v>
      </c>
      <c r="X2286">
        <v>3.3E-3</v>
      </c>
      <c r="Y2286">
        <v>-1E-4</v>
      </c>
      <c r="Z2286">
        <v>0</v>
      </c>
      <c r="AA2286">
        <v>0</v>
      </c>
      <c r="AB2286">
        <v>965</v>
      </c>
      <c r="AC2286">
        <v>0.1</v>
      </c>
      <c r="AD2286">
        <v>0</v>
      </c>
      <c r="AE2286">
        <v>0</v>
      </c>
      <c r="AF2286">
        <v>0</v>
      </c>
      <c r="AG2286">
        <v>9320</v>
      </c>
      <c r="AH2286">
        <v>0</v>
      </c>
    </row>
    <row r="2287" spans="1:34" x14ac:dyDescent="0.35">
      <c r="A2287" t="s">
        <v>37</v>
      </c>
      <c r="B2287" s="1">
        <v>46146.65625</v>
      </c>
      <c r="C2287" t="s">
        <v>37</v>
      </c>
      <c r="D2287" s="1">
        <v>46157.354166666664</v>
      </c>
      <c r="E2287">
        <v>3200</v>
      </c>
      <c r="F2287" t="s">
        <v>35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268</v>
      </c>
      <c r="O2287">
        <v>0.05</v>
      </c>
      <c r="P2287">
        <v>0</v>
      </c>
      <c r="Q2287">
        <v>0</v>
      </c>
      <c r="R2287">
        <v>0</v>
      </c>
      <c r="S2287">
        <v>0</v>
      </c>
      <c r="T2287">
        <v>1.2841</v>
      </c>
      <c r="U2287">
        <v>-1E-4</v>
      </c>
      <c r="V2287">
        <v>0</v>
      </c>
      <c r="W2287">
        <v>-1.4500000000000001E-2</v>
      </c>
      <c r="X2287">
        <v>3.5000000000000001E-3</v>
      </c>
      <c r="Y2287">
        <v>-2.0000000000000001E-4</v>
      </c>
      <c r="Z2287">
        <v>0</v>
      </c>
      <c r="AA2287">
        <v>0</v>
      </c>
      <c r="AB2287">
        <v>894</v>
      </c>
      <c r="AC2287">
        <v>0.1</v>
      </c>
      <c r="AD2287">
        <v>0</v>
      </c>
      <c r="AE2287">
        <v>0</v>
      </c>
      <c r="AF2287">
        <v>0</v>
      </c>
      <c r="AG2287">
        <v>6240</v>
      </c>
      <c r="AH2287">
        <v>0</v>
      </c>
    </row>
    <row r="2288" spans="1:34" x14ac:dyDescent="0.35">
      <c r="A2288" t="s">
        <v>37</v>
      </c>
      <c r="B2288" s="1">
        <v>46146.65625</v>
      </c>
      <c r="C2288" t="s">
        <v>37</v>
      </c>
      <c r="D2288" s="1">
        <v>46157.354166666664</v>
      </c>
      <c r="E2288">
        <v>3250</v>
      </c>
      <c r="F2288" t="s">
        <v>36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264</v>
      </c>
      <c r="O2288">
        <v>0.05</v>
      </c>
      <c r="P2288">
        <v>0</v>
      </c>
      <c r="Q2288">
        <v>0</v>
      </c>
      <c r="R2288">
        <v>0</v>
      </c>
      <c r="S2288">
        <v>0</v>
      </c>
      <c r="T2288">
        <v>1.2604</v>
      </c>
      <c r="U2288">
        <v>-1E-4</v>
      </c>
      <c r="V2288">
        <v>0</v>
      </c>
      <c r="W2288">
        <v>-1.4500000000000001E-2</v>
      </c>
      <c r="X2288">
        <v>3.5000000000000001E-3</v>
      </c>
      <c r="Y2288">
        <v>-2.0000000000000001E-4</v>
      </c>
      <c r="Z2288">
        <v>0</v>
      </c>
      <c r="AA2288">
        <v>0</v>
      </c>
      <c r="AB2288">
        <v>605</v>
      </c>
      <c r="AC2288">
        <v>0.1</v>
      </c>
      <c r="AD2288">
        <v>0</v>
      </c>
      <c r="AE2288">
        <v>0</v>
      </c>
      <c r="AF2288">
        <v>0</v>
      </c>
      <c r="AG2288">
        <v>3948</v>
      </c>
      <c r="AH2288">
        <v>0</v>
      </c>
    </row>
    <row r="2289" spans="1:34" x14ac:dyDescent="0.35">
      <c r="A2289" t="s">
        <v>37</v>
      </c>
      <c r="B2289" s="1">
        <v>46146.65625</v>
      </c>
      <c r="C2289" t="s">
        <v>37</v>
      </c>
      <c r="D2289" s="1">
        <v>46157.354166666664</v>
      </c>
      <c r="E2289">
        <v>3300</v>
      </c>
      <c r="F2289" t="s">
        <v>35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1229</v>
      </c>
      <c r="O2289">
        <v>0.1</v>
      </c>
      <c r="P2289">
        <v>0</v>
      </c>
      <c r="Q2289">
        <v>0</v>
      </c>
      <c r="R2289">
        <v>0</v>
      </c>
      <c r="S2289">
        <v>0</v>
      </c>
      <c r="T2289">
        <v>1.2909999999999999</v>
      </c>
      <c r="U2289">
        <v>-1E-4</v>
      </c>
      <c r="V2289">
        <v>0</v>
      </c>
      <c r="W2289">
        <v>-2.75E-2</v>
      </c>
      <c r="X2289">
        <v>6.3E-3</v>
      </c>
      <c r="Y2289">
        <v>-2.9999999999999997E-4</v>
      </c>
      <c r="Z2289">
        <v>0</v>
      </c>
      <c r="AA2289">
        <v>0</v>
      </c>
      <c r="AB2289">
        <v>953</v>
      </c>
      <c r="AC2289">
        <v>0.1</v>
      </c>
      <c r="AD2289">
        <v>0</v>
      </c>
      <c r="AE2289">
        <v>0</v>
      </c>
      <c r="AF2289">
        <v>0</v>
      </c>
      <c r="AG2289">
        <v>6486</v>
      </c>
      <c r="AH2289">
        <v>0</v>
      </c>
    </row>
    <row r="2290" spans="1:34" x14ac:dyDescent="0.35">
      <c r="A2290" t="s">
        <v>37</v>
      </c>
      <c r="B2290" s="1">
        <v>46146.65625</v>
      </c>
      <c r="C2290" t="s">
        <v>37</v>
      </c>
      <c r="D2290" s="1">
        <v>46157.354166666664</v>
      </c>
      <c r="E2290">
        <v>3350</v>
      </c>
      <c r="F2290" t="s">
        <v>36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759</v>
      </c>
      <c r="O2290">
        <v>0.1</v>
      </c>
      <c r="P2290">
        <v>0</v>
      </c>
      <c r="Q2290">
        <v>0</v>
      </c>
      <c r="R2290">
        <v>0</v>
      </c>
      <c r="S2290">
        <v>0</v>
      </c>
      <c r="T2290">
        <v>1.2670999999999999</v>
      </c>
      <c r="U2290">
        <v>-1E-4</v>
      </c>
      <c r="V2290">
        <v>0</v>
      </c>
      <c r="W2290">
        <v>-2.75E-2</v>
      </c>
      <c r="X2290">
        <v>6.4999999999999997E-3</v>
      </c>
      <c r="Y2290">
        <v>-2.9999999999999997E-4</v>
      </c>
      <c r="Z2290">
        <v>0</v>
      </c>
      <c r="AA2290">
        <v>0</v>
      </c>
      <c r="AB2290">
        <v>597</v>
      </c>
      <c r="AC2290">
        <v>0.1</v>
      </c>
      <c r="AD2290">
        <v>0</v>
      </c>
      <c r="AE2290">
        <v>0</v>
      </c>
      <c r="AF2290">
        <v>0</v>
      </c>
      <c r="AG2290">
        <v>3083</v>
      </c>
      <c r="AH2290">
        <v>0</v>
      </c>
    </row>
    <row r="2291" spans="1:34" x14ac:dyDescent="0.35">
      <c r="A2291" t="s">
        <v>37</v>
      </c>
      <c r="B2291" s="1">
        <v>46146.65625</v>
      </c>
      <c r="C2291" t="s">
        <v>37</v>
      </c>
      <c r="D2291" s="1">
        <v>46157.354166666664</v>
      </c>
      <c r="E2291">
        <v>3400</v>
      </c>
      <c r="F2291" t="s">
        <v>35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1465</v>
      </c>
      <c r="O2291">
        <v>0.1</v>
      </c>
      <c r="P2291">
        <v>0</v>
      </c>
      <c r="Q2291">
        <v>0</v>
      </c>
      <c r="R2291">
        <v>0</v>
      </c>
      <c r="S2291">
        <v>0</v>
      </c>
      <c r="T2291">
        <v>1.2435</v>
      </c>
      <c r="U2291">
        <v>-1E-4</v>
      </c>
      <c r="V2291">
        <v>0</v>
      </c>
      <c r="W2291">
        <v>-2.75E-2</v>
      </c>
      <c r="X2291">
        <v>6.6E-3</v>
      </c>
      <c r="Y2291">
        <v>-2.9999999999999997E-4</v>
      </c>
      <c r="Z2291">
        <v>0</v>
      </c>
      <c r="AA2291">
        <v>0</v>
      </c>
      <c r="AB2291">
        <v>1076</v>
      </c>
      <c r="AC2291">
        <v>0.1</v>
      </c>
      <c r="AD2291">
        <v>0</v>
      </c>
      <c r="AE2291">
        <v>0</v>
      </c>
      <c r="AF2291">
        <v>0</v>
      </c>
      <c r="AG2291">
        <v>11049</v>
      </c>
      <c r="AH2291">
        <v>0</v>
      </c>
    </row>
    <row r="2292" spans="1:34" x14ac:dyDescent="0.35">
      <c r="A2292" t="s">
        <v>37</v>
      </c>
      <c r="B2292" s="1">
        <v>46146.65625</v>
      </c>
      <c r="C2292" t="s">
        <v>37</v>
      </c>
      <c r="D2292" s="1">
        <v>46157.354166666664</v>
      </c>
      <c r="E2292">
        <v>3450</v>
      </c>
      <c r="F2292" t="s">
        <v>36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745</v>
      </c>
      <c r="O2292">
        <v>0.1</v>
      </c>
      <c r="P2292">
        <v>0</v>
      </c>
      <c r="Q2292">
        <v>0</v>
      </c>
      <c r="R2292">
        <v>0</v>
      </c>
      <c r="S2292">
        <v>0</v>
      </c>
      <c r="T2292">
        <v>1.2202999999999999</v>
      </c>
      <c r="U2292">
        <v>-1E-4</v>
      </c>
      <c r="V2292">
        <v>0</v>
      </c>
      <c r="W2292">
        <v>-2.7400000000000001E-2</v>
      </c>
      <c r="X2292">
        <v>6.7000000000000002E-3</v>
      </c>
      <c r="Y2292">
        <v>-2.9999999999999997E-4</v>
      </c>
      <c r="Z2292">
        <v>0</v>
      </c>
      <c r="AA2292">
        <v>0</v>
      </c>
      <c r="AB2292">
        <v>585</v>
      </c>
      <c r="AC2292">
        <v>0.1</v>
      </c>
      <c r="AD2292">
        <v>0</v>
      </c>
      <c r="AE2292">
        <v>0</v>
      </c>
      <c r="AF2292">
        <v>0</v>
      </c>
      <c r="AG2292">
        <v>4299</v>
      </c>
      <c r="AH2292">
        <v>0</v>
      </c>
    </row>
    <row r="2293" spans="1:34" x14ac:dyDescent="0.35">
      <c r="A2293" t="s">
        <v>37</v>
      </c>
      <c r="B2293" s="1">
        <v>46146.65625</v>
      </c>
      <c r="C2293" t="s">
        <v>37</v>
      </c>
      <c r="D2293" s="1">
        <v>46157.354166666664</v>
      </c>
      <c r="E2293">
        <v>3500</v>
      </c>
      <c r="F2293" t="s">
        <v>35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10</v>
      </c>
      <c r="O2293">
        <v>0.05</v>
      </c>
      <c r="P2293">
        <v>0</v>
      </c>
      <c r="Q2293">
        <v>0</v>
      </c>
      <c r="R2293">
        <v>0</v>
      </c>
      <c r="S2293">
        <v>0</v>
      </c>
      <c r="T2293">
        <v>1.1472</v>
      </c>
      <c r="U2293">
        <v>-1E-4</v>
      </c>
      <c r="V2293">
        <v>0</v>
      </c>
      <c r="W2293">
        <v>-1.44E-2</v>
      </c>
      <c r="X2293">
        <v>3.8999999999999998E-3</v>
      </c>
      <c r="Y2293">
        <v>-2.0000000000000001E-4</v>
      </c>
      <c r="Z2293">
        <v>0</v>
      </c>
      <c r="AA2293">
        <v>0</v>
      </c>
      <c r="AB2293">
        <v>10</v>
      </c>
      <c r="AC2293">
        <v>0.05</v>
      </c>
      <c r="AD2293">
        <v>0</v>
      </c>
      <c r="AE2293">
        <v>0</v>
      </c>
      <c r="AF2293">
        <v>0</v>
      </c>
      <c r="AG2293">
        <v>6896</v>
      </c>
      <c r="AH2293">
        <v>0</v>
      </c>
    </row>
    <row r="2294" spans="1:34" x14ac:dyDescent="0.35">
      <c r="A2294" t="s">
        <v>37</v>
      </c>
      <c r="B2294" s="1">
        <v>46146.65625</v>
      </c>
      <c r="C2294" t="s">
        <v>37</v>
      </c>
      <c r="D2294" s="1">
        <v>46157.354166666664</v>
      </c>
      <c r="E2294">
        <v>3550</v>
      </c>
      <c r="F2294" t="s">
        <v>36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730</v>
      </c>
      <c r="O2294">
        <v>0.1</v>
      </c>
      <c r="P2294">
        <v>0</v>
      </c>
      <c r="Q2294">
        <v>0</v>
      </c>
      <c r="R2294">
        <v>0</v>
      </c>
      <c r="S2294">
        <v>0</v>
      </c>
      <c r="T2294">
        <v>1.175</v>
      </c>
      <c r="U2294">
        <v>-2.0000000000000001E-4</v>
      </c>
      <c r="V2294">
        <v>0</v>
      </c>
      <c r="W2294">
        <v>-2.7400000000000001E-2</v>
      </c>
      <c r="X2294">
        <v>6.8999999999999999E-3</v>
      </c>
      <c r="Y2294">
        <v>-2.9999999999999997E-4</v>
      </c>
      <c r="Z2294">
        <v>0</v>
      </c>
      <c r="AA2294">
        <v>0</v>
      </c>
      <c r="AB2294">
        <v>576</v>
      </c>
      <c r="AC2294">
        <v>0.1</v>
      </c>
      <c r="AD2294">
        <v>0</v>
      </c>
      <c r="AE2294">
        <v>0</v>
      </c>
      <c r="AF2294">
        <v>0</v>
      </c>
      <c r="AG2294">
        <v>2772</v>
      </c>
      <c r="AH2294">
        <v>0</v>
      </c>
    </row>
    <row r="2295" spans="1:34" x14ac:dyDescent="0.35">
      <c r="A2295" t="s">
        <v>37</v>
      </c>
      <c r="B2295" s="1">
        <v>46146.65625</v>
      </c>
      <c r="C2295" t="s">
        <v>37</v>
      </c>
      <c r="D2295" s="1">
        <v>46157.354166666664</v>
      </c>
      <c r="E2295">
        <v>3600</v>
      </c>
      <c r="F2295" t="s">
        <v>36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722</v>
      </c>
      <c r="O2295">
        <v>0.1</v>
      </c>
      <c r="P2295">
        <v>0</v>
      </c>
      <c r="Q2295">
        <v>0</v>
      </c>
      <c r="R2295">
        <v>0</v>
      </c>
      <c r="S2295">
        <v>0</v>
      </c>
      <c r="T2295">
        <v>1.1527000000000001</v>
      </c>
      <c r="U2295">
        <v>-2.0000000000000001E-4</v>
      </c>
      <c r="V2295">
        <v>0</v>
      </c>
      <c r="W2295">
        <v>-2.7400000000000001E-2</v>
      </c>
      <c r="X2295">
        <v>7.1000000000000004E-3</v>
      </c>
      <c r="Y2295">
        <v>-2.9999999999999997E-4</v>
      </c>
      <c r="Z2295">
        <v>0</v>
      </c>
      <c r="AA2295">
        <v>0</v>
      </c>
      <c r="AB2295">
        <v>571</v>
      </c>
      <c r="AC2295">
        <v>0.1</v>
      </c>
      <c r="AD2295">
        <v>0</v>
      </c>
      <c r="AE2295">
        <v>0</v>
      </c>
      <c r="AF2295">
        <v>0</v>
      </c>
      <c r="AG2295">
        <v>7806</v>
      </c>
      <c r="AH2295">
        <v>0</v>
      </c>
    </row>
    <row r="2296" spans="1:34" x14ac:dyDescent="0.35">
      <c r="A2296" t="s">
        <v>37</v>
      </c>
      <c r="B2296" s="1">
        <v>46146.65625</v>
      </c>
      <c r="C2296" t="s">
        <v>37</v>
      </c>
      <c r="D2296" s="1">
        <v>46157.354166666664</v>
      </c>
      <c r="E2296">
        <v>3650</v>
      </c>
      <c r="F2296" t="s">
        <v>36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715</v>
      </c>
      <c r="O2296">
        <v>0.1</v>
      </c>
      <c r="P2296">
        <v>0</v>
      </c>
      <c r="Q2296">
        <v>0</v>
      </c>
      <c r="R2296">
        <v>0</v>
      </c>
      <c r="S2296">
        <v>0</v>
      </c>
      <c r="T2296">
        <v>1.1308</v>
      </c>
      <c r="U2296">
        <v>-2.0000000000000001E-4</v>
      </c>
      <c r="V2296">
        <v>0</v>
      </c>
      <c r="W2296">
        <v>-2.7300000000000001E-2</v>
      </c>
      <c r="X2296">
        <v>7.1999999999999998E-3</v>
      </c>
      <c r="Y2296">
        <v>-2.9999999999999997E-4</v>
      </c>
      <c r="Z2296">
        <v>0</v>
      </c>
      <c r="AA2296">
        <v>0</v>
      </c>
      <c r="AB2296">
        <v>566</v>
      </c>
      <c r="AC2296">
        <v>0.1</v>
      </c>
      <c r="AD2296">
        <v>0</v>
      </c>
      <c r="AE2296">
        <v>0</v>
      </c>
      <c r="AF2296">
        <v>0</v>
      </c>
      <c r="AG2296">
        <v>2796</v>
      </c>
      <c r="AH2296">
        <v>0</v>
      </c>
    </row>
    <row r="2297" spans="1:34" x14ac:dyDescent="0.35">
      <c r="A2297" t="s">
        <v>37</v>
      </c>
      <c r="B2297" s="1">
        <v>46146.65625</v>
      </c>
      <c r="C2297" t="s">
        <v>37</v>
      </c>
      <c r="D2297" s="1">
        <v>46157.354166666664</v>
      </c>
      <c r="E2297">
        <v>3700</v>
      </c>
      <c r="F2297" t="s">
        <v>36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709</v>
      </c>
      <c r="O2297">
        <v>0.1</v>
      </c>
      <c r="P2297">
        <v>0</v>
      </c>
      <c r="Q2297">
        <v>0</v>
      </c>
      <c r="R2297">
        <v>0</v>
      </c>
      <c r="S2297">
        <v>0</v>
      </c>
      <c r="T2297">
        <v>1.1091</v>
      </c>
      <c r="U2297">
        <v>-2.0000000000000001E-4</v>
      </c>
      <c r="V2297">
        <v>0</v>
      </c>
      <c r="W2297">
        <v>-2.7300000000000001E-2</v>
      </c>
      <c r="X2297">
        <v>7.3000000000000001E-3</v>
      </c>
      <c r="Y2297">
        <v>-2.9999999999999997E-4</v>
      </c>
      <c r="Z2297">
        <v>0</v>
      </c>
      <c r="AA2297">
        <v>0</v>
      </c>
      <c r="AB2297">
        <v>558</v>
      </c>
      <c r="AC2297">
        <v>0.1</v>
      </c>
      <c r="AD2297">
        <v>0</v>
      </c>
      <c r="AE2297">
        <v>0</v>
      </c>
      <c r="AF2297">
        <v>0</v>
      </c>
      <c r="AG2297">
        <v>3066</v>
      </c>
      <c r="AH2297">
        <v>0</v>
      </c>
    </row>
    <row r="2298" spans="1:34" x14ac:dyDescent="0.35">
      <c r="A2298" t="s">
        <v>37</v>
      </c>
      <c r="B2298" s="1">
        <v>46146.65625</v>
      </c>
      <c r="C2298" t="s">
        <v>37</v>
      </c>
      <c r="D2298" s="1">
        <v>46157.354166666664</v>
      </c>
      <c r="E2298">
        <v>3750</v>
      </c>
      <c r="F2298" t="s">
        <v>36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698</v>
      </c>
      <c r="O2298">
        <v>0.1</v>
      </c>
      <c r="P2298">
        <v>0</v>
      </c>
      <c r="Q2298">
        <v>0</v>
      </c>
      <c r="R2298">
        <v>0</v>
      </c>
      <c r="S2298">
        <v>0</v>
      </c>
      <c r="T2298">
        <v>1.0876999999999999</v>
      </c>
      <c r="U2298">
        <v>-2.0000000000000001E-4</v>
      </c>
      <c r="V2298">
        <v>0</v>
      </c>
      <c r="W2298">
        <v>-2.7300000000000001E-2</v>
      </c>
      <c r="X2298">
        <v>7.4999999999999997E-3</v>
      </c>
      <c r="Y2298">
        <v>-2.9999999999999997E-4</v>
      </c>
      <c r="Z2298">
        <v>0</v>
      </c>
      <c r="AA2298">
        <v>0</v>
      </c>
      <c r="AB2298">
        <v>547</v>
      </c>
      <c r="AC2298">
        <v>0.1</v>
      </c>
      <c r="AD2298">
        <v>0</v>
      </c>
      <c r="AE2298">
        <v>0</v>
      </c>
      <c r="AF2298">
        <v>0</v>
      </c>
      <c r="AG2298">
        <v>3357</v>
      </c>
      <c r="AH2298">
        <v>0</v>
      </c>
    </row>
    <row r="2299" spans="1:34" x14ac:dyDescent="0.35">
      <c r="A2299" t="s">
        <v>37</v>
      </c>
      <c r="B2299" s="1">
        <v>46146.65625</v>
      </c>
      <c r="C2299" t="s">
        <v>37</v>
      </c>
      <c r="D2299" s="1">
        <v>46157.354166666664</v>
      </c>
      <c r="E2299">
        <v>3775</v>
      </c>
      <c r="F2299" t="s">
        <v>36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694</v>
      </c>
      <c r="O2299">
        <v>0.1</v>
      </c>
      <c r="P2299">
        <v>0</v>
      </c>
      <c r="Q2299">
        <v>0</v>
      </c>
      <c r="R2299">
        <v>0</v>
      </c>
      <c r="S2299">
        <v>0</v>
      </c>
      <c r="T2299">
        <v>1.0772999999999999</v>
      </c>
      <c r="U2299">
        <v>-2.0000000000000001E-4</v>
      </c>
      <c r="V2299">
        <v>0</v>
      </c>
      <c r="W2299">
        <v>-2.7300000000000001E-2</v>
      </c>
      <c r="X2299">
        <v>7.6E-3</v>
      </c>
      <c r="Y2299">
        <v>-2.9999999999999997E-4</v>
      </c>
      <c r="Z2299">
        <v>0</v>
      </c>
      <c r="AA2299">
        <v>0</v>
      </c>
      <c r="AB2299">
        <v>543</v>
      </c>
      <c r="AC2299">
        <v>0.1</v>
      </c>
      <c r="AD2299">
        <v>0</v>
      </c>
      <c r="AE2299">
        <v>0</v>
      </c>
      <c r="AF2299">
        <v>0</v>
      </c>
      <c r="AG2299">
        <v>1314</v>
      </c>
      <c r="AH2299">
        <v>0</v>
      </c>
    </row>
    <row r="2300" spans="1:34" x14ac:dyDescent="0.35">
      <c r="A2300" t="s">
        <v>37</v>
      </c>
      <c r="B2300" s="1">
        <v>46146.65625</v>
      </c>
      <c r="C2300" t="s">
        <v>37</v>
      </c>
      <c r="D2300" s="1">
        <v>46157.354166666664</v>
      </c>
      <c r="E2300">
        <v>3800</v>
      </c>
      <c r="F2300" t="s">
        <v>36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691</v>
      </c>
      <c r="O2300">
        <v>0.1</v>
      </c>
      <c r="P2300">
        <v>0</v>
      </c>
      <c r="Q2300">
        <v>0</v>
      </c>
      <c r="R2300">
        <v>0</v>
      </c>
      <c r="S2300">
        <v>0</v>
      </c>
      <c r="T2300">
        <v>1.0666</v>
      </c>
      <c r="U2300">
        <v>-2.0000000000000001E-4</v>
      </c>
      <c r="V2300">
        <v>0</v>
      </c>
      <c r="W2300">
        <v>-2.7300000000000001E-2</v>
      </c>
      <c r="X2300">
        <v>7.6E-3</v>
      </c>
      <c r="Y2300">
        <v>-2.9999999999999997E-4</v>
      </c>
      <c r="Z2300">
        <v>0</v>
      </c>
      <c r="AA2300">
        <v>0</v>
      </c>
      <c r="AB2300">
        <v>537</v>
      </c>
      <c r="AC2300">
        <v>0.1</v>
      </c>
      <c r="AD2300">
        <v>0</v>
      </c>
      <c r="AE2300">
        <v>0</v>
      </c>
      <c r="AF2300">
        <v>0</v>
      </c>
      <c r="AG2300">
        <v>14377</v>
      </c>
      <c r="AH2300">
        <v>0</v>
      </c>
    </row>
    <row r="2301" spans="1:34" x14ac:dyDescent="0.35">
      <c r="A2301" t="s">
        <v>37</v>
      </c>
      <c r="B2301" s="1">
        <v>46146.65625</v>
      </c>
      <c r="C2301" t="s">
        <v>37</v>
      </c>
      <c r="D2301" s="1">
        <v>46157.354166666664</v>
      </c>
      <c r="E2301">
        <v>3825</v>
      </c>
      <c r="F2301" t="s">
        <v>36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682</v>
      </c>
      <c r="O2301">
        <v>0.1</v>
      </c>
      <c r="P2301">
        <v>0</v>
      </c>
      <c r="Q2301">
        <v>0</v>
      </c>
      <c r="R2301">
        <v>0</v>
      </c>
      <c r="S2301">
        <v>0</v>
      </c>
      <c r="T2301">
        <v>1.0562</v>
      </c>
      <c r="U2301">
        <v>-2.0000000000000001E-4</v>
      </c>
      <c r="V2301">
        <v>0</v>
      </c>
      <c r="W2301">
        <v>-2.7199999999999998E-2</v>
      </c>
      <c r="X2301">
        <v>7.7000000000000002E-3</v>
      </c>
      <c r="Y2301">
        <v>-2.9999999999999997E-4</v>
      </c>
      <c r="Z2301">
        <v>0</v>
      </c>
      <c r="AA2301">
        <v>0</v>
      </c>
      <c r="AB2301">
        <v>523</v>
      </c>
      <c r="AC2301">
        <v>0.1</v>
      </c>
      <c r="AD2301">
        <v>0</v>
      </c>
      <c r="AE2301">
        <v>0</v>
      </c>
      <c r="AF2301">
        <v>0</v>
      </c>
      <c r="AG2301">
        <v>1521</v>
      </c>
      <c r="AH2301">
        <v>0</v>
      </c>
    </row>
    <row r="2302" spans="1:34" x14ac:dyDescent="0.35">
      <c r="A2302" t="s">
        <v>37</v>
      </c>
      <c r="B2302" s="1">
        <v>46146.65625</v>
      </c>
      <c r="C2302" t="s">
        <v>37</v>
      </c>
      <c r="D2302" s="1">
        <v>46157.354166666664</v>
      </c>
      <c r="E2302">
        <v>3850</v>
      </c>
      <c r="F2302" t="s">
        <v>36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678</v>
      </c>
      <c r="O2302">
        <v>0.1</v>
      </c>
      <c r="P2302">
        <v>0</v>
      </c>
      <c r="Q2302">
        <v>0</v>
      </c>
      <c r="R2302">
        <v>0</v>
      </c>
      <c r="S2302">
        <v>0</v>
      </c>
      <c r="T2302">
        <v>1.0458000000000001</v>
      </c>
      <c r="U2302">
        <v>-2.0000000000000001E-4</v>
      </c>
      <c r="V2302">
        <v>0</v>
      </c>
      <c r="W2302">
        <v>-2.7199999999999998E-2</v>
      </c>
      <c r="X2302">
        <v>7.7999999999999996E-3</v>
      </c>
      <c r="Y2302">
        <v>-2.9999999999999997E-4</v>
      </c>
      <c r="Z2302">
        <v>0</v>
      </c>
      <c r="AA2302">
        <v>0</v>
      </c>
      <c r="AB2302">
        <v>525</v>
      </c>
      <c r="AC2302">
        <v>0.1</v>
      </c>
      <c r="AD2302">
        <v>0</v>
      </c>
      <c r="AE2302">
        <v>0</v>
      </c>
      <c r="AF2302">
        <v>0</v>
      </c>
      <c r="AG2302">
        <v>2132</v>
      </c>
      <c r="AH2302">
        <v>0</v>
      </c>
    </row>
    <row r="2303" spans="1:34" x14ac:dyDescent="0.35">
      <c r="A2303" t="s">
        <v>37</v>
      </c>
      <c r="B2303" s="1">
        <v>46146.65625</v>
      </c>
      <c r="C2303" t="s">
        <v>37</v>
      </c>
      <c r="D2303" s="1">
        <v>46157.354166666664</v>
      </c>
      <c r="E2303">
        <v>3875</v>
      </c>
      <c r="F2303" t="s">
        <v>36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679</v>
      </c>
      <c r="O2303">
        <v>0.1</v>
      </c>
      <c r="P2303">
        <v>0</v>
      </c>
      <c r="Q2303">
        <v>0</v>
      </c>
      <c r="R2303">
        <v>0</v>
      </c>
      <c r="S2303">
        <v>0</v>
      </c>
      <c r="T2303">
        <v>1.0355000000000001</v>
      </c>
      <c r="U2303">
        <v>-2.0000000000000001E-4</v>
      </c>
      <c r="V2303">
        <v>0</v>
      </c>
      <c r="W2303">
        <v>-2.7199999999999998E-2</v>
      </c>
      <c r="X2303">
        <v>7.7999999999999996E-3</v>
      </c>
      <c r="Y2303">
        <v>-4.0000000000000002E-4</v>
      </c>
      <c r="Z2303">
        <v>0</v>
      </c>
      <c r="AA2303">
        <v>0</v>
      </c>
      <c r="AB2303">
        <v>522</v>
      </c>
      <c r="AC2303">
        <v>0.1</v>
      </c>
      <c r="AD2303">
        <v>0</v>
      </c>
      <c r="AE2303">
        <v>0</v>
      </c>
      <c r="AF2303">
        <v>0</v>
      </c>
      <c r="AG2303">
        <v>2027</v>
      </c>
      <c r="AH2303">
        <v>0</v>
      </c>
    </row>
    <row r="2304" spans="1:34" x14ac:dyDescent="0.35">
      <c r="A2304" t="s">
        <v>37</v>
      </c>
      <c r="B2304" s="1">
        <v>46146.65625</v>
      </c>
      <c r="C2304" t="s">
        <v>37</v>
      </c>
      <c r="D2304" s="1">
        <v>46157.354166666664</v>
      </c>
      <c r="E2304">
        <v>3900</v>
      </c>
      <c r="F2304" t="s">
        <v>36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668</v>
      </c>
      <c r="O2304">
        <v>0.1</v>
      </c>
      <c r="P2304">
        <v>0</v>
      </c>
      <c r="Q2304">
        <v>0</v>
      </c>
      <c r="R2304">
        <v>0</v>
      </c>
      <c r="S2304">
        <v>0</v>
      </c>
      <c r="T2304">
        <v>1.0254000000000001</v>
      </c>
      <c r="U2304">
        <v>-2.0000000000000001E-4</v>
      </c>
      <c r="V2304">
        <v>0</v>
      </c>
      <c r="W2304">
        <v>-2.7199999999999998E-2</v>
      </c>
      <c r="X2304">
        <v>7.9000000000000008E-3</v>
      </c>
      <c r="Y2304">
        <v>-4.0000000000000002E-4</v>
      </c>
      <c r="Z2304">
        <v>0</v>
      </c>
      <c r="AA2304">
        <v>0</v>
      </c>
      <c r="AB2304">
        <v>246</v>
      </c>
      <c r="AC2304">
        <v>0.1</v>
      </c>
      <c r="AD2304">
        <v>0</v>
      </c>
      <c r="AE2304">
        <v>0</v>
      </c>
      <c r="AF2304">
        <v>0</v>
      </c>
      <c r="AG2304">
        <v>2351</v>
      </c>
      <c r="AH2304">
        <v>0</v>
      </c>
    </row>
    <row r="2305" spans="1:34" x14ac:dyDescent="0.35">
      <c r="A2305" t="s">
        <v>37</v>
      </c>
      <c r="B2305" s="1">
        <v>46146.65625</v>
      </c>
      <c r="C2305" t="s">
        <v>37</v>
      </c>
      <c r="D2305" s="1">
        <v>46157.354166666664</v>
      </c>
      <c r="E2305">
        <v>3925</v>
      </c>
      <c r="F2305" t="s">
        <v>36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664</v>
      </c>
      <c r="O2305">
        <v>0.1</v>
      </c>
      <c r="P2305">
        <v>0</v>
      </c>
      <c r="Q2305">
        <v>0</v>
      </c>
      <c r="R2305">
        <v>0</v>
      </c>
      <c r="S2305">
        <v>0</v>
      </c>
      <c r="T2305">
        <v>1.0150999999999999</v>
      </c>
      <c r="U2305">
        <v>-2.0000000000000001E-4</v>
      </c>
      <c r="V2305">
        <v>0</v>
      </c>
      <c r="W2305">
        <v>-2.7199999999999998E-2</v>
      </c>
      <c r="X2305">
        <v>8.0000000000000002E-3</v>
      </c>
      <c r="Y2305">
        <v>-4.0000000000000002E-4</v>
      </c>
      <c r="Z2305">
        <v>0</v>
      </c>
      <c r="AA2305">
        <v>0</v>
      </c>
      <c r="AB2305">
        <v>245</v>
      </c>
      <c r="AC2305">
        <v>0.1</v>
      </c>
      <c r="AD2305">
        <v>0</v>
      </c>
      <c r="AE2305">
        <v>0</v>
      </c>
      <c r="AF2305">
        <v>0</v>
      </c>
      <c r="AG2305">
        <v>1282</v>
      </c>
      <c r="AH2305">
        <v>0</v>
      </c>
    </row>
    <row r="2306" spans="1:34" x14ac:dyDescent="0.35">
      <c r="A2306" t="s">
        <v>37</v>
      </c>
      <c r="B2306" s="1">
        <v>46146.65625</v>
      </c>
      <c r="C2306" t="s">
        <v>37</v>
      </c>
      <c r="D2306" s="1">
        <v>46157.354166666664</v>
      </c>
      <c r="E2306">
        <v>3950</v>
      </c>
      <c r="F2306" t="s">
        <v>36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656</v>
      </c>
      <c r="O2306">
        <v>0.1</v>
      </c>
      <c r="P2306">
        <v>0</v>
      </c>
      <c r="Q2306">
        <v>0</v>
      </c>
      <c r="R2306">
        <v>0</v>
      </c>
      <c r="S2306">
        <v>0</v>
      </c>
      <c r="T2306">
        <v>1.0048999999999999</v>
      </c>
      <c r="U2306">
        <v>-2.0000000000000001E-4</v>
      </c>
      <c r="V2306">
        <v>0</v>
      </c>
      <c r="W2306">
        <v>-2.7199999999999998E-2</v>
      </c>
      <c r="X2306">
        <v>8.0999999999999996E-3</v>
      </c>
      <c r="Y2306">
        <v>-4.0000000000000002E-4</v>
      </c>
      <c r="Z2306">
        <v>0</v>
      </c>
      <c r="AA2306">
        <v>0</v>
      </c>
      <c r="AB2306">
        <v>245</v>
      </c>
      <c r="AC2306">
        <v>0.1</v>
      </c>
      <c r="AD2306">
        <v>0</v>
      </c>
      <c r="AE2306">
        <v>0</v>
      </c>
      <c r="AF2306">
        <v>0</v>
      </c>
      <c r="AG2306">
        <v>1574</v>
      </c>
      <c r="AH2306">
        <v>0</v>
      </c>
    </row>
    <row r="2307" spans="1:34" x14ac:dyDescent="0.35">
      <c r="A2307" t="s">
        <v>37</v>
      </c>
      <c r="B2307" s="1">
        <v>46146.65625</v>
      </c>
      <c r="C2307" t="s">
        <v>37</v>
      </c>
      <c r="D2307" s="1">
        <v>46157.354166666664</v>
      </c>
      <c r="E2307">
        <v>3975</v>
      </c>
      <c r="F2307" t="s">
        <v>36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652</v>
      </c>
      <c r="O2307">
        <v>0.1</v>
      </c>
      <c r="P2307">
        <v>0</v>
      </c>
      <c r="Q2307">
        <v>0</v>
      </c>
      <c r="R2307">
        <v>0</v>
      </c>
      <c r="S2307">
        <v>0</v>
      </c>
      <c r="T2307">
        <v>0.99480000000000002</v>
      </c>
      <c r="U2307">
        <v>-2.0000000000000001E-4</v>
      </c>
      <c r="V2307">
        <v>0</v>
      </c>
      <c r="W2307">
        <v>-2.7099999999999999E-2</v>
      </c>
      <c r="X2307">
        <v>8.2000000000000007E-3</v>
      </c>
      <c r="Y2307">
        <v>-4.0000000000000002E-4</v>
      </c>
      <c r="Z2307">
        <v>0</v>
      </c>
      <c r="AA2307">
        <v>0</v>
      </c>
      <c r="AB2307">
        <v>245</v>
      </c>
      <c r="AC2307">
        <v>0.1</v>
      </c>
      <c r="AD2307">
        <v>0</v>
      </c>
      <c r="AE2307">
        <v>0</v>
      </c>
      <c r="AF2307">
        <v>0</v>
      </c>
      <c r="AG2307">
        <v>2465</v>
      </c>
      <c r="AH2307">
        <v>0</v>
      </c>
    </row>
    <row r="2308" spans="1:34" x14ac:dyDescent="0.35">
      <c r="A2308" t="s">
        <v>37</v>
      </c>
      <c r="B2308" s="1">
        <v>46146.65625</v>
      </c>
      <c r="C2308" t="s">
        <v>37</v>
      </c>
      <c r="D2308" s="1">
        <v>46157.354166666664</v>
      </c>
      <c r="E2308">
        <v>4000</v>
      </c>
      <c r="F2308" t="s">
        <v>36</v>
      </c>
      <c r="G2308">
        <v>0.15</v>
      </c>
      <c r="H2308">
        <v>0.15</v>
      </c>
      <c r="I2308">
        <v>0.15</v>
      </c>
      <c r="J2308">
        <v>0.15</v>
      </c>
      <c r="K2308">
        <v>3</v>
      </c>
      <c r="L2308">
        <v>0</v>
      </c>
      <c r="M2308">
        <v>0</v>
      </c>
      <c r="N2308">
        <v>643</v>
      </c>
      <c r="O2308">
        <v>0.1</v>
      </c>
      <c r="P2308">
        <v>0</v>
      </c>
      <c r="Q2308">
        <v>0</v>
      </c>
      <c r="R2308">
        <v>0</v>
      </c>
      <c r="S2308">
        <v>0</v>
      </c>
      <c r="T2308">
        <v>0.98470000000000002</v>
      </c>
      <c r="U2308">
        <v>-2.0000000000000001E-4</v>
      </c>
      <c r="V2308">
        <v>0</v>
      </c>
      <c r="W2308">
        <v>-2.7099999999999999E-2</v>
      </c>
      <c r="X2308">
        <v>8.2000000000000007E-3</v>
      </c>
      <c r="Y2308">
        <v>-4.0000000000000002E-4</v>
      </c>
      <c r="Z2308">
        <v>0</v>
      </c>
      <c r="AA2308">
        <v>0</v>
      </c>
      <c r="AB2308">
        <v>244</v>
      </c>
      <c r="AC2308">
        <v>0.1</v>
      </c>
      <c r="AD2308">
        <v>0</v>
      </c>
      <c r="AE2308">
        <v>0</v>
      </c>
      <c r="AF2308">
        <v>0.15</v>
      </c>
      <c r="AG2308">
        <v>13459</v>
      </c>
      <c r="AH2308">
        <v>0</v>
      </c>
    </row>
    <row r="2309" spans="1:34" x14ac:dyDescent="0.35">
      <c r="A2309" t="s">
        <v>37</v>
      </c>
      <c r="B2309" s="1">
        <v>46146.65625</v>
      </c>
      <c r="C2309" t="s">
        <v>37</v>
      </c>
      <c r="D2309" s="1">
        <v>46157.354166666664</v>
      </c>
      <c r="E2309">
        <v>4025</v>
      </c>
      <c r="F2309" t="s">
        <v>36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635</v>
      </c>
      <c r="O2309">
        <v>0.1</v>
      </c>
      <c r="P2309">
        <v>0</v>
      </c>
      <c r="Q2309">
        <v>0</v>
      </c>
      <c r="R2309">
        <v>0</v>
      </c>
      <c r="S2309">
        <v>0</v>
      </c>
      <c r="T2309">
        <v>0.97489999999999999</v>
      </c>
      <c r="U2309">
        <v>-2.0000000000000001E-4</v>
      </c>
      <c r="V2309">
        <v>0</v>
      </c>
      <c r="W2309">
        <v>-2.7099999999999999E-2</v>
      </c>
      <c r="X2309">
        <v>8.3000000000000001E-3</v>
      </c>
      <c r="Y2309">
        <v>-4.0000000000000002E-4</v>
      </c>
      <c r="Z2309">
        <v>0</v>
      </c>
      <c r="AA2309">
        <v>0</v>
      </c>
      <c r="AB2309">
        <v>242</v>
      </c>
      <c r="AC2309">
        <v>0.1</v>
      </c>
      <c r="AD2309">
        <v>0</v>
      </c>
      <c r="AE2309">
        <v>0</v>
      </c>
      <c r="AF2309">
        <v>0</v>
      </c>
      <c r="AG2309">
        <v>1286</v>
      </c>
      <c r="AH2309">
        <v>0</v>
      </c>
    </row>
    <row r="2310" spans="1:34" x14ac:dyDescent="0.35">
      <c r="A2310" t="s">
        <v>37</v>
      </c>
      <c r="B2310" s="1">
        <v>46146.65625</v>
      </c>
      <c r="C2310" t="s">
        <v>37</v>
      </c>
      <c r="D2310" s="1">
        <v>46157.354166666664</v>
      </c>
      <c r="E2310">
        <v>4050</v>
      </c>
      <c r="F2310" t="s">
        <v>36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625</v>
      </c>
      <c r="O2310">
        <v>0.1</v>
      </c>
      <c r="P2310">
        <v>0</v>
      </c>
      <c r="Q2310">
        <v>0</v>
      </c>
      <c r="R2310">
        <v>0</v>
      </c>
      <c r="S2310">
        <v>0</v>
      </c>
      <c r="T2310">
        <v>0.96519999999999995</v>
      </c>
      <c r="U2310">
        <v>-2.0000000000000001E-4</v>
      </c>
      <c r="V2310">
        <v>0</v>
      </c>
      <c r="W2310">
        <v>-2.7099999999999999E-2</v>
      </c>
      <c r="X2310">
        <v>8.3999999999999995E-3</v>
      </c>
      <c r="Y2310">
        <v>-4.0000000000000002E-4</v>
      </c>
      <c r="Z2310">
        <v>0</v>
      </c>
      <c r="AA2310">
        <v>0</v>
      </c>
      <c r="AB2310">
        <v>241</v>
      </c>
      <c r="AC2310">
        <v>0.1</v>
      </c>
      <c r="AD2310">
        <v>0</v>
      </c>
      <c r="AE2310">
        <v>0</v>
      </c>
      <c r="AF2310">
        <v>0</v>
      </c>
      <c r="AG2310">
        <v>2102</v>
      </c>
      <c r="AH2310">
        <v>0</v>
      </c>
    </row>
    <row r="2311" spans="1:34" x14ac:dyDescent="0.35">
      <c r="A2311" t="s">
        <v>37</v>
      </c>
      <c r="B2311" s="1">
        <v>46146.65625</v>
      </c>
      <c r="C2311" t="s">
        <v>37</v>
      </c>
      <c r="D2311" s="1">
        <v>46157.354166666664</v>
      </c>
      <c r="E2311">
        <v>4075</v>
      </c>
      <c r="F2311" t="s">
        <v>36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618</v>
      </c>
      <c r="O2311">
        <v>0.1</v>
      </c>
      <c r="P2311">
        <v>0</v>
      </c>
      <c r="Q2311">
        <v>0</v>
      </c>
      <c r="R2311">
        <v>0</v>
      </c>
      <c r="S2311">
        <v>0</v>
      </c>
      <c r="T2311">
        <v>0.95509999999999995</v>
      </c>
      <c r="U2311">
        <v>-2.0000000000000001E-4</v>
      </c>
      <c r="V2311">
        <v>0</v>
      </c>
      <c r="W2311">
        <v>-2.7099999999999999E-2</v>
      </c>
      <c r="X2311">
        <v>8.5000000000000006E-3</v>
      </c>
      <c r="Y2311">
        <v>-4.0000000000000002E-4</v>
      </c>
      <c r="Z2311">
        <v>0</v>
      </c>
      <c r="AA2311">
        <v>0</v>
      </c>
      <c r="AB2311">
        <v>241</v>
      </c>
      <c r="AC2311">
        <v>0.1</v>
      </c>
      <c r="AD2311">
        <v>0</v>
      </c>
      <c r="AE2311">
        <v>0</v>
      </c>
      <c r="AF2311">
        <v>0</v>
      </c>
      <c r="AG2311">
        <v>1393</v>
      </c>
      <c r="AH2311">
        <v>0</v>
      </c>
    </row>
    <row r="2312" spans="1:34" x14ac:dyDescent="0.35">
      <c r="A2312" t="s">
        <v>37</v>
      </c>
      <c r="B2312" s="1">
        <v>46146.65625</v>
      </c>
      <c r="C2312" t="s">
        <v>37</v>
      </c>
      <c r="D2312" s="1">
        <v>46157.354166666664</v>
      </c>
      <c r="E2312">
        <v>4100</v>
      </c>
      <c r="F2312" t="s">
        <v>36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607</v>
      </c>
      <c r="O2312">
        <v>0.1</v>
      </c>
      <c r="P2312">
        <v>0</v>
      </c>
      <c r="Q2312">
        <v>0</v>
      </c>
      <c r="R2312">
        <v>0</v>
      </c>
      <c r="S2312">
        <v>0</v>
      </c>
      <c r="T2312">
        <v>0.94540000000000002</v>
      </c>
      <c r="U2312">
        <v>-2.0000000000000001E-4</v>
      </c>
      <c r="V2312">
        <v>0</v>
      </c>
      <c r="W2312">
        <v>-2.7099999999999999E-2</v>
      </c>
      <c r="X2312">
        <v>8.6E-3</v>
      </c>
      <c r="Y2312">
        <v>-4.0000000000000002E-4</v>
      </c>
      <c r="Z2312">
        <v>0</v>
      </c>
      <c r="AA2312">
        <v>0</v>
      </c>
      <c r="AB2312">
        <v>239</v>
      </c>
      <c r="AC2312">
        <v>0.1</v>
      </c>
      <c r="AD2312">
        <v>0</v>
      </c>
      <c r="AE2312">
        <v>0</v>
      </c>
      <c r="AF2312">
        <v>0</v>
      </c>
      <c r="AG2312">
        <v>5242</v>
      </c>
      <c r="AH2312">
        <v>0</v>
      </c>
    </row>
    <row r="2313" spans="1:34" x14ac:dyDescent="0.35">
      <c r="A2313" t="s">
        <v>37</v>
      </c>
      <c r="B2313" s="1">
        <v>46146.65625</v>
      </c>
      <c r="C2313" t="s">
        <v>37</v>
      </c>
      <c r="D2313" s="1">
        <v>46157.354166666664</v>
      </c>
      <c r="E2313">
        <v>4125</v>
      </c>
      <c r="F2313" t="s">
        <v>36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597</v>
      </c>
      <c r="O2313">
        <v>0.1</v>
      </c>
      <c r="P2313">
        <v>0</v>
      </c>
      <c r="Q2313">
        <v>0</v>
      </c>
      <c r="R2313">
        <v>0</v>
      </c>
      <c r="S2313">
        <v>0</v>
      </c>
      <c r="T2313">
        <v>0.93579999999999997</v>
      </c>
      <c r="U2313">
        <v>-2.0000000000000001E-4</v>
      </c>
      <c r="V2313">
        <v>0</v>
      </c>
      <c r="W2313">
        <v>-2.7099999999999999E-2</v>
      </c>
      <c r="X2313">
        <v>8.6999999999999994E-3</v>
      </c>
      <c r="Y2313">
        <v>-4.0000000000000002E-4</v>
      </c>
      <c r="Z2313">
        <v>0</v>
      </c>
      <c r="AA2313">
        <v>0</v>
      </c>
      <c r="AB2313">
        <v>238</v>
      </c>
      <c r="AC2313">
        <v>0.1</v>
      </c>
      <c r="AD2313">
        <v>0</v>
      </c>
      <c r="AE2313">
        <v>0</v>
      </c>
      <c r="AF2313">
        <v>0</v>
      </c>
      <c r="AG2313">
        <v>1430</v>
      </c>
      <c r="AH2313">
        <v>0</v>
      </c>
    </row>
    <row r="2314" spans="1:34" x14ac:dyDescent="0.35">
      <c r="A2314" t="s">
        <v>37</v>
      </c>
      <c r="B2314" s="1">
        <v>46146.65625</v>
      </c>
      <c r="C2314" t="s">
        <v>37</v>
      </c>
      <c r="D2314" s="1">
        <v>46157.354166666664</v>
      </c>
      <c r="E2314">
        <v>4150</v>
      </c>
      <c r="F2314" t="s">
        <v>36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419</v>
      </c>
      <c r="O2314">
        <v>0.1</v>
      </c>
      <c r="P2314">
        <v>0</v>
      </c>
      <c r="Q2314">
        <v>0</v>
      </c>
      <c r="R2314">
        <v>0</v>
      </c>
      <c r="S2314">
        <v>0</v>
      </c>
      <c r="T2314">
        <v>0.92620000000000002</v>
      </c>
      <c r="U2314">
        <v>-2.0000000000000001E-4</v>
      </c>
      <c r="V2314">
        <v>0</v>
      </c>
      <c r="W2314">
        <v>-2.7E-2</v>
      </c>
      <c r="X2314">
        <v>8.8000000000000005E-3</v>
      </c>
      <c r="Y2314">
        <v>-4.0000000000000002E-4</v>
      </c>
      <c r="Z2314">
        <v>0</v>
      </c>
      <c r="AA2314">
        <v>0</v>
      </c>
      <c r="AB2314">
        <v>634</v>
      </c>
      <c r="AC2314">
        <v>0.15</v>
      </c>
      <c r="AD2314">
        <v>0</v>
      </c>
      <c r="AE2314">
        <v>0</v>
      </c>
      <c r="AF2314">
        <v>0</v>
      </c>
      <c r="AG2314">
        <v>1647</v>
      </c>
      <c r="AH2314">
        <v>0</v>
      </c>
    </row>
    <row r="2315" spans="1:34" x14ac:dyDescent="0.35">
      <c r="A2315" t="s">
        <v>37</v>
      </c>
      <c r="B2315" s="1">
        <v>46146.65625</v>
      </c>
      <c r="C2315" t="s">
        <v>37</v>
      </c>
      <c r="D2315" s="1">
        <v>46157.354166666664</v>
      </c>
      <c r="E2315">
        <v>4175</v>
      </c>
      <c r="F2315" t="s">
        <v>36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410</v>
      </c>
      <c r="O2315">
        <v>0.1</v>
      </c>
      <c r="P2315">
        <v>0</v>
      </c>
      <c r="Q2315">
        <v>0</v>
      </c>
      <c r="R2315">
        <v>0</v>
      </c>
      <c r="S2315">
        <v>0</v>
      </c>
      <c r="T2315">
        <v>0.91639999999999999</v>
      </c>
      <c r="U2315">
        <v>-2.0000000000000001E-4</v>
      </c>
      <c r="V2315">
        <v>0</v>
      </c>
      <c r="W2315">
        <v>-2.7E-2</v>
      </c>
      <c r="X2315">
        <v>8.8999999999999999E-3</v>
      </c>
      <c r="Y2315">
        <v>-4.0000000000000002E-4</v>
      </c>
      <c r="Z2315">
        <v>0</v>
      </c>
      <c r="AA2315">
        <v>0</v>
      </c>
      <c r="AB2315">
        <v>615</v>
      </c>
      <c r="AC2315">
        <v>0.15</v>
      </c>
      <c r="AD2315">
        <v>0</v>
      </c>
      <c r="AE2315">
        <v>0</v>
      </c>
      <c r="AF2315">
        <v>0</v>
      </c>
      <c r="AG2315">
        <v>1702</v>
      </c>
      <c r="AH2315">
        <v>0</v>
      </c>
    </row>
    <row r="2316" spans="1:34" x14ac:dyDescent="0.35">
      <c r="A2316" t="s">
        <v>37</v>
      </c>
      <c r="B2316" s="1">
        <v>46146.65625</v>
      </c>
      <c r="C2316" t="s">
        <v>37</v>
      </c>
      <c r="D2316" s="1">
        <v>46157.354166666664</v>
      </c>
      <c r="E2316">
        <v>4200</v>
      </c>
      <c r="F2316" t="s">
        <v>36</v>
      </c>
      <c r="G2316">
        <v>0.05</v>
      </c>
      <c r="H2316">
        <v>0.05</v>
      </c>
      <c r="I2316">
        <v>0.05</v>
      </c>
      <c r="J2316">
        <v>0.05</v>
      </c>
      <c r="K2316">
        <v>2</v>
      </c>
      <c r="L2316">
        <v>0</v>
      </c>
      <c r="M2316">
        <v>0</v>
      </c>
      <c r="N2316">
        <v>407</v>
      </c>
      <c r="O2316">
        <v>0.1</v>
      </c>
      <c r="P2316">
        <v>0</v>
      </c>
      <c r="Q2316">
        <v>0</v>
      </c>
      <c r="R2316">
        <v>0</v>
      </c>
      <c r="S2316">
        <v>0</v>
      </c>
      <c r="T2316">
        <v>0.90700000000000003</v>
      </c>
      <c r="U2316">
        <v>-2.0000000000000001E-4</v>
      </c>
      <c r="V2316">
        <v>0</v>
      </c>
      <c r="W2316">
        <v>-2.7E-2</v>
      </c>
      <c r="X2316">
        <v>8.8999999999999999E-3</v>
      </c>
      <c r="Y2316">
        <v>-4.0000000000000002E-4</v>
      </c>
      <c r="Z2316">
        <v>0</v>
      </c>
      <c r="AA2316">
        <v>0</v>
      </c>
      <c r="AB2316">
        <v>608</v>
      </c>
      <c r="AC2316">
        <v>0.15</v>
      </c>
      <c r="AD2316">
        <v>0</v>
      </c>
      <c r="AE2316">
        <v>0</v>
      </c>
      <c r="AF2316">
        <v>0.05</v>
      </c>
      <c r="AG2316">
        <v>6940</v>
      </c>
      <c r="AH2316">
        <v>0</v>
      </c>
    </row>
    <row r="2317" spans="1:34" x14ac:dyDescent="0.35">
      <c r="A2317" t="s">
        <v>37</v>
      </c>
      <c r="B2317" s="1">
        <v>46146.65625</v>
      </c>
      <c r="C2317" t="s">
        <v>37</v>
      </c>
      <c r="D2317" s="1">
        <v>46157.354166666664</v>
      </c>
      <c r="E2317">
        <v>4225</v>
      </c>
      <c r="F2317" t="s">
        <v>36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400</v>
      </c>
      <c r="O2317">
        <v>0.1</v>
      </c>
      <c r="P2317">
        <v>0</v>
      </c>
      <c r="Q2317">
        <v>0</v>
      </c>
      <c r="R2317">
        <v>0</v>
      </c>
      <c r="S2317">
        <v>0</v>
      </c>
      <c r="T2317">
        <v>0.89739999999999998</v>
      </c>
      <c r="U2317">
        <v>-2.0000000000000001E-4</v>
      </c>
      <c r="V2317">
        <v>0</v>
      </c>
      <c r="W2317">
        <v>-2.7E-2</v>
      </c>
      <c r="X2317">
        <v>8.9999999999999993E-3</v>
      </c>
      <c r="Y2317">
        <v>-4.0000000000000002E-4</v>
      </c>
      <c r="Z2317">
        <v>0</v>
      </c>
      <c r="AA2317">
        <v>0</v>
      </c>
      <c r="AB2317">
        <v>607</v>
      </c>
      <c r="AC2317">
        <v>0.15</v>
      </c>
      <c r="AD2317">
        <v>0</v>
      </c>
      <c r="AE2317">
        <v>0</v>
      </c>
      <c r="AF2317">
        <v>0</v>
      </c>
      <c r="AG2317">
        <v>1289</v>
      </c>
      <c r="AH2317">
        <v>0</v>
      </c>
    </row>
    <row r="2318" spans="1:34" x14ac:dyDescent="0.35">
      <c r="A2318" t="s">
        <v>37</v>
      </c>
      <c r="B2318" s="1">
        <v>46146.65625</v>
      </c>
      <c r="C2318" t="s">
        <v>37</v>
      </c>
      <c r="D2318" s="1">
        <v>46157.354166666664</v>
      </c>
      <c r="E2318">
        <v>4250</v>
      </c>
      <c r="F2318" t="s">
        <v>36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397</v>
      </c>
      <c r="O2318">
        <v>0.1</v>
      </c>
      <c r="P2318">
        <v>0</v>
      </c>
      <c r="Q2318">
        <v>0</v>
      </c>
      <c r="R2318">
        <v>0</v>
      </c>
      <c r="S2318">
        <v>0</v>
      </c>
      <c r="T2318">
        <v>0.88800000000000001</v>
      </c>
      <c r="U2318">
        <v>-2.0000000000000001E-4</v>
      </c>
      <c r="V2318">
        <v>0</v>
      </c>
      <c r="W2318">
        <v>-2.7E-2</v>
      </c>
      <c r="X2318">
        <v>9.1000000000000004E-3</v>
      </c>
      <c r="Y2318">
        <v>-4.0000000000000002E-4</v>
      </c>
      <c r="Z2318">
        <v>0</v>
      </c>
      <c r="AA2318">
        <v>0</v>
      </c>
      <c r="AB2318">
        <v>611</v>
      </c>
      <c r="AC2318">
        <v>0.15</v>
      </c>
      <c r="AD2318">
        <v>0</v>
      </c>
      <c r="AE2318">
        <v>0</v>
      </c>
      <c r="AF2318">
        <v>0</v>
      </c>
      <c r="AG2318">
        <v>2197</v>
      </c>
      <c r="AH2318">
        <v>0</v>
      </c>
    </row>
    <row r="2319" spans="1:34" x14ac:dyDescent="0.35">
      <c r="A2319" t="s">
        <v>37</v>
      </c>
      <c r="B2319" s="1">
        <v>46146.65625</v>
      </c>
      <c r="C2319" t="s">
        <v>37</v>
      </c>
      <c r="D2319" s="1">
        <v>46157.354166666664</v>
      </c>
      <c r="E2319">
        <v>4275</v>
      </c>
      <c r="F2319" t="s">
        <v>36</v>
      </c>
      <c r="G2319">
        <v>0.08</v>
      </c>
      <c r="H2319">
        <v>0.08</v>
      </c>
      <c r="I2319">
        <v>0.08</v>
      </c>
      <c r="J2319">
        <v>0.08</v>
      </c>
      <c r="K2319">
        <v>1</v>
      </c>
      <c r="L2319">
        <v>0</v>
      </c>
      <c r="M2319">
        <v>0</v>
      </c>
      <c r="N2319">
        <v>388</v>
      </c>
      <c r="O2319">
        <v>0.1</v>
      </c>
      <c r="P2319">
        <v>0</v>
      </c>
      <c r="Q2319">
        <v>0</v>
      </c>
      <c r="R2319">
        <v>0</v>
      </c>
      <c r="S2319">
        <v>0</v>
      </c>
      <c r="T2319">
        <v>0.87839999999999996</v>
      </c>
      <c r="U2319">
        <v>-2.0000000000000001E-4</v>
      </c>
      <c r="V2319">
        <v>0</v>
      </c>
      <c r="W2319">
        <v>-2.7E-2</v>
      </c>
      <c r="X2319">
        <v>9.1999999999999998E-3</v>
      </c>
      <c r="Y2319">
        <v>-4.0000000000000002E-4</v>
      </c>
      <c r="Z2319">
        <v>0</v>
      </c>
      <c r="AA2319">
        <v>0</v>
      </c>
      <c r="AB2319">
        <v>602</v>
      </c>
      <c r="AC2319">
        <v>0.15</v>
      </c>
      <c r="AD2319">
        <v>0</v>
      </c>
      <c r="AE2319">
        <v>0</v>
      </c>
      <c r="AF2319">
        <v>0.08</v>
      </c>
      <c r="AG2319">
        <v>1230</v>
      </c>
      <c r="AH2319">
        <v>0</v>
      </c>
    </row>
    <row r="2320" spans="1:34" x14ac:dyDescent="0.35">
      <c r="A2320" t="s">
        <v>37</v>
      </c>
      <c r="B2320" s="1">
        <v>46146.65625</v>
      </c>
      <c r="C2320" t="s">
        <v>37</v>
      </c>
      <c r="D2320" s="1">
        <v>46157.354166666664</v>
      </c>
      <c r="E2320">
        <v>4300</v>
      </c>
      <c r="F2320" t="s">
        <v>36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381</v>
      </c>
      <c r="O2320">
        <v>0.1</v>
      </c>
      <c r="P2320">
        <v>0</v>
      </c>
      <c r="Q2320">
        <v>0</v>
      </c>
      <c r="R2320">
        <v>0</v>
      </c>
      <c r="S2320">
        <v>0</v>
      </c>
      <c r="T2320">
        <v>0.86919999999999997</v>
      </c>
      <c r="U2320">
        <v>-2.0000000000000001E-4</v>
      </c>
      <c r="V2320">
        <v>0</v>
      </c>
      <c r="W2320">
        <v>-2.69E-2</v>
      </c>
      <c r="X2320">
        <v>9.2999999999999992E-3</v>
      </c>
      <c r="Y2320">
        <v>-4.0000000000000002E-4</v>
      </c>
      <c r="Z2320">
        <v>0</v>
      </c>
      <c r="AA2320">
        <v>0</v>
      </c>
      <c r="AB2320">
        <v>591</v>
      </c>
      <c r="AC2320">
        <v>0.15</v>
      </c>
      <c r="AD2320">
        <v>0</v>
      </c>
      <c r="AE2320">
        <v>0</v>
      </c>
      <c r="AF2320">
        <v>0</v>
      </c>
      <c r="AG2320">
        <v>3393</v>
      </c>
      <c r="AH2320">
        <v>0</v>
      </c>
    </row>
    <row r="2321" spans="1:34" x14ac:dyDescent="0.35">
      <c r="A2321" t="s">
        <v>37</v>
      </c>
      <c r="B2321" s="1">
        <v>46146.65625</v>
      </c>
      <c r="C2321" t="s">
        <v>37</v>
      </c>
      <c r="D2321" s="1">
        <v>46157.354166666664</v>
      </c>
      <c r="E2321">
        <v>4325</v>
      </c>
      <c r="F2321" t="s">
        <v>36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225</v>
      </c>
      <c r="O2321">
        <v>0.1</v>
      </c>
      <c r="P2321">
        <v>0</v>
      </c>
      <c r="Q2321">
        <v>0</v>
      </c>
      <c r="R2321">
        <v>0</v>
      </c>
      <c r="S2321">
        <v>0</v>
      </c>
      <c r="T2321">
        <v>0.8599</v>
      </c>
      <c r="U2321">
        <v>-2.0000000000000001E-4</v>
      </c>
      <c r="V2321">
        <v>0</v>
      </c>
      <c r="W2321">
        <v>-2.69E-2</v>
      </c>
      <c r="X2321">
        <v>9.4000000000000004E-3</v>
      </c>
      <c r="Y2321">
        <v>-4.0000000000000002E-4</v>
      </c>
      <c r="Z2321">
        <v>0</v>
      </c>
      <c r="AA2321">
        <v>0</v>
      </c>
      <c r="AB2321">
        <v>568</v>
      </c>
      <c r="AC2321">
        <v>0.15</v>
      </c>
      <c r="AD2321">
        <v>0</v>
      </c>
      <c r="AE2321">
        <v>0</v>
      </c>
      <c r="AF2321">
        <v>0</v>
      </c>
      <c r="AG2321">
        <v>1523</v>
      </c>
      <c r="AH2321">
        <v>0</v>
      </c>
    </row>
    <row r="2322" spans="1:34" x14ac:dyDescent="0.35">
      <c r="A2322" t="s">
        <v>37</v>
      </c>
      <c r="B2322" s="1">
        <v>46146.65625</v>
      </c>
      <c r="C2322" t="s">
        <v>37</v>
      </c>
      <c r="D2322" s="1">
        <v>46157.354166666664</v>
      </c>
      <c r="E2322">
        <v>4350</v>
      </c>
      <c r="F2322" t="s">
        <v>36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1071</v>
      </c>
      <c r="O2322">
        <v>0.15</v>
      </c>
      <c r="P2322">
        <v>0</v>
      </c>
      <c r="Q2322">
        <v>0</v>
      </c>
      <c r="R2322">
        <v>0</v>
      </c>
      <c r="S2322">
        <v>0</v>
      </c>
      <c r="T2322">
        <v>0.87429999999999997</v>
      </c>
      <c r="U2322">
        <v>-2.9999999999999997E-4</v>
      </c>
      <c r="V2322">
        <v>0</v>
      </c>
      <c r="W2322">
        <v>-3.9100000000000003E-2</v>
      </c>
      <c r="X2322">
        <v>1.32E-2</v>
      </c>
      <c r="Y2322">
        <v>-5.9999999999999995E-4</v>
      </c>
      <c r="Z2322">
        <v>0</v>
      </c>
      <c r="AA2322">
        <v>0</v>
      </c>
      <c r="AB2322">
        <v>569</v>
      </c>
      <c r="AC2322">
        <v>0.15</v>
      </c>
      <c r="AD2322">
        <v>0</v>
      </c>
      <c r="AE2322">
        <v>0</v>
      </c>
      <c r="AF2322">
        <v>0</v>
      </c>
      <c r="AG2322">
        <v>2108</v>
      </c>
      <c r="AH2322">
        <v>0</v>
      </c>
    </row>
    <row r="2323" spans="1:34" x14ac:dyDescent="0.35">
      <c r="A2323" t="s">
        <v>37</v>
      </c>
      <c r="B2323" s="1">
        <v>46146.65625</v>
      </c>
      <c r="C2323" t="s">
        <v>37</v>
      </c>
      <c r="D2323" s="1">
        <v>46157.354166666664</v>
      </c>
      <c r="E2323">
        <v>4375</v>
      </c>
      <c r="F2323" t="s">
        <v>36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1057</v>
      </c>
      <c r="O2323">
        <v>0.15</v>
      </c>
      <c r="P2323">
        <v>0</v>
      </c>
      <c r="Q2323">
        <v>0</v>
      </c>
      <c r="R2323">
        <v>0</v>
      </c>
      <c r="S2323">
        <v>0</v>
      </c>
      <c r="T2323">
        <v>0.8649</v>
      </c>
      <c r="U2323">
        <v>-2.9999999999999997E-4</v>
      </c>
      <c r="V2323">
        <v>0</v>
      </c>
      <c r="W2323">
        <v>-3.9100000000000003E-2</v>
      </c>
      <c r="X2323">
        <v>1.3299999999999999E-2</v>
      </c>
      <c r="Y2323">
        <v>-5.9999999999999995E-4</v>
      </c>
      <c r="Z2323">
        <v>0</v>
      </c>
      <c r="AA2323">
        <v>0</v>
      </c>
      <c r="AB2323">
        <v>546</v>
      </c>
      <c r="AC2323">
        <v>0.15</v>
      </c>
      <c r="AD2323">
        <v>0</v>
      </c>
      <c r="AE2323">
        <v>0</v>
      </c>
      <c r="AF2323">
        <v>0</v>
      </c>
      <c r="AG2323">
        <v>2024</v>
      </c>
      <c r="AH2323">
        <v>0</v>
      </c>
    </row>
    <row r="2324" spans="1:34" x14ac:dyDescent="0.35">
      <c r="A2324" t="s">
        <v>37</v>
      </c>
      <c r="B2324" s="1">
        <v>46146.65625</v>
      </c>
      <c r="C2324" t="s">
        <v>37</v>
      </c>
      <c r="D2324" s="1">
        <v>46157.354166666664</v>
      </c>
      <c r="E2324">
        <v>4400</v>
      </c>
      <c r="F2324" t="s">
        <v>36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1000</v>
      </c>
      <c r="O2324">
        <v>0.15</v>
      </c>
      <c r="P2324">
        <v>0</v>
      </c>
      <c r="Q2324">
        <v>0</v>
      </c>
      <c r="R2324">
        <v>0</v>
      </c>
      <c r="S2324">
        <v>0</v>
      </c>
      <c r="T2324">
        <v>0.85580000000000001</v>
      </c>
      <c r="U2324">
        <v>-2.9999999999999997E-4</v>
      </c>
      <c r="V2324">
        <v>0</v>
      </c>
      <c r="W2324">
        <v>-3.9E-2</v>
      </c>
      <c r="X2324">
        <v>1.35E-2</v>
      </c>
      <c r="Y2324">
        <v>-5.9999999999999995E-4</v>
      </c>
      <c r="Z2324">
        <v>0</v>
      </c>
      <c r="AA2324">
        <v>0</v>
      </c>
      <c r="AB2324">
        <v>542</v>
      </c>
      <c r="AC2324">
        <v>0.15</v>
      </c>
      <c r="AD2324">
        <v>0</v>
      </c>
      <c r="AE2324">
        <v>0</v>
      </c>
      <c r="AF2324">
        <v>0</v>
      </c>
      <c r="AG2324">
        <v>5644</v>
      </c>
      <c r="AH2324">
        <v>0</v>
      </c>
    </row>
    <row r="2325" spans="1:34" x14ac:dyDescent="0.35">
      <c r="A2325" t="s">
        <v>37</v>
      </c>
      <c r="B2325" s="1">
        <v>46146.65625</v>
      </c>
      <c r="C2325" t="s">
        <v>37</v>
      </c>
      <c r="D2325" s="1">
        <v>46157.354166666664</v>
      </c>
      <c r="E2325">
        <v>4425</v>
      </c>
      <c r="F2325" t="s">
        <v>36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975</v>
      </c>
      <c r="O2325">
        <v>0.15</v>
      </c>
      <c r="P2325">
        <v>0</v>
      </c>
      <c r="Q2325">
        <v>0</v>
      </c>
      <c r="R2325">
        <v>0</v>
      </c>
      <c r="S2325">
        <v>0</v>
      </c>
      <c r="T2325">
        <v>0.84630000000000005</v>
      </c>
      <c r="U2325">
        <v>-2.9999999999999997E-4</v>
      </c>
      <c r="V2325">
        <v>0</v>
      </c>
      <c r="W2325">
        <v>-3.9E-2</v>
      </c>
      <c r="X2325">
        <v>1.3599999999999999E-2</v>
      </c>
      <c r="Y2325">
        <v>-5.9999999999999995E-4</v>
      </c>
      <c r="Z2325">
        <v>0</v>
      </c>
      <c r="AA2325">
        <v>0</v>
      </c>
      <c r="AB2325">
        <v>527</v>
      </c>
      <c r="AC2325">
        <v>0.15</v>
      </c>
      <c r="AD2325">
        <v>0</v>
      </c>
      <c r="AE2325">
        <v>0</v>
      </c>
      <c r="AF2325">
        <v>0</v>
      </c>
      <c r="AG2325">
        <v>1582</v>
      </c>
      <c r="AH2325">
        <v>0</v>
      </c>
    </row>
    <row r="2326" spans="1:34" x14ac:dyDescent="0.35">
      <c r="A2326" t="s">
        <v>37</v>
      </c>
      <c r="B2326" s="1">
        <v>46146.65625</v>
      </c>
      <c r="C2326" t="s">
        <v>37</v>
      </c>
      <c r="D2326" s="1">
        <v>46157.354166666664</v>
      </c>
      <c r="E2326">
        <v>4450</v>
      </c>
      <c r="F2326" t="s">
        <v>36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944</v>
      </c>
      <c r="O2326">
        <v>0.15</v>
      </c>
      <c r="P2326">
        <v>0</v>
      </c>
      <c r="Q2326">
        <v>0</v>
      </c>
      <c r="R2326">
        <v>0</v>
      </c>
      <c r="S2326">
        <v>0</v>
      </c>
      <c r="T2326">
        <v>0.83709999999999996</v>
      </c>
      <c r="U2326">
        <v>-2.9999999999999997E-4</v>
      </c>
      <c r="V2326">
        <v>0</v>
      </c>
      <c r="W2326">
        <v>-3.9E-2</v>
      </c>
      <c r="X2326">
        <v>1.37E-2</v>
      </c>
      <c r="Y2326">
        <v>-5.9999999999999995E-4</v>
      </c>
      <c r="Z2326">
        <v>0</v>
      </c>
      <c r="AA2326">
        <v>0</v>
      </c>
      <c r="AB2326">
        <v>514</v>
      </c>
      <c r="AC2326">
        <v>0.15</v>
      </c>
      <c r="AD2326">
        <v>0</v>
      </c>
      <c r="AE2326">
        <v>0</v>
      </c>
      <c r="AF2326">
        <v>0</v>
      </c>
      <c r="AG2326">
        <v>1826</v>
      </c>
      <c r="AH2326">
        <v>0</v>
      </c>
    </row>
    <row r="2327" spans="1:34" x14ac:dyDescent="0.35">
      <c r="A2327" t="s">
        <v>37</v>
      </c>
      <c r="B2327" s="1">
        <v>46146.65625</v>
      </c>
      <c r="C2327" t="s">
        <v>37</v>
      </c>
      <c r="D2327" s="1">
        <v>46157.354166666664</v>
      </c>
      <c r="E2327">
        <v>4475</v>
      </c>
      <c r="F2327" t="s">
        <v>36</v>
      </c>
      <c r="G2327">
        <v>0.05</v>
      </c>
      <c r="H2327">
        <v>0.05</v>
      </c>
      <c r="I2327">
        <v>0.05</v>
      </c>
      <c r="J2327">
        <v>0.05</v>
      </c>
      <c r="K2327">
        <v>1</v>
      </c>
      <c r="L2327">
        <v>0</v>
      </c>
      <c r="M2327">
        <v>0</v>
      </c>
      <c r="N2327">
        <v>3</v>
      </c>
      <c r="O2327">
        <v>0.1</v>
      </c>
      <c r="P2327">
        <v>0</v>
      </c>
      <c r="Q2327">
        <v>0</v>
      </c>
      <c r="R2327">
        <v>0</v>
      </c>
      <c r="S2327">
        <v>0</v>
      </c>
      <c r="T2327">
        <v>0.80530000000000002</v>
      </c>
      <c r="U2327">
        <v>-2.0000000000000001E-4</v>
      </c>
      <c r="V2327">
        <v>0</v>
      </c>
      <c r="W2327">
        <v>-2.6800000000000001E-2</v>
      </c>
      <c r="X2327">
        <v>1.01E-2</v>
      </c>
      <c r="Y2327">
        <v>-4.0000000000000002E-4</v>
      </c>
      <c r="Z2327">
        <v>0</v>
      </c>
      <c r="AA2327">
        <v>0</v>
      </c>
      <c r="AB2327">
        <v>3</v>
      </c>
      <c r="AC2327">
        <v>0.1</v>
      </c>
      <c r="AD2327">
        <v>0</v>
      </c>
      <c r="AE2327">
        <v>0</v>
      </c>
      <c r="AF2327">
        <v>0.05</v>
      </c>
      <c r="AG2327">
        <v>1969</v>
      </c>
      <c r="AH2327">
        <v>0</v>
      </c>
    </row>
    <row r="2328" spans="1:34" x14ac:dyDescent="0.35">
      <c r="A2328" t="s">
        <v>37</v>
      </c>
      <c r="B2328" s="1">
        <v>46146.65625</v>
      </c>
      <c r="C2328" t="s">
        <v>37</v>
      </c>
      <c r="D2328" s="1">
        <v>46157.354166666664</v>
      </c>
      <c r="E2328">
        <v>4500</v>
      </c>
      <c r="F2328" t="s">
        <v>36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3</v>
      </c>
      <c r="O2328">
        <v>0.1</v>
      </c>
      <c r="P2328">
        <v>0</v>
      </c>
      <c r="Q2328">
        <v>0</v>
      </c>
      <c r="R2328">
        <v>0</v>
      </c>
      <c r="S2328">
        <v>0</v>
      </c>
      <c r="T2328">
        <v>0.79600000000000004</v>
      </c>
      <c r="U2328">
        <v>-2.0000000000000001E-4</v>
      </c>
      <c r="V2328">
        <v>0</v>
      </c>
      <c r="W2328">
        <v>-2.6800000000000001E-2</v>
      </c>
      <c r="X2328">
        <v>1.0200000000000001E-2</v>
      </c>
      <c r="Y2328">
        <v>-4.0000000000000002E-4</v>
      </c>
      <c r="Z2328">
        <v>0</v>
      </c>
      <c r="AA2328">
        <v>0</v>
      </c>
      <c r="AB2328">
        <v>3</v>
      </c>
      <c r="AC2328">
        <v>0.1</v>
      </c>
      <c r="AD2328">
        <v>0</v>
      </c>
      <c r="AE2328">
        <v>0</v>
      </c>
      <c r="AF2328">
        <v>0</v>
      </c>
      <c r="AG2328">
        <v>8145</v>
      </c>
      <c r="AH2328">
        <v>0</v>
      </c>
    </row>
    <row r="2329" spans="1:34" x14ac:dyDescent="0.35">
      <c r="A2329" t="s">
        <v>37</v>
      </c>
      <c r="B2329" s="1">
        <v>46146.65625</v>
      </c>
      <c r="C2329" t="s">
        <v>37</v>
      </c>
      <c r="D2329" s="1">
        <v>46157.354166666664</v>
      </c>
      <c r="E2329">
        <v>4525</v>
      </c>
      <c r="F2329" t="s">
        <v>36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3</v>
      </c>
      <c r="O2329">
        <v>0.1</v>
      </c>
      <c r="P2329">
        <v>0</v>
      </c>
      <c r="Q2329">
        <v>0</v>
      </c>
      <c r="R2329">
        <v>0</v>
      </c>
      <c r="S2329">
        <v>0</v>
      </c>
      <c r="T2329">
        <v>0.78739999999999999</v>
      </c>
      <c r="U2329">
        <v>-2.0000000000000001E-4</v>
      </c>
      <c r="V2329">
        <v>0</v>
      </c>
      <c r="W2329">
        <v>-2.6800000000000001E-2</v>
      </c>
      <c r="X2329">
        <v>1.03E-2</v>
      </c>
      <c r="Y2329">
        <v>-5.0000000000000001E-4</v>
      </c>
      <c r="Z2329">
        <v>0</v>
      </c>
      <c r="AA2329">
        <v>0</v>
      </c>
      <c r="AB2329">
        <v>3</v>
      </c>
      <c r="AC2329">
        <v>0.1</v>
      </c>
      <c r="AD2329">
        <v>0</v>
      </c>
      <c r="AE2329">
        <v>0</v>
      </c>
      <c r="AF2329">
        <v>0</v>
      </c>
      <c r="AG2329">
        <v>1716</v>
      </c>
      <c r="AH2329">
        <v>0</v>
      </c>
    </row>
    <row r="2330" spans="1:34" x14ac:dyDescent="0.35">
      <c r="A2330" t="s">
        <v>37</v>
      </c>
      <c r="B2330" s="1">
        <v>46146.65625</v>
      </c>
      <c r="C2330" t="s">
        <v>37</v>
      </c>
      <c r="D2330" s="1">
        <v>46157.354166666664</v>
      </c>
      <c r="E2330">
        <v>4550</v>
      </c>
      <c r="F2330" t="s">
        <v>36</v>
      </c>
      <c r="G2330">
        <v>0.1</v>
      </c>
      <c r="H2330">
        <v>0.1</v>
      </c>
      <c r="I2330">
        <v>0.1</v>
      </c>
      <c r="J2330">
        <v>0.1</v>
      </c>
      <c r="K2330">
        <v>5</v>
      </c>
      <c r="L2330">
        <v>0</v>
      </c>
      <c r="M2330">
        <v>0</v>
      </c>
      <c r="N2330">
        <v>5</v>
      </c>
      <c r="O2330">
        <v>0.1</v>
      </c>
      <c r="P2330">
        <v>0</v>
      </c>
      <c r="Q2330">
        <v>0</v>
      </c>
      <c r="R2330">
        <v>0</v>
      </c>
      <c r="S2330">
        <v>0</v>
      </c>
      <c r="T2330">
        <v>0.77869999999999995</v>
      </c>
      <c r="U2330">
        <v>-2.0000000000000001E-4</v>
      </c>
      <c r="V2330">
        <v>0</v>
      </c>
      <c r="W2330">
        <v>-2.6800000000000001E-2</v>
      </c>
      <c r="X2330">
        <v>1.04E-2</v>
      </c>
      <c r="Y2330">
        <v>-5.0000000000000001E-4</v>
      </c>
      <c r="Z2330">
        <v>0</v>
      </c>
      <c r="AA2330">
        <v>0</v>
      </c>
      <c r="AB2330">
        <v>5</v>
      </c>
      <c r="AC2330">
        <v>0.1</v>
      </c>
      <c r="AD2330">
        <v>0</v>
      </c>
      <c r="AE2330">
        <v>0</v>
      </c>
      <c r="AF2330">
        <v>0.1</v>
      </c>
      <c r="AG2330">
        <v>2884</v>
      </c>
      <c r="AH2330">
        <v>0</v>
      </c>
    </row>
    <row r="2331" spans="1:34" x14ac:dyDescent="0.35">
      <c r="A2331" t="s">
        <v>37</v>
      </c>
      <c r="B2331" s="1">
        <v>46146.65625</v>
      </c>
      <c r="C2331" t="s">
        <v>37</v>
      </c>
      <c r="D2331" s="1">
        <v>46157.354166666664</v>
      </c>
      <c r="E2331">
        <v>4575</v>
      </c>
      <c r="F2331" t="s">
        <v>36</v>
      </c>
      <c r="G2331">
        <v>0.1</v>
      </c>
      <c r="H2331">
        <v>0.1</v>
      </c>
      <c r="I2331">
        <v>0.1</v>
      </c>
      <c r="J2331">
        <v>0.1</v>
      </c>
      <c r="K2331">
        <v>140</v>
      </c>
      <c r="L2331">
        <v>1</v>
      </c>
      <c r="M2331">
        <v>0.05</v>
      </c>
      <c r="N2331">
        <v>4</v>
      </c>
      <c r="O2331">
        <v>0.1</v>
      </c>
      <c r="P2331">
        <v>0</v>
      </c>
      <c r="Q2331">
        <v>0</v>
      </c>
      <c r="R2331">
        <v>0</v>
      </c>
      <c r="S2331">
        <v>0</v>
      </c>
      <c r="T2331">
        <v>0.79159999999999997</v>
      </c>
      <c r="U2331">
        <v>-2.9999999999999997E-4</v>
      </c>
      <c r="V2331">
        <v>0</v>
      </c>
      <c r="W2331">
        <v>-3.8800000000000001E-2</v>
      </c>
      <c r="X2331">
        <v>1.4500000000000001E-2</v>
      </c>
      <c r="Y2331">
        <v>-6.9999999999999999E-4</v>
      </c>
      <c r="Z2331">
        <v>1</v>
      </c>
      <c r="AA2331">
        <v>0.05</v>
      </c>
      <c r="AB2331">
        <v>4</v>
      </c>
      <c r="AC2331">
        <v>0.1</v>
      </c>
      <c r="AD2331">
        <v>0</v>
      </c>
      <c r="AE2331">
        <v>0</v>
      </c>
      <c r="AF2331">
        <v>0.1</v>
      </c>
      <c r="AG2331">
        <v>1594</v>
      </c>
      <c r="AH2331">
        <v>0</v>
      </c>
    </row>
    <row r="2332" spans="1:34" x14ac:dyDescent="0.35">
      <c r="A2332" t="s">
        <v>37</v>
      </c>
      <c r="B2332" s="1">
        <v>46146.65625</v>
      </c>
      <c r="C2332" t="s">
        <v>37</v>
      </c>
      <c r="D2332" s="1">
        <v>46157.354166666664</v>
      </c>
      <c r="E2332">
        <v>4600</v>
      </c>
      <c r="F2332" t="s">
        <v>36</v>
      </c>
      <c r="G2332">
        <v>0.1</v>
      </c>
      <c r="H2332">
        <v>0.1</v>
      </c>
      <c r="I2332">
        <v>0.1</v>
      </c>
      <c r="J2332">
        <v>0.1</v>
      </c>
      <c r="K2332">
        <v>24</v>
      </c>
      <c r="L2332">
        <v>0</v>
      </c>
      <c r="M2332">
        <v>0</v>
      </c>
      <c r="N2332">
        <v>3</v>
      </c>
      <c r="O2332">
        <v>0.1</v>
      </c>
      <c r="P2332">
        <v>0</v>
      </c>
      <c r="Q2332">
        <v>0</v>
      </c>
      <c r="R2332">
        <v>0</v>
      </c>
      <c r="S2332">
        <v>0</v>
      </c>
      <c r="T2332">
        <v>0.76119999999999999</v>
      </c>
      <c r="U2332">
        <v>-2.0000000000000001E-4</v>
      </c>
      <c r="V2332">
        <v>0</v>
      </c>
      <c r="W2332">
        <v>-2.6700000000000002E-2</v>
      </c>
      <c r="X2332">
        <v>1.06E-2</v>
      </c>
      <c r="Y2332">
        <v>-5.0000000000000001E-4</v>
      </c>
      <c r="Z2332">
        <v>0</v>
      </c>
      <c r="AA2332">
        <v>0</v>
      </c>
      <c r="AB2332">
        <v>3</v>
      </c>
      <c r="AC2332">
        <v>0.1</v>
      </c>
      <c r="AD2332">
        <v>0</v>
      </c>
      <c r="AE2332">
        <v>0</v>
      </c>
      <c r="AF2332">
        <v>0.1</v>
      </c>
      <c r="AG2332">
        <v>4956</v>
      </c>
      <c r="AH2332">
        <v>0</v>
      </c>
    </row>
    <row r="2333" spans="1:34" x14ac:dyDescent="0.35">
      <c r="A2333" t="s">
        <v>37</v>
      </c>
      <c r="B2333" s="1">
        <v>46146.65625</v>
      </c>
      <c r="C2333" t="s">
        <v>37</v>
      </c>
      <c r="D2333" s="1">
        <v>46157.354166666664</v>
      </c>
      <c r="E2333">
        <v>4625</v>
      </c>
      <c r="F2333" t="s">
        <v>36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664</v>
      </c>
      <c r="O2333">
        <v>0.15</v>
      </c>
      <c r="P2333">
        <v>0</v>
      </c>
      <c r="Q2333">
        <v>0</v>
      </c>
      <c r="R2333">
        <v>0</v>
      </c>
      <c r="S2333">
        <v>0</v>
      </c>
      <c r="T2333">
        <v>0.77339999999999998</v>
      </c>
      <c r="U2333">
        <v>-2.9999999999999997E-4</v>
      </c>
      <c r="V2333">
        <v>0</v>
      </c>
      <c r="W2333">
        <v>-3.8800000000000001E-2</v>
      </c>
      <c r="X2333">
        <v>1.4800000000000001E-2</v>
      </c>
      <c r="Y2333">
        <v>-6.9999999999999999E-4</v>
      </c>
      <c r="Z2333">
        <v>0</v>
      </c>
      <c r="AA2333">
        <v>0</v>
      </c>
      <c r="AB2333">
        <v>628</v>
      </c>
      <c r="AC2333">
        <v>0.2</v>
      </c>
      <c r="AD2333">
        <v>0</v>
      </c>
      <c r="AE2333">
        <v>0</v>
      </c>
      <c r="AF2333">
        <v>0</v>
      </c>
      <c r="AG2333">
        <v>1366</v>
      </c>
      <c r="AH2333">
        <v>0</v>
      </c>
    </row>
    <row r="2334" spans="1:34" x14ac:dyDescent="0.35">
      <c r="A2334" t="s">
        <v>37</v>
      </c>
      <c r="B2334" s="1">
        <v>46146.65625</v>
      </c>
      <c r="C2334" t="s">
        <v>37</v>
      </c>
      <c r="D2334" s="1">
        <v>46157.354166666664</v>
      </c>
      <c r="E2334">
        <v>4650</v>
      </c>
      <c r="F2334" t="s">
        <v>36</v>
      </c>
      <c r="G2334">
        <v>0.15</v>
      </c>
      <c r="H2334">
        <v>0.15</v>
      </c>
      <c r="I2334">
        <v>0.05</v>
      </c>
      <c r="J2334">
        <v>0.15</v>
      </c>
      <c r="K2334">
        <v>210</v>
      </c>
      <c r="L2334">
        <v>0</v>
      </c>
      <c r="M2334">
        <v>0</v>
      </c>
      <c r="N2334">
        <v>613</v>
      </c>
      <c r="O2334">
        <v>0.15</v>
      </c>
      <c r="P2334">
        <v>0</v>
      </c>
      <c r="Q2334">
        <v>0</v>
      </c>
      <c r="R2334">
        <v>0</v>
      </c>
      <c r="S2334">
        <v>0</v>
      </c>
      <c r="T2334">
        <v>0.76470000000000005</v>
      </c>
      <c r="U2334">
        <v>-2.9999999999999997E-4</v>
      </c>
      <c r="V2334">
        <v>0</v>
      </c>
      <c r="W2334">
        <v>-3.8699999999999998E-2</v>
      </c>
      <c r="X2334">
        <v>1.4999999999999999E-2</v>
      </c>
      <c r="Y2334">
        <v>-6.9999999999999999E-4</v>
      </c>
      <c r="Z2334">
        <v>0</v>
      </c>
      <c r="AA2334">
        <v>0</v>
      </c>
      <c r="AB2334">
        <v>572</v>
      </c>
      <c r="AC2334">
        <v>0.2</v>
      </c>
      <c r="AD2334">
        <v>0</v>
      </c>
      <c r="AE2334">
        <v>0</v>
      </c>
      <c r="AF2334">
        <v>0.1012</v>
      </c>
      <c r="AG2334">
        <v>9953</v>
      </c>
      <c r="AH2334">
        <v>0</v>
      </c>
    </row>
    <row r="2335" spans="1:34" x14ac:dyDescent="0.35">
      <c r="A2335" t="s">
        <v>37</v>
      </c>
      <c r="B2335" s="1">
        <v>46146.65625</v>
      </c>
      <c r="C2335" t="s">
        <v>37</v>
      </c>
      <c r="D2335" s="1">
        <v>46157.354166666664</v>
      </c>
      <c r="E2335">
        <v>4675</v>
      </c>
      <c r="F2335" t="s">
        <v>36</v>
      </c>
      <c r="G2335">
        <v>0.15</v>
      </c>
      <c r="H2335">
        <v>0.15</v>
      </c>
      <c r="I2335">
        <v>0.15</v>
      </c>
      <c r="J2335">
        <v>0.15</v>
      </c>
      <c r="K2335">
        <v>21</v>
      </c>
      <c r="L2335">
        <v>0</v>
      </c>
      <c r="M2335">
        <v>0</v>
      </c>
      <c r="N2335">
        <v>459</v>
      </c>
      <c r="O2335">
        <v>0.15</v>
      </c>
      <c r="P2335">
        <v>0</v>
      </c>
      <c r="Q2335">
        <v>0</v>
      </c>
      <c r="R2335">
        <v>0</v>
      </c>
      <c r="S2335">
        <v>0</v>
      </c>
      <c r="T2335">
        <v>0.75560000000000005</v>
      </c>
      <c r="U2335">
        <v>-2.9999999999999997E-4</v>
      </c>
      <c r="V2335">
        <v>0</v>
      </c>
      <c r="W2335">
        <v>-3.8699999999999998E-2</v>
      </c>
      <c r="X2335">
        <v>1.52E-2</v>
      </c>
      <c r="Y2335">
        <v>-6.9999999999999999E-4</v>
      </c>
      <c r="Z2335">
        <v>0</v>
      </c>
      <c r="AA2335">
        <v>0</v>
      </c>
      <c r="AB2335">
        <v>552</v>
      </c>
      <c r="AC2335">
        <v>0.2</v>
      </c>
      <c r="AD2335">
        <v>0</v>
      </c>
      <c r="AE2335">
        <v>0</v>
      </c>
      <c r="AF2335">
        <v>0.15</v>
      </c>
      <c r="AG2335">
        <v>1874</v>
      </c>
      <c r="AH2335">
        <v>0</v>
      </c>
    </row>
    <row r="2336" spans="1:34" x14ac:dyDescent="0.35">
      <c r="A2336" t="s">
        <v>37</v>
      </c>
      <c r="B2336" s="1">
        <v>46146.65625</v>
      </c>
      <c r="C2336" t="s">
        <v>37</v>
      </c>
      <c r="D2336" s="1">
        <v>46157.354166666664</v>
      </c>
      <c r="E2336">
        <v>4700</v>
      </c>
      <c r="F2336" t="s">
        <v>36</v>
      </c>
      <c r="G2336">
        <v>0.15</v>
      </c>
      <c r="H2336">
        <v>0.15</v>
      </c>
      <c r="I2336">
        <v>0.15</v>
      </c>
      <c r="J2336">
        <v>0.15</v>
      </c>
      <c r="K2336">
        <v>18</v>
      </c>
      <c r="L2336">
        <v>417</v>
      </c>
      <c r="M2336">
        <v>0.05</v>
      </c>
      <c r="N2336">
        <v>412</v>
      </c>
      <c r="O2336">
        <v>0.15</v>
      </c>
      <c r="P2336">
        <v>0</v>
      </c>
      <c r="Q2336">
        <v>0</v>
      </c>
      <c r="R2336">
        <v>0</v>
      </c>
      <c r="S2336">
        <v>0</v>
      </c>
      <c r="T2336">
        <v>0.76270000000000004</v>
      </c>
      <c r="U2336">
        <v>-4.0000000000000002E-4</v>
      </c>
      <c r="V2336">
        <v>0</v>
      </c>
      <c r="W2336">
        <v>-5.0299999999999997E-2</v>
      </c>
      <c r="X2336">
        <v>1.9300000000000001E-2</v>
      </c>
      <c r="Y2336">
        <v>-8.9999999999999998E-4</v>
      </c>
      <c r="Z2336">
        <v>0</v>
      </c>
      <c r="AA2336">
        <v>0</v>
      </c>
      <c r="AB2336">
        <v>556</v>
      </c>
      <c r="AC2336">
        <v>0.2</v>
      </c>
      <c r="AD2336">
        <v>0</v>
      </c>
      <c r="AE2336">
        <v>0</v>
      </c>
      <c r="AF2336">
        <v>0.15</v>
      </c>
      <c r="AG2336">
        <v>4830</v>
      </c>
      <c r="AH2336">
        <v>0</v>
      </c>
    </row>
    <row r="2337" spans="1:34" x14ac:dyDescent="0.35">
      <c r="A2337" t="s">
        <v>37</v>
      </c>
      <c r="B2337" s="1">
        <v>46146.65625</v>
      </c>
      <c r="C2337" t="s">
        <v>37</v>
      </c>
      <c r="D2337" s="1">
        <v>46157.354166666664</v>
      </c>
      <c r="E2337">
        <v>4725</v>
      </c>
      <c r="F2337" t="s">
        <v>36</v>
      </c>
      <c r="G2337">
        <v>0.15</v>
      </c>
      <c r="H2337">
        <v>0.15</v>
      </c>
      <c r="I2337">
        <v>0.15</v>
      </c>
      <c r="J2337">
        <v>0.15</v>
      </c>
      <c r="K2337">
        <v>11</v>
      </c>
      <c r="L2337">
        <v>409</v>
      </c>
      <c r="M2337">
        <v>0.05</v>
      </c>
      <c r="N2337">
        <v>3</v>
      </c>
      <c r="O2337">
        <v>0.15</v>
      </c>
      <c r="P2337">
        <v>0</v>
      </c>
      <c r="Q2337">
        <v>0</v>
      </c>
      <c r="R2337">
        <v>0</v>
      </c>
      <c r="S2337">
        <v>0</v>
      </c>
      <c r="T2337">
        <v>0.75370000000000004</v>
      </c>
      <c r="U2337">
        <v>-4.0000000000000002E-4</v>
      </c>
      <c r="V2337">
        <v>0</v>
      </c>
      <c r="W2337">
        <v>-5.0299999999999997E-2</v>
      </c>
      <c r="X2337">
        <v>1.95E-2</v>
      </c>
      <c r="Y2337">
        <v>-8.9999999999999998E-4</v>
      </c>
      <c r="Z2337">
        <v>0</v>
      </c>
      <c r="AA2337">
        <v>0</v>
      </c>
      <c r="AB2337">
        <v>3</v>
      </c>
      <c r="AC2337">
        <v>0.15</v>
      </c>
      <c r="AD2337">
        <v>0</v>
      </c>
      <c r="AE2337">
        <v>0</v>
      </c>
      <c r="AF2337">
        <v>0.15</v>
      </c>
      <c r="AG2337">
        <v>1570</v>
      </c>
      <c r="AH2337">
        <v>0</v>
      </c>
    </row>
    <row r="2338" spans="1:34" x14ac:dyDescent="0.35">
      <c r="A2338" t="s">
        <v>37</v>
      </c>
      <c r="B2338" s="1">
        <v>46146.65625</v>
      </c>
      <c r="C2338" t="s">
        <v>37</v>
      </c>
      <c r="D2338" s="1">
        <v>46157.354166666664</v>
      </c>
      <c r="E2338">
        <v>4750</v>
      </c>
      <c r="F2338" t="s">
        <v>36</v>
      </c>
      <c r="G2338">
        <v>0.15</v>
      </c>
      <c r="H2338">
        <v>0.15</v>
      </c>
      <c r="I2338">
        <v>0.05</v>
      </c>
      <c r="J2338">
        <v>0.05</v>
      </c>
      <c r="K2338">
        <v>90</v>
      </c>
      <c r="L2338">
        <v>586</v>
      </c>
      <c r="M2338">
        <v>0.05</v>
      </c>
      <c r="N2338">
        <v>50</v>
      </c>
      <c r="O2338">
        <v>0.1</v>
      </c>
      <c r="P2338">
        <v>0</v>
      </c>
      <c r="Q2338">
        <v>0</v>
      </c>
      <c r="R2338">
        <v>0</v>
      </c>
      <c r="S2338">
        <v>0</v>
      </c>
      <c r="T2338">
        <v>0.72940000000000005</v>
      </c>
      <c r="U2338">
        <v>-2.9999999999999997E-4</v>
      </c>
      <c r="V2338">
        <v>0</v>
      </c>
      <c r="W2338">
        <v>-3.8600000000000002E-2</v>
      </c>
      <c r="X2338">
        <v>1.5699999999999999E-2</v>
      </c>
      <c r="Y2338">
        <v>-6.9999999999999999E-4</v>
      </c>
      <c r="Z2338">
        <v>0</v>
      </c>
      <c r="AA2338">
        <v>0</v>
      </c>
      <c r="AB2338">
        <v>3</v>
      </c>
      <c r="AC2338">
        <v>0.15</v>
      </c>
      <c r="AD2338">
        <v>0</v>
      </c>
      <c r="AE2338">
        <v>0</v>
      </c>
      <c r="AF2338">
        <v>8.7800000000000003E-2</v>
      </c>
      <c r="AG2338">
        <v>3044</v>
      </c>
      <c r="AH2338">
        <v>0</v>
      </c>
    </row>
    <row r="2339" spans="1:34" x14ac:dyDescent="0.35">
      <c r="A2339" t="s">
        <v>37</v>
      </c>
      <c r="B2339" s="1">
        <v>46146.65625</v>
      </c>
      <c r="C2339" t="s">
        <v>37</v>
      </c>
      <c r="D2339" s="1">
        <v>46157.354166666664</v>
      </c>
      <c r="E2339">
        <v>4775</v>
      </c>
      <c r="F2339" t="s">
        <v>36</v>
      </c>
      <c r="G2339">
        <v>0.15</v>
      </c>
      <c r="H2339">
        <v>0.15</v>
      </c>
      <c r="I2339">
        <v>0.15</v>
      </c>
      <c r="J2339">
        <v>0.15</v>
      </c>
      <c r="K2339">
        <v>24</v>
      </c>
      <c r="L2339">
        <v>587</v>
      </c>
      <c r="M2339">
        <v>0.05</v>
      </c>
      <c r="N2339">
        <v>378</v>
      </c>
      <c r="O2339">
        <v>0.15</v>
      </c>
      <c r="P2339">
        <v>0</v>
      </c>
      <c r="Q2339">
        <v>0</v>
      </c>
      <c r="R2339">
        <v>0</v>
      </c>
      <c r="S2339">
        <v>0</v>
      </c>
      <c r="T2339">
        <v>0.73619999999999997</v>
      </c>
      <c r="U2339">
        <v>-4.0000000000000002E-4</v>
      </c>
      <c r="V2339">
        <v>0</v>
      </c>
      <c r="W2339">
        <v>-5.0200000000000002E-2</v>
      </c>
      <c r="X2339">
        <v>1.9900000000000001E-2</v>
      </c>
      <c r="Y2339">
        <v>-8.9999999999999998E-4</v>
      </c>
      <c r="Z2339">
        <v>0</v>
      </c>
      <c r="AA2339">
        <v>0</v>
      </c>
      <c r="AB2339">
        <v>7</v>
      </c>
      <c r="AC2339">
        <v>0.15</v>
      </c>
      <c r="AD2339">
        <v>0</v>
      </c>
      <c r="AE2339">
        <v>0</v>
      </c>
      <c r="AF2339">
        <v>0.15</v>
      </c>
      <c r="AG2339">
        <v>3203</v>
      </c>
      <c r="AH2339">
        <v>0</v>
      </c>
    </row>
    <row r="2340" spans="1:34" x14ac:dyDescent="0.35">
      <c r="A2340" t="s">
        <v>37</v>
      </c>
      <c r="B2340" s="1">
        <v>46146.65625</v>
      </c>
      <c r="C2340" t="s">
        <v>37</v>
      </c>
      <c r="D2340" s="1">
        <v>46157.354166666664</v>
      </c>
      <c r="E2340">
        <v>4800</v>
      </c>
      <c r="F2340" t="s">
        <v>36</v>
      </c>
      <c r="G2340">
        <v>0.1</v>
      </c>
      <c r="H2340">
        <v>0.2</v>
      </c>
      <c r="I2340">
        <v>0.1</v>
      </c>
      <c r="J2340">
        <v>0.15</v>
      </c>
      <c r="K2340">
        <v>110</v>
      </c>
      <c r="L2340">
        <v>849</v>
      </c>
      <c r="M2340">
        <v>0.05</v>
      </c>
      <c r="N2340">
        <v>110</v>
      </c>
      <c r="O2340">
        <v>0.15</v>
      </c>
      <c r="P2340">
        <v>0</v>
      </c>
      <c r="Q2340">
        <v>0</v>
      </c>
      <c r="R2340">
        <v>0</v>
      </c>
      <c r="S2340">
        <v>0</v>
      </c>
      <c r="T2340">
        <v>0.72709999999999997</v>
      </c>
      <c r="U2340">
        <v>-5.0000000000000001E-4</v>
      </c>
      <c r="V2340">
        <v>0</v>
      </c>
      <c r="W2340">
        <v>-5.0099999999999999E-2</v>
      </c>
      <c r="X2340">
        <v>2.0199999999999999E-2</v>
      </c>
      <c r="Y2340">
        <v>-8.9999999999999998E-4</v>
      </c>
      <c r="Z2340">
        <v>0</v>
      </c>
      <c r="AA2340">
        <v>0</v>
      </c>
      <c r="AB2340">
        <v>2</v>
      </c>
      <c r="AC2340">
        <v>0.15</v>
      </c>
      <c r="AD2340">
        <v>0</v>
      </c>
      <c r="AE2340">
        <v>0</v>
      </c>
      <c r="AF2340">
        <v>0.15049999999999999</v>
      </c>
      <c r="AG2340">
        <v>5469</v>
      </c>
      <c r="AH2340">
        <v>0</v>
      </c>
    </row>
    <row r="2341" spans="1:34" x14ac:dyDescent="0.35">
      <c r="A2341" t="s">
        <v>37</v>
      </c>
      <c r="B2341" s="1">
        <v>46146.65625</v>
      </c>
      <c r="C2341" t="s">
        <v>37</v>
      </c>
      <c r="D2341" s="1">
        <v>46157.354166666664</v>
      </c>
      <c r="E2341">
        <v>4825</v>
      </c>
      <c r="F2341" t="s">
        <v>36</v>
      </c>
      <c r="G2341">
        <v>0.15</v>
      </c>
      <c r="H2341">
        <v>0.15</v>
      </c>
      <c r="I2341">
        <v>0.1</v>
      </c>
      <c r="J2341">
        <v>0.1</v>
      </c>
      <c r="K2341">
        <v>48</v>
      </c>
      <c r="L2341">
        <v>3</v>
      </c>
      <c r="M2341">
        <v>0.1</v>
      </c>
      <c r="N2341">
        <v>89</v>
      </c>
      <c r="O2341">
        <v>0.15</v>
      </c>
      <c r="P2341">
        <v>0</v>
      </c>
      <c r="Q2341">
        <v>0</v>
      </c>
      <c r="R2341">
        <v>0</v>
      </c>
      <c r="S2341">
        <v>0</v>
      </c>
      <c r="T2341">
        <v>0.73050000000000004</v>
      </c>
      <c r="U2341">
        <v>-5.9999999999999995E-4</v>
      </c>
      <c r="V2341">
        <v>0</v>
      </c>
      <c r="W2341">
        <v>-6.1400000000000003E-2</v>
      </c>
      <c r="X2341">
        <v>2.4299999999999999E-2</v>
      </c>
      <c r="Y2341">
        <v>-1.1000000000000001E-3</v>
      </c>
      <c r="Z2341">
        <v>0</v>
      </c>
      <c r="AA2341">
        <v>0</v>
      </c>
      <c r="AB2341">
        <v>1</v>
      </c>
      <c r="AC2341">
        <v>0.15</v>
      </c>
      <c r="AD2341">
        <v>0</v>
      </c>
      <c r="AE2341">
        <v>0</v>
      </c>
      <c r="AF2341">
        <v>0.1469</v>
      </c>
      <c r="AG2341">
        <v>919</v>
      </c>
      <c r="AH2341">
        <v>0</v>
      </c>
    </row>
    <row r="2342" spans="1:34" x14ac:dyDescent="0.35">
      <c r="A2342" t="s">
        <v>37</v>
      </c>
      <c r="B2342" s="1">
        <v>46146.65625</v>
      </c>
      <c r="C2342" t="s">
        <v>37</v>
      </c>
      <c r="D2342" s="1">
        <v>46157.354166666664</v>
      </c>
      <c r="E2342">
        <v>4850</v>
      </c>
      <c r="F2342" t="s">
        <v>36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1041</v>
      </c>
      <c r="M2342">
        <v>0.05</v>
      </c>
      <c r="N2342">
        <v>1191</v>
      </c>
      <c r="O2342">
        <v>0.2</v>
      </c>
      <c r="P2342">
        <v>0</v>
      </c>
      <c r="Q2342">
        <v>0</v>
      </c>
      <c r="R2342">
        <v>0</v>
      </c>
      <c r="S2342">
        <v>0</v>
      </c>
      <c r="T2342">
        <v>0.72170000000000001</v>
      </c>
      <c r="U2342">
        <v>-5.9999999999999995E-4</v>
      </c>
      <c r="V2342">
        <v>0</v>
      </c>
      <c r="W2342">
        <v>-6.13E-2</v>
      </c>
      <c r="X2342">
        <v>2.46E-2</v>
      </c>
      <c r="Y2342">
        <v>-1.1999999999999999E-3</v>
      </c>
      <c r="Z2342">
        <v>20</v>
      </c>
      <c r="AA2342">
        <v>0.05</v>
      </c>
      <c r="AB2342">
        <v>1</v>
      </c>
      <c r="AC2342">
        <v>0.15</v>
      </c>
      <c r="AD2342">
        <v>0</v>
      </c>
      <c r="AE2342">
        <v>0</v>
      </c>
      <c r="AF2342">
        <v>0</v>
      </c>
      <c r="AG2342">
        <v>1807</v>
      </c>
      <c r="AH2342">
        <v>0</v>
      </c>
    </row>
    <row r="2343" spans="1:34" x14ac:dyDescent="0.35">
      <c r="A2343" t="s">
        <v>37</v>
      </c>
      <c r="B2343" s="1">
        <v>46146.65625</v>
      </c>
      <c r="C2343" t="s">
        <v>37</v>
      </c>
      <c r="D2343" s="1">
        <v>46157.354166666664</v>
      </c>
      <c r="E2343">
        <v>4875</v>
      </c>
      <c r="F2343" t="s">
        <v>36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1185</v>
      </c>
      <c r="M2343">
        <v>0.05</v>
      </c>
      <c r="N2343">
        <v>1168</v>
      </c>
      <c r="O2343">
        <v>0.2</v>
      </c>
      <c r="P2343">
        <v>0</v>
      </c>
      <c r="Q2343">
        <v>0</v>
      </c>
      <c r="R2343">
        <v>0</v>
      </c>
      <c r="S2343">
        <v>0</v>
      </c>
      <c r="T2343">
        <v>0.71299999999999997</v>
      </c>
      <c r="U2343">
        <v>-5.9999999999999995E-4</v>
      </c>
      <c r="V2343">
        <v>0</v>
      </c>
      <c r="W2343">
        <v>-6.13E-2</v>
      </c>
      <c r="X2343">
        <v>2.4799999999999999E-2</v>
      </c>
      <c r="Y2343">
        <v>-1.1999999999999999E-3</v>
      </c>
      <c r="Z2343">
        <v>20</v>
      </c>
      <c r="AA2343">
        <v>0.05</v>
      </c>
      <c r="AB2343">
        <v>1</v>
      </c>
      <c r="AC2343">
        <v>0.15</v>
      </c>
      <c r="AD2343">
        <v>0</v>
      </c>
      <c r="AE2343">
        <v>0</v>
      </c>
      <c r="AF2343">
        <v>0</v>
      </c>
      <c r="AG2343">
        <v>2638</v>
      </c>
      <c r="AH2343">
        <v>0</v>
      </c>
    </row>
    <row r="2344" spans="1:34" x14ac:dyDescent="0.35">
      <c r="A2344" t="s">
        <v>37</v>
      </c>
      <c r="B2344" s="1">
        <v>46146.65625</v>
      </c>
      <c r="C2344" t="s">
        <v>37</v>
      </c>
      <c r="D2344" s="1">
        <v>46157.354166666664</v>
      </c>
      <c r="E2344">
        <v>4900</v>
      </c>
      <c r="F2344" t="s">
        <v>36</v>
      </c>
      <c r="G2344">
        <v>0.15</v>
      </c>
      <c r="H2344">
        <v>0.15</v>
      </c>
      <c r="I2344">
        <v>0.1</v>
      </c>
      <c r="J2344">
        <v>0.1</v>
      </c>
      <c r="K2344">
        <v>77</v>
      </c>
      <c r="L2344">
        <v>1248</v>
      </c>
      <c r="M2344">
        <v>0.05</v>
      </c>
      <c r="N2344">
        <v>160</v>
      </c>
      <c r="O2344">
        <v>0.15</v>
      </c>
      <c r="P2344">
        <v>0</v>
      </c>
      <c r="Q2344">
        <v>0</v>
      </c>
      <c r="R2344">
        <v>0</v>
      </c>
      <c r="S2344">
        <v>0</v>
      </c>
      <c r="T2344">
        <v>0.69240000000000002</v>
      </c>
      <c r="U2344">
        <v>-5.0000000000000001E-4</v>
      </c>
      <c r="V2344">
        <v>0</v>
      </c>
      <c r="W2344">
        <v>-0.05</v>
      </c>
      <c r="X2344">
        <v>2.1100000000000001E-2</v>
      </c>
      <c r="Y2344">
        <v>-1E-3</v>
      </c>
      <c r="Z2344">
        <v>20</v>
      </c>
      <c r="AA2344">
        <v>0.05</v>
      </c>
      <c r="AB2344">
        <v>246</v>
      </c>
      <c r="AC2344">
        <v>0.2</v>
      </c>
      <c r="AD2344">
        <v>0</v>
      </c>
      <c r="AE2344">
        <v>0</v>
      </c>
      <c r="AF2344">
        <v>0.1019</v>
      </c>
      <c r="AG2344">
        <v>4724</v>
      </c>
      <c r="AH2344">
        <v>0</v>
      </c>
    </row>
    <row r="2345" spans="1:34" x14ac:dyDescent="0.35">
      <c r="A2345" t="s">
        <v>37</v>
      </c>
      <c r="B2345" s="1">
        <v>46146.65625</v>
      </c>
      <c r="C2345" t="s">
        <v>37</v>
      </c>
      <c r="D2345" s="1">
        <v>46157.354166666664</v>
      </c>
      <c r="E2345">
        <v>4925</v>
      </c>
      <c r="F2345" t="s">
        <v>36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1285</v>
      </c>
      <c r="M2345">
        <v>0.05</v>
      </c>
      <c r="N2345">
        <v>615</v>
      </c>
      <c r="O2345">
        <v>0.2</v>
      </c>
      <c r="P2345">
        <v>0</v>
      </c>
      <c r="Q2345">
        <v>0</v>
      </c>
      <c r="R2345">
        <v>0</v>
      </c>
      <c r="S2345">
        <v>0</v>
      </c>
      <c r="T2345">
        <v>0.69530000000000003</v>
      </c>
      <c r="U2345">
        <v>-5.9999999999999995E-4</v>
      </c>
      <c r="V2345">
        <v>0</v>
      </c>
      <c r="W2345">
        <v>-6.1100000000000002E-2</v>
      </c>
      <c r="X2345">
        <v>2.5399999999999999E-2</v>
      </c>
      <c r="Y2345">
        <v>-1.1999999999999999E-3</v>
      </c>
      <c r="Z2345">
        <v>20</v>
      </c>
      <c r="AA2345">
        <v>0.05</v>
      </c>
      <c r="AB2345">
        <v>595</v>
      </c>
      <c r="AC2345">
        <v>0.25</v>
      </c>
      <c r="AD2345">
        <v>0</v>
      </c>
      <c r="AE2345">
        <v>0</v>
      </c>
      <c r="AF2345">
        <v>0</v>
      </c>
      <c r="AG2345">
        <v>2848</v>
      </c>
      <c r="AH2345">
        <v>0</v>
      </c>
    </row>
    <row r="2346" spans="1:34" x14ac:dyDescent="0.35">
      <c r="A2346" t="s">
        <v>37</v>
      </c>
      <c r="B2346" s="1">
        <v>46146.65625</v>
      </c>
      <c r="C2346" t="s">
        <v>37</v>
      </c>
      <c r="D2346" s="1">
        <v>46157.354166666664</v>
      </c>
      <c r="E2346">
        <v>4950</v>
      </c>
      <c r="F2346" t="s">
        <v>36</v>
      </c>
      <c r="G2346">
        <v>0.22</v>
      </c>
      <c r="H2346">
        <v>0.22</v>
      </c>
      <c r="I2346">
        <v>0.22</v>
      </c>
      <c r="J2346">
        <v>0.22</v>
      </c>
      <c r="K2346">
        <v>5</v>
      </c>
      <c r="L2346">
        <v>1369</v>
      </c>
      <c r="M2346">
        <v>0.05</v>
      </c>
      <c r="N2346">
        <v>572</v>
      </c>
      <c r="O2346">
        <v>0.2</v>
      </c>
      <c r="P2346">
        <v>0</v>
      </c>
      <c r="Q2346">
        <v>0</v>
      </c>
      <c r="R2346">
        <v>0</v>
      </c>
      <c r="S2346">
        <v>0</v>
      </c>
      <c r="T2346">
        <v>0.68679999999999997</v>
      </c>
      <c r="U2346">
        <v>-5.9999999999999995E-4</v>
      </c>
      <c r="V2346">
        <v>0</v>
      </c>
      <c r="W2346">
        <v>-6.1100000000000002E-2</v>
      </c>
      <c r="X2346">
        <v>2.5700000000000001E-2</v>
      </c>
      <c r="Y2346">
        <v>-1.1999999999999999E-3</v>
      </c>
      <c r="Z2346">
        <v>20</v>
      </c>
      <c r="AA2346">
        <v>0.05</v>
      </c>
      <c r="AB2346">
        <v>578</v>
      </c>
      <c r="AC2346">
        <v>0.25</v>
      </c>
      <c r="AD2346">
        <v>0</v>
      </c>
      <c r="AE2346">
        <v>0</v>
      </c>
      <c r="AF2346">
        <v>0.22</v>
      </c>
      <c r="AG2346">
        <v>3506</v>
      </c>
      <c r="AH2346">
        <v>0</v>
      </c>
    </row>
    <row r="2347" spans="1:34" x14ac:dyDescent="0.35">
      <c r="A2347" t="s">
        <v>37</v>
      </c>
      <c r="B2347" s="1">
        <v>46146.65625</v>
      </c>
      <c r="C2347" t="s">
        <v>37</v>
      </c>
      <c r="D2347" s="1">
        <v>46157.354166666664</v>
      </c>
      <c r="E2347">
        <v>4975</v>
      </c>
      <c r="F2347" t="s">
        <v>36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1400</v>
      </c>
      <c r="M2347">
        <v>0.05</v>
      </c>
      <c r="N2347">
        <v>595</v>
      </c>
      <c r="O2347">
        <v>0.2</v>
      </c>
      <c r="P2347">
        <v>0</v>
      </c>
      <c r="Q2347">
        <v>0</v>
      </c>
      <c r="R2347">
        <v>0</v>
      </c>
      <c r="S2347">
        <v>0</v>
      </c>
      <c r="T2347">
        <v>0.67789999999999995</v>
      </c>
      <c r="U2347">
        <v>-5.9999999999999995E-4</v>
      </c>
      <c r="V2347">
        <v>0</v>
      </c>
      <c r="W2347">
        <v>-6.0999999999999999E-2</v>
      </c>
      <c r="X2347">
        <v>2.6100000000000002E-2</v>
      </c>
      <c r="Y2347">
        <v>-1.1999999999999999E-3</v>
      </c>
      <c r="Z2347">
        <v>262</v>
      </c>
      <c r="AA2347">
        <v>0.05</v>
      </c>
      <c r="AB2347">
        <v>561</v>
      </c>
      <c r="AC2347">
        <v>0.25</v>
      </c>
      <c r="AD2347">
        <v>0</v>
      </c>
      <c r="AE2347">
        <v>0</v>
      </c>
      <c r="AF2347">
        <v>0</v>
      </c>
      <c r="AG2347">
        <v>2097</v>
      </c>
      <c r="AH2347">
        <v>0</v>
      </c>
    </row>
    <row r="2348" spans="1:34" x14ac:dyDescent="0.35">
      <c r="A2348" t="s">
        <v>37</v>
      </c>
      <c r="B2348" s="1">
        <v>46146.65625</v>
      </c>
      <c r="C2348" t="s">
        <v>37</v>
      </c>
      <c r="D2348" s="1">
        <v>46157.354166666664</v>
      </c>
      <c r="E2348">
        <v>5000</v>
      </c>
      <c r="F2348" t="s">
        <v>36</v>
      </c>
      <c r="G2348">
        <v>0.15</v>
      </c>
      <c r="H2348">
        <v>0.2</v>
      </c>
      <c r="I2348">
        <v>0.12</v>
      </c>
      <c r="J2348">
        <v>0.15</v>
      </c>
      <c r="K2348">
        <v>1743</v>
      </c>
      <c r="L2348">
        <v>41</v>
      </c>
      <c r="M2348">
        <v>0.1</v>
      </c>
      <c r="N2348">
        <v>50</v>
      </c>
      <c r="O2348">
        <v>0.15</v>
      </c>
      <c r="P2348">
        <v>0</v>
      </c>
      <c r="Q2348">
        <v>0</v>
      </c>
      <c r="R2348">
        <v>0</v>
      </c>
      <c r="S2348">
        <v>0</v>
      </c>
      <c r="T2348">
        <v>0.66930000000000001</v>
      </c>
      <c r="U2348">
        <v>-5.9999999999999995E-4</v>
      </c>
      <c r="V2348">
        <v>0</v>
      </c>
      <c r="W2348">
        <v>-6.0999999999999999E-2</v>
      </c>
      <c r="X2348">
        <v>2.64E-2</v>
      </c>
      <c r="Y2348">
        <v>-1.1999999999999999E-3</v>
      </c>
      <c r="Z2348">
        <v>10</v>
      </c>
      <c r="AA2348">
        <v>0.1</v>
      </c>
      <c r="AB2348">
        <v>548</v>
      </c>
      <c r="AC2348">
        <v>0.25</v>
      </c>
      <c r="AD2348">
        <v>0</v>
      </c>
      <c r="AE2348">
        <v>0</v>
      </c>
      <c r="AF2348">
        <v>0.1704</v>
      </c>
      <c r="AG2348">
        <v>16455</v>
      </c>
      <c r="AH2348">
        <v>0</v>
      </c>
    </row>
    <row r="2349" spans="1:34" x14ac:dyDescent="0.35">
      <c r="A2349" t="s">
        <v>37</v>
      </c>
      <c r="B2349" s="1">
        <v>46146.65625</v>
      </c>
      <c r="C2349" t="s">
        <v>37</v>
      </c>
      <c r="D2349" s="1">
        <v>46157.354166666664</v>
      </c>
      <c r="E2349">
        <v>5025</v>
      </c>
      <c r="F2349" t="s">
        <v>36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610</v>
      </c>
      <c r="M2349">
        <v>0.1</v>
      </c>
      <c r="N2349">
        <v>1164</v>
      </c>
      <c r="O2349">
        <v>0.25</v>
      </c>
      <c r="P2349">
        <v>0</v>
      </c>
      <c r="Q2349">
        <v>0</v>
      </c>
      <c r="R2349">
        <v>0</v>
      </c>
      <c r="S2349">
        <v>0</v>
      </c>
      <c r="T2349">
        <v>0.67849999999999999</v>
      </c>
      <c r="U2349">
        <v>-8.0000000000000004E-4</v>
      </c>
      <c r="V2349">
        <v>0</v>
      </c>
      <c r="W2349">
        <v>-8.2600000000000007E-2</v>
      </c>
      <c r="X2349">
        <v>3.4599999999999999E-2</v>
      </c>
      <c r="Y2349">
        <v>-1.6999999999999999E-3</v>
      </c>
      <c r="Z2349">
        <v>345</v>
      </c>
      <c r="AA2349">
        <v>0.05</v>
      </c>
      <c r="AB2349">
        <v>634</v>
      </c>
      <c r="AC2349">
        <v>0.25</v>
      </c>
      <c r="AD2349">
        <v>0</v>
      </c>
      <c r="AE2349">
        <v>0</v>
      </c>
      <c r="AF2349">
        <v>0</v>
      </c>
      <c r="AG2349">
        <v>1101</v>
      </c>
      <c r="AH2349">
        <v>0</v>
      </c>
    </row>
    <row r="2350" spans="1:34" x14ac:dyDescent="0.35">
      <c r="A2350" t="s">
        <v>37</v>
      </c>
      <c r="B2350" s="1">
        <v>46146.65625</v>
      </c>
      <c r="C2350" t="s">
        <v>37</v>
      </c>
      <c r="D2350" s="1">
        <v>46157.354166666664</v>
      </c>
      <c r="E2350">
        <v>5050</v>
      </c>
      <c r="F2350" t="s">
        <v>36</v>
      </c>
      <c r="G2350">
        <v>0.1</v>
      </c>
      <c r="H2350">
        <v>0.1</v>
      </c>
      <c r="I2350">
        <v>0.1</v>
      </c>
      <c r="J2350">
        <v>0.1</v>
      </c>
      <c r="K2350">
        <v>1</v>
      </c>
      <c r="L2350">
        <v>630</v>
      </c>
      <c r="M2350">
        <v>0.1</v>
      </c>
      <c r="N2350">
        <v>1128</v>
      </c>
      <c r="O2350">
        <v>0.25</v>
      </c>
      <c r="P2350">
        <v>0</v>
      </c>
      <c r="Q2350">
        <v>0</v>
      </c>
      <c r="R2350">
        <v>0</v>
      </c>
      <c r="S2350">
        <v>0</v>
      </c>
      <c r="T2350">
        <v>0.66979999999999995</v>
      </c>
      <c r="U2350">
        <v>-8.0000000000000004E-4</v>
      </c>
      <c r="V2350">
        <v>0</v>
      </c>
      <c r="W2350">
        <v>-8.2500000000000004E-2</v>
      </c>
      <c r="X2350">
        <v>3.5000000000000003E-2</v>
      </c>
      <c r="Y2350">
        <v>-1.6999999999999999E-3</v>
      </c>
      <c r="Z2350">
        <v>343</v>
      </c>
      <c r="AA2350">
        <v>0.05</v>
      </c>
      <c r="AB2350">
        <v>442</v>
      </c>
      <c r="AC2350">
        <v>0.25</v>
      </c>
      <c r="AD2350">
        <v>0</v>
      </c>
      <c r="AE2350">
        <v>0</v>
      </c>
      <c r="AF2350">
        <v>0.1</v>
      </c>
      <c r="AG2350">
        <v>3430</v>
      </c>
      <c r="AH2350">
        <v>0</v>
      </c>
    </row>
    <row r="2351" spans="1:34" x14ac:dyDescent="0.35">
      <c r="A2351" t="s">
        <v>37</v>
      </c>
      <c r="B2351" s="1">
        <v>46146.65625</v>
      </c>
      <c r="C2351" t="s">
        <v>37</v>
      </c>
      <c r="D2351" s="1">
        <v>46157.354166666664</v>
      </c>
      <c r="E2351">
        <v>5075</v>
      </c>
      <c r="F2351" t="s">
        <v>36</v>
      </c>
      <c r="G2351">
        <v>0.15</v>
      </c>
      <c r="H2351">
        <v>0.15</v>
      </c>
      <c r="I2351">
        <v>0.15</v>
      </c>
      <c r="J2351">
        <v>0.15</v>
      </c>
      <c r="K2351">
        <v>1</v>
      </c>
      <c r="L2351">
        <v>688</v>
      </c>
      <c r="M2351">
        <v>0.1</v>
      </c>
      <c r="N2351">
        <v>1070</v>
      </c>
      <c r="O2351">
        <v>0.25</v>
      </c>
      <c r="P2351">
        <v>0</v>
      </c>
      <c r="Q2351">
        <v>0</v>
      </c>
      <c r="R2351">
        <v>0</v>
      </c>
      <c r="S2351">
        <v>0</v>
      </c>
      <c r="T2351">
        <v>0.6613</v>
      </c>
      <c r="U2351">
        <v>-8.0000000000000004E-4</v>
      </c>
      <c r="V2351">
        <v>0</v>
      </c>
      <c r="W2351">
        <v>-8.2400000000000001E-2</v>
      </c>
      <c r="X2351">
        <v>3.5499999999999997E-2</v>
      </c>
      <c r="Y2351">
        <v>-1.6999999999999999E-3</v>
      </c>
      <c r="Z2351">
        <v>357</v>
      </c>
      <c r="AA2351">
        <v>0.05</v>
      </c>
      <c r="AB2351">
        <v>339</v>
      </c>
      <c r="AC2351">
        <v>0.25</v>
      </c>
      <c r="AD2351">
        <v>0</v>
      </c>
      <c r="AE2351">
        <v>0</v>
      </c>
      <c r="AF2351">
        <v>0.15</v>
      </c>
      <c r="AG2351">
        <v>1207</v>
      </c>
      <c r="AH2351">
        <v>0</v>
      </c>
    </row>
    <row r="2352" spans="1:34" x14ac:dyDescent="0.35">
      <c r="A2352" t="s">
        <v>37</v>
      </c>
      <c r="B2352" s="1">
        <v>46146.65625</v>
      </c>
      <c r="C2352" t="s">
        <v>37</v>
      </c>
      <c r="D2352" s="1">
        <v>46157.354166666664</v>
      </c>
      <c r="E2352">
        <v>5100</v>
      </c>
      <c r="F2352" t="s">
        <v>36</v>
      </c>
      <c r="G2352">
        <v>0.15</v>
      </c>
      <c r="H2352">
        <v>0.15</v>
      </c>
      <c r="I2352">
        <v>0.15</v>
      </c>
      <c r="J2352">
        <v>0.15</v>
      </c>
      <c r="K2352">
        <v>1</v>
      </c>
      <c r="L2352">
        <v>865</v>
      </c>
      <c r="M2352">
        <v>0.1</v>
      </c>
      <c r="N2352">
        <v>1003</v>
      </c>
      <c r="O2352">
        <v>0.25</v>
      </c>
      <c r="P2352">
        <v>0</v>
      </c>
      <c r="Q2352">
        <v>0</v>
      </c>
      <c r="R2352">
        <v>0</v>
      </c>
      <c r="S2352">
        <v>0</v>
      </c>
      <c r="T2352">
        <v>0.65239999999999998</v>
      </c>
      <c r="U2352">
        <v>-8.0000000000000004E-4</v>
      </c>
      <c r="V2352">
        <v>0</v>
      </c>
      <c r="W2352">
        <v>-8.2299999999999998E-2</v>
      </c>
      <c r="X2352">
        <v>3.5900000000000001E-2</v>
      </c>
      <c r="Y2352">
        <v>-1.6999999999999999E-3</v>
      </c>
      <c r="Z2352">
        <v>350</v>
      </c>
      <c r="AA2352">
        <v>0.05</v>
      </c>
      <c r="AB2352">
        <v>313</v>
      </c>
      <c r="AC2352">
        <v>0.25</v>
      </c>
      <c r="AD2352">
        <v>0</v>
      </c>
      <c r="AE2352">
        <v>0</v>
      </c>
      <c r="AF2352">
        <v>0.15</v>
      </c>
      <c r="AG2352">
        <v>6552</v>
      </c>
      <c r="AH2352">
        <v>0</v>
      </c>
    </row>
    <row r="2353" spans="1:34" x14ac:dyDescent="0.35">
      <c r="A2353" t="s">
        <v>37</v>
      </c>
      <c r="B2353" s="1">
        <v>46146.65625</v>
      </c>
      <c r="C2353" t="s">
        <v>37</v>
      </c>
      <c r="D2353" s="1">
        <v>46157.354166666664</v>
      </c>
      <c r="E2353">
        <v>5125</v>
      </c>
      <c r="F2353" t="s">
        <v>36</v>
      </c>
      <c r="G2353">
        <v>0.15</v>
      </c>
      <c r="H2353">
        <v>0.15</v>
      </c>
      <c r="I2353">
        <v>0.15</v>
      </c>
      <c r="J2353">
        <v>0.15</v>
      </c>
      <c r="K2353">
        <v>1</v>
      </c>
      <c r="L2353">
        <v>913</v>
      </c>
      <c r="M2353">
        <v>0.1</v>
      </c>
      <c r="N2353">
        <v>756</v>
      </c>
      <c r="O2353">
        <v>0.25</v>
      </c>
      <c r="P2353">
        <v>0</v>
      </c>
      <c r="Q2353">
        <v>0</v>
      </c>
      <c r="R2353">
        <v>0</v>
      </c>
      <c r="S2353">
        <v>0</v>
      </c>
      <c r="T2353">
        <v>0.64400000000000002</v>
      </c>
      <c r="U2353">
        <v>-8.9999999999999998E-4</v>
      </c>
      <c r="V2353">
        <v>0</v>
      </c>
      <c r="W2353">
        <v>-8.2199999999999995E-2</v>
      </c>
      <c r="X2353">
        <v>3.6400000000000002E-2</v>
      </c>
      <c r="Y2353">
        <v>-1.8E-3</v>
      </c>
      <c r="Z2353">
        <v>352</v>
      </c>
      <c r="AA2353">
        <v>0.05</v>
      </c>
      <c r="AB2353">
        <v>313</v>
      </c>
      <c r="AC2353">
        <v>0.25</v>
      </c>
      <c r="AD2353">
        <v>0</v>
      </c>
      <c r="AE2353">
        <v>0</v>
      </c>
      <c r="AF2353">
        <v>0.15</v>
      </c>
      <c r="AG2353">
        <v>1912</v>
      </c>
      <c r="AH2353">
        <v>0</v>
      </c>
    </row>
    <row r="2354" spans="1:34" x14ac:dyDescent="0.35">
      <c r="A2354" t="s">
        <v>37</v>
      </c>
      <c r="B2354" s="1">
        <v>46146.65625</v>
      </c>
      <c r="C2354" t="s">
        <v>37</v>
      </c>
      <c r="D2354" s="1">
        <v>46157.354166666664</v>
      </c>
      <c r="E2354">
        <v>5150</v>
      </c>
      <c r="F2354" t="s">
        <v>36</v>
      </c>
      <c r="G2354">
        <v>0.15</v>
      </c>
      <c r="H2354">
        <v>0.15</v>
      </c>
      <c r="I2354">
        <v>0.15</v>
      </c>
      <c r="J2354">
        <v>0.15</v>
      </c>
      <c r="K2354">
        <v>1</v>
      </c>
      <c r="L2354">
        <v>945</v>
      </c>
      <c r="M2354">
        <v>0.1</v>
      </c>
      <c r="N2354">
        <v>606</v>
      </c>
      <c r="O2354">
        <v>0.25</v>
      </c>
      <c r="P2354">
        <v>0</v>
      </c>
      <c r="Q2354">
        <v>0</v>
      </c>
      <c r="R2354">
        <v>0</v>
      </c>
      <c r="S2354">
        <v>0</v>
      </c>
      <c r="T2354">
        <v>0.63539999999999996</v>
      </c>
      <c r="U2354">
        <v>-8.9999999999999998E-4</v>
      </c>
      <c r="V2354">
        <v>0</v>
      </c>
      <c r="W2354">
        <v>-8.2100000000000006E-2</v>
      </c>
      <c r="X2354">
        <v>3.6900000000000002E-2</v>
      </c>
      <c r="Y2354">
        <v>-1.8E-3</v>
      </c>
      <c r="Z2354">
        <v>364</v>
      </c>
      <c r="AA2354">
        <v>0.05</v>
      </c>
      <c r="AB2354">
        <v>255</v>
      </c>
      <c r="AC2354">
        <v>0.25</v>
      </c>
      <c r="AD2354">
        <v>0</v>
      </c>
      <c r="AE2354">
        <v>0</v>
      </c>
      <c r="AF2354">
        <v>0.15</v>
      </c>
      <c r="AG2354">
        <v>3541</v>
      </c>
      <c r="AH2354">
        <v>0</v>
      </c>
    </row>
    <row r="2355" spans="1:34" x14ac:dyDescent="0.35">
      <c r="A2355" t="s">
        <v>37</v>
      </c>
      <c r="B2355" s="1">
        <v>46146.65625</v>
      </c>
      <c r="C2355" t="s">
        <v>37</v>
      </c>
      <c r="D2355" s="1">
        <v>46157.354166666664</v>
      </c>
      <c r="E2355">
        <v>5175</v>
      </c>
      <c r="F2355" t="s">
        <v>36</v>
      </c>
      <c r="G2355">
        <v>0.15</v>
      </c>
      <c r="H2355">
        <v>0.15</v>
      </c>
      <c r="I2355">
        <v>0.15</v>
      </c>
      <c r="J2355">
        <v>0.15</v>
      </c>
      <c r="K2355">
        <v>1</v>
      </c>
      <c r="L2355">
        <v>950</v>
      </c>
      <c r="M2355">
        <v>0.1</v>
      </c>
      <c r="N2355">
        <v>560</v>
      </c>
      <c r="O2355">
        <v>0.25</v>
      </c>
      <c r="P2355">
        <v>0</v>
      </c>
      <c r="Q2355">
        <v>0</v>
      </c>
      <c r="R2355">
        <v>0</v>
      </c>
      <c r="S2355">
        <v>0</v>
      </c>
      <c r="T2355">
        <v>0.62690000000000001</v>
      </c>
      <c r="U2355">
        <v>-8.9999999999999998E-4</v>
      </c>
      <c r="V2355">
        <v>0</v>
      </c>
      <c r="W2355">
        <v>-8.2000000000000003E-2</v>
      </c>
      <c r="X2355">
        <v>3.73E-2</v>
      </c>
      <c r="Y2355">
        <v>-1.8E-3</v>
      </c>
      <c r="Z2355">
        <v>157</v>
      </c>
      <c r="AA2355">
        <v>0.1</v>
      </c>
      <c r="AB2355">
        <v>642</v>
      </c>
      <c r="AC2355">
        <v>0.3</v>
      </c>
      <c r="AD2355">
        <v>0</v>
      </c>
      <c r="AE2355">
        <v>0</v>
      </c>
      <c r="AF2355">
        <v>0.15</v>
      </c>
      <c r="AG2355">
        <v>1534</v>
      </c>
      <c r="AH2355">
        <v>0</v>
      </c>
    </row>
    <row r="2356" spans="1:34" x14ac:dyDescent="0.35">
      <c r="A2356" t="s">
        <v>37</v>
      </c>
      <c r="B2356" s="1">
        <v>46146.65625</v>
      </c>
      <c r="C2356" t="s">
        <v>37</v>
      </c>
      <c r="D2356" s="1">
        <v>46157.354166666664</v>
      </c>
      <c r="E2356">
        <v>5200</v>
      </c>
      <c r="F2356" t="s">
        <v>36</v>
      </c>
      <c r="G2356">
        <v>0.17</v>
      </c>
      <c r="H2356">
        <v>0.2</v>
      </c>
      <c r="I2356">
        <v>0.15</v>
      </c>
      <c r="J2356">
        <v>0.15</v>
      </c>
      <c r="K2356">
        <v>23</v>
      </c>
      <c r="L2356">
        <v>988</v>
      </c>
      <c r="M2356">
        <v>0.1</v>
      </c>
      <c r="N2356">
        <v>491</v>
      </c>
      <c r="O2356">
        <v>0.25</v>
      </c>
      <c r="P2356">
        <v>0</v>
      </c>
      <c r="Q2356">
        <v>0</v>
      </c>
      <c r="R2356">
        <v>0</v>
      </c>
      <c r="S2356">
        <v>0</v>
      </c>
      <c r="T2356">
        <v>0.6179</v>
      </c>
      <c r="U2356">
        <v>-8.9999999999999998E-4</v>
      </c>
      <c r="V2356">
        <v>0</v>
      </c>
      <c r="W2356">
        <v>-8.2000000000000003E-2</v>
      </c>
      <c r="X2356">
        <v>3.7900000000000003E-2</v>
      </c>
      <c r="Y2356">
        <v>-1.8E-3</v>
      </c>
      <c r="Z2356">
        <v>340</v>
      </c>
      <c r="AA2356">
        <v>0.1</v>
      </c>
      <c r="AB2356">
        <v>593</v>
      </c>
      <c r="AC2356">
        <v>0.3</v>
      </c>
      <c r="AD2356">
        <v>0</v>
      </c>
      <c r="AE2356">
        <v>0</v>
      </c>
      <c r="AF2356">
        <v>0.19520000000000001</v>
      </c>
      <c r="AG2356">
        <v>9411</v>
      </c>
      <c r="AH2356">
        <v>0</v>
      </c>
    </row>
    <row r="2357" spans="1:34" x14ac:dyDescent="0.35">
      <c r="A2357" t="s">
        <v>37</v>
      </c>
      <c r="B2357" s="1">
        <v>46146.65625</v>
      </c>
      <c r="C2357" t="s">
        <v>37</v>
      </c>
      <c r="D2357" s="1">
        <v>46157.354166666664</v>
      </c>
      <c r="E2357">
        <v>5225</v>
      </c>
      <c r="F2357" t="s">
        <v>36</v>
      </c>
      <c r="G2357">
        <v>0.15</v>
      </c>
      <c r="H2357">
        <v>0.2</v>
      </c>
      <c r="I2357">
        <v>0.15</v>
      </c>
      <c r="J2357">
        <v>0.2</v>
      </c>
      <c r="K2357">
        <v>2</v>
      </c>
      <c r="L2357">
        <v>612</v>
      </c>
      <c r="M2357">
        <v>0.15</v>
      </c>
      <c r="N2357">
        <v>1153</v>
      </c>
      <c r="O2357">
        <v>0.3</v>
      </c>
      <c r="P2357">
        <v>0</v>
      </c>
      <c r="Q2357">
        <v>0</v>
      </c>
      <c r="R2357">
        <v>0</v>
      </c>
      <c r="S2357">
        <v>0</v>
      </c>
      <c r="T2357">
        <v>0.62260000000000004</v>
      </c>
      <c r="U2357">
        <v>-1.1000000000000001E-3</v>
      </c>
      <c r="V2357">
        <v>0</v>
      </c>
      <c r="W2357">
        <v>-0.1026</v>
      </c>
      <c r="X2357">
        <v>4.6399999999999997E-2</v>
      </c>
      <c r="Y2357">
        <v>-2.3E-3</v>
      </c>
      <c r="Z2357">
        <v>346</v>
      </c>
      <c r="AA2357">
        <v>0.1</v>
      </c>
      <c r="AB2357">
        <v>570</v>
      </c>
      <c r="AC2357">
        <v>0.3</v>
      </c>
      <c r="AD2357">
        <v>0</v>
      </c>
      <c r="AE2357">
        <v>0</v>
      </c>
      <c r="AF2357">
        <v>0.17499999999999999</v>
      </c>
      <c r="AG2357">
        <v>1195</v>
      </c>
      <c r="AH2357">
        <v>0</v>
      </c>
    </row>
    <row r="2358" spans="1:34" x14ac:dyDescent="0.35">
      <c r="A2358" t="s">
        <v>37</v>
      </c>
      <c r="B2358" s="1">
        <v>46146.65625</v>
      </c>
      <c r="C2358" t="s">
        <v>37</v>
      </c>
      <c r="D2358" s="1">
        <v>46157.354166666664</v>
      </c>
      <c r="E2358">
        <v>5230</v>
      </c>
      <c r="F2358" t="s">
        <v>36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351</v>
      </c>
      <c r="M2358">
        <v>0.15</v>
      </c>
      <c r="N2358">
        <v>817</v>
      </c>
      <c r="O2358">
        <v>0.3</v>
      </c>
      <c r="P2358">
        <v>0</v>
      </c>
      <c r="Q2358">
        <v>0</v>
      </c>
      <c r="R2358">
        <v>0</v>
      </c>
      <c r="S2358">
        <v>0</v>
      </c>
      <c r="T2358">
        <v>0.62090000000000001</v>
      </c>
      <c r="U2358">
        <v>-1.1000000000000001E-3</v>
      </c>
      <c r="V2358">
        <v>0</v>
      </c>
      <c r="W2358">
        <v>-0.1026</v>
      </c>
      <c r="X2358">
        <v>4.65E-2</v>
      </c>
      <c r="Y2358">
        <v>-2.3E-3</v>
      </c>
      <c r="Z2358">
        <v>350</v>
      </c>
      <c r="AA2358">
        <v>0.1</v>
      </c>
      <c r="AB2358">
        <v>564</v>
      </c>
      <c r="AC2358">
        <v>0.3</v>
      </c>
      <c r="AD2358">
        <v>0</v>
      </c>
      <c r="AE2358">
        <v>0</v>
      </c>
      <c r="AF2358">
        <v>0</v>
      </c>
      <c r="AG2358">
        <v>263</v>
      </c>
      <c r="AH2358">
        <v>0</v>
      </c>
    </row>
    <row r="2359" spans="1:34" x14ac:dyDescent="0.35">
      <c r="A2359" t="s">
        <v>37</v>
      </c>
      <c r="B2359" s="1">
        <v>46146.65625</v>
      </c>
      <c r="C2359" t="s">
        <v>37</v>
      </c>
      <c r="D2359" s="1">
        <v>46157.354166666664</v>
      </c>
      <c r="E2359">
        <v>5240</v>
      </c>
      <c r="F2359" t="s">
        <v>36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401</v>
      </c>
      <c r="M2359">
        <v>0.15</v>
      </c>
      <c r="N2359">
        <v>811</v>
      </c>
      <c r="O2359">
        <v>0.3</v>
      </c>
      <c r="P2359">
        <v>0</v>
      </c>
      <c r="Q2359">
        <v>0</v>
      </c>
      <c r="R2359">
        <v>0</v>
      </c>
      <c r="S2359">
        <v>0</v>
      </c>
      <c r="T2359">
        <v>0.61739999999999995</v>
      </c>
      <c r="U2359">
        <v>-1.1000000000000001E-3</v>
      </c>
      <c r="V2359">
        <v>0</v>
      </c>
      <c r="W2359">
        <v>-0.10249999999999999</v>
      </c>
      <c r="X2359">
        <v>4.6800000000000001E-2</v>
      </c>
      <c r="Y2359">
        <v>-2.3E-3</v>
      </c>
      <c r="Z2359">
        <v>350</v>
      </c>
      <c r="AA2359">
        <v>0.1</v>
      </c>
      <c r="AB2359">
        <v>316</v>
      </c>
      <c r="AC2359">
        <v>0.3</v>
      </c>
      <c r="AD2359">
        <v>0</v>
      </c>
      <c r="AE2359">
        <v>0</v>
      </c>
      <c r="AF2359">
        <v>0</v>
      </c>
      <c r="AG2359">
        <v>325</v>
      </c>
      <c r="AH2359">
        <v>0</v>
      </c>
    </row>
    <row r="2360" spans="1:34" x14ac:dyDescent="0.35">
      <c r="A2360" t="s">
        <v>37</v>
      </c>
      <c r="B2360" s="1">
        <v>46146.65625</v>
      </c>
      <c r="C2360" t="s">
        <v>37</v>
      </c>
      <c r="D2360" s="1">
        <v>46157.354166666664</v>
      </c>
      <c r="E2360">
        <v>5250</v>
      </c>
      <c r="F2360" t="s">
        <v>36</v>
      </c>
      <c r="G2360">
        <v>0.25</v>
      </c>
      <c r="H2360">
        <v>0.25</v>
      </c>
      <c r="I2360">
        <v>0.2</v>
      </c>
      <c r="J2360">
        <v>0.2</v>
      </c>
      <c r="K2360">
        <v>11</v>
      </c>
      <c r="L2360">
        <v>741</v>
      </c>
      <c r="M2360">
        <v>0.15</v>
      </c>
      <c r="N2360">
        <v>1069</v>
      </c>
      <c r="O2360">
        <v>0.3</v>
      </c>
      <c r="P2360">
        <v>0</v>
      </c>
      <c r="Q2360">
        <v>0</v>
      </c>
      <c r="R2360">
        <v>0</v>
      </c>
      <c r="S2360">
        <v>0</v>
      </c>
      <c r="T2360">
        <v>0.61399999999999999</v>
      </c>
      <c r="U2360">
        <v>-1.1000000000000001E-3</v>
      </c>
      <c r="V2360">
        <v>0</v>
      </c>
      <c r="W2360">
        <v>-0.10249999999999999</v>
      </c>
      <c r="X2360">
        <v>4.7E-2</v>
      </c>
      <c r="Y2360">
        <v>-2.3E-3</v>
      </c>
      <c r="Z2360">
        <v>349</v>
      </c>
      <c r="AA2360">
        <v>0.1</v>
      </c>
      <c r="AB2360">
        <v>311</v>
      </c>
      <c r="AC2360">
        <v>0.3</v>
      </c>
      <c r="AD2360">
        <v>0</v>
      </c>
      <c r="AE2360">
        <v>0</v>
      </c>
      <c r="AF2360">
        <v>0.2455</v>
      </c>
      <c r="AG2360">
        <v>5909</v>
      </c>
      <c r="AH2360">
        <v>0</v>
      </c>
    </row>
    <row r="2361" spans="1:34" x14ac:dyDescent="0.35">
      <c r="A2361" t="s">
        <v>37</v>
      </c>
      <c r="B2361" s="1">
        <v>46146.65625</v>
      </c>
      <c r="C2361" t="s">
        <v>37</v>
      </c>
      <c r="D2361" s="1">
        <v>46157.354166666664</v>
      </c>
      <c r="E2361">
        <v>5260</v>
      </c>
      <c r="F2361" t="s">
        <v>36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482</v>
      </c>
      <c r="M2361">
        <v>0.15</v>
      </c>
      <c r="N2361">
        <v>723</v>
      </c>
      <c r="O2361">
        <v>0.3</v>
      </c>
      <c r="P2361">
        <v>0</v>
      </c>
      <c r="Q2361">
        <v>0</v>
      </c>
      <c r="R2361">
        <v>0</v>
      </c>
      <c r="S2361">
        <v>0</v>
      </c>
      <c r="T2361">
        <v>0.61040000000000005</v>
      </c>
      <c r="U2361">
        <v>-1.1000000000000001E-3</v>
      </c>
      <c r="V2361">
        <v>0</v>
      </c>
      <c r="W2361">
        <v>-0.1024</v>
      </c>
      <c r="X2361">
        <v>4.7199999999999999E-2</v>
      </c>
      <c r="Y2361">
        <v>-2.3E-3</v>
      </c>
      <c r="Z2361">
        <v>346</v>
      </c>
      <c r="AA2361">
        <v>0.1</v>
      </c>
      <c r="AB2361">
        <v>271</v>
      </c>
      <c r="AC2361">
        <v>0.3</v>
      </c>
      <c r="AD2361">
        <v>0</v>
      </c>
      <c r="AE2361">
        <v>0</v>
      </c>
      <c r="AF2361">
        <v>0</v>
      </c>
      <c r="AG2361">
        <v>329</v>
      </c>
      <c r="AH2361">
        <v>0</v>
      </c>
    </row>
    <row r="2362" spans="1:34" x14ac:dyDescent="0.35">
      <c r="A2362" t="s">
        <v>37</v>
      </c>
      <c r="B2362" s="1">
        <v>46146.65625</v>
      </c>
      <c r="C2362" t="s">
        <v>37</v>
      </c>
      <c r="D2362" s="1">
        <v>46157.354166666664</v>
      </c>
      <c r="E2362">
        <v>5270</v>
      </c>
      <c r="F2362" t="s">
        <v>36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490</v>
      </c>
      <c r="M2362">
        <v>0.15</v>
      </c>
      <c r="N2362">
        <v>681</v>
      </c>
      <c r="O2362">
        <v>0.3</v>
      </c>
      <c r="P2362">
        <v>0</v>
      </c>
      <c r="Q2362">
        <v>0</v>
      </c>
      <c r="R2362">
        <v>0</v>
      </c>
      <c r="S2362">
        <v>0</v>
      </c>
      <c r="T2362">
        <v>0.60719999999999996</v>
      </c>
      <c r="U2362">
        <v>-1.1000000000000001E-3</v>
      </c>
      <c r="V2362">
        <v>0</v>
      </c>
      <c r="W2362">
        <v>-0.1024</v>
      </c>
      <c r="X2362">
        <v>4.7500000000000001E-2</v>
      </c>
      <c r="Y2362">
        <v>-2.3E-3</v>
      </c>
      <c r="Z2362">
        <v>347</v>
      </c>
      <c r="AA2362">
        <v>0.1</v>
      </c>
      <c r="AB2362">
        <v>271</v>
      </c>
      <c r="AC2362">
        <v>0.3</v>
      </c>
      <c r="AD2362">
        <v>0</v>
      </c>
      <c r="AE2362">
        <v>0</v>
      </c>
      <c r="AF2362">
        <v>0</v>
      </c>
      <c r="AG2362">
        <v>435</v>
      </c>
      <c r="AH2362">
        <v>0</v>
      </c>
    </row>
    <row r="2363" spans="1:34" x14ac:dyDescent="0.35">
      <c r="A2363" t="s">
        <v>37</v>
      </c>
      <c r="B2363" s="1">
        <v>46146.65625</v>
      </c>
      <c r="C2363" t="s">
        <v>37</v>
      </c>
      <c r="D2363" s="1">
        <v>46157.354166666664</v>
      </c>
      <c r="E2363">
        <v>5275</v>
      </c>
      <c r="F2363" t="s">
        <v>36</v>
      </c>
      <c r="G2363">
        <v>0.2</v>
      </c>
      <c r="H2363">
        <v>0.2</v>
      </c>
      <c r="I2363">
        <v>0.2</v>
      </c>
      <c r="J2363">
        <v>0.2</v>
      </c>
      <c r="K2363">
        <v>1</v>
      </c>
      <c r="L2363">
        <v>485</v>
      </c>
      <c r="M2363">
        <v>0.15</v>
      </c>
      <c r="N2363">
        <v>679</v>
      </c>
      <c r="O2363">
        <v>0.3</v>
      </c>
      <c r="P2363">
        <v>0</v>
      </c>
      <c r="Q2363">
        <v>0</v>
      </c>
      <c r="R2363">
        <v>0</v>
      </c>
      <c r="S2363">
        <v>0</v>
      </c>
      <c r="T2363">
        <v>0.60550000000000004</v>
      </c>
      <c r="U2363">
        <v>-1.1000000000000001E-3</v>
      </c>
      <c r="V2363">
        <v>0</v>
      </c>
      <c r="W2363">
        <v>-0.1024</v>
      </c>
      <c r="X2363">
        <v>4.7600000000000003E-2</v>
      </c>
      <c r="Y2363">
        <v>-2.3E-3</v>
      </c>
      <c r="Z2363">
        <v>348</v>
      </c>
      <c r="AA2363">
        <v>0.1</v>
      </c>
      <c r="AB2363">
        <v>212</v>
      </c>
      <c r="AC2363">
        <v>0.3</v>
      </c>
      <c r="AD2363">
        <v>0</v>
      </c>
      <c r="AE2363">
        <v>0</v>
      </c>
      <c r="AF2363">
        <v>0.2</v>
      </c>
      <c r="AG2363">
        <v>669</v>
      </c>
      <c r="AH2363">
        <v>0</v>
      </c>
    </row>
    <row r="2364" spans="1:34" x14ac:dyDescent="0.35">
      <c r="A2364" t="s">
        <v>37</v>
      </c>
      <c r="B2364" s="1">
        <v>46146.65625</v>
      </c>
      <c r="C2364" t="s">
        <v>37</v>
      </c>
      <c r="D2364" s="1">
        <v>46157.354166666664</v>
      </c>
      <c r="E2364">
        <v>5280</v>
      </c>
      <c r="F2364" t="s">
        <v>36</v>
      </c>
      <c r="G2364">
        <v>0.2</v>
      </c>
      <c r="H2364">
        <v>0.2</v>
      </c>
      <c r="I2364">
        <v>0.2</v>
      </c>
      <c r="J2364">
        <v>0.2</v>
      </c>
      <c r="K2364">
        <v>1</v>
      </c>
      <c r="L2364">
        <v>495</v>
      </c>
      <c r="M2364">
        <v>0.15</v>
      </c>
      <c r="N2364">
        <v>698</v>
      </c>
      <c r="O2364">
        <v>0.3</v>
      </c>
      <c r="P2364">
        <v>0</v>
      </c>
      <c r="Q2364">
        <v>0</v>
      </c>
      <c r="R2364">
        <v>0</v>
      </c>
      <c r="S2364">
        <v>0</v>
      </c>
      <c r="T2364">
        <v>0.6038</v>
      </c>
      <c r="U2364">
        <v>-1.1000000000000001E-3</v>
      </c>
      <c r="V2364">
        <v>0</v>
      </c>
      <c r="W2364">
        <v>-0.1023</v>
      </c>
      <c r="X2364">
        <v>4.7699999999999999E-2</v>
      </c>
      <c r="Y2364">
        <v>-2.3999999999999998E-3</v>
      </c>
      <c r="Z2364">
        <v>349</v>
      </c>
      <c r="AA2364">
        <v>0.1</v>
      </c>
      <c r="AB2364">
        <v>211</v>
      </c>
      <c r="AC2364">
        <v>0.3</v>
      </c>
      <c r="AD2364">
        <v>0</v>
      </c>
      <c r="AE2364">
        <v>0</v>
      </c>
      <c r="AF2364">
        <v>0.2</v>
      </c>
      <c r="AG2364">
        <v>244</v>
      </c>
      <c r="AH2364">
        <v>0</v>
      </c>
    </row>
    <row r="2365" spans="1:34" x14ac:dyDescent="0.35">
      <c r="A2365" t="s">
        <v>37</v>
      </c>
      <c r="B2365" s="1">
        <v>46146.65625</v>
      </c>
      <c r="C2365" t="s">
        <v>37</v>
      </c>
      <c r="D2365" s="1">
        <v>46157.354166666664</v>
      </c>
      <c r="E2365">
        <v>5290</v>
      </c>
      <c r="F2365" t="s">
        <v>36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506</v>
      </c>
      <c r="M2365">
        <v>0.15</v>
      </c>
      <c r="N2365">
        <v>405</v>
      </c>
      <c r="O2365">
        <v>0.3</v>
      </c>
      <c r="P2365">
        <v>0</v>
      </c>
      <c r="Q2365">
        <v>0</v>
      </c>
      <c r="R2365">
        <v>0</v>
      </c>
      <c r="S2365">
        <v>0</v>
      </c>
      <c r="T2365">
        <v>0.60040000000000004</v>
      </c>
      <c r="U2365">
        <v>-1.1000000000000001E-3</v>
      </c>
      <c r="V2365">
        <v>0</v>
      </c>
      <c r="W2365">
        <v>-0.1023</v>
      </c>
      <c r="X2365">
        <v>4.8000000000000001E-2</v>
      </c>
      <c r="Y2365">
        <v>-2.3999999999999998E-3</v>
      </c>
      <c r="Z2365">
        <v>355</v>
      </c>
      <c r="AA2365">
        <v>0.1</v>
      </c>
      <c r="AB2365">
        <v>624</v>
      </c>
      <c r="AC2365">
        <v>0.35</v>
      </c>
      <c r="AD2365">
        <v>0</v>
      </c>
      <c r="AE2365">
        <v>0</v>
      </c>
      <c r="AF2365">
        <v>0</v>
      </c>
      <c r="AG2365">
        <v>367</v>
      </c>
      <c r="AH2365">
        <v>0</v>
      </c>
    </row>
    <row r="2366" spans="1:34" x14ac:dyDescent="0.35">
      <c r="A2366" t="s">
        <v>37</v>
      </c>
      <c r="B2366" s="1">
        <v>46146.65625</v>
      </c>
      <c r="C2366" t="s">
        <v>37</v>
      </c>
      <c r="D2366" s="1">
        <v>46157.354166666664</v>
      </c>
      <c r="E2366">
        <v>5300</v>
      </c>
      <c r="F2366" t="s">
        <v>36</v>
      </c>
      <c r="G2366">
        <v>0.2</v>
      </c>
      <c r="H2366">
        <v>0.22</v>
      </c>
      <c r="I2366">
        <v>0.2</v>
      </c>
      <c r="J2366">
        <v>0.22</v>
      </c>
      <c r="K2366">
        <v>16</v>
      </c>
      <c r="L2366">
        <v>969</v>
      </c>
      <c r="M2366">
        <v>0.15</v>
      </c>
      <c r="N2366">
        <v>531</v>
      </c>
      <c r="O2366">
        <v>0.3</v>
      </c>
      <c r="P2366">
        <v>0</v>
      </c>
      <c r="Q2366">
        <v>0</v>
      </c>
      <c r="R2366">
        <v>0</v>
      </c>
      <c r="S2366">
        <v>0</v>
      </c>
      <c r="T2366">
        <v>0.59699999999999998</v>
      </c>
      <c r="U2366">
        <v>-1.1999999999999999E-3</v>
      </c>
      <c r="V2366">
        <v>0</v>
      </c>
      <c r="W2366">
        <v>-0.1022</v>
      </c>
      <c r="X2366">
        <v>4.82E-2</v>
      </c>
      <c r="Y2366">
        <v>-2.3999999999999998E-3</v>
      </c>
      <c r="Z2366">
        <v>362</v>
      </c>
      <c r="AA2366">
        <v>0.1</v>
      </c>
      <c r="AB2366">
        <v>621</v>
      </c>
      <c r="AC2366">
        <v>0.35</v>
      </c>
      <c r="AD2366">
        <v>0</v>
      </c>
      <c r="AE2366">
        <v>0</v>
      </c>
      <c r="AF2366">
        <v>0.21879999999999999</v>
      </c>
      <c r="AG2366">
        <v>7522</v>
      </c>
      <c r="AH2366">
        <v>0</v>
      </c>
    </row>
    <row r="2367" spans="1:34" x14ac:dyDescent="0.35">
      <c r="A2367" t="s">
        <v>37</v>
      </c>
      <c r="B2367" s="1">
        <v>46146.65625</v>
      </c>
      <c r="C2367" t="s">
        <v>37</v>
      </c>
      <c r="D2367" s="1">
        <v>46157.354166666664</v>
      </c>
      <c r="E2367">
        <v>5310</v>
      </c>
      <c r="F2367" t="s">
        <v>36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521</v>
      </c>
      <c r="M2367">
        <v>0.15</v>
      </c>
      <c r="N2367">
        <v>338</v>
      </c>
      <c r="O2367">
        <v>0.3</v>
      </c>
      <c r="P2367">
        <v>0</v>
      </c>
      <c r="Q2367">
        <v>0</v>
      </c>
      <c r="R2367">
        <v>0</v>
      </c>
      <c r="S2367">
        <v>0</v>
      </c>
      <c r="T2367">
        <v>0.59319999999999995</v>
      </c>
      <c r="U2367">
        <v>-1.1999999999999999E-3</v>
      </c>
      <c r="V2367">
        <v>0</v>
      </c>
      <c r="W2367">
        <v>-0.1022</v>
      </c>
      <c r="X2367">
        <v>4.8500000000000001E-2</v>
      </c>
      <c r="Y2367">
        <v>-2.3999999999999998E-3</v>
      </c>
      <c r="Z2367">
        <v>367</v>
      </c>
      <c r="AA2367">
        <v>0.1</v>
      </c>
      <c r="AB2367">
        <v>627</v>
      </c>
      <c r="AC2367">
        <v>0.35</v>
      </c>
      <c r="AD2367">
        <v>0</v>
      </c>
      <c r="AE2367">
        <v>0</v>
      </c>
      <c r="AF2367">
        <v>0</v>
      </c>
      <c r="AG2367">
        <v>437</v>
      </c>
      <c r="AH2367">
        <v>0</v>
      </c>
    </row>
    <row r="2368" spans="1:34" x14ac:dyDescent="0.35">
      <c r="A2368" t="s">
        <v>37</v>
      </c>
      <c r="B2368" s="1">
        <v>46146.65625</v>
      </c>
      <c r="C2368" t="s">
        <v>37</v>
      </c>
      <c r="D2368" s="1">
        <v>46157.354166666664</v>
      </c>
      <c r="E2368">
        <v>5320</v>
      </c>
      <c r="F2368" t="s">
        <v>36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526</v>
      </c>
      <c r="M2368">
        <v>0.15</v>
      </c>
      <c r="N2368">
        <v>296</v>
      </c>
      <c r="O2368">
        <v>0.3</v>
      </c>
      <c r="P2368">
        <v>0</v>
      </c>
      <c r="Q2368">
        <v>0</v>
      </c>
      <c r="R2368">
        <v>0</v>
      </c>
      <c r="S2368">
        <v>0</v>
      </c>
      <c r="T2368">
        <v>0.58979999999999999</v>
      </c>
      <c r="U2368">
        <v>-1.1999999999999999E-3</v>
      </c>
      <c r="V2368">
        <v>0</v>
      </c>
      <c r="W2368">
        <v>-0.1021</v>
      </c>
      <c r="X2368">
        <v>4.8800000000000003E-2</v>
      </c>
      <c r="Y2368">
        <v>-2.3999999999999998E-3</v>
      </c>
      <c r="Z2368">
        <v>367</v>
      </c>
      <c r="AA2368">
        <v>0.1</v>
      </c>
      <c r="AB2368">
        <v>613</v>
      </c>
      <c r="AC2368">
        <v>0.35</v>
      </c>
      <c r="AD2368">
        <v>0</v>
      </c>
      <c r="AE2368">
        <v>0</v>
      </c>
      <c r="AF2368">
        <v>0</v>
      </c>
      <c r="AG2368">
        <v>274</v>
      </c>
      <c r="AH2368">
        <v>0</v>
      </c>
    </row>
    <row r="2369" spans="1:34" x14ac:dyDescent="0.35">
      <c r="A2369" t="s">
        <v>37</v>
      </c>
      <c r="B2369" s="1">
        <v>46146.65625</v>
      </c>
      <c r="C2369" t="s">
        <v>37</v>
      </c>
      <c r="D2369" s="1">
        <v>46157.354166666664</v>
      </c>
      <c r="E2369">
        <v>5325</v>
      </c>
      <c r="F2369" t="s">
        <v>36</v>
      </c>
      <c r="G2369">
        <v>0.2</v>
      </c>
      <c r="H2369">
        <v>0.2</v>
      </c>
      <c r="I2369">
        <v>0.2</v>
      </c>
      <c r="J2369">
        <v>0.2</v>
      </c>
      <c r="K2369">
        <v>1</v>
      </c>
      <c r="L2369">
        <v>983</v>
      </c>
      <c r="M2369">
        <v>0.15</v>
      </c>
      <c r="N2369">
        <v>438</v>
      </c>
      <c r="O2369">
        <v>0.3</v>
      </c>
      <c r="P2369">
        <v>0</v>
      </c>
      <c r="Q2369">
        <v>0</v>
      </c>
      <c r="R2369">
        <v>0</v>
      </c>
      <c r="S2369">
        <v>0</v>
      </c>
      <c r="T2369">
        <v>0.58850000000000002</v>
      </c>
      <c r="U2369">
        <v>-1.1999999999999999E-3</v>
      </c>
      <c r="V2369">
        <v>0</v>
      </c>
      <c r="W2369">
        <v>-0.1021</v>
      </c>
      <c r="X2369">
        <v>4.8899999999999999E-2</v>
      </c>
      <c r="Y2369">
        <v>-2.3999999999999998E-3</v>
      </c>
      <c r="Z2369">
        <v>371</v>
      </c>
      <c r="AA2369">
        <v>0.1</v>
      </c>
      <c r="AB2369">
        <v>604</v>
      </c>
      <c r="AC2369">
        <v>0.35</v>
      </c>
      <c r="AD2369">
        <v>0</v>
      </c>
      <c r="AE2369">
        <v>0</v>
      </c>
      <c r="AF2369">
        <v>0.2</v>
      </c>
      <c r="AG2369">
        <v>1399</v>
      </c>
      <c r="AH2369">
        <v>0</v>
      </c>
    </row>
    <row r="2370" spans="1:34" x14ac:dyDescent="0.35">
      <c r="A2370" t="s">
        <v>37</v>
      </c>
      <c r="B2370" s="1">
        <v>46146.65625</v>
      </c>
      <c r="C2370" t="s">
        <v>37</v>
      </c>
      <c r="D2370" s="1">
        <v>46157.354166666664</v>
      </c>
      <c r="E2370">
        <v>5330</v>
      </c>
      <c r="F2370" t="s">
        <v>36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964</v>
      </c>
      <c r="M2370">
        <v>0.15</v>
      </c>
      <c r="N2370">
        <v>436</v>
      </c>
      <c r="O2370">
        <v>0.3</v>
      </c>
      <c r="P2370">
        <v>0</v>
      </c>
      <c r="Q2370">
        <v>0</v>
      </c>
      <c r="R2370">
        <v>0</v>
      </c>
      <c r="S2370">
        <v>0</v>
      </c>
      <c r="T2370">
        <v>0.58640000000000003</v>
      </c>
      <c r="U2370">
        <v>-1.1999999999999999E-3</v>
      </c>
      <c r="V2370">
        <v>0</v>
      </c>
      <c r="W2370">
        <v>-0.1021</v>
      </c>
      <c r="X2370">
        <v>4.9000000000000002E-2</v>
      </c>
      <c r="Y2370">
        <v>-2.3999999999999998E-3</v>
      </c>
      <c r="Z2370">
        <v>370</v>
      </c>
      <c r="AA2370">
        <v>0.1</v>
      </c>
      <c r="AB2370">
        <v>594</v>
      </c>
      <c r="AC2370">
        <v>0.35</v>
      </c>
      <c r="AD2370">
        <v>0</v>
      </c>
      <c r="AE2370">
        <v>0</v>
      </c>
      <c r="AF2370">
        <v>0</v>
      </c>
      <c r="AG2370">
        <v>840</v>
      </c>
      <c r="AH2370">
        <v>0</v>
      </c>
    </row>
    <row r="2371" spans="1:34" x14ac:dyDescent="0.35">
      <c r="A2371" t="s">
        <v>37</v>
      </c>
      <c r="B2371" s="1">
        <v>46146.65625</v>
      </c>
      <c r="C2371" t="s">
        <v>37</v>
      </c>
      <c r="D2371" s="1">
        <v>46157.354166666664</v>
      </c>
      <c r="E2371">
        <v>5340</v>
      </c>
      <c r="F2371" t="s">
        <v>36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552</v>
      </c>
      <c r="M2371">
        <v>0.15</v>
      </c>
      <c r="N2371">
        <v>833</v>
      </c>
      <c r="O2371">
        <v>0.35</v>
      </c>
      <c r="P2371">
        <v>0</v>
      </c>
      <c r="Q2371">
        <v>0</v>
      </c>
      <c r="R2371">
        <v>0</v>
      </c>
      <c r="S2371">
        <v>0</v>
      </c>
      <c r="T2371">
        <v>0.58809999999999996</v>
      </c>
      <c r="U2371">
        <v>-1.2999999999999999E-3</v>
      </c>
      <c r="V2371">
        <v>0</v>
      </c>
      <c r="W2371">
        <v>-0.11210000000000001</v>
      </c>
      <c r="X2371">
        <v>5.3400000000000003E-2</v>
      </c>
      <c r="Y2371">
        <v>-2.7000000000000001E-3</v>
      </c>
      <c r="Z2371">
        <v>301</v>
      </c>
      <c r="AA2371">
        <v>0.15</v>
      </c>
      <c r="AB2371">
        <v>557</v>
      </c>
      <c r="AC2371">
        <v>0.35</v>
      </c>
      <c r="AD2371">
        <v>0</v>
      </c>
      <c r="AE2371">
        <v>0</v>
      </c>
      <c r="AF2371">
        <v>0</v>
      </c>
      <c r="AG2371">
        <v>348</v>
      </c>
      <c r="AH2371">
        <v>0</v>
      </c>
    </row>
    <row r="2372" spans="1:34" x14ac:dyDescent="0.35">
      <c r="A2372" t="s">
        <v>37</v>
      </c>
      <c r="B2372" s="1">
        <v>46146.65625</v>
      </c>
      <c r="C2372" t="s">
        <v>37</v>
      </c>
      <c r="D2372" s="1">
        <v>46157.354166666664</v>
      </c>
      <c r="E2372">
        <v>5350</v>
      </c>
      <c r="F2372" t="s">
        <v>36</v>
      </c>
      <c r="G2372">
        <v>0.3</v>
      </c>
      <c r="H2372">
        <v>0.3</v>
      </c>
      <c r="I2372">
        <v>0.25</v>
      </c>
      <c r="J2372">
        <v>0.25</v>
      </c>
      <c r="K2372">
        <v>11</v>
      </c>
      <c r="L2372">
        <v>606</v>
      </c>
      <c r="M2372">
        <v>0.2</v>
      </c>
      <c r="N2372">
        <v>1085</v>
      </c>
      <c r="O2372">
        <v>0.35</v>
      </c>
      <c r="P2372">
        <v>0</v>
      </c>
      <c r="Q2372">
        <v>0</v>
      </c>
      <c r="R2372">
        <v>0</v>
      </c>
      <c r="S2372">
        <v>0</v>
      </c>
      <c r="T2372">
        <v>0.58989999999999998</v>
      </c>
      <c r="U2372">
        <v>-1.4E-3</v>
      </c>
      <c r="V2372">
        <v>0</v>
      </c>
      <c r="W2372">
        <v>-0.122</v>
      </c>
      <c r="X2372">
        <v>5.7599999999999998E-2</v>
      </c>
      <c r="Y2372">
        <v>-2.8999999999999998E-3</v>
      </c>
      <c r="Z2372">
        <v>293</v>
      </c>
      <c r="AA2372">
        <v>0.15</v>
      </c>
      <c r="AB2372">
        <v>500</v>
      </c>
      <c r="AC2372">
        <v>0.35</v>
      </c>
      <c r="AD2372">
        <v>0</v>
      </c>
      <c r="AE2372">
        <v>0</v>
      </c>
      <c r="AF2372">
        <v>0.29549999999999998</v>
      </c>
      <c r="AG2372">
        <v>3760</v>
      </c>
      <c r="AH2372">
        <v>0</v>
      </c>
    </row>
    <row r="2373" spans="1:34" x14ac:dyDescent="0.35">
      <c r="A2373" t="s">
        <v>37</v>
      </c>
      <c r="B2373" s="1">
        <v>46146.65625</v>
      </c>
      <c r="C2373" t="s">
        <v>37</v>
      </c>
      <c r="D2373" s="1">
        <v>46157.354166666664</v>
      </c>
      <c r="E2373">
        <v>5360</v>
      </c>
      <c r="F2373" t="s">
        <v>36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355</v>
      </c>
      <c r="M2373">
        <v>0.2</v>
      </c>
      <c r="N2373">
        <v>749</v>
      </c>
      <c r="O2373">
        <v>0.35</v>
      </c>
      <c r="P2373">
        <v>0</v>
      </c>
      <c r="Q2373">
        <v>0</v>
      </c>
      <c r="R2373">
        <v>0</v>
      </c>
      <c r="S2373">
        <v>0</v>
      </c>
      <c r="T2373">
        <v>0.58640000000000003</v>
      </c>
      <c r="U2373">
        <v>-1.4E-3</v>
      </c>
      <c r="V2373">
        <v>0</v>
      </c>
      <c r="W2373">
        <v>-0.122</v>
      </c>
      <c r="X2373">
        <v>5.79E-2</v>
      </c>
      <c r="Y2373">
        <v>-2.8999999999999998E-3</v>
      </c>
      <c r="Z2373">
        <v>309</v>
      </c>
      <c r="AA2373">
        <v>0.15</v>
      </c>
      <c r="AB2373">
        <v>377</v>
      </c>
      <c r="AC2373">
        <v>0.35</v>
      </c>
      <c r="AD2373">
        <v>0</v>
      </c>
      <c r="AE2373">
        <v>0</v>
      </c>
      <c r="AF2373">
        <v>0</v>
      </c>
      <c r="AG2373">
        <v>442</v>
      </c>
      <c r="AH2373">
        <v>0</v>
      </c>
    </row>
    <row r="2374" spans="1:34" x14ac:dyDescent="0.35">
      <c r="A2374" t="s">
        <v>37</v>
      </c>
      <c r="B2374" s="1">
        <v>46146.65625</v>
      </c>
      <c r="C2374" t="s">
        <v>37</v>
      </c>
      <c r="D2374" s="1">
        <v>46157.354166666664</v>
      </c>
      <c r="E2374">
        <v>5370</v>
      </c>
      <c r="F2374" t="s">
        <v>36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438</v>
      </c>
      <c r="M2374">
        <v>0.2</v>
      </c>
      <c r="N2374">
        <v>720</v>
      </c>
      <c r="O2374">
        <v>0.35</v>
      </c>
      <c r="P2374">
        <v>0</v>
      </c>
      <c r="Q2374">
        <v>0</v>
      </c>
      <c r="R2374">
        <v>0</v>
      </c>
      <c r="S2374">
        <v>0</v>
      </c>
      <c r="T2374">
        <v>0.58299999999999996</v>
      </c>
      <c r="U2374">
        <v>-1.4E-3</v>
      </c>
      <c r="V2374">
        <v>0</v>
      </c>
      <c r="W2374">
        <v>-0.12189999999999999</v>
      </c>
      <c r="X2374">
        <v>5.8200000000000002E-2</v>
      </c>
      <c r="Y2374">
        <v>-2.8999999999999998E-3</v>
      </c>
      <c r="Z2374">
        <v>302</v>
      </c>
      <c r="AA2374">
        <v>0.15</v>
      </c>
      <c r="AB2374">
        <v>250</v>
      </c>
      <c r="AC2374">
        <v>0.35</v>
      </c>
      <c r="AD2374">
        <v>0</v>
      </c>
      <c r="AE2374">
        <v>0</v>
      </c>
      <c r="AF2374">
        <v>0</v>
      </c>
      <c r="AG2374">
        <v>689</v>
      </c>
      <c r="AH2374">
        <v>0</v>
      </c>
    </row>
    <row r="2375" spans="1:34" x14ac:dyDescent="0.35">
      <c r="A2375" t="s">
        <v>37</v>
      </c>
      <c r="B2375" s="1">
        <v>46146.65625</v>
      </c>
      <c r="C2375" t="s">
        <v>37</v>
      </c>
      <c r="D2375" s="1">
        <v>46157.354166666664</v>
      </c>
      <c r="E2375">
        <v>5375</v>
      </c>
      <c r="F2375" t="s">
        <v>36</v>
      </c>
      <c r="G2375">
        <v>0.25</v>
      </c>
      <c r="H2375">
        <v>0.25</v>
      </c>
      <c r="I2375">
        <v>0.25</v>
      </c>
      <c r="J2375">
        <v>0.25</v>
      </c>
      <c r="K2375">
        <v>1</v>
      </c>
      <c r="L2375">
        <v>814</v>
      </c>
      <c r="M2375">
        <v>0.2</v>
      </c>
      <c r="N2375">
        <v>991</v>
      </c>
      <c r="O2375">
        <v>0.35</v>
      </c>
      <c r="P2375">
        <v>0</v>
      </c>
      <c r="Q2375">
        <v>0</v>
      </c>
      <c r="R2375">
        <v>0</v>
      </c>
      <c r="S2375">
        <v>0</v>
      </c>
      <c r="T2375">
        <v>0.58150000000000002</v>
      </c>
      <c r="U2375">
        <v>-1.4E-3</v>
      </c>
      <c r="V2375">
        <v>0</v>
      </c>
      <c r="W2375">
        <v>-0.12180000000000001</v>
      </c>
      <c r="X2375">
        <v>5.8400000000000001E-2</v>
      </c>
      <c r="Y2375">
        <v>-2.8999999999999998E-3</v>
      </c>
      <c r="Z2375">
        <v>305</v>
      </c>
      <c r="AA2375">
        <v>0.15</v>
      </c>
      <c r="AB2375">
        <v>197</v>
      </c>
      <c r="AC2375">
        <v>0.35</v>
      </c>
      <c r="AD2375">
        <v>0</v>
      </c>
      <c r="AE2375">
        <v>0</v>
      </c>
      <c r="AF2375">
        <v>0.25</v>
      </c>
      <c r="AG2375">
        <v>1673</v>
      </c>
      <c r="AH2375">
        <v>0</v>
      </c>
    </row>
    <row r="2376" spans="1:34" x14ac:dyDescent="0.35">
      <c r="A2376" t="s">
        <v>37</v>
      </c>
      <c r="B2376" s="1">
        <v>46146.65625</v>
      </c>
      <c r="C2376" t="s">
        <v>37</v>
      </c>
      <c r="D2376" s="1">
        <v>46157.354166666664</v>
      </c>
      <c r="E2376">
        <v>5380</v>
      </c>
      <c r="F2376" t="s">
        <v>36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478</v>
      </c>
      <c r="M2376">
        <v>0.2</v>
      </c>
      <c r="N2376">
        <v>650</v>
      </c>
      <c r="O2376">
        <v>0.35</v>
      </c>
      <c r="P2376">
        <v>0</v>
      </c>
      <c r="Q2376">
        <v>0</v>
      </c>
      <c r="R2376">
        <v>0</v>
      </c>
      <c r="S2376">
        <v>0</v>
      </c>
      <c r="T2376">
        <v>0.5796</v>
      </c>
      <c r="U2376">
        <v>-1.4E-3</v>
      </c>
      <c r="V2376">
        <v>0</v>
      </c>
      <c r="W2376">
        <v>-0.12180000000000001</v>
      </c>
      <c r="X2376">
        <v>5.8599999999999999E-2</v>
      </c>
      <c r="Y2376">
        <v>-2.8999999999999998E-3</v>
      </c>
      <c r="Z2376">
        <v>307</v>
      </c>
      <c r="AA2376">
        <v>0.15</v>
      </c>
      <c r="AB2376">
        <v>195</v>
      </c>
      <c r="AC2376">
        <v>0.35</v>
      </c>
      <c r="AD2376">
        <v>0</v>
      </c>
      <c r="AE2376">
        <v>0</v>
      </c>
      <c r="AF2376">
        <v>0</v>
      </c>
      <c r="AG2376">
        <v>304</v>
      </c>
      <c r="AH2376">
        <v>0</v>
      </c>
    </row>
    <row r="2377" spans="1:34" x14ac:dyDescent="0.35">
      <c r="A2377" t="s">
        <v>37</v>
      </c>
      <c r="B2377" s="1">
        <v>46146.65625</v>
      </c>
      <c r="C2377" t="s">
        <v>37</v>
      </c>
      <c r="D2377" s="1">
        <v>46157.354166666664</v>
      </c>
      <c r="E2377">
        <v>5390</v>
      </c>
      <c r="F2377" t="s">
        <v>36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483</v>
      </c>
      <c r="M2377">
        <v>0.2</v>
      </c>
      <c r="N2377">
        <v>668</v>
      </c>
      <c r="O2377">
        <v>0.35</v>
      </c>
      <c r="P2377">
        <v>0</v>
      </c>
      <c r="Q2377">
        <v>0</v>
      </c>
      <c r="R2377">
        <v>0</v>
      </c>
      <c r="S2377">
        <v>0</v>
      </c>
      <c r="T2377">
        <v>0.57589999999999997</v>
      </c>
      <c r="U2377">
        <v>-1.4E-3</v>
      </c>
      <c r="V2377">
        <v>0</v>
      </c>
      <c r="W2377">
        <v>-0.12180000000000001</v>
      </c>
      <c r="X2377">
        <v>5.8900000000000001E-2</v>
      </c>
      <c r="Y2377">
        <v>-3.0000000000000001E-3</v>
      </c>
      <c r="Z2377">
        <v>356</v>
      </c>
      <c r="AA2377">
        <v>0.15</v>
      </c>
      <c r="AB2377">
        <v>658</v>
      </c>
      <c r="AC2377">
        <v>0.4</v>
      </c>
      <c r="AD2377">
        <v>0</v>
      </c>
      <c r="AE2377">
        <v>0</v>
      </c>
      <c r="AF2377">
        <v>0</v>
      </c>
      <c r="AG2377">
        <v>380</v>
      </c>
      <c r="AH2377">
        <v>0</v>
      </c>
    </row>
    <row r="2378" spans="1:34" x14ac:dyDescent="0.35">
      <c r="A2378" t="s">
        <v>37</v>
      </c>
      <c r="B2378" s="1">
        <v>46146.65625</v>
      </c>
      <c r="C2378" t="s">
        <v>37</v>
      </c>
      <c r="D2378" s="1">
        <v>46157.354166666664</v>
      </c>
      <c r="E2378">
        <v>5400</v>
      </c>
      <c r="F2378" t="s">
        <v>36</v>
      </c>
      <c r="G2378">
        <v>0.25</v>
      </c>
      <c r="H2378">
        <v>0.25</v>
      </c>
      <c r="I2378">
        <v>0.25</v>
      </c>
      <c r="J2378">
        <v>0.25</v>
      </c>
      <c r="K2378">
        <v>1</v>
      </c>
      <c r="L2378">
        <v>907</v>
      </c>
      <c r="M2378">
        <v>0.2</v>
      </c>
      <c r="N2378">
        <v>518</v>
      </c>
      <c r="O2378">
        <v>0.35</v>
      </c>
      <c r="P2378">
        <v>0</v>
      </c>
      <c r="Q2378">
        <v>0</v>
      </c>
      <c r="R2378">
        <v>0</v>
      </c>
      <c r="S2378">
        <v>0</v>
      </c>
      <c r="T2378">
        <v>0.57279999999999998</v>
      </c>
      <c r="U2378">
        <v>-1.4E-3</v>
      </c>
      <c r="V2378">
        <v>0</v>
      </c>
      <c r="W2378">
        <v>-0.1217</v>
      </c>
      <c r="X2378">
        <v>5.9200000000000003E-2</v>
      </c>
      <c r="Y2378">
        <v>-3.0000000000000001E-3</v>
      </c>
      <c r="Z2378">
        <v>356</v>
      </c>
      <c r="AA2378">
        <v>0.15</v>
      </c>
      <c r="AB2378">
        <v>608</v>
      </c>
      <c r="AC2378">
        <v>0.4</v>
      </c>
      <c r="AD2378">
        <v>0</v>
      </c>
      <c r="AE2378">
        <v>0</v>
      </c>
      <c r="AF2378">
        <v>0.25</v>
      </c>
      <c r="AG2378">
        <v>8916</v>
      </c>
      <c r="AH2378">
        <v>0</v>
      </c>
    </row>
    <row r="2379" spans="1:34" x14ac:dyDescent="0.35">
      <c r="A2379" t="s">
        <v>37</v>
      </c>
      <c r="B2379" s="1">
        <v>46146.65625</v>
      </c>
      <c r="C2379" t="s">
        <v>37</v>
      </c>
      <c r="D2379" s="1">
        <v>46157.354166666664</v>
      </c>
      <c r="E2379">
        <v>5410</v>
      </c>
      <c r="F2379" t="s">
        <v>36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505</v>
      </c>
      <c r="M2379">
        <v>0.2</v>
      </c>
      <c r="N2379">
        <v>293</v>
      </c>
      <c r="O2379">
        <v>0.35</v>
      </c>
      <c r="P2379">
        <v>0</v>
      </c>
      <c r="Q2379">
        <v>0</v>
      </c>
      <c r="R2379">
        <v>0</v>
      </c>
      <c r="S2379">
        <v>0</v>
      </c>
      <c r="T2379">
        <v>0.56940000000000002</v>
      </c>
      <c r="U2379">
        <v>-1.4E-3</v>
      </c>
      <c r="V2379">
        <v>0</v>
      </c>
      <c r="W2379">
        <v>-0.1216</v>
      </c>
      <c r="X2379">
        <v>5.96E-2</v>
      </c>
      <c r="Y2379">
        <v>-3.0000000000000001E-3</v>
      </c>
      <c r="Z2379">
        <v>355</v>
      </c>
      <c r="AA2379">
        <v>0.15</v>
      </c>
      <c r="AB2379">
        <v>595</v>
      </c>
      <c r="AC2379">
        <v>0.4</v>
      </c>
      <c r="AD2379">
        <v>0</v>
      </c>
      <c r="AE2379">
        <v>0</v>
      </c>
      <c r="AF2379">
        <v>0</v>
      </c>
      <c r="AG2379">
        <v>400</v>
      </c>
      <c r="AH2379">
        <v>0</v>
      </c>
    </row>
    <row r="2380" spans="1:34" x14ac:dyDescent="0.35">
      <c r="A2380" t="s">
        <v>37</v>
      </c>
      <c r="B2380" s="1">
        <v>46146.65625</v>
      </c>
      <c r="C2380" t="s">
        <v>37</v>
      </c>
      <c r="D2380" s="1">
        <v>46157.354166666664</v>
      </c>
      <c r="E2380">
        <v>5420</v>
      </c>
      <c r="F2380" t="s">
        <v>36</v>
      </c>
      <c r="G2380">
        <v>0.25</v>
      </c>
      <c r="H2380">
        <v>0.25</v>
      </c>
      <c r="I2380">
        <v>0.25</v>
      </c>
      <c r="J2380">
        <v>0.25</v>
      </c>
      <c r="K2380">
        <v>1</v>
      </c>
      <c r="L2380">
        <v>514</v>
      </c>
      <c r="M2380">
        <v>0.2</v>
      </c>
      <c r="N2380">
        <v>272</v>
      </c>
      <c r="O2380">
        <v>0.35</v>
      </c>
      <c r="P2380">
        <v>0</v>
      </c>
      <c r="Q2380">
        <v>0</v>
      </c>
      <c r="R2380">
        <v>0</v>
      </c>
      <c r="S2380">
        <v>0</v>
      </c>
      <c r="T2380">
        <v>0.56599999999999995</v>
      </c>
      <c r="U2380">
        <v>-1.5E-3</v>
      </c>
      <c r="V2380">
        <v>0</v>
      </c>
      <c r="W2380">
        <v>-0.1215</v>
      </c>
      <c r="X2380">
        <v>5.9900000000000002E-2</v>
      </c>
      <c r="Y2380">
        <v>-3.0000000000000001E-3</v>
      </c>
      <c r="Z2380">
        <v>352</v>
      </c>
      <c r="AA2380">
        <v>0.15</v>
      </c>
      <c r="AB2380">
        <v>579</v>
      </c>
      <c r="AC2380">
        <v>0.4</v>
      </c>
      <c r="AD2380">
        <v>0</v>
      </c>
      <c r="AE2380">
        <v>0</v>
      </c>
      <c r="AF2380">
        <v>0.25</v>
      </c>
      <c r="AG2380">
        <v>590</v>
      </c>
      <c r="AH2380">
        <v>0</v>
      </c>
    </row>
    <row r="2381" spans="1:34" x14ac:dyDescent="0.35">
      <c r="A2381" t="s">
        <v>37</v>
      </c>
      <c r="B2381" s="1">
        <v>46146.65625</v>
      </c>
      <c r="C2381" t="s">
        <v>37</v>
      </c>
      <c r="D2381" s="1">
        <v>46157.354166666664</v>
      </c>
      <c r="E2381">
        <v>5425</v>
      </c>
      <c r="F2381" t="s">
        <v>36</v>
      </c>
      <c r="G2381">
        <v>0.25</v>
      </c>
      <c r="H2381">
        <v>0.25</v>
      </c>
      <c r="I2381">
        <v>0.25</v>
      </c>
      <c r="J2381">
        <v>0.25</v>
      </c>
      <c r="K2381">
        <v>1</v>
      </c>
      <c r="L2381">
        <v>598</v>
      </c>
      <c r="M2381">
        <v>0.2</v>
      </c>
      <c r="N2381">
        <v>917</v>
      </c>
      <c r="O2381">
        <v>0.4</v>
      </c>
      <c r="P2381">
        <v>0</v>
      </c>
      <c r="Q2381">
        <v>0</v>
      </c>
      <c r="R2381">
        <v>0</v>
      </c>
      <c r="S2381">
        <v>0</v>
      </c>
      <c r="T2381">
        <v>0.56850000000000001</v>
      </c>
      <c r="U2381">
        <v>-1.6000000000000001E-3</v>
      </c>
      <c r="V2381">
        <v>0</v>
      </c>
      <c r="W2381">
        <v>-0.1313</v>
      </c>
      <c r="X2381">
        <v>6.4199999999999993E-2</v>
      </c>
      <c r="Y2381">
        <v>-3.2000000000000002E-3</v>
      </c>
      <c r="Z2381">
        <v>362</v>
      </c>
      <c r="AA2381">
        <v>0.15</v>
      </c>
      <c r="AB2381">
        <v>572</v>
      </c>
      <c r="AC2381">
        <v>0.4</v>
      </c>
      <c r="AD2381">
        <v>0</v>
      </c>
      <c r="AE2381">
        <v>0</v>
      </c>
      <c r="AF2381">
        <v>0.25</v>
      </c>
      <c r="AG2381">
        <v>657</v>
      </c>
      <c r="AH2381">
        <v>0</v>
      </c>
    </row>
    <row r="2382" spans="1:34" x14ac:dyDescent="0.35">
      <c r="A2382" t="s">
        <v>37</v>
      </c>
      <c r="B2382" s="1">
        <v>46146.65625</v>
      </c>
      <c r="C2382" t="s">
        <v>37</v>
      </c>
      <c r="D2382" s="1">
        <v>46157.354166666664</v>
      </c>
      <c r="E2382">
        <v>5430</v>
      </c>
      <c r="F2382" t="s">
        <v>36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523</v>
      </c>
      <c r="M2382">
        <v>0.2</v>
      </c>
      <c r="N2382">
        <v>906</v>
      </c>
      <c r="O2382">
        <v>0.4</v>
      </c>
      <c r="P2382">
        <v>0</v>
      </c>
      <c r="Q2382">
        <v>0</v>
      </c>
      <c r="R2382">
        <v>0</v>
      </c>
      <c r="S2382">
        <v>0</v>
      </c>
      <c r="T2382">
        <v>0.56720000000000004</v>
      </c>
      <c r="U2382">
        <v>-1.6000000000000001E-3</v>
      </c>
      <c r="V2382">
        <v>0</v>
      </c>
      <c r="W2382">
        <v>-0.1313</v>
      </c>
      <c r="X2382">
        <v>6.4299999999999996E-2</v>
      </c>
      <c r="Y2382">
        <v>-3.2000000000000002E-3</v>
      </c>
      <c r="Z2382">
        <v>362</v>
      </c>
      <c r="AA2382">
        <v>0.15</v>
      </c>
      <c r="AB2382">
        <v>556</v>
      </c>
      <c r="AC2382">
        <v>0.4</v>
      </c>
      <c r="AD2382">
        <v>0</v>
      </c>
      <c r="AE2382">
        <v>0</v>
      </c>
      <c r="AF2382">
        <v>0</v>
      </c>
      <c r="AG2382">
        <v>339</v>
      </c>
      <c r="AH2382">
        <v>0</v>
      </c>
    </row>
    <row r="2383" spans="1:34" x14ac:dyDescent="0.35">
      <c r="A2383" t="s">
        <v>37</v>
      </c>
      <c r="B2383" s="1">
        <v>46146.65625</v>
      </c>
      <c r="C2383" t="s">
        <v>37</v>
      </c>
      <c r="D2383" s="1">
        <v>46157.354166666664</v>
      </c>
      <c r="E2383">
        <v>5440</v>
      </c>
      <c r="F2383" t="s">
        <v>36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398</v>
      </c>
      <c r="M2383">
        <v>0.25</v>
      </c>
      <c r="N2383">
        <v>1167</v>
      </c>
      <c r="O2383">
        <v>0.4</v>
      </c>
      <c r="P2383">
        <v>0</v>
      </c>
      <c r="Q2383">
        <v>0</v>
      </c>
      <c r="R2383">
        <v>0</v>
      </c>
      <c r="S2383">
        <v>0</v>
      </c>
      <c r="T2383">
        <v>0.56720000000000004</v>
      </c>
      <c r="U2383">
        <v>-1.6999999999999999E-3</v>
      </c>
      <c r="V2383">
        <v>0</v>
      </c>
      <c r="W2383">
        <v>-0.1409</v>
      </c>
      <c r="X2383">
        <v>6.88E-2</v>
      </c>
      <c r="Y2383">
        <v>-3.5000000000000001E-3</v>
      </c>
      <c r="Z2383">
        <v>361</v>
      </c>
      <c r="AA2383">
        <v>0.15</v>
      </c>
      <c r="AB2383">
        <v>500</v>
      </c>
      <c r="AC2383">
        <v>0.4</v>
      </c>
      <c r="AD2383">
        <v>0</v>
      </c>
      <c r="AE2383">
        <v>0</v>
      </c>
      <c r="AF2383">
        <v>0</v>
      </c>
      <c r="AG2383">
        <v>1036</v>
      </c>
      <c r="AH2383">
        <v>0</v>
      </c>
    </row>
    <row r="2384" spans="1:34" x14ac:dyDescent="0.35">
      <c r="A2384" t="s">
        <v>37</v>
      </c>
      <c r="B2384" s="1">
        <v>46146.65625</v>
      </c>
      <c r="C2384" t="s">
        <v>37</v>
      </c>
      <c r="D2384" s="1">
        <v>46157.354166666664</v>
      </c>
      <c r="E2384">
        <v>5450</v>
      </c>
      <c r="F2384" t="s">
        <v>36</v>
      </c>
      <c r="G2384">
        <v>0.3</v>
      </c>
      <c r="H2384">
        <v>0.3</v>
      </c>
      <c r="I2384">
        <v>0.3</v>
      </c>
      <c r="J2384">
        <v>0.3</v>
      </c>
      <c r="K2384">
        <v>73</v>
      </c>
      <c r="L2384">
        <v>636</v>
      </c>
      <c r="M2384">
        <v>0.25</v>
      </c>
      <c r="N2384">
        <v>365</v>
      </c>
      <c r="O2384">
        <v>0.35</v>
      </c>
      <c r="P2384">
        <v>0</v>
      </c>
      <c r="Q2384">
        <v>0</v>
      </c>
      <c r="R2384">
        <v>0</v>
      </c>
      <c r="S2384">
        <v>0</v>
      </c>
      <c r="T2384">
        <v>0.56020000000000003</v>
      </c>
      <c r="U2384">
        <v>-1.6000000000000001E-3</v>
      </c>
      <c r="V2384">
        <v>0</v>
      </c>
      <c r="W2384">
        <v>-0.13109999999999999</v>
      </c>
      <c r="X2384">
        <v>6.5100000000000005E-2</v>
      </c>
      <c r="Y2384">
        <v>-3.3E-3</v>
      </c>
      <c r="Z2384">
        <v>294</v>
      </c>
      <c r="AA2384">
        <v>0.2</v>
      </c>
      <c r="AB2384">
        <v>368</v>
      </c>
      <c r="AC2384">
        <v>0.4</v>
      </c>
      <c r="AD2384">
        <v>0</v>
      </c>
      <c r="AE2384">
        <v>0</v>
      </c>
      <c r="AF2384">
        <v>0.3</v>
      </c>
      <c r="AG2384">
        <v>2565</v>
      </c>
      <c r="AH2384">
        <v>0</v>
      </c>
    </row>
    <row r="2385" spans="1:34" x14ac:dyDescent="0.35">
      <c r="A2385" t="s">
        <v>37</v>
      </c>
      <c r="B2385" s="1">
        <v>46146.65625</v>
      </c>
      <c r="C2385" t="s">
        <v>37</v>
      </c>
      <c r="D2385" s="1">
        <v>46157.354166666664</v>
      </c>
      <c r="E2385">
        <v>5460</v>
      </c>
      <c r="F2385" t="s">
        <v>36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332</v>
      </c>
      <c r="M2385">
        <v>0.25</v>
      </c>
      <c r="N2385">
        <v>727</v>
      </c>
      <c r="O2385">
        <v>0.4</v>
      </c>
      <c r="P2385">
        <v>0</v>
      </c>
      <c r="Q2385">
        <v>0</v>
      </c>
      <c r="R2385">
        <v>0</v>
      </c>
      <c r="S2385">
        <v>0</v>
      </c>
      <c r="T2385">
        <v>0.56059999999999999</v>
      </c>
      <c r="U2385">
        <v>-1.6999999999999999E-3</v>
      </c>
      <c r="V2385">
        <v>0</v>
      </c>
      <c r="W2385">
        <v>-0.14069999999999999</v>
      </c>
      <c r="X2385">
        <v>6.9500000000000006E-2</v>
      </c>
      <c r="Y2385">
        <v>-3.5000000000000001E-3</v>
      </c>
      <c r="Z2385">
        <v>277</v>
      </c>
      <c r="AA2385">
        <v>0.2</v>
      </c>
      <c r="AB2385">
        <v>265</v>
      </c>
      <c r="AC2385">
        <v>0.4</v>
      </c>
      <c r="AD2385">
        <v>0</v>
      </c>
      <c r="AE2385">
        <v>0</v>
      </c>
      <c r="AF2385">
        <v>0</v>
      </c>
      <c r="AG2385">
        <v>515</v>
      </c>
      <c r="AH2385">
        <v>0</v>
      </c>
    </row>
    <row r="2386" spans="1:34" x14ac:dyDescent="0.35">
      <c r="A2386" t="s">
        <v>37</v>
      </c>
      <c r="B2386" s="1">
        <v>46146.65625</v>
      </c>
      <c r="C2386" t="s">
        <v>37</v>
      </c>
      <c r="D2386" s="1">
        <v>46157.354166666664</v>
      </c>
      <c r="E2386">
        <v>5470</v>
      </c>
      <c r="F2386" t="s">
        <v>36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424</v>
      </c>
      <c r="M2386">
        <v>0.25</v>
      </c>
      <c r="N2386">
        <v>700</v>
      </c>
      <c r="O2386">
        <v>0.4</v>
      </c>
      <c r="P2386">
        <v>0</v>
      </c>
      <c r="Q2386">
        <v>0</v>
      </c>
      <c r="R2386">
        <v>0</v>
      </c>
      <c r="S2386">
        <v>0</v>
      </c>
      <c r="T2386">
        <v>0.55740000000000001</v>
      </c>
      <c r="U2386">
        <v>-1.6999999999999999E-3</v>
      </c>
      <c r="V2386">
        <v>0</v>
      </c>
      <c r="W2386">
        <v>-0.1406</v>
      </c>
      <c r="X2386">
        <v>6.9900000000000004E-2</v>
      </c>
      <c r="Y2386">
        <v>-3.5999999999999999E-3</v>
      </c>
      <c r="Z2386">
        <v>304</v>
      </c>
      <c r="AA2386">
        <v>0.2</v>
      </c>
      <c r="AB2386">
        <v>183</v>
      </c>
      <c r="AC2386">
        <v>0.4</v>
      </c>
      <c r="AD2386">
        <v>0</v>
      </c>
      <c r="AE2386">
        <v>0</v>
      </c>
      <c r="AF2386">
        <v>0</v>
      </c>
      <c r="AG2386">
        <v>435</v>
      </c>
      <c r="AH2386">
        <v>0</v>
      </c>
    </row>
    <row r="2387" spans="1:34" x14ac:dyDescent="0.35">
      <c r="A2387" t="s">
        <v>37</v>
      </c>
      <c r="B2387" s="1">
        <v>46146.65625</v>
      </c>
      <c r="C2387" t="s">
        <v>37</v>
      </c>
      <c r="D2387" s="1">
        <v>46157.354166666664</v>
      </c>
      <c r="E2387">
        <v>5475</v>
      </c>
      <c r="F2387" t="s">
        <v>36</v>
      </c>
      <c r="G2387">
        <v>0.3</v>
      </c>
      <c r="H2387">
        <v>0.3</v>
      </c>
      <c r="I2387">
        <v>0.3</v>
      </c>
      <c r="J2387">
        <v>0.3</v>
      </c>
      <c r="K2387">
        <v>1</v>
      </c>
      <c r="L2387">
        <v>800</v>
      </c>
      <c r="M2387">
        <v>0.25</v>
      </c>
      <c r="N2387">
        <v>829</v>
      </c>
      <c r="O2387">
        <v>0.4</v>
      </c>
      <c r="P2387">
        <v>0</v>
      </c>
      <c r="Q2387">
        <v>0</v>
      </c>
      <c r="R2387">
        <v>0</v>
      </c>
      <c r="S2387">
        <v>0</v>
      </c>
      <c r="T2387">
        <v>0.55589999999999995</v>
      </c>
      <c r="U2387">
        <v>-1.6999999999999999E-3</v>
      </c>
      <c r="V2387">
        <v>0</v>
      </c>
      <c r="W2387">
        <v>-0.1406</v>
      </c>
      <c r="X2387">
        <v>7.0099999999999996E-2</v>
      </c>
      <c r="Y2387">
        <v>-3.5999999999999999E-3</v>
      </c>
      <c r="Z2387">
        <v>317</v>
      </c>
      <c r="AA2387">
        <v>0.2</v>
      </c>
      <c r="AB2387">
        <v>574</v>
      </c>
      <c r="AC2387">
        <v>0.45</v>
      </c>
      <c r="AD2387">
        <v>0</v>
      </c>
      <c r="AE2387">
        <v>0</v>
      </c>
      <c r="AF2387">
        <v>0.3</v>
      </c>
      <c r="AG2387">
        <v>2275</v>
      </c>
      <c r="AH2387">
        <v>0</v>
      </c>
    </row>
    <row r="2388" spans="1:34" x14ac:dyDescent="0.35">
      <c r="A2388" t="s">
        <v>37</v>
      </c>
      <c r="B2388" s="1">
        <v>46146.65625</v>
      </c>
      <c r="C2388" t="s">
        <v>37</v>
      </c>
      <c r="D2388" s="1">
        <v>46157.354166666664</v>
      </c>
      <c r="E2388">
        <v>5480</v>
      </c>
      <c r="F2388" t="s">
        <v>36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482</v>
      </c>
      <c r="M2388">
        <v>0.25</v>
      </c>
      <c r="N2388">
        <v>485</v>
      </c>
      <c r="O2388">
        <v>0.4</v>
      </c>
      <c r="P2388">
        <v>0</v>
      </c>
      <c r="Q2388">
        <v>0</v>
      </c>
      <c r="R2388">
        <v>0</v>
      </c>
      <c r="S2388">
        <v>0</v>
      </c>
      <c r="T2388">
        <v>0.55389999999999995</v>
      </c>
      <c r="U2388">
        <v>-1.6999999999999999E-3</v>
      </c>
      <c r="V2388">
        <v>0</v>
      </c>
      <c r="W2388">
        <v>-0.14050000000000001</v>
      </c>
      <c r="X2388">
        <v>7.0300000000000001E-2</v>
      </c>
      <c r="Y2388">
        <v>-3.5999999999999999E-3</v>
      </c>
      <c r="Z2388">
        <v>304</v>
      </c>
      <c r="AA2388">
        <v>0.2</v>
      </c>
      <c r="AB2388">
        <v>577</v>
      </c>
      <c r="AC2388">
        <v>0.45</v>
      </c>
      <c r="AD2388">
        <v>0</v>
      </c>
      <c r="AE2388">
        <v>0</v>
      </c>
      <c r="AF2388">
        <v>0</v>
      </c>
      <c r="AG2388">
        <v>337</v>
      </c>
      <c r="AH2388">
        <v>0</v>
      </c>
    </row>
    <row r="2389" spans="1:34" x14ac:dyDescent="0.35">
      <c r="A2389" t="s">
        <v>37</v>
      </c>
      <c r="B2389" s="1">
        <v>46146.65625</v>
      </c>
      <c r="C2389" t="s">
        <v>37</v>
      </c>
      <c r="D2389" s="1">
        <v>46157.354166666664</v>
      </c>
      <c r="E2389">
        <v>5490</v>
      </c>
      <c r="F2389" t="s">
        <v>36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492</v>
      </c>
      <c r="M2389">
        <v>0.25</v>
      </c>
      <c r="N2389">
        <v>310</v>
      </c>
      <c r="O2389">
        <v>0.4</v>
      </c>
      <c r="P2389">
        <v>0</v>
      </c>
      <c r="Q2389">
        <v>0</v>
      </c>
      <c r="R2389">
        <v>0</v>
      </c>
      <c r="S2389">
        <v>0</v>
      </c>
      <c r="T2389">
        <v>0.5504</v>
      </c>
      <c r="U2389">
        <v>-1.6999999999999999E-3</v>
      </c>
      <c r="V2389">
        <v>0</v>
      </c>
      <c r="W2389">
        <v>-0.1404</v>
      </c>
      <c r="X2389">
        <v>7.0699999999999999E-2</v>
      </c>
      <c r="Y2389">
        <v>-3.5999999999999999E-3</v>
      </c>
      <c r="Z2389">
        <v>340</v>
      </c>
      <c r="AA2389">
        <v>0.2</v>
      </c>
      <c r="AB2389">
        <v>551</v>
      </c>
      <c r="AC2389">
        <v>0.45</v>
      </c>
      <c r="AD2389">
        <v>0</v>
      </c>
      <c r="AE2389">
        <v>0</v>
      </c>
      <c r="AF2389">
        <v>0</v>
      </c>
      <c r="AG2389">
        <v>407</v>
      </c>
      <c r="AH2389">
        <v>0</v>
      </c>
    </row>
    <row r="2390" spans="1:34" x14ac:dyDescent="0.35">
      <c r="A2390" t="s">
        <v>37</v>
      </c>
      <c r="B2390" s="1">
        <v>46146.65625</v>
      </c>
      <c r="C2390" t="s">
        <v>37</v>
      </c>
      <c r="D2390" s="1">
        <v>46157.354166666664</v>
      </c>
      <c r="E2390">
        <v>5500</v>
      </c>
      <c r="F2390" t="s">
        <v>36</v>
      </c>
      <c r="G2390">
        <v>0.45</v>
      </c>
      <c r="H2390">
        <v>0.45</v>
      </c>
      <c r="I2390">
        <v>0.3</v>
      </c>
      <c r="J2390">
        <v>0.35</v>
      </c>
      <c r="K2390">
        <v>87</v>
      </c>
      <c r="L2390">
        <v>1040</v>
      </c>
      <c r="M2390">
        <v>0.25</v>
      </c>
      <c r="N2390">
        <v>418</v>
      </c>
      <c r="O2390">
        <v>0.4</v>
      </c>
      <c r="P2390">
        <v>0</v>
      </c>
      <c r="Q2390">
        <v>0</v>
      </c>
      <c r="R2390">
        <v>0</v>
      </c>
      <c r="S2390">
        <v>0</v>
      </c>
      <c r="T2390">
        <v>0.54700000000000004</v>
      </c>
      <c r="U2390">
        <v>-1.6999999999999999E-3</v>
      </c>
      <c r="V2390">
        <v>0</v>
      </c>
      <c r="W2390">
        <v>-0.1404</v>
      </c>
      <c r="X2390">
        <v>7.1099999999999997E-2</v>
      </c>
      <c r="Y2390">
        <v>-3.5999999999999999E-3</v>
      </c>
      <c r="Z2390">
        <v>349</v>
      </c>
      <c r="AA2390">
        <v>0.2</v>
      </c>
      <c r="AB2390">
        <v>558</v>
      </c>
      <c r="AC2390">
        <v>0.45</v>
      </c>
      <c r="AD2390">
        <v>0</v>
      </c>
      <c r="AE2390">
        <v>0</v>
      </c>
      <c r="AF2390">
        <v>0.3644</v>
      </c>
      <c r="AG2390">
        <v>13269</v>
      </c>
      <c r="AH2390">
        <v>0</v>
      </c>
    </row>
    <row r="2391" spans="1:34" x14ac:dyDescent="0.35">
      <c r="A2391" t="s">
        <v>37</v>
      </c>
      <c r="B2391" s="1">
        <v>46146.65625</v>
      </c>
      <c r="C2391" t="s">
        <v>37</v>
      </c>
      <c r="D2391" s="1">
        <v>46157.354166666664</v>
      </c>
      <c r="E2391">
        <v>5510</v>
      </c>
      <c r="F2391" t="s">
        <v>36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513</v>
      </c>
      <c r="M2391">
        <v>0.25</v>
      </c>
      <c r="N2391">
        <v>909</v>
      </c>
      <c r="O2391">
        <v>0.45</v>
      </c>
      <c r="P2391">
        <v>0</v>
      </c>
      <c r="Q2391">
        <v>0</v>
      </c>
      <c r="R2391">
        <v>0</v>
      </c>
      <c r="S2391">
        <v>0</v>
      </c>
      <c r="T2391">
        <v>0.54720000000000002</v>
      </c>
      <c r="U2391">
        <v>-1.9E-3</v>
      </c>
      <c r="V2391">
        <v>0</v>
      </c>
      <c r="W2391">
        <v>-0.14979999999999999</v>
      </c>
      <c r="X2391">
        <v>7.5600000000000001E-2</v>
      </c>
      <c r="Y2391">
        <v>-3.8999999999999998E-3</v>
      </c>
      <c r="Z2391">
        <v>350</v>
      </c>
      <c r="AA2391">
        <v>0.2</v>
      </c>
      <c r="AB2391">
        <v>544</v>
      </c>
      <c r="AC2391">
        <v>0.45</v>
      </c>
      <c r="AD2391">
        <v>0</v>
      </c>
      <c r="AE2391">
        <v>0</v>
      </c>
      <c r="AF2391">
        <v>0</v>
      </c>
      <c r="AG2391">
        <v>401</v>
      </c>
      <c r="AH2391">
        <v>0</v>
      </c>
    </row>
    <row r="2392" spans="1:34" x14ac:dyDescent="0.35">
      <c r="A2392" t="s">
        <v>37</v>
      </c>
      <c r="B2392" s="1">
        <v>46146.65625</v>
      </c>
      <c r="C2392" t="s">
        <v>37</v>
      </c>
      <c r="D2392" s="1">
        <v>46157.354166666664</v>
      </c>
      <c r="E2392">
        <v>5520</v>
      </c>
      <c r="F2392" t="s">
        <v>36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358</v>
      </c>
      <c r="M2392">
        <v>0.3</v>
      </c>
      <c r="N2392">
        <v>1238</v>
      </c>
      <c r="O2392">
        <v>0.45</v>
      </c>
      <c r="P2392">
        <v>0</v>
      </c>
      <c r="Q2392">
        <v>0</v>
      </c>
      <c r="R2392">
        <v>0</v>
      </c>
      <c r="S2392">
        <v>0</v>
      </c>
      <c r="T2392">
        <v>0.54730000000000001</v>
      </c>
      <c r="U2392">
        <v>-2E-3</v>
      </c>
      <c r="V2392">
        <v>0</v>
      </c>
      <c r="W2392">
        <v>-0.15920000000000001</v>
      </c>
      <c r="X2392">
        <v>7.9899999999999999E-2</v>
      </c>
      <c r="Y2392">
        <v>-4.1000000000000003E-3</v>
      </c>
      <c r="Z2392">
        <v>355</v>
      </c>
      <c r="AA2392">
        <v>0.2</v>
      </c>
      <c r="AB2392">
        <v>485</v>
      </c>
      <c r="AC2392">
        <v>0.45</v>
      </c>
      <c r="AD2392">
        <v>0</v>
      </c>
      <c r="AE2392">
        <v>0</v>
      </c>
      <c r="AF2392">
        <v>0</v>
      </c>
      <c r="AG2392">
        <v>735</v>
      </c>
      <c r="AH2392">
        <v>0</v>
      </c>
    </row>
    <row r="2393" spans="1:34" x14ac:dyDescent="0.35">
      <c r="A2393" t="s">
        <v>37</v>
      </c>
      <c r="B2393" s="1">
        <v>46146.65625</v>
      </c>
      <c r="C2393" t="s">
        <v>37</v>
      </c>
      <c r="D2393" s="1">
        <v>46157.354166666664</v>
      </c>
      <c r="E2393">
        <v>5525</v>
      </c>
      <c r="F2393" t="s">
        <v>36</v>
      </c>
      <c r="G2393">
        <v>0.3</v>
      </c>
      <c r="H2393">
        <v>0.35</v>
      </c>
      <c r="I2393">
        <v>0.3</v>
      </c>
      <c r="J2393">
        <v>0.35</v>
      </c>
      <c r="K2393">
        <v>3</v>
      </c>
      <c r="L2393">
        <v>383</v>
      </c>
      <c r="M2393">
        <v>0.3</v>
      </c>
      <c r="N2393">
        <v>1155</v>
      </c>
      <c r="O2393">
        <v>0.45</v>
      </c>
      <c r="P2393">
        <v>0</v>
      </c>
      <c r="Q2393">
        <v>0</v>
      </c>
      <c r="R2393">
        <v>0</v>
      </c>
      <c r="S2393">
        <v>0</v>
      </c>
      <c r="T2393">
        <v>0.54579999999999995</v>
      </c>
      <c r="U2393">
        <v>-2E-3</v>
      </c>
      <c r="V2393">
        <v>0</v>
      </c>
      <c r="W2393">
        <v>-0.15909999999999999</v>
      </c>
      <c r="X2393">
        <v>8.0100000000000005E-2</v>
      </c>
      <c r="Y2393">
        <v>-4.1000000000000003E-3</v>
      </c>
      <c r="Z2393">
        <v>358</v>
      </c>
      <c r="AA2393">
        <v>0.2</v>
      </c>
      <c r="AB2393">
        <v>390</v>
      </c>
      <c r="AC2393">
        <v>0.45</v>
      </c>
      <c r="AD2393">
        <v>0</v>
      </c>
      <c r="AE2393">
        <v>0</v>
      </c>
      <c r="AF2393">
        <v>0.31669999999999998</v>
      </c>
      <c r="AG2393">
        <v>1330</v>
      </c>
      <c r="AH2393">
        <v>0</v>
      </c>
    </row>
    <row r="2394" spans="1:34" x14ac:dyDescent="0.35">
      <c r="A2394" t="s">
        <v>37</v>
      </c>
      <c r="B2394" s="1">
        <v>46146.65625</v>
      </c>
      <c r="C2394" t="s">
        <v>37</v>
      </c>
      <c r="D2394" s="1">
        <v>46157.354166666664</v>
      </c>
      <c r="E2394">
        <v>5530</v>
      </c>
      <c r="F2394" t="s">
        <v>36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308</v>
      </c>
      <c r="M2394">
        <v>0.3</v>
      </c>
      <c r="N2394">
        <v>722</v>
      </c>
      <c r="O2394">
        <v>0.45</v>
      </c>
      <c r="P2394">
        <v>0</v>
      </c>
      <c r="Q2394">
        <v>0</v>
      </c>
      <c r="R2394">
        <v>0</v>
      </c>
      <c r="S2394">
        <v>0</v>
      </c>
      <c r="T2394">
        <v>0.54390000000000005</v>
      </c>
      <c r="U2394">
        <v>-2E-3</v>
      </c>
      <c r="V2394">
        <v>0</v>
      </c>
      <c r="W2394">
        <v>-0.15909999999999999</v>
      </c>
      <c r="X2394">
        <v>8.0399999999999999E-2</v>
      </c>
      <c r="Y2394">
        <v>-4.1999999999999997E-3</v>
      </c>
      <c r="Z2394">
        <v>341</v>
      </c>
      <c r="AA2394">
        <v>0.2</v>
      </c>
      <c r="AB2394">
        <v>377</v>
      </c>
      <c r="AC2394">
        <v>0.45</v>
      </c>
      <c r="AD2394">
        <v>0</v>
      </c>
      <c r="AE2394">
        <v>0</v>
      </c>
      <c r="AF2394">
        <v>0</v>
      </c>
      <c r="AG2394">
        <v>379</v>
      </c>
      <c r="AH2394">
        <v>0</v>
      </c>
    </row>
    <row r="2395" spans="1:34" x14ac:dyDescent="0.35">
      <c r="A2395" t="s">
        <v>37</v>
      </c>
      <c r="B2395" s="1">
        <v>46146.65625</v>
      </c>
      <c r="C2395" t="s">
        <v>37</v>
      </c>
      <c r="D2395" s="1">
        <v>46157.354166666664</v>
      </c>
      <c r="E2395">
        <v>5540</v>
      </c>
      <c r="F2395" t="s">
        <v>36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324</v>
      </c>
      <c r="M2395">
        <v>0.3</v>
      </c>
      <c r="N2395">
        <v>652</v>
      </c>
      <c r="O2395">
        <v>0.45</v>
      </c>
      <c r="P2395">
        <v>0</v>
      </c>
      <c r="Q2395">
        <v>0</v>
      </c>
      <c r="R2395">
        <v>0</v>
      </c>
      <c r="S2395">
        <v>0</v>
      </c>
      <c r="T2395">
        <v>0.54049999999999998</v>
      </c>
      <c r="U2395">
        <v>-2E-3</v>
      </c>
      <c r="V2395">
        <v>0</v>
      </c>
      <c r="W2395">
        <v>-0.159</v>
      </c>
      <c r="X2395">
        <v>8.09E-2</v>
      </c>
      <c r="Y2395">
        <v>-4.1999999999999997E-3</v>
      </c>
      <c r="Z2395">
        <v>271</v>
      </c>
      <c r="AA2395">
        <v>0.25</v>
      </c>
      <c r="AB2395">
        <v>300</v>
      </c>
      <c r="AC2395">
        <v>0.45</v>
      </c>
      <c r="AD2395">
        <v>0</v>
      </c>
      <c r="AE2395">
        <v>0</v>
      </c>
      <c r="AF2395">
        <v>0</v>
      </c>
      <c r="AG2395">
        <v>361</v>
      </c>
      <c r="AH2395">
        <v>0</v>
      </c>
    </row>
    <row r="2396" spans="1:34" x14ac:dyDescent="0.35">
      <c r="A2396" t="s">
        <v>37</v>
      </c>
      <c r="B2396" s="1">
        <v>46146.65625</v>
      </c>
      <c r="C2396" t="s">
        <v>37</v>
      </c>
      <c r="D2396" s="1">
        <v>46157.354166666664</v>
      </c>
      <c r="E2396">
        <v>5550</v>
      </c>
      <c r="F2396" t="s">
        <v>36</v>
      </c>
      <c r="G2396">
        <v>0.48</v>
      </c>
      <c r="H2396">
        <v>0.48</v>
      </c>
      <c r="I2396">
        <v>0.4</v>
      </c>
      <c r="J2396">
        <v>0.4</v>
      </c>
      <c r="K2396">
        <v>11</v>
      </c>
      <c r="L2396">
        <v>820</v>
      </c>
      <c r="M2396">
        <v>0.3</v>
      </c>
      <c r="N2396">
        <v>851</v>
      </c>
      <c r="O2396">
        <v>0.45</v>
      </c>
      <c r="P2396">
        <v>0</v>
      </c>
      <c r="Q2396">
        <v>0</v>
      </c>
      <c r="R2396">
        <v>0</v>
      </c>
      <c r="S2396">
        <v>0</v>
      </c>
      <c r="T2396">
        <v>0.53720000000000001</v>
      </c>
      <c r="U2396">
        <v>-2E-3</v>
      </c>
      <c r="V2396">
        <v>0</v>
      </c>
      <c r="W2396">
        <v>-0.1588</v>
      </c>
      <c r="X2396">
        <v>8.1299999999999997E-2</v>
      </c>
      <c r="Y2396">
        <v>-4.1999999999999997E-3</v>
      </c>
      <c r="Z2396">
        <v>294</v>
      </c>
      <c r="AA2396">
        <v>0.25</v>
      </c>
      <c r="AB2396">
        <v>244</v>
      </c>
      <c r="AC2396">
        <v>0.45</v>
      </c>
      <c r="AD2396">
        <v>0</v>
      </c>
      <c r="AE2396">
        <v>0</v>
      </c>
      <c r="AF2396">
        <v>0.47270000000000001</v>
      </c>
      <c r="AG2396">
        <v>8625</v>
      </c>
      <c r="AH2396">
        <v>0</v>
      </c>
    </row>
    <row r="2397" spans="1:34" x14ac:dyDescent="0.35">
      <c r="A2397" t="s">
        <v>37</v>
      </c>
      <c r="B2397" s="1">
        <v>46146.65625</v>
      </c>
      <c r="C2397" t="s">
        <v>37</v>
      </c>
      <c r="D2397" s="1">
        <v>46157.354166666664</v>
      </c>
      <c r="E2397">
        <v>5560</v>
      </c>
      <c r="F2397" t="s">
        <v>36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435</v>
      </c>
      <c r="M2397">
        <v>0.3</v>
      </c>
      <c r="N2397">
        <v>492</v>
      </c>
      <c r="O2397">
        <v>0.45</v>
      </c>
      <c r="P2397">
        <v>0</v>
      </c>
      <c r="Q2397">
        <v>0</v>
      </c>
      <c r="R2397">
        <v>0</v>
      </c>
      <c r="S2397">
        <v>0</v>
      </c>
      <c r="T2397">
        <v>0.53369999999999995</v>
      </c>
      <c r="U2397">
        <v>-2E-3</v>
      </c>
      <c r="V2397">
        <v>0</v>
      </c>
      <c r="W2397">
        <v>-0.15870000000000001</v>
      </c>
      <c r="X2397">
        <v>8.1799999999999998E-2</v>
      </c>
      <c r="Y2397">
        <v>-4.1999999999999997E-3</v>
      </c>
      <c r="Z2397">
        <v>325</v>
      </c>
      <c r="AA2397">
        <v>0.25</v>
      </c>
      <c r="AB2397">
        <v>528</v>
      </c>
      <c r="AC2397">
        <v>0.5</v>
      </c>
      <c r="AD2397">
        <v>0</v>
      </c>
      <c r="AE2397">
        <v>0</v>
      </c>
      <c r="AF2397">
        <v>0</v>
      </c>
      <c r="AG2397">
        <v>311</v>
      </c>
      <c r="AH2397">
        <v>0</v>
      </c>
    </row>
    <row r="2398" spans="1:34" x14ac:dyDescent="0.35">
      <c r="A2398" t="s">
        <v>37</v>
      </c>
      <c r="B2398" s="1">
        <v>46146.65625</v>
      </c>
      <c r="C2398" t="s">
        <v>37</v>
      </c>
      <c r="D2398" s="1">
        <v>46157.354166666664</v>
      </c>
      <c r="E2398">
        <v>5570</v>
      </c>
      <c r="F2398" t="s">
        <v>36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469</v>
      </c>
      <c r="M2398">
        <v>0.3</v>
      </c>
      <c r="N2398">
        <v>379</v>
      </c>
      <c r="O2398">
        <v>0.45</v>
      </c>
      <c r="P2398">
        <v>0</v>
      </c>
      <c r="Q2398">
        <v>0</v>
      </c>
      <c r="R2398">
        <v>0</v>
      </c>
      <c r="S2398">
        <v>0</v>
      </c>
      <c r="T2398">
        <v>0.5302</v>
      </c>
      <c r="U2398">
        <v>-2.0999999999999999E-3</v>
      </c>
      <c r="V2398">
        <v>0</v>
      </c>
      <c r="W2398">
        <v>-0.15859999999999999</v>
      </c>
      <c r="X2398">
        <v>8.2299999999999998E-2</v>
      </c>
      <c r="Y2398">
        <v>-4.3E-3</v>
      </c>
      <c r="Z2398">
        <v>329</v>
      </c>
      <c r="AA2398">
        <v>0.25</v>
      </c>
      <c r="AB2398">
        <v>547</v>
      </c>
      <c r="AC2398">
        <v>0.5</v>
      </c>
      <c r="AD2398">
        <v>0</v>
      </c>
      <c r="AE2398">
        <v>0</v>
      </c>
      <c r="AF2398">
        <v>0</v>
      </c>
      <c r="AG2398">
        <v>263</v>
      </c>
      <c r="AH2398">
        <v>0</v>
      </c>
    </row>
    <row r="2399" spans="1:34" x14ac:dyDescent="0.35">
      <c r="A2399" t="s">
        <v>37</v>
      </c>
      <c r="B2399" s="1">
        <v>46146.65625</v>
      </c>
      <c r="C2399" t="s">
        <v>37</v>
      </c>
      <c r="D2399" s="1">
        <v>46157.354166666664</v>
      </c>
      <c r="E2399">
        <v>5575</v>
      </c>
      <c r="F2399" t="s">
        <v>36</v>
      </c>
      <c r="G2399">
        <v>0.35</v>
      </c>
      <c r="H2399">
        <v>0.35</v>
      </c>
      <c r="I2399">
        <v>0.35</v>
      </c>
      <c r="J2399">
        <v>0.35</v>
      </c>
      <c r="K2399">
        <v>1</v>
      </c>
      <c r="L2399">
        <v>993</v>
      </c>
      <c r="M2399">
        <v>0.3</v>
      </c>
      <c r="N2399">
        <v>1329</v>
      </c>
      <c r="O2399">
        <v>0.5</v>
      </c>
      <c r="P2399">
        <v>0</v>
      </c>
      <c r="Q2399">
        <v>0</v>
      </c>
      <c r="R2399">
        <v>0</v>
      </c>
      <c r="S2399">
        <v>0</v>
      </c>
      <c r="T2399">
        <v>0.53169999999999995</v>
      </c>
      <c r="U2399">
        <v>-2.2000000000000001E-3</v>
      </c>
      <c r="V2399">
        <v>0</v>
      </c>
      <c r="W2399">
        <v>-0.16789999999999999</v>
      </c>
      <c r="X2399">
        <v>8.6499999999999994E-2</v>
      </c>
      <c r="Y2399">
        <v>-4.4999999999999997E-3</v>
      </c>
      <c r="Z2399">
        <v>333</v>
      </c>
      <c r="AA2399">
        <v>0.25</v>
      </c>
      <c r="AB2399">
        <v>528</v>
      </c>
      <c r="AC2399">
        <v>0.5</v>
      </c>
      <c r="AD2399">
        <v>0</v>
      </c>
      <c r="AE2399">
        <v>0</v>
      </c>
      <c r="AF2399">
        <v>0.35</v>
      </c>
      <c r="AG2399">
        <v>1623</v>
      </c>
      <c r="AH2399">
        <v>0</v>
      </c>
    </row>
    <row r="2400" spans="1:34" x14ac:dyDescent="0.35">
      <c r="A2400" t="s">
        <v>37</v>
      </c>
      <c r="B2400" s="1">
        <v>46146.65625</v>
      </c>
      <c r="C2400" t="s">
        <v>37</v>
      </c>
      <c r="D2400" s="1">
        <v>46157.354166666664</v>
      </c>
      <c r="E2400">
        <v>5580</v>
      </c>
      <c r="F2400" t="s">
        <v>36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481</v>
      </c>
      <c r="M2400">
        <v>0.3</v>
      </c>
      <c r="N2400">
        <v>903</v>
      </c>
      <c r="O2400">
        <v>0.5</v>
      </c>
      <c r="P2400">
        <v>0</v>
      </c>
      <c r="Q2400">
        <v>0</v>
      </c>
      <c r="R2400">
        <v>0</v>
      </c>
      <c r="S2400">
        <v>0</v>
      </c>
      <c r="T2400">
        <v>0.5302</v>
      </c>
      <c r="U2400">
        <v>-2.2000000000000001E-3</v>
      </c>
      <c r="V2400">
        <v>0</v>
      </c>
      <c r="W2400">
        <v>-0.1678</v>
      </c>
      <c r="X2400">
        <v>8.6699999999999999E-2</v>
      </c>
      <c r="Y2400">
        <v>-4.4999999999999997E-3</v>
      </c>
      <c r="Z2400">
        <v>334</v>
      </c>
      <c r="AA2400">
        <v>0.25</v>
      </c>
      <c r="AB2400">
        <v>518</v>
      </c>
      <c r="AC2400">
        <v>0.5</v>
      </c>
      <c r="AD2400">
        <v>0</v>
      </c>
      <c r="AE2400">
        <v>0</v>
      </c>
      <c r="AF2400">
        <v>0</v>
      </c>
      <c r="AG2400">
        <v>206</v>
      </c>
      <c r="AH2400">
        <v>0</v>
      </c>
    </row>
    <row r="2401" spans="1:34" x14ac:dyDescent="0.35">
      <c r="A2401" t="s">
        <v>37</v>
      </c>
      <c r="B2401" s="1">
        <v>46146.65625</v>
      </c>
      <c r="C2401" t="s">
        <v>37</v>
      </c>
      <c r="D2401" s="1">
        <v>46157.354166666664</v>
      </c>
      <c r="E2401">
        <v>5590</v>
      </c>
      <c r="F2401" t="s">
        <v>36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168</v>
      </c>
      <c r="M2401">
        <v>0.35</v>
      </c>
      <c r="N2401">
        <v>754</v>
      </c>
      <c r="O2401">
        <v>0.5</v>
      </c>
      <c r="P2401">
        <v>0</v>
      </c>
      <c r="Q2401">
        <v>0</v>
      </c>
      <c r="R2401">
        <v>0</v>
      </c>
      <c r="S2401">
        <v>0</v>
      </c>
      <c r="T2401">
        <v>0.52969999999999995</v>
      </c>
      <c r="U2401">
        <v>-2.3E-3</v>
      </c>
      <c r="V2401">
        <v>0</v>
      </c>
      <c r="W2401">
        <v>-0.17699999999999999</v>
      </c>
      <c r="X2401">
        <v>9.11E-2</v>
      </c>
      <c r="Y2401">
        <v>-4.7999999999999996E-3</v>
      </c>
      <c r="Z2401">
        <v>462</v>
      </c>
      <c r="AA2401">
        <v>0.25</v>
      </c>
      <c r="AB2401">
        <v>531</v>
      </c>
      <c r="AC2401">
        <v>0.5</v>
      </c>
      <c r="AD2401">
        <v>0</v>
      </c>
      <c r="AE2401">
        <v>0</v>
      </c>
      <c r="AF2401">
        <v>0</v>
      </c>
      <c r="AG2401">
        <v>392</v>
      </c>
      <c r="AH2401">
        <v>0</v>
      </c>
    </row>
    <row r="2402" spans="1:34" x14ac:dyDescent="0.35">
      <c r="A2402" t="s">
        <v>37</v>
      </c>
      <c r="B2402" s="1">
        <v>46146.65625</v>
      </c>
      <c r="C2402" t="s">
        <v>37</v>
      </c>
      <c r="D2402" s="1">
        <v>46157.354166666664</v>
      </c>
      <c r="E2402">
        <v>5600</v>
      </c>
      <c r="F2402" t="s">
        <v>36</v>
      </c>
      <c r="G2402">
        <v>0.32</v>
      </c>
      <c r="H2402">
        <v>1.64</v>
      </c>
      <c r="I2402">
        <v>0.31</v>
      </c>
      <c r="J2402">
        <v>0.42</v>
      </c>
      <c r="K2402">
        <v>1244</v>
      </c>
      <c r="L2402">
        <v>392</v>
      </c>
      <c r="M2402">
        <v>0.35</v>
      </c>
      <c r="N2402">
        <v>1158</v>
      </c>
      <c r="O2402">
        <v>0.5</v>
      </c>
      <c r="P2402">
        <v>0</v>
      </c>
      <c r="Q2402">
        <v>0</v>
      </c>
      <c r="R2402">
        <v>0</v>
      </c>
      <c r="S2402">
        <v>0</v>
      </c>
      <c r="T2402">
        <v>0.52649999999999997</v>
      </c>
      <c r="U2402">
        <v>-2.3E-3</v>
      </c>
      <c r="V2402">
        <v>0</v>
      </c>
      <c r="W2402">
        <v>-0.1769</v>
      </c>
      <c r="X2402">
        <v>9.1700000000000004E-2</v>
      </c>
      <c r="Y2402">
        <v>-4.7999999999999996E-3</v>
      </c>
      <c r="Z2402">
        <v>447</v>
      </c>
      <c r="AA2402">
        <v>0.25</v>
      </c>
      <c r="AB2402">
        <v>368</v>
      </c>
      <c r="AC2402">
        <v>0.5</v>
      </c>
      <c r="AD2402">
        <v>0</v>
      </c>
      <c r="AE2402">
        <v>0</v>
      </c>
      <c r="AF2402">
        <v>0.6008</v>
      </c>
      <c r="AG2402">
        <v>9461</v>
      </c>
      <c r="AH2402">
        <v>0</v>
      </c>
    </row>
    <row r="2403" spans="1:34" x14ac:dyDescent="0.35">
      <c r="A2403" t="s">
        <v>37</v>
      </c>
      <c r="B2403" s="1">
        <v>46146.65625</v>
      </c>
      <c r="C2403" t="s">
        <v>37</v>
      </c>
      <c r="D2403" s="1">
        <v>46157.354166666664</v>
      </c>
      <c r="E2403">
        <v>5610</v>
      </c>
      <c r="F2403" t="s">
        <v>36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320</v>
      </c>
      <c r="M2403">
        <v>0.35</v>
      </c>
      <c r="N2403">
        <v>615</v>
      </c>
      <c r="O2403">
        <v>0.5</v>
      </c>
      <c r="P2403">
        <v>0</v>
      </c>
      <c r="Q2403">
        <v>0</v>
      </c>
      <c r="R2403">
        <v>0</v>
      </c>
      <c r="S2403">
        <v>0</v>
      </c>
      <c r="T2403">
        <v>0.52310000000000001</v>
      </c>
      <c r="U2403">
        <v>-2.3E-3</v>
      </c>
      <c r="V2403">
        <v>0</v>
      </c>
      <c r="W2403">
        <v>-0.1767</v>
      </c>
      <c r="X2403">
        <v>9.2200000000000004E-2</v>
      </c>
      <c r="Y2403">
        <v>-4.7999999999999996E-3</v>
      </c>
      <c r="Z2403">
        <v>451</v>
      </c>
      <c r="AA2403">
        <v>0.25</v>
      </c>
      <c r="AB2403">
        <v>306</v>
      </c>
      <c r="AC2403">
        <v>0.5</v>
      </c>
      <c r="AD2403">
        <v>0</v>
      </c>
      <c r="AE2403">
        <v>0</v>
      </c>
      <c r="AF2403">
        <v>0</v>
      </c>
      <c r="AG2403">
        <v>308</v>
      </c>
      <c r="AH2403">
        <v>0</v>
      </c>
    </row>
    <row r="2404" spans="1:34" x14ac:dyDescent="0.35">
      <c r="A2404" t="s">
        <v>37</v>
      </c>
      <c r="B2404" s="1">
        <v>46146.65625</v>
      </c>
      <c r="C2404" t="s">
        <v>37</v>
      </c>
      <c r="D2404" s="1">
        <v>46157.354166666664</v>
      </c>
      <c r="E2404">
        <v>5620</v>
      </c>
      <c r="F2404" t="s">
        <v>36</v>
      </c>
      <c r="G2404">
        <v>0.35</v>
      </c>
      <c r="H2404">
        <v>0.35</v>
      </c>
      <c r="I2404">
        <v>0.35</v>
      </c>
      <c r="J2404">
        <v>0.35</v>
      </c>
      <c r="K2404">
        <v>2</v>
      </c>
      <c r="L2404">
        <v>446</v>
      </c>
      <c r="M2404">
        <v>0.35</v>
      </c>
      <c r="N2404">
        <v>468</v>
      </c>
      <c r="O2404">
        <v>0.5</v>
      </c>
      <c r="P2404">
        <v>0</v>
      </c>
      <c r="Q2404">
        <v>0</v>
      </c>
      <c r="R2404">
        <v>0</v>
      </c>
      <c r="S2404">
        <v>0</v>
      </c>
      <c r="T2404">
        <v>0.51959999999999995</v>
      </c>
      <c r="U2404">
        <v>-2.3E-3</v>
      </c>
      <c r="V2404">
        <v>0</v>
      </c>
      <c r="W2404">
        <v>-0.17660000000000001</v>
      </c>
      <c r="X2404">
        <v>9.2799999999999994E-2</v>
      </c>
      <c r="Y2404">
        <v>-4.8999999999999998E-3</v>
      </c>
      <c r="Z2404">
        <v>314</v>
      </c>
      <c r="AA2404">
        <v>0.3</v>
      </c>
      <c r="AB2404">
        <v>277</v>
      </c>
      <c r="AC2404">
        <v>0.5</v>
      </c>
      <c r="AD2404">
        <v>0</v>
      </c>
      <c r="AE2404">
        <v>0</v>
      </c>
      <c r="AF2404">
        <v>0.35</v>
      </c>
      <c r="AG2404">
        <v>317</v>
      </c>
      <c r="AH2404">
        <v>0</v>
      </c>
    </row>
    <row r="2405" spans="1:34" x14ac:dyDescent="0.35">
      <c r="A2405" t="s">
        <v>37</v>
      </c>
      <c r="B2405" s="1">
        <v>46146.65625</v>
      </c>
      <c r="C2405" t="s">
        <v>37</v>
      </c>
      <c r="D2405" s="1">
        <v>46157.354166666664</v>
      </c>
      <c r="E2405">
        <v>5625</v>
      </c>
      <c r="F2405" t="s">
        <v>36</v>
      </c>
      <c r="G2405">
        <v>0.36</v>
      </c>
      <c r="H2405">
        <v>0.36</v>
      </c>
      <c r="I2405">
        <v>0.36</v>
      </c>
      <c r="J2405">
        <v>0.36</v>
      </c>
      <c r="K2405">
        <v>3</v>
      </c>
      <c r="L2405">
        <v>855</v>
      </c>
      <c r="M2405">
        <v>0.35</v>
      </c>
      <c r="N2405">
        <v>761</v>
      </c>
      <c r="O2405">
        <v>0.5</v>
      </c>
      <c r="P2405">
        <v>0</v>
      </c>
      <c r="Q2405">
        <v>0</v>
      </c>
      <c r="R2405">
        <v>0</v>
      </c>
      <c r="S2405">
        <v>0</v>
      </c>
      <c r="T2405">
        <v>0.51770000000000005</v>
      </c>
      <c r="U2405">
        <v>-2.3E-3</v>
      </c>
      <c r="V2405">
        <v>0</v>
      </c>
      <c r="W2405">
        <v>-0.17649999999999999</v>
      </c>
      <c r="X2405">
        <v>9.3100000000000002E-2</v>
      </c>
      <c r="Y2405">
        <v>-4.8999999999999998E-3</v>
      </c>
      <c r="Z2405">
        <v>319</v>
      </c>
      <c r="AA2405">
        <v>0.3</v>
      </c>
      <c r="AB2405">
        <v>228</v>
      </c>
      <c r="AC2405">
        <v>0.5</v>
      </c>
      <c r="AD2405">
        <v>0</v>
      </c>
      <c r="AE2405">
        <v>0</v>
      </c>
      <c r="AF2405">
        <v>0.36</v>
      </c>
      <c r="AG2405">
        <v>2505</v>
      </c>
      <c r="AH2405">
        <v>0</v>
      </c>
    </row>
    <row r="2406" spans="1:34" x14ac:dyDescent="0.35">
      <c r="A2406" t="s">
        <v>37</v>
      </c>
      <c r="B2406" s="1">
        <v>46146.65625</v>
      </c>
      <c r="C2406" t="s">
        <v>37</v>
      </c>
      <c r="D2406" s="1">
        <v>46157.354166666664</v>
      </c>
      <c r="E2406">
        <v>5630</v>
      </c>
      <c r="F2406" t="s">
        <v>36</v>
      </c>
      <c r="G2406">
        <v>0.36</v>
      </c>
      <c r="H2406">
        <v>0.36</v>
      </c>
      <c r="I2406">
        <v>0.36</v>
      </c>
      <c r="J2406">
        <v>0.36</v>
      </c>
      <c r="K2406">
        <v>40</v>
      </c>
      <c r="L2406">
        <v>897</v>
      </c>
      <c r="M2406">
        <v>0.35</v>
      </c>
      <c r="N2406">
        <v>712</v>
      </c>
      <c r="O2406">
        <v>0.5</v>
      </c>
      <c r="P2406">
        <v>0</v>
      </c>
      <c r="Q2406">
        <v>0</v>
      </c>
      <c r="R2406">
        <v>0</v>
      </c>
      <c r="S2406">
        <v>0</v>
      </c>
      <c r="T2406">
        <v>0.51590000000000003</v>
      </c>
      <c r="U2406">
        <v>-2.3999999999999998E-3</v>
      </c>
      <c r="V2406">
        <v>0</v>
      </c>
      <c r="W2406">
        <v>-0.17649999999999999</v>
      </c>
      <c r="X2406">
        <v>9.3399999999999997E-2</v>
      </c>
      <c r="Y2406">
        <v>-4.8999999999999998E-3</v>
      </c>
      <c r="Z2406">
        <v>319</v>
      </c>
      <c r="AA2406">
        <v>0.3</v>
      </c>
      <c r="AB2406">
        <v>227</v>
      </c>
      <c r="AC2406">
        <v>0.5</v>
      </c>
      <c r="AD2406">
        <v>0</v>
      </c>
      <c r="AE2406">
        <v>0</v>
      </c>
      <c r="AF2406">
        <v>0.36</v>
      </c>
      <c r="AG2406">
        <v>342</v>
      </c>
      <c r="AH2406">
        <v>0</v>
      </c>
    </row>
    <row r="2407" spans="1:34" x14ac:dyDescent="0.35">
      <c r="A2407" t="s">
        <v>37</v>
      </c>
      <c r="B2407" s="1">
        <v>46146.65625</v>
      </c>
      <c r="C2407" t="s">
        <v>37</v>
      </c>
      <c r="D2407" s="1">
        <v>46157.354166666664</v>
      </c>
      <c r="E2407">
        <v>5640</v>
      </c>
      <c r="F2407" t="s">
        <v>36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465</v>
      </c>
      <c r="M2407">
        <v>0.35</v>
      </c>
      <c r="N2407">
        <v>357</v>
      </c>
      <c r="O2407">
        <v>0.5</v>
      </c>
      <c r="P2407">
        <v>0</v>
      </c>
      <c r="Q2407">
        <v>0</v>
      </c>
      <c r="R2407">
        <v>0</v>
      </c>
      <c r="S2407">
        <v>0</v>
      </c>
      <c r="T2407">
        <v>0.51270000000000004</v>
      </c>
      <c r="U2407">
        <v>-2.3999999999999998E-3</v>
      </c>
      <c r="V2407">
        <v>0</v>
      </c>
      <c r="W2407">
        <v>-0.17630000000000001</v>
      </c>
      <c r="X2407">
        <v>9.3899999999999997E-2</v>
      </c>
      <c r="Y2407">
        <v>-4.8999999999999998E-3</v>
      </c>
      <c r="Z2407">
        <v>440</v>
      </c>
      <c r="AA2407">
        <v>0.3</v>
      </c>
      <c r="AB2407">
        <v>548</v>
      </c>
      <c r="AC2407">
        <v>0.55000000000000004</v>
      </c>
      <c r="AD2407">
        <v>0</v>
      </c>
      <c r="AE2407">
        <v>0</v>
      </c>
      <c r="AF2407">
        <v>0</v>
      </c>
      <c r="AG2407">
        <v>303</v>
      </c>
      <c r="AH2407">
        <v>0</v>
      </c>
    </row>
    <row r="2408" spans="1:34" x14ac:dyDescent="0.35">
      <c r="A2408" t="s">
        <v>37</v>
      </c>
      <c r="B2408" s="1">
        <v>46146.65625</v>
      </c>
      <c r="C2408" t="s">
        <v>37</v>
      </c>
      <c r="D2408" s="1">
        <v>46157.354166666664</v>
      </c>
      <c r="E2408">
        <v>5650</v>
      </c>
      <c r="F2408" t="s">
        <v>36</v>
      </c>
      <c r="G2408">
        <v>0.6</v>
      </c>
      <c r="H2408">
        <v>0.65</v>
      </c>
      <c r="I2408">
        <v>0.35</v>
      </c>
      <c r="J2408">
        <v>0.35</v>
      </c>
      <c r="K2408">
        <v>919</v>
      </c>
      <c r="L2408">
        <v>1082</v>
      </c>
      <c r="M2408">
        <v>0.35</v>
      </c>
      <c r="N2408">
        <v>87</v>
      </c>
      <c r="O2408">
        <v>0.45</v>
      </c>
      <c r="P2408">
        <v>0</v>
      </c>
      <c r="Q2408">
        <v>0</v>
      </c>
      <c r="R2408">
        <v>0</v>
      </c>
      <c r="S2408">
        <v>0</v>
      </c>
      <c r="T2408">
        <v>0.50629999999999997</v>
      </c>
      <c r="U2408">
        <v>-2.3E-3</v>
      </c>
      <c r="V2408">
        <v>0</v>
      </c>
      <c r="W2408">
        <v>-0.16700000000000001</v>
      </c>
      <c r="X2408">
        <v>9.0399999999999994E-2</v>
      </c>
      <c r="Y2408">
        <v>-4.7000000000000002E-3</v>
      </c>
      <c r="Z2408">
        <v>427</v>
      </c>
      <c r="AA2408">
        <v>0.3</v>
      </c>
      <c r="AB2408">
        <v>520</v>
      </c>
      <c r="AC2408">
        <v>0.55000000000000004</v>
      </c>
      <c r="AD2408">
        <v>0</v>
      </c>
      <c r="AE2408">
        <v>0</v>
      </c>
      <c r="AF2408">
        <v>0.60260000000000002</v>
      </c>
      <c r="AG2408">
        <v>5874</v>
      </c>
      <c r="AH2408">
        <v>0</v>
      </c>
    </row>
    <row r="2409" spans="1:34" x14ac:dyDescent="0.35">
      <c r="A2409" t="s">
        <v>37</v>
      </c>
      <c r="B2409" s="1">
        <v>46146.65625</v>
      </c>
      <c r="C2409" t="s">
        <v>37</v>
      </c>
      <c r="D2409" s="1">
        <v>46157.354166666664</v>
      </c>
      <c r="E2409">
        <v>5660</v>
      </c>
      <c r="F2409" t="s">
        <v>36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839</v>
      </c>
      <c r="M2409">
        <v>0.35</v>
      </c>
      <c r="N2409">
        <v>771</v>
      </c>
      <c r="O2409">
        <v>0.55000000000000004</v>
      </c>
      <c r="P2409">
        <v>0</v>
      </c>
      <c r="Q2409">
        <v>0</v>
      </c>
      <c r="R2409">
        <v>0</v>
      </c>
      <c r="S2409">
        <v>0</v>
      </c>
      <c r="T2409">
        <v>0.50900000000000001</v>
      </c>
      <c r="U2409">
        <v>-2.5000000000000001E-3</v>
      </c>
      <c r="V2409">
        <v>0</v>
      </c>
      <c r="W2409">
        <v>-0.1852</v>
      </c>
      <c r="X2409">
        <v>9.9099999999999994E-2</v>
      </c>
      <c r="Y2409">
        <v>-5.1999999999999998E-3</v>
      </c>
      <c r="Z2409">
        <v>432</v>
      </c>
      <c r="AA2409">
        <v>0.3</v>
      </c>
      <c r="AB2409">
        <v>357</v>
      </c>
      <c r="AC2409">
        <v>0.55000000000000004</v>
      </c>
      <c r="AD2409">
        <v>0</v>
      </c>
      <c r="AE2409">
        <v>0</v>
      </c>
      <c r="AF2409">
        <v>0</v>
      </c>
      <c r="AG2409">
        <v>407</v>
      </c>
      <c r="AH2409">
        <v>0</v>
      </c>
    </row>
    <row r="2410" spans="1:34" x14ac:dyDescent="0.35">
      <c r="A2410" t="s">
        <v>37</v>
      </c>
      <c r="B2410" s="1">
        <v>46146.65625</v>
      </c>
      <c r="C2410" t="s">
        <v>37</v>
      </c>
      <c r="D2410" s="1">
        <v>46157.354166666664</v>
      </c>
      <c r="E2410">
        <v>5670</v>
      </c>
      <c r="F2410" t="s">
        <v>36</v>
      </c>
      <c r="G2410">
        <v>0.45</v>
      </c>
      <c r="H2410">
        <v>0.45</v>
      </c>
      <c r="I2410">
        <v>0.45</v>
      </c>
      <c r="J2410">
        <v>0.45</v>
      </c>
      <c r="K2410">
        <v>1</v>
      </c>
      <c r="L2410">
        <v>216</v>
      </c>
      <c r="M2410">
        <v>0.4</v>
      </c>
      <c r="N2410">
        <v>600</v>
      </c>
      <c r="O2410">
        <v>0.55000000000000004</v>
      </c>
      <c r="P2410">
        <v>0</v>
      </c>
      <c r="Q2410">
        <v>0</v>
      </c>
      <c r="R2410">
        <v>0</v>
      </c>
      <c r="S2410">
        <v>0</v>
      </c>
      <c r="T2410">
        <v>0.50790000000000002</v>
      </c>
      <c r="U2410">
        <v>-2.5999999999999999E-3</v>
      </c>
      <c r="V2410">
        <v>0</v>
      </c>
      <c r="W2410">
        <v>-0.19409999999999999</v>
      </c>
      <c r="X2410">
        <v>0.1038</v>
      </c>
      <c r="Y2410">
        <v>-5.4999999999999997E-3</v>
      </c>
      <c r="Z2410">
        <v>436</v>
      </c>
      <c r="AA2410">
        <v>0.3</v>
      </c>
      <c r="AB2410">
        <v>294</v>
      </c>
      <c r="AC2410">
        <v>0.55000000000000004</v>
      </c>
      <c r="AD2410">
        <v>0</v>
      </c>
      <c r="AE2410">
        <v>0</v>
      </c>
      <c r="AF2410">
        <v>0.45</v>
      </c>
      <c r="AG2410">
        <v>275</v>
      </c>
      <c r="AH2410">
        <v>0</v>
      </c>
    </row>
    <row r="2411" spans="1:34" x14ac:dyDescent="0.35">
      <c r="A2411" t="s">
        <v>37</v>
      </c>
      <c r="B2411" s="1">
        <v>46146.65625</v>
      </c>
      <c r="C2411" t="s">
        <v>37</v>
      </c>
      <c r="D2411" s="1">
        <v>46157.354166666664</v>
      </c>
      <c r="E2411">
        <v>5675</v>
      </c>
      <c r="F2411" t="s">
        <v>36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413</v>
      </c>
      <c r="M2411">
        <v>0.4</v>
      </c>
      <c r="N2411">
        <v>1092</v>
      </c>
      <c r="O2411">
        <v>0.55000000000000004</v>
      </c>
      <c r="P2411">
        <v>0</v>
      </c>
      <c r="Q2411">
        <v>0</v>
      </c>
      <c r="R2411">
        <v>0</v>
      </c>
      <c r="S2411">
        <v>0</v>
      </c>
      <c r="T2411">
        <v>0.50649999999999995</v>
      </c>
      <c r="U2411">
        <v>-2.7000000000000001E-3</v>
      </c>
      <c r="V2411">
        <v>0</v>
      </c>
      <c r="W2411">
        <v>-0.19400000000000001</v>
      </c>
      <c r="X2411">
        <v>0.104</v>
      </c>
      <c r="Y2411">
        <v>-5.4999999999999997E-3</v>
      </c>
      <c r="Z2411">
        <v>155</v>
      </c>
      <c r="AA2411">
        <v>0.35</v>
      </c>
      <c r="AB2411">
        <v>289</v>
      </c>
      <c r="AC2411">
        <v>0.55000000000000004</v>
      </c>
      <c r="AD2411">
        <v>0</v>
      </c>
      <c r="AE2411">
        <v>0</v>
      </c>
      <c r="AF2411">
        <v>0</v>
      </c>
      <c r="AG2411">
        <v>3198</v>
      </c>
      <c r="AH2411">
        <v>0</v>
      </c>
    </row>
    <row r="2412" spans="1:34" x14ac:dyDescent="0.35">
      <c r="A2412" t="s">
        <v>37</v>
      </c>
      <c r="B2412" s="1">
        <v>46146.65625</v>
      </c>
      <c r="C2412" t="s">
        <v>37</v>
      </c>
      <c r="D2412" s="1">
        <v>46157.354166666664</v>
      </c>
      <c r="E2412">
        <v>5680</v>
      </c>
      <c r="F2412" t="s">
        <v>36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322</v>
      </c>
      <c r="M2412">
        <v>0.4</v>
      </c>
      <c r="N2412">
        <v>489</v>
      </c>
      <c r="O2412">
        <v>0.55000000000000004</v>
      </c>
      <c r="P2412">
        <v>0</v>
      </c>
      <c r="Q2412">
        <v>0</v>
      </c>
      <c r="R2412">
        <v>0</v>
      </c>
      <c r="S2412">
        <v>0</v>
      </c>
      <c r="T2412">
        <v>0.50460000000000005</v>
      </c>
      <c r="U2412">
        <v>-2.7000000000000001E-3</v>
      </c>
      <c r="V2412">
        <v>0</v>
      </c>
      <c r="W2412">
        <v>-0.19389999999999999</v>
      </c>
      <c r="X2412">
        <v>0.10440000000000001</v>
      </c>
      <c r="Y2412">
        <v>-5.4999999999999997E-3</v>
      </c>
      <c r="Z2412">
        <v>288</v>
      </c>
      <c r="AA2412">
        <v>0.35</v>
      </c>
      <c r="AB2412">
        <v>265</v>
      </c>
      <c r="AC2412">
        <v>0.55000000000000004</v>
      </c>
      <c r="AD2412">
        <v>0</v>
      </c>
      <c r="AE2412">
        <v>0</v>
      </c>
      <c r="AF2412">
        <v>0</v>
      </c>
      <c r="AG2412">
        <v>292</v>
      </c>
      <c r="AH2412">
        <v>0</v>
      </c>
    </row>
    <row r="2413" spans="1:34" x14ac:dyDescent="0.35">
      <c r="A2413" t="s">
        <v>37</v>
      </c>
      <c r="B2413" s="1">
        <v>46146.65625</v>
      </c>
      <c r="C2413" t="s">
        <v>37</v>
      </c>
      <c r="D2413" s="1">
        <v>46157.354166666664</v>
      </c>
      <c r="E2413">
        <v>5690</v>
      </c>
      <c r="F2413" t="s">
        <v>36</v>
      </c>
      <c r="G2413">
        <v>0.4</v>
      </c>
      <c r="H2413">
        <v>0.4</v>
      </c>
      <c r="I2413">
        <v>0.4</v>
      </c>
      <c r="J2413">
        <v>0.4</v>
      </c>
      <c r="K2413">
        <v>1</v>
      </c>
      <c r="L2413">
        <v>444</v>
      </c>
      <c r="M2413">
        <v>0.4</v>
      </c>
      <c r="N2413">
        <v>443</v>
      </c>
      <c r="O2413">
        <v>0.55000000000000004</v>
      </c>
      <c r="P2413">
        <v>0</v>
      </c>
      <c r="Q2413">
        <v>0</v>
      </c>
      <c r="R2413">
        <v>0</v>
      </c>
      <c r="S2413">
        <v>0</v>
      </c>
      <c r="T2413">
        <v>0.50119999999999998</v>
      </c>
      <c r="U2413">
        <v>-2.7000000000000001E-3</v>
      </c>
      <c r="V2413">
        <v>0</v>
      </c>
      <c r="W2413">
        <v>-0.1938</v>
      </c>
      <c r="X2413">
        <v>0.1051</v>
      </c>
      <c r="Y2413">
        <v>-5.5999999999999999E-3</v>
      </c>
      <c r="Z2413">
        <v>423</v>
      </c>
      <c r="AA2413">
        <v>0.35</v>
      </c>
      <c r="AB2413">
        <v>217</v>
      </c>
      <c r="AC2413">
        <v>0.55000000000000004</v>
      </c>
      <c r="AD2413">
        <v>0</v>
      </c>
      <c r="AE2413">
        <v>0</v>
      </c>
      <c r="AF2413">
        <v>0.4</v>
      </c>
      <c r="AG2413">
        <v>560</v>
      </c>
      <c r="AH2413">
        <v>0</v>
      </c>
    </row>
    <row r="2414" spans="1:34" x14ac:dyDescent="0.35">
      <c r="A2414" t="s">
        <v>37</v>
      </c>
      <c r="B2414" s="1">
        <v>46146.65625</v>
      </c>
      <c r="C2414" t="s">
        <v>37</v>
      </c>
      <c r="D2414" s="1">
        <v>46157.354166666664</v>
      </c>
      <c r="E2414">
        <v>5700</v>
      </c>
      <c r="F2414" t="s">
        <v>36</v>
      </c>
      <c r="G2414">
        <v>0.39</v>
      </c>
      <c r="H2414">
        <v>0.75</v>
      </c>
      <c r="I2414">
        <v>0.39</v>
      </c>
      <c r="J2414">
        <v>0.4</v>
      </c>
      <c r="K2414">
        <v>367</v>
      </c>
      <c r="L2414">
        <v>1264</v>
      </c>
      <c r="M2414">
        <v>0.4</v>
      </c>
      <c r="N2414">
        <v>87</v>
      </c>
      <c r="O2414">
        <v>0.5</v>
      </c>
      <c r="P2414">
        <v>0</v>
      </c>
      <c r="Q2414">
        <v>0</v>
      </c>
      <c r="R2414">
        <v>0</v>
      </c>
      <c r="S2414">
        <v>0</v>
      </c>
      <c r="T2414">
        <v>0.495</v>
      </c>
      <c r="U2414">
        <v>-2.5999999999999999E-3</v>
      </c>
      <c r="V2414">
        <v>0</v>
      </c>
      <c r="W2414">
        <v>-0.18459999999999999</v>
      </c>
      <c r="X2414">
        <v>0.1016</v>
      </c>
      <c r="Y2414">
        <v>-5.3E-3</v>
      </c>
      <c r="Z2414">
        <v>412</v>
      </c>
      <c r="AA2414">
        <v>0.35</v>
      </c>
      <c r="AB2414">
        <v>528</v>
      </c>
      <c r="AC2414">
        <v>0.6</v>
      </c>
      <c r="AD2414">
        <v>0</v>
      </c>
      <c r="AE2414">
        <v>0</v>
      </c>
      <c r="AF2414">
        <v>0.63729999999999998</v>
      </c>
      <c r="AG2414">
        <v>15611</v>
      </c>
      <c r="AH2414">
        <v>0</v>
      </c>
    </row>
    <row r="2415" spans="1:34" x14ac:dyDescent="0.35">
      <c r="A2415" t="s">
        <v>37</v>
      </c>
      <c r="B2415" s="1">
        <v>46146.65625</v>
      </c>
      <c r="C2415" t="s">
        <v>37</v>
      </c>
      <c r="D2415" s="1">
        <v>46157.354166666664</v>
      </c>
      <c r="E2415">
        <v>5710</v>
      </c>
      <c r="F2415" t="s">
        <v>36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849</v>
      </c>
      <c r="M2415">
        <v>0.4</v>
      </c>
      <c r="N2415">
        <v>796</v>
      </c>
      <c r="O2415">
        <v>0.6</v>
      </c>
      <c r="P2415">
        <v>0</v>
      </c>
      <c r="Q2415">
        <v>0</v>
      </c>
      <c r="R2415">
        <v>0</v>
      </c>
      <c r="S2415">
        <v>0</v>
      </c>
      <c r="T2415">
        <v>0.49709999999999999</v>
      </c>
      <c r="U2415">
        <v>-2.8E-3</v>
      </c>
      <c r="V2415">
        <v>0</v>
      </c>
      <c r="W2415">
        <v>-0.2024</v>
      </c>
      <c r="X2415">
        <v>0.1104</v>
      </c>
      <c r="Y2415">
        <v>-5.8999999999999999E-3</v>
      </c>
      <c r="Z2415">
        <v>420</v>
      </c>
      <c r="AA2415">
        <v>0.35</v>
      </c>
      <c r="AB2415">
        <v>504</v>
      </c>
      <c r="AC2415">
        <v>0.6</v>
      </c>
      <c r="AD2415">
        <v>0</v>
      </c>
      <c r="AE2415">
        <v>0</v>
      </c>
      <c r="AF2415">
        <v>0</v>
      </c>
      <c r="AG2415">
        <v>307</v>
      </c>
      <c r="AH2415">
        <v>0</v>
      </c>
    </row>
    <row r="2416" spans="1:34" x14ac:dyDescent="0.35">
      <c r="A2416" t="s">
        <v>37</v>
      </c>
      <c r="B2416" s="1">
        <v>46146.65625</v>
      </c>
      <c r="C2416" t="s">
        <v>37</v>
      </c>
      <c r="D2416" s="1">
        <v>46157.354166666664</v>
      </c>
      <c r="E2416">
        <v>5720</v>
      </c>
      <c r="F2416" t="s">
        <v>36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964</v>
      </c>
      <c r="M2416">
        <v>0.4</v>
      </c>
      <c r="N2416">
        <v>703</v>
      </c>
      <c r="O2416">
        <v>0.6</v>
      </c>
      <c r="P2416">
        <v>0</v>
      </c>
      <c r="Q2416">
        <v>0</v>
      </c>
      <c r="R2416">
        <v>0</v>
      </c>
      <c r="S2416">
        <v>0</v>
      </c>
      <c r="T2416">
        <v>0.49359999999999998</v>
      </c>
      <c r="U2416">
        <v>-2.8E-3</v>
      </c>
      <c r="V2416">
        <v>0</v>
      </c>
      <c r="W2416">
        <v>-0.20219999999999999</v>
      </c>
      <c r="X2416">
        <v>0.1111</v>
      </c>
      <c r="Y2416">
        <v>-5.8999999999999999E-3</v>
      </c>
      <c r="Z2416">
        <v>424</v>
      </c>
      <c r="AA2416">
        <v>0.35</v>
      </c>
      <c r="AB2416">
        <v>338</v>
      </c>
      <c r="AC2416">
        <v>0.6</v>
      </c>
      <c r="AD2416">
        <v>0</v>
      </c>
      <c r="AE2416">
        <v>0</v>
      </c>
      <c r="AF2416">
        <v>0</v>
      </c>
      <c r="AG2416">
        <v>439</v>
      </c>
      <c r="AH2416">
        <v>0</v>
      </c>
    </row>
    <row r="2417" spans="1:34" x14ac:dyDescent="0.35">
      <c r="A2417" t="s">
        <v>37</v>
      </c>
      <c r="B2417" s="1">
        <v>46146.65625</v>
      </c>
      <c r="C2417" t="s">
        <v>37</v>
      </c>
      <c r="D2417" s="1">
        <v>46157.354166666664</v>
      </c>
      <c r="E2417">
        <v>5725</v>
      </c>
      <c r="F2417" t="s">
        <v>36</v>
      </c>
      <c r="G2417">
        <v>0.45</v>
      </c>
      <c r="H2417">
        <v>0.45</v>
      </c>
      <c r="I2417">
        <v>0.45</v>
      </c>
      <c r="J2417">
        <v>0.45</v>
      </c>
      <c r="K2417">
        <v>1</v>
      </c>
      <c r="L2417">
        <v>385</v>
      </c>
      <c r="M2417">
        <v>0.45</v>
      </c>
      <c r="N2417">
        <v>1084</v>
      </c>
      <c r="O2417">
        <v>0.6</v>
      </c>
      <c r="P2417">
        <v>0</v>
      </c>
      <c r="Q2417">
        <v>0</v>
      </c>
      <c r="R2417">
        <v>0</v>
      </c>
      <c r="S2417">
        <v>0</v>
      </c>
      <c r="T2417">
        <v>0.49430000000000002</v>
      </c>
      <c r="U2417">
        <v>-3.0000000000000001E-3</v>
      </c>
      <c r="V2417">
        <v>0</v>
      </c>
      <c r="W2417">
        <v>-0.21099999999999999</v>
      </c>
      <c r="X2417">
        <v>0.11550000000000001</v>
      </c>
      <c r="Y2417">
        <v>-6.1999999999999998E-3</v>
      </c>
      <c r="Z2417">
        <v>240</v>
      </c>
      <c r="AA2417">
        <v>0.4</v>
      </c>
      <c r="AB2417">
        <v>283</v>
      </c>
      <c r="AC2417">
        <v>0.6</v>
      </c>
      <c r="AD2417">
        <v>0</v>
      </c>
      <c r="AE2417">
        <v>0</v>
      </c>
      <c r="AF2417">
        <v>0.45</v>
      </c>
      <c r="AG2417">
        <v>835</v>
      </c>
      <c r="AH2417">
        <v>0</v>
      </c>
    </row>
    <row r="2418" spans="1:34" x14ac:dyDescent="0.35">
      <c r="A2418" t="s">
        <v>37</v>
      </c>
      <c r="B2418" s="1">
        <v>46146.65625</v>
      </c>
      <c r="C2418" t="s">
        <v>37</v>
      </c>
      <c r="D2418" s="1">
        <v>46157.354166666664</v>
      </c>
      <c r="E2418">
        <v>5730</v>
      </c>
      <c r="F2418" t="s">
        <v>36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207</v>
      </c>
      <c r="M2418">
        <v>0.45</v>
      </c>
      <c r="N2418">
        <v>477</v>
      </c>
      <c r="O2418">
        <v>0.6</v>
      </c>
      <c r="P2418">
        <v>0</v>
      </c>
      <c r="Q2418">
        <v>0</v>
      </c>
      <c r="R2418">
        <v>0</v>
      </c>
      <c r="S2418">
        <v>0</v>
      </c>
      <c r="T2418">
        <v>0.49230000000000002</v>
      </c>
      <c r="U2418">
        <v>-3.0000000000000001E-3</v>
      </c>
      <c r="V2418">
        <v>0</v>
      </c>
      <c r="W2418">
        <v>-0.2109</v>
      </c>
      <c r="X2418">
        <v>0.11600000000000001</v>
      </c>
      <c r="Y2418">
        <v>-6.1999999999999998E-3</v>
      </c>
      <c r="Z2418">
        <v>280</v>
      </c>
      <c r="AA2418">
        <v>0.4</v>
      </c>
      <c r="AB2418">
        <v>282</v>
      </c>
      <c r="AC2418">
        <v>0.6</v>
      </c>
      <c r="AD2418">
        <v>0</v>
      </c>
      <c r="AE2418">
        <v>0</v>
      </c>
      <c r="AF2418">
        <v>0</v>
      </c>
      <c r="AG2418">
        <v>458</v>
      </c>
      <c r="AH2418">
        <v>0</v>
      </c>
    </row>
    <row r="2419" spans="1:34" x14ac:dyDescent="0.35">
      <c r="A2419" t="s">
        <v>37</v>
      </c>
      <c r="B2419" s="1">
        <v>46146.65625</v>
      </c>
      <c r="C2419" t="s">
        <v>37</v>
      </c>
      <c r="D2419" s="1">
        <v>46157.354166666664</v>
      </c>
      <c r="E2419">
        <v>5740</v>
      </c>
      <c r="F2419" t="s">
        <v>36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534</v>
      </c>
      <c r="M2419">
        <v>0.45</v>
      </c>
      <c r="N2419">
        <v>430</v>
      </c>
      <c r="O2419">
        <v>0.6</v>
      </c>
      <c r="P2419">
        <v>0</v>
      </c>
      <c r="Q2419">
        <v>0</v>
      </c>
      <c r="R2419">
        <v>0</v>
      </c>
      <c r="S2419">
        <v>0</v>
      </c>
      <c r="T2419">
        <v>0.48920000000000002</v>
      </c>
      <c r="U2419">
        <v>-3.0000000000000001E-3</v>
      </c>
      <c r="V2419">
        <v>0</v>
      </c>
      <c r="W2419">
        <v>-0.2107</v>
      </c>
      <c r="X2419">
        <v>0.1166</v>
      </c>
      <c r="Y2419">
        <v>-6.1999999999999998E-3</v>
      </c>
      <c r="Z2419">
        <v>390</v>
      </c>
      <c r="AA2419">
        <v>0.4</v>
      </c>
      <c r="AB2419">
        <v>208</v>
      </c>
      <c r="AC2419">
        <v>0.6</v>
      </c>
      <c r="AD2419">
        <v>0</v>
      </c>
      <c r="AE2419">
        <v>0</v>
      </c>
      <c r="AF2419">
        <v>0</v>
      </c>
      <c r="AG2419">
        <v>579</v>
      </c>
      <c r="AH2419">
        <v>0</v>
      </c>
    </row>
    <row r="2420" spans="1:34" x14ac:dyDescent="0.35">
      <c r="A2420" t="s">
        <v>37</v>
      </c>
      <c r="B2420" s="1">
        <v>46146.65625</v>
      </c>
      <c r="C2420" t="s">
        <v>37</v>
      </c>
      <c r="D2420" s="1">
        <v>46157.354166666664</v>
      </c>
      <c r="E2420">
        <v>5750</v>
      </c>
      <c r="F2420" t="s">
        <v>36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1144</v>
      </c>
      <c r="M2420">
        <v>0.45</v>
      </c>
      <c r="N2420">
        <v>625</v>
      </c>
      <c r="O2420">
        <v>0.6</v>
      </c>
      <c r="P2420">
        <v>0</v>
      </c>
      <c r="Q2420">
        <v>0</v>
      </c>
      <c r="R2420">
        <v>0</v>
      </c>
      <c r="S2420">
        <v>0</v>
      </c>
      <c r="T2420">
        <v>0.48559999999999998</v>
      </c>
      <c r="U2420">
        <v>-3.0000000000000001E-3</v>
      </c>
      <c r="V2420">
        <v>0</v>
      </c>
      <c r="W2420">
        <v>-0.21060000000000001</v>
      </c>
      <c r="X2420">
        <v>0.1174</v>
      </c>
      <c r="Y2420">
        <v>-6.3E-3</v>
      </c>
      <c r="Z2420">
        <v>383</v>
      </c>
      <c r="AA2420">
        <v>0.4</v>
      </c>
      <c r="AB2420">
        <v>511</v>
      </c>
      <c r="AC2420">
        <v>0.65</v>
      </c>
      <c r="AD2420">
        <v>0</v>
      </c>
      <c r="AE2420">
        <v>0</v>
      </c>
      <c r="AF2420">
        <v>0</v>
      </c>
      <c r="AG2420">
        <v>4237</v>
      </c>
      <c r="AH2420">
        <v>0</v>
      </c>
    </row>
    <row r="2421" spans="1:34" x14ac:dyDescent="0.35">
      <c r="A2421" t="s">
        <v>37</v>
      </c>
      <c r="B2421" s="1">
        <v>46146.65625</v>
      </c>
      <c r="C2421" t="s">
        <v>37</v>
      </c>
      <c r="D2421" s="1">
        <v>46157.354166666664</v>
      </c>
      <c r="E2421">
        <v>5760</v>
      </c>
      <c r="F2421" t="s">
        <v>36</v>
      </c>
      <c r="G2421">
        <v>0.45</v>
      </c>
      <c r="H2421">
        <v>0.45</v>
      </c>
      <c r="I2421">
        <v>0.45</v>
      </c>
      <c r="J2421">
        <v>0.45</v>
      </c>
      <c r="K2421">
        <v>1</v>
      </c>
      <c r="L2421">
        <v>830</v>
      </c>
      <c r="M2421">
        <v>0.45</v>
      </c>
      <c r="N2421">
        <v>765</v>
      </c>
      <c r="O2421">
        <v>0.65</v>
      </c>
      <c r="P2421">
        <v>0</v>
      </c>
      <c r="Q2421">
        <v>0</v>
      </c>
      <c r="R2421">
        <v>0</v>
      </c>
      <c r="S2421">
        <v>0</v>
      </c>
      <c r="T2421">
        <v>0.48459999999999998</v>
      </c>
      <c r="U2421">
        <v>-3.2000000000000002E-3</v>
      </c>
      <c r="V2421">
        <v>0</v>
      </c>
      <c r="W2421">
        <v>-0.21920000000000001</v>
      </c>
      <c r="X2421">
        <v>0.1222</v>
      </c>
      <c r="Y2421">
        <v>-6.6E-3</v>
      </c>
      <c r="Z2421">
        <v>403</v>
      </c>
      <c r="AA2421">
        <v>0.4</v>
      </c>
      <c r="AB2421">
        <v>490</v>
      </c>
      <c r="AC2421">
        <v>0.65</v>
      </c>
      <c r="AD2421">
        <v>0</v>
      </c>
      <c r="AE2421">
        <v>0</v>
      </c>
      <c r="AF2421">
        <v>0.45</v>
      </c>
      <c r="AG2421">
        <v>329</v>
      </c>
      <c r="AH2421">
        <v>0</v>
      </c>
    </row>
    <row r="2422" spans="1:34" x14ac:dyDescent="0.35">
      <c r="A2422" t="s">
        <v>37</v>
      </c>
      <c r="B2422" s="1">
        <v>46146.65625</v>
      </c>
      <c r="C2422" t="s">
        <v>37</v>
      </c>
      <c r="D2422" s="1">
        <v>46157.354166666664</v>
      </c>
      <c r="E2422">
        <v>5770</v>
      </c>
      <c r="F2422" t="s">
        <v>36</v>
      </c>
      <c r="G2422">
        <v>0.45</v>
      </c>
      <c r="H2422">
        <v>0.77</v>
      </c>
      <c r="I2422">
        <v>0.45</v>
      </c>
      <c r="J2422">
        <v>0.77</v>
      </c>
      <c r="K2422">
        <v>14</v>
      </c>
      <c r="L2422">
        <v>1269</v>
      </c>
      <c r="M2422">
        <v>0.45</v>
      </c>
      <c r="N2422">
        <v>1209</v>
      </c>
      <c r="O2422">
        <v>0.65</v>
      </c>
      <c r="P2422">
        <v>0</v>
      </c>
      <c r="Q2422">
        <v>0</v>
      </c>
      <c r="R2422">
        <v>0</v>
      </c>
      <c r="S2422">
        <v>0</v>
      </c>
      <c r="T2422">
        <v>0.48099999999999998</v>
      </c>
      <c r="U2422">
        <v>-3.2000000000000002E-3</v>
      </c>
      <c r="V2422">
        <v>0</v>
      </c>
      <c r="W2422">
        <v>-0.219</v>
      </c>
      <c r="X2422">
        <v>0.123</v>
      </c>
      <c r="Y2422">
        <v>-6.6E-3</v>
      </c>
      <c r="Z2422">
        <v>423</v>
      </c>
      <c r="AA2422">
        <v>0.4</v>
      </c>
      <c r="AB2422">
        <v>327</v>
      </c>
      <c r="AC2422">
        <v>0.65</v>
      </c>
      <c r="AD2422">
        <v>0</v>
      </c>
      <c r="AE2422">
        <v>0</v>
      </c>
      <c r="AF2422">
        <v>0.62570000000000003</v>
      </c>
      <c r="AG2422">
        <v>265</v>
      </c>
      <c r="AH2422">
        <v>0</v>
      </c>
    </row>
    <row r="2423" spans="1:34" x14ac:dyDescent="0.35">
      <c r="A2423" t="s">
        <v>37</v>
      </c>
      <c r="B2423" s="1">
        <v>46146.65625</v>
      </c>
      <c r="C2423" t="s">
        <v>37</v>
      </c>
      <c r="D2423" s="1">
        <v>46157.354166666664</v>
      </c>
      <c r="E2423">
        <v>5775</v>
      </c>
      <c r="F2423" t="s">
        <v>36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376</v>
      </c>
      <c r="M2423">
        <v>0.5</v>
      </c>
      <c r="N2423">
        <v>1126</v>
      </c>
      <c r="O2423">
        <v>0.65</v>
      </c>
      <c r="P2423">
        <v>0</v>
      </c>
      <c r="Q2423">
        <v>0</v>
      </c>
      <c r="R2423">
        <v>0</v>
      </c>
      <c r="S2423">
        <v>0</v>
      </c>
      <c r="T2423">
        <v>0.48110000000000003</v>
      </c>
      <c r="U2423">
        <v>-3.3E-3</v>
      </c>
      <c r="V2423">
        <v>0</v>
      </c>
      <c r="W2423">
        <v>-0.2276</v>
      </c>
      <c r="X2423">
        <v>0.1275</v>
      </c>
      <c r="Y2423">
        <v>-6.8999999999999999E-3</v>
      </c>
      <c r="Z2423">
        <v>419</v>
      </c>
      <c r="AA2423">
        <v>0.4</v>
      </c>
      <c r="AB2423">
        <v>268</v>
      </c>
      <c r="AC2423">
        <v>0.65</v>
      </c>
      <c r="AD2423">
        <v>0</v>
      </c>
      <c r="AE2423">
        <v>0</v>
      </c>
      <c r="AF2423">
        <v>0</v>
      </c>
      <c r="AG2423">
        <v>5360</v>
      </c>
      <c r="AH2423">
        <v>0</v>
      </c>
    </row>
    <row r="2424" spans="1:34" x14ac:dyDescent="0.35">
      <c r="A2424" t="s">
        <v>37</v>
      </c>
      <c r="B2424" s="1">
        <v>46146.65625</v>
      </c>
      <c r="C2424" t="s">
        <v>37</v>
      </c>
      <c r="D2424" s="1">
        <v>46157.354166666664</v>
      </c>
      <c r="E2424">
        <v>5780</v>
      </c>
      <c r="F2424" t="s">
        <v>36</v>
      </c>
      <c r="G2424">
        <v>0.77</v>
      </c>
      <c r="H2424">
        <v>0.77</v>
      </c>
      <c r="I2424">
        <v>0.77</v>
      </c>
      <c r="J2424">
        <v>0.77</v>
      </c>
      <c r="K2424">
        <v>3</v>
      </c>
      <c r="L2424">
        <v>507</v>
      </c>
      <c r="M2424">
        <v>0.5</v>
      </c>
      <c r="N2424">
        <v>857</v>
      </c>
      <c r="O2424">
        <v>0.65</v>
      </c>
      <c r="P2424">
        <v>0</v>
      </c>
      <c r="Q2424">
        <v>0</v>
      </c>
      <c r="R2424">
        <v>0</v>
      </c>
      <c r="S2424">
        <v>0</v>
      </c>
      <c r="T2424">
        <v>0.47970000000000002</v>
      </c>
      <c r="U2424">
        <v>-3.3E-3</v>
      </c>
      <c r="V2424">
        <v>0</v>
      </c>
      <c r="W2424">
        <v>-0.22750000000000001</v>
      </c>
      <c r="X2424">
        <v>0.1278</v>
      </c>
      <c r="Y2424">
        <v>-6.8999999999999999E-3</v>
      </c>
      <c r="Z2424">
        <v>266</v>
      </c>
      <c r="AA2424">
        <v>0.45</v>
      </c>
      <c r="AB2424">
        <v>265</v>
      </c>
      <c r="AC2424">
        <v>0.65</v>
      </c>
      <c r="AD2424">
        <v>0</v>
      </c>
      <c r="AE2424">
        <v>0</v>
      </c>
      <c r="AF2424">
        <v>0.77</v>
      </c>
      <c r="AG2424">
        <v>999</v>
      </c>
      <c r="AH2424">
        <v>0</v>
      </c>
    </row>
    <row r="2425" spans="1:34" x14ac:dyDescent="0.35">
      <c r="A2425" t="s">
        <v>37</v>
      </c>
      <c r="B2425" s="1">
        <v>46146.65625</v>
      </c>
      <c r="C2425" t="s">
        <v>37</v>
      </c>
      <c r="D2425" s="1">
        <v>46157.354166666664</v>
      </c>
      <c r="E2425">
        <v>5790</v>
      </c>
      <c r="F2425" t="s">
        <v>36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816</v>
      </c>
      <c r="M2425">
        <v>0.5</v>
      </c>
      <c r="N2425">
        <v>734</v>
      </c>
      <c r="O2425">
        <v>0.65</v>
      </c>
      <c r="P2425">
        <v>0</v>
      </c>
      <c r="Q2425">
        <v>0</v>
      </c>
      <c r="R2425">
        <v>0</v>
      </c>
      <c r="S2425">
        <v>0</v>
      </c>
      <c r="T2425">
        <v>0.47649999999999998</v>
      </c>
      <c r="U2425">
        <v>-3.3E-3</v>
      </c>
      <c r="V2425">
        <v>0</v>
      </c>
      <c r="W2425">
        <v>-0.2273</v>
      </c>
      <c r="X2425">
        <v>0.12859999999999999</v>
      </c>
      <c r="Y2425">
        <v>-7.0000000000000001E-3</v>
      </c>
      <c r="Z2425">
        <v>277</v>
      </c>
      <c r="AA2425">
        <v>0.45</v>
      </c>
      <c r="AB2425">
        <v>197</v>
      </c>
      <c r="AC2425">
        <v>0.65</v>
      </c>
      <c r="AD2425">
        <v>0</v>
      </c>
      <c r="AE2425">
        <v>0</v>
      </c>
      <c r="AF2425">
        <v>0</v>
      </c>
      <c r="AG2425">
        <v>705</v>
      </c>
      <c r="AH2425">
        <v>0</v>
      </c>
    </row>
    <row r="2426" spans="1:34" x14ac:dyDescent="0.35">
      <c r="A2426" t="s">
        <v>37</v>
      </c>
      <c r="B2426" s="1">
        <v>46146.65625</v>
      </c>
      <c r="C2426" t="s">
        <v>37</v>
      </c>
      <c r="D2426" s="1">
        <v>46157.354166666664</v>
      </c>
      <c r="E2426">
        <v>5800</v>
      </c>
      <c r="F2426" t="s">
        <v>36</v>
      </c>
      <c r="G2426">
        <v>0.5</v>
      </c>
      <c r="H2426">
        <v>0.82</v>
      </c>
      <c r="I2426">
        <v>0.5</v>
      </c>
      <c r="J2426">
        <v>0.62</v>
      </c>
      <c r="K2426">
        <v>648</v>
      </c>
      <c r="L2426">
        <v>1158</v>
      </c>
      <c r="M2426">
        <v>0.5</v>
      </c>
      <c r="N2426">
        <v>520</v>
      </c>
      <c r="O2426">
        <v>0.65</v>
      </c>
      <c r="P2426">
        <v>0</v>
      </c>
      <c r="Q2426">
        <v>0</v>
      </c>
      <c r="R2426">
        <v>0</v>
      </c>
      <c r="S2426">
        <v>0</v>
      </c>
      <c r="T2426">
        <v>0.47270000000000001</v>
      </c>
      <c r="U2426">
        <v>-3.3999999999999998E-3</v>
      </c>
      <c r="V2426">
        <v>0</v>
      </c>
      <c r="W2426">
        <v>-0.2271</v>
      </c>
      <c r="X2426">
        <v>0.1295</v>
      </c>
      <c r="Y2426">
        <v>-7.0000000000000001E-3</v>
      </c>
      <c r="Z2426">
        <v>30</v>
      </c>
      <c r="AA2426">
        <v>0.5</v>
      </c>
      <c r="AB2426">
        <v>512</v>
      </c>
      <c r="AC2426">
        <v>0.7</v>
      </c>
      <c r="AD2426">
        <v>0</v>
      </c>
      <c r="AE2426">
        <v>0</v>
      </c>
      <c r="AF2426">
        <v>0.55169999999999997</v>
      </c>
      <c r="AG2426">
        <v>11959</v>
      </c>
      <c r="AH2426">
        <v>0</v>
      </c>
    </row>
    <row r="2427" spans="1:34" x14ac:dyDescent="0.35">
      <c r="A2427" t="s">
        <v>37</v>
      </c>
      <c r="B2427" s="1">
        <v>46146.65625</v>
      </c>
      <c r="C2427" t="s">
        <v>37</v>
      </c>
      <c r="D2427" s="1">
        <v>46157.354166666664</v>
      </c>
      <c r="E2427">
        <v>5810</v>
      </c>
      <c r="F2427" t="s">
        <v>36</v>
      </c>
      <c r="G2427">
        <v>0.5</v>
      </c>
      <c r="H2427">
        <v>0.85</v>
      </c>
      <c r="I2427">
        <v>0.5</v>
      </c>
      <c r="J2427">
        <v>0.85</v>
      </c>
      <c r="K2427">
        <v>29</v>
      </c>
      <c r="L2427">
        <v>1201</v>
      </c>
      <c r="M2427">
        <v>0.5</v>
      </c>
      <c r="N2427">
        <v>1093</v>
      </c>
      <c r="O2427">
        <v>0.7</v>
      </c>
      <c r="P2427">
        <v>0</v>
      </c>
      <c r="Q2427">
        <v>0</v>
      </c>
      <c r="R2427">
        <v>0</v>
      </c>
      <c r="S2427">
        <v>0</v>
      </c>
      <c r="T2427">
        <v>0.47139999999999999</v>
      </c>
      <c r="U2427">
        <v>-3.5000000000000001E-3</v>
      </c>
      <c r="V2427">
        <v>0</v>
      </c>
      <c r="W2427">
        <v>-0.23549999999999999</v>
      </c>
      <c r="X2427">
        <v>0.1343</v>
      </c>
      <c r="Y2427">
        <v>-7.3000000000000001E-3</v>
      </c>
      <c r="Z2427">
        <v>400</v>
      </c>
      <c r="AA2427">
        <v>0.45</v>
      </c>
      <c r="AB2427">
        <v>464</v>
      </c>
      <c r="AC2427">
        <v>0.7</v>
      </c>
      <c r="AD2427">
        <v>0</v>
      </c>
      <c r="AE2427">
        <v>0</v>
      </c>
      <c r="AF2427">
        <v>0.72929999999999995</v>
      </c>
      <c r="AG2427">
        <v>957</v>
      </c>
      <c r="AH2427">
        <v>0</v>
      </c>
    </row>
    <row r="2428" spans="1:34" x14ac:dyDescent="0.35">
      <c r="A2428" t="s">
        <v>37</v>
      </c>
      <c r="B2428" s="1">
        <v>46146.65625</v>
      </c>
      <c r="C2428" t="s">
        <v>37</v>
      </c>
      <c r="D2428" s="1">
        <v>46157.354166666664</v>
      </c>
      <c r="E2428">
        <v>5820</v>
      </c>
      <c r="F2428" t="s">
        <v>36</v>
      </c>
      <c r="G2428">
        <v>0.5</v>
      </c>
      <c r="H2428">
        <v>0.5</v>
      </c>
      <c r="I2428">
        <v>0.5</v>
      </c>
      <c r="J2428">
        <v>0.5</v>
      </c>
      <c r="K2428">
        <v>2</v>
      </c>
      <c r="L2428">
        <v>221</v>
      </c>
      <c r="M2428">
        <v>0.55000000000000004</v>
      </c>
      <c r="N2428">
        <v>699</v>
      </c>
      <c r="O2428">
        <v>0.7</v>
      </c>
      <c r="P2428">
        <v>0</v>
      </c>
      <c r="Q2428">
        <v>0</v>
      </c>
      <c r="R2428">
        <v>0</v>
      </c>
      <c r="S2428">
        <v>0</v>
      </c>
      <c r="T2428">
        <v>0.46989999999999998</v>
      </c>
      <c r="U2428">
        <v>-3.5999999999999999E-3</v>
      </c>
      <c r="V2428">
        <v>0</v>
      </c>
      <c r="W2428">
        <v>-0.24379999999999999</v>
      </c>
      <c r="X2428">
        <v>0.1391</v>
      </c>
      <c r="Y2428">
        <v>-7.6E-3</v>
      </c>
      <c r="Z2428">
        <v>414</v>
      </c>
      <c r="AA2428">
        <v>0.45</v>
      </c>
      <c r="AB2428">
        <v>297</v>
      </c>
      <c r="AC2428">
        <v>0.7</v>
      </c>
      <c r="AD2428">
        <v>0</v>
      </c>
      <c r="AE2428">
        <v>0</v>
      </c>
      <c r="AF2428">
        <v>0.5</v>
      </c>
      <c r="AG2428">
        <v>537</v>
      </c>
      <c r="AH2428">
        <v>0</v>
      </c>
    </row>
    <row r="2429" spans="1:34" x14ac:dyDescent="0.35">
      <c r="A2429" t="s">
        <v>37</v>
      </c>
      <c r="B2429" s="1">
        <v>46146.65625</v>
      </c>
      <c r="C2429" t="s">
        <v>37</v>
      </c>
      <c r="D2429" s="1">
        <v>46157.354166666664</v>
      </c>
      <c r="E2429">
        <v>5825</v>
      </c>
      <c r="F2429" t="s">
        <v>36</v>
      </c>
      <c r="G2429">
        <v>0.5</v>
      </c>
      <c r="H2429">
        <v>0.5</v>
      </c>
      <c r="I2429">
        <v>0.5</v>
      </c>
      <c r="J2429">
        <v>0.5</v>
      </c>
      <c r="K2429">
        <v>1</v>
      </c>
      <c r="L2429">
        <v>464</v>
      </c>
      <c r="M2429">
        <v>0.55000000000000004</v>
      </c>
      <c r="N2429">
        <v>1070</v>
      </c>
      <c r="O2429">
        <v>0.7</v>
      </c>
      <c r="P2429">
        <v>0</v>
      </c>
      <c r="Q2429">
        <v>0</v>
      </c>
      <c r="R2429">
        <v>0</v>
      </c>
      <c r="S2429">
        <v>0</v>
      </c>
      <c r="T2429">
        <v>0.46850000000000003</v>
      </c>
      <c r="U2429">
        <v>-3.7000000000000002E-3</v>
      </c>
      <c r="V2429">
        <v>0</v>
      </c>
      <c r="W2429">
        <v>-0.2437</v>
      </c>
      <c r="X2429">
        <v>0.13950000000000001</v>
      </c>
      <c r="Y2429">
        <v>-7.6E-3</v>
      </c>
      <c r="Z2429">
        <v>215</v>
      </c>
      <c r="AA2429">
        <v>0.5</v>
      </c>
      <c r="AB2429">
        <v>238</v>
      </c>
      <c r="AC2429">
        <v>0.7</v>
      </c>
      <c r="AD2429">
        <v>0</v>
      </c>
      <c r="AE2429">
        <v>0</v>
      </c>
      <c r="AF2429">
        <v>0.5</v>
      </c>
      <c r="AG2429">
        <v>849</v>
      </c>
      <c r="AH2429">
        <v>0</v>
      </c>
    </row>
    <row r="2430" spans="1:34" x14ac:dyDescent="0.35">
      <c r="A2430" t="s">
        <v>37</v>
      </c>
      <c r="B2430" s="1">
        <v>46146.65625</v>
      </c>
      <c r="C2430" t="s">
        <v>37</v>
      </c>
      <c r="D2430" s="1">
        <v>46157.354166666664</v>
      </c>
      <c r="E2430">
        <v>5830</v>
      </c>
      <c r="F2430" t="s">
        <v>36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257</v>
      </c>
      <c r="M2430">
        <v>0.55000000000000004</v>
      </c>
      <c r="N2430">
        <v>469</v>
      </c>
      <c r="O2430">
        <v>0.7</v>
      </c>
      <c r="P2430">
        <v>0</v>
      </c>
      <c r="Q2430">
        <v>0</v>
      </c>
      <c r="R2430">
        <v>0</v>
      </c>
      <c r="S2430">
        <v>0</v>
      </c>
      <c r="T2430">
        <v>0.46639999999999998</v>
      </c>
      <c r="U2430">
        <v>-3.7000000000000002E-3</v>
      </c>
      <c r="V2430">
        <v>0</v>
      </c>
      <c r="W2430">
        <v>-0.24360000000000001</v>
      </c>
      <c r="X2430">
        <v>0.1401</v>
      </c>
      <c r="Y2430">
        <v>-7.7000000000000002E-3</v>
      </c>
      <c r="Z2430">
        <v>411</v>
      </c>
      <c r="AA2430">
        <v>0.45</v>
      </c>
      <c r="AB2430">
        <v>191</v>
      </c>
      <c r="AC2430">
        <v>0.7</v>
      </c>
      <c r="AD2430">
        <v>0</v>
      </c>
      <c r="AE2430">
        <v>0</v>
      </c>
      <c r="AF2430">
        <v>0</v>
      </c>
      <c r="AG2430">
        <v>362</v>
      </c>
      <c r="AH2430">
        <v>0</v>
      </c>
    </row>
    <row r="2431" spans="1:34" x14ac:dyDescent="0.35">
      <c r="A2431" t="s">
        <v>37</v>
      </c>
      <c r="B2431" s="1">
        <v>46146.65625</v>
      </c>
      <c r="C2431" t="s">
        <v>37</v>
      </c>
      <c r="D2431" s="1">
        <v>46157.354166666664</v>
      </c>
      <c r="E2431">
        <v>5840</v>
      </c>
      <c r="F2431" t="s">
        <v>36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545</v>
      </c>
      <c r="M2431">
        <v>0.55000000000000004</v>
      </c>
      <c r="N2431">
        <v>287</v>
      </c>
      <c r="O2431">
        <v>0.7</v>
      </c>
      <c r="P2431">
        <v>0</v>
      </c>
      <c r="Q2431">
        <v>0</v>
      </c>
      <c r="R2431">
        <v>0</v>
      </c>
      <c r="S2431">
        <v>0</v>
      </c>
      <c r="T2431">
        <v>0.4632</v>
      </c>
      <c r="U2431">
        <v>-3.7000000000000002E-3</v>
      </c>
      <c r="V2431">
        <v>0</v>
      </c>
      <c r="W2431">
        <v>-0.24329999999999999</v>
      </c>
      <c r="X2431">
        <v>0.1409</v>
      </c>
      <c r="Y2431">
        <v>-7.7000000000000002E-3</v>
      </c>
      <c r="Z2431">
        <v>274</v>
      </c>
      <c r="AA2431">
        <v>0.5</v>
      </c>
      <c r="AB2431">
        <v>184</v>
      </c>
      <c r="AC2431">
        <v>0.7</v>
      </c>
      <c r="AD2431">
        <v>0</v>
      </c>
      <c r="AE2431">
        <v>0</v>
      </c>
      <c r="AF2431">
        <v>0</v>
      </c>
      <c r="AG2431">
        <v>377</v>
      </c>
      <c r="AH2431">
        <v>0</v>
      </c>
    </row>
    <row r="2432" spans="1:34" x14ac:dyDescent="0.35">
      <c r="A2432" t="s">
        <v>37</v>
      </c>
      <c r="B2432" s="1">
        <v>46146.65625</v>
      </c>
      <c r="C2432" t="s">
        <v>37</v>
      </c>
      <c r="D2432" s="1">
        <v>46157.354166666664</v>
      </c>
      <c r="E2432">
        <v>5850</v>
      </c>
      <c r="F2432" t="s">
        <v>36</v>
      </c>
      <c r="G2432">
        <v>0.55000000000000004</v>
      </c>
      <c r="H2432">
        <v>0.55000000000000004</v>
      </c>
      <c r="I2432">
        <v>0.55000000000000004</v>
      </c>
      <c r="J2432">
        <v>0.55000000000000004</v>
      </c>
      <c r="K2432">
        <v>140</v>
      </c>
      <c r="L2432">
        <v>1214</v>
      </c>
      <c r="M2432">
        <v>0.55000000000000004</v>
      </c>
      <c r="N2432">
        <v>50</v>
      </c>
      <c r="O2432">
        <v>0.65</v>
      </c>
      <c r="P2432">
        <v>0</v>
      </c>
      <c r="Q2432">
        <v>0</v>
      </c>
      <c r="R2432">
        <v>0</v>
      </c>
      <c r="S2432">
        <v>0</v>
      </c>
      <c r="T2432">
        <v>0.45760000000000001</v>
      </c>
      <c r="U2432">
        <v>-3.5999999999999999E-3</v>
      </c>
      <c r="V2432">
        <v>0</v>
      </c>
      <c r="W2432">
        <v>-0.2346</v>
      </c>
      <c r="X2432">
        <v>0.13789999999999999</v>
      </c>
      <c r="Y2432">
        <v>-7.4999999999999997E-3</v>
      </c>
      <c r="Z2432">
        <v>371</v>
      </c>
      <c r="AA2432">
        <v>0.5</v>
      </c>
      <c r="AB2432">
        <v>412</v>
      </c>
      <c r="AC2432">
        <v>0.75</v>
      </c>
      <c r="AD2432">
        <v>0</v>
      </c>
      <c r="AE2432">
        <v>0</v>
      </c>
      <c r="AF2432">
        <v>0.55000000000000004</v>
      </c>
      <c r="AG2432">
        <v>5243</v>
      </c>
      <c r="AH2432">
        <v>0</v>
      </c>
    </row>
    <row r="2433" spans="1:34" x14ac:dyDescent="0.35">
      <c r="A2433" t="s">
        <v>37</v>
      </c>
      <c r="B2433" s="1">
        <v>46146.65625</v>
      </c>
      <c r="C2433" t="s">
        <v>37</v>
      </c>
      <c r="D2433" s="1">
        <v>46157.354166666664</v>
      </c>
      <c r="E2433">
        <v>5860</v>
      </c>
      <c r="F2433" t="s">
        <v>36</v>
      </c>
      <c r="G2433">
        <v>0.46</v>
      </c>
      <c r="H2433">
        <v>0.65</v>
      </c>
      <c r="I2433">
        <v>0.46</v>
      </c>
      <c r="J2433">
        <v>0.6</v>
      </c>
      <c r="K2433">
        <v>77</v>
      </c>
      <c r="L2433">
        <v>1365</v>
      </c>
      <c r="M2433">
        <v>0.55000000000000004</v>
      </c>
      <c r="N2433">
        <v>1237</v>
      </c>
      <c r="O2433">
        <v>0.75</v>
      </c>
      <c r="P2433">
        <v>0</v>
      </c>
      <c r="Q2433">
        <v>0</v>
      </c>
      <c r="R2433">
        <v>0</v>
      </c>
      <c r="S2433">
        <v>0</v>
      </c>
      <c r="T2433">
        <v>0.45850000000000002</v>
      </c>
      <c r="U2433">
        <v>-3.8999999999999998E-3</v>
      </c>
      <c r="V2433">
        <v>0</v>
      </c>
      <c r="W2433">
        <v>-0.25140000000000001</v>
      </c>
      <c r="X2433">
        <v>0.1467</v>
      </c>
      <c r="Y2433">
        <v>-8.0999999999999996E-3</v>
      </c>
      <c r="Z2433">
        <v>394</v>
      </c>
      <c r="AA2433">
        <v>0.5</v>
      </c>
      <c r="AB2433">
        <v>412</v>
      </c>
      <c r="AC2433">
        <v>0.75</v>
      </c>
      <c r="AD2433">
        <v>0</v>
      </c>
      <c r="AE2433">
        <v>0</v>
      </c>
      <c r="AF2433">
        <v>0.4778</v>
      </c>
      <c r="AG2433">
        <v>383</v>
      </c>
      <c r="AH2433">
        <v>0</v>
      </c>
    </row>
    <row r="2434" spans="1:34" x14ac:dyDescent="0.35">
      <c r="A2434" t="s">
        <v>37</v>
      </c>
      <c r="B2434" s="1">
        <v>46146.65625</v>
      </c>
      <c r="C2434" t="s">
        <v>37</v>
      </c>
      <c r="D2434" s="1">
        <v>46157.354166666664</v>
      </c>
      <c r="E2434">
        <v>5870</v>
      </c>
      <c r="F2434" t="s">
        <v>36</v>
      </c>
      <c r="G2434">
        <v>0.46</v>
      </c>
      <c r="H2434">
        <v>0.46</v>
      </c>
      <c r="I2434">
        <v>0.46</v>
      </c>
      <c r="J2434">
        <v>0.46</v>
      </c>
      <c r="K2434">
        <v>16</v>
      </c>
      <c r="L2434">
        <v>239</v>
      </c>
      <c r="M2434">
        <v>0.6</v>
      </c>
      <c r="N2434">
        <v>467</v>
      </c>
      <c r="O2434">
        <v>0.75</v>
      </c>
      <c r="P2434">
        <v>0</v>
      </c>
      <c r="Q2434">
        <v>0</v>
      </c>
      <c r="R2434">
        <v>0</v>
      </c>
      <c r="S2434">
        <v>0</v>
      </c>
      <c r="T2434">
        <v>0.45669999999999999</v>
      </c>
      <c r="U2434">
        <v>-4.0000000000000001E-3</v>
      </c>
      <c r="V2434">
        <v>0</v>
      </c>
      <c r="W2434">
        <v>-0.25950000000000001</v>
      </c>
      <c r="X2434">
        <v>0.1517</v>
      </c>
      <c r="Y2434">
        <v>-8.3999999999999995E-3</v>
      </c>
      <c r="Z2434">
        <v>217</v>
      </c>
      <c r="AA2434">
        <v>0.55000000000000004</v>
      </c>
      <c r="AB2434">
        <v>234</v>
      </c>
      <c r="AC2434">
        <v>0.75</v>
      </c>
      <c r="AD2434">
        <v>0</v>
      </c>
      <c r="AE2434">
        <v>0</v>
      </c>
      <c r="AF2434">
        <v>0.46</v>
      </c>
      <c r="AG2434">
        <v>519</v>
      </c>
      <c r="AH2434">
        <v>0</v>
      </c>
    </row>
    <row r="2435" spans="1:34" x14ac:dyDescent="0.35">
      <c r="A2435" t="s">
        <v>37</v>
      </c>
      <c r="B2435" s="1">
        <v>46146.65625</v>
      </c>
      <c r="C2435" t="s">
        <v>37</v>
      </c>
      <c r="D2435" s="1">
        <v>46157.354166666664</v>
      </c>
      <c r="E2435">
        <v>5875</v>
      </c>
      <c r="F2435" t="s">
        <v>36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504</v>
      </c>
      <c r="M2435">
        <v>0.6</v>
      </c>
      <c r="N2435">
        <v>677</v>
      </c>
      <c r="O2435">
        <v>0.75</v>
      </c>
      <c r="P2435">
        <v>0</v>
      </c>
      <c r="Q2435">
        <v>0</v>
      </c>
      <c r="R2435">
        <v>0</v>
      </c>
      <c r="S2435">
        <v>0</v>
      </c>
      <c r="T2435">
        <v>0.45469999999999999</v>
      </c>
      <c r="U2435">
        <v>-4.0000000000000001E-3</v>
      </c>
      <c r="V2435">
        <v>0</v>
      </c>
      <c r="W2435">
        <v>-0.25940000000000002</v>
      </c>
      <c r="X2435">
        <v>0.15229999999999999</v>
      </c>
      <c r="Y2435">
        <v>-8.3999999999999995E-3</v>
      </c>
      <c r="Z2435">
        <v>230</v>
      </c>
      <c r="AA2435">
        <v>0.55000000000000004</v>
      </c>
      <c r="AB2435">
        <v>180</v>
      </c>
      <c r="AC2435">
        <v>0.75</v>
      </c>
      <c r="AD2435">
        <v>0</v>
      </c>
      <c r="AE2435">
        <v>0</v>
      </c>
      <c r="AF2435">
        <v>0</v>
      </c>
      <c r="AG2435">
        <v>2210</v>
      </c>
      <c r="AH2435">
        <v>0</v>
      </c>
    </row>
    <row r="2436" spans="1:34" x14ac:dyDescent="0.35">
      <c r="A2436" t="s">
        <v>37</v>
      </c>
      <c r="B2436" s="1">
        <v>46146.65625</v>
      </c>
      <c r="C2436" t="s">
        <v>37</v>
      </c>
      <c r="D2436" s="1">
        <v>46157.354166666664</v>
      </c>
      <c r="E2436">
        <v>5880</v>
      </c>
      <c r="F2436" t="s">
        <v>36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426</v>
      </c>
      <c r="M2436">
        <v>0.6</v>
      </c>
      <c r="N2436">
        <v>287</v>
      </c>
      <c r="O2436">
        <v>0.75</v>
      </c>
      <c r="P2436">
        <v>0</v>
      </c>
      <c r="Q2436">
        <v>0</v>
      </c>
      <c r="R2436">
        <v>0</v>
      </c>
      <c r="S2436">
        <v>0</v>
      </c>
      <c r="T2436">
        <v>0.45329999999999998</v>
      </c>
      <c r="U2436">
        <v>-4.0000000000000001E-3</v>
      </c>
      <c r="V2436">
        <v>0</v>
      </c>
      <c r="W2436">
        <v>-0.25929999999999997</v>
      </c>
      <c r="X2436">
        <v>0.1527</v>
      </c>
      <c r="Y2436">
        <v>-8.3999999999999995E-3</v>
      </c>
      <c r="Z2436">
        <v>228</v>
      </c>
      <c r="AA2436">
        <v>0.55000000000000004</v>
      </c>
      <c r="AB2436">
        <v>177</v>
      </c>
      <c r="AC2436">
        <v>0.75</v>
      </c>
      <c r="AD2436">
        <v>0</v>
      </c>
      <c r="AE2436">
        <v>0</v>
      </c>
      <c r="AF2436">
        <v>0</v>
      </c>
      <c r="AG2436">
        <v>418</v>
      </c>
      <c r="AH2436">
        <v>0</v>
      </c>
    </row>
    <row r="2437" spans="1:34" x14ac:dyDescent="0.35">
      <c r="A2437" t="s">
        <v>37</v>
      </c>
      <c r="B2437" s="1">
        <v>46146.65625</v>
      </c>
      <c r="C2437" t="s">
        <v>37</v>
      </c>
      <c r="D2437" s="1">
        <v>46157.354166666664</v>
      </c>
      <c r="E2437">
        <v>5885</v>
      </c>
      <c r="F2437" t="s">
        <v>36</v>
      </c>
      <c r="G2437">
        <v>0.7</v>
      </c>
      <c r="H2437">
        <v>0.7</v>
      </c>
      <c r="I2437">
        <v>0.7</v>
      </c>
      <c r="J2437">
        <v>0.7</v>
      </c>
      <c r="K2437">
        <v>2000</v>
      </c>
      <c r="L2437">
        <v>833</v>
      </c>
      <c r="M2437">
        <v>0.6</v>
      </c>
      <c r="N2437">
        <v>471</v>
      </c>
      <c r="O2437">
        <v>0.75</v>
      </c>
      <c r="P2437">
        <v>0</v>
      </c>
      <c r="Q2437">
        <v>0</v>
      </c>
      <c r="R2437">
        <v>0</v>
      </c>
      <c r="S2437">
        <v>0</v>
      </c>
      <c r="T2437">
        <v>0.45100000000000001</v>
      </c>
      <c r="U2437">
        <v>-4.1000000000000003E-3</v>
      </c>
      <c r="V2437">
        <v>0</v>
      </c>
      <c r="W2437">
        <v>-0.2591</v>
      </c>
      <c r="X2437">
        <v>0.15340000000000001</v>
      </c>
      <c r="Y2437">
        <v>-8.5000000000000006E-3</v>
      </c>
      <c r="Z2437">
        <v>299</v>
      </c>
      <c r="AA2437">
        <v>0.5</v>
      </c>
      <c r="AB2437">
        <v>285</v>
      </c>
      <c r="AC2437">
        <v>0.8</v>
      </c>
      <c r="AD2437">
        <v>0</v>
      </c>
      <c r="AE2437">
        <v>0</v>
      </c>
      <c r="AF2437">
        <v>0.7</v>
      </c>
      <c r="AG2437">
        <v>453</v>
      </c>
      <c r="AH2437">
        <v>0</v>
      </c>
    </row>
    <row r="2438" spans="1:34" x14ac:dyDescent="0.35">
      <c r="A2438" t="s">
        <v>37</v>
      </c>
      <c r="B2438" s="1">
        <v>46146.65625</v>
      </c>
      <c r="C2438" t="s">
        <v>37</v>
      </c>
      <c r="D2438" s="1">
        <v>46157.354166666664</v>
      </c>
      <c r="E2438">
        <v>5890</v>
      </c>
      <c r="F2438" t="s">
        <v>36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1215</v>
      </c>
      <c r="M2438">
        <v>0.6</v>
      </c>
      <c r="N2438">
        <v>1028</v>
      </c>
      <c r="O2438">
        <v>0.8</v>
      </c>
      <c r="P2438">
        <v>0</v>
      </c>
      <c r="Q2438">
        <v>0</v>
      </c>
      <c r="R2438">
        <v>0</v>
      </c>
      <c r="S2438">
        <v>0</v>
      </c>
      <c r="T2438">
        <v>0.4511</v>
      </c>
      <c r="U2438">
        <v>-4.1999999999999997E-3</v>
      </c>
      <c r="V2438">
        <v>0</v>
      </c>
      <c r="W2438">
        <v>-0.26729999999999998</v>
      </c>
      <c r="X2438">
        <v>0.15790000000000001</v>
      </c>
      <c r="Y2438">
        <v>-8.6999999999999994E-3</v>
      </c>
      <c r="Z2438">
        <v>250</v>
      </c>
      <c r="AA2438">
        <v>0.55000000000000004</v>
      </c>
      <c r="AB2438">
        <v>171</v>
      </c>
      <c r="AC2438">
        <v>0.75</v>
      </c>
      <c r="AD2438">
        <v>0</v>
      </c>
      <c r="AE2438">
        <v>0</v>
      </c>
      <c r="AF2438">
        <v>0</v>
      </c>
      <c r="AG2438">
        <v>889</v>
      </c>
      <c r="AH2438">
        <v>0</v>
      </c>
    </row>
    <row r="2439" spans="1:34" x14ac:dyDescent="0.35">
      <c r="A2439" t="s">
        <v>37</v>
      </c>
      <c r="B2439" s="1">
        <v>46146.65625</v>
      </c>
      <c r="C2439" t="s">
        <v>37</v>
      </c>
      <c r="D2439" s="1">
        <v>46157.354166666664</v>
      </c>
      <c r="E2439">
        <v>5895</v>
      </c>
      <c r="F2439" t="s">
        <v>36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425</v>
      </c>
      <c r="M2439">
        <v>0.6</v>
      </c>
      <c r="N2439">
        <v>434</v>
      </c>
      <c r="O2439">
        <v>0.8</v>
      </c>
      <c r="P2439">
        <v>0</v>
      </c>
      <c r="Q2439">
        <v>0</v>
      </c>
      <c r="R2439">
        <v>0</v>
      </c>
      <c r="S2439">
        <v>0</v>
      </c>
      <c r="T2439">
        <v>0.44969999999999999</v>
      </c>
      <c r="U2439">
        <v>-4.1999999999999997E-3</v>
      </c>
      <c r="V2439">
        <v>0</v>
      </c>
      <c r="W2439">
        <v>-0.26719999999999999</v>
      </c>
      <c r="X2439">
        <v>0.15840000000000001</v>
      </c>
      <c r="Y2439">
        <v>-8.8000000000000005E-3</v>
      </c>
      <c r="Z2439">
        <v>254</v>
      </c>
      <c r="AA2439">
        <v>0.55000000000000004</v>
      </c>
      <c r="AB2439">
        <v>258</v>
      </c>
      <c r="AC2439">
        <v>0.8</v>
      </c>
      <c r="AD2439">
        <v>0</v>
      </c>
      <c r="AE2439">
        <v>0</v>
      </c>
      <c r="AF2439">
        <v>0</v>
      </c>
      <c r="AG2439">
        <v>129</v>
      </c>
      <c r="AH2439">
        <v>0</v>
      </c>
    </row>
    <row r="2440" spans="1:34" x14ac:dyDescent="0.35">
      <c r="A2440" t="s">
        <v>37</v>
      </c>
      <c r="B2440" s="1">
        <v>46146.65625</v>
      </c>
      <c r="C2440" t="s">
        <v>37</v>
      </c>
      <c r="D2440" s="1">
        <v>46157.354166666664</v>
      </c>
      <c r="E2440">
        <v>5900</v>
      </c>
      <c r="F2440" t="s">
        <v>36</v>
      </c>
      <c r="G2440">
        <v>0.74</v>
      </c>
      <c r="H2440">
        <v>0.75</v>
      </c>
      <c r="I2440">
        <v>0.6</v>
      </c>
      <c r="J2440">
        <v>0.75</v>
      </c>
      <c r="K2440">
        <v>203</v>
      </c>
      <c r="L2440">
        <v>1327</v>
      </c>
      <c r="M2440">
        <v>0.6</v>
      </c>
      <c r="N2440">
        <v>50</v>
      </c>
      <c r="O2440">
        <v>0.7</v>
      </c>
      <c r="P2440">
        <v>0</v>
      </c>
      <c r="Q2440">
        <v>0</v>
      </c>
      <c r="R2440">
        <v>0</v>
      </c>
      <c r="S2440">
        <v>0</v>
      </c>
      <c r="T2440">
        <v>0.44429999999999997</v>
      </c>
      <c r="U2440">
        <v>-4.0000000000000001E-3</v>
      </c>
      <c r="V2440">
        <v>0</v>
      </c>
      <c r="W2440">
        <v>-0.25040000000000001</v>
      </c>
      <c r="X2440">
        <v>0.15090000000000001</v>
      </c>
      <c r="Y2440">
        <v>-8.3000000000000001E-3</v>
      </c>
      <c r="Z2440">
        <v>364</v>
      </c>
      <c r="AA2440">
        <v>0.55000000000000004</v>
      </c>
      <c r="AB2440">
        <v>379</v>
      </c>
      <c r="AC2440">
        <v>0.8</v>
      </c>
      <c r="AD2440">
        <v>0</v>
      </c>
      <c r="AE2440">
        <v>0</v>
      </c>
      <c r="AF2440">
        <v>0.65920000000000001</v>
      </c>
      <c r="AG2440">
        <v>12772</v>
      </c>
      <c r="AH2440">
        <v>0</v>
      </c>
    </row>
    <row r="2441" spans="1:34" x14ac:dyDescent="0.35">
      <c r="A2441" t="s">
        <v>37</v>
      </c>
      <c r="B2441" s="1">
        <v>46146.65625</v>
      </c>
      <c r="C2441" t="s">
        <v>37</v>
      </c>
      <c r="D2441" s="1">
        <v>46157.354166666664</v>
      </c>
      <c r="E2441">
        <v>5905</v>
      </c>
      <c r="F2441" t="s">
        <v>36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388</v>
      </c>
      <c r="M2441">
        <v>0.6</v>
      </c>
      <c r="N2441">
        <v>422</v>
      </c>
      <c r="O2441">
        <v>0.8</v>
      </c>
      <c r="P2441">
        <v>0</v>
      </c>
      <c r="Q2441">
        <v>0</v>
      </c>
      <c r="R2441">
        <v>0</v>
      </c>
      <c r="S2441">
        <v>0</v>
      </c>
      <c r="T2441">
        <v>0.44619999999999999</v>
      </c>
      <c r="U2441">
        <v>-4.1999999999999997E-3</v>
      </c>
      <c r="V2441">
        <v>0</v>
      </c>
      <c r="W2441">
        <v>-0.26700000000000002</v>
      </c>
      <c r="X2441">
        <v>0.1595</v>
      </c>
      <c r="Y2441">
        <v>-8.8000000000000005E-3</v>
      </c>
      <c r="Z2441">
        <v>265</v>
      </c>
      <c r="AA2441">
        <v>0.55000000000000004</v>
      </c>
      <c r="AB2441">
        <v>134</v>
      </c>
      <c r="AC2441">
        <v>0.8</v>
      </c>
      <c r="AD2441">
        <v>0</v>
      </c>
      <c r="AE2441">
        <v>0</v>
      </c>
      <c r="AF2441">
        <v>0</v>
      </c>
      <c r="AG2441">
        <v>174</v>
      </c>
      <c r="AH2441">
        <v>0</v>
      </c>
    </row>
    <row r="2442" spans="1:34" x14ac:dyDescent="0.35">
      <c r="A2442" t="s">
        <v>37</v>
      </c>
      <c r="B2442" s="1">
        <v>46146.65625</v>
      </c>
      <c r="C2442" t="s">
        <v>37</v>
      </c>
      <c r="D2442" s="1">
        <v>46157.354166666664</v>
      </c>
      <c r="E2442">
        <v>5910</v>
      </c>
      <c r="F2442" t="s">
        <v>36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208</v>
      </c>
      <c r="M2442">
        <v>0.65</v>
      </c>
      <c r="N2442">
        <v>313</v>
      </c>
      <c r="O2442">
        <v>0.8</v>
      </c>
      <c r="P2442">
        <v>0</v>
      </c>
      <c r="Q2442">
        <v>0</v>
      </c>
      <c r="R2442">
        <v>0</v>
      </c>
      <c r="S2442">
        <v>0</v>
      </c>
      <c r="T2442">
        <v>0.44640000000000002</v>
      </c>
      <c r="U2442">
        <v>-4.4000000000000003E-3</v>
      </c>
      <c r="V2442">
        <v>0</v>
      </c>
      <c r="W2442">
        <v>-0.27510000000000001</v>
      </c>
      <c r="X2442">
        <v>0.16389999999999999</v>
      </c>
      <c r="Y2442">
        <v>-9.1000000000000004E-3</v>
      </c>
      <c r="Z2442">
        <v>391</v>
      </c>
      <c r="AA2442">
        <v>0.55000000000000004</v>
      </c>
      <c r="AB2442">
        <v>216</v>
      </c>
      <c r="AC2442">
        <v>0.8</v>
      </c>
      <c r="AD2442">
        <v>0</v>
      </c>
      <c r="AE2442">
        <v>0</v>
      </c>
      <c r="AF2442">
        <v>0</v>
      </c>
      <c r="AG2442">
        <v>455</v>
      </c>
      <c r="AH2442">
        <v>0</v>
      </c>
    </row>
    <row r="2443" spans="1:34" x14ac:dyDescent="0.35">
      <c r="A2443" t="s">
        <v>37</v>
      </c>
      <c r="B2443" s="1">
        <v>46146.65625</v>
      </c>
      <c r="C2443" t="s">
        <v>37</v>
      </c>
      <c r="D2443" s="1">
        <v>46157.354166666664</v>
      </c>
      <c r="E2443">
        <v>5915</v>
      </c>
      <c r="F2443" t="s">
        <v>36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251</v>
      </c>
      <c r="M2443">
        <v>0.65</v>
      </c>
      <c r="N2443">
        <v>290</v>
      </c>
      <c r="O2443">
        <v>0.8</v>
      </c>
      <c r="P2443">
        <v>0</v>
      </c>
      <c r="Q2443">
        <v>0</v>
      </c>
      <c r="R2443">
        <v>0</v>
      </c>
      <c r="S2443">
        <v>0</v>
      </c>
      <c r="T2443">
        <v>0.44429999999999997</v>
      </c>
      <c r="U2443">
        <v>-4.4000000000000003E-3</v>
      </c>
      <c r="V2443">
        <v>0</v>
      </c>
      <c r="W2443">
        <v>-0.27489999999999998</v>
      </c>
      <c r="X2443">
        <v>0.1646</v>
      </c>
      <c r="Y2443">
        <v>-9.1000000000000004E-3</v>
      </c>
      <c r="Z2443">
        <v>267</v>
      </c>
      <c r="AA2443">
        <v>0.55000000000000004</v>
      </c>
      <c r="AB2443">
        <v>272</v>
      </c>
      <c r="AC2443">
        <v>0.85</v>
      </c>
      <c r="AD2443">
        <v>0</v>
      </c>
      <c r="AE2443">
        <v>0</v>
      </c>
      <c r="AF2443">
        <v>0</v>
      </c>
      <c r="AG2443">
        <v>152</v>
      </c>
      <c r="AH2443">
        <v>0</v>
      </c>
    </row>
    <row r="2444" spans="1:34" x14ac:dyDescent="0.35">
      <c r="A2444" t="s">
        <v>37</v>
      </c>
      <c r="B2444" s="1">
        <v>46146.65625</v>
      </c>
      <c r="C2444" t="s">
        <v>37</v>
      </c>
      <c r="D2444" s="1">
        <v>46157.354166666664</v>
      </c>
      <c r="E2444">
        <v>5920</v>
      </c>
      <c r="F2444" t="s">
        <v>36</v>
      </c>
      <c r="G2444">
        <v>0.78</v>
      </c>
      <c r="H2444">
        <v>0.78</v>
      </c>
      <c r="I2444">
        <v>0.78</v>
      </c>
      <c r="J2444">
        <v>0.78</v>
      </c>
      <c r="K2444">
        <v>1</v>
      </c>
      <c r="L2444">
        <v>432</v>
      </c>
      <c r="M2444">
        <v>0.65</v>
      </c>
      <c r="N2444">
        <v>284</v>
      </c>
      <c r="O2444">
        <v>0.8</v>
      </c>
      <c r="P2444">
        <v>0</v>
      </c>
      <c r="Q2444">
        <v>0</v>
      </c>
      <c r="R2444">
        <v>0</v>
      </c>
      <c r="S2444">
        <v>0</v>
      </c>
      <c r="T2444">
        <v>0.44280000000000003</v>
      </c>
      <c r="U2444">
        <v>-4.4000000000000003E-3</v>
      </c>
      <c r="V2444">
        <v>0</v>
      </c>
      <c r="W2444">
        <v>-0.27479999999999999</v>
      </c>
      <c r="X2444">
        <v>0.1651</v>
      </c>
      <c r="Y2444">
        <v>-9.1999999999999998E-3</v>
      </c>
      <c r="Z2444">
        <v>396</v>
      </c>
      <c r="AA2444">
        <v>0.55000000000000004</v>
      </c>
      <c r="AB2444">
        <v>170</v>
      </c>
      <c r="AC2444">
        <v>0.8</v>
      </c>
      <c r="AD2444">
        <v>0</v>
      </c>
      <c r="AE2444">
        <v>0</v>
      </c>
      <c r="AF2444">
        <v>0.78</v>
      </c>
      <c r="AG2444">
        <v>370</v>
      </c>
      <c r="AH2444">
        <v>0</v>
      </c>
    </row>
    <row r="2445" spans="1:34" x14ac:dyDescent="0.35">
      <c r="A2445" t="s">
        <v>37</v>
      </c>
      <c r="B2445" s="1">
        <v>46146.65625</v>
      </c>
      <c r="C2445" t="s">
        <v>37</v>
      </c>
      <c r="D2445" s="1">
        <v>46157.354166666664</v>
      </c>
      <c r="E2445">
        <v>5925</v>
      </c>
      <c r="F2445" t="s">
        <v>36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983</v>
      </c>
      <c r="M2445">
        <v>0.65</v>
      </c>
      <c r="N2445">
        <v>1125</v>
      </c>
      <c r="O2445">
        <v>0.85</v>
      </c>
      <c r="P2445">
        <v>0</v>
      </c>
      <c r="Q2445">
        <v>0</v>
      </c>
      <c r="R2445">
        <v>0</v>
      </c>
      <c r="S2445">
        <v>0</v>
      </c>
      <c r="T2445">
        <v>0.44240000000000002</v>
      </c>
      <c r="U2445">
        <v>-4.4999999999999997E-3</v>
      </c>
      <c r="V2445">
        <v>0</v>
      </c>
      <c r="W2445">
        <v>-0.28289999999999998</v>
      </c>
      <c r="X2445">
        <v>0.16980000000000001</v>
      </c>
      <c r="Y2445">
        <v>-9.4999999999999998E-3</v>
      </c>
      <c r="Z2445">
        <v>244</v>
      </c>
      <c r="AA2445">
        <v>0.6</v>
      </c>
      <c r="AB2445">
        <v>165</v>
      </c>
      <c r="AC2445">
        <v>0.8</v>
      </c>
      <c r="AD2445">
        <v>0</v>
      </c>
      <c r="AE2445">
        <v>0</v>
      </c>
      <c r="AF2445">
        <v>0</v>
      </c>
      <c r="AG2445">
        <v>2308</v>
      </c>
      <c r="AH2445">
        <v>0</v>
      </c>
    </row>
    <row r="2446" spans="1:34" x14ac:dyDescent="0.35">
      <c r="A2446" t="s">
        <v>37</v>
      </c>
      <c r="B2446" s="1">
        <v>46146.65625</v>
      </c>
      <c r="C2446" t="s">
        <v>37</v>
      </c>
      <c r="D2446" s="1">
        <v>46157.354166666664</v>
      </c>
      <c r="E2446">
        <v>5930</v>
      </c>
      <c r="F2446" t="s">
        <v>36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724</v>
      </c>
      <c r="M2446">
        <v>0.65</v>
      </c>
      <c r="N2446">
        <v>729</v>
      </c>
      <c r="O2446">
        <v>0.85</v>
      </c>
      <c r="P2446">
        <v>0</v>
      </c>
      <c r="Q2446">
        <v>0</v>
      </c>
      <c r="R2446">
        <v>0</v>
      </c>
      <c r="S2446">
        <v>0</v>
      </c>
      <c r="T2446">
        <v>0.44090000000000001</v>
      </c>
      <c r="U2446">
        <v>-4.5999999999999999E-3</v>
      </c>
      <c r="V2446">
        <v>0</v>
      </c>
      <c r="W2446">
        <v>-0.28270000000000001</v>
      </c>
      <c r="X2446">
        <v>0.1704</v>
      </c>
      <c r="Y2446">
        <v>-9.4999999999999998E-3</v>
      </c>
      <c r="Z2446">
        <v>248</v>
      </c>
      <c r="AA2446">
        <v>0.6</v>
      </c>
      <c r="AB2446">
        <v>390</v>
      </c>
      <c r="AC2446">
        <v>0.85</v>
      </c>
      <c r="AD2446">
        <v>0</v>
      </c>
      <c r="AE2446">
        <v>0</v>
      </c>
      <c r="AF2446">
        <v>0</v>
      </c>
      <c r="AG2446">
        <v>535</v>
      </c>
      <c r="AH2446">
        <v>0</v>
      </c>
    </row>
    <row r="2447" spans="1:34" x14ac:dyDescent="0.35">
      <c r="A2447" t="s">
        <v>37</v>
      </c>
      <c r="B2447" s="1">
        <v>46146.65625</v>
      </c>
      <c r="C2447" t="s">
        <v>37</v>
      </c>
      <c r="D2447" s="1">
        <v>46157.354166666664</v>
      </c>
      <c r="E2447">
        <v>5935</v>
      </c>
      <c r="F2447" t="s">
        <v>36</v>
      </c>
      <c r="G2447">
        <v>0.78</v>
      </c>
      <c r="H2447">
        <v>0.78</v>
      </c>
      <c r="I2447">
        <v>0.78</v>
      </c>
      <c r="J2447">
        <v>0.78</v>
      </c>
      <c r="K2447">
        <v>1</v>
      </c>
      <c r="L2447">
        <v>922</v>
      </c>
      <c r="M2447">
        <v>0.65</v>
      </c>
      <c r="N2447">
        <v>911</v>
      </c>
      <c r="O2447">
        <v>0.85</v>
      </c>
      <c r="P2447">
        <v>0</v>
      </c>
      <c r="Q2447">
        <v>0</v>
      </c>
      <c r="R2447">
        <v>0</v>
      </c>
      <c r="S2447">
        <v>0</v>
      </c>
      <c r="T2447">
        <v>0.43940000000000001</v>
      </c>
      <c r="U2447">
        <v>-4.5999999999999999E-3</v>
      </c>
      <c r="V2447">
        <v>0</v>
      </c>
      <c r="W2447">
        <v>-0.28260000000000002</v>
      </c>
      <c r="X2447">
        <v>0.1709</v>
      </c>
      <c r="Y2447">
        <v>-9.4999999999999998E-3</v>
      </c>
      <c r="Z2447">
        <v>235</v>
      </c>
      <c r="AA2447">
        <v>0.6</v>
      </c>
      <c r="AB2447">
        <v>242</v>
      </c>
      <c r="AC2447">
        <v>0.85</v>
      </c>
      <c r="AD2447">
        <v>0</v>
      </c>
      <c r="AE2447">
        <v>0</v>
      </c>
      <c r="AF2447">
        <v>0.78</v>
      </c>
      <c r="AG2447">
        <v>1159</v>
      </c>
      <c r="AH2447">
        <v>0</v>
      </c>
    </row>
    <row r="2448" spans="1:34" x14ac:dyDescent="0.35">
      <c r="A2448" t="s">
        <v>37</v>
      </c>
      <c r="B2448" s="1">
        <v>46146.65625</v>
      </c>
      <c r="C2448" t="s">
        <v>37</v>
      </c>
      <c r="D2448" s="1">
        <v>46157.354166666664</v>
      </c>
      <c r="E2448">
        <v>5940</v>
      </c>
      <c r="F2448" t="s">
        <v>36</v>
      </c>
      <c r="G2448">
        <v>0.65</v>
      </c>
      <c r="H2448">
        <v>0.65</v>
      </c>
      <c r="I2448">
        <v>0.65</v>
      </c>
      <c r="J2448">
        <v>0.65</v>
      </c>
      <c r="K2448">
        <v>1</v>
      </c>
      <c r="L2448">
        <v>865</v>
      </c>
      <c r="M2448">
        <v>0.65</v>
      </c>
      <c r="N2448">
        <v>333</v>
      </c>
      <c r="O2448">
        <v>0.85</v>
      </c>
      <c r="P2448">
        <v>0</v>
      </c>
      <c r="Q2448">
        <v>0</v>
      </c>
      <c r="R2448">
        <v>0</v>
      </c>
      <c r="S2448">
        <v>0</v>
      </c>
      <c r="T2448">
        <v>0.43719999999999998</v>
      </c>
      <c r="U2448">
        <v>-4.5999999999999999E-3</v>
      </c>
      <c r="V2448">
        <v>0</v>
      </c>
      <c r="W2448">
        <v>-0.28239999999999998</v>
      </c>
      <c r="X2448">
        <v>0.1716</v>
      </c>
      <c r="Y2448">
        <v>-9.5999999999999992E-3</v>
      </c>
      <c r="Z2448">
        <v>336</v>
      </c>
      <c r="AA2448">
        <v>0.6</v>
      </c>
      <c r="AB2448">
        <v>362</v>
      </c>
      <c r="AC2448">
        <v>0.85</v>
      </c>
      <c r="AD2448">
        <v>0</v>
      </c>
      <c r="AE2448">
        <v>0</v>
      </c>
      <c r="AF2448">
        <v>0.65</v>
      </c>
      <c r="AG2448">
        <v>687</v>
      </c>
      <c r="AH2448">
        <v>0</v>
      </c>
    </row>
    <row r="2449" spans="1:34" x14ac:dyDescent="0.35">
      <c r="A2449" t="s">
        <v>37</v>
      </c>
      <c r="B2449" s="1">
        <v>46146.65625</v>
      </c>
      <c r="C2449" t="s">
        <v>37</v>
      </c>
      <c r="D2449" s="1">
        <v>46157.354166666664</v>
      </c>
      <c r="E2449">
        <v>5945</v>
      </c>
      <c r="F2449" t="s">
        <v>36</v>
      </c>
      <c r="G2449">
        <v>0.5</v>
      </c>
      <c r="H2449">
        <v>0.5</v>
      </c>
      <c r="I2449">
        <v>0.5</v>
      </c>
      <c r="J2449">
        <v>0.5</v>
      </c>
      <c r="K2449">
        <v>17</v>
      </c>
      <c r="L2449">
        <v>317</v>
      </c>
      <c r="M2449">
        <v>0.7</v>
      </c>
      <c r="N2449">
        <v>688</v>
      </c>
      <c r="O2449">
        <v>0.85</v>
      </c>
      <c r="P2449">
        <v>0</v>
      </c>
      <c r="Q2449">
        <v>0</v>
      </c>
      <c r="R2449">
        <v>0</v>
      </c>
      <c r="S2449">
        <v>0</v>
      </c>
      <c r="T2449">
        <v>0.43719999999999998</v>
      </c>
      <c r="U2449">
        <v>-4.7000000000000002E-3</v>
      </c>
      <c r="V2449">
        <v>0</v>
      </c>
      <c r="W2449">
        <v>-0.29049999999999998</v>
      </c>
      <c r="X2449">
        <v>0.1762</v>
      </c>
      <c r="Y2449">
        <v>-9.9000000000000008E-3</v>
      </c>
      <c r="Z2449">
        <v>260</v>
      </c>
      <c r="AA2449">
        <v>0.6</v>
      </c>
      <c r="AB2449">
        <v>118</v>
      </c>
      <c r="AC2449">
        <v>0.85</v>
      </c>
      <c r="AD2449">
        <v>0</v>
      </c>
      <c r="AE2449">
        <v>0</v>
      </c>
      <c r="AF2449">
        <v>0.5</v>
      </c>
      <c r="AG2449">
        <v>299</v>
      </c>
      <c r="AH2449">
        <v>0</v>
      </c>
    </row>
    <row r="2450" spans="1:34" x14ac:dyDescent="0.35">
      <c r="A2450" t="s">
        <v>37</v>
      </c>
      <c r="B2450" s="1">
        <v>46146.65625</v>
      </c>
      <c r="C2450" t="s">
        <v>37</v>
      </c>
      <c r="D2450" s="1">
        <v>46157.354166666664</v>
      </c>
      <c r="E2450">
        <v>5950</v>
      </c>
      <c r="F2450" t="s">
        <v>36</v>
      </c>
      <c r="G2450">
        <v>0.68</v>
      </c>
      <c r="H2450">
        <v>0.79</v>
      </c>
      <c r="I2450">
        <v>0.68</v>
      </c>
      <c r="J2450">
        <v>0.7</v>
      </c>
      <c r="K2450">
        <v>190</v>
      </c>
      <c r="L2450">
        <v>687</v>
      </c>
      <c r="M2450">
        <v>0.7</v>
      </c>
      <c r="N2450">
        <v>165</v>
      </c>
      <c r="O2450">
        <v>0.8</v>
      </c>
      <c r="P2450">
        <v>0</v>
      </c>
      <c r="Q2450">
        <v>0</v>
      </c>
      <c r="R2450">
        <v>0</v>
      </c>
      <c r="S2450">
        <v>0</v>
      </c>
      <c r="T2450">
        <v>0.43409999999999999</v>
      </c>
      <c r="U2450">
        <v>-4.5999999999999999E-3</v>
      </c>
      <c r="V2450">
        <v>0</v>
      </c>
      <c r="W2450">
        <v>-0.28220000000000001</v>
      </c>
      <c r="X2450">
        <v>0.17280000000000001</v>
      </c>
      <c r="Y2450">
        <v>-9.5999999999999992E-3</v>
      </c>
      <c r="Z2450">
        <v>218</v>
      </c>
      <c r="AA2450">
        <v>0.65</v>
      </c>
      <c r="AB2450">
        <v>165</v>
      </c>
      <c r="AC2450">
        <v>0.85</v>
      </c>
      <c r="AD2450">
        <v>0</v>
      </c>
      <c r="AE2450">
        <v>0</v>
      </c>
      <c r="AF2450">
        <v>0.69630000000000003</v>
      </c>
      <c r="AG2450">
        <v>7680</v>
      </c>
      <c r="AH2450">
        <v>0</v>
      </c>
    </row>
    <row r="2451" spans="1:34" x14ac:dyDescent="0.35">
      <c r="A2451" t="s">
        <v>37</v>
      </c>
      <c r="B2451" s="1">
        <v>46146.65625</v>
      </c>
      <c r="C2451" t="s">
        <v>37</v>
      </c>
      <c r="D2451" s="1">
        <v>46157.354166666664</v>
      </c>
      <c r="E2451">
        <v>5955</v>
      </c>
      <c r="F2451" t="s">
        <v>36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240</v>
      </c>
      <c r="M2451">
        <v>0.7</v>
      </c>
      <c r="N2451">
        <v>275</v>
      </c>
      <c r="O2451">
        <v>0.85</v>
      </c>
      <c r="P2451">
        <v>0</v>
      </c>
      <c r="Q2451">
        <v>0</v>
      </c>
      <c r="R2451">
        <v>0</v>
      </c>
      <c r="S2451">
        <v>0</v>
      </c>
      <c r="T2451">
        <v>0.43369999999999997</v>
      </c>
      <c r="U2451">
        <v>-4.7999999999999996E-3</v>
      </c>
      <c r="V2451">
        <v>0</v>
      </c>
      <c r="W2451">
        <v>-0.29010000000000002</v>
      </c>
      <c r="X2451">
        <v>0.17749999999999999</v>
      </c>
      <c r="Y2451">
        <v>-9.9000000000000008E-3</v>
      </c>
      <c r="Z2451">
        <v>272</v>
      </c>
      <c r="AA2451">
        <v>0.6</v>
      </c>
      <c r="AB2451">
        <v>265</v>
      </c>
      <c r="AC2451">
        <v>0.9</v>
      </c>
      <c r="AD2451">
        <v>0</v>
      </c>
      <c r="AE2451">
        <v>0</v>
      </c>
      <c r="AF2451">
        <v>0</v>
      </c>
      <c r="AG2451">
        <v>236</v>
      </c>
      <c r="AH2451">
        <v>0</v>
      </c>
    </row>
    <row r="2452" spans="1:34" x14ac:dyDescent="0.35">
      <c r="A2452" t="s">
        <v>37</v>
      </c>
      <c r="B2452" s="1">
        <v>46146.65625</v>
      </c>
      <c r="C2452" t="s">
        <v>37</v>
      </c>
      <c r="D2452" s="1">
        <v>46157.354166666664</v>
      </c>
      <c r="E2452">
        <v>5960</v>
      </c>
      <c r="F2452" t="s">
        <v>36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415</v>
      </c>
      <c r="M2452">
        <v>0.7</v>
      </c>
      <c r="N2452">
        <v>712</v>
      </c>
      <c r="O2452">
        <v>0.9</v>
      </c>
      <c r="P2452">
        <v>0</v>
      </c>
      <c r="Q2452">
        <v>0</v>
      </c>
      <c r="R2452">
        <v>0</v>
      </c>
      <c r="S2452">
        <v>0</v>
      </c>
      <c r="T2452">
        <v>0.4335</v>
      </c>
      <c r="U2452">
        <v>-4.8999999999999998E-3</v>
      </c>
      <c r="V2452">
        <v>0</v>
      </c>
      <c r="W2452">
        <v>-0.29809999999999998</v>
      </c>
      <c r="X2452">
        <v>0.1822</v>
      </c>
      <c r="Y2452">
        <v>-1.0200000000000001E-2</v>
      </c>
      <c r="Z2452">
        <v>222</v>
      </c>
      <c r="AA2452">
        <v>0.65</v>
      </c>
      <c r="AB2452">
        <v>96</v>
      </c>
      <c r="AC2452">
        <v>0.85</v>
      </c>
      <c r="AD2452">
        <v>0</v>
      </c>
      <c r="AE2452">
        <v>0</v>
      </c>
      <c r="AF2452">
        <v>0</v>
      </c>
      <c r="AG2452">
        <v>351</v>
      </c>
      <c r="AH2452">
        <v>0</v>
      </c>
    </row>
    <row r="2453" spans="1:34" x14ac:dyDescent="0.35">
      <c r="A2453" t="s">
        <v>37</v>
      </c>
      <c r="B2453" s="1">
        <v>46146.65625</v>
      </c>
      <c r="C2453" t="s">
        <v>37</v>
      </c>
      <c r="D2453" s="1">
        <v>46157.354166666664</v>
      </c>
      <c r="E2453">
        <v>5965</v>
      </c>
      <c r="F2453" t="s">
        <v>36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398</v>
      </c>
      <c r="M2453">
        <v>0.7</v>
      </c>
      <c r="N2453">
        <v>439</v>
      </c>
      <c r="O2453">
        <v>0.9</v>
      </c>
      <c r="P2453">
        <v>0</v>
      </c>
      <c r="Q2453">
        <v>0</v>
      </c>
      <c r="R2453">
        <v>0</v>
      </c>
      <c r="S2453">
        <v>0</v>
      </c>
      <c r="T2453">
        <v>0.43190000000000001</v>
      </c>
      <c r="U2453">
        <v>-4.8999999999999998E-3</v>
      </c>
      <c r="V2453">
        <v>0</v>
      </c>
      <c r="W2453">
        <v>-0.2979</v>
      </c>
      <c r="X2453">
        <v>0.18279999999999999</v>
      </c>
      <c r="Y2453">
        <v>-1.03E-2</v>
      </c>
      <c r="Z2453">
        <v>155</v>
      </c>
      <c r="AA2453">
        <v>0.65</v>
      </c>
      <c r="AB2453">
        <v>247</v>
      </c>
      <c r="AC2453">
        <v>0.9</v>
      </c>
      <c r="AD2453">
        <v>0</v>
      </c>
      <c r="AE2453">
        <v>0</v>
      </c>
      <c r="AF2453">
        <v>0</v>
      </c>
      <c r="AG2453">
        <v>198</v>
      </c>
      <c r="AH2453">
        <v>0</v>
      </c>
    </row>
    <row r="2454" spans="1:34" x14ac:dyDescent="0.35">
      <c r="A2454" t="s">
        <v>37</v>
      </c>
      <c r="B2454" s="1">
        <v>46146.65625</v>
      </c>
      <c r="C2454" t="s">
        <v>37</v>
      </c>
      <c r="D2454" s="1">
        <v>46157.354166666664</v>
      </c>
      <c r="E2454">
        <v>5970</v>
      </c>
      <c r="F2454" t="s">
        <v>36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1290</v>
      </c>
      <c r="M2454">
        <v>0.7</v>
      </c>
      <c r="N2454">
        <v>872</v>
      </c>
      <c r="O2454">
        <v>0.9</v>
      </c>
      <c r="P2454">
        <v>0</v>
      </c>
      <c r="Q2454">
        <v>0</v>
      </c>
      <c r="R2454">
        <v>0</v>
      </c>
      <c r="S2454">
        <v>0</v>
      </c>
      <c r="T2454">
        <v>0.4299</v>
      </c>
      <c r="U2454">
        <v>-4.8999999999999998E-3</v>
      </c>
      <c r="V2454">
        <v>0</v>
      </c>
      <c r="W2454">
        <v>-0.29770000000000002</v>
      </c>
      <c r="X2454">
        <v>0.18360000000000001</v>
      </c>
      <c r="Y2454">
        <v>-1.03E-2</v>
      </c>
      <c r="Z2454">
        <v>244</v>
      </c>
      <c r="AA2454">
        <v>0.65</v>
      </c>
      <c r="AB2454">
        <v>367</v>
      </c>
      <c r="AC2454">
        <v>0.9</v>
      </c>
      <c r="AD2454">
        <v>0</v>
      </c>
      <c r="AE2454">
        <v>0</v>
      </c>
      <c r="AF2454">
        <v>0</v>
      </c>
      <c r="AG2454">
        <v>841</v>
      </c>
      <c r="AH2454">
        <v>0</v>
      </c>
    </row>
    <row r="2455" spans="1:34" x14ac:dyDescent="0.35">
      <c r="A2455" t="s">
        <v>37</v>
      </c>
      <c r="B2455" s="1">
        <v>46146.65625</v>
      </c>
      <c r="C2455" t="s">
        <v>37</v>
      </c>
      <c r="D2455" s="1">
        <v>46157.354166666664</v>
      </c>
      <c r="E2455">
        <v>5975</v>
      </c>
      <c r="F2455" t="s">
        <v>36</v>
      </c>
      <c r="G2455">
        <v>0.65</v>
      </c>
      <c r="H2455">
        <v>0.65</v>
      </c>
      <c r="I2455">
        <v>0.65</v>
      </c>
      <c r="J2455">
        <v>0.65</v>
      </c>
      <c r="K2455">
        <v>1</v>
      </c>
      <c r="L2455">
        <v>1286</v>
      </c>
      <c r="M2455">
        <v>0.7</v>
      </c>
      <c r="N2455">
        <v>735</v>
      </c>
      <c r="O2455">
        <v>0.9</v>
      </c>
      <c r="P2455">
        <v>0</v>
      </c>
      <c r="Q2455">
        <v>0</v>
      </c>
      <c r="R2455">
        <v>0</v>
      </c>
      <c r="S2455">
        <v>0</v>
      </c>
      <c r="T2455">
        <v>0.42820000000000003</v>
      </c>
      <c r="U2455">
        <v>-5.0000000000000001E-3</v>
      </c>
      <c r="V2455">
        <v>0</v>
      </c>
      <c r="W2455">
        <v>-0.29759999999999998</v>
      </c>
      <c r="X2455">
        <v>0.1842</v>
      </c>
      <c r="Y2455">
        <v>-1.03E-2</v>
      </c>
      <c r="Z2455">
        <v>322</v>
      </c>
      <c r="AA2455">
        <v>0.65</v>
      </c>
      <c r="AB2455">
        <v>344</v>
      </c>
      <c r="AC2455">
        <v>0.9</v>
      </c>
      <c r="AD2455">
        <v>0</v>
      </c>
      <c r="AE2455">
        <v>0</v>
      </c>
      <c r="AF2455">
        <v>0.65</v>
      </c>
      <c r="AG2455">
        <v>2949</v>
      </c>
      <c r="AH2455">
        <v>0</v>
      </c>
    </row>
    <row r="2456" spans="1:34" x14ac:dyDescent="0.35">
      <c r="A2456" t="s">
        <v>37</v>
      </c>
      <c r="B2456" s="1">
        <v>46146.65625</v>
      </c>
      <c r="C2456" t="s">
        <v>37</v>
      </c>
      <c r="D2456" s="1">
        <v>46157.354166666664</v>
      </c>
      <c r="E2456">
        <v>5980</v>
      </c>
      <c r="F2456" t="s">
        <v>36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856</v>
      </c>
      <c r="M2456">
        <v>0.7</v>
      </c>
      <c r="N2456">
        <v>292</v>
      </c>
      <c r="O2456">
        <v>0.9</v>
      </c>
      <c r="P2456">
        <v>0</v>
      </c>
      <c r="Q2456">
        <v>0</v>
      </c>
      <c r="R2456">
        <v>0</v>
      </c>
      <c r="S2456">
        <v>0</v>
      </c>
      <c r="T2456">
        <v>0.42670000000000002</v>
      </c>
      <c r="U2456">
        <v>-5.0000000000000001E-3</v>
      </c>
      <c r="V2456">
        <v>0</v>
      </c>
      <c r="W2456">
        <v>-0.2974</v>
      </c>
      <c r="X2456">
        <v>0.18479999999999999</v>
      </c>
      <c r="Y2456">
        <v>-1.04E-2</v>
      </c>
      <c r="Z2456">
        <v>332</v>
      </c>
      <c r="AA2456">
        <v>0.65</v>
      </c>
      <c r="AB2456">
        <v>255</v>
      </c>
      <c r="AC2456">
        <v>0.9</v>
      </c>
      <c r="AD2456">
        <v>0</v>
      </c>
      <c r="AE2456">
        <v>0</v>
      </c>
      <c r="AF2456">
        <v>0</v>
      </c>
      <c r="AG2456">
        <v>591</v>
      </c>
      <c r="AH2456">
        <v>0</v>
      </c>
    </row>
    <row r="2457" spans="1:34" x14ac:dyDescent="0.35">
      <c r="A2457" t="s">
        <v>37</v>
      </c>
      <c r="B2457" s="1">
        <v>46146.65625</v>
      </c>
      <c r="C2457" t="s">
        <v>37</v>
      </c>
      <c r="D2457" s="1">
        <v>46157.354166666664</v>
      </c>
      <c r="E2457">
        <v>5985</v>
      </c>
      <c r="F2457" t="s">
        <v>36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446</v>
      </c>
      <c r="M2457">
        <v>0.7</v>
      </c>
      <c r="N2457">
        <v>287</v>
      </c>
      <c r="O2457">
        <v>0.9</v>
      </c>
      <c r="P2457">
        <v>0</v>
      </c>
      <c r="Q2457">
        <v>0</v>
      </c>
      <c r="R2457">
        <v>0</v>
      </c>
      <c r="S2457">
        <v>0</v>
      </c>
      <c r="T2457">
        <v>0.4249</v>
      </c>
      <c r="U2457">
        <v>-5.0000000000000001E-3</v>
      </c>
      <c r="V2457">
        <v>0</v>
      </c>
      <c r="W2457">
        <v>-0.29730000000000001</v>
      </c>
      <c r="X2457">
        <v>0.1855</v>
      </c>
      <c r="Y2457">
        <v>-1.04E-2</v>
      </c>
      <c r="Z2457">
        <v>264</v>
      </c>
      <c r="AA2457">
        <v>0.65</v>
      </c>
      <c r="AB2457">
        <v>79</v>
      </c>
      <c r="AC2457">
        <v>0.9</v>
      </c>
      <c r="AD2457">
        <v>0</v>
      </c>
      <c r="AE2457">
        <v>0</v>
      </c>
      <c r="AF2457">
        <v>0</v>
      </c>
      <c r="AG2457">
        <v>138</v>
      </c>
      <c r="AH2457">
        <v>0</v>
      </c>
    </row>
    <row r="2458" spans="1:34" x14ac:dyDescent="0.35">
      <c r="A2458" t="s">
        <v>37</v>
      </c>
      <c r="B2458" s="1">
        <v>46146.65625</v>
      </c>
      <c r="C2458" t="s">
        <v>37</v>
      </c>
      <c r="D2458" s="1">
        <v>46157.354166666664</v>
      </c>
      <c r="E2458">
        <v>5990</v>
      </c>
      <c r="F2458" t="s">
        <v>36</v>
      </c>
      <c r="G2458">
        <v>0.72</v>
      </c>
      <c r="H2458">
        <v>1.2</v>
      </c>
      <c r="I2458">
        <v>0.67</v>
      </c>
      <c r="J2458">
        <v>1.2</v>
      </c>
      <c r="K2458">
        <v>8</v>
      </c>
      <c r="L2458">
        <v>362</v>
      </c>
      <c r="M2458">
        <v>0.75</v>
      </c>
      <c r="N2458">
        <v>709</v>
      </c>
      <c r="O2458">
        <v>0.95</v>
      </c>
      <c r="P2458">
        <v>0</v>
      </c>
      <c r="Q2458">
        <v>0</v>
      </c>
      <c r="R2458">
        <v>0</v>
      </c>
      <c r="S2458">
        <v>0</v>
      </c>
      <c r="T2458">
        <v>0.42599999999999999</v>
      </c>
      <c r="U2458">
        <v>-5.3E-3</v>
      </c>
      <c r="V2458">
        <v>0</v>
      </c>
      <c r="W2458">
        <v>-0.31309999999999999</v>
      </c>
      <c r="X2458">
        <v>0.1943</v>
      </c>
      <c r="Y2458">
        <v>-1.0999999999999999E-2</v>
      </c>
      <c r="Z2458">
        <v>244</v>
      </c>
      <c r="AA2458">
        <v>0.7</v>
      </c>
      <c r="AB2458">
        <v>157</v>
      </c>
      <c r="AC2458">
        <v>0.9</v>
      </c>
      <c r="AD2458">
        <v>0</v>
      </c>
      <c r="AE2458">
        <v>0</v>
      </c>
      <c r="AF2458">
        <v>1.0075000000000001</v>
      </c>
      <c r="AG2458">
        <v>513</v>
      </c>
      <c r="AH2458">
        <v>0</v>
      </c>
    </row>
    <row r="2459" spans="1:34" x14ac:dyDescent="0.35">
      <c r="A2459" t="s">
        <v>37</v>
      </c>
      <c r="B2459" s="1">
        <v>46146.65625</v>
      </c>
      <c r="C2459" t="s">
        <v>37</v>
      </c>
      <c r="D2459" s="1">
        <v>46157.354166666664</v>
      </c>
      <c r="E2459">
        <v>5995</v>
      </c>
      <c r="F2459" t="s">
        <v>36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240</v>
      </c>
      <c r="M2459">
        <v>0.75</v>
      </c>
      <c r="N2459">
        <v>386</v>
      </c>
      <c r="O2459">
        <v>0.95</v>
      </c>
      <c r="P2459">
        <v>0</v>
      </c>
      <c r="Q2459">
        <v>0</v>
      </c>
      <c r="R2459">
        <v>0</v>
      </c>
      <c r="S2459">
        <v>0</v>
      </c>
      <c r="T2459">
        <v>0.42420000000000002</v>
      </c>
      <c r="U2459">
        <v>-5.3E-3</v>
      </c>
      <c r="V2459">
        <v>0</v>
      </c>
      <c r="W2459">
        <v>-0.31290000000000001</v>
      </c>
      <c r="X2459">
        <v>0.19500000000000001</v>
      </c>
      <c r="Y2459">
        <v>-1.0999999999999999E-2</v>
      </c>
      <c r="Z2459">
        <v>101</v>
      </c>
      <c r="AA2459">
        <v>0.7</v>
      </c>
      <c r="AB2459">
        <v>256</v>
      </c>
      <c r="AC2459">
        <v>0.95</v>
      </c>
      <c r="AD2459">
        <v>0</v>
      </c>
      <c r="AE2459">
        <v>0</v>
      </c>
      <c r="AF2459">
        <v>0</v>
      </c>
      <c r="AG2459">
        <v>125</v>
      </c>
      <c r="AH2459">
        <v>0</v>
      </c>
    </row>
    <row r="2460" spans="1:34" x14ac:dyDescent="0.35">
      <c r="A2460" t="s">
        <v>37</v>
      </c>
      <c r="B2460" s="1">
        <v>46146.65625</v>
      </c>
      <c r="C2460" t="s">
        <v>37</v>
      </c>
      <c r="D2460" s="1">
        <v>46157.354166666664</v>
      </c>
      <c r="E2460">
        <v>6000</v>
      </c>
      <c r="F2460" t="s">
        <v>36</v>
      </c>
      <c r="G2460">
        <v>0.72</v>
      </c>
      <c r="H2460">
        <v>1.27</v>
      </c>
      <c r="I2460">
        <v>0.65</v>
      </c>
      <c r="J2460">
        <v>0.8</v>
      </c>
      <c r="K2460">
        <v>5161</v>
      </c>
      <c r="L2460">
        <v>1163</v>
      </c>
      <c r="M2460">
        <v>0.75</v>
      </c>
      <c r="N2460">
        <v>882</v>
      </c>
      <c r="O2460">
        <v>0.95</v>
      </c>
      <c r="P2460">
        <v>0</v>
      </c>
      <c r="Q2460">
        <v>0</v>
      </c>
      <c r="R2460">
        <v>0</v>
      </c>
      <c r="S2460">
        <v>0</v>
      </c>
      <c r="T2460">
        <v>0.42259999999999998</v>
      </c>
      <c r="U2460">
        <v>-5.3E-3</v>
      </c>
      <c r="V2460">
        <v>0</v>
      </c>
      <c r="W2460">
        <v>-0.31280000000000002</v>
      </c>
      <c r="X2460">
        <v>0.19570000000000001</v>
      </c>
      <c r="Y2460">
        <v>-1.11E-2</v>
      </c>
      <c r="Z2460">
        <v>228</v>
      </c>
      <c r="AA2460">
        <v>0.7</v>
      </c>
      <c r="AB2460">
        <v>344</v>
      </c>
      <c r="AC2460">
        <v>0.95</v>
      </c>
      <c r="AD2460">
        <v>0</v>
      </c>
      <c r="AE2460">
        <v>0</v>
      </c>
      <c r="AF2460">
        <v>0.72409999999999997</v>
      </c>
      <c r="AG2460">
        <v>112457</v>
      </c>
      <c r="AH2460">
        <v>0</v>
      </c>
    </row>
    <row r="2461" spans="1:34" x14ac:dyDescent="0.35">
      <c r="A2461" t="s">
        <v>37</v>
      </c>
      <c r="B2461" s="1">
        <v>46146.65625</v>
      </c>
      <c r="C2461" t="s">
        <v>37</v>
      </c>
      <c r="D2461" s="1">
        <v>46157.354166666664</v>
      </c>
      <c r="E2461">
        <v>6005</v>
      </c>
      <c r="F2461" t="s">
        <v>36</v>
      </c>
      <c r="G2461">
        <v>0.61</v>
      </c>
      <c r="H2461">
        <v>1.02</v>
      </c>
      <c r="I2461">
        <v>0.61</v>
      </c>
      <c r="J2461">
        <v>0.95</v>
      </c>
      <c r="K2461">
        <v>25</v>
      </c>
      <c r="L2461">
        <v>399</v>
      </c>
      <c r="M2461">
        <v>0.75</v>
      </c>
      <c r="N2461">
        <v>397</v>
      </c>
      <c r="O2461">
        <v>0.95</v>
      </c>
      <c r="P2461">
        <v>0</v>
      </c>
      <c r="Q2461">
        <v>0</v>
      </c>
      <c r="R2461">
        <v>0</v>
      </c>
      <c r="S2461">
        <v>0</v>
      </c>
      <c r="T2461">
        <v>0.4209</v>
      </c>
      <c r="U2461">
        <v>-5.3E-3</v>
      </c>
      <c r="V2461">
        <v>0</v>
      </c>
      <c r="W2461">
        <v>-0.3125</v>
      </c>
      <c r="X2461">
        <v>0.19639999999999999</v>
      </c>
      <c r="Y2461">
        <v>-1.11E-2</v>
      </c>
      <c r="Z2461">
        <v>80</v>
      </c>
      <c r="AA2461">
        <v>0.7</v>
      </c>
      <c r="AB2461">
        <v>223</v>
      </c>
      <c r="AC2461">
        <v>0.95</v>
      </c>
      <c r="AD2461">
        <v>0</v>
      </c>
      <c r="AE2461">
        <v>0</v>
      </c>
      <c r="AF2461">
        <v>0.73519999999999996</v>
      </c>
      <c r="AG2461">
        <v>244</v>
      </c>
      <c r="AH2461">
        <v>0</v>
      </c>
    </row>
    <row r="2462" spans="1:34" x14ac:dyDescent="0.35">
      <c r="A2462" t="s">
        <v>37</v>
      </c>
      <c r="B2462" s="1">
        <v>46146.65625</v>
      </c>
      <c r="C2462" t="s">
        <v>37</v>
      </c>
      <c r="D2462" s="1">
        <v>46157.354166666664</v>
      </c>
      <c r="E2462">
        <v>6010</v>
      </c>
      <c r="F2462" t="s">
        <v>36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1360</v>
      </c>
      <c r="M2462">
        <v>0.75</v>
      </c>
      <c r="N2462">
        <v>680</v>
      </c>
      <c r="O2462">
        <v>0.95</v>
      </c>
      <c r="P2462">
        <v>0</v>
      </c>
      <c r="Q2462">
        <v>0</v>
      </c>
      <c r="R2462">
        <v>0</v>
      </c>
      <c r="S2462">
        <v>0</v>
      </c>
      <c r="T2462">
        <v>0.41909999999999997</v>
      </c>
      <c r="U2462">
        <v>-5.3E-3</v>
      </c>
      <c r="V2462">
        <v>0</v>
      </c>
      <c r="W2462">
        <v>-0.31240000000000001</v>
      </c>
      <c r="X2462">
        <v>0.1971</v>
      </c>
      <c r="Y2462">
        <v>-1.12E-2</v>
      </c>
      <c r="Z2462">
        <v>248</v>
      </c>
      <c r="AA2462">
        <v>0.7</v>
      </c>
      <c r="AB2462">
        <v>314</v>
      </c>
      <c r="AC2462">
        <v>0.95</v>
      </c>
      <c r="AD2462">
        <v>0</v>
      </c>
      <c r="AE2462">
        <v>0</v>
      </c>
      <c r="AF2462">
        <v>0</v>
      </c>
      <c r="AG2462">
        <v>703</v>
      </c>
      <c r="AH2462">
        <v>0</v>
      </c>
    </row>
    <row r="2463" spans="1:34" x14ac:dyDescent="0.35">
      <c r="A2463" t="s">
        <v>37</v>
      </c>
      <c r="B2463" s="1">
        <v>46146.65625</v>
      </c>
      <c r="C2463" t="s">
        <v>37</v>
      </c>
      <c r="D2463" s="1">
        <v>46157.354166666664</v>
      </c>
      <c r="E2463">
        <v>6015</v>
      </c>
      <c r="F2463" t="s">
        <v>36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520</v>
      </c>
      <c r="M2463">
        <v>0.75</v>
      </c>
      <c r="N2463">
        <v>290</v>
      </c>
      <c r="O2463">
        <v>0.95</v>
      </c>
      <c r="P2463">
        <v>0</v>
      </c>
      <c r="Q2463">
        <v>0</v>
      </c>
      <c r="R2463">
        <v>0</v>
      </c>
      <c r="S2463">
        <v>0</v>
      </c>
      <c r="T2463">
        <v>0.41770000000000002</v>
      </c>
      <c r="U2463">
        <v>-5.4000000000000003E-3</v>
      </c>
      <c r="V2463">
        <v>0</v>
      </c>
      <c r="W2463">
        <v>-0.31219999999999998</v>
      </c>
      <c r="X2463">
        <v>0.19769999999999999</v>
      </c>
      <c r="Y2463">
        <v>-1.12E-2</v>
      </c>
      <c r="Z2463">
        <v>236</v>
      </c>
      <c r="AA2463">
        <v>0.7</v>
      </c>
      <c r="AB2463">
        <v>272</v>
      </c>
      <c r="AC2463">
        <v>1</v>
      </c>
      <c r="AD2463">
        <v>0</v>
      </c>
      <c r="AE2463">
        <v>0</v>
      </c>
      <c r="AF2463">
        <v>0</v>
      </c>
      <c r="AG2463">
        <v>191</v>
      </c>
      <c r="AH2463">
        <v>0</v>
      </c>
    </row>
    <row r="2464" spans="1:34" x14ac:dyDescent="0.35">
      <c r="A2464" t="s">
        <v>37</v>
      </c>
      <c r="B2464" s="1">
        <v>46146.65625</v>
      </c>
      <c r="C2464" t="s">
        <v>37</v>
      </c>
      <c r="D2464" s="1">
        <v>46157.354166666664</v>
      </c>
      <c r="E2464">
        <v>6020</v>
      </c>
      <c r="F2464" t="s">
        <v>36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372</v>
      </c>
      <c r="M2464">
        <v>0.8</v>
      </c>
      <c r="N2464">
        <v>284</v>
      </c>
      <c r="O2464">
        <v>0.95</v>
      </c>
      <c r="P2464">
        <v>0</v>
      </c>
      <c r="Q2464">
        <v>0</v>
      </c>
      <c r="R2464">
        <v>0</v>
      </c>
      <c r="S2464">
        <v>0</v>
      </c>
      <c r="T2464">
        <v>0.41689999999999999</v>
      </c>
      <c r="U2464">
        <v>-5.4999999999999997E-3</v>
      </c>
      <c r="V2464">
        <v>0</v>
      </c>
      <c r="W2464">
        <v>-0.31990000000000002</v>
      </c>
      <c r="X2464">
        <v>0.2026</v>
      </c>
      <c r="Y2464">
        <v>-1.15E-2</v>
      </c>
      <c r="Z2464">
        <v>207</v>
      </c>
      <c r="AA2464">
        <v>0.75</v>
      </c>
      <c r="AB2464">
        <v>96</v>
      </c>
      <c r="AC2464">
        <v>0.95</v>
      </c>
      <c r="AD2464">
        <v>0</v>
      </c>
      <c r="AE2464">
        <v>0</v>
      </c>
      <c r="AF2464">
        <v>0</v>
      </c>
      <c r="AG2464">
        <v>588</v>
      </c>
      <c r="AH2464">
        <v>0</v>
      </c>
    </row>
    <row r="2465" spans="1:34" x14ac:dyDescent="0.35">
      <c r="A2465" t="s">
        <v>37</v>
      </c>
      <c r="B2465" s="1">
        <v>46146.65625</v>
      </c>
      <c r="C2465" t="s">
        <v>37</v>
      </c>
      <c r="D2465" s="1">
        <v>46157.354166666664</v>
      </c>
      <c r="E2465">
        <v>6025</v>
      </c>
      <c r="F2465" t="s">
        <v>36</v>
      </c>
      <c r="G2465">
        <v>1.27</v>
      </c>
      <c r="H2465">
        <v>1.27</v>
      </c>
      <c r="I2465">
        <v>0.85</v>
      </c>
      <c r="J2465">
        <v>0.85</v>
      </c>
      <c r="K2465">
        <v>6</v>
      </c>
      <c r="L2465">
        <v>951</v>
      </c>
      <c r="M2465">
        <v>0.8</v>
      </c>
      <c r="N2465">
        <v>509</v>
      </c>
      <c r="O2465">
        <v>0.95</v>
      </c>
      <c r="P2465">
        <v>0</v>
      </c>
      <c r="Q2465">
        <v>0</v>
      </c>
      <c r="R2465">
        <v>0</v>
      </c>
      <c r="S2465">
        <v>0</v>
      </c>
      <c r="T2465">
        <v>0.41539999999999999</v>
      </c>
      <c r="U2465">
        <v>-5.4999999999999997E-3</v>
      </c>
      <c r="V2465">
        <v>0</v>
      </c>
      <c r="W2465">
        <v>-0.31969999999999998</v>
      </c>
      <c r="X2465">
        <v>0.20330000000000001</v>
      </c>
      <c r="Y2465">
        <v>-1.1599999999999999E-2</v>
      </c>
      <c r="Z2465">
        <v>248</v>
      </c>
      <c r="AA2465">
        <v>0.75</v>
      </c>
      <c r="AB2465">
        <v>350</v>
      </c>
      <c r="AC2465">
        <v>1</v>
      </c>
      <c r="AD2465">
        <v>0</v>
      </c>
      <c r="AE2465">
        <v>0</v>
      </c>
      <c r="AF2465">
        <v>1.1183000000000001</v>
      </c>
      <c r="AG2465">
        <v>1801</v>
      </c>
      <c r="AH2465">
        <v>0</v>
      </c>
    </row>
    <row r="2466" spans="1:34" x14ac:dyDescent="0.35">
      <c r="A2466" t="s">
        <v>37</v>
      </c>
      <c r="B2466" s="1">
        <v>46146.65625</v>
      </c>
      <c r="C2466" t="s">
        <v>37</v>
      </c>
      <c r="D2466" s="1">
        <v>46157.354166666664</v>
      </c>
      <c r="E2466">
        <v>6030</v>
      </c>
      <c r="F2466" t="s">
        <v>36</v>
      </c>
      <c r="G2466">
        <v>0.9</v>
      </c>
      <c r="H2466">
        <v>0.9</v>
      </c>
      <c r="I2466">
        <v>0.9</v>
      </c>
      <c r="J2466">
        <v>0.9</v>
      </c>
      <c r="K2466">
        <v>2</v>
      </c>
      <c r="L2466">
        <v>488</v>
      </c>
      <c r="M2466">
        <v>0.8</v>
      </c>
      <c r="N2466">
        <v>486</v>
      </c>
      <c r="O2466">
        <v>1</v>
      </c>
      <c r="P2466">
        <v>0</v>
      </c>
      <c r="Q2466">
        <v>0</v>
      </c>
      <c r="R2466">
        <v>0</v>
      </c>
      <c r="S2466">
        <v>0</v>
      </c>
      <c r="T2466">
        <v>0.41470000000000001</v>
      </c>
      <c r="U2466">
        <v>-5.7000000000000002E-3</v>
      </c>
      <c r="V2466">
        <v>0</v>
      </c>
      <c r="W2466">
        <v>-0.32740000000000002</v>
      </c>
      <c r="X2466">
        <v>0.20810000000000001</v>
      </c>
      <c r="Y2466">
        <v>-1.1900000000000001E-2</v>
      </c>
      <c r="Z2466">
        <v>225</v>
      </c>
      <c r="AA2466">
        <v>0.75</v>
      </c>
      <c r="AB2466">
        <v>334</v>
      </c>
      <c r="AC2466">
        <v>1</v>
      </c>
      <c r="AD2466">
        <v>0</v>
      </c>
      <c r="AE2466">
        <v>0</v>
      </c>
      <c r="AF2466">
        <v>0.9</v>
      </c>
      <c r="AG2466">
        <v>864</v>
      </c>
      <c r="AH2466">
        <v>0</v>
      </c>
    </row>
    <row r="2467" spans="1:34" x14ac:dyDescent="0.35">
      <c r="A2467" t="s">
        <v>37</v>
      </c>
      <c r="B2467" s="1">
        <v>46146.65625</v>
      </c>
      <c r="C2467" t="s">
        <v>37</v>
      </c>
      <c r="D2467" s="1">
        <v>46157.354166666664</v>
      </c>
      <c r="E2467">
        <v>6035</v>
      </c>
      <c r="F2467" t="s">
        <v>36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388</v>
      </c>
      <c r="M2467">
        <v>0.8</v>
      </c>
      <c r="N2467">
        <v>401</v>
      </c>
      <c r="O2467">
        <v>1</v>
      </c>
      <c r="P2467">
        <v>0</v>
      </c>
      <c r="Q2467">
        <v>0</v>
      </c>
      <c r="R2467">
        <v>0</v>
      </c>
      <c r="S2467">
        <v>0</v>
      </c>
      <c r="T2467">
        <v>0.41339999999999999</v>
      </c>
      <c r="U2467">
        <v>-5.7000000000000002E-3</v>
      </c>
      <c r="V2467">
        <v>0</v>
      </c>
      <c r="W2467">
        <v>-0.32719999999999999</v>
      </c>
      <c r="X2467">
        <v>0.20880000000000001</v>
      </c>
      <c r="Y2467">
        <v>-1.1900000000000001E-2</v>
      </c>
      <c r="Z2467">
        <v>102</v>
      </c>
      <c r="AA2467">
        <v>0.75</v>
      </c>
      <c r="AB2467">
        <v>240</v>
      </c>
      <c r="AC2467">
        <v>1</v>
      </c>
      <c r="AD2467">
        <v>0</v>
      </c>
      <c r="AE2467">
        <v>0</v>
      </c>
      <c r="AF2467">
        <v>0</v>
      </c>
      <c r="AG2467">
        <v>318</v>
      </c>
      <c r="AH2467">
        <v>0</v>
      </c>
    </row>
    <row r="2468" spans="1:34" x14ac:dyDescent="0.35">
      <c r="A2468" t="s">
        <v>37</v>
      </c>
      <c r="B2468" s="1">
        <v>46146.65625</v>
      </c>
      <c r="C2468" t="s">
        <v>37</v>
      </c>
      <c r="D2468" s="1">
        <v>46157.354166666664</v>
      </c>
      <c r="E2468">
        <v>6040</v>
      </c>
      <c r="F2468" t="s">
        <v>36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1262</v>
      </c>
      <c r="M2468">
        <v>0.8</v>
      </c>
      <c r="N2468">
        <v>692</v>
      </c>
      <c r="O2468">
        <v>1</v>
      </c>
      <c r="P2468">
        <v>0</v>
      </c>
      <c r="Q2468">
        <v>0</v>
      </c>
      <c r="R2468">
        <v>0</v>
      </c>
      <c r="S2468">
        <v>0</v>
      </c>
      <c r="T2468">
        <v>0.4113</v>
      </c>
      <c r="U2468">
        <v>-5.7000000000000002E-3</v>
      </c>
      <c r="V2468">
        <v>0</v>
      </c>
      <c r="W2468">
        <v>-0.32700000000000001</v>
      </c>
      <c r="X2468">
        <v>0.2097</v>
      </c>
      <c r="Y2468">
        <v>-1.2E-2</v>
      </c>
      <c r="Z2468">
        <v>256</v>
      </c>
      <c r="AA2468">
        <v>0.75</v>
      </c>
      <c r="AB2468">
        <v>314</v>
      </c>
      <c r="AC2468">
        <v>1</v>
      </c>
      <c r="AD2468">
        <v>0</v>
      </c>
      <c r="AE2468">
        <v>0</v>
      </c>
      <c r="AF2468">
        <v>0</v>
      </c>
      <c r="AG2468">
        <v>850</v>
      </c>
      <c r="AH2468">
        <v>0</v>
      </c>
    </row>
    <row r="2469" spans="1:34" x14ac:dyDescent="0.35">
      <c r="A2469" t="s">
        <v>37</v>
      </c>
      <c r="B2469" s="1">
        <v>46146.65625</v>
      </c>
      <c r="C2469" t="s">
        <v>37</v>
      </c>
      <c r="D2469" s="1">
        <v>46157.354166666664</v>
      </c>
      <c r="E2469">
        <v>6045</v>
      </c>
      <c r="F2469" t="s">
        <v>36</v>
      </c>
      <c r="G2469">
        <v>1</v>
      </c>
      <c r="H2469">
        <v>1</v>
      </c>
      <c r="I2469">
        <v>1</v>
      </c>
      <c r="J2469">
        <v>1</v>
      </c>
      <c r="K2469">
        <v>300</v>
      </c>
      <c r="L2469">
        <v>504</v>
      </c>
      <c r="M2469">
        <v>0.8</v>
      </c>
      <c r="N2469">
        <v>288</v>
      </c>
      <c r="O2469">
        <v>1</v>
      </c>
      <c r="P2469">
        <v>0</v>
      </c>
      <c r="Q2469">
        <v>0</v>
      </c>
      <c r="R2469">
        <v>0</v>
      </c>
      <c r="S2469">
        <v>0</v>
      </c>
      <c r="T2469">
        <v>0.4098</v>
      </c>
      <c r="U2469">
        <v>-5.7000000000000002E-3</v>
      </c>
      <c r="V2469">
        <v>0</v>
      </c>
      <c r="W2469">
        <v>-0.32679999999999998</v>
      </c>
      <c r="X2469">
        <v>0.2104</v>
      </c>
      <c r="Y2469">
        <v>-1.2E-2</v>
      </c>
      <c r="Z2469">
        <v>197</v>
      </c>
      <c r="AA2469">
        <v>0.75</v>
      </c>
      <c r="AB2469">
        <v>271</v>
      </c>
      <c r="AC2469">
        <v>1.05</v>
      </c>
      <c r="AD2469">
        <v>0</v>
      </c>
      <c r="AE2469">
        <v>0</v>
      </c>
      <c r="AF2469">
        <v>1</v>
      </c>
      <c r="AG2469">
        <v>442</v>
      </c>
      <c r="AH2469">
        <v>0</v>
      </c>
    </row>
    <row r="2470" spans="1:34" x14ac:dyDescent="0.35">
      <c r="A2470" t="s">
        <v>37</v>
      </c>
      <c r="B2470" s="1">
        <v>46146.65625</v>
      </c>
      <c r="C2470" t="s">
        <v>37</v>
      </c>
      <c r="D2470" s="1">
        <v>46157.354166666664</v>
      </c>
      <c r="E2470">
        <v>6050</v>
      </c>
      <c r="F2470" t="s">
        <v>36</v>
      </c>
      <c r="G2470">
        <v>0.9</v>
      </c>
      <c r="H2470">
        <v>0.92</v>
      </c>
      <c r="I2470">
        <v>0.9</v>
      </c>
      <c r="J2470">
        <v>0.92</v>
      </c>
      <c r="K2470">
        <v>3</v>
      </c>
      <c r="L2470">
        <v>691</v>
      </c>
      <c r="M2470">
        <v>0.85</v>
      </c>
      <c r="N2470">
        <v>512</v>
      </c>
      <c r="O2470">
        <v>1</v>
      </c>
      <c r="P2470">
        <v>0</v>
      </c>
      <c r="Q2470">
        <v>0</v>
      </c>
      <c r="R2470">
        <v>0</v>
      </c>
      <c r="S2470">
        <v>0</v>
      </c>
      <c r="T2470">
        <v>0.40910000000000002</v>
      </c>
      <c r="U2470">
        <v>-5.8999999999999999E-3</v>
      </c>
      <c r="V2470">
        <v>0</v>
      </c>
      <c r="W2470">
        <v>-0.33439999999999998</v>
      </c>
      <c r="X2470">
        <v>0.2152</v>
      </c>
      <c r="Y2470">
        <v>-1.23E-2</v>
      </c>
      <c r="Z2470">
        <v>325</v>
      </c>
      <c r="AA2470">
        <v>0.75</v>
      </c>
      <c r="AB2470">
        <v>96</v>
      </c>
      <c r="AC2470">
        <v>1</v>
      </c>
      <c r="AD2470">
        <v>0</v>
      </c>
      <c r="AE2470">
        <v>0</v>
      </c>
      <c r="AF2470">
        <v>0.9133</v>
      </c>
      <c r="AG2470">
        <v>5570</v>
      </c>
      <c r="AH2470">
        <v>0</v>
      </c>
    </row>
    <row r="2471" spans="1:34" x14ac:dyDescent="0.35">
      <c r="A2471" t="s">
        <v>37</v>
      </c>
      <c r="B2471" s="1">
        <v>46146.65625</v>
      </c>
      <c r="C2471" t="s">
        <v>37</v>
      </c>
      <c r="D2471" s="1">
        <v>46157.354166666664</v>
      </c>
      <c r="E2471">
        <v>6055</v>
      </c>
      <c r="F2471" t="s">
        <v>36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265</v>
      </c>
      <c r="M2471">
        <v>0.85</v>
      </c>
      <c r="N2471">
        <v>434</v>
      </c>
      <c r="O2471">
        <v>1.05</v>
      </c>
      <c r="P2471">
        <v>0</v>
      </c>
      <c r="Q2471">
        <v>0</v>
      </c>
      <c r="R2471">
        <v>0</v>
      </c>
      <c r="S2471">
        <v>0</v>
      </c>
      <c r="T2471">
        <v>0.40860000000000002</v>
      </c>
      <c r="U2471">
        <v>-6.1000000000000004E-3</v>
      </c>
      <c r="V2471">
        <v>0</v>
      </c>
      <c r="W2471">
        <v>-0.34200000000000003</v>
      </c>
      <c r="X2471">
        <v>0.22</v>
      </c>
      <c r="Y2471">
        <v>-1.26E-2</v>
      </c>
      <c r="Z2471">
        <v>247</v>
      </c>
      <c r="AA2471">
        <v>0.75</v>
      </c>
      <c r="AB2471">
        <v>255</v>
      </c>
      <c r="AC2471">
        <v>1.05</v>
      </c>
      <c r="AD2471">
        <v>0</v>
      </c>
      <c r="AE2471">
        <v>0</v>
      </c>
      <c r="AF2471">
        <v>0</v>
      </c>
      <c r="AG2471">
        <v>353</v>
      </c>
      <c r="AH2471">
        <v>0</v>
      </c>
    </row>
    <row r="2472" spans="1:34" x14ac:dyDescent="0.35">
      <c r="A2472" t="s">
        <v>37</v>
      </c>
      <c r="B2472" s="1">
        <v>46146.65625</v>
      </c>
      <c r="C2472" t="s">
        <v>37</v>
      </c>
      <c r="D2472" s="1">
        <v>46157.354166666664</v>
      </c>
      <c r="E2472">
        <v>6060</v>
      </c>
      <c r="F2472" t="s">
        <v>36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469</v>
      </c>
      <c r="M2472">
        <v>0.85</v>
      </c>
      <c r="N2472">
        <v>513</v>
      </c>
      <c r="O2472">
        <v>1.05</v>
      </c>
      <c r="P2472">
        <v>0</v>
      </c>
      <c r="Q2472">
        <v>0</v>
      </c>
      <c r="R2472">
        <v>0</v>
      </c>
      <c r="S2472">
        <v>0</v>
      </c>
      <c r="T2472">
        <v>0.40689999999999998</v>
      </c>
      <c r="U2472">
        <v>-6.1000000000000004E-3</v>
      </c>
      <c r="V2472">
        <v>0</v>
      </c>
      <c r="W2472">
        <v>-0.34179999999999999</v>
      </c>
      <c r="X2472">
        <v>0.2208</v>
      </c>
      <c r="Y2472">
        <v>-1.2699999999999999E-2</v>
      </c>
      <c r="Z2472">
        <v>223</v>
      </c>
      <c r="AA2472">
        <v>0.8</v>
      </c>
      <c r="AB2472">
        <v>352</v>
      </c>
      <c r="AC2472">
        <v>1.05</v>
      </c>
      <c r="AD2472">
        <v>0</v>
      </c>
      <c r="AE2472">
        <v>0</v>
      </c>
      <c r="AF2472">
        <v>0</v>
      </c>
      <c r="AG2472">
        <v>377</v>
      </c>
      <c r="AH2472">
        <v>0</v>
      </c>
    </row>
    <row r="2473" spans="1:34" x14ac:dyDescent="0.35">
      <c r="A2473" t="s">
        <v>37</v>
      </c>
      <c r="B2473" s="1">
        <v>46146.65625</v>
      </c>
      <c r="C2473" t="s">
        <v>37</v>
      </c>
      <c r="D2473" s="1">
        <v>46157.354166666664</v>
      </c>
      <c r="E2473">
        <v>6065</v>
      </c>
      <c r="F2473" t="s">
        <v>36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386</v>
      </c>
      <c r="M2473">
        <v>0.85</v>
      </c>
      <c r="N2473">
        <v>475</v>
      </c>
      <c r="O2473">
        <v>1.05</v>
      </c>
      <c r="P2473">
        <v>0</v>
      </c>
      <c r="Q2473">
        <v>0</v>
      </c>
      <c r="R2473">
        <v>0</v>
      </c>
      <c r="S2473">
        <v>0</v>
      </c>
      <c r="T2473">
        <v>0.40529999999999999</v>
      </c>
      <c r="U2473">
        <v>-6.1000000000000004E-3</v>
      </c>
      <c r="V2473">
        <v>0</v>
      </c>
      <c r="W2473">
        <v>-0.34160000000000001</v>
      </c>
      <c r="X2473">
        <v>0.2215</v>
      </c>
      <c r="Y2473">
        <v>-1.2699999999999999E-2</v>
      </c>
      <c r="Z2473">
        <v>96</v>
      </c>
      <c r="AA2473">
        <v>0.8</v>
      </c>
      <c r="AB2473">
        <v>237</v>
      </c>
      <c r="AC2473">
        <v>1.05</v>
      </c>
      <c r="AD2473">
        <v>0</v>
      </c>
      <c r="AE2473">
        <v>0</v>
      </c>
      <c r="AF2473">
        <v>0</v>
      </c>
      <c r="AG2473">
        <v>145</v>
      </c>
      <c r="AH2473">
        <v>0</v>
      </c>
    </row>
    <row r="2474" spans="1:34" x14ac:dyDescent="0.35">
      <c r="A2474" t="s">
        <v>37</v>
      </c>
      <c r="B2474" s="1">
        <v>46146.65625</v>
      </c>
      <c r="C2474" t="s">
        <v>37</v>
      </c>
      <c r="D2474" s="1">
        <v>46157.354166666664</v>
      </c>
      <c r="E2474">
        <v>6070</v>
      </c>
      <c r="F2474" t="s">
        <v>36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810</v>
      </c>
      <c r="M2474">
        <v>0.85</v>
      </c>
      <c r="N2474">
        <v>331</v>
      </c>
      <c r="O2474">
        <v>1.05</v>
      </c>
      <c r="P2474">
        <v>0</v>
      </c>
      <c r="Q2474">
        <v>0</v>
      </c>
      <c r="R2474">
        <v>0</v>
      </c>
      <c r="S2474">
        <v>0</v>
      </c>
      <c r="T2474">
        <v>0.40360000000000001</v>
      </c>
      <c r="U2474">
        <v>-6.1000000000000004E-3</v>
      </c>
      <c r="V2474">
        <v>0</v>
      </c>
      <c r="W2474">
        <v>-0.34129999999999999</v>
      </c>
      <c r="X2474">
        <v>0.2223</v>
      </c>
      <c r="Y2474">
        <v>-1.2800000000000001E-2</v>
      </c>
      <c r="Z2474">
        <v>232</v>
      </c>
      <c r="AA2474">
        <v>0.8</v>
      </c>
      <c r="AB2474">
        <v>304</v>
      </c>
      <c r="AC2474">
        <v>1.05</v>
      </c>
      <c r="AD2474">
        <v>0</v>
      </c>
      <c r="AE2474">
        <v>0</v>
      </c>
      <c r="AF2474">
        <v>0</v>
      </c>
      <c r="AG2474">
        <v>190</v>
      </c>
      <c r="AH2474">
        <v>0</v>
      </c>
    </row>
    <row r="2475" spans="1:34" x14ac:dyDescent="0.35">
      <c r="A2475" t="s">
        <v>37</v>
      </c>
      <c r="B2475" s="1">
        <v>46146.65625</v>
      </c>
      <c r="C2475" t="s">
        <v>37</v>
      </c>
      <c r="D2475" s="1">
        <v>46157.354166666664</v>
      </c>
      <c r="E2475">
        <v>6075</v>
      </c>
      <c r="F2475" t="s">
        <v>36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1417</v>
      </c>
      <c r="M2475">
        <v>0.85</v>
      </c>
      <c r="N2475">
        <v>520</v>
      </c>
      <c r="O2475">
        <v>1.05</v>
      </c>
      <c r="P2475">
        <v>0</v>
      </c>
      <c r="Q2475">
        <v>0</v>
      </c>
      <c r="R2475">
        <v>0</v>
      </c>
      <c r="S2475">
        <v>0</v>
      </c>
      <c r="T2475">
        <v>0.40139999999999998</v>
      </c>
      <c r="U2475">
        <v>-6.1999999999999998E-3</v>
      </c>
      <c r="V2475">
        <v>0</v>
      </c>
      <c r="W2475">
        <v>-0.34110000000000001</v>
      </c>
      <c r="X2475">
        <v>0.22339999999999999</v>
      </c>
      <c r="Y2475">
        <v>-1.2800000000000001E-2</v>
      </c>
      <c r="Z2475">
        <v>248</v>
      </c>
      <c r="AA2475">
        <v>0.8</v>
      </c>
      <c r="AB2475">
        <v>176</v>
      </c>
      <c r="AC2475">
        <v>1.05</v>
      </c>
      <c r="AD2475">
        <v>0</v>
      </c>
      <c r="AE2475">
        <v>0</v>
      </c>
      <c r="AF2475">
        <v>0</v>
      </c>
      <c r="AG2475">
        <v>1624</v>
      </c>
      <c r="AH2475">
        <v>0</v>
      </c>
    </row>
    <row r="2476" spans="1:34" x14ac:dyDescent="0.35">
      <c r="A2476" t="s">
        <v>37</v>
      </c>
      <c r="B2476" s="1">
        <v>46146.65625</v>
      </c>
      <c r="C2476" t="s">
        <v>37</v>
      </c>
      <c r="D2476" s="1">
        <v>46157.354166666664</v>
      </c>
      <c r="E2476">
        <v>6080</v>
      </c>
      <c r="F2476" t="s">
        <v>36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350</v>
      </c>
      <c r="M2476">
        <v>0.9</v>
      </c>
      <c r="N2476">
        <v>284</v>
      </c>
      <c r="O2476">
        <v>1.05</v>
      </c>
      <c r="P2476">
        <v>0</v>
      </c>
      <c r="Q2476">
        <v>0</v>
      </c>
      <c r="R2476">
        <v>0</v>
      </c>
      <c r="S2476">
        <v>0</v>
      </c>
      <c r="T2476">
        <v>0.40110000000000001</v>
      </c>
      <c r="U2476">
        <v>-6.3E-3</v>
      </c>
      <c r="V2476">
        <v>0</v>
      </c>
      <c r="W2476">
        <v>-0.34860000000000002</v>
      </c>
      <c r="X2476">
        <v>0.2281</v>
      </c>
      <c r="Y2476">
        <v>-1.32E-2</v>
      </c>
      <c r="Z2476">
        <v>322</v>
      </c>
      <c r="AA2476">
        <v>0.8</v>
      </c>
      <c r="AB2476">
        <v>96</v>
      </c>
      <c r="AC2476">
        <v>1.05</v>
      </c>
      <c r="AD2476">
        <v>0</v>
      </c>
      <c r="AE2476">
        <v>0</v>
      </c>
      <c r="AF2476">
        <v>0</v>
      </c>
      <c r="AG2476">
        <v>560</v>
      </c>
      <c r="AH2476">
        <v>0</v>
      </c>
    </row>
    <row r="2477" spans="1:34" x14ac:dyDescent="0.35">
      <c r="A2477" t="s">
        <v>37</v>
      </c>
      <c r="B2477" s="1">
        <v>46146.65625</v>
      </c>
      <c r="C2477" t="s">
        <v>37</v>
      </c>
      <c r="D2477" s="1">
        <v>46157.354166666664</v>
      </c>
      <c r="E2477">
        <v>6085</v>
      </c>
      <c r="F2477" t="s">
        <v>36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247</v>
      </c>
      <c r="M2477">
        <v>0.9</v>
      </c>
      <c r="N2477">
        <v>424</v>
      </c>
      <c r="O2477">
        <v>1.1000000000000001</v>
      </c>
      <c r="P2477">
        <v>0</v>
      </c>
      <c r="Q2477">
        <v>0</v>
      </c>
      <c r="R2477">
        <v>0</v>
      </c>
      <c r="S2477">
        <v>0</v>
      </c>
      <c r="T2477">
        <v>0.40060000000000001</v>
      </c>
      <c r="U2477">
        <v>-6.4999999999999997E-3</v>
      </c>
      <c r="V2477">
        <v>0</v>
      </c>
      <c r="W2477">
        <v>-0.35610000000000003</v>
      </c>
      <c r="X2477">
        <v>0.2329</v>
      </c>
      <c r="Y2477">
        <v>-1.35E-2</v>
      </c>
      <c r="Z2477">
        <v>92</v>
      </c>
      <c r="AA2477">
        <v>0.85</v>
      </c>
      <c r="AB2477">
        <v>252</v>
      </c>
      <c r="AC2477">
        <v>1.1000000000000001</v>
      </c>
      <c r="AD2477">
        <v>0</v>
      </c>
      <c r="AE2477">
        <v>0</v>
      </c>
      <c r="AF2477">
        <v>0</v>
      </c>
      <c r="AG2477">
        <v>351</v>
      </c>
      <c r="AH2477">
        <v>0</v>
      </c>
    </row>
    <row r="2478" spans="1:34" x14ac:dyDescent="0.35">
      <c r="A2478" t="s">
        <v>37</v>
      </c>
      <c r="B2478" s="1">
        <v>46146.65625</v>
      </c>
      <c r="C2478" t="s">
        <v>37</v>
      </c>
      <c r="D2478" s="1">
        <v>46157.354166666664</v>
      </c>
      <c r="E2478">
        <v>6090</v>
      </c>
      <c r="F2478" t="s">
        <v>36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451</v>
      </c>
      <c r="M2478">
        <v>0.9</v>
      </c>
      <c r="N2478">
        <v>519</v>
      </c>
      <c r="O2478">
        <v>1.1000000000000001</v>
      </c>
      <c r="P2478">
        <v>0</v>
      </c>
      <c r="Q2478">
        <v>0</v>
      </c>
      <c r="R2478">
        <v>0</v>
      </c>
      <c r="S2478">
        <v>0</v>
      </c>
      <c r="T2478">
        <v>0.39879999999999999</v>
      </c>
      <c r="U2478">
        <v>-6.4999999999999997E-3</v>
      </c>
      <c r="V2478">
        <v>0</v>
      </c>
      <c r="W2478">
        <v>-0.35580000000000001</v>
      </c>
      <c r="X2478">
        <v>0.23380000000000001</v>
      </c>
      <c r="Y2478">
        <v>-1.35E-2</v>
      </c>
      <c r="Z2478">
        <v>210</v>
      </c>
      <c r="AA2478">
        <v>0.85</v>
      </c>
      <c r="AB2478">
        <v>321</v>
      </c>
      <c r="AC2478">
        <v>1.1000000000000001</v>
      </c>
      <c r="AD2478">
        <v>0</v>
      </c>
      <c r="AE2478">
        <v>0</v>
      </c>
      <c r="AF2478">
        <v>0</v>
      </c>
      <c r="AG2478">
        <v>1328</v>
      </c>
      <c r="AH2478">
        <v>0</v>
      </c>
    </row>
    <row r="2479" spans="1:34" x14ac:dyDescent="0.35">
      <c r="A2479" t="s">
        <v>37</v>
      </c>
      <c r="B2479" s="1">
        <v>46146.65625</v>
      </c>
      <c r="C2479" t="s">
        <v>37</v>
      </c>
      <c r="D2479" s="1">
        <v>46157.354166666664</v>
      </c>
      <c r="E2479">
        <v>6095</v>
      </c>
      <c r="F2479" t="s">
        <v>36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385</v>
      </c>
      <c r="M2479">
        <v>0.9</v>
      </c>
      <c r="N2479">
        <v>394</v>
      </c>
      <c r="O2479">
        <v>1.1000000000000001</v>
      </c>
      <c r="P2479">
        <v>0</v>
      </c>
      <c r="Q2479">
        <v>0</v>
      </c>
      <c r="R2479">
        <v>0</v>
      </c>
      <c r="S2479">
        <v>0</v>
      </c>
      <c r="T2479">
        <v>0.39739999999999998</v>
      </c>
      <c r="U2479">
        <v>-6.4999999999999997E-3</v>
      </c>
      <c r="V2479">
        <v>0</v>
      </c>
      <c r="W2479">
        <v>-0.35560000000000003</v>
      </c>
      <c r="X2479">
        <v>0.23449999999999999</v>
      </c>
      <c r="Y2479">
        <v>-1.3599999999999999E-2</v>
      </c>
      <c r="Z2479">
        <v>100</v>
      </c>
      <c r="AA2479">
        <v>0.85</v>
      </c>
      <c r="AB2479">
        <v>231</v>
      </c>
      <c r="AC2479">
        <v>1.1000000000000001</v>
      </c>
      <c r="AD2479">
        <v>0</v>
      </c>
      <c r="AE2479">
        <v>0</v>
      </c>
      <c r="AF2479">
        <v>0</v>
      </c>
      <c r="AG2479">
        <v>304</v>
      </c>
      <c r="AH2479">
        <v>0</v>
      </c>
    </row>
    <row r="2480" spans="1:34" x14ac:dyDescent="0.35">
      <c r="A2480" t="s">
        <v>37</v>
      </c>
      <c r="B2480" s="1">
        <v>46146.65625</v>
      </c>
      <c r="C2480" t="s">
        <v>37</v>
      </c>
      <c r="D2480" s="1">
        <v>46157.354166666664</v>
      </c>
      <c r="E2480">
        <v>6100</v>
      </c>
      <c r="F2480" t="s">
        <v>36</v>
      </c>
      <c r="G2480">
        <v>0.75</v>
      </c>
      <c r="H2480">
        <v>1.5</v>
      </c>
      <c r="I2480">
        <v>0.75</v>
      </c>
      <c r="J2480">
        <v>1</v>
      </c>
      <c r="K2480">
        <v>101</v>
      </c>
      <c r="L2480">
        <v>1336</v>
      </c>
      <c r="M2480">
        <v>0.9</v>
      </c>
      <c r="N2480">
        <v>720</v>
      </c>
      <c r="O2480">
        <v>1.1000000000000001</v>
      </c>
      <c r="P2480">
        <v>0</v>
      </c>
      <c r="Q2480">
        <v>0</v>
      </c>
      <c r="R2480">
        <v>0</v>
      </c>
      <c r="S2480">
        <v>0</v>
      </c>
      <c r="T2480">
        <v>0.39529999999999998</v>
      </c>
      <c r="U2480">
        <v>-6.4999999999999997E-3</v>
      </c>
      <c r="V2480">
        <v>0</v>
      </c>
      <c r="W2480">
        <v>-0.35539999999999999</v>
      </c>
      <c r="X2480">
        <v>0.2356</v>
      </c>
      <c r="Y2480">
        <v>-1.3599999999999999E-2</v>
      </c>
      <c r="Z2480">
        <v>238</v>
      </c>
      <c r="AA2480">
        <v>0.85</v>
      </c>
      <c r="AB2480">
        <v>242</v>
      </c>
      <c r="AC2480">
        <v>1.1000000000000001</v>
      </c>
      <c r="AD2480">
        <v>0</v>
      </c>
      <c r="AE2480">
        <v>0</v>
      </c>
      <c r="AF2480">
        <v>0.86250000000000004</v>
      </c>
      <c r="AG2480">
        <v>10771</v>
      </c>
      <c r="AH2480">
        <v>0</v>
      </c>
    </row>
    <row r="2481" spans="1:34" x14ac:dyDescent="0.35">
      <c r="A2481" t="s">
        <v>37</v>
      </c>
      <c r="B2481" s="1">
        <v>46146.65625</v>
      </c>
      <c r="C2481" t="s">
        <v>37</v>
      </c>
      <c r="D2481" s="1">
        <v>46157.354166666664</v>
      </c>
      <c r="E2481">
        <v>6105</v>
      </c>
      <c r="F2481" t="s">
        <v>36</v>
      </c>
      <c r="G2481">
        <v>0.81</v>
      </c>
      <c r="H2481">
        <v>1.45</v>
      </c>
      <c r="I2481">
        <v>0.75</v>
      </c>
      <c r="J2481">
        <v>1.45</v>
      </c>
      <c r="K2481">
        <v>87</v>
      </c>
      <c r="L2481">
        <v>1005</v>
      </c>
      <c r="M2481">
        <v>0.9</v>
      </c>
      <c r="N2481">
        <v>515</v>
      </c>
      <c r="O2481">
        <v>1.1000000000000001</v>
      </c>
      <c r="P2481">
        <v>0</v>
      </c>
      <c r="Q2481">
        <v>0</v>
      </c>
      <c r="R2481">
        <v>0</v>
      </c>
      <c r="S2481">
        <v>0</v>
      </c>
      <c r="T2481">
        <v>0.39400000000000002</v>
      </c>
      <c r="U2481">
        <v>-6.6E-3</v>
      </c>
      <c r="V2481">
        <v>0</v>
      </c>
      <c r="W2481">
        <v>-0.35520000000000002</v>
      </c>
      <c r="X2481">
        <v>0.23630000000000001</v>
      </c>
      <c r="Y2481">
        <v>-1.37E-2</v>
      </c>
      <c r="Z2481">
        <v>151</v>
      </c>
      <c r="AA2481">
        <v>0.85</v>
      </c>
      <c r="AB2481">
        <v>285</v>
      </c>
      <c r="AC2481">
        <v>1.1499999999999999</v>
      </c>
      <c r="AD2481">
        <v>0</v>
      </c>
      <c r="AE2481">
        <v>0</v>
      </c>
      <c r="AF2481">
        <v>0.80610000000000004</v>
      </c>
      <c r="AG2481">
        <v>535</v>
      </c>
      <c r="AH2481">
        <v>0</v>
      </c>
    </row>
    <row r="2482" spans="1:34" x14ac:dyDescent="0.35">
      <c r="A2482" t="s">
        <v>37</v>
      </c>
      <c r="B2482" s="1">
        <v>46146.65625</v>
      </c>
      <c r="C2482" t="s">
        <v>37</v>
      </c>
      <c r="D2482" s="1">
        <v>46157.354166666664</v>
      </c>
      <c r="E2482">
        <v>6110</v>
      </c>
      <c r="F2482" t="s">
        <v>36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354</v>
      </c>
      <c r="M2482">
        <v>0.95</v>
      </c>
      <c r="N2482">
        <v>267</v>
      </c>
      <c r="O2482">
        <v>1.1000000000000001</v>
      </c>
      <c r="P2482">
        <v>0</v>
      </c>
      <c r="Q2482">
        <v>0</v>
      </c>
      <c r="R2482">
        <v>0</v>
      </c>
      <c r="S2482">
        <v>0</v>
      </c>
      <c r="T2482">
        <v>0.39319999999999999</v>
      </c>
      <c r="U2482">
        <v>-6.7000000000000002E-3</v>
      </c>
      <c r="V2482">
        <v>0</v>
      </c>
      <c r="W2482">
        <v>-0.36249999999999999</v>
      </c>
      <c r="X2482">
        <v>0.2412</v>
      </c>
      <c r="Y2482">
        <v>-1.4E-2</v>
      </c>
      <c r="Z2482">
        <v>313</v>
      </c>
      <c r="AA2482">
        <v>0.85</v>
      </c>
      <c r="AB2482">
        <v>335</v>
      </c>
      <c r="AC2482">
        <v>1.1499999999999999</v>
      </c>
      <c r="AD2482">
        <v>0</v>
      </c>
      <c r="AE2482">
        <v>0</v>
      </c>
      <c r="AF2482">
        <v>0</v>
      </c>
      <c r="AG2482">
        <v>285</v>
      </c>
      <c r="AH2482">
        <v>0</v>
      </c>
    </row>
    <row r="2483" spans="1:34" x14ac:dyDescent="0.35">
      <c r="A2483" t="s">
        <v>37</v>
      </c>
      <c r="B2483" s="1">
        <v>46146.65625</v>
      </c>
      <c r="C2483" t="s">
        <v>37</v>
      </c>
      <c r="D2483" s="1">
        <v>46157.354166666664</v>
      </c>
      <c r="E2483">
        <v>6115</v>
      </c>
      <c r="F2483" t="s">
        <v>36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258</v>
      </c>
      <c r="M2483">
        <v>0.95</v>
      </c>
      <c r="N2483">
        <v>429</v>
      </c>
      <c r="O2483">
        <v>1.1499999999999999</v>
      </c>
      <c r="P2483">
        <v>0</v>
      </c>
      <c r="Q2483">
        <v>0</v>
      </c>
      <c r="R2483">
        <v>0</v>
      </c>
      <c r="S2483">
        <v>0</v>
      </c>
      <c r="T2483">
        <v>0.39240000000000003</v>
      </c>
      <c r="U2483">
        <v>-6.8999999999999999E-3</v>
      </c>
      <c r="V2483">
        <v>0</v>
      </c>
      <c r="W2483">
        <v>-0.36980000000000002</v>
      </c>
      <c r="X2483">
        <v>0.2462</v>
      </c>
      <c r="Y2483">
        <v>-1.43E-2</v>
      </c>
      <c r="Z2483">
        <v>90</v>
      </c>
      <c r="AA2483">
        <v>0.9</v>
      </c>
      <c r="AB2483">
        <v>238</v>
      </c>
      <c r="AC2483">
        <v>1.1499999999999999</v>
      </c>
      <c r="AD2483">
        <v>0</v>
      </c>
      <c r="AE2483">
        <v>0</v>
      </c>
      <c r="AF2483">
        <v>0</v>
      </c>
      <c r="AG2483">
        <v>567</v>
      </c>
      <c r="AH2483">
        <v>0</v>
      </c>
    </row>
    <row r="2484" spans="1:34" x14ac:dyDescent="0.35">
      <c r="A2484" t="s">
        <v>37</v>
      </c>
      <c r="B2484" s="1">
        <v>46146.65625</v>
      </c>
      <c r="C2484" t="s">
        <v>37</v>
      </c>
      <c r="D2484" s="1">
        <v>46157.354166666664</v>
      </c>
      <c r="E2484">
        <v>6120</v>
      </c>
      <c r="F2484" t="s">
        <v>36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635</v>
      </c>
      <c r="M2484">
        <v>0.95</v>
      </c>
      <c r="N2484">
        <v>476</v>
      </c>
      <c r="O2484">
        <v>1.1499999999999999</v>
      </c>
      <c r="P2484">
        <v>0</v>
      </c>
      <c r="Q2484">
        <v>0</v>
      </c>
      <c r="R2484">
        <v>0</v>
      </c>
      <c r="S2484">
        <v>0</v>
      </c>
      <c r="T2484">
        <v>0.3906</v>
      </c>
      <c r="U2484">
        <v>-6.8999999999999999E-3</v>
      </c>
      <c r="V2484">
        <v>0</v>
      </c>
      <c r="W2484">
        <v>-0.36959999999999998</v>
      </c>
      <c r="X2484">
        <v>0.2472</v>
      </c>
      <c r="Y2484">
        <v>-1.44E-2</v>
      </c>
      <c r="Z2484">
        <v>211</v>
      </c>
      <c r="AA2484">
        <v>0.9</v>
      </c>
      <c r="AB2484">
        <v>314</v>
      </c>
      <c r="AC2484">
        <v>1.1499999999999999</v>
      </c>
      <c r="AD2484">
        <v>0</v>
      </c>
      <c r="AE2484">
        <v>0</v>
      </c>
      <c r="AF2484">
        <v>0</v>
      </c>
      <c r="AG2484">
        <v>619</v>
      </c>
      <c r="AH2484">
        <v>0</v>
      </c>
    </row>
    <row r="2485" spans="1:34" x14ac:dyDescent="0.35">
      <c r="A2485" t="s">
        <v>37</v>
      </c>
      <c r="B2485" s="1">
        <v>46146.65625</v>
      </c>
      <c r="C2485" t="s">
        <v>37</v>
      </c>
      <c r="D2485" s="1">
        <v>46157.354166666664</v>
      </c>
      <c r="E2485">
        <v>6125</v>
      </c>
      <c r="F2485" t="s">
        <v>36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1261</v>
      </c>
      <c r="M2485">
        <v>0.95</v>
      </c>
      <c r="N2485">
        <v>671</v>
      </c>
      <c r="O2485">
        <v>1.1499999999999999</v>
      </c>
      <c r="P2485">
        <v>0</v>
      </c>
      <c r="Q2485">
        <v>0</v>
      </c>
      <c r="R2485">
        <v>0</v>
      </c>
      <c r="S2485">
        <v>0</v>
      </c>
      <c r="T2485">
        <v>0.38890000000000002</v>
      </c>
      <c r="U2485">
        <v>-6.8999999999999999E-3</v>
      </c>
      <c r="V2485">
        <v>0</v>
      </c>
      <c r="W2485">
        <v>-0.36930000000000002</v>
      </c>
      <c r="X2485">
        <v>0.24809999999999999</v>
      </c>
      <c r="Y2485">
        <v>-1.4500000000000001E-2</v>
      </c>
      <c r="Z2485">
        <v>222</v>
      </c>
      <c r="AA2485">
        <v>0.9</v>
      </c>
      <c r="AB2485">
        <v>242</v>
      </c>
      <c r="AC2485">
        <v>1.1499999999999999</v>
      </c>
      <c r="AD2485">
        <v>0</v>
      </c>
      <c r="AE2485">
        <v>0</v>
      </c>
      <c r="AF2485">
        <v>0</v>
      </c>
      <c r="AG2485">
        <v>3984</v>
      </c>
      <c r="AH2485">
        <v>0</v>
      </c>
    </row>
    <row r="2486" spans="1:34" x14ac:dyDescent="0.35">
      <c r="A2486" t="s">
        <v>37</v>
      </c>
      <c r="B2486" s="1">
        <v>46146.65625</v>
      </c>
      <c r="C2486" t="s">
        <v>37</v>
      </c>
      <c r="D2486" s="1">
        <v>46157.354166666664</v>
      </c>
      <c r="E2486">
        <v>6130</v>
      </c>
      <c r="F2486" t="s">
        <v>36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994</v>
      </c>
      <c r="M2486">
        <v>0.95</v>
      </c>
      <c r="N2486">
        <v>284</v>
      </c>
      <c r="O2486">
        <v>1.1499999999999999</v>
      </c>
      <c r="P2486">
        <v>0</v>
      </c>
      <c r="Q2486">
        <v>0</v>
      </c>
      <c r="R2486">
        <v>0</v>
      </c>
      <c r="S2486">
        <v>0</v>
      </c>
      <c r="T2486">
        <v>0.38729999999999998</v>
      </c>
      <c r="U2486">
        <v>-7.0000000000000001E-3</v>
      </c>
      <c r="V2486">
        <v>0</v>
      </c>
      <c r="W2486">
        <v>-0.36909999999999998</v>
      </c>
      <c r="X2486">
        <v>0.249</v>
      </c>
      <c r="Y2486">
        <v>-1.4500000000000001E-2</v>
      </c>
      <c r="Z2486">
        <v>218</v>
      </c>
      <c r="AA2486">
        <v>0.9</v>
      </c>
      <c r="AB2486">
        <v>96</v>
      </c>
      <c r="AC2486">
        <v>1.1499999999999999</v>
      </c>
      <c r="AD2486">
        <v>0</v>
      </c>
      <c r="AE2486">
        <v>0</v>
      </c>
      <c r="AF2486">
        <v>0</v>
      </c>
      <c r="AG2486">
        <v>577</v>
      </c>
      <c r="AH2486">
        <v>0</v>
      </c>
    </row>
    <row r="2487" spans="1:34" x14ac:dyDescent="0.35">
      <c r="A2487" t="s">
        <v>37</v>
      </c>
      <c r="B2487" s="1">
        <v>46146.65625</v>
      </c>
      <c r="C2487" t="s">
        <v>37</v>
      </c>
      <c r="D2487" s="1">
        <v>46157.354166666664</v>
      </c>
      <c r="E2487">
        <v>6135</v>
      </c>
      <c r="F2487" t="s">
        <v>36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240</v>
      </c>
      <c r="M2487">
        <v>1</v>
      </c>
      <c r="N2487">
        <v>258</v>
      </c>
      <c r="O2487">
        <v>1.1499999999999999</v>
      </c>
      <c r="P2487">
        <v>0</v>
      </c>
      <c r="Q2487">
        <v>0</v>
      </c>
      <c r="R2487">
        <v>0</v>
      </c>
      <c r="S2487">
        <v>0</v>
      </c>
      <c r="T2487">
        <v>0.38640000000000002</v>
      </c>
      <c r="U2487">
        <v>-7.1000000000000004E-3</v>
      </c>
      <c r="V2487">
        <v>0</v>
      </c>
      <c r="W2487">
        <v>-0.37640000000000001</v>
      </c>
      <c r="X2487">
        <v>0.25409999999999999</v>
      </c>
      <c r="Y2487">
        <v>-1.49E-2</v>
      </c>
      <c r="Z2487">
        <v>124</v>
      </c>
      <c r="AA2487">
        <v>0.9</v>
      </c>
      <c r="AB2487">
        <v>228</v>
      </c>
      <c r="AC2487">
        <v>1.2</v>
      </c>
      <c r="AD2487">
        <v>0</v>
      </c>
      <c r="AE2487">
        <v>0</v>
      </c>
      <c r="AF2487">
        <v>0</v>
      </c>
      <c r="AG2487">
        <v>321</v>
      </c>
      <c r="AH2487">
        <v>0</v>
      </c>
    </row>
    <row r="2488" spans="1:34" x14ac:dyDescent="0.35">
      <c r="A2488" t="s">
        <v>37</v>
      </c>
      <c r="B2488" s="1">
        <v>46146.65625</v>
      </c>
      <c r="C2488" t="s">
        <v>37</v>
      </c>
      <c r="D2488" s="1">
        <v>46157.354166666664</v>
      </c>
      <c r="E2488">
        <v>6140</v>
      </c>
      <c r="F2488" t="s">
        <v>36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357</v>
      </c>
      <c r="M2488">
        <v>1</v>
      </c>
      <c r="N2488">
        <v>460</v>
      </c>
      <c r="O2488">
        <v>1.2</v>
      </c>
      <c r="P2488">
        <v>0</v>
      </c>
      <c r="Q2488">
        <v>0</v>
      </c>
      <c r="R2488">
        <v>0</v>
      </c>
      <c r="S2488">
        <v>0</v>
      </c>
      <c r="T2488">
        <v>0.38579999999999998</v>
      </c>
      <c r="U2488">
        <v>-7.3000000000000001E-3</v>
      </c>
      <c r="V2488">
        <v>0</v>
      </c>
      <c r="W2488">
        <v>-0.3836</v>
      </c>
      <c r="X2488">
        <v>0.2591</v>
      </c>
      <c r="Y2488">
        <v>-1.52E-2</v>
      </c>
      <c r="Z2488">
        <v>200</v>
      </c>
      <c r="AA2488">
        <v>0.95</v>
      </c>
      <c r="AB2488">
        <v>320</v>
      </c>
      <c r="AC2488">
        <v>1.2</v>
      </c>
      <c r="AD2488">
        <v>0</v>
      </c>
      <c r="AE2488">
        <v>0</v>
      </c>
      <c r="AF2488">
        <v>0</v>
      </c>
      <c r="AG2488">
        <v>531</v>
      </c>
      <c r="AH2488">
        <v>0</v>
      </c>
    </row>
    <row r="2489" spans="1:34" x14ac:dyDescent="0.35">
      <c r="A2489" t="s">
        <v>37</v>
      </c>
      <c r="B2489" s="1">
        <v>46146.65625</v>
      </c>
      <c r="C2489" t="s">
        <v>37</v>
      </c>
      <c r="D2489" s="1">
        <v>46157.354166666664</v>
      </c>
      <c r="E2489">
        <v>6145</v>
      </c>
      <c r="F2489" t="s">
        <v>36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306</v>
      </c>
      <c r="M2489">
        <v>1</v>
      </c>
      <c r="N2489">
        <v>452</v>
      </c>
      <c r="O2489">
        <v>1.2</v>
      </c>
      <c r="P2489">
        <v>0</v>
      </c>
      <c r="Q2489">
        <v>0</v>
      </c>
      <c r="R2489">
        <v>0</v>
      </c>
      <c r="S2489">
        <v>0</v>
      </c>
      <c r="T2489">
        <v>0.38419999999999999</v>
      </c>
      <c r="U2489">
        <v>-7.3000000000000001E-3</v>
      </c>
      <c r="V2489">
        <v>0</v>
      </c>
      <c r="W2489">
        <v>-0.38329999999999997</v>
      </c>
      <c r="X2489">
        <v>0.26</v>
      </c>
      <c r="Y2489">
        <v>-1.52E-2</v>
      </c>
      <c r="Z2489">
        <v>92</v>
      </c>
      <c r="AA2489">
        <v>0.95</v>
      </c>
      <c r="AB2489">
        <v>232</v>
      </c>
      <c r="AC2489">
        <v>1.2</v>
      </c>
      <c r="AD2489">
        <v>0</v>
      </c>
      <c r="AE2489">
        <v>0</v>
      </c>
      <c r="AF2489">
        <v>0</v>
      </c>
      <c r="AG2489">
        <v>193</v>
      </c>
      <c r="AH2489">
        <v>0</v>
      </c>
    </row>
    <row r="2490" spans="1:34" x14ac:dyDescent="0.35">
      <c r="A2490" t="s">
        <v>37</v>
      </c>
      <c r="B2490" s="1">
        <v>46146.65625</v>
      </c>
      <c r="C2490" t="s">
        <v>37</v>
      </c>
      <c r="D2490" s="1">
        <v>46157.354166666664</v>
      </c>
      <c r="E2490">
        <v>6150</v>
      </c>
      <c r="F2490" t="s">
        <v>36</v>
      </c>
      <c r="G2490">
        <v>1.45</v>
      </c>
      <c r="H2490">
        <v>1.45</v>
      </c>
      <c r="I2490">
        <v>1.1000000000000001</v>
      </c>
      <c r="J2490">
        <v>1.1000000000000001</v>
      </c>
      <c r="K2490">
        <v>52</v>
      </c>
      <c r="L2490">
        <v>1224</v>
      </c>
      <c r="M2490">
        <v>1</v>
      </c>
      <c r="N2490">
        <v>685</v>
      </c>
      <c r="O2490">
        <v>1.2</v>
      </c>
      <c r="P2490">
        <v>0</v>
      </c>
      <c r="Q2490">
        <v>0</v>
      </c>
      <c r="R2490">
        <v>0</v>
      </c>
      <c r="S2490">
        <v>0</v>
      </c>
      <c r="T2490">
        <v>0.38229999999999997</v>
      </c>
      <c r="U2490">
        <v>-7.3000000000000001E-3</v>
      </c>
      <c r="V2490">
        <v>0</v>
      </c>
      <c r="W2490">
        <v>-0.38300000000000001</v>
      </c>
      <c r="X2490">
        <v>0.26119999999999999</v>
      </c>
      <c r="Y2490">
        <v>-1.5299999999999999E-2</v>
      </c>
      <c r="Z2490">
        <v>215</v>
      </c>
      <c r="AA2490">
        <v>0.95</v>
      </c>
      <c r="AB2490">
        <v>192</v>
      </c>
      <c r="AC2490">
        <v>1.2</v>
      </c>
      <c r="AD2490">
        <v>0</v>
      </c>
      <c r="AE2490">
        <v>0</v>
      </c>
      <c r="AF2490">
        <v>1.1134999999999999</v>
      </c>
      <c r="AG2490">
        <v>7561</v>
      </c>
      <c r="AH2490">
        <v>0</v>
      </c>
    </row>
    <row r="2491" spans="1:34" x14ac:dyDescent="0.35">
      <c r="A2491" t="s">
        <v>37</v>
      </c>
      <c r="B2491" s="1">
        <v>46146.65625</v>
      </c>
      <c r="C2491" t="s">
        <v>37</v>
      </c>
      <c r="D2491" s="1">
        <v>46157.354166666664</v>
      </c>
      <c r="E2491">
        <v>6155</v>
      </c>
      <c r="F2491" t="s">
        <v>36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478</v>
      </c>
      <c r="M2491">
        <v>1</v>
      </c>
      <c r="N2491">
        <v>280</v>
      </c>
      <c r="O2491">
        <v>1.2</v>
      </c>
      <c r="P2491">
        <v>0</v>
      </c>
      <c r="Q2491">
        <v>0</v>
      </c>
      <c r="R2491">
        <v>0</v>
      </c>
      <c r="S2491">
        <v>0</v>
      </c>
      <c r="T2491">
        <v>0.38069999999999998</v>
      </c>
      <c r="U2491">
        <v>-7.4000000000000003E-3</v>
      </c>
      <c r="V2491">
        <v>0</v>
      </c>
      <c r="W2491">
        <v>-0.38279999999999997</v>
      </c>
      <c r="X2491">
        <v>0.2621</v>
      </c>
      <c r="Y2491">
        <v>-1.54E-2</v>
      </c>
      <c r="Z2491">
        <v>122</v>
      </c>
      <c r="AA2491">
        <v>0.95</v>
      </c>
      <c r="AB2491">
        <v>254</v>
      </c>
      <c r="AC2491">
        <v>1.25</v>
      </c>
      <c r="AD2491">
        <v>0</v>
      </c>
      <c r="AE2491">
        <v>0</v>
      </c>
      <c r="AF2491">
        <v>0</v>
      </c>
      <c r="AG2491">
        <v>404</v>
      </c>
      <c r="AH2491">
        <v>0</v>
      </c>
    </row>
    <row r="2492" spans="1:34" x14ac:dyDescent="0.35">
      <c r="A2492" t="s">
        <v>37</v>
      </c>
      <c r="B2492" s="1">
        <v>46146.65625</v>
      </c>
      <c r="C2492" t="s">
        <v>37</v>
      </c>
      <c r="D2492" s="1">
        <v>46157.354166666664</v>
      </c>
      <c r="E2492">
        <v>6160</v>
      </c>
      <c r="F2492" t="s">
        <v>36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721</v>
      </c>
      <c r="M2492">
        <v>1.05</v>
      </c>
      <c r="N2492">
        <v>465</v>
      </c>
      <c r="O2492">
        <v>1.2</v>
      </c>
      <c r="P2492">
        <v>0</v>
      </c>
      <c r="Q2492">
        <v>0</v>
      </c>
      <c r="R2492">
        <v>0</v>
      </c>
      <c r="S2492">
        <v>0</v>
      </c>
      <c r="T2492">
        <v>0.37980000000000003</v>
      </c>
      <c r="U2492">
        <v>-7.4999999999999997E-3</v>
      </c>
      <c r="V2492">
        <v>0</v>
      </c>
      <c r="W2492">
        <v>-0.38990000000000002</v>
      </c>
      <c r="X2492">
        <v>0.26729999999999998</v>
      </c>
      <c r="Y2492">
        <v>-1.5699999999999999E-2</v>
      </c>
      <c r="Z2492">
        <v>258</v>
      </c>
      <c r="AA2492">
        <v>0.95</v>
      </c>
      <c r="AB2492">
        <v>337</v>
      </c>
      <c r="AC2492">
        <v>1.25</v>
      </c>
      <c r="AD2492">
        <v>0</v>
      </c>
      <c r="AE2492">
        <v>0</v>
      </c>
      <c r="AF2492">
        <v>0</v>
      </c>
      <c r="AG2492">
        <v>1077</v>
      </c>
      <c r="AH2492">
        <v>0</v>
      </c>
    </row>
    <row r="2493" spans="1:34" x14ac:dyDescent="0.35">
      <c r="A2493" t="s">
        <v>37</v>
      </c>
      <c r="B2493" s="1">
        <v>46146.65625</v>
      </c>
      <c r="C2493" t="s">
        <v>37</v>
      </c>
      <c r="D2493" s="1">
        <v>46157.354166666664</v>
      </c>
      <c r="E2493">
        <v>6165</v>
      </c>
      <c r="F2493" t="s">
        <v>36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260</v>
      </c>
      <c r="M2493">
        <v>1.05</v>
      </c>
      <c r="N2493">
        <v>416</v>
      </c>
      <c r="O2493">
        <v>1.25</v>
      </c>
      <c r="P2493">
        <v>0</v>
      </c>
      <c r="Q2493">
        <v>0</v>
      </c>
      <c r="R2493">
        <v>0</v>
      </c>
      <c r="S2493">
        <v>0</v>
      </c>
      <c r="T2493">
        <v>0.379</v>
      </c>
      <c r="U2493">
        <v>-7.7000000000000002E-3</v>
      </c>
      <c r="V2493">
        <v>0</v>
      </c>
      <c r="W2493">
        <v>-0.39700000000000002</v>
      </c>
      <c r="X2493">
        <v>0.27250000000000002</v>
      </c>
      <c r="Y2493">
        <v>-1.6E-2</v>
      </c>
      <c r="Z2493">
        <v>73</v>
      </c>
      <c r="AA2493">
        <v>1</v>
      </c>
      <c r="AB2493">
        <v>232</v>
      </c>
      <c r="AC2493">
        <v>1.25</v>
      </c>
      <c r="AD2493">
        <v>0</v>
      </c>
      <c r="AE2493">
        <v>0</v>
      </c>
      <c r="AF2493">
        <v>0</v>
      </c>
      <c r="AG2493">
        <v>215</v>
      </c>
      <c r="AH2493">
        <v>0</v>
      </c>
    </row>
    <row r="2494" spans="1:34" x14ac:dyDescent="0.35">
      <c r="A2494" t="s">
        <v>37</v>
      </c>
      <c r="B2494" s="1">
        <v>46146.65625</v>
      </c>
      <c r="C2494" t="s">
        <v>37</v>
      </c>
      <c r="D2494" s="1">
        <v>46157.354166666664</v>
      </c>
      <c r="E2494">
        <v>6170</v>
      </c>
      <c r="F2494" t="s">
        <v>36</v>
      </c>
      <c r="G2494">
        <v>1.4</v>
      </c>
      <c r="H2494">
        <v>1.4</v>
      </c>
      <c r="I2494">
        <v>1.4</v>
      </c>
      <c r="J2494">
        <v>1.4</v>
      </c>
      <c r="K2494">
        <v>10</v>
      </c>
      <c r="L2494">
        <v>1069</v>
      </c>
      <c r="M2494">
        <v>1.05</v>
      </c>
      <c r="N2494">
        <v>720</v>
      </c>
      <c r="O2494">
        <v>1.25</v>
      </c>
      <c r="P2494">
        <v>0</v>
      </c>
      <c r="Q2494">
        <v>0</v>
      </c>
      <c r="R2494">
        <v>0</v>
      </c>
      <c r="S2494">
        <v>0</v>
      </c>
      <c r="T2494">
        <v>0.37709999999999999</v>
      </c>
      <c r="U2494">
        <v>-7.7000000000000002E-3</v>
      </c>
      <c r="V2494">
        <v>1E-4</v>
      </c>
      <c r="W2494">
        <v>-0.3967</v>
      </c>
      <c r="X2494">
        <v>0.27360000000000001</v>
      </c>
      <c r="Y2494">
        <v>-1.61E-2</v>
      </c>
      <c r="Z2494">
        <v>217</v>
      </c>
      <c r="AA2494">
        <v>1</v>
      </c>
      <c r="AB2494">
        <v>242</v>
      </c>
      <c r="AC2494">
        <v>1.25</v>
      </c>
      <c r="AD2494">
        <v>0</v>
      </c>
      <c r="AE2494">
        <v>0</v>
      </c>
      <c r="AF2494">
        <v>1.4</v>
      </c>
      <c r="AG2494">
        <v>1061</v>
      </c>
      <c r="AH2494">
        <v>0</v>
      </c>
    </row>
    <row r="2495" spans="1:34" x14ac:dyDescent="0.35">
      <c r="A2495" t="s">
        <v>37</v>
      </c>
      <c r="B2495" s="1">
        <v>46146.65625</v>
      </c>
      <c r="C2495" t="s">
        <v>37</v>
      </c>
      <c r="D2495" s="1">
        <v>46157.354166666664</v>
      </c>
      <c r="E2495">
        <v>6175</v>
      </c>
      <c r="F2495" t="s">
        <v>36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1140</v>
      </c>
      <c r="M2495">
        <v>1.05</v>
      </c>
      <c r="N2495">
        <v>497</v>
      </c>
      <c r="O2495">
        <v>1.25</v>
      </c>
      <c r="P2495">
        <v>0</v>
      </c>
      <c r="Q2495">
        <v>0</v>
      </c>
      <c r="R2495">
        <v>0</v>
      </c>
      <c r="S2495">
        <v>0</v>
      </c>
      <c r="T2495">
        <v>0.3755</v>
      </c>
      <c r="U2495">
        <v>-7.7999999999999996E-3</v>
      </c>
      <c r="V2495">
        <v>1E-4</v>
      </c>
      <c r="W2495">
        <v>-0.39650000000000002</v>
      </c>
      <c r="X2495">
        <v>0.2747</v>
      </c>
      <c r="Y2495">
        <v>-1.6199999999999999E-2</v>
      </c>
      <c r="Z2495">
        <v>223</v>
      </c>
      <c r="AA2495">
        <v>1</v>
      </c>
      <c r="AB2495">
        <v>181</v>
      </c>
      <c r="AC2495">
        <v>1.25</v>
      </c>
      <c r="AD2495">
        <v>0</v>
      </c>
      <c r="AE2495">
        <v>0</v>
      </c>
      <c r="AF2495">
        <v>0</v>
      </c>
      <c r="AG2495">
        <v>2747</v>
      </c>
      <c r="AH2495">
        <v>0</v>
      </c>
    </row>
    <row r="2496" spans="1:34" x14ac:dyDescent="0.35">
      <c r="A2496" t="s">
        <v>37</v>
      </c>
      <c r="B2496" s="1">
        <v>46146.65625</v>
      </c>
      <c r="C2496" t="s">
        <v>37</v>
      </c>
      <c r="D2496" s="1">
        <v>46157.354166666664</v>
      </c>
      <c r="E2496">
        <v>6180</v>
      </c>
      <c r="F2496" t="s">
        <v>36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826</v>
      </c>
      <c r="M2496">
        <v>1.05</v>
      </c>
      <c r="N2496">
        <v>256</v>
      </c>
      <c r="O2496">
        <v>1.25</v>
      </c>
      <c r="P2496">
        <v>0</v>
      </c>
      <c r="Q2496">
        <v>0</v>
      </c>
      <c r="R2496">
        <v>0</v>
      </c>
      <c r="S2496">
        <v>0</v>
      </c>
      <c r="T2496">
        <v>0.374</v>
      </c>
      <c r="U2496">
        <v>-7.7999999999999996E-3</v>
      </c>
      <c r="V2496">
        <v>1E-4</v>
      </c>
      <c r="W2496">
        <v>-0.3962</v>
      </c>
      <c r="X2496">
        <v>0.2757</v>
      </c>
      <c r="Y2496">
        <v>-1.6299999999999999E-2</v>
      </c>
      <c r="Z2496">
        <v>208</v>
      </c>
      <c r="AA2496">
        <v>1</v>
      </c>
      <c r="AB2496">
        <v>94</v>
      </c>
      <c r="AC2496">
        <v>1.25</v>
      </c>
      <c r="AD2496">
        <v>0</v>
      </c>
      <c r="AE2496">
        <v>0</v>
      </c>
      <c r="AF2496">
        <v>0</v>
      </c>
      <c r="AG2496">
        <v>421</v>
      </c>
      <c r="AH2496">
        <v>0</v>
      </c>
    </row>
    <row r="2497" spans="1:34" x14ac:dyDescent="0.35">
      <c r="A2497" t="s">
        <v>37</v>
      </c>
      <c r="B2497" s="1">
        <v>46146.65625</v>
      </c>
      <c r="C2497" t="s">
        <v>37</v>
      </c>
      <c r="D2497" s="1">
        <v>46157.354166666664</v>
      </c>
      <c r="E2497">
        <v>6185</v>
      </c>
      <c r="F2497" t="s">
        <v>36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258</v>
      </c>
      <c r="M2497">
        <v>1.1000000000000001</v>
      </c>
      <c r="N2497">
        <v>404</v>
      </c>
      <c r="O2497">
        <v>1.3</v>
      </c>
      <c r="P2497">
        <v>0</v>
      </c>
      <c r="Q2497">
        <v>0</v>
      </c>
      <c r="R2497">
        <v>0</v>
      </c>
      <c r="S2497">
        <v>0</v>
      </c>
      <c r="T2497">
        <v>0.37390000000000001</v>
      </c>
      <c r="U2497">
        <v>-8.0999999999999996E-3</v>
      </c>
      <c r="V2497">
        <v>1E-4</v>
      </c>
      <c r="W2497">
        <v>-0.41049999999999998</v>
      </c>
      <c r="X2497">
        <v>0.28510000000000002</v>
      </c>
      <c r="Y2497">
        <v>-1.6899999999999998E-2</v>
      </c>
      <c r="Z2497">
        <v>147</v>
      </c>
      <c r="AA2497">
        <v>1</v>
      </c>
      <c r="AB2497">
        <v>236</v>
      </c>
      <c r="AC2497">
        <v>1.3</v>
      </c>
      <c r="AD2497">
        <v>0</v>
      </c>
      <c r="AE2497">
        <v>0</v>
      </c>
      <c r="AF2497">
        <v>0</v>
      </c>
      <c r="AG2497">
        <v>464</v>
      </c>
      <c r="AH2497">
        <v>0</v>
      </c>
    </row>
    <row r="2498" spans="1:34" x14ac:dyDescent="0.35">
      <c r="A2498" t="s">
        <v>37</v>
      </c>
      <c r="B2498" s="1">
        <v>46146.65625</v>
      </c>
      <c r="C2498" t="s">
        <v>37</v>
      </c>
      <c r="D2498" s="1">
        <v>46157.354166666664</v>
      </c>
      <c r="E2498">
        <v>6190</v>
      </c>
      <c r="F2498" t="s">
        <v>36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921</v>
      </c>
      <c r="M2498">
        <v>1.1000000000000001</v>
      </c>
      <c r="N2498">
        <v>830</v>
      </c>
      <c r="O2498">
        <v>1.3</v>
      </c>
      <c r="P2498">
        <v>0</v>
      </c>
      <c r="Q2498">
        <v>0</v>
      </c>
      <c r="R2498">
        <v>0</v>
      </c>
      <c r="S2498">
        <v>0</v>
      </c>
      <c r="T2498">
        <v>0.37209999999999999</v>
      </c>
      <c r="U2498">
        <v>-8.0999999999999996E-3</v>
      </c>
      <c r="V2498">
        <v>1E-4</v>
      </c>
      <c r="W2498">
        <v>-0.41020000000000001</v>
      </c>
      <c r="X2498">
        <v>0.2863</v>
      </c>
      <c r="Y2498">
        <v>-1.7000000000000001E-2</v>
      </c>
      <c r="Z2498">
        <v>202</v>
      </c>
      <c r="AA2498">
        <v>1.05</v>
      </c>
      <c r="AB2498">
        <v>311</v>
      </c>
      <c r="AC2498">
        <v>1.3</v>
      </c>
      <c r="AD2498">
        <v>0</v>
      </c>
      <c r="AE2498">
        <v>0</v>
      </c>
      <c r="AF2498">
        <v>0</v>
      </c>
      <c r="AG2498">
        <v>1742</v>
      </c>
      <c r="AH2498">
        <v>0</v>
      </c>
    </row>
    <row r="2499" spans="1:34" x14ac:dyDescent="0.35">
      <c r="A2499" t="s">
        <v>37</v>
      </c>
      <c r="B2499" s="1">
        <v>46146.65625</v>
      </c>
      <c r="C2499" t="s">
        <v>37</v>
      </c>
      <c r="D2499" s="1">
        <v>46157.354166666664</v>
      </c>
      <c r="E2499">
        <v>6195</v>
      </c>
      <c r="F2499" t="s">
        <v>36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343</v>
      </c>
      <c r="M2499">
        <v>1.1000000000000001</v>
      </c>
      <c r="N2499">
        <v>313</v>
      </c>
      <c r="O2499">
        <v>1.3</v>
      </c>
      <c r="P2499">
        <v>0</v>
      </c>
      <c r="Q2499">
        <v>0</v>
      </c>
      <c r="R2499">
        <v>0</v>
      </c>
      <c r="S2499">
        <v>0</v>
      </c>
      <c r="T2499">
        <v>0.37080000000000002</v>
      </c>
      <c r="U2499">
        <v>-8.0999999999999996E-3</v>
      </c>
      <c r="V2499">
        <v>1E-4</v>
      </c>
      <c r="W2499">
        <v>-0.41</v>
      </c>
      <c r="X2499">
        <v>0.28720000000000001</v>
      </c>
      <c r="Y2499">
        <v>-1.7000000000000001E-2</v>
      </c>
      <c r="Z2499">
        <v>102</v>
      </c>
      <c r="AA2499">
        <v>1.05</v>
      </c>
      <c r="AB2499">
        <v>262</v>
      </c>
      <c r="AC2499">
        <v>1.35</v>
      </c>
      <c r="AD2499">
        <v>0</v>
      </c>
      <c r="AE2499">
        <v>0</v>
      </c>
      <c r="AF2499">
        <v>0</v>
      </c>
      <c r="AG2499">
        <v>535</v>
      </c>
      <c r="AH2499">
        <v>0</v>
      </c>
    </row>
    <row r="2500" spans="1:34" x14ac:dyDescent="0.35">
      <c r="A2500" t="s">
        <v>37</v>
      </c>
      <c r="B2500" s="1">
        <v>46146.65625</v>
      </c>
      <c r="C2500" t="s">
        <v>37</v>
      </c>
      <c r="D2500" s="1">
        <v>46157.354166666664</v>
      </c>
      <c r="E2500">
        <v>6200</v>
      </c>
      <c r="F2500" t="s">
        <v>36</v>
      </c>
      <c r="G2500">
        <v>1</v>
      </c>
      <c r="H2500">
        <v>1.65</v>
      </c>
      <c r="I2500">
        <v>1</v>
      </c>
      <c r="J2500">
        <v>1.6</v>
      </c>
      <c r="K2500">
        <v>334</v>
      </c>
      <c r="L2500">
        <v>1232</v>
      </c>
      <c r="M2500">
        <v>1.1000000000000001</v>
      </c>
      <c r="N2500">
        <v>472</v>
      </c>
      <c r="O2500">
        <v>1.3</v>
      </c>
      <c r="P2500">
        <v>0</v>
      </c>
      <c r="Q2500">
        <v>0</v>
      </c>
      <c r="R2500">
        <v>0</v>
      </c>
      <c r="S2500">
        <v>0</v>
      </c>
      <c r="T2500">
        <v>0.36859999999999998</v>
      </c>
      <c r="U2500">
        <v>-8.2000000000000007E-3</v>
      </c>
      <c r="V2500">
        <v>1E-4</v>
      </c>
      <c r="W2500">
        <v>-0.40960000000000002</v>
      </c>
      <c r="X2500">
        <v>0.28870000000000001</v>
      </c>
      <c r="Y2500">
        <v>-1.7100000000000001E-2</v>
      </c>
      <c r="Z2500">
        <v>201</v>
      </c>
      <c r="AA2500">
        <v>1.05</v>
      </c>
      <c r="AB2500">
        <v>179</v>
      </c>
      <c r="AC2500">
        <v>1.3</v>
      </c>
      <c r="AD2500">
        <v>0</v>
      </c>
      <c r="AE2500">
        <v>0</v>
      </c>
      <c r="AF2500">
        <v>1.4569000000000001</v>
      </c>
      <c r="AG2500">
        <v>17220</v>
      </c>
      <c r="AH2500">
        <v>0</v>
      </c>
    </row>
    <row r="2501" spans="1:34" x14ac:dyDescent="0.35">
      <c r="A2501" t="s">
        <v>37</v>
      </c>
      <c r="B2501" s="1">
        <v>46146.65625</v>
      </c>
      <c r="C2501" t="s">
        <v>37</v>
      </c>
      <c r="D2501" s="1">
        <v>46157.354166666664</v>
      </c>
      <c r="E2501">
        <v>6205</v>
      </c>
      <c r="F2501" t="s">
        <v>36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250</v>
      </c>
      <c r="M2501">
        <v>1.1499999999999999</v>
      </c>
      <c r="N2501">
        <v>407</v>
      </c>
      <c r="O2501">
        <v>1.35</v>
      </c>
      <c r="P2501">
        <v>0</v>
      </c>
      <c r="Q2501">
        <v>0</v>
      </c>
      <c r="R2501">
        <v>0</v>
      </c>
      <c r="S2501">
        <v>0</v>
      </c>
      <c r="T2501">
        <v>0.36880000000000002</v>
      </c>
      <c r="U2501">
        <v>-8.5000000000000006E-3</v>
      </c>
      <c r="V2501">
        <v>1E-4</v>
      </c>
      <c r="W2501">
        <v>-0.42380000000000001</v>
      </c>
      <c r="X2501">
        <v>0.2979</v>
      </c>
      <c r="Y2501">
        <v>-1.78E-2</v>
      </c>
      <c r="Z2501">
        <v>131</v>
      </c>
      <c r="AA2501">
        <v>1.05</v>
      </c>
      <c r="AB2501">
        <v>244</v>
      </c>
      <c r="AC2501">
        <v>1.35</v>
      </c>
      <c r="AD2501">
        <v>0</v>
      </c>
      <c r="AE2501">
        <v>0</v>
      </c>
      <c r="AF2501">
        <v>0</v>
      </c>
      <c r="AG2501">
        <v>419</v>
      </c>
      <c r="AH2501">
        <v>0</v>
      </c>
    </row>
    <row r="2502" spans="1:34" x14ac:dyDescent="0.35">
      <c r="A2502" t="s">
        <v>37</v>
      </c>
      <c r="B2502" s="1">
        <v>46146.65625</v>
      </c>
      <c r="C2502" t="s">
        <v>37</v>
      </c>
      <c r="D2502" s="1">
        <v>46157.354166666664</v>
      </c>
      <c r="E2502">
        <v>6210</v>
      </c>
      <c r="F2502" t="s">
        <v>36</v>
      </c>
      <c r="G2502">
        <v>0.95</v>
      </c>
      <c r="H2502">
        <v>0.95</v>
      </c>
      <c r="I2502">
        <v>0.95</v>
      </c>
      <c r="J2502">
        <v>0.95</v>
      </c>
      <c r="K2502">
        <v>17</v>
      </c>
      <c r="L2502">
        <v>877</v>
      </c>
      <c r="M2502">
        <v>1.1499999999999999</v>
      </c>
      <c r="N2502">
        <v>862</v>
      </c>
      <c r="O2502">
        <v>1.35</v>
      </c>
      <c r="P2502">
        <v>0</v>
      </c>
      <c r="Q2502">
        <v>0</v>
      </c>
      <c r="R2502">
        <v>0</v>
      </c>
      <c r="S2502">
        <v>0</v>
      </c>
      <c r="T2502">
        <v>0.36699999999999999</v>
      </c>
      <c r="U2502">
        <v>-8.5000000000000006E-3</v>
      </c>
      <c r="V2502">
        <v>1E-4</v>
      </c>
      <c r="W2502">
        <v>-0.42349999999999999</v>
      </c>
      <c r="X2502">
        <v>0.29920000000000002</v>
      </c>
      <c r="Y2502">
        <v>-1.78E-2</v>
      </c>
      <c r="Z2502">
        <v>202</v>
      </c>
      <c r="AA2502">
        <v>1.1000000000000001</v>
      </c>
      <c r="AB2502">
        <v>319</v>
      </c>
      <c r="AC2502">
        <v>1.35</v>
      </c>
      <c r="AD2502">
        <v>0</v>
      </c>
      <c r="AE2502">
        <v>0</v>
      </c>
      <c r="AF2502">
        <v>0.95</v>
      </c>
      <c r="AG2502">
        <v>1213</v>
      </c>
      <c r="AH2502">
        <v>0</v>
      </c>
    </row>
    <row r="2503" spans="1:34" x14ac:dyDescent="0.35">
      <c r="A2503" t="s">
        <v>37</v>
      </c>
      <c r="B2503" s="1">
        <v>46146.65625</v>
      </c>
      <c r="C2503" t="s">
        <v>37</v>
      </c>
      <c r="D2503" s="1">
        <v>46157.354166666664</v>
      </c>
      <c r="E2503">
        <v>6215</v>
      </c>
      <c r="F2503" t="s">
        <v>36</v>
      </c>
      <c r="G2503">
        <v>0.95</v>
      </c>
      <c r="H2503">
        <v>0.95</v>
      </c>
      <c r="I2503">
        <v>0.95</v>
      </c>
      <c r="J2503">
        <v>0.95</v>
      </c>
      <c r="K2503">
        <v>17</v>
      </c>
      <c r="L2503">
        <v>825</v>
      </c>
      <c r="M2503">
        <v>1.1499999999999999</v>
      </c>
      <c r="N2503">
        <v>609</v>
      </c>
      <c r="O2503">
        <v>1.35</v>
      </c>
      <c r="P2503">
        <v>0</v>
      </c>
      <c r="Q2503">
        <v>0</v>
      </c>
      <c r="R2503">
        <v>0</v>
      </c>
      <c r="S2503">
        <v>0</v>
      </c>
      <c r="T2503">
        <v>0.36509999999999998</v>
      </c>
      <c r="U2503">
        <v>-8.6E-3</v>
      </c>
      <c r="V2503">
        <v>1E-4</v>
      </c>
      <c r="W2503">
        <v>-0.42309999999999998</v>
      </c>
      <c r="X2503">
        <v>0.30049999999999999</v>
      </c>
      <c r="Y2503">
        <v>-1.7899999999999999E-2</v>
      </c>
      <c r="Z2503">
        <v>94</v>
      </c>
      <c r="AA2503">
        <v>1.1000000000000001</v>
      </c>
      <c r="AB2503">
        <v>260</v>
      </c>
      <c r="AC2503">
        <v>1.4</v>
      </c>
      <c r="AD2503">
        <v>0</v>
      </c>
      <c r="AE2503">
        <v>0</v>
      </c>
      <c r="AF2503">
        <v>0.95</v>
      </c>
      <c r="AG2503">
        <v>2227</v>
      </c>
      <c r="AH2503">
        <v>0</v>
      </c>
    </row>
    <row r="2504" spans="1:34" x14ac:dyDescent="0.35">
      <c r="A2504" t="s">
        <v>37</v>
      </c>
      <c r="B2504" s="1">
        <v>46146.65625</v>
      </c>
      <c r="C2504" t="s">
        <v>37</v>
      </c>
      <c r="D2504" s="1">
        <v>46157.354166666664</v>
      </c>
      <c r="E2504">
        <v>6220</v>
      </c>
      <c r="F2504" t="s">
        <v>36</v>
      </c>
      <c r="G2504">
        <v>1.55</v>
      </c>
      <c r="H2504">
        <v>1.55</v>
      </c>
      <c r="I2504">
        <v>1.55</v>
      </c>
      <c r="J2504">
        <v>1.55</v>
      </c>
      <c r="K2504">
        <v>2</v>
      </c>
      <c r="L2504">
        <v>733</v>
      </c>
      <c r="M2504">
        <v>1.1499999999999999</v>
      </c>
      <c r="N2504">
        <v>255</v>
      </c>
      <c r="O2504">
        <v>1.35</v>
      </c>
      <c r="P2504">
        <v>0</v>
      </c>
      <c r="Q2504">
        <v>0</v>
      </c>
      <c r="R2504">
        <v>0</v>
      </c>
      <c r="S2504">
        <v>0</v>
      </c>
      <c r="T2504">
        <v>0.36370000000000002</v>
      </c>
      <c r="U2504">
        <v>-8.6E-3</v>
      </c>
      <c r="V2504">
        <v>1E-4</v>
      </c>
      <c r="W2504">
        <v>-0.42280000000000001</v>
      </c>
      <c r="X2504">
        <v>0.30149999999999999</v>
      </c>
      <c r="Y2504">
        <v>-1.7999999999999999E-2</v>
      </c>
      <c r="Z2504">
        <v>201</v>
      </c>
      <c r="AA2504">
        <v>1.1000000000000001</v>
      </c>
      <c r="AB2504">
        <v>178</v>
      </c>
      <c r="AC2504">
        <v>1.35</v>
      </c>
      <c r="AD2504">
        <v>0</v>
      </c>
      <c r="AE2504">
        <v>0</v>
      </c>
      <c r="AF2504">
        <v>1.55</v>
      </c>
      <c r="AG2504">
        <v>485</v>
      </c>
      <c r="AH2504">
        <v>0</v>
      </c>
    </row>
    <row r="2505" spans="1:34" x14ac:dyDescent="0.35">
      <c r="A2505" t="s">
        <v>37</v>
      </c>
      <c r="B2505" s="1">
        <v>46146.65625</v>
      </c>
      <c r="C2505" t="s">
        <v>37</v>
      </c>
      <c r="D2505" s="1">
        <v>46157.354166666664</v>
      </c>
      <c r="E2505">
        <v>6225</v>
      </c>
      <c r="F2505" t="s">
        <v>36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739</v>
      </c>
      <c r="M2505">
        <v>1.2</v>
      </c>
      <c r="N2505">
        <v>448</v>
      </c>
      <c r="O2505">
        <v>1.35</v>
      </c>
      <c r="P2505">
        <v>0</v>
      </c>
      <c r="Q2505">
        <v>0</v>
      </c>
      <c r="R2505">
        <v>0</v>
      </c>
      <c r="S2505">
        <v>0</v>
      </c>
      <c r="T2505">
        <v>0.36259999999999998</v>
      </c>
      <c r="U2505">
        <v>-8.8000000000000005E-3</v>
      </c>
      <c r="V2505">
        <v>1E-4</v>
      </c>
      <c r="W2505">
        <v>-0.42970000000000003</v>
      </c>
      <c r="X2505">
        <v>0.307</v>
      </c>
      <c r="Y2505">
        <v>-1.84E-2</v>
      </c>
      <c r="Z2505">
        <v>233</v>
      </c>
      <c r="AA2505">
        <v>1.1000000000000001</v>
      </c>
      <c r="AB2505">
        <v>343</v>
      </c>
      <c r="AC2505">
        <v>1.4</v>
      </c>
      <c r="AD2505">
        <v>0</v>
      </c>
      <c r="AE2505">
        <v>0</v>
      </c>
      <c r="AF2505">
        <v>0</v>
      </c>
      <c r="AG2505">
        <v>1901</v>
      </c>
      <c r="AH2505">
        <v>0</v>
      </c>
    </row>
    <row r="2506" spans="1:34" x14ac:dyDescent="0.35">
      <c r="A2506" t="s">
        <v>37</v>
      </c>
      <c r="B2506" s="1">
        <v>46146.65625</v>
      </c>
      <c r="C2506" t="s">
        <v>37</v>
      </c>
      <c r="D2506" s="1">
        <v>46157.354166666664</v>
      </c>
      <c r="E2506">
        <v>6230</v>
      </c>
      <c r="F2506" t="s">
        <v>36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364</v>
      </c>
      <c r="M2506">
        <v>1.2</v>
      </c>
      <c r="N2506">
        <v>415</v>
      </c>
      <c r="O2506">
        <v>1.4</v>
      </c>
      <c r="P2506">
        <v>0</v>
      </c>
      <c r="Q2506">
        <v>0</v>
      </c>
      <c r="R2506">
        <v>0</v>
      </c>
      <c r="S2506">
        <v>0</v>
      </c>
      <c r="T2506">
        <v>0.36170000000000002</v>
      </c>
      <c r="U2506">
        <v>-8.9999999999999993E-3</v>
      </c>
      <c r="V2506">
        <v>1E-4</v>
      </c>
      <c r="W2506">
        <v>-0.4365</v>
      </c>
      <c r="X2506">
        <v>0.31230000000000002</v>
      </c>
      <c r="Y2506">
        <v>-1.8700000000000001E-2</v>
      </c>
      <c r="Z2506">
        <v>201</v>
      </c>
      <c r="AA2506">
        <v>1.1499999999999999</v>
      </c>
      <c r="AB2506">
        <v>315</v>
      </c>
      <c r="AC2506">
        <v>1.4</v>
      </c>
      <c r="AD2506">
        <v>0</v>
      </c>
      <c r="AE2506">
        <v>0</v>
      </c>
      <c r="AF2506">
        <v>0</v>
      </c>
      <c r="AG2506">
        <v>355</v>
      </c>
      <c r="AH2506">
        <v>0</v>
      </c>
    </row>
    <row r="2507" spans="1:34" x14ac:dyDescent="0.35">
      <c r="A2507" t="s">
        <v>37</v>
      </c>
      <c r="B2507" s="1">
        <v>46146.65625</v>
      </c>
      <c r="C2507" t="s">
        <v>37</v>
      </c>
      <c r="D2507" s="1">
        <v>46157.354166666664</v>
      </c>
      <c r="E2507">
        <v>6235</v>
      </c>
      <c r="F2507" t="s">
        <v>36</v>
      </c>
      <c r="G2507">
        <v>1.1499999999999999</v>
      </c>
      <c r="H2507">
        <v>1.1499999999999999</v>
      </c>
      <c r="I2507">
        <v>1.01</v>
      </c>
      <c r="J2507">
        <v>1.01</v>
      </c>
      <c r="K2507">
        <v>17</v>
      </c>
      <c r="L2507">
        <v>361</v>
      </c>
      <c r="M2507">
        <v>1.2</v>
      </c>
      <c r="N2507">
        <v>307</v>
      </c>
      <c r="O2507">
        <v>1.4</v>
      </c>
      <c r="P2507">
        <v>0</v>
      </c>
      <c r="Q2507">
        <v>0</v>
      </c>
      <c r="R2507">
        <v>0</v>
      </c>
      <c r="S2507">
        <v>0</v>
      </c>
      <c r="T2507">
        <v>0.36020000000000002</v>
      </c>
      <c r="U2507">
        <v>-8.9999999999999993E-3</v>
      </c>
      <c r="V2507">
        <v>1E-4</v>
      </c>
      <c r="W2507">
        <v>-0.43619999999999998</v>
      </c>
      <c r="X2507">
        <v>0.3135</v>
      </c>
      <c r="Y2507">
        <v>-1.8800000000000001E-2</v>
      </c>
      <c r="Z2507">
        <v>82</v>
      </c>
      <c r="AA2507">
        <v>1.1499999999999999</v>
      </c>
      <c r="AB2507">
        <v>246</v>
      </c>
      <c r="AC2507">
        <v>1.45</v>
      </c>
      <c r="AD2507">
        <v>0</v>
      </c>
      <c r="AE2507">
        <v>0</v>
      </c>
      <c r="AF2507">
        <v>1.0182</v>
      </c>
      <c r="AG2507">
        <v>410</v>
      </c>
      <c r="AH2507">
        <v>0</v>
      </c>
    </row>
    <row r="2508" spans="1:34" x14ac:dyDescent="0.35">
      <c r="A2508" t="s">
        <v>37</v>
      </c>
      <c r="B2508" s="1">
        <v>46146.65625</v>
      </c>
      <c r="C2508" t="s">
        <v>37</v>
      </c>
      <c r="D2508" s="1">
        <v>46157.354166666664</v>
      </c>
      <c r="E2508">
        <v>6240</v>
      </c>
      <c r="F2508" t="s">
        <v>36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708</v>
      </c>
      <c r="M2508">
        <v>1.2</v>
      </c>
      <c r="N2508">
        <v>244</v>
      </c>
      <c r="O2508">
        <v>1.4</v>
      </c>
      <c r="P2508">
        <v>0</v>
      </c>
      <c r="Q2508">
        <v>0</v>
      </c>
      <c r="R2508">
        <v>0</v>
      </c>
      <c r="S2508">
        <v>0</v>
      </c>
      <c r="T2508">
        <v>0.3584</v>
      </c>
      <c r="U2508">
        <v>-8.9999999999999993E-3</v>
      </c>
      <c r="V2508">
        <v>1E-4</v>
      </c>
      <c r="W2508">
        <v>-0.43580000000000002</v>
      </c>
      <c r="X2508">
        <v>0.31490000000000001</v>
      </c>
      <c r="Y2508">
        <v>-1.89E-2</v>
      </c>
      <c r="Z2508">
        <v>201</v>
      </c>
      <c r="AA2508">
        <v>1.1499999999999999</v>
      </c>
      <c r="AB2508">
        <v>190</v>
      </c>
      <c r="AC2508">
        <v>1.4</v>
      </c>
      <c r="AD2508">
        <v>0</v>
      </c>
      <c r="AE2508">
        <v>0</v>
      </c>
      <c r="AF2508">
        <v>0</v>
      </c>
      <c r="AG2508">
        <v>616</v>
      </c>
      <c r="AH2508">
        <v>0</v>
      </c>
    </row>
    <row r="2509" spans="1:34" x14ac:dyDescent="0.35">
      <c r="A2509" t="s">
        <v>37</v>
      </c>
      <c r="B2509" s="1">
        <v>46146.65625</v>
      </c>
      <c r="C2509" t="s">
        <v>37</v>
      </c>
      <c r="D2509" s="1">
        <v>46157.354166666664</v>
      </c>
      <c r="E2509">
        <v>6245</v>
      </c>
      <c r="F2509" t="s">
        <v>36</v>
      </c>
      <c r="G2509">
        <v>1.01</v>
      </c>
      <c r="H2509">
        <v>1.01</v>
      </c>
      <c r="I2509">
        <v>1.01</v>
      </c>
      <c r="J2509">
        <v>1.01</v>
      </c>
      <c r="K2509">
        <v>16</v>
      </c>
      <c r="L2509">
        <v>274</v>
      </c>
      <c r="M2509">
        <v>1.25</v>
      </c>
      <c r="N2509">
        <v>401</v>
      </c>
      <c r="O2509">
        <v>1.45</v>
      </c>
      <c r="P2509">
        <v>0</v>
      </c>
      <c r="Q2509">
        <v>0</v>
      </c>
      <c r="R2509">
        <v>0</v>
      </c>
      <c r="S2509">
        <v>0</v>
      </c>
      <c r="T2509">
        <v>0.35809999999999997</v>
      </c>
      <c r="U2509">
        <v>-9.4000000000000004E-3</v>
      </c>
      <c r="V2509">
        <v>1E-4</v>
      </c>
      <c r="W2509">
        <v>-0.4496</v>
      </c>
      <c r="X2509">
        <v>0.32429999999999998</v>
      </c>
      <c r="Y2509">
        <v>-1.9599999999999999E-2</v>
      </c>
      <c r="Z2509">
        <v>94</v>
      </c>
      <c r="AA2509">
        <v>1.1499999999999999</v>
      </c>
      <c r="AB2509">
        <v>228</v>
      </c>
      <c r="AC2509">
        <v>1.45</v>
      </c>
      <c r="AD2509">
        <v>0</v>
      </c>
      <c r="AE2509">
        <v>0</v>
      </c>
      <c r="AF2509">
        <v>1.01</v>
      </c>
      <c r="AG2509">
        <v>355</v>
      </c>
      <c r="AH2509">
        <v>0</v>
      </c>
    </row>
    <row r="2510" spans="1:34" x14ac:dyDescent="0.35">
      <c r="A2510" t="s">
        <v>37</v>
      </c>
      <c r="B2510" s="1">
        <v>46146.65625</v>
      </c>
      <c r="C2510" t="s">
        <v>37</v>
      </c>
      <c r="D2510" s="1">
        <v>46157.354166666664</v>
      </c>
      <c r="E2510">
        <v>6250</v>
      </c>
      <c r="F2510" t="s">
        <v>36</v>
      </c>
      <c r="G2510">
        <v>1.1499999999999999</v>
      </c>
      <c r="H2510">
        <v>1.82</v>
      </c>
      <c r="I2510">
        <v>1.1499999999999999</v>
      </c>
      <c r="J2510">
        <v>1.82</v>
      </c>
      <c r="K2510">
        <v>2</v>
      </c>
      <c r="L2510">
        <v>923</v>
      </c>
      <c r="M2510">
        <v>1.25</v>
      </c>
      <c r="N2510">
        <v>858</v>
      </c>
      <c r="O2510">
        <v>1.45</v>
      </c>
      <c r="P2510">
        <v>0</v>
      </c>
      <c r="Q2510">
        <v>0</v>
      </c>
      <c r="R2510">
        <v>0</v>
      </c>
      <c r="S2510">
        <v>0</v>
      </c>
      <c r="T2510">
        <v>0.35620000000000002</v>
      </c>
      <c r="U2510">
        <v>-9.4000000000000004E-3</v>
      </c>
      <c r="V2510">
        <v>1E-4</v>
      </c>
      <c r="W2510">
        <v>-0.44919999999999999</v>
      </c>
      <c r="X2510">
        <v>0.32579999999999998</v>
      </c>
      <c r="Y2510">
        <v>-1.9699999999999999E-2</v>
      </c>
      <c r="Z2510">
        <v>204</v>
      </c>
      <c r="AA2510">
        <v>1.2</v>
      </c>
      <c r="AB2510">
        <v>309</v>
      </c>
      <c r="AC2510">
        <v>1.45</v>
      </c>
      <c r="AD2510">
        <v>0</v>
      </c>
      <c r="AE2510">
        <v>0</v>
      </c>
      <c r="AF2510">
        <v>1.4850000000000001</v>
      </c>
      <c r="AG2510">
        <v>9802</v>
      </c>
      <c r="AH2510">
        <v>0</v>
      </c>
    </row>
    <row r="2511" spans="1:34" x14ac:dyDescent="0.35">
      <c r="A2511" t="s">
        <v>37</v>
      </c>
      <c r="B2511" s="1">
        <v>46146.65625</v>
      </c>
      <c r="C2511" t="s">
        <v>37</v>
      </c>
      <c r="D2511" s="1">
        <v>46157.354166666664</v>
      </c>
      <c r="E2511">
        <v>6255</v>
      </c>
      <c r="F2511" t="s">
        <v>36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412</v>
      </c>
      <c r="M2511">
        <v>1.25</v>
      </c>
      <c r="N2511">
        <v>306</v>
      </c>
      <c r="O2511">
        <v>1.45</v>
      </c>
      <c r="P2511">
        <v>0</v>
      </c>
      <c r="Q2511">
        <v>0</v>
      </c>
      <c r="R2511">
        <v>0</v>
      </c>
      <c r="S2511">
        <v>0</v>
      </c>
      <c r="T2511">
        <v>0.3548</v>
      </c>
      <c r="U2511">
        <v>-9.4000000000000004E-3</v>
      </c>
      <c r="V2511">
        <v>1E-4</v>
      </c>
      <c r="W2511">
        <v>-0.44890000000000002</v>
      </c>
      <c r="X2511">
        <v>0.32690000000000002</v>
      </c>
      <c r="Y2511">
        <v>-1.9699999999999999E-2</v>
      </c>
      <c r="Z2511">
        <v>78</v>
      </c>
      <c r="AA2511">
        <v>1.2</v>
      </c>
      <c r="AB2511">
        <v>165</v>
      </c>
      <c r="AC2511">
        <v>1.45</v>
      </c>
      <c r="AD2511">
        <v>0</v>
      </c>
      <c r="AE2511">
        <v>0</v>
      </c>
      <c r="AF2511">
        <v>0</v>
      </c>
      <c r="AG2511">
        <v>227</v>
      </c>
      <c r="AH2511">
        <v>0</v>
      </c>
    </row>
    <row r="2512" spans="1:34" x14ac:dyDescent="0.35">
      <c r="A2512" t="s">
        <v>37</v>
      </c>
      <c r="B2512" s="1">
        <v>46146.65625</v>
      </c>
      <c r="C2512" t="s">
        <v>37</v>
      </c>
      <c r="D2512" s="1">
        <v>46157.354166666664</v>
      </c>
      <c r="E2512">
        <v>6260</v>
      </c>
      <c r="F2512" t="s">
        <v>36</v>
      </c>
      <c r="G2512">
        <v>1.05</v>
      </c>
      <c r="H2512">
        <v>1.05</v>
      </c>
      <c r="I2512">
        <v>1.05</v>
      </c>
      <c r="J2512">
        <v>1.05</v>
      </c>
      <c r="K2512">
        <v>9</v>
      </c>
      <c r="L2512">
        <v>801</v>
      </c>
      <c r="M2512">
        <v>1.25</v>
      </c>
      <c r="N2512">
        <v>240</v>
      </c>
      <c r="O2512">
        <v>1.45</v>
      </c>
      <c r="P2512">
        <v>0</v>
      </c>
      <c r="Q2512">
        <v>0</v>
      </c>
      <c r="R2512">
        <v>0</v>
      </c>
      <c r="S2512">
        <v>0</v>
      </c>
      <c r="T2512">
        <v>0.35299999999999998</v>
      </c>
      <c r="U2512">
        <v>-9.4999999999999998E-3</v>
      </c>
      <c r="V2512">
        <v>1E-4</v>
      </c>
      <c r="W2512">
        <v>-0.44850000000000001</v>
      </c>
      <c r="X2512">
        <v>0.32829999999999998</v>
      </c>
      <c r="Y2512">
        <v>-1.9800000000000002E-2</v>
      </c>
      <c r="Z2512">
        <v>197</v>
      </c>
      <c r="AA2512">
        <v>1.2</v>
      </c>
      <c r="AB2512">
        <v>93</v>
      </c>
      <c r="AC2512">
        <v>1.45</v>
      </c>
      <c r="AD2512">
        <v>0</v>
      </c>
      <c r="AE2512">
        <v>0</v>
      </c>
      <c r="AF2512">
        <v>1.05</v>
      </c>
      <c r="AG2512">
        <v>573</v>
      </c>
      <c r="AH2512">
        <v>0</v>
      </c>
    </row>
    <row r="2513" spans="1:34" x14ac:dyDescent="0.35">
      <c r="A2513" t="s">
        <v>37</v>
      </c>
      <c r="B2513" s="1">
        <v>46146.65625</v>
      </c>
      <c r="C2513" t="s">
        <v>37</v>
      </c>
      <c r="D2513" s="1">
        <v>46157.354166666664</v>
      </c>
      <c r="E2513">
        <v>6265</v>
      </c>
      <c r="F2513" t="s">
        <v>36</v>
      </c>
      <c r="G2513">
        <v>1.06</v>
      </c>
      <c r="H2513">
        <v>1.06</v>
      </c>
      <c r="I2513">
        <v>1.06</v>
      </c>
      <c r="J2513">
        <v>1.06</v>
      </c>
      <c r="K2513">
        <v>67</v>
      </c>
      <c r="L2513">
        <v>615</v>
      </c>
      <c r="M2513">
        <v>1.3</v>
      </c>
      <c r="N2513">
        <v>840</v>
      </c>
      <c r="O2513">
        <v>1.5</v>
      </c>
      <c r="P2513">
        <v>0</v>
      </c>
      <c r="Q2513">
        <v>0</v>
      </c>
      <c r="R2513">
        <v>0</v>
      </c>
      <c r="S2513">
        <v>0</v>
      </c>
      <c r="T2513">
        <v>0.35270000000000001</v>
      </c>
      <c r="U2513">
        <v>-9.7999999999999997E-3</v>
      </c>
      <c r="V2513">
        <v>1E-4</v>
      </c>
      <c r="W2513">
        <v>-0.4622</v>
      </c>
      <c r="X2513">
        <v>0.33779999999999999</v>
      </c>
      <c r="Y2513">
        <v>-2.0500000000000001E-2</v>
      </c>
      <c r="Z2513">
        <v>75</v>
      </c>
      <c r="AA2513">
        <v>1.25</v>
      </c>
      <c r="AB2513">
        <v>230</v>
      </c>
      <c r="AC2513">
        <v>1.5</v>
      </c>
      <c r="AD2513">
        <v>0</v>
      </c>
      <c r="AE2513">
        <v>0</v>
      </c>
      <c r="AF2513">
        <v>1.06</v>
      </c>
      <c r="AG2513">
        <v>266</v>
      </c>
      <c r="AH2513">
        <v>0</v>
      </c>
    </row>
    <row r="2514" spans="1:34" x14ac:dyDescent="0.35">
      <c r="A2514" t="s">
        <v>37</v>
      </c>
      <c r="B2514" s="1">
        <v>46146.65625</v>
      </c>
      <c r="C2514" t="s">
        <v>37</v>
      </c>
      <c r="D2514" s="1">
        <v>46157.354166666664</v>
      </c>
      <c r="E2514">
        <v>6270</v>
      </c>
      <c r="F2514" t="s">
        <v>36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1046</v>
      </c>
      <c r="M2514">
        <v>1.3</v>
      </c>
      <c r="N2514">
        <v>757</v>
      </c>
      <c r="O2514">
        <v>1.5</v>
      </c>
      <c r="P2514">
        <v>0</v>
      </c>
      <c r="Q2514">
        <v>0</v>
      </c>
      <c r="R2514">
        <v>0</v>
      </c>
      <c r="S2514">
        <v>0</v>
      </c>
      <c r="T2514">
        <v>0.35070000000000001</v>
      </c>
      <c r="U2514">
        <v>-9.7999999999999997E-3</v>
      </c>
      <c r="V2514">
        <v>1E-4</v>
      </c>
      <c r="W2514">
        <v>-0.4617</v>
      </c>
      <c r="X2514">
        <v>0.33939999999999998</v>
      </c>
      <c r="Y2514">
        <v>-2.06E-2</v>
      </c>
      <c r="Z2514">
        <v>188</v>
      </c>
      <c r="AA2514">
        <v>1.25</v>
      </c>
      <c r="AB2514">
        <v>215</v>
      </c>
      <c r="AC2514">
        <v>1.5</v>
      </c>
      <c r="AD2514">
        <v>0</v>
      </c>
      <c r="AE2514">
        <v>0</v>
      </c>
      <c r="AF2514">
        <v>0</v>
      </c>
      <c r="AG2514">
        <v>1179</v>
      </c>
      <c r="AH2514">
        <v>0</v>
      </c>
    </row>
    <row r="2515" spans="1:34" x14ac:dyDescent="0.35">
      <c r="A2515" t="s">
        <v>37</v>
      </c>
      <c r="B2515" s="1">
        <v>46146.65625</v>
      </c>
      <c r="C2515" t="s">
        <v>37</v>
      </c>
      <c r="D2515" s="1">
        <v>46157.354166666664</v>
      </c>
      <c r="E2515">
        <v>6275</v>
      </c>
      <c r="F2515" t="s">
        <v>36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1203</v>
      </c>
      <c r="M2515">
        <v>1.3</v>
      </c>
      <c r="N2515">
        <v>467</v>
      </c>
      <c r="O2515">
        <v>1.5</v>
      </c>
      <c r="P2515">
        <v>0</v>
      </c>
      <c r="Q2515">
        <v>0</v>
      </c>
      <c r="R2515">
        <v>0</v>
      </c>
      <c r="S2515">
        <v>0</v>
      </c>
      <c r="T2515">
        <v>0.34910000000000002</v>
      </c>
      <c r="U2515">
        <v>-9.9000000000000008E-3</v>
      </c>
      <c r="V2515">
        <v>1E-4</v>
      </c>
      <c r="W2515">
        <v>-0.46139999999999998</v>
      </c>
      <c r="X2515">
        <v>0.3407</v>
      </c>
      <c r="Y2515">
        <v>-2.07E-2</v>
      </c>
      <c r="Z2515">
        <v>203</v>
      </c>
      <c r="AA2515">
        <v>1.25</v>
      </c>
      <c r="AB2515">
        <v>188</v>
      </c>
      <c r="AC2515">
        <v>1.5</v>
      </c>
      <c r="AD2515">
        <v>0</v>
      </c>
      <c r="AE2515">
        <v>0</v>
      </c>
      <c r="AF2515">
        <v>0</v>
      </c>
      <c r="AG2515">
        <v>4522</v>
      </c>
      <c r="AH2515">
        <v>0</v>
      </c>
    </row>
    <row r="2516" spans="1:34" x14ac:dyDescent="0.35">
      <c r="A2516" t="s">
        <v>37</v>
      </c>
      <c r="B2516" s="1">
        <v>46146.65625</v>
      </c>
      <c r="C2516" t="s">
        <v>37</v>
      </c>
      <c r="D2516" s="1">
        <v>46157.354166666664</v>
      </c>
      <c r="E2516">
        <v>6280</v>
      </c>
      <c r="F2516" t="s">
        <v>36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325</v>
      </c>
      <c r="M2516">
        <v>1.35</v>
      </c>
      <c r="N2516">
        <v>381</v>
      </c>
      <c r="O2516">
        <v>1.55</v>
      </c>
      <c r="P2516">
        <v>0</v>
      </c>
      <c r="Q2516">
        <v>0</v>
      </c>
      <c r="R2516">
        <v>0</v>
      </c>
      <c r="S2516">
        <v>0</v>
      </c>
      <c r="T2516">
        <v>0.3488</v>
      </c>
      <c r="U2516">
        <v>-1.0200000000000001E-2</v>
      </c>
      <c r="V2516">
        <v>1E-4</v>
      </c>
      <c r="W2516">
        <v>-0.47489999999999999</v>
      </c>
      <c r="X2516">
        <v>0.35010000000000002</v>
      </c>
      <c r="Y2516">
        <v>-2.1399999999999999E-2</v>
      </c>
      <c r="Z2516">
        <v>217</v>
      </c>
      <c r="AA2516">
        <v>1.25</v>
      </c>
      <c r="AB2516">
        <v>315</v>
      </c>
      <c r="AC2516">
        <v>1.55</v>
      </c>
      <c r="AD2516">
        <v>0</v>
      </c>
      <c r="AE2516">
        <v>0</v>
      </c>
      <c r="AF2516">
        <v>0</v>
      </c>
      <c r="AG2516">
        <v>548</v>
      </c>
      <c r="AH2516">
        <v>0</v>
      </c>
    </row>
    <row r="2517" spans="1:34" x14ac:dyDescent="0.35">
      <c r="A2517" t="s">
        <v>37</v>
      </c>
      <c r="B2517" s="1">
        <v>46146.65625</v>
      </c>
      <c r="C2517" t="s">
        <v>37</v>
      </c>
      <c r="D2517" s="1">
        <v>46157.354166666664</v>
      </c>
      <c r="E2517">
        <v>6285</v>
      </c>
      <c r="F2517" t="s">
        <v>36</v>
      </c>
      <c r="G2517">
        <v>2.1800000000000002</v>
      </c>
      <c r="H2517">
        <v>2.1800000000000002</v>
      </c>
      <c r="I2517">
        <v>2.1800000000000002</v>
      </c>
      <c r="J2517">
        <v>2.1800000000000002</v>
      </c>
      <c r="K2517">
        <v>8</v>
      </c>
      <c r="L2517">
        <v>266</v>
      </c>
      <c r="M2517">
        <v>1.35</v>
      </c>
      <c r="N2517">
        <v>348</v>
      </c>
      <c r="O2517">
        <v>1.55</v>
      </c>
      <c r="P2517">
        <v>0</v>
      </c>
      <c r="Q2517">
        <v>0</v>
      </c>
      <c r="R2517">
        <v>0</v>
      </c>
      <c r="S2517">
        <v>0</v>
      </c>
      <c r="T2517">
        <v>0.34710000000000002</v>
      </c>
      <c r="U2517">
        <v>-1.03E-2</v>
      </c>
      <c r="V2517">
        <v>1E-4</v>
      </c>
      <c r="W2517">
        <v>-0.47449999999999998</v>
      </c>
      <c r="X2517">
        <v>0.35160000000000002</v>
      </c>
      <c r="Y2517">
        <v>-2.1499999999999998E-2</v>
      </c>
      <c r="Z2517">
        <v>83</v>
      </c>
      <c r="AA2517">
        <v>1.3</v>
      </c>
      <c r="AB2517">
        <v>212</v>
      </c>
      <c r="AC2517">
        <v>1.55</v>
      </c>
      <c r="AD2517">
        <v>0</v>
      </c>
      <c r="AE2517">
        <v>0</v>
      </c>
      <c r="AF2517">
        <v>2.1800000000000002</v>
      </c>
      <c r="AG2517">
        <v>300</v>
      </c>
      <c r="AH2517">
        <v>0</v>
      </c>
    </row>
    <row r="2518" spans="1:34" x14ac:dyDescent="0.35">
      <c r="A2518" t="s">
        <v>37</v>
      </c>
      <c r="B2518" s="1">
        <v>46146.65625</v>
      </c>
      <c r="C2518" t="s">
        <v>37</v>
      </c>
      <c r="D2518" s="1">
        <v>46157.354166666664</v>
      </c>
      <c r="E2518">
        <v>6290</v>
      </c>
      <c r="F2518" t="s">
        <v>36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426</v>
      </c>
      <c r="M2518">
        <v>1.4</v>
      </c>
      <c r="N2518">
        <v>472</v>
      </c>
      <c r="O2518">
        <v>1.55</v>
      </c>
      <c r="P2518">
        <v>0</v>
      </c>
      <c r="Q2518">
        <v>0</v>
      </c>
      <c r="R2518">
        <v>0</v>
      </c>
      <c r="S2518">
        <v>0</v>
      </c>
      <c r="T2518">
        <v>0.34610000000000002</v>
      </c>
      <c r="U2518">
        <v>-1.04E-2</v>
      </c>
      <c r="V2518">
        <v>1E-4</v>
      </c>
      <c r="W2518">
        <v>-0.48099999999999998</v>
      </c>
      <c r="X2518">
        <v>0.35699999999999998</v>
      </c>
      <c r="Y2518">
        <v>-2.1899999999999999E-2</v>
      </c>
      <c r="Z2518">
        <v>128</v>
      </c>
      <c r="AA2518">
        <v>1.35</v>
      </c>
      <c r="AB2518">
        <v>189</v>
      </c>
      <c r="AC2518">
        <v>1.55</v>
      </c>
      <c r="AD2518">
        <v>0</v>
      </c>
      <c r="AE2518">
        <v>0</v>
      </c>
      <c r="AF2518">
        <v>0</v>
      </c>
      <c r="AG2518">
        <v>887</v>
      </c>
      <c r="AH2518">
        <v>0</v>
      </c>
    </row>
    <row r="2519" spans="1:34" x14ac:dyDescent="0.35">
      <c r="A2519" t="s">
        <v>37</v>
      </c>
      <c r="B2519" s="1">
        <v>46146.65625</v>
      </c>
      <c r="C2519" t="s">
        <v>37</v>
      </c>
      <c r="D2519" s="1">
        <v>46157.354166666664</v>
      </c>
      <c r="E2519">
        <v>6295</v>
      </c>
      <c r="F2519" t="s">
        <v>36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288</v>
      </c>
      <c r="M2519">
        <v>1.4</v>
      </c>
      <c r="N2519">
        <v>442</v>
      </c>
      <c r="O2519">
        <v>1.6</v>
      </c>
      <c r="P2519">
        <v>0</v>
      </c>
      <c r="Q2519">
        <v>0</v>
      </c>
      <c r="R2519">
        <v>0</v>
      </c>
      <c r="S2519">
        <v>0</v>
      </c>
      <c r="T2519">
        <v>0.34499999999999997</v>
      </c>
      <c r="U2519">
        <v>-1.06E-2</v>
      </c>
      <c r="V2519">
        <v>1E-4</v>
      </c>
      <c r="W2519">
        <v>-0.4874</v>
      </c>
      <c r="X2519">
        <v>0.36249999999999999</v>
      </c>
      <c r="Y2519">
        <v>-2.23E-2</v>
      </c>
      <c r="Z2519">
        <v>20</v>
      </c>
      <c r="AA2519">
        <v>1.4</v>
      </c>
      <c r="AB2519">
        <v>262</v>
      </c>
      <c r="AC2519">
        <v>1.6</v>
      </c>
      <c r="AD2519">
        <v>0</v>
      </c>
      <c r="AE2519">
        <v>0</v>
      </c>
      <c r="AF2519">
        <v>0</v>
      </c>
      <c r="AG2519">
        <v>244</v>
      </c>
      <c r="AH2519">
        <v>0</v>
      </c>
    </row>
    <row r="2520" spans="1:34" x14ac:dyDescent="0.35">
      <c r="A2520" t="s">
        <v>37</v>
      </c>
      <c r="B2520" s="1">
        <v>46146.65625</v>
      </c>
      <c r="C2520" t="s">
        <v>37</v>
      </c>
      <c r="D2520" s="1">
        <v>46157.354166666664</v>
      </c>
      <c r="E2520">
        <v>6300</v>
      </c>
      <c r="F2520" t="s">
        <v>36</v>
      </c>
      <c r="G2520">
        <v>1.25</v>
      </c>
      <c r="H2520">
        <v>2.4500000000000002</v>
      </c>
      <c r="I2520">
        <v>1.25</v>
      </c>
      <c r="J2520">
        <v>1.64</v>
      </c>
      <c r="K2520">
        <v>528</v>
      </c>
      <c r="L2520">
        <v>926</v>
      </c>
      <c r="M2520">
        <v>1.4</v>
      </c>
      <c r="N2520">
        <v>746</v>
      </c>
      <c r="O2520">
        <v>1.6</v>
      </c>
      <c r="P2520">
        <v>0</v>
      </c>
      <c r="Q2520">
        <v>0</v>
      </c>
      <c r="R2520">
        <v>0</v>
      </c>
      <c r="S2520">
        <v>0</v>
      </c>
      <c r="T2520">
        <v>0.34320000000000001</v>
      </c>
      <c r="U2520">
        <v>-1.0699999999999999E-2</v>
      </c>
      <c r="V2520">
        <v>1E-4</v>
      </c>
      <c r="W2520">
        <v>-0.48699999999999999</v>
      </c>
      <c r="X2520">
        <v>0.36409999999999998</v>
      </c>
      <c r="Y2520">
        <v>-2.24E-2</v>
      </c>
      <c r="Z2520">
        <v>94</v>
      </c>
      <c r="AA2520">
        <v>1.4</v>
      </c>
      <c r="AB2520">
        <v>257</v>
      </c>
      <c r="AC2520">
        <v>1.6</v>
      </c>
      <c r="AD2520">
        <v>0</v>
      </c>
      <c r="AE2520">
        <v>0</v>
      </c>
      <c r="AF2520">
        <v>1.6431</v>
      </c>
      <c r="AG2520">
        <v>18515</v>
      </c>
      <c r="AH2520">
        <v>0</v>
      </c>
    </row>
    <row r="2521" spans="1:34" x14ac:dyDescent="0.35">
      <c r="A2521" t="s">
        <v>37</v>
      </c>
      <c r="B2521" s="1">
        <v>46146.65625</v>
      </c>
      <c r="C2521" t="s">
        <v>37</v>
      </c>
      <c r="D2521" s="1">
        <v>46157.354166666664</v>
      </c>
      <c r="E2521">
        <v>6305</v>
      </c>
      <c r="F2521" t="s">
        <v>36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163</v>
      </c>
      <c r="M2521">
        <v>1.45</v>
      </c>
      <c r="N2521">
        <v>244</v>
      </c>
      <c r="O2521">
        <v>1.6</v>
      </c>
      <c r="P2521">
        <v>0</v>
      </c>
      <c r="Q2521">
        <v>0</v>
      </c>
      <c r="R2521">
        <v>0</v>
      </c>
      <c r="S2521">
        <v>0</v>
      </c>
      <c r="T2521">
        <v>0.34229999999999999</v>
      </c>
      <c r="U2521">
        <v>-1.09E-2</v>
      </c>
      <c r="V2521">
        <v>1E-4</v>
      </c>
      <c r="W2521">
        <v>-0.49349999999999999</v>
      </c>
      <c r="X2521">
        <v>0.3695</v>
      </c>
      <c r="Y2521">
        <v>-2.2700000000000001E-2</v>
      </c>
      <c r="Z2521">
        <v>66</v>
      </c>
      <c r="AA2521">
        <v>1.4</v>
      </c>
      <c r="AB2521">
        <v>157</v>
      </c>
      <c r="AC2521">
        <v>1.6</v>
      </c>
      <c r="AD2521">
        <v>0</v>
      </c>
      <c r="AE2521">
        <v>0</v>
      </c>
      <c r="AF2521">
        <v>0</v>
      </c>
      <c r="AG2521">
        <v>548</v>
      </c>
      <c r="AH2521">
        <v>0</v>
      </c>
    </row>
    <row r="2522" spans="1:34" x14ac:dyDescent="0.35">
      <c r="A2522" t="s">
        <v>37</v>
      </c>
      <c r="B2522" s="1">
        <v>46146.65625</v>
      </c>
      <c r="C2522" t="s">
        <v>37</v>
      </c>
      <c r="D2522" s="1">
        <v>46157.354166666664</v>
      </c>
      <c r="E2522">
        <v>6310</v>
      </c>
      <c r="F2522" t="s">
        <v>36</v>
      </c>
      <c r="G2522">
        <v>1.97</v>
      </c>
      <c r="H2522">
        <v>1.97</v>
      </c>
      <c r="I2522">
        <v>1.97</v>
      </c>
      <c r="J2522">
        <v>1.97</v>
      </c>
      <c r="K2522">
        <v>1</v>
      </c>
      <c r="L2522">
        <v>366</v>
      </c>
      <c r="M2522">
        <v>1.45</v>
      </c>
      <c r="N2522">
        <v>106</v>
      </c>
      <c r="O2522">
        <v>1.6</v>
      </c>
      <c r="P2522">
        <v>0</v>
      </c>
      <c r="Q2522">
        <v>0</v>
      </c>
      <c r="R2522">
        <v>0</v>
      </c>
      <c r="S2522">
        <v>0</v>
      </c>
      <c r="T2522">
        <v>0.34039999999999998</v>
      </c>
      <c r="U2522">
        <v>-1.09E-2</v>
      </c>
      <c r="V2522">
        <v>1E-4</v>
      </c>
      <c r="W2522">
        <v>-0.4929</v>
      </c>
      <c r="X2522">
        <v>0.37119999999999997</v>
      </c>
      <c r="Y2522">
        <v>-2.29E-2</v>
      </c>
      <c r="Z2522">
        <v>64</v>
      </c>
      <c r="AA2522">
        <v>1.45</v>
      </c>
      <c r="AB2522">
        <v>297</v>
      </c>
      <c r="AC2522">
        <v>1.65</v>
      </c>
      <c r="AD2522">
        <v>0</v>
      </c>
      <c r="AE2522">
        <v>0</v>
      </c>
      <c r="AF2522">
        <v>1.97</v>
      </c>
      <c r="AG2522">
        <v>475</v>
      </c>
      <c r="AH2522">
        <v>0</v>
      </c>
    </row>
    <row r="2523" spans="1:34" x14ac:dyDescent="0.35">
      <c r="A2523" t="s">
        <v>37</v>
      </c>
      <c r="B2523" s="1">
        <v>46146.65625</v>
      </c>
      <c r="C2523" t="s">
        <v>37</v>
      </c>
      <c r="D2523" s="1">
        <v>46157.354166666664</v>
      </c>
      <c r="E2523">
        <v>6315</v>
      </c>
      <c r="F2523" t="s">
        <v>36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663</v>
      </c>
      <c r="M2523">
        <v>1.45</v>
      </c>
      <c r="N2523">
        <v>617</v>
      </c>
      <c r="O2523">
        <v>1.65</v>
      </c>
      <c r="P2523">
        <v>0</v>
      </c>
      <c r="Q2523">
        <v>0</v>
      </c>
      <c r="R2523">
        <v>0</v>
      </c>
      <c r="S2523">
        <v>0</v>
      </c>
      <c r="T2523">
        <v>0.33929999999999999</v>
      </c>
      <c r="U2523">
        <v>-1.11E-2</v>
      </c>
      <c r="V2523">
        <v>1E-4</v>
      </c>
      <c r="W2523">
        <v>-0.49930000000000002</v>
      </c>
      <c r="X2523">
        <v>0.37680000000000002</v>
      </c>
      <c r="Y2523">
        <v>-2.3199999999999998E-2</v>
      </c>
      <c r="Z2523">
        <v>72</v>
      </c>
      <c r="AA2523">
        <v>1.45</v>
      </c>
      <c r="AB2523">
        <v>225</v>
      </c>
      <c r="AC2523">
        <v>1.65</v>
      </c>
      <c r="AD2523">
        <v>0</v>
      </c>
      <c r="AE2523">
        <v>0</v>
      </c>
      <c r="AF2523">
        <v>0</v>
      </c>
      <c r="AG2523">
        <v>822</v>
      </c>
      <c r="AH2523">
        <v>0</v>
      </c>
    </row>
    <row r="2524" spans="1:34" x14ac:dyDescent="0.35">
      <c r="A2524" t="s">
        <v>37</v>
      </c>
      <c r="B2524" s="1">
        <v>46146.65625</v>
      </c>
      <c r="C2524" t="s">
        <v>37</v>
      </c>
      <c r="D2524" s="1">
        <v>46157.354166666664</v>
      </c>
      <c r="E2524">
        <v>6320</v>
      </c>
      <c r="F2524" t="s">
        <v>36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205</v>
      </c>
      <c r="M2524">
        <v>1.5</v>
      </c>
      <c r="N2524">
        <v>251</v>
      </c>
      <c r="O2524">
        <v>1.65</v>
      </c>
      <c r="P2524">
        <v>0</v>
      </c>
      <c r="Q2524">
        <v>0</v>
      </c>
      <c r="R2524">
        <v>0</v>
      </c>
      <c r="S2524">
        <v>0</v>
      </c>
      <c r="T2524">
        <v>0.33839999999999998</v>
      </c>
      <c r="U2524">
        <v>-1.1299999999999999E-2</v>
      </c>
      <c r="V2524">
        <v>1E-4</v>
      </c>
      <c r="W2524">
        <v>-0.50570000000000004</v>
      </c>
      <c r="X2524">
        <v>0.38229999999999997</v>
      </c>
      <c r="Y2524">
        <v>-2.3599999999999999E-2</v>
      </c>
      <c r="Z2524">
        <v>135</v>
      </c>
      <c r="AA2524">
        <v>1.45</v>
      </c>
      <c r="AB2524">
        <v>189</v>
      </c>
      <c r="AC2524">
        <v>1.65</v>
      </c>
      <c r="AD2524">
        <v>0</v>
      </c>
      <c r="AE2524">
        <v>0</v>
      </c>
      <c r="AF2524">
        <v>0</v>
      </c>
      <c r="AG2524">
        <v>685</v>
      </c>
      <c r="AH2524">
        <v>0</v>
      </c>
    </row>
    <row r="2525" spans="1:34" x14ac:dyDescent="0.35">
      <c r="A2525" t="s">
        <v>37</v>
      </c>
      <c r="B2525" s="1">
        <v>46146.65625</v>
      </c>
      <c r="C2525" t="s">
        <v>37</v>
      </c>
      <c r="D2525" s="1">
        <v>46157.354166666664</v>
      </c>
      <c r="E2525">
        <v>6325</v>
      </c>
      <c r="F2525" t="s">
        <v>36</v>
      </c>
      <c r="G2525">
        <v>1.6</v>
      </c>
      <c r="H2525">
        <v>1.6</v>
      </c>
      <c r="I2525">
        <v>1.6</v>
      </c>
      <c r="J2525">
        <v>1.6</v>
      </c>
      <c r="K2525">
        <v>2</v>
      </c>
      <c r="L2525">
        <v>809</v>
      </c>
      <c r="M2525">
        <v>1.5</v>
      </c>
      <c r="N2525">
        <v>185</v>
      </c>
      <c r="O2525">
        <v>1.65</v>
      </c>
      <c r="P2525">
        <v>0</v>
      </c>
      <c r="Q2525">
        <v>0</v>
      </c>
      <c r="R2525">
        <v>0</v>
      </c>
      <c r="S2525">
        <v>0</v>
      </c>
      <c r="T2525">
        <v>0.33650000000000002</v>
      </c>
      <c r="U2525">
        <v>-1.1299999999999999E-2</v>
      </c>
      <c r="V2525">
        <v>1E-4</v>
      </c>
      <c r="W2525">
        <v>-0.50519999999999998</v>
      </c>
      <c r="X2525">
        <v>0.3841</v>
      </c>
      <c r="Y2525">
        <v>-2.3800000000000002E-2</v>
      </c>
      <c r="Z2525">
        <v>65</v>
      </c>
      <c r="AA2525">
        <v>1.5</v>
      </c>
      <c r="AB2525">
        <v>336</v>
      </c>
      <c r="AC2525">
        <v>1.7</v>
      </c>
      <c r="AD2525">
        <v>0</v>
      </c>
      <c r="AE2525">
        <v>0</v>
      </c>
      <c r="AF2525">
        <v>1.6</v>
      </c>
      <c r="AG2525">
        <v>1773</v>
      </c>
      <c r="AH2525">
        <v>0</v>
      </c>
    </row>
    <row r="2526" spans="1:34" x14ac:dyDescent="0.35">
      <c r="A2526" t="s">
        <v>37</v>
      </c>
      <c r="B2526" s="1">
        <v>46146.65625</v>
      </c>
      <c r="C2526" t="s">
        <v>37</v>
      </c>
      <c r="D2526" s="1">
        <v>46157.354166666664</v>
      </c>
      <c r="E2526">
        <v>6330</v>
      </c>
      <c r="F2526" t="s">
        <v>36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143</v>
      </c>
      <c r="M2526">
        <v>1.55</v>
      </c>
      <c r="N2526">
        <v>485</v>
      </c>
      <c r="O2526">
        <v>1.7</v>
      </c>
      <c r="P2526">
        <v>0</v>
      </c>
      <c r="Q2526">
        <v>0</v>
      </c>
      <c r="R2526">
        <v>0</v>
      </c>
      <c r="S2526">
        <v>0</v>
      </c>
      <c r="T2526">
        <v>0.33550000000000002</v>
      </c>
      <c r="U2526">
        <v>-1.15E-2</v>
      </c>
      <c r="V2526">
        <v>1E-4</v>
      </c>
      <c r="W2526">
        <v>-0.51149999999999995</v>
      </c>
      <c r="X2526">
        <v>0.38969999999999999</v>
      </c>
      <c r="Y2526">
        <v>-2.4199999999999999E-2</v>
      </c>
      <c r="Z2526">
        <v>142</v>
      </c>
      <c r="AA2526">
        <v>1.5</v>
      </c>
      <c r="AB2526">
        <v>256</v>
      </c>
      <c r="AC2526">
        <v>1.7</v>
      </c>
      <c r="AD2526">
        <v>0</v>
      </c>
      <c r="AE2526">
        <v>0</v>
      </c>
      <c r="AF2526">
        <v>0</v>
      </c>
      <c r="AG2526">
        <v>1110</v>
      </c>
      <c r="AH2526">
        <v>0</v>
      </c>
    </row>
    <row r="2527" spans="1:34" x14ac:dyDescent="0.35">
      <c r="A2527" t="s">
        <v>37</v>
      </c>
      <c r="B2527" s="1">
        <v>46146.65625</v>
      </c>
      <c r="C2527" t="s">
        <v>37</v>
      </c>
      <c r="D2527" s="1">
        <v>46157.354166666664</v>
      </c>
      <c r="E2527">
        <v>6335</v>
      </c>
      <c r="F2527" t="s">
        <v>36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241</v>
      </c>
      <c r="M2527">
        <v>1.55</v>
      </c>
      <c r="N2527">
        <v>125</v>
      </c>
      <c r="O2527">
        <v>1.7</v>
      </c>
      <c r="P2527">
        <v>0</v>
      </c>
      <c r="Q2527">
        <v>0</v>
      </c>
      <c r="R2527">
        <v>0</v>
      </c>
      <c r="S2527">
        <v>0</v>
      </c>
      <c r="T2527">
        <v>0.33439999999999998</v>
      </c>
      <c r="U2527">
        <v>-1.17E-2</v>
      </c>
      <c r="V2527">
        <v>1E-4</v>
      </c>
      <c r="W2527">
        <v>-0.51780000000000004</v>
      </c>
      <c r="X2527">
        <v>0.39539999999999997</v>
      </c>
      <c r="Y2527">
        <v>-2.46E-2</v>
      </c>
      <c r="Z2527">
        <v>68</v>
      </c>
      <c r="AA2527">
        <v>1.5</v>
      </c>
      <c r="AB2527">
        <v>160</v>
      </c>
      <c r="AC2527">
        <v>1.7</v>
      </c>
      <c r="AD2527">
        <v>0</v>
      </c>
      <c r="AE2527">
        <v>0</v>
      </c>
      <c r="AF2527">
        <v>0</v>
      </c>
      <c r="AG2527">
        <v>575</v>
      </c>
      <c r="AH2527">
        <v>0</v>
      </c>
    </row>
    <row r="2528" spans="1:34" x14ac:dyDescent="0.35">
      <c r="A2528" t="s">
        <v>37</v>
      </c>
      <c r="B2528" s="1">
        <v>46146.65625</v>
      </c>
      <c r="C2528" t="s">
        <v>37</v>
      </c>
      <c r="D2528" s="1">
        <v>46157.354166666664</v>
      </c>
      <c r="E2528">
        <v>6340</v>
      </c>
      <c r="F2528" t="s">
        <v>36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846</v>
      </c>
      <c r="M2528">
        <v>1.55</v>
      </c>
      <c r="N2528">
        <v>183</v>
      </c>
      <c r="O2528">
        <v>1.7</v>
      </c>
      <c r="P2528">
        <v>0</v>
      </c>
      <c r="Q2528">
        <v>0</v>
      </c>
      <c r="R2528">
        <v>0</v>
      </c>
      <c r="S2528">
        <v>0</v>
      </c>
      <c r="T2528">
        <v>0.33250000000000002</v>
      </c>
      <c r="U2528">
        <v>-1.18E-2</v>
      </c>
      <c r="V2528">
        <v>1E-4</v>
      </c>
      <c r="W2528">
        <v>-0.51719999999999999</v>
      </c>
      <c r="X2528">
        <v>0.3972</v>
      </c>
      <c r="Y2528">
        <v>-2.47E-2</v>
      </c>
      <c r="Z2528">
        <v>96</v>
      </c>
      <c r="AA2528">
        <v>1.55</v>
      </c>
      <c r="AB2528">
        <v>344</v>
      </c>
      <c r="AC2528">
        <v>1.75</v>
      </c>
      <c r="AD2528">
        <v>0</v>
      </c>
      <c r="AE2528">
        <v>0</v>
      </c>
      <c r="AF2528">
        <v>0</v>
      </c>
      <c r="AG2528">
        <v>953</v>
      </c>
      <c r="AH2528">
        <v>0</v>
      </c>
    </row>
    <row r="2529" spans="1:34" x14ac:dyDescent="0.35">
      <c r="A2529" t="s">
        <v>37</v>
      </c>
      <c r="B2529" s="1">
        <v>46146.65625</v>
      </c>
      <c r="C2529" t="s">
        <v>37</v>
      </c>
      <c r="D2529" s="1">
        <v>46157.354166666664</v>
      </c>
      <c r="E2529">
        <v>6345</v>
      </c>
      <c r="F2529" t="s">
        <v>36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116</v>
      </c>
      <c r="M2529">
        <v>1.6</v>
      </c>
      <c r="N2529">
        <v>275</v>
      </c>
      <c r="O2529">
        <v>1.75</v>
      </c>
      <c r="P2529">
        <v>0</v>
      </c>
      <c r="Q2529">
        <v>0</v>
      </c>
      <c r="R2529">
        <v>0</v>
      </c>
      <c r="S2529">
        <v>0</v>
      </c>
      <c r="T2529">
        <v>0.33210000000000001</v>
      </c>
      <c r="U2529">
        <v>-1.21E-2</v>
      </c>
      <c r="V2529">
        <v>1E-4</v>
      </c>
      <c r="W2529">
        <v>-0.53010000000000002</v>
      </c>
      <c r="X2529">
        <v>0.40689999999999998</v>
      </c>
      <c r="Y2529">
        <v>-2.5399999999999999E-2</v>
      </c>
      <c r="Z2529">
        <v>69</v>
      </c>
      <c r="AA2529">
        <v>1.55</v>
      </c>
      <c r="AB2529">
        <v>167</v>
      </c>
      <c r="AC2529">
        <v>1.75</v>
      </c>
      <c r="AD2529">
        <v>0</v>
      </c>
      <c r="AE2529">
        <v>0</v>
      </c>
      <c r="AF2529">
        <v>0</v>
      </c>
      <c r="AG2529">
        <v>363</v>
      </c>
      <c r="AH2529">
        <v>0</v>
      </c>
    </row>
    <row r="2530" spans="1:34" x14ac:dyDescent="0.35">
      <c r="A2530" t="s">
        <v>37</v>
      </c>
      <c r="B2530" s="1">
        <v>46146.65625</v>
      </c>
      <c r="C2530" t="s">
        <v>37</v>
      </c>
      <c r="D2530" s="1">
        <v>46157.354166666664</v>
      </c>
      <c r="E2530">
        <v>6350</v>
      </c>
      <c r="F2530" t="s">
        <v>36</v>
      </c>
      <c r="G2530">
        <v>1.42</v>
      </c>
      <c r="H2530">
        <v>2.5499999999999998</v>
      </c>
      <c r="I2530">
        <v>1.35</v>
      </c>
      <c r="J2530">
        <v>1.68</v>
      </c>
      <c r="K2530">
        <v>50</v>
      </c>
      <c r="L2530">
        <v>697</v>
      </c>
      <c r="M2530">
        <v>1.6</v>
      </c>
      <c r="N2530">
        <v>183</v>
      </c>
      <c r="O2530">
        <v>1.75</v>
      </c>
      <c r="P2530">
        <v>0</v>
      </c>
      <c r="Q2530">
        <v>0</v>
      </c>
      <c r="R2530">
        <v>0</v>
      </c>
      <c r="S2530">
        <v>0</v>
      </c>
      <c r="T2530">
        <v>0.33029999999999998</v>
      </c>
      <c r="U2530">
        <v>-1.2200000000000001E-2</v>
      </c>
      <c r="V2530">
        <v>1E-4</v>
      </c>
      <c r="W2530">
        <v>-0.52959999999999996</v>
      </c>
      <c r="X2530">
        <v>0.40870000000000001</v>
      </c>
      <c r="Y2530">
        <v>-2.5499999999999998E-2</v>
      </c>
      <c r="Z2530">
        <v>61</v>
      </c>
      <c r="AA2530">
        <v>1.6</v>
      </c>
      <c r="AB2530">
        <v>92</v>
      </c>
      <c r="AC2530">
        <v>1.75</v>
      </c>
      <c r="AD2530">
        <v>0</v>
      </c>
      <c r="AE2530">
        <v>0</v>
      </c>
      <c r="AF2530">
        <v>1.8440000000000001</v>
      </c>
      <c r="AG2530">
        <v>15762</v>
      </c>
      <c r="AH2530">
        <v>0</v>
      </c>
    </row>
    <row r="2531" spans="1:34" x14ac:dyDescent="0.35">
      <c r="A2531" t="s">
        <v>37</v>
      </c>
      <c r="B2531" s="1">
        <v>46146.65625</v>
      </c>
      <c r="C2531" t="s">
        <v>37</v>
      </c>
      <c r="D2531" s="1">
        <v>46157.354166666664</v>
      </c>
      <c r="E2531">
        <v>6355</v>
      </c>
      <c r="F2531" t="s">
        <v>36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284</v>
      </c>
      <c r="M2531">
        <v>1.6</v>
      </c>
      <c r="N2531">
        <v>279</v>
      </c>
      <c r="O2531">
        <v>1.8</v>
      </c>
      <c r="P2531">
        <v>0</v>
      </c>
      <c r="Q2531">
        <v>0</v>
      </c>
      <c r="R2531">
        <v>0</v>
      </c>
      <c r="S2531">
        <v>0</v>
      </c>
      <c r="T2531">
        <v>0.32900000000000001</v>
      </c>
      <c r="U2531">
        <v>-1.24E-2</v>
      </c>
      <c r="V2531">
        <v>1E-4</v>
      </c>
      <c r="W2531">
        <v>-0.53559999999999997</v>
      </c>
      <c r="X2531">
        <v>0.41470000000000001</v>
      </c>
      <c r="Y2531">
        <v>-2.5899999999999999E-2</v>
      </c>
      <c r="Z2531">
        <v>71</v>
      </c>
      <c r="AA2531">
        <v>1.6</v>
      </c>
      <c r="AB2531">
        <v>224</v>
      </c>
      <c r="AC2531">
        <v>1.8</v>
      </c>
      <c r="AD2531">
        <v>0</v>
      </c>
      <c r="AE2531">
        <v>0</v>
      </c>
      <c r="AF2531">
        <v>0</v>
      </c>
      <c r="AG2531">
        <v>159</v>
      </c>
      <c r="AH2531">
        <v>0</v>
      </c>
    </row>
    <row r="2532" spans="1:34" x14ac:dyDescent="0.35">
      <c r="A2532" t="s">
        <v>37</v>
      </c>
      <c r="B2532" s="1">
        <v>46146.65625</v>
      </c>
      <c r="C2532" t="s">
        <v>37</v>
      </c>
      <c r="D2532" s="1">
        <v>46157.354166666664</v>
      </c>
      <c r="E2532">
        <v>6360</v>
      </c>
      <c r="F2532" t="s">
        <v>36</v>
      </c>
      <c r="G2532">
        <v>2.2000000000000002</v>
      </c>
      <c r="H2532">
        <v>2.2000000000000002</v>
      </c>
      <c r="I2532">
        <v>2.2000000000000002</v>
      </c>
      <c r="J2532">
        <v>2.2000000000000002</v>
      </c>
      <c r="K2532">
        <v>1</v>
      </c>
      <c r="L2532">
        <v>492</v>
      </c>
      <c r="M2532">
        <v>1.65</v>
      </c>
      <c r="N2532">
        <v>332</v>
      </c>
      <c r="O2532">
        <v>1.8</v>
      </c>
      <c r="P2532">
        <v>0</v>
      </c>
      <c r="Q2532">
        <v>0</v>
      </c>
      <c r="R2532">
        <v>0</v>
      </c>
      <c r="S2532">
        <v>0</v>
      </c>
      <c r="T2532">
        <v>0.32800000000000001</v>
      </c>
      <c r="U2532">
        <v>-1.26E-2</v>
      </c>
      <c r="V2532">
        <v>1E-4</v>
      </c>
      <c r="W2532">
        <v>-0.54179999999999995</v>
      </c>
      <c r="X2532">
        <v>0.42049999999999998</v>
      </c>
      <c r="Y2532">
        <v>-2.63E-2</v>
      </c>
      <c r="Z2532">
        <v>109</v>
      </c>
      <c r="AA2532">
        <v>1.6</v>
      </c>
      <c r="AB2532">
        <v>168</v>
      </c>
      <c r="AC2532">
        <v>1.8</v>
      </c>
      <c r="AD2532">
        <v>0</v>
      </c>
      <c r="AE2532">
        <v>0</v>
      </c>
      <c r="AF2532">
        <v>2.2000000000000002</v>
      </c>
      <c r="AG2532">
        <v>1059</v>
      </c>
      <c r="AH2532">
        <v>0</v>
      </c>
    </row>
    <row r="2533" spans="1:34" x14ac:dyDescent="0.35">
      <c r="A2533" t="s">
        <v>37</v>
      </c>
      <c r="B2533" s="1">
        <v>46146.65625</v>
      </c>
      <c r="C2533" t="s">
        <v>37</v>
      </c>
      <c r="D2533" s="1">
        <v>46157.354166666664</v>
      </c>
      <c r="E2533">
        <v>6365</v>
      </c>
      <c r="F2533" t="s">
        <v>36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272</v>
      </c>
      <c r="M2533">
        <v>1.65</v>
      </c>
      <c r="N2533">
        <v>327</v>
      </c>
      <c r="O2533">
        <v>1.85</v>
      </c>
      <c r="P2533">
        <v>0</v>
      </c>
      <c r="Q2533">
        <v>0</v>
      </c>
      <c r="R2533">
        <v>0</v>
      </c>
      <c r="S2533">
        <v>0</v>
      </c>
      <c r="T2533">
        <v>0.32640000000000002</v>
      </c>
      <c r="U2533">
        <v>-1.2800000000000001E-2</v>
      </c>
      <c r="V2533">
        <v>1E-4</v>
      </c>
      <c r="W2533">
        <v>-0.54769999999999996</v>
      </c>
      <c r="X2533">
        <v>0.42680000000000001</v>
      </c>
      <c r="Y2533">
        <v>-2.6800000000000001E-2</v>
      </c>
      <c r="Z2533">
        <v>20</v>
      </c>
      <c r="AA2533">
        <v>1.65</v>
      </c>
      <c r="AB2533">
        <v>230</v>
      </c>
      <c r="AC2533">
        <v>1.85</v>
      </c>
      <c r="AD2533">
        <v>0</v>
      </c>
      <c r="AE2533">
        <v>0</v>
      </c>
      <c r="AF2533">
        <v>0</v>
      </c>
      <c r="AG2533">
        <v>252</v>
      </c>
      <c r="AH2533">
        <v>0</v>
      </c>
    </row>
    <row r="2534" spans="1:34" x14ac:dyDescent="0.35">
      <c r="A2534" t="s">
        <v>37</v>
      </c>
      <c r="B2534" s="1">
        <v>46146.65625</v>
      </c>
      <c r="C2534" t="s">
        <v>37</v>
      </c>
      <c r="D2534" s="1">
        <v>46157.354166666664</v>
      </c>
      <c r="E2534">
        <v>6370</v>
      </c>
      <c r="F2534" t="s">
        <v>36</v>
      </c>
      <c r="G2534">
        <v>1.87</v>
      </c>
      <c r="H2534">
        <v>1.87</v>
      </c>
      <c r="I2534">
        <v>1.87</v>
      </c>
      <c r="J2534">
        <v>1.87</v>
      </c>
      <c r="K2534">
        <v>16</v>
      </c>
      <c r="L2534">
        <v>132</v>
      </c>
      <c r="M2534">
        <v>1.7</v>
      </c>
      <c r="N2534">
        <v>247</v>
      </c>
      <c r="O2534">
        <v>1.85</v>
      </c>
      <c r="P2534">
        <v>0</v>
      </c>
      <c r="Q2534">
        <v>0</v>
      </c>
      <c r="R2534">
        <v>0</v>
      </c>
      <c r="S2534">
        <v>0</v>
      </c>
      <c r="T2534">
        <v>0.32569999999999999</v>
      </c>
      <c r="U2534">
        <v>-1.2999999999999999E-2</v>
      </c>
      <c r="V2534">
        <v>1E-4</v>
      </c>
      <c r="W2534">
        <v>-0.55379999999999996</v>
      </c>
      <c r="X2534">
        <v>0.43240000000000001</v>
      </c>
      <c r="Y2534">
        <v>-2.7199999999999998E-2</v>
      </c>
      <c r="Z2534">
        <v>122</v>
      </c>
      <c r="AA2534">
        <v>1.65</v>
      </c>
      <c r="AB2534">
        <v>172</v>
      </c>
      <c r="AC2534">
        <v>1.85</v>
      </c>
      <c r="AD2534">
        <v>0</v>
      </c>
      <c r="AE2534">
        <v>0</v>
      </c>
      <c r="AF2534">
        <v>1.87</v>
      </c>
      <c r="AG2534">
        <v>262</v>
      </c>
      <c r="AH2534">
        <v>0</v>
      </c>
    </row>
    <row r="2535" spans="1:34" x14ac:dyDescent="0.35">
      <c r="A2535" t="s">
        <v>37</v>
      </c>
      <c r="B2535" s="1">
        <v>46146.65625</v>
      </c>
      <c r="C2535" t="s">
        <v>37</v>
      </c>
      <c r="D2535" s="1">
        <v>46157.354166666664</v>
      </c>
      <c r="E2535">
        <v>6375</v>
      </c>
      <c r="F2535" t="s">
        <v>36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796</v>
      </c>
      <c r="M2535">
        <v>1.7</v>
      </c>
      <c r="N2535">
        <v>181</v>
      </c>
      <c r="O2535">
        <v>1.85</v>
      </c>
      <c r="P2535">
        <v>0</v>
      </c>
      <c r="Q2535">
        <v>0</v>
      </c>
      <c r="R2535">
        <v>0</v>
      </c>
      <c r="S2535">
        <v>0</v>
      </c>
      <c r="T2535">
        <v>0.32369999999999999</v>
      </c>
      <c r="U2535">
        <v>-1.3100000000000001E-2</v>
      </c>
      <c r="V2535">
        <v>1E-4</v>
      </c>
      <c r="W2535">
        <v>-0.55320000000000003</v>
      </c>
      <c r="X2535">
        <v>0.43459999999999999</v>
      </c>
      <c r="Y2535">
        <v>-2.7300000000000001E-2</v>
      </c>
      <c r="Z2535">
        <v>60</v>
      </c>
      <c r="AA2535">
        <v>1.7</v>
      </c>
      <c r="AB2535">
        <v>272</v>
      </c>
      <c r="AC2535">
        <v>1.9</v>
      </c>
      <c r="AD2535">
        <v>0</v>
      </c>
      <c r="AE2535">
        <v>0</v>
      </c>
      <c r="AF2535">
        <v>0</v>
      </c>
      <c r="AG2535">
        <v>2673</v>
      </c>
      <c r="AH2535">
        <v>0</v>
      </c>
    </row>
    <row r="2536" spans="1:34" x14ac:dyDescent="0.35">
      <c r="A2536" t="s">
        <v>37</v>
      </c>
      <c r="B2536" s="1">
        <v>46146.65625</v>
      </c>
      <c r="C2536" t="s">
        <v>37</v>
      </c>
      <c r="D2536" s="1">
        <v>46157.354166666664</v>
      </c>
      <c r="E2536">
        <v>6380</v>
      </c>
      <c r="F2536" t="s">
        <v>36</v>
      </c>
      <c r="G2536">
        <v>2.7</v>
      </c>
      <c r="H2536">
        <v>2.7</v>
      </c>
      <c r="I2536">
        <v>2.7</v>
      </c>
      <c r="J2536">
        <v>2.7</v>
      </c>
      <c r="K2536">
        <v>30</v>
      </c>
      <c r="L2536">
        <v>287</v>
      </c>
      <c r="M2536">
        <v>1.75</v>
      </c>
      <c r="N2536">
        <v>584</v>
      </c>
      <c r="O2536">
        <v>1.9</v>
      </c>
      <c r="P2536">
        <v>0</v>
      </c>
      <c r="Q2536">
        <v>0</v>
      </c>
      <c r="R2536">
        <v>0</v>
      </c>
      <c r="S2536">
        <v>0</v>
      </c>
      <c r="T2536">
        <v>0.32329999999999998</v>
      </c>
      <c r="U2536">
        <v>-1.34E-2</v>
      </c>
      <c r="V2536">
        <v>1E-4</v>
      </c>
      <c r="W2536">
        <v>-0.56569999999999998</v>
      </c>
      <c r="X2536">
        <v>0.44429999999999997</v>
      </c>
      <c r="Y2536">
        <v>-2.81E-2</v>
      </c>
      <c r="Z2536">
        <v>114</v>
      </c>
      <c r="AA2536">
        <v>1.7</v>
      </c>
      <c r="AB2536">
        <v>235</v>
      </c>
      <c r="AC2536">
        <v>1.9</v>
      </c>
      <c r="AD2536">
        <v>0</v>
      </c>
      <c r="AE2536">
        <v>0</v>
      </c>
      <c r="AF2536">
        <v>2.7</v>
      </c>
      <c r="AG2536">
        <v>4497</v>
      </c>
      <c r="AH2536">
        <v>0</v>
      </c>
    </row>
    <row r="2537" spans="1:34" x14ac:dyDescent="0.35">
      <c r="A2537" t="s">
        <v>37</v>
      </c>
      <c r="B2537" s="1">
        <v>46146.65625</v>
      </c>
      <c r="C2537" t="s">
        <v>37</v>
      </c>
      <c r="D2537" s="1">
        <v>46157.354166666664</v>
      </c>
      <c r="E2537">
        <v>6385</v>
      </c>
      <c r="F2537" t="s">
        <v>36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241</v>
      </c>
      <c r="M2537">
        <v>1.75</v>
      </c>
      <c r="N2537">
        <v>87</v>
      </c>
      <c r="O2537">
        <v>1.9</v>
      </c>
      <c r="P2537">
        <v>0</v>
      </c>
      <c r="Q2537">
        <v>0</v>
      </c>
      <c r="R2537">
        <v>0</v>
      </c>
      <c r="S2537">
        <v>0</v>
      </c>
      <c r="T2537">
        <v>0.32150000000000001</v>
      </c>
      <c r="U2537">
        <v>-1.35E-2</v>
      </c>
      <c r="V2537">
        <v>1E-4</v>
      </c>
      <c r="W2537">
        <v>-0.56510000000000005</v>
      </c>
      <c r="X2537">
        <v>0.44650000000000001</v>
      </c>
      <c r="Y2537">
        <v>-2.8199999999999999E-2</v>
      </c>
      <c r="Z2537">
        <v>74</v>
      </c>
      <c r="AA2537">
        <v>1.7</v>
      </c>
      <c r="AB2537">
        <v>233</v>
      </c>
      <c r="AC2537">
        <v>1.95</v>
      </c>
      <c r="AD2537">
        <v>0</v>
      </c>
      <c r="AE2537">
        <v>0</v>
      </c>
      <c r="AF2537">
        <v>0</v>
      </c>
      <c r="AG2537">
        <v>620</v>
      </c>
      <c r="AH2537">
        <v>0</v>
      </c>
    </row>
    <row r="2538" spans="1:34" x14ac:dyDescent="0.35">
      <c r="A2538" t="s">
        <v>37</v>
      </c>
      <c r="B2538" s="1">
        <v>46146.65625</v>
      </c>
      <c r="C2538" t="s">
        <v>37</v>
      </c>
      <c r="D2538" s="1">
        <v>46157.354166666664</v>
      </c>
      <c r="E2538">
        <v>6390</v>
      </c>
      <c r="F2538" t="s">
        <v>36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154</v>
      </c>
      <c r="M2538">
        <v>1.8</v>
      </c>
      <c r="N2538">
        <v>474</v>
      </c>
      <c r="O2538">
        <v>1.95</v>
      </c>
      <c r="P2538">
        <v>0</v>
      </c>
      <c r="Q2538">
        <v>0</v>
      </c>
      <c r="R2538">
        <v>0</v>
      </c>
      <c r="S2538">
        <v>0</v>
      </c>
      <c r="T2538">
        <v>0.3201</v>
      </c>
      <c r="U2538">
        <v>-1.37E-2</v>
      </c>
      <c r="V2538">
        <v>1E-4</v>
      </c>
      <c r="W2538">
        <v>-0.57089999999999996</v>
      </c>
      <c r="X2538">
        <v>0.45269999999999999</v>
      </c>
      <c r="Y2538">
        <v>-2.87E-2</v>
      </c>
      <c r="Z2538">
        <v>121</v>
      </c>
      <c r="AA2538">
        <v>1.75</v>
      </c>
      <c r="AB2538">
        <v>274</v>
      </c>
      <c r="AC2538">
        <v>1.95</v>
      </c>
      <c r="AD2538">
        <v>0</v>
      </c>
      <c r="AE2538">
        <v>0</v>
      </c>
      <c r="AF2538">
        <v>0</v>
      </c>
      <c r="AG2538">
        <v>1170</v>
      </c>
      <c r="AH2538">
        <v>0</v>
      </c>
    </row>
    <row r="2539" spans="1:34" x14ac:dyDescent="0.35">
      <c r="A2539" t="s">
        <v>37</v>
      </c>
      <c r="B2539" s="1">
        <v>46146.65625</v>
      </c>
      <c r="C2539" t="s">
        <v>37</v>
      </c>
      <c r="D2539" s="1">
        <v>46157.354166666664</v>
      </c>
      <c r="E2539">
        <v>6395</v>
      </c>
      <c r="F2539" t="s">
        <v>36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235</v>
      </c>
      <c r="M2539">
        <v>1.8</v>
      </c>
      <c r="N2539">
        <v>345</v>
      </c>
      <c r="O2539">
        <v>2</v>
      </c>
      <c r="P2539">
        <v>0</v>
      </c>
      <c r="Q2539">
        <v>0</v>
      </c>
      <c r="R2539">
        <v>0</v>
      </c>
      <c r="S2539">
        <v>0</v>
      </c>
      <c r="T2539">
        <v>0.3196</v>
      </c>
      <c r="U2539">
        <v>-1.4E-2</v>
      </c>
      <c r="V2539">
        <v>1E-4</v>
      </c>
      <c r="W2539">
        <v>-0.58320000000000005</v>
      </c>
      <c r="X2539">
        <v>0.46260000000000001</v>
      </c>
      <c r="Y2539">
        <v>-2.9399999999999999E-2</v>
      </c>
      <c r="Z2539">
        <v>74</v>
      </c>
      <c r="AA2539">
        <v>1.75</v>
      </c>
      <c r="AB2539">
        <v>224</v>
      </c>
      <c r="AC2539">
        <v>2</v>
      </c>
      <c r="AD2539">
        <v>0</v>
      </c>
      <c r="AE2539">
        <v>0</v>
      </c>
      <c r="AF2539">
        <v>0</v>
      </c>
      <c r="AG2539">
        <v>283</v>
      </c>
      <c r="AH2539">
        <v>0</v>
      </c>
    </row>
    <row r="2540" spans="1:34" x14ac:dyDescent="0.35">
      <c r="A2540" t="s">
        <v>37</v>
      </c>
      <c r="B2540" s="1">
        <v>46146.65625</v>
      </c>
      <c r="C2540" t="s">
        <v>37</v>
      </c>
      <c r="D2540" s="1">
        <v>46157.354166666664</v>
      </c>
      <c r="E2540">
        <v>6400</v>
      </c>
      <c r="F2540" t="s">
        <v>36</v>
      </c>
      <c r="G2540">
        <v>1.7</v>
      </c>
      <c r="H2540">
        <v>3.2</v>
      </c>
      <c r="I2540">
        <v>1.54</v>
      </c>
      <c r="J2540">
        <v>1.85</v>
      </c>
      <c r="K2540">
        <v>4652</v>
      </c>
      <c r="L2540">
        <v>969</v>
      </c>
      <c r="M2540">
        <v>1.8</v>
      </c>
      <c r="N2540">
        <v>727</v>
      </c>
      <c r="O2540">
        <v>2</v>
      </c>
      <c r="P2540">
        <v>0</v>
      </c>
      <c r="Q2540">
        <v>0</v>
      </c>
      <c r="R2540">
        <v>0</v>
      </c>
      <c r="S2540">
        <v>0</v>
      </c>
      <c r="T2540">
        <v>0.31780000000000003</v>
      </c>
      <c r="U2540">
        <v>-1.41E-2</v>
      </c>
      <c r="V2540">
        <v>1E-4</v>
      </c>
      <c r="W2540">
        <v>-0.58260000000000001</v>
      </c>
      <c r="X2540">
        <v>0.46479999999999999</v>
      </c>
      <c r="Y2540">
        <v>-2.9600000000000001E-2</v>
      </c>
      <c r="Z2540">
        <v>123</v>
      </c>
      <c r="AA2540">
        <v>1.8</v>
      </c>
      <c r="AB2540">
        <v>386</v>
      </c>
      <c r="AC2540">
        <v>2</v>
      </c>
      <c r="AD2540">
        <v>0</v>
      </c>
      <c r="AE2540">
        <v>0</v>
      </c>
      <c r="AF2540">
        <v>3.1665999999999999</v>
      </c>
      <c r="AG2540">
        <v>20126</v>
      </c>
      <c r="AH2540">
        <v>0</v>
      </c>
    </row>
    <row r="2541" spans="1:34" x14ac:dyDescent="0.35">
      <c r="A2541" t="s">
        <v>37</v>
      </c>
      <c r="B2541" s="1">
        <v>46146.65625</v>
      </c>
      <c r="C2541" t="s">
        <v>37</v>
      </c>
      <c r="D2541" s="1">
        <v>46157.354166666664</v>
      </c>
      <c r="E2541">
        <v>6405</v>
      </c>
      <c r="F2541" t="s">
        <v>36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235</v>
      </c>
      <c r="M2541">
        <v>1.85</v>
      </c>
      <c r="N2541">
        <v>104</v>
      </c>
      <c r="O2541">
        <v>2</v>
      </c>
      <c r="P2541">
        <v>0</v>
      </c>
      <c r="Q2541">
        <v>0</v>
      </c>
      <c r="R2541">
        <v>0</v>
      </c>
      <c r="S2541">
        <v>0</v>
      </c>
      <c r="T2541">
        <v>0.3165</v>
      </c>
      <c r="U2541">
        <v>-1.43E-2</v>
      </c>
      <c r="V2541">
        <v>1E-4</v>
      </c>
      <c r="W2541">
        <v>-0.58840000000000003</v>
      </c>
      <c r="X2541">
        <v>0.47089999999999999</v>
      </c>
      <c r="Y2541">
        <v>-0.03</v>
      </c>
      <c r="Z2541">
        <v>78</v>
      </c>
      <c r="AA2541">
        <v>1.8</v>
      </c>
      <c r="AB2541">
        <v>270</v>
      </c>
      <c r="AC2541">
        <v>2.0499999999999998</v>
      </c>
      <c r="AD2541">
        <v>0</v>
      </c>
      <c r="AE2541">
        <v>0</v>
      </c>
      <c r="AF2541">
        <v>0</v>
      </c>
      <c r="AG2541">
        <v>261</v>
      </c>
      <c r="AH2541">
        <v>0</v>
      </c>
    </row>
    <row r="2542" spans="1:34" x14ac:dyDescent="0.35">
      <c r="A2542" t="s">
        <v>37</v>
      </c>
      <c r="B2542" s="1">
        <v>46146.65625</v>
      </c>
      <c r="C2542" t="s">
        <v>37</v>
      </c>
      <c r="D2542" s="1">
        <v>46157.354166666664</v>
      </c>
      <c r="E2542">
        <v>6410</v>
      </c>
      <c r="F2542" t="s">
        <v>36</v>
      </c>
      <c r="G2542">
        <v>2.82</v>
      </c>
      <c r="H2542">
        <v>2.82</v>
      </c>
      <c r="I2542">
        <v>2.82</v>
      </c>
      <c r="J2542">
        <v>2.82</v>
      </c>
      <c r="K2542">
        <v>1</v>
      </c>
      <c r="L2542">
        <v>381</v>
      </c>
      <c r="M2542">
        <v>1.85</v>
      </c>
      <c r="N2542">
        <v>350</v>
      </c>
      <c r="O2542">
        <v>2.0499999999999998</v>
      </c>
      <c r="P2542">
        <v>0</v>
      </c>
      <c r="Q2542">
        <v>0</v>
      </c>
      <c r="R2542">
        <v>0</v>
      </c>
      <c r="S2542">
        <v>0</v>
      </c>
      <c r="T2542">
        <v>0.31530000000000002</v>
      </c>
      <c r="U2542">
        <v>-1.4500000000000001E-2</v>
      </c>
      <c r="V2542">
        <v>1E-4</v>
      </c>
      <c r="W2542">
        <v>-0.59409999999999996</v>
      </c>
      <c r="X2542">
        <v>0.47710000000000002</v>
      </c>
      <c r="Y2542">
        <v>-3.0499999999999999E-2</v>
      </c>
      <c r="Z2542">
        <v>117</v>
      </c>
      <c r="AA2542">
        <v>1.85</v>
      </c>
      <c r="AB2542">
        <v>302</v>
      </c>
      <c r="AC2542">
        <v>2.0499999999999998</v>
      </c>
      <c r="AD2542">
        <v>0</v>
      </c>
      <c r="AE2542">
        <v>0</v>
      </c>
      <c r="AF2542">
        <v>2.82</v>
      </c>
      <c r="AG2542">
        <v>517</v>
      </c>
      <c r="AH2542">
        <v>0</v>
      </c>
    </row>
    <row r="2543" spans="1:34" x14ac:dyDescent="0.35">
      <c r="A2543" t="s">
        <v>37</v>
      </c>
      <c r="B2543" s="1">
        <v>46146.65625</v>
      </c>
      <c r="C2543" t="s">
        <v>37</v>
      </c>
      <c r="D2543" s="1">
        <v>46157.354166666664</v>
      </c>
      <c r="E2543">
        <v>6415</v>
      </c>
      <c r="F2543" t="s">
        <v>36</v>
      </c>
      <c r="G2543">
        <v>2.02</v>
      </c>
      <c r="H2543">
        <v>2.02</v>
      </c>
      <c r="I2543">
        <v>2.02</v>
      </c>
      <c r="J2543">
        <v>2.02</v>
      </c>
      <c r="K2543">
        <v>35</v>
      </c>
      <c r="L2543">
        <v>232</v>
      </c>
      <c r="M2543">
        <v>1.9</v>
      </c>
      <c r="N2543">
        <v>99</v>
      </c>
      <c r="O2543">
        <v>2.0499999999999998</v>
      </c>
      <c r="P2543">
        <v>0</v>
      </c>
      <c r="Q2543">
        <v>0</v>
      </c>
      <c r="R2543">
        <v>0</v>
      </c>
      <c r="S2543">
        <v>0</v>
      </c>
      <c r="T2543">
        <v>0.314</v>
      </c>
      <c r="U2543">
        <v>-1.4800000000000001E-2</v>
      </c>
      <c r="V2543">
        <v>1E-4</v>
      </c>
      <c r="W2543">
        <v>-0.5998</v>
      </c>
      <c r="X2543">
        <v>0.48330000000000001</v>
      </c>
      <c r="Y2543">
        <v>-3.1E-2</v>
      </c>
      <c r="Z2543">
        <v>73</v>
      </c>
      <c r="AA2543">
        <v>1.85</v>
      </c>
      <c r="AB2543">
        <v>242</v>
      </c>
      <c r="AC2543">
        <v>2.1</v>
      </c>
      <c r="AD2543">
        <v>0</v>
      </c>
      <c r="AE2543">
        <v>0</v>
      </c>
      <c r="AF2543">
        <v>2.02</v>
      </c>
      <c r="AG2543">
        <v>370</v>
      </c>
      <c r="AH2543">
        <v>0</v>
      </c>
    </row>
    <row r="2544" spans="1:34" x14ac:dyDescent="0.35">
      <c r="A2544" t="s">
        <v>37</v>
      </c>
      <c r="B2544" s="1">
        <v>46146.65625</v>
      </c>
      <c r="C2544" t="s">
        <v>37</v>
      </c>
      <c r="D2544" s="1">
        <v>46157.354166666664</v>
      </c>
      <c r="E2544">
        <v>6420</v>
      </c>
      <c r="F2544" t="s">
        <v>36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386</v>
      </c>
      <c r="M2544">
        <v>1.9</v>
      </c>
      <c r="N2544">
        <v>273</v>
      </c>
      <c r="O2544">
        <v>2.1</v>
      </c>
      <c r="P2544">
        <v>0</v>
      </c>
      <c r="Q2544">
        <v>0</v>
      </c>
      <c r="R2544">
        <v>0</v>
      </c>
      <c r="S2544">
        <v>0</v>
      </c>
      <c r="T2544">
        <v>0.31269999999999998</v>
      </c>
      <c r="U2544">
        <v>-1.4999999999999999E-2</v>
      </c>
      <c r="V2544">
        <v>1E-4</v>
      </c>
      <c r="W2544">
        <v>-0.60540000000000005</v>
      </c>
      <c r="X2544">
        <v>0.48949999999999999</v>
      </c>
      <c r="Y2544">
        <v>-3.1399999999999997E-2</v>
      </c>
      <c r="Z2544">
        <v>116</v>
      </c>
      <c r="AA2544">
        <v>1.9</v>
      </c>
      <c r="AB2544">
        <v>232</v>
      </c>
      <c r="AC2544">
        <v>2.1</v>
      </c>
      <c r="AD2544">
        <v>0</v>
      </c>
      <c r="AE2544">
        <v>0</v>
      </c>
      <c r="AF2544">
        <v>0</v>
      </c>
      <c r="AG2544">
        <v>795</v>
      </c>
      <c r="AH2544">
        <v>0</v>
      </c>
    </row>
    <row r="2545" spans="1:34" x14ac:dyDescent="0.35">
      <c r="A2545" t="s">
        <v>37</v>
      </c>
      <c r="B2545" s="1">
        <v>46146.65625</v>
      </c>
      <c r="C2545" t="s">
        <v>37</v>
      </c>
      <c r="D2545" s="1">
        <v>46157.354166666664</v>
      </c>
      <c r="E2545">
        <v>6425</v>
      </c>
      <c r="F2545" t="s">
        <v>36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621</v>
      </c>
      <c r="M2545">
        <v>1.95</v>
      </c>
      <c r="N2545">
        <v>308</v>
      </c>
      <c r="O2545">
        <v>2.1</v>
      </c>
      <c r="P2545">
        <v>0</v>
      </c>
      <c r="Q2545">
        <v>0</v>
      </c>
      <c r="R2545">
        <v>0</v>
      </c>
      <c r="S2545">
        <v>0</v>
      </c>
      <c r="T2545">
        <v>0.3115</v>
      </c>
      <c r="U2545">
        <v>-1.52E-2</v>
      </c>
      <c r="V2545">
        <v>1E-4</v>
      </c>
      <c r="W2545">
        <v>-0.61109999999999998</v>
      </c>
      <c r="X2545">
        <v>0.49569999999999997</v>
      </c>
      <c r="Y2545">
        <v>-3.1899999999999998E-2</v>
      </c>
      <c r="Z2545">
        <v>115</v>
      </c>
      <c r="AA2545">
        <v>1.9</v>
      </c>
      <c r="AB2545">
        <v>176</v>
      </c>
      <c r="AC2545">
        <v>2.1</v>
      </c>
      <c r="AD2545">
        <v>0</v>
      </c>
      <c r="AE2545">
        <v>0</v>
      </c>
      <c r="AF2545">
        <v>0</v>
      </c>
      <c r="AG2545">
        <v>2339</v>
      </c>
      <c r="AH2545">
        <v>0</v>
      </c>
    </row>
    <row r="2546" spans="1:34" x14ac:dyDescent="0.35">
      <c r="A2546" t="s">
        <v>37</v>
      </c>
      <c r="B2546" s="1">
        <v>46146.65625</v>
      </c>
      <c r="C2546" t="s">
        <v>37</v>
      </c>
      <c r="D2546" s="1">
        <v>46157.354166666664</v>
      </c>
      <c r="E2546">
        <v>6430</v>
      </c>
      <c r="F2546" t="s">
        <v>36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961</v>
      </c>
      <c r="M2546">
        <v>1.95</v>
      </c>
      <c r="N2546">
        <v>595</v>
      </c>
      <c r="O2546">
        <v>2.15</v>
      </c>
      <c r="P2546">
        <v>0</v>
      </c>
      <c r="Q2546">
        <v>0</v>
      </c>
      <c r="R2546">
        <v>0</v>
      </c>
      <c r="S2546">
        <v>0</v>
      </c>
      <c r="T2546">
        <v>0.31019999999999998</v>
      </c>
      <c r="U2546">
        <v>-1.54E-2</v>
      </c>
      <c r="V2546">
        <v>1E-4</v>
      </c>
      <c r="W2546">
        <v>-0.61660000000000004</v>
      </c>
      <c r="X2546">
        <v>0.50190000000000001</v>
      </c>
      <c r="Y2546">
        <v>-3.2399999999999998E-2</v>
      </c>
      <c r="Z2546">
        <v>115</v>
      </c>
      <c r="AA2546">
        <v>1.95</v>
      </c>
      <c r="AB2546">
        <v>273</v>
      </c>
      <c r="AC2546">
        <v>2.15</v>
      </c>
      <c r="AD2546">
        <v>0</v>
      </c>
      <c r="AE2546">
        <v>0</v>
      </c>
      <c r="AF2546">
        <v>0</v>
      </c>
      <c r="AG2546">
        <v>4436</v>
      </c>
      <c r="AH2546">
        <v>0</v>
      </c>
    </row>
    <row r="2547" spans="1:34" x14ac:dyDescent="0.35">
      <c r="A2547" t="s">
        <v>37</v>
      </c>
      <c r="B2547" s="1">
        <v>46146.65625</v>
      </c>
      <c r="C2547" t="s">
        <v>37</v>
      </c>
      <c r="D2547" s="1">
        <v>46157.354166666664</v>
      </c>
      <c r="E2547">
        <v>6435</v>
      </c>
      <c r="F2547" t="s">
        <v>36</v>
      </c>
      <c r="G2547">
        <v>2</v>
      </c>
      <c r="H2547">
        <v>2.1</v>
      </c>
      <c r="I2547">
        <v>2</v>
      </c>
      <c r="J2547">
        <v>2.1</v>
      </c>
      <c r="K2547">
        <v>20</v>
      </c>
      <c r="L2547">
        <v>530</v>
      </c>
      <c r="M2547">
        <v>2</v>
      </c>
      <c r="N2547">
        <v>179</v>
      </c>
      <c r="O2547">
        <v>2.15</v>
      </c>
      <c r="P2547">
        <v>0</v>
      </c>
      <c r="Q2547">
        <v>0</v>
      </c>
      <c r="R2547">
        <v>0</v>
      </c>
      <c r="S2547">
        <v>0</v>
      </c>
      <c r="T2547">
        <v>0.30890000000000001</v>
      </c>
      <c r="U2547">
        <v>-1.5699999999999999E-2</v>
      </c>
      <c r="V2547">
        <v>1E-4</v>
      </c>
      <c r="W2547">
        <v>-0.62209999999999999</v>
      </c>
      <c r="X2547">
        <v>0.50819999999999999</v>
      </c>
      <c r="Y2547">
        <v>-3.2899999999999999E-2</v>
      </c>
      <c r="Z2547">
        <v>75</v>
      </c>
      <c r="AA2547">
        <v>1.95</v>
      </c>
      <c r="AB2547">
        <v>257</v>
      </c>
      <c r="AC2547">
        <v>2.2000000000000002</v>
      </c>
      <c r="AD2547">
        <v>0</v>
      </c>
      <c r="AE2547">
        <v>0</v>
      </c>
      <c r="AF2547">
        <v>2.0499999999999998</v>
      </c>
      <c r="AG2547">
        <v>559</v>
      </c>
      <c r="AH2547">
        <v>0</v>
      </c>
    </row>
    <row r="2548" spans="1:34" x14ac:dyDescent="0.35">
      <c r="A2548" t="s">
        <v>37</v>
      </c>
      <c r="B2548" s="1">
        <v>46146.65625</v>
      </c>
      <c r="C2548" t="s">
        <v>37</v>
      </c>
      <c r="D2548" s="1">
        <v>46157.354166666664</v>
      </c>
      <c r="E2548">
        <v>6440</v>
      </c>
      <c r="F2548" t="s">
        <v>36</v>
      </c>
      <c r="G2548">
        <v>1.95</v>
      </c>
      <c r="H2548">
        <v>1.95</v>
      </c>
      <c r="I2548">
        <v>1.95</v>
      </c>
      <c r="J2548">
        <v>1.95</v>
      </c>
      <c r="K2548">
        <v>2</v>
      </c>
      <c r="L2548">
        <v>126</v>
      </c>
      <c r="M2548">
        <v>2.0499999999999998</v>
      </c>
      <c r="N2548">
        <v>265</v>
      </c>
      <c r="O2548">
        <v>2.2000000000000002</v>
      </c>
      <c r="P2548">
        <v>0</v>
      </c>
      <c r="Q2548">
        <v>0</v>
      </c>
      <c r="R2548">
        <v>0</v>
      </c>
      <c r="S2548">
        <v>0</v>
      </c>
      <c r="T2548">
        <v>0.30740000000000001</v>
      </c>
      <c r="U2548">
        <v>-1.5900000000000001E-2</v>
      </c>
      <c r="V2548">
        <v>1E-4</v>
      </c>
      <c r="W2548">
        <v>-0.62749999999999995</v>
      </c>
      <c r="X2548">
        <v>0.51470000000000005</v>
      </c>
      <c r="Y2548">
        <v>-3.3399999999999999E-2</v>
      </c>
      <c r="Z2548">
        <v>115</v>
      </c>
      <c r="AA2548">
        <v>2</v>
      </c>
      <c r="AB2548">
        <v>231</v>
      </c>
      <c r="AC2548">
        <v>2.2000000000000002</v>
      </c>
      <c r="AD2548">
        <v>0</v>
      </c>
      <c r="AE2548">
        <v>0</v>
      </c>
      <c r="AF2548">
        <v>1.95</v>
      </c>
      <c r="AG2548">
        <v>606</v>
      </c>
      <c r="AH2548">
        <v>0</v>
      </c>
    </row>
    <row r="2549" spans="1:34" x14ac:dyDescent="0.35">
      <c r="A2549" t="s">
        <v>37</v>
      </c>
      <c r="B2549" s="1">
        <v>46146.65625</v>
      </c>
      <c r="C2549" t="s">
        <v>37</v>
      </c>
      <c r="D2549" s="1">
        <v>46157.354166666664</v>
      </c>
      <c r="E2549">
        <v>6445</v>
      </c>
      <c r="F2549" t="s">
        <v>36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244</v>
      </c>
      <c r="M2549">
        <v>2.0499999999999998</v>
      </c>
      <c r="N2549">
        <v>332</v>
      </c>
      <c r="O2549">
        <v>2.25</v>
      </c>
      <c r="P2549">
        <v>0</v>
      </c>
      <c r="Q2549">
        <v>0</v>
      </c>
      <c r="R2549">
        <v>0</v>
      </c>
      <c r="S2549">
        <v>0</v>
      </c>
      <c r="T2549">
        <v>0.30669999999999997</v>
      </c>
      <c r="U2549">
        <v>-1.6299999999999999E-2</v>
      </c>
      <c r="V2549">
        <v>1E-4</v>
      </c>
      <c r="W2549">
        <v>-0.63929999999999998</v>
      </c>
      <c r="X2549">
        <v>0.52449999999999997</v>
      </c>
      <c r="Y2549">
        <v>-3.4099999999999998E-2</v>
      </c>
      <c r="Z2549">
        <v>76</v>
      </c>
      <c r="AA2549">
        <v>2</v>
      </c>
      <c r="AB2549">
        <v>235</v>
      </c>
      <c r="AC2549">
        <v>2.25</v>
      </c>
      <c r="AD2549">
        <v>0</v>
      </c>
      <c r="AE2549">
        <v>0</v>
      </c>
      <c r="AF2549">
        <v>0</v>
      </c>
      <c r="AG2549">
        <v>450</v>
      </c>
      <c r="AH2549">
        <v>0</v>
      </c>
    </row>
    <row r="2550" spans="1:34" x14ac:dyDescent="0.35">
      <c r="A2550" t="s">
        <v>37</v>
      </c>
      <c r="B2550" s="1">
        <v>46146.65625</v>
      </c>
      <c r="C2550" t="s">
        <v>37</v>
      </c>
      <c r="D2550" s="1">
        <v>46157.354166666664</v>
      </c>
      <c r="E2550">
        <v>6450</v>
      </c>
      <c r="F2550" t="s">
        <v>36</v>
      </c>
      <c r="G2550">
        <v>2.82</v>
      </c>
      <c r="H2550">
        <v>2.95</v>
      </c>
      <c r="I2550">
        <v>2.82</v>
      </c>
      <c r="J2550">
        <v>2.9</v>
      </c>
      <c r="K2550">
        <v>352</v>
      </c>
      <c r="L2550">
        <v>482</v>
      </c>
      <c r="M2550">
        <v>2.1</v>
      </c>
      <c r="N2550">
        <v>460</v>
      </c>
      <c r="O2550">
        <v>2.25</v>
      </c>
      <c r="P2550">
        <v>0</v>
      </c>
      <c r="Q2550">
        <v>0</v>
      </c>
      <c r="R2550">
        <v>0</v>
      </c>
      <c r="S2550">
        <v>0</v>
      </c>
      <c r="T2550">
        <v>0.3054</v>
      </c>
      <c r="U2550">
        <v>-1.6500000000000001E-2</v>
      </c>
      <c r="V2550">
        <v>1E-4</v>
      </c>
      <c r="W2550">
        <v>-0.64470000000000005</v>
      </c>
      <c r="X2550">
        <v>0.53080000000000005</v>
      </c>
      <c r="Y2550">
        <v>-3.4599999999999999E-2</v>
      </c>
      <c r="Z2550">
        <v>114</v>
      </c>
      <c r="AA2550">
        <v>2.0499999999999998</v>
      </c>
      <c r="AB2550">
        <v>226</v>
      </c>
      <c r="AC2550">
        <v>2.25</v>
      </c>
      <c r="AD2550">
        <v>0</v>
      </c>
      <c r="AE2550">
        <v>0</v>
      </c>
      <c r="AF2550">
        <v>2.9382000000000001</v>
      </c>
      <c r="AG2550">
        <v>9626</v>
      </c>
      <c r="AH2550">
        <v>0</v>
      </c>
    </row>
    <row r="2551" spans="1:34" x14ac:dyDescent="0.35">
      <c r="A2551" t="s">
        <v>37</v>
      </c>
      <c r="B2551" s="1">
        <v>46146.65625</v>
      </c>
      <c r="C2551" t="s">
        <v>37</v>
      </c>
      <c r="D2551" s="1">
        <v>46157.354166666664</v>
      </c>
      <c r="E2551">
        <v>6455</v>
      </c>
      <c r="F2551" t="s">
        <v>36</v>
      </c>
      <c r="G2551">
        <v>3</v>
      </c>
      <c r="H2551">
        <v>3</v>
      </c>
      <c r="I2551">
        <v>3</v>
      </c>
      <c r="J2551">
        <v>3</v>
      </c>
      <c r="K2551">
        <v>20</v>
      </c>
      <c r="L2551">
        <v>608</v>
      </c>
      <c r="M2551">
        <v>2.1</v>
      </c>
      <c r="N2551">
        <v>741</v>
      </c>
      <c r="O2551">
        <v>2.2999999999999998</v>
      </c>
      <c r="P2551">
        <v>0</v>
      </c>
      <c r="Q2551">
        <v>0</v>
      </c>
      <c r="R2551">
        <v>0</v>
      </c>
      <c r="S2551">
        <v>0</v>
      </c>
      <c r="T2551">
        <v>0.30399999999999999</v>
      </c>
      <c r="U2551">
        <v>-1.67E-2</v>
      </c>
      <c r="V2551">
        <v>1E-4</v>
      </c>
      <c r="W2551">
        <v>-0.65010000000000001</v>
      </c>
      <c r="X2551">
        <v>0.5373</v>
      </c>
      <c r="Y2551">
        <v>-3.5099999999999999E-2</v>
      </c>
      <c r="Z2551">
        <v>20</v>
      </c>
      <c r="AA2551">
        <v>2.1</v>
      </c>
      <c r="AB2551">
        <v>220</v>
      </c>
      <c r="AC2551">
        <v>2.2999999999999998</v>
      </c>
      <c r="AD2551">
        <v>0</v>
      </c>
      <c r="AE2551">
        <v>0</v>
      </c>
      <c r="AF2551">
        <v>3</v>
      </c>
      <c r="AG2551">
        <v>266</v>
      </c>
      <c r="AH2551">
        <v>0</v>
      </c>
    </row>
    <row r="2552" spans="1:34" x14ac:dyDescent="0.35">
      <c r="A2552" t="s">
        <v>37</v>
      </c>
      <c r="B2552" s="1">
        <v>46146.65625</v>
      </c>
      <c r="C2552" t="s">
        <v>37</v>
      </c>
      <c r="D2552" s="1">
        <v>46157.354166666664</v>
      </c>
      <c r="E2552">
        <v>6460</v>
      </c>
      <c r="F2552" t="s">
        <v>36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285</v>
      </c>
      <c r="M2552">
        <v>2.15</v>
      </c>
      <c r="N2552">
        <v>70</v>
      </c>
      <c r="O2552">
        <v>2.2999999999999998</v>
      </c>
      <c r="P2552">
        <v>0</v>
      </c>
      <c r="Q2552">
        <v>0</v>
      </c>
      <c r="R2552">
        <v>0</v>
      </c>
      <c r="S2552">
        <v>0</v>
      </c>
      <c r="T2552">
        <v>0.30270000000000002</v>
      </c>
      <c r="U2552">
        <v>-1.6899999999999998E-2</v>
      </c>
      <c r="V2552">
        <v>1E-4</v>
      </c>
      <c r="W2552">
        <v>-0.65539999999999998</v>
      </c>
      <c r="X2552">
        <v>0.54359999999999997</v>
      </c>
      <c r="Y2552">
        <v>-3.56E-2</v>
      </c>
      <c r="Z2552">
        <v>112</v>
      </c>
      <c r="AA2552">
        <v>2.1</v>
      </c>
      <c r="AB2552">
        <v>164</v>
      </c>
      <c r="AC2552">
        <v>2.2999999999999998</v>
      </c>
      <c r="AD2552">
        <v>0</v>
      </c>
      <c r="AE2552">
        <v>0</v>
      </c>
      <c r="AF2552">
        <v>0</v>
      </c>
      <c r="AG2552">
        <v>409</v>
      </c>
      <c r="AH2552">
        <v>0</v>
      </c>
    </row>
    <row r="2553" spans="1:34" x14ac:dyDescent="0.35">
      <c r="A2553" t="s">
        <v>37</v>
      </c>
      <c r="B2553" s="1">
        <v>46146.65625</v>
      </c>
      <c r="C2553" t="s">
        <v>37</v>
      </c>
      <c r="D2553" s="1">
        <v>46157.354166666664</v>
      </c>
      <c r="E2553">
        <v>6465</v>
      </c>
      <c r="F2553" t="s">
        <v>36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294</v>
      </c>
      <c r="M2553">
        <v>2.15</v>
      </c>
      <c r="N2553">
        <v>257</v>
      </c>
      <c r="O2553">
        <v>2.35</v>
      </c>
      <c r="P2553">
        <v>0</v>
      </c>
      <c r="Q2553">
        <v>0</v>
      </c>
      <c r="R2553">
        <v>0</v>
      </c>
      <c r="S2553">
        <v>0</v>
      </c>
      <c r="T2553">
        <v>0.30109999999999998</v>
      </c>
      <c r="U2553">
        <v>-1.72E-2</v>
      </c>
      <c r="V2553">
        <v>1E-4</v>
      </c>
      <c r="W2553">
        <v>-0.66059999999999997</v>
      </c>
      <c r="X2553">
        <v>0.5504</v>
      </c>
      <c r="Y2553">
        <v>-3.61E-2</v>
      </c>
      <c r="Z2553">
        <v>77</v>
      </c>
      <c r="AA2553">
        <v>2.15</v>
      </c>
      <c r="AB2553">
        <v>214</v>
      </c>
      <c r="AC2553">
        <v>2.35</v>
      </c>
      <c r="AD2553">
        <v>0</v>
      </c>
      <c r="AE2553">
        <v>0</v>
      </c>
      <c r="AF2553">
        <v>0</v>
      </c>
      <c r="AG2553">
        <v>627</v>
      </c>
      <c r="AH2553">
        <v>0</v>
      </c>
    </row>
    <row r="2554" spans="1:34" x14ac:dyDescent="0.35">
      <c r="A2554" t="s">
        <v>37</v>
      </c>
      <c r="B2554" s="1">
        <v>46146.65625</v>
      </c>
      <c r="C2554" t="s">
        <v>37</v>
      </c>
      <c r="D2554" s="1">
        <v>46157.354166666664</v>
      </c>
      <c r="E2554">
        <v>6470</v>
      </c>
      <c r="F2554" t="s">
        <v>36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281</v>
      </c>
      <c r="M2554">
        <v>2.2000000000000002</v>
      </c>
      <c r="N2554">
        <v>318</v>
      </c>
      <c r="O2554">
        <v>2.4</v>
      </c>
      <c r="P2554">
        <v>0</v>
      </c>
      <c r="Q2554">
        <v>0</v>
      </c>
      <c r="R2554">
        <v>0</v>
      </c>
      <c r="S2554">
        <v>0</v>
      </c>
      <c r="T2554">
        <v>0.3004</v>
      </c>
      <c r="U2554">
        <v>-1.7600000000000001E-2</v>
      </c>
      <c r="V2554">
        <v>1E-4</v>
      </c>
      <c r="W2554">
        <v>-0.67190000000000005</v>
      </c>
      <c r="X2554">
        <v>0.56040000000000001</v>
      </c>
      <c r="Y2554">
        <v>-3.6900000000000002E-2</v>
      </c>
      <c r="Z2554">
        <v>120</v>
      </c>
      <c r="AA2554">
        <v>2.15</v>
      </c>
      <c r="AB2554">
        <v>271</v>
      </c>
      <c r="AC2554">
        <v>2.4</v>
      </c>
      <c r="AD2554">
        <v>0</v>
      </c>
      <c r="AE2554">
        <v>0</v>
      </c>
      <c r="AF2554">
        <v>0</v>
      </c>
      <c r="AG2554">
        <v>608</v>
      </c>
      <c r="AH2554">
        <v>0</v>
      </c>
    </row>
    <row r="2555" spans="1:34" x14ac:dyDescent="0.35">
      <c r="A2555" t="s">
        <v>37</v>
      </c>
      <c r="B2555" s="1">
        <v>46146.65625</v>
      </c>
      <c r="C2555" t="s">
        <v>37</v>
      </c>
      <c r="D2555" s="1">
        <v>46157.354166666664</v>
      </c>
      <c r="E2555">
        <v>6475</v>
      </c>
      <c r="F2555" t="s">
        <v>36</v>
      </c>
      <c r="G2555">
        <v>1.9</v>
      </c>
      <c r="H2555">
        <v>3.5</v>
      </c>
      <c r="I2555">
        <v>1.9</v>
      </c>
      <c r="J2555">
        <v>2.65</v>
      </c>
      <c r="K2555">
        <v>97</v>
      </c>
      <c r="L2555">
        <v>519</v>
      </c>
      <c r="M2555">
        <v>2.25</v>
      </c>
      <c r="N2555">
        <v>387</v>
      </c>
      <c r="O2555">
        <v>2.4</v>
      </c>
      <c r="P2555">
        <v>0</v>
      </c>
      <c r="Q2555">
        <v>0</v>
      </c>
      <c r="R2555">
        <v>0</v>
      </c>
      <c r="S2555">
        <v>0</v>
      </c>
      <c r="T2555">
        <v>0.29909999999999998</v>
      </c>
      <c r="U2555">
        <v>-1.78E-2</v>
      </c>
      <c r="V2555">
        <v>1E-4</v>
      </c>
      <c r="W2555">
        <v>-0.67720000000000002</v>
      </c>
      <c r="X2555">
        <v>0.56679999999999997</v>
      </c>
      <c r="Y2555">
        <v>-3.7400000000000003E-2</v>
      </c>
      <c r="Z2555">
        <v>112</v>
      </c>
      <c r="AA2555">
        <v>2.2000000000000002</v>
      </c>
      <c r="AB2555">
        <v>162</v>
      </c>
      <c r="AC2555">
        <v>2.4</v>
      </c>
      <c r="AD2555">
        <v>0</v>
      </c>
      <c r="AE2555">
        <v>0</v>
      </c>
      <c r="AF2555">
        <v>2.7004000000000001</v>
      </c>
      <c r="AG2555">
        <v>2699</v>
      </c>
      <c r="AH2555">
        <v>0</v>
      </c>
    </row>
    <row r="2556" spans="1:34" x14ac:dyDescent="0.35">
      <c r="A2556" t="s">
        <v>37</v>
      </c>
      <c r="B2556" s="1">
        <v>46146.65625</v>
      </c>
      <c r="C2556" t="s">
        <v>37</v>
      </c>
      <c r="D2556" s="1">
        <v>46157.354166666664</v>
      </c>
      <c r="E2556">
        <v>6480</v>
      </c>
      <c r="F2556" t="s">
        <v>36</v>
      </c>
      <c r="G2556">
        <v>1.99</v>
      </c>
      <c r="H2556">
        <v>2.4</v>
      </c>
      <c r="I2556">
        <v>1.99</v>
      </c>
      <c r="J2556">
        <v>2.4</v>
      </c>
      <c r="K2556">
        <v>65</v>
      </c>
      <c r="L2556">
        <v>954</v>
      </c>
      <c r="M2556">
        <v>2.25</v>
      </c>
      <c r="N2556">
        <v>586</v>
      </c>
      <c r="O2556">
        <v>2.4500000000000002</v>
      </c>
      <c r="P2556">
        <v>0</v>
      </c>
      <c r="Q2556">
        <v>0</v>
      </c>
      <c r="R2556">
        <v>0</v>
      </c>
      <c r="S2556">
        <v>0</v>
      </c>
      <c r="T2556">
        <v>0.29749999999999999</v>
      </c>
      <c r="U2556">
        <v>-1.8100000000000002E-2</v>
      </c>
      <c r="V2556">
        <v>1E-4</v>
      </c>
      <c r="W2556">
        <v>-0.68220000000000003</v>
      </c>
      <c r="X2556">
        <v>0.57379999999999998</v>
      </c>
      <c r="Y2556">
        <v>-3.7900000000000003E-2</v>
      </c>
      <c r="Z2556">
        <v>116</v>
      </c>
      <c r="AA2556">
        <v>2.25</v>
      </c>
      <c r="AB2556">
        <v>385</v>
      </c>
      <c r="AC2556">
        <v>2.4500000000000002</v>
      </c>
      <c r="AD2556">
        <v>0</v>
      </c>
      <c r="AE2556">
        <v>0</v>
      </c>
      <c r="AF2556">
        <v>2.3936999999999999</v>
      </c>
      <c r="AG2556">
        <v>1368</v>
      </c>
      <c r="AH2556">
        <v>0</v>
      </c>
    </row>
    <row r="2557" spans="1:34" x14ac:dyDescent="0.35">
      <c r="A2557" t="s">
        <v>37</v>
      </c>
      <c r="B2557" s="1">
        <v>46146.65625</v>
      </c>
      <c r="C2557" t="s">
        <v>37</v>
      </c>
      <c r="D2557" s="1">
        <v>46157.354166666664</v>
      </c>
      <c r="E2557">
        <v>6485</v>
      </c>
      <c r="F2557" t="s">
        <v>36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222</v>
      </c>
      <c r="M2557">
        <v>2.2999999999999998</v>
      </c>
      <c r="N2557">
        <v>318</v>
      </c>
      <c r="O2557">
        <v>2.5</v>
      </c>
      <c r="P2557">
        <v>0</v>
      </c>
      <c r="Q2557">
        <v>0</v>
      </c>
      <c r="R2557">
        <v>0</v>
      </c>
      <c r="S2557">
        <v>0</v>
      </c>
      <c r="T2557">
        <v>0.29670000000000002</v>
      </c>
      <c r="U2557">
        <v>-1.84E-2</v>
      </c>
      <c r="V2557">
        <v>1E-4</v>
      </c>
      <c r="W2557">
        <v>-0.69340000000000002</v>
      </c>
      <c r="X2557">
        <v>0.58389999999999997</v>
      </c>
      <c r="Y2557">
        <v>-3.8699999999999998E-2</v>
      </c>
      <c r="Z2557">
        <v>84</v>
      </c>
      <c r="AA2557">
        <v>2.25</v>
      </c>
      <c r="AB2557">
        <v>229</v>
      </c>
      <c r="AC2557">
        <v>2.5</v>
      </c>
      <c r="AD2557">
        <v>0</v>
      </c>
      <c r="AE2557">
        <v>0</v>
      </c>
      <c r="AF2557">
        <v>0</v>
      </c>
      <c r="AG2557">
        <v>429</v>
      </c>
      <c r="AH2557">
        <v>0</v>
      </c>
    </row>
    <row r="2558" spans="1:34" x14ac:dyDescent="0.35">
      <c r="A2558" t="s">
        <v>37</v>
      </c>
      <c r="B2558" s="1">
        <v>46146.65625</v>
      </c>
      <c r="C2558" t="s">
        <v>37</v>
      </c>
      <c r="D2558" s="1">
        <v>46157.354166666664</v>
      </c>
      <c r="E2558">
        <v>6490</v>
      </c>
      <c r="F2558" t="s">
        <v>36</v>
      </c>
      <c r="G2558">
        <v>1.92</v>
      </c>
      <c r="H2558">
        <v>2.75</v>
      </c>
      <c r="I2558">
        <v>1.92</v>
      </c>
      <c r="J2558">
        <v>2.75</v>
      </c>
      <c r="K2558">
        <v>32</v>
      </c>
      <c r="L2558">
        <v>553</v>
      </c>
      <c r="M2558">
        <v>2.35</v>
      </c>
      <c r="N2558">
        <v>386</v>
      </c>
      <c r="O2558">
        <v>2.5</v>
      </c>
      <c r="P2558">
        <v>0</v>
      </c>
      <c r="Q2558">
        <v>0</v>
      </c>
      <c r="R2558">
        <v>0</v>
      </c>
      <c r="S2558">
        <v>0</v>
      </c>
      <c r="T2558">
        <v>0.29470000000000002</v>
      </c>
      <c r="U2558">
        <v>-1.8599999999999998E-2</v>
      </c>
      <c r="V2558">
        <v>1E-4</v>
      </c>
      <c r="W2558">
        <v>-0.69240000000000002</v>
      </c>
      <c r="X2558">
        <v>0.58720000000000006</v>
      </c>
      <c r="Y2558">
        <v>-3.8899999999999997E-2</v>
      </c>
      <c r="Z2558">
        <v>111</v>
      </c>
      <c r="AA2558">
        <v>2.2999999999999998</v>
      </c>
      <c r="AB2558">
        <v>184</v>
      </c>
      <c r="AC2558">
        <v>2.5</v>
      </c>
      <c r="AD2558">
        <v>0</v>
      </c>
      <c r="AE2558">
        <v>0</v>
      </c>
      <c r="AF2558">
        <v>2.4906000000000001</v>
      </c>
      <c r="AG2558">
        <v>504</v>
      </c>
      <c r="AH2558">
        <v>0</v>
      </c>
    </row>
    <row r="2559" spans="1:34" x14ac:dyDescent="0.35">
      <c r="A2559" t="s">
        <v>37</v>
      </c>
      <c r="B2559" s="1">
        <v>46146.65625</v>
      </c>
      <c r="C2559" t="s">
        <v>37</v>
      </c>
      <c r="D2559" s="1">
        <v>46157.354166666664</v>
      </c>
      <c r="E2559">
        <v>6495</v>
      </c>
      <c r="F2559" t="s">
        <v>36</v>
      </c>
      <c r="G2559">
        <v>3.4</v>
      </c>
      <c r="H2559">
        <v>3.4</v>
      </c>
      <c r="I2559">
        <v>3.4</v>
      </c>
      <c r="J2559">
        <v>3.4</v>
      </c>
      <c r="K2559">
        <v>10</v>
      </c>
      <c r="L2559">
        <v>248</v>
      </c>
      <c r="M2559">
        <v>2.35</v>
      </c>
      <c r="N2559">
        <v>251</v>
      </c>
      <c r="O2559">
        <v>2.5499999999999998</v>
      </c>
      <c r="P2559">
        <v>0</v>
      </c>
      <c r="Q2559">
        <v>0</v>
      </c>
      <c r="R2559">
        <v>0</v>
      </c>
      <c r="S2559">
        <v>0</v>
      </c>
      <c r="T2559">
        <v>0.29380000000000001</v>
      </c>
      <c r="U2559">
        <v>-1.89E-2</v>
      </c>
      <c r="V2559">
        <v>1E-4</v>
      </c>
      <c r="W2559">
        <v>-0.70340000000000003</v>
      </c>
      <c r="X2559">
        <v>0.59750000000000003</v>
      </c>
      <c r="Y2559">
        <v>-3.9800000000000002E-2</v>
      </c>
      <c r="Z2559">
        <v>76</v>
      </c>
      <c r="AA2559">
        <v>2.35</v>
      </c>
      <c r="AB2559">
        <v>212</v>
      </c>
      <c r="AC2559">
        <v>2.5499999999999998</v>
      </c>
      <c r="AD2559">
        <v>0</v>
      </c>
      <c r="AE2559">
        <v>0</v>
      </c>
      <c r="AF2559">
        <v>3.4</v>
      </c>
      <c r="AG2559">
        <v>341</v>
      </c>
      <c r="AH2559">
        <v>0</v>
      </c>
    </row>
    <row r="2560" spans="1:34" x14ac:dyDescent="0.35">
      <c r="A2560" t="s">
        <v>37</v>
      </c>
      <c r="B2560" s="1">
        <v>46146.65625</v>
      </c>
      <c r="C2560" t="s">
        <v>37</v>
      </c>
      <c r="D2560" s="1">
        <v>46157.354166666664</v>
      </c>
      <c r="E2560">
        <v>6500</v>
      </c>
      <c r="F2560" t="s">
        <v>36</v>
      </c>
      <c r="G2560">
        <v>2.2999999999999998</v>
      </c>
      <c r="H2560">
        <v>3.81</v>
      </c>
      <c r="I2560">
        <v>1.97</v>
      </c>
      <c r="J2560">
        <v>2.4500000000000002</v>
      </c>
      <c r="K2560">
        <v>390</v>
      </c>
      <c r="L2560">
        <v>811</v>
      </c>
      <c r="M2560">
        <v>2.4</v>
      </c>
      <c r="N2560">
        <v>721</v>
      </c>
      <c r="O2560">
        <v>2.6</v>
      </c>
      <c r="P2560">
        <v>0</v>
      </c>
      <c r="Q2560">
        <v>0</v>
      </c>
      <c r="R2560">
        <v>0</v>
      </c>
      <c r="S2560">
        <v>0</v>
      </c>
      <c r="T2560">
        <v>0.29289999999999999</v>
      </c>
      <c r="U2560">
        <v>-1.9300000000000001E-2</v>
      </c>
      <c r="V2560">
        <v>1E-4</v>
      </c>
      <c r="W2560">
        <v>-0.71440000000000003</v>
      </c>
      <c r="X2560">
        <v>0.6079</v>
      </c>
      <c r="Y2560">
        <v>-4.0599999999999997E-2</v>
      </c>
      <c r="Z2560">
        <v>111</v>
      </c>
      <c r="AA2560">
        <v>2.35</v>
      </c>
      <c r="AB2560">
        <v>205</v>
      </c>
      <c r="AC2560">
        <v>2.5499999999999998</v>
      </c>
      <c r="AD2560">
        <v>0</v>
      </c>
      <c r="AE2560">
        <v>0</v>
      </c>
      <c r="AF2560">
        <v>2.4632000000000001</v>
      </c>
      <c r="AG2560">
        <v>18031</v>
      </c>
      <c r="AH2560">
        <v>0</v>
      </c>
    </row>
    <row r="2561" spans="1:34" x14ac:dyDescent="0.35">
      <c r="A2561" t="s">
        <v>37</v>
      </c>
      <c r="B2561" s="1">
        <v>46146.65625</v>
      </c>
      <c r="C2561" t="s">
        <v>37</v>
      </c>
      <c r="D2561" s="1">
        <v>46157.354166666664</v>
      </c>
      <c r="E2561">
        <v>6505</v>
      </c>
      <c r="F2561" t="s">
        <v>36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195</v>
      </c>
      <c r="M2561">
        <v>2.4500000000000002</v>
      </c>
      <c r="N2561">
        <v>75</v>
      </c>
      <c r="O2561">
        <v>2.6</v>
      </c>
      <c r="P2561">
        <v>0</v>
      </c>
      <c r="Q2561">
        <v>0</v>
      </c>
      <c r="R2561">
        <v>0</v>
      </c>
      <c r="S2561">
        <v>0</v>
      </c>
      <c r="T2561">
        <v>0.29149999999999998</v>
      </c>
      <c r="U2561">
        <v>-1.9599999999999999E-2</v>
      </c>
      <c r="V2561">
        <v>1E-4</v>
      </c>
      <c r="W2561">
        <v>-0.71930000000000005</v>
      </c>
      <c r="X2561">
        <v>0.61480000000000001</v>
      </c>
      <c r="Y2561">
        <v>-4.1099999999999998E-2</v>
      </c>
      <c r="Z2561">
        <v>80</v>
      </c>
      <c r="AA2561">
        <v>2.4</v>
      </c>
      <c r="AB2561">
        <v>251</v>
      </c>
      <c r="AC2561">
        <v>2.65</v>
      </c>
      <c r="AD2561">
        <v>0</v>
      </c>
      <c r="AE2561">
        <v>0</v>
      </c>
      <c r="AF2561">
        <v>0</v>
      </c>
      <c r="AG2561">
        <v>328</v>
      </c>
      <c r="AH2561">
        <v>0</v>
      </c>
    </row>
    <row r="2562" spans="1:34" x14ac:dyDescent="0.35">
      <c r="A2562" t="s">
        <v>37</v>
      </c>
      <c r="B2562" s="1">
        <v>46146.65625</v>
      </c>
      <c r="C2562" t="s">
        <v>37</v>
      </c>
      <c r="D2562" s="1">
        <v>46157.354166666664</v>
      </c>
      <c r="E2562">
        <v>6510</v>
      </c>
      <c r="F2562" t="s">
        <v>36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898</v>
      </c>
      <c r="M2562">
        <v>2.4500000000000002</v>
      </c>
      <c r="N2562">
        <v>474</v>
      </c>
      <c r="O2562">
        <v>2.65</v>
      </c>
      <c r="P2562">
        <v>0</v>
      </c>
      <c r="Q2562">
        <v>0</v>
      </c>
      <c r="R2562">
        <v>0</v>
      </c>
      <c r="S2562">
        <v>0</v>
      </c>
      <c r="T2562">
        <v>0.28989999999999999</v>
      </c>
      <c r="U2562">
        <v>-1.9900000000000001E-2</v>
      </c>
      <c r="V2562">
        <v>1E-4</v>
      </c>
      <c r="W2562">
        <v>-0.72409999999999997</v>
      </c>
      <c r="X2562">
        <v>0.62209999999999999</v>
      </c>
      <c r="Y2562">
        <v>-4.1700000000000001E-2</v>
      </c>
      <c r="Z2562">
        <v>77</v>
      </c>
      <c r="AA2562">
        <v>2.4500000000000002</v>
      </c>
      <c r="AB2562">
        <v>224</v>
      </c>
      <c r="AC2562">
        <v>2.65</v>
      </c>
      <c r="AD2562">
        <v>0</v>
      </c>
      <c r="AE2562">
        <v>0</v>
      </c>
      <c r="AF2562">
        <v>0</v>
      </c>
      <c r="AG2562">
        <v>1034</v>
      </c>
      <c r="AH2562">
        <v>0</v>
      </c>
    </row>
    <row r="2563" spans="1:34" x14ac:dyDescent="0.35">
      <c r="A2563" t="s">
        <v>37</v>
      </c>
      <c r="B2563" s="1">
        <v>46146.65625</v>
      </c>
      <c r="C2563" t="s">
        <v>37</v>
      </c>
      <c r="D2563" s="1">
        <v>46157.354166666664</v>
      </c>
      <c r="E2563">
        <v>6515</v>
      </c>
      <c r="F2563" t="s">
        <v>36</v>
      </c>
      <c r="G2563">
        <v>2.95</v>
      </c>
      <c r="H2563">
        <v>2.95</v>
      </c>
      <c r="I2563">
        <v>2.95</v>
      </c>
      <c r="J2563">
        <v>2.95</v>
      </c>
      <c r="K2563">
        <v>20</v>
      </c>
      <c r="L2563">
        <v>620</v>
      </c>
      <c r="M2563">
        <v>2.5</v>
      </c>
      <c r="N2563">
        <v>541</v>
      </c>
      <c r="O2563">
        <v>2.7</v>
      </c>
      <c r="P2563">
        <v>0</v>
      </c>
      <c r="Q2563">
        <v>0</v>
      </c>
      <c r="R2563">
        <v>0</v>
      </c>
      <c r="S2563">
        <v>0</v>
      </c>
      <c r="T2563">
        <v>0.2888</v>
      </c>
      <c r="U2563">
        <v>-2.0299999999999999E-2</v>
      </c>
      <c r="V2563">
        <v>1E-4</v>
      </c>
      <c r="W2563">
        <v>-0.73470000000000002</v>
      </c>
      <c r="X2563">
        <v>0.63300000000000001</v>
      </c>
      <c r="Y2563">
        <v>-4.2500000000000003E-2</v>
      </c>
      <c r="Z2563">
        <v>81</v>
      </c>
      <c r="AA2563">
        <v>2.4500000000000002</v>
      </c>
      <c r="AB2563">
        <v>218</v>
      </c>
      <c r="AC2563">
        <v>2.7</v>
      </c>
      <c r="AD2563">
        <v>0</v>
      </c>
      <c r="AE2563">
        <v>0</v>
      </c>
      <c r="AF2563">
        <v>2.95</v>
      </c>
      <c r="AG2563">
        <v>421</v>
      </c>
      <c r="AH2563">
        <v>0</v>
      </c>
    </row>
    <row r="2564" spans="1:34" x14ac:dyDescent="0.35">
      <c r="A2564" t="s">
        <v>37</v>
      </c>
      <c r="B2564" s="1">
        <v>46146.65625</v>
      </c>
      <c r="C2564" t="s">
        <v>37</v>
      </c>
      <c r="D2564" s="1">
        <v>46157.354166666664</v>
      </c>
      <c r="E2564">
        <v>6520</v>
      </c>
      <c r="F2564" t="s">
        <v>36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289</v>
      </c>
      <c r="M2564">
        <v>2.5499999999999998</v>
      </c>
      <c r="N2564">
        <v>320</v>
      </c>
      <c r="O2564">
        <v>2.75</v>
      </c>
      <c r="P2564">
        <v>0</v>
      </c>
      <c r="Q2564">
        <v>0</v>
      </c>
      <c r="R2564">
        <v>0</v>
      </c>
      <c r="S2564">
        <v>0</v>
      </c>
      <c r="T2564">
        <v>0.28799999999999998</v>
      </c>
      <c r="U2564">
        <v>-2.07E-2</v>
      </c>
      <c r="V2564">
        <v>1E-4</v>
      </c>
      <c r="W2564">
        <v>-0.74539999999999995</v>
      </c>
      <c r="X2564">
        <v>0.64339999999999997</v>
      </c>
      <c r="Y2564">
        <v>-4.3400000000000001E-2</v>
      </c>
      <c r="Z2564">
        <v>120</v>
      </c>
      <c r="AA2564">
        <v>2.5</v>
      </c>
      <c r="AB2564">
        <v>271</v>
      </c>
      <c r="AC2564">
        <v>2.75</v>
      </c>
      <c r="AD2564">
        <v>0</v>
      </c>
      <c r="AE2564">
        <v>0</v>
      </c>
      <c r="AF2564">
        <v>0</v>
      </c>
      <c r="AG2564">
        <v>299</v>
      </c>
      <c r="AH2564">
        <v>0</v>
      </c>
    </row>
    <row r="2565" spans="1:34" x14ac:dyDescent="0.35">
      <c r="A2565" t="s">
        <v>37</v>
      </c>
      <c r="B2565" s="1">
        <v>46146.65625</v>
      </c>
      <c r="C2565" t="s">
        <v>37</v>
      </c>
      <c r="D2565" s="1">
        <v>46157.354166666664</v>
      </c>
      <c r="E2565">
        <v>6525</v>
      </c>
      <c r="F2565" t="s">
        <v>36</v>
      </c>
      <c r="G2565">
        <v>2.15</v>
      </c>
      <c r="H2565">
        <v>2.85</v>
      </c>
      <c r="I2565">
        <v>2.15</v>
      </c>
      <c r="J2565">
        <v>2.85</v>
      </c>
      <c r="K2565">
        <v>73</v>
      </c>
      <c r="L2565">
        <v>328</v>
      </c>
      <c r="M2565">
        <v>2.6</v>
      </c>
      <c r="N2565">
        <v>212</v>
      </c>
      <c r="O2565">
        <v>2.75</v>
      </c>
      <c r="P2565">
        <v>0</v>
      </c>
      <c r="Q2565">
        <v>0</v>
      </c>
      <c r="R2565">
        <v>0</v>
      </c>
      <c r="S2565">
        <v>0</v>
      </c>
      <c r="T2565">
        <v>0.28649999999999998</v>
      </c>
      <c r="U2565">
        <v>-2.0899999999999998E-2</v>
      </c>
      <c r="V2565">
        <v>1E-4</v>
      </c>
      <c r="W2565">
        <v>-0.75019999999999998</v>
      </c>
      <c r="X2565">
        <v>0.65049999999999997</v>
      </c>
      <c r="Y2565">
        <v>-4.3900000000000002E-2</v>
      </c>
      <c r="Z2565">
        <v>77</v>
      </c>
      <c r="AA2565">
        <v>2.5499999999999998</v>
      </c>
      <c r="AB2565">
        <v>215</v>
      </c>
      <c r="AC2565">
        <v>2.75</v>
      </c>
      <c r="AD2565">
        <v>0</v>
      </c>
      <c r="AE2565">
        <v>0</v>
      </c>
      <c r="AF2565">
        <v>2.1787999999999998</v>
      </c>
      <c r="AG2565">
        <v>2212</v>
      </c>
      <c r="AH2565">
        <v>0</v>
      </c>
    </row>
    <row r="2566" spans="1:34" x14ac:dyDescent="0.35">
      <c r="A2566" t="s">
        <v>37</v>
      </c>
      <c r="B2566" s="1">
        <v>46146.65625</v>
      </c>
      <c r="C2566" t="s">
        <v>37</v>
      </c>
      <c r="D2566" s="1">
        <v>46157.354166666664</v>
      </c>
      <c r="E2566">
        <v>6530</v>
      </c>
      <c r="F2566" t="s">
        <v>36</v>
      </c>
      <c r="G2566">
        <v>2.17</v>
      </c>
      <c r="H2566">
        <v>2.7</v>
      </c>
      <c r="I2566">
        <v>2.17</v>
      </c>
      <c r="J2566">
        <v>2.7</v>
      </c>
      <c r="K2566">
        <v>25</v>
      </c>
      <c r="L2566">
        <v>352</v>
      </c>
      <c r="M2566">
        <v>2.6</v>
      </c>
      <c r="N2566">
        <v>100</v>
      </c>
      <c r="O2566">
        <v>2.8</v>
      </c>
      <c r="P2566">
        <v>0</v>
      </c>
      <c r="Q2566">
        <v>0</v>
      </c>
      <c r="R2566">
        <v>0</v>
      </c>
      <c r="S2566">
        <v>0</v>
      </c>
      <c r="T2566">
        <v>0.28489999999999999</v>
      </c>
      <c r="U2566">
        <v>-2.12E-2</v>
      </c>
      <c r="V2566">
        <v>1E-4</v>
      </c>
      <c r="W2566">
        <v>-0.75480000000000003</v>
      </c>
      <c r="X2566">
        <v>0.65800000000000003</v>
      </c>
      <c r="Y2566">
        <v>-4.4499999999999998E-2</v>
      </c>
      <c r="Z2566">
        <v>77</v>
      </c>
      <c r="AA2566">
        <v>2.6</v>
      </c>
      <c r="AB2566">
        <v>176</v>
      </c>
      <c r="AC2566">
        <v>2.8</v>
      </c>
      <c r="AD2566">
        <v>0</v>
      </c>
      <c r="AE2566">
        <v>0</v>
      </c>
      <c r="AF2566">
        <v>2.5939999999999999</v>
      </c>
      <c r="AG2566">
        <v>795</v>
      </c>
      <c r="AH2566">
        <v>0</v>
      </c>
    </row>
    <row r="2567" spans="1:34" x14ac:dyDescent="0.35">
      <c r="A2567" t="s">
        <v>37</v>
      </c>
      <c r="B2567" s="1">
        <v>46146.65625</v>
      </c>
      <c r="C2567" t="s">
        <v>37</v>
      </c>
      <c r="D2567" s="1">
        <v>46157.354166666664</v>
      </c>
      <c r="E2567">
        <v>6535</v>
      </c>
      <c r="F2567" t="s">
        <v>36</v>
      </c>
      <c r="G2567">
        <v>2.5499999999999998</v>
      </c>
      <c r="H2567">
        <v>2.5499999999999998</v>
      </c>
      <c r="I2567">
        <v>2.5499999999999998</v>
      </c>
      <c r="J2567">
        <v>2.5499999999999998</v>
      </c>
      <c r="K2567">
        <v>20</v>
      </c>
      <c r="L2567">
        <v>612</v>
      </c>
      <c r="M2567">
        <v>2.65</v>
      </c>
      <c r="N2567">
        <v>477</v>
      </c>
      <c r="O2567">
        <v>2.85</v>
      </c>
      <c r="P2567">
        <v>0</v>
      </c>
      <c r="Q2567">
        <v>0</v>
      </c>
      <c r="R2567">
        <v>0</v>
      </c>
      <c r="S2567">
        <v>0</v>
      </c>
      <c r="T2567">
        <v>0.2838</v>
      </c>
      <c r="U2567">
        <v>-2.1600000000000001E-2</v>
      </c>
      <c r="V2567">
        <v>2.0000000000000001E-4</v>
      </c>
      <c r="W2567">
        <v>-0.7651</v>
      </c>
      <c r="X2567">
        <v>0.66910000000000003</v>
      </c>
      <c r="Y2567">
        <v>-4.5400000000000003E-2</v>
      </c>
      <c r="Z2567">
        <v>37</v>
      </c>
      <c r="AA2567">
        <v>2.65</v>
      </c>
      <c r="AB2567">
        <v>260</v>
      </c>
      <c r="AC2567">
        <v>2.9</v>
      </c>
      <c r="AD2567">
        <v>0</v>
      </c>
      <c r="AE2567">
        <v>0</v>
      </c>
      <c r="AF2567">
        <v>2.5499999999999998</v>
      </c>
      <c r="AG2567">
        <v>487</v>
      </c>
      <c r="AH2567">
        <v>0</v>
      </c>
    </row>
    <row r="2568" spans="1:34" x14ac:dyDescent="0.35">
      <c r="A2568" t="s">
        <v>37</v>
      </c>
      <c r="B2568" s="1">
        <v>46146.65625</v>
      </c>
      <c r="C2568" t="s">
        <v>37</v>
      </c>
      <c r="D2568" s="1">
        <v>46157.354166666664</v>
      </c>
      <c r="E2568">
        <v>6540</v>
      </c>
      <c r="F2568" t="s">
        <v>36</v>
      </c>
      <c r="G2568">
        <v>2.4700000000000002</v>
      </c>
      <c r="H2568">
        <v>4.1900000000000004</v>
      </c>
      <c r="I2568">
        <v>2.17</v>
      </c>
      <c r="J2568">
        <v>2.75</v>
      </c>
      <c r="K2568">
        <v>14</v>
      </c>
      <c r="L2568">
        <v>308</v>
      </c>
      <c r="M2568">
        <v>2.7</v>
      </c>
      <c r="N2568">
        <v>225</v>
      </c>
      <c r="O2568">
        <v>2.9</v>
      </c>
      <c r="P2568">
        <v>0</v>
      </c>
      <c r="Q2568">
        <v>0</v>
      </c>
      <c r="R2568">
        <v>0</v>
      </c>
      <c r="S2568">
        <v>0</v>
      </c>
      <c r="T2568">
        <v>0.28260000000000002</v>
      </c>
      <c r="U2568">
        <v>-2.1999999999999999E-2</v>
      </c>
      <c r="V2568">
        <v>2.0000000000000001E-4</v>
      </c>
      <c r="W2568">
        <v>-0.77529999999999999</v>
      </c>
      <c r="X2568">
        <v>0.68020000000000003</v>
      </c>
      <c r="Y2568">
        <v>-4.6300000000000001E-2</v>
      </c>
      <c r="Z2568">
        <v>116</v>
      </c>
      <c r="AA2568">
        <v>2.65</v>
      </c>
      <c r="AB2568">
        <v>241</v>
      </c>
      <c r="AC2568">
        <v>2.9</v>
      </c>
      <c r="AD2568">
        <v>0</v>
      </c>
      <c r="AE2568">
        <v>0</v>
      </c>
      <c r="AF2568">
        <v>2.6720999999999999</v>
      </c>
      <c r="AG2568">
        <v>616</v>
      </c>
      <c r="AH2568">
        <v>0</v>
      </c>
    </row>
    <row r="2569" spans="1:34" x14ac:dyDescent="0.35">
      <c r="A2569" t="s">
        <v>37</v>
      </c>
      <c r="B2569" s="1">
        <v>46146.65625</v>
      </c>
      <c r="C2569" t="s">
        <v>37</v>
      </c>
      <c r="D2569" s="1">
        <v>46157.354166666664</v>
      </c>
      <c r="E2569">
        <v>6545</v>
      </c>
      <c r="F2569" t="s">
        <v>36</v>
      </c>
      <c r="G2569">
        <v>2.27</v>
      </c>
      <c r="H2569">
        <v>3.5</v>
      </c>
      <c r="I2569">
        <v>2.27</v>
      </c>
      <c r="J2569">
        <v>2.7</v>
      </c>
      <c r="K2569">
        <v>43</v>
      </c>
      <c r="L2569">
        <v>533</v>
      </c>
      <c r="M2569">
        <v>2.75</v>
      </c>
      <c r="N2569">
        <v>560</v>
      </c>
      <c r="O2569">
        <v>2.95</v>
      </c>
      <c r="P2569">
        <v>0</v>
      </c>
      <c r="Q2569">
        <v>0</v>
      </c>
      <c r="R2569">
        <v>0</v>
      </c>
      <c r="S2569">
        <v>0</v>
      </c>
      <c r="T2569">
        <v>0.28170000000000001</v>
      </c>
      <c r="U2569">
        <v>-2.2499999999999999E-2</v>
      </c>
      <c r="V2569">
        <v>2.0000000000000001E-4</v>
      </c>
      <c r="W2569">
        <v>-0.78569999999999995</v>
      </c>
      <c r="X2569">
        <v>0.69069999999999998</v>
      </c>
      <c r="Y2569">
        <v>-4.7199999999999999E-2</v>
      </c>
      <c r="Z2569">
        <v>85</v>
      </c>
      <c r="AA2569">
        <v>2.7</v>
      </c>
      <c r="AB2569">
        <v>210</v>
      </c>
      <c r="AC2569">
        <v>2.95</v>
      </c>
      <c r="AD2569">
        <v>0</v>
      </c>
      <c r="AE2569">
        <v>0</v>
      </c>
      <c r="AF2569">
        <v>2.9319000000000002</v>
      </c>
      <c r="AG2569">
        <v>3467</v>
      </c>
      <c r="AH2569">
        <v>0</v>
      </c>
    </row>
    <row r="2570" spans="1:34" x14ac:dyDescent="0.35">
      <c r="A2570" t="s">
        <v>37</v>
      </c>
      <c r="B2570" s="1">
        <v>46146.65625</v>
      </c>
      <c r="C2570" t="s">
        <v>37</v>
      </c>
      <c r="D2570" s="1">
        <v>46157.354166666664</v>
      </c>
      <c r="E2570">
        <v>6550</v>
      </c>
      <c r="F2570" t="s">
        <v>36</v>
      </c>
      <c r="G2570">
        <v>2.57</v>
      </c>
      <c r="H2570">
        <v>4.08</v>
      </c>
      <c r="I2570">
        <v>2.2200000000000002</v>
      </c>
      <c r="J2570">
        <v>2.85</v>
      </c>
      <c r="K2570">
        <v>129</v>
      </c>
      <c r="L2570">
        <v>637</v>
      </c>
      <c r="M2570">
        <v>2.8</v>
      </c>
      <c r="N2570">
        <v>106</v>
      </c>
      <c r="O2570">
        <v>2.95</v>
      </c>
      <c r="P2570">
        <v>0</v>
      </c>
      <c r="Q2570">
        <v>0</v>
      </c>
      <c r="R2570">
        <v>0</v>
      </c>
      <c r="S2570">
        <v>0</v>
      </c>
      <c r="T2570">
        <v>0.28010000000000002</v>
      </c>
      <c r="U2570">
        <v>-2.2700000000000001E-2</v>
      </c>
      <c r="V2570">
        <v>2.0000000000000001E-4</v>
      </c>
      <c r="W2570">
        <v>-0.79</v>
      </c>
      <c r="X2570">
        <v>0.69840000000000002</v>
      </c>
      <c r="Y2570">
        <v>-4.7800000000000002E-2</v>
      </c>
      <c r="Z2570">
        <v>76</v>
      </c>
      <c r="AA2570">
        <v>2.75</v>
      </c>
      <c r="AB2570">
        <v>205</v>
      </c>
      <c r="AC2570">
        <v>2.95</v>
      </c>
      <c r="AD2570">
        <v>0</v>
      </c>
      <c r="AE2570">
        <v>0</v>
      </c>
      <c r="AF2570">
        <v>3.052</v>
      </c>
      <c r="AG2570">
        <v>8188</v>
      </c>
      <c r="AH2570">
        <v>0</v>
      </c>
    </row>
    <row r="2571" spans="1:34" x14ac:dyDescent="0.35">
      <c r="A2571" t="s">
        <v>37</v>
      </c>
      <c r="B2571" s="1">
        <v>46146.65625</v>
      </c>
      <c r="C2571" t="s">
        <v>37</v>
      </c>
      <c r="D2571" s="1">
        <v>46157.354166666664</v>
      </c>
      <c r="E2571">
        <v>6555</v>
      </c>
      <c r="F2571" t="s">
        <v>36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153</v>
      </c>
      <c r="M2571">
        <v>2.85</v>
      </c>
      <c r="N2571">
        <v>50</v>
      </c>
      <c r="O2571">
        <v>3</v>
      </c>
      <c r="P2571">
        <v>0</v>
      </c>
      <c r="Q2571">
        <v>0</v>
      </c>
      <c r="R2571">
        <v>0</v>
      </c>
      <c r="S2571">
        <v>0</v>
      </c>
      <c r="T2571">
        <v>0.27850000000000003</v>
      </c>
      <c r="U2571">
        <v>-2.3E-2</v>
      </c>
      <c r="V2571">
        <v>2.0000000000000001E-4</v>
      </c>
      <c r="W2571">
        <v>-0.7944</v>
      </c>
      <c r="X2571">
        <v>0.70599999999999996</v>
      </c>
      <c r="Y2571">
        <v>-4.8399999999999999E-2</v>
      </c>
      <c r="Z2571">
        <v>90</v>
      </c>
      <c r="AA2571">
        <v>2.8</v>
      </c>
      <c r="AB2571">
        <v>297</v>
      </c>
      <c r="AC2571">
        <v>3.1</v>
      </c>
      <c r="AD2571">
        <v>0</v>
      </c>
      <c r="AE2571">
        <v>0</v>
      </c>
      <c r="AF2571">
        <v>0</v>
      </c>
      <c r="AG2571">
        <v>419</v>
      </c>
      <c r="AH2571">
        <v>0</v>
      </c>
    </row>
    <row r="2572" spans="1:34" x14ac:dyDescent="0.35">
      <c r="A2572" t="s">
        <v>37</v>
      </c>
      <c r="B2572" s="1">
        <v>46146.65625</v>
      </c>
      <c r="C2572" t="s">
        <v>37</v>
      </c>
      <c r="D2572" s="1">
        <v>46157.354166666664</v>
      </c>
      <c r="E2572">
        <v>6560</v>
      </c>
      <c r="F2572" t="s">
        <v>36</v>
      </c>
      <c r="G2572">
        <v>2.7</v>
      </c>
      <c r="H2572">
        <v>4.5</v>
      </c>
      <c r="I2572">
        <v>2.7</v>
      </c>
      <c r="J2572">
        <v>4.5</v>
      </c>
      <c r="K2572">
        <v>46</v>
      </c>
      <c r="L2572">
        <v>963</v>
      </c>
      <c r="M2572">
        <v>2.85</v>
      </c>
      <c r="N2572">
        <v>600</v>
      </c>
      <c r="O2572">
        <v>3.1</v>
      </c>
      <c r="P2572">
        <v>0</v>
      </c>
      <c r="Q2572">
        <v>0</v>
      </c>
      <c r="R2572">
        <v>0</v>
      </c>
      <c r="S2572">
        <v>0</v>
      </c>
      <c r="T2572">
        <v>0.2777</v>
      </c>
      <c r="U2572">
        <v>-2.3599999999999999E-2</v>
      </c>
      <c r="V2572">
        <v>2.0000000000000001E-4</v>
      </c>
      <c r="W2572">
        <v>-0.80989999999999995</v>
      </c>
      <c r="X2572">
        <v>0.72070000000000001</v>
      </c>
      <c r="Y2572">
        <v>-4.9700000000000001E-2</v>
      </c>
      <c r="Z2572">
        <v>91</v>
      </c>
      <c r="AA2572">
        <v>2.85</v>
      </c>
      <c r="AB2572">
        <v>349</v>
      </c>
      <c r="AC2572">
        <v>3.1</v>
      </c>
      <c r="AD2572">
        <v>0</v>
      </c>
      <c r="AE2572">
        <v>0</v>
      </c>
      <c r="AF2572">
        <v>3.7174</v>
      </c>
      <c r="AG2572">
        <v>375</v>
      </c>
      <c r="AH2572">
        <v>0</v>
      </c>
    </row>
    <row r="2573" spans="1:34" x14ac:dyDescent="0.35">
      <c r="A2573" t="s">
        <v>37</v>
      </c>
      <c r="B2573" s="1">
        <v>46146.65625</v>
      </c>
      <c r="C2573" t="s">
        <v>37</v>
      </c>
      <c r="D2573" s="1">
        <v>46157.354166666664</v>
      </c>
      <c r="E2573">
        <v>6565</v>
      </c>
      <c r="F2573" t="s">
        <v>36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298</v>
      </c>
      <c r="M2573">
        <v>2.9</v>
      </c>
      <c r="N2573">
        <v>72</v>
      </c>
      <c r="O2573">
        <v>3.1</v>
      </c>
      <c r="P2573">
        <v>0</v>
      </c>
      <c r="Q2573">
        <v>0</v>
      </c>
      <c r="R2573">
        <v>0</v>
      </c>
      <c r="S2573">
        <v>0</v>
      </c>
      <c r="T2573">
        <v>0.27610000000000001</v>
      </c>
      <c r="U2573">
        <v>-2.3900000000000001E-2</v>
      </c>
      <c r="V2573">
        <v>2.0000000000000001E-4</v>
      </c>
      <c r="W2573">
        <v>-0.81420000000000003</v>
      </c>
      <c r="X2573">
        <v>0.72819999999999996</v>
      </c>
      <c r="Y2573">
        <v>-5.0299999999999997E-2</v>
      </c>
      <c r="Z2573">
        <v>82</v>
      </c>
      <c r="AA2573">
        <v>2.9</v>
      </c>
      <c r="AB2573">
        <v>296</v>
      </c>
      <c r="AC2573">
        <v>3.2</v>
      </c>
      <c r="AD2573">
        <v>0</v>
      </c>
      <c r="AE2573">
        <v>0</v>
      </c>
      <c r="AF2573">
        <v>0</v>
      </c>
      <c r="AG2573">
        <v>462</v>
      </c>
      <c r="AH2573">
        <v>0</v>
      </c>
    </row>
    <row r="2574" spans="1:34" x14ac:dyDescent="0.35">
      <c r="A2574" t="s">
        <v>37</v>
      </c>
      <c r="B2574" s="1">
        <v>46146.65625</v>
      </c>
      <c r="C2574" t="s">
        <v>37</v>
      </c>
      <c r="D2574" s="1">
        <v>46157.354166666664</v>
      </c>
      <c r="E2574">
        <v>6570</v>
      </c>
      <c r="F2574" t="s">
        <v>36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408</v>
      </c>
      <c r="M2574">
        <v>2.95</v>
      </c>
      <c r="N2574">
        <v>352</v>
      </c>
      <c r="O2574">
        <v>3.2</v>
      </c>
      <c r="P2574">
        <v>0</v>
      </c>
      <c r="Q2574">
        <v>0</v>
      </c>
      <c r="R2574">
        <v>0</v>
      </c>
      <c r="S2574">
        <v>0</v>
      </c>
      <c r="T2574">
        <v>0.27529999999999999</v>
      </c>
      <c r="U2574">
        <v>-2.4500000000000001E-2</v>
      </c>
      <c r="V2574">
        <v>2.0000000000000001E-4</v>
      </c>
      <c r="W2574">
        <v>-0.82940000000000003</v>
      </c>
      <c r="X2574">
        <v>0.74280000000000002</v>
      </c>
      <c r="Y2574">
        <v>-5.16E-2</v>
      </c>
      <c r="Z2574">
        <v>35</v>
      </c>
      <c r="AA2574">
        <v>2.95</v>
      </c>
      <c r="AB2574">
        <v>339</v>
      </c>
      <c r="AC2574">
        <v>3.2</v>
      </c>
      <c r="AD2574">
        <v>0</v>
      </c>
      <c r="AE2574">
        <v>0</v>
      </c>
      <c r="AF2574">
        <v>0</v>
      </c>
      <c r="AG2574">
        <v>499</v>
      </c>
      <c r="AH2574">
        <v>0</v>
      </c>
    </row>
    <row r="2575" spans="1:34" x14ac:dyDescent="0.35">
      <c r="A2575" t="s">
        <v>37</v>
      </c>
      <c r="B2575" s="1">
        <v>46146.65625</v>
      </c>
      <c r="C2575" t="s">
        <v>37</v>
      </c>
      <c r="D2575" s="1">
        <v>46157.354166666664</v>
      </c>
      <c r="E2575">
        <v>6575</v>
      </c>
      <c r="F2575" t="s">
        <v>36</v>
      </c>
      <c r="G2575">
        <v>2.85</v>
      </c>
      <c r="H2575">
        <v>4.4000000000000004</v>
      </c>
      <c r="I2575">
        <v>2.64</v>
      </c>
      <c r="J2575">
        <v>4.4000000000000004</v>
      </c>
      <c r="K2575">
        <v>41</v>
      </c>
      <c r="L2575">
        <v>894</v>
      </c>
      <c r="M2575">
        <v>3</v>
      </c>
      <c r="N2575">
        <v>211</v>
      </c>
      <c r="O2575">
        <v>3.2</v>
      </c>
      <c r="P2575">
        <v>0</v>
      </c>
      <c r="Q2575">
        <v>0</v>
      </c>
      <c r="R2575">
        <v>0</v>
      </c>
      <c r="S2575">
        <v>0</v>
      </c>
      <c r="T2575">
        <v>0.27379999999999999</v>
      </c>
      <c r="U2575">
        <v>-2.4799999999999999E-2</v>
      </c>
      <c r="V2575">
        <v>2.0000000000000001E-4</v>
      </c>
      <c r="W2575">
        <v>-0.83360000000000001</v>
      </c>
      <c r="X2575">
        <v>0.75049999999999994</v>
      </c>
      <c r="Y2575">
        <v>-5.2200000000000003E-2</v>
      </c>
      <c r="Z2575">
        <v>108</v>
      </c>
      <c r="AA2575">
        <v>2.95</v>
      </c>
      <c r="AB2575">
        <v>187</v>
      </c>
      <c r="AC2575">
        <v>3.2</v>
      </c>
      <c r="AD2575">
        <v>0</v>
      </c>
      <c r="AE2575">
        <v>0</v>
      </c>
      <c r="AF2575">
        <v>3.601</v>
      </c>
      <c r="AG2575">
        <v>3100</v>
      </c>
      <c r="AH2575">
        <v>0</v>
      </c>
    </row>
    <row r="2576" spans="1:34" x14ac:dyDescent="0.35">
      <c r="A2576" t="s">
        <v>37</v>
      </c>
      <c r="B2576" s="1">
        <v>46146.65625</v>
      </c>
      <c r="C2576" t="s">
        <v>37</v>
      </c>
      <c r="D2576" s="1">
        <v>46157.354166666664</v>
      </c>
      <c r="E2576">
        <v>6580</v>
      </c>
      <c r="F2576" t="s">
        <v>36</v>
      </c>
      <c r="G2576">
        <v>4.5999999999999996</v>
      </c>
      <c r="H2576">
        <v>4.5999999999999996</v>
      </c>
      <c r="I2576">
        <v>4.5999999999999996</v>
      </c>
      <c r="J2576">
        <v>4.5999999999999996</v>
      </c>
      <c r="K2576">
        <v>20</v>
      </c>
      <c r="L2576">
        <v>1086</v>
      </c>
      <c r="M2576">
        <v>3</v>
      </c>
      <c r="N2576">
        <v>603</v>
      </c>
      <c r="O2576">
        <v>3.3</v>
      </c>
      <c r="P2576">
        <v>0</v>
      </c>
      <c r="Q2576">
        <v>0</v>
      </c>
      <c r="R2576">
        <v>0</v>
      </c>
      <c r="S2576">
        <v>0</v>
      </c>
      <c r="T2576">
        <v>0.2727</v>
      </c>
      <c r="U2576">
        <v>-2.52E-2</v>
      </c>
      <c r="V2576">
        <v>2.0000000000000001E-4</v>
      </c>
      <c r="W2576">
        <v>-0.84340000000000004</v>
      </c>
      <c r="X2576">
        <v>0.76119999999999999</v>
      </c>
      <c r="Y2576">
        <v>-5.3100000000000001E-2</v>
      </c>
      <c r="Z2576">
        <v>117</v>
      </c>
      <c r="AA2576">
        <v>3</v>
      </c>
      <c r="AB2576">
        <v>361</v>
      </c>
      <c r="AC2576">
        <v>3.3</v>
      </c>
      <c r="AD2576">
        <v>0</v>
      </c>
      <c r="AE2576">
        <v>0</v>
      </c>
      <c r="AF2576">
        <v>4.5999999999999996</v>
      </c>
      <c r="AG2576">
        <v>569</v>
      </c>
      <c r="AH2576">
        <v>0</v>
      </c>
    </row>
    <row r="2577" spans="1:34" x14ac:dyDescent="0.35">
      <c r="A2577" t="s">
        <v>37</v>
      </c>
      <c r="B2577" s="1">
        <v>46146.65625</v>
      </c>
      <c r="C2577" t="s">
        <v>37</v>
      </c>
      <c r="D2577" s="1">
        <v>46157.354166666664</v>
      </c>
      <c r="E2577">
        <v>6585</v>
      </c>
      <c r="F2577" t="s">
        <v>36</v>
      </c>
      <c r="G2577">
        <v>2.5</v>
      </c>
      <c r="H2577">
        <v>3.3</v>
      </c>
      <c r="I2577">
        <v>2.5</v>
      </c>
      <c r="J2577">
        <v>3.3</v>
      </c>
      <c r="K2577">
        <v>117</v>
      </c>
      <c r="L2577">
        <v>698</v>
      </c>
      <c r="M2577">
        <v>3.1</v>
      </c>
      <c r="N2577">
        <v>114</v>
      </c>
      <c r="O2577">
        <v>3.3</v>
      </c>
      <c r="P2577">
        <v>0</v>
      </c>
      <c r="Q2577">
        <v>0</v>
      </c>
      <c r="R2577">
        <v>0</v>
      </c>
      <c r="S2577">
        <v>0</v>
      </c>
      <c r="T2577">
        <v>0.27129999999999999</v>
      </c>
      <c r="U2577">
        <v>-2.5700000000000001E-2</v>
      </c>
      <c r="V2577">
        <v>2.0000000000000001E-4</v>
      </c>
      <c r="W2577">
        <v>-0.85270000000000001</v>
      </c>
      <c r="X2577">
        <v>0.77280000000000004</v>
      </c>
      <c r="Y2577">
        <v>-5.4100000000000002E-2</v>
      </c>
      <c r="Z2577">
        <v>154</v>
      </c>
      <c r="AA2577">
        <v>3</v>
      </c>
      <c r="AB2577">
        <v>290</v>
      </c>
      <c r="AC2577">
        <v>3.4</v>
      </c>
      <c r="AD2577">
        <v>0</v>
      </c>
      <c r="AE2577">
        <v>0</v>
      </c>
      <c r="AF2577">
        <v>2.7530000000000001</v>
      </c>
      <c r="AG2577">
        <v>739</v>
      </c>
      <c r="AH2577">
        <v>0</v>
      </c>
    </row>
    <row r="2578" spans="1:34" x14ac:dyDescent="0.35">
      <c r="A2578" t="s">
        <v>37</v>
      </c>
      <c r="B2578" s="1">
        <v>46146.65625</v>
      </c>
      <c r="C2578" t="s">
        <v>37</v>
      </c>
      <c r="D2578" s="1">
        <v>46157.354166666664</v>
      </c>
      <c r="E2578">
        <v>6590</v>
      </c>
      <c r="F2578" t="s">
        <v>36</v>
      </c>
      <c r="G2578">
        <v>3.15</v>
      </c>
      <c r="H2578">
        <v>3.15</v>
      </c>
      <c r="I2578">
        <v>3.15</v>
      </c>
      <c r="J2578">
        <v>3.15</v>
      </c>
      <c r="K2578">
        <v>5</v>
      </c>
      <c r="L2578">
        <v>792</v>
      </c>
      <c r="M2578">
        <v>3.1</v>
      </c>
      <c r="N2578">
        <v>278</v>
      </c>
      <c r="O2578">
        <v>3.4</v>
      </c>
      <c r="P2578">
        <v>0</v>
      </c>
      <c r="Q2578">
        <v>0</v>
      </c>
      <c r="R2578">
        <v>0</v>
      </c>
      <c r="S2578">
        <v>0</v>
      </c>
      <c r="T2578">
        <v>0.27029999999999998</v>
      </c>
      <c r="U2578">
        <v>-2.6100000000000002E-2</v>
      </c>
      <c r="V2578">
        <v>2.0000000000000001E-4</v>
      </c>
      <c r="W2578">
        <v>-0.86229999999999996</v>
      </c>
      <c r="X2578">
        <v>0.78369999999999995</v>
      </c>
      <c r="Y2578">
        <v>-5.5E-2</v>
      </c>
      <c r="Z2578">
        <v>123</v>
      </c>
      <c r="AA2578">
        <v>3.1</v>
      </c>
      <c r="AB2578">
        <v>226</v>
      </c>
      <c r="AC2578">
        <v>3.4</v>
      </c>
      <c r="AD2578">
        <v>0</v>
      </c>
      <c r="AE2578">
        <v>0</v>
      </c>
      <c r="AF2578">
        <v>3.15</v>
      </c>
      <c r="AG2578">
        <v>459</v>
      </c>
      <c r="AH2578">
        <v>0</v>
      </c>
    </row>
    <row r="2579" spans="1:34" x14ac:dyDescent="0.35">
      <c r="A2579" t="s">
        <v>37</v>
      </c>
      <c r="B2579" s="1">
        <v>46146.65625</v>
      </c>
      <c r="C2579" t="s">
        <v>37</v>
      </c>
      <c r="D2579" s="1">
        <v>46157.354166666664</v>
      </c>
      <c r="E2579">
        <v>6595</v>
      </c>
      <c r="F2579" t="s">
        <v>36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303</v>
      </c>
      <c r="M2579">
        <v>3.2</v>
      </c>
      <c r="N2579">
        <v>48</v>
      </c>
      <c r="O2579">
        <v>3.4</v>
      </c>
      <c r="P2579">
        <v>0</v>
      </c>
      <c r="Q2579">
        <v>0</v>
      </c>
      <c r="R2579">
        <v>0</v>
      </c>
      <c r="S2579">
        <v>0</v>
      </c>
      <c r="T2579">
        <v>0.26879999999999998</v>
      </c>
      <c r="U2579">
        <v>-2.6599999999999999E-2</v>
      </c>
      <c r="V2579">
        <v>2.0000000000000001E-4</v>
      </c>
      <c r="W2579">
        <v>-0.87150000000000005</v>
      </c>
      <c r="X2579">
        <v>0.79549999999999998</v>
      </c>
      <c r="Y2579">
        <v>-5.6000000000000001E-2</v>
      </c>
      <c r="Z2579">
        <v>132</v>
      </c>
      <c r="AA2579">
        <v>3.1</v>
      </c>
      <c r="AB2579">
        <v>304</v>
      </c>
      <c r="AC2579">
        <v>3.5</v>
      </c>
      <c r="AD2579">
        <v>0</v>
      </c>
      <c r="AE2579">
        <v>0</v>
      </c>
      <c r="AF2579">
        <v>0</v>
      </c>
      <c r="AG2579">
        <v>566</v>
      </c>
      <c r="AH2579">
        <v>0</v>
      </c>
    </row>
    <row r="2580" spans="1:34" x14ac:dyDescent="0.35">
      <c r="A2580" t="s">
        <v>37</v>
      </c>
      <c r="B2580" s="1">
        <v>46146.65625</v>
      </c>
      <c r="C2580" t="s">
        <v>37</v>
      </c>
      <c r="D2580" s="1">
        <v>46157.354166666664</v>
      </c>
      <c r="E2580">
        <v>6600</v>
      </c>
      <c r="F2580" t="s">
        <v>36</v>
      </c>
      <c r="G2580">
        <v>3.07</v>
      </c>
      <c r="H2580">
        <v>5.1100000000000003</v>
      </c>
      <c r="I2580">
        <v>2.6</v>
      </c>
      <c r="J2580">
        <v>3.27</v>
      </c>
      <c r="K2580">
        <v>2667</v>
      </c>
      <c r="L2580">
        <v>1104</v>
      </c>
      <c r="M2580">
        <v>3.2</v>
      </c>
      <c r="N2580">
        <v>78</v>
      </c>
      <c r="O2580">
        <v>3.4</v>
      </c>
      <c r="P2580">
        <v>0</v>
      </c>
      <c r="Q2580">
        <v>0</v>
      </c>
      <c r="R2580">
        <v>0</v>
      </c>
      <c r="S2580">
        <v>0</v>
      </c>
      <c r="T2580">
        <v>0.26690000000000003</v>
      </c>
      <c r="U2580">
        <v>-2.6800000000000001E-2</v>
      </c>
      <c r="V2580">
        <v>2.0000000000000001E-4</v>
      </c>
      <c r="W2580">
        <v>-0.87009999999999998</v>
      </c>
      <c r="X2580">
        <v>0.79990000000000006</v>
      </c>
      <c r="Y2580">
        <v>-5.6399999999999999E-2</v>
      </c>
      <c r="Z2580">
        <v>111</v>
      </c>
      <c r="AA2580">
        <v>3.2</v>
      </c>
      <c r="AB2580">
        <v>268</v>
      </c>
      <c r="AC2580">
        <v>3.5</v>
      </c>
      <c r="AD2580">
        <v>0</v>
      </c>
      <c r="AE2580">
        <v>0</v>
      </c>
      <c r="AF2580">
        <v>3.9641999999999999</v>
      </c>
      <c r="AG2580">
        <v>21372</v>
      </c>
      <c r="AH2580">
        <v>0</v>
      </c>
    </row>
    <row r="2581" spans="1:34" x14ac:dyDescent="0.35">
      <c r="A2581" t="s">
        <v>37</v>
      </c>
      <c r="B2581" s="1">
        <v>46146.65625</v>
      </c>
      <c r="C2581" t="s">
        <v>37</v>
      </c>
      <c r="D2581" s="1">
        <v>46157.354166666664</v>
      </c>
      <c r="E2581">
        <v>6605</v>
      </c>
      <c r="F2581" t="s">
        <v>36</v>
      </c>
      <c r="G2581">
        <v>2.72</v>
      </c>
      <c r="H2581">
        <v>2.72</v>
      </c>
      <c r="I2581">
        <v>2.72</v>
      </c>
      <c r="J2581">
        <v>2.72</v>
      </c>
      <c r="K2581">
        <v>1</v>
      </c>
      <c r="L2581">
        <v>326</v>
      </c>
      <c r="M2581">
        <v>3.3</v>
      </c>
      <c r="N2581">
        <v>491</v>
      </c>
      <c r="O2581">
        <v>3.6</v>
      </c>
      <c r="P2581">
        <v>0</v>
      </c>
      <c r="Q2581">
        <v>0</v>
      </c>
      <c r="R2581">
        <v>0</v>
      </c>
      <c r="S2581">
        <v>0</v>
      </c>
      <c r="T2581">
        <v>0.2671</v>
      </c>
      <c r="U2581">
        <v>-2.7799999999999998E-2</v>
      </c>
      <c r="V2581">
        <v>2.0000000000000001E-4</v>
      </c>
      <c r="W2581">
        <v>-0.90049999999999997</v>
      </c>
      <c r="X2581">
        <v>0.82469999999999999</v>
      </c>
      <c r="Y2581">
        <v>-5.8599999999999999E-2</v>
      </c>
      <c r="Z2581">
        <v>55</v>
      </c>
      <c r="AA2581">
        <v>3.3</v>
      </c>
      <c r="AB2581">
        <v>307</v>
      </c>
      <c r="AC2581">
        <v>3.6</v>
      </c>
      <c r="AD2581">
        <v>0</v>
      </c>
      <c r="AE2581">
        <v>0</v>
      </c>
      <c r="AF2581">
        <v>2.72</v>
      </c>
      <c r="AG2581">
        <v>390</v>
      </c>
      <c r="AH2581">
        <v>0</v>
      </c>
    </row>
    <row r="2582" spans="1:34" x14ac:dyDescent="0.35">
      <c r="A2582" t="s">
        <v>37</v>
      </c>
      <c r="B2582" s="1">
        <v>46146.65625</v>
      </c>
      <c r="C2582" t="s">
        <v>37</v>
      </c>
      <c r="D2582" s="1">
        <v>46157.354166666664</v>
      </c>
      <c r="E2582">
        <v>6610</v>
      </c>
      <c r="F2582" t="s">
        <v>36</v>
      </c>
      <c r="G2582">
        <v>4.5</v>
      </c>
      <c r="H2582">
        <v>4.5</v>
      </c>
      <c r="I2582">
        <v>4.5</v>
      </c>
      <c r="J2582">
        <v>4.5</v>
      </c>
      <c r="K2582">
        <v>1</v>
      </c>
      <c r="L2582">
        <v>275</v>
      </c>
      <c r="M2582">
        <v>3.4</v>
      </c>
      <c r="N2582">
        <v>56</v>
      </c>
      <c r="O2582">
        <v>3.6</v>
      </c>
      <c r="P2582">
        <v>0</v>
      </c>
      <c r="Q2582">
        <v>0</v>
      </c>
      <c r="R2582">
        <v>0</v>
      </c>
      <c r="S2582">
        <v>0</v>
      </c>
      <c r="T2582">
        <v>0.26579999999999998</v>
      </c>
      <c r="U2582">
        <v>-2.8299999999999999E-2</v>
      </c>
      <c r="V2582">
        <v>2.0000000000000001E-4</v>
      </c>
      <c r="W2582">
        <v>-0.90949999999999998</v>
      </c>
      <c r="X2582">
        <v>0.83630000000000004</v>
      </c>
      <c r="Y2582">
        <v>-5.9499999999999997E-2</v>
      </c>
      <c r="Z2582">
        <v>164</v>
      </c>
      <c r="AA2582">
        <v>3.3</v>
      </c>
      <c r="AB2582">
        <v>135</v>
      </c>
      <c r="AC2582">
        <v>3.6</v>
      </c>
      <c r="AD2582">
        <v>0</v>
      </c>
      <c r="AE2582">
        <v>0</v>
      </c>
      <c r="AF2582">
        <v>4.5</v>
      </c>
      <c r="AG2582">
        <v>698</v>
      </c>
      <c r="AH2582">
        <v>0</v>
      </c>
    </row>
    <row r="2583" spans="1:34" x14ac:dyDescent="0.35">
      <c r="A2583" t="s">
        <v>37</v>
      </c>
      <c r="B2583" s="1">
        <v>46146.65625</v>
      </c>
      <c r="C2583" t="s">
        <v>37</v>
      </c>
      <c r="D2583" s="1">
        <v>46157.354166666664</v>
      </c>
      <c r="E2583">
        <v>6615</v>
      </c>
      <c r="F2583" t="s">
        <v>36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447</v>
      </c>
      <c r="M2583">
        <v>3.4</v>
      </c>
      <c r="N2583">
        <v>328</v>
      </c>
      <c r="O2583">
        <v>3.7</v>
      </c>
      <c r="P2583">
        <v>0</v>
      </c>
      <c r="Q2583">
        <v>0</v>
      </c>
      <c r="R2583">
        <v>0</v>
      </c>
      <c r="S2583">
        <v>0</v>
      </c>
      <c r="T2583">
        <v>0.26450000000000001</v>
      </c>
      <c r="U2583">
        <v>-2.8799999999999999E-2</v>
      </c>
      <c r="V2583">
        <v>2.0000000000000001E-4</v>
      </c>
      <c r="W2583">
        <v>-0.91839999999999999</v>
      </c>
      <c r="X2583">
        <v>0.84799999999999998</v>
      </c>
      <c r="Y2583">
        <v>-6.0499999999999998E-2</v>
      </c>
      <c r="Z2583">
        <v>54</v>
      </c>
      <c r="AA2583">
        <v>3.4</v>
      </c>
      <c r="AB2583">
        <v>261</v>
      </c>
      <c r="AC2583">
        <v>3.7</v>
      </c>
      <c r="AD2583">
        <v>0</v>
      </c>
      <c r="AE2583">
        <v>0</v>
      </c>
      <c r="AF2583">
        <v>0</v>
      </c>
      <c r="AG2583">
        <v>543</v>
      </c>
      <c r="AH2583">
        <v>0</v>
      </c>
    </row>
    <row r="2584" spans="1:34" x14ac:dyDescent="0.35">
      <c r="A2584" t="s">
        <v>37</v>
      </c>
      <c r="B2584" s="1">
        <v>46146.65625</v>
      </c>
      <c r="C2584" t="s">
        <v>37</v>
      </c>
      <c r="D2584" s="1">
        <v>46157.354166666664</v>
      </c>
      <c r="E2584">
        <v>6620</v>
      </c>
      <c r="F2584" t="s">
        <v>36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403</v>
      </c>
      <c r="M2584">
        <v>3.5</v>
      </c>
      <c r="N2584">
        <v>46</v>
      </c>
      <c r="O2584">
        <v>3.7</v>
      </c>
      <c r="P2584">
        <v>0</v>
      </c>
      <c r="Q2584">
        <v>0</v>
      </c>
      <c r="R2584">
        <v>0</v>
      </c>
      <c r="S2584">
        <v>0</v>
      </c>
      <c r="T2584">
        <v>0.2631</v>
      </c>
      <c r="U2584">
        <v>-2.92E-2</v>
      </c>
      <c r="V2584">
        <v>2.0000000000000001E-4</v>
      </c>
      <c r="W2584">
        <v>-0.92720000000000002</v>
      </c>
      <c r="X2584">
        <v>0.85970000000000002</v>
      </c>
      <c r="Y2584">
        <v>-6.1499999999999999E-2</v>
      </c>
      <c r="Z2584">
        <v>187</v>
      </c>
      <c r="AA2584">
        <v>3.4</v>
      </c>
      <c r="AB2584">
        <v>487</v>
      </c>
      <c r="AC2584">
        <v>3.8</v>
      </c>
      <c r="AD2584">
        <v>0</v>
      </c>
      <c r="AE2584">
        <v>0</v>
      </c>
      <c r="AF2584">
        <v>0</v>
      </c>
      <c r="AG2584">
        <v>1346</v>
      </c>
      <c r="AH2584">
        <v>0</v>
      </c>
    </row>
    <row r="2585" spans="1:34" x14ac:dyDescent="0.35">
      <c r="A2585" t="s">
        <v>37</v>
      </c>
      <c r="B2585" s="1">
        <v>46146.65625</v>
      </c>
      <c r="C2585" t="s">
        <v>37</v>
      </c>
      <c r="D2585" s="1">
        <v>46157.354166666664</v>
      </c>
      <c r="E2585">
        <v>6625</v>
      </c>
      <c r="F2585" t="s">
        <v>36</v>
      </c>
      <c r="G2585">
        <v>3.39</v>
      </c>
      <c r="H2585">
        <v>5.16</v>
      </c>
      <c r="I2585">
        <v>2.94</v>
      </c>
      <c r="J2585">
        <v>3.75</v>
      </c>
      <c r="K2585">
        <v>108</v>
      </c>
      <c r="L2585">
        <v>1069</v>
      </c>
      <c r="M2585">
        <v>3.5</v>
      </c>
      <c r="N2585">
        <v>383</v>
      </c>
      <c r="O2585">
        <v>3.8</v>
      </c>
      <c r="P2585">
        <v>0</v>
      </c>
      <c r="Q2585">
        <v>0</v>
      </c>
      <c r="R2585">
        <v>0</v>
      </c>
      <c r="S2585">
        <v>0</v>
      </c>
      <c r="T2585">
        <v>0.26179999999999998</v>
      </c>
      <c r="U2585">
        <v>-2.9700000000000001E-2</v>
      </c>
      <c r="V2585">
        <v>2.0000000000000001E-4</v>
      </c>
      <c r="W2585">
        <v>-0.93600000000000005</v>
      </c>
      <c r="X2585">
        <v>0.87170000000000003</v>
      </c>
      <c r="Y2585">
        <v>-6.2600000000000003E-2</v>
      </c>
      <c r="Z2585">
        <v>108</v>
      </c>
      <c r="AA2585">
        <v>3.5</v>
      </c>
      <c r="AB2585">
        <v>221</v>
      </c>
      <c r="AC2585">
        <v>3.8</v>
      </c>
      <c r="AD2585">
        <v>0</v>
      </c>
      <c r="AE2585">
        <v>0</v>
      </c>
      <c r="AF2585">
        <v>3.2483</v>
      </c>
      <c r="AG2585">
        <v>1844</v>
      </c>
      <c r="AH2585">
        <v>0</v>
      </c>
    </row>
    <row r="2586" spans="1:34" x14ac:dyDescent="0.35">
      <c r="A2586" t="s">
        <v>37</v>
      </c>
      <c r="B2586" s="1">
        <v>46146.65625</v>
      </c>
      <c r="C2586" t="s">
        <v>37</v>
      </c>
      <c r="D2586" s="1">
        <v>46157.354166666664</v>
      </c>
      <c r="E2586">
        <v>6630</v>
      </c>
      <c r="F2586" t="s">
        <v>36</v>
      </c>
      <c r="G2586">
        <v>5</v>
      </c>
      <c r="H2586">
        <v>5</v>
      </c>
      <c r="I2586">
        <v>5</v>
      </c>
      <c r="J2586">
        <v>5</v>
      </c>
      <c r="K2586">
        <v>2</v>
      </c>
      <c r="L2586">
        <v>978</v>
      </c>
      <c r="M2586">
        <v>3.6</v>
      </c>
      <c r="N2586">
        <v>610</v>
      </c>
      <c r="O2586">
        <v>3.9</v>
      </c>
      <c r="P2586">
        <v>0</v>
      </c>
      <c r="Q2586">
        <v>0</v>
      </c>
      <c r="R2586">
        <v>0</v>
      </c>
      <c r="S2586">
        <v>0</v>
      </c>
      <c r="T2586">
        <v>0.26100000000000001</v>
      </c>
      <c r="U2586">
        <v>-3.0499999999999999E-2</v>
      </c>
      <c r="V2586">
        <v>2.0000000000000001E-4</v>
      </c>
      <c r="W2586">
        <v>-0.95479999999999998</v>
      </c>
      <c r="X2586">
        <v>0.89049999999999996</v>
      </c>
      <c r="Y2586">
        <v>-6.4199999999999993E-2</v>
      </c>
      <c r="Z2586">
        <v>65</v>
      </c>
      <c r="AA2586">
        <v>3.6</v>
      </c>
      <c r="AB2586">
        <v>400</v>
      </c>
      <c r="AC2586">
        <v>3.9</v>
      </c>
      <c r="AD2586">
        <v>0</v>
      </c>
      <c r="AE2586">
        <v>0</v>
      </c>
      <c r="AF2586">
        <v>5</v>
      </c>
      <c r="AG2586">
        <v>1220</v>
      </c>
      <c r="AH2586">
        <v>0</v>
      </c>
    </row>
    <row r="2587" spans="1:34" x14ac:dyDescent="0.35">
      <c r="A2587" t="s">
        <v>37</v>
      </c>
      <c r="B2587" s="1">
        <v>46146.65625</v>
      </c>
      <c r="C2587" t="s">
        <v>37</v>
      </c>
      <c r="D2587" s="1">
        <v>46157.354166666664</v>
      </c>
      <c r="E2587">
        <v>6635</v>
      </c>
      <c r="F2587" t="s">
        <v>36</v>
      </c>
      <c r="G2587">
        <v>3.4</v>
      </c>
      <c r="H2587">
        <v>3.4</v>
      </c>
      <c r="I2587">
        <v>3.1</v>
      </c>
      <c r="J2587">
        <v>3.1</v>
      </c>
      <c r="K2587">
        <v>110</v>
      </c>
      <c r="L2587">
        <v>460</v>
      </c>
      <c r="M2587">
        <v>3.7</v>
      </c>
      <c r="N2587">
        <v>113</v>
      </c>
      <c r="O2587">
        <v>3.9</v>
      </c>
      <c r="P2587">
        <v>0</v>
      </c>
      <c r="Q2587">
        <v>0</v>
      </c>
      <c r="R2587">
        <v>0</v>
      </c>
      <c r="S2587">
        <v>0</v>
      </c>
      <c r="T2587">
        <v>0.2596</v>
      </c>
      <c r="U2587">
        <v>-3.1E-2</v>
      </c>
      <c r="V2587">
        <v>2.0000000000000001E-4</v>
      </c>
      <c r="W2587">
        <v>-0.96319999999999995</v>
      </c>
      <c r="X2587">
        <v>0.90280000000000005</v>
      </c>
      <c r="Y2587">
        <v>-6.5299999999999997E-2</v>
      </c>
      <c r="Z2587">
        <v>129</v>
      </c>
      <c r="AA2587">
        <v>3.6</v>
      </c>
      <c r="AB2587">
        <v>293</v>
      </c>
      <c r="AC2587">
        <v>4</v>
      </c>
      <c r="AD2587">
        <v>0</v>
      </c>
      <c r="AE2587">
        <v>0</v>
      </c>
      <c r="AF2587">
        <v>3.3536000000000001</v>
      </c>
      <c r="AG2587">
        <v>1216</v>
      </c>
      <c r="AH2587">
        <v>0</v>
      </c>
    </row>
    <row r="2588" spans="1:34" x14ac:dyDescent="0.35">
      <c r="A2588" t="s">
        <v>37</v>
      </c>
      <c r="B2588" s="1">
        <v>46146.65625</v>
      </c>
      <c r="C2588" t="s">
        <v>37</v>
      </c>
      <c r="D2588" s="1">
        <v>46157.354166666664</v>
      </c>
      <c r="E2588">
        <v>6640</v>
      </c>
      <c r="F2588" t="s">
        <v>36</v>
      </c>
      <c r="G2588">
        <v>5.8</v>
      </c>
      <c r="H2588">
        <v>5.8</v>
      </c>
      <c r="I2588">
        <v>4</v>
      </c>
      <c r="J2588">
        <v>4</v>
      </c>
      <c r="K2588">
        <v>33</v>
      </c>
      <c r="L2588">
        <v>303</v>
      </c>
      <c r="M2588">
        <v>3.8</v>
      </c>
      <c r="N2588">
        <v>174</v>
      </c>
      <c r="O2588">
        <v>4</v>
      </c>
      <c r="P2588">
        <v>0</v>
      </c>
      <c r="Q2588">
        <v>0</v>
      </c>
      <c r="R2588">
        <v>0</v>
      </c>
      <c r="S2588">
        <v>0</v>
      </c>
      <c r="T2588">
        <v>0.25869999999999999</v>
      </c>
      <c r="U2588">
        <v>-3.1800000000000002E-2</v>
      </c>
      <c r="V2588">
        <v>2.0000000000000001E-4</v>
      </c>
      <c r="W2588">
        <v>-0.98170000000000002</v>
      </c>
      <c r="X2588">
        <v>0.92169999999999996</v>
      </c>
      <c r="Y2588">
        <v>-6.7000000000000004E-2</v>
      </c>
      <c r="Z2588">
        <v>87</v>
      </c>
      <c r="AA2588">
        <v>3.7</v>
      </c>
      <c r="AB2588">
        <v>145</v>
      </c>
      <c r="AC2588">
        <v>4</v>
      </c>
      <c r="AD2588">
        <v>0</v>
      </c>
      <c r="AE2588">
        <v>0</v>
      </c>
      <c r="AF2588">
        <v>5.3090999999999999</v>
      </c>
      <c r="AG2588">
        <v>697</v>
      </c>
      <c r="AH2588">
        <v>0</v>
      </c>
    </row>
    <row r="2589" spans="1:34" x14ac:dyDescent="0.35">
      <c r="A2589" t="s">
        <v>37</v>
      </c>
      <c r="B2589" s="1">
        <v>46146.65625</v>
      </c>
      <c r="C2589" t="s">
        <v>37</v>
      </c>
      <c r="D2589" s="1">
        <v>46157.354166666664</v>
      </c>
      <c r="E2589">
        <v>6645</v>
      </c>
      <c r="F2589" t="s">
        <v>36</v>
      </c>
      <c r="G2589">
        <v>3.5</v>
      </c>
      <c r="H2589">
        <v>4.4000000000000004</v>
      </c>
      <c r="I2589">
        <v>3.5</v>
      </c>
      <c r="J2589">
        <v>4.4000000000000004</v>
      </c>
      <c r="K2589">
        <v>148</v>
      </c>
      <c r="L2589">
        <v>781</v>
      </c>
      <c r="M2589">
        <v>3.8</v>
      </c>
      <c r="N2589">
        <v>570</v>
      </c>
      <c r="O2589">
        <v>4.0999999999999996</v>
      </c>
      <c r="P2589">
        <v>0</v>
      </c>
      <c r="Q2589">
        <v>0</v>
      </c>
      <c r="R2589">
        <v>0</v>
      </c>
      <c r="S2589">
        <v>0</v>
      </c>
      <c r="T2589">
        <v>0.25729999999999997</v>
      </c>
      <c r="U2589">
        <v>-3.2300000000000002E-2</v>
      </c>
      <c r="V2589">
        <v>2.0000000000000001E-4</v>
      </c>
      <c r="W2589">
        <v>-0.9899</v>
      </c>
      <c r="X2589">
        <v>0.93389999999999995</v>
      </c>
      <c r="Y2589">
        <v>-6.8000000000000005E-2</v>
      </c>
      <c r="Z2589">
        <v>33</v>
      </c>
      <c r="AA2589">
        <v>3.8</v>
      </c>
      <c r="AB2589">
        <v>221</v>
      </c>
      <c r="AC2589">
        <v>4.0999999999999996</v>
      </c>
      <c r="AD2589">
        <v>0</v>
      </c>
      <c r="AE2589">
        <v>0</v>
      </c>
      <c r="AF2589">
        <v>3.5061</v>
      </c>
      <c r="AG2589">
        <v>528</v>
      </c>
      <c r="AH2589">
        <v>0</v>
      </c>
    </row>
    <row r="2590" spans="1:34" x14ac:dyDescent="0.35">
      <c r="A2590" t="s">
        <v>37</v>
      </c>
      <c r="B2590" s="1">
        <v>46146.65625</v>
      </c>
      <c r="C2590" t="s">
        <v>37</v>
      </c>
      <c r="D2590" s="1">
        <v>46157.354166666664</v>
      </c>
      <c r="E2590">
        <v>6650</v>
      </c>
      <c r="F2590" t="s">
        <v>36</v>
      </c>
      <c r="G2590">
        <v>3.02</v>
      </c>
      <c r="H2590">
        <v>6.08</v>
      </c>
      <c r="I2590">
        <v>3.02</v>
      </c>
      <c r="J2590">
        <v>4.05</v>
      </c>
      <c r="K2590">
        <v>13</v>
      </c>
      <c r="L2590">
        <v>879</v>
      </c>
      <c r="M2590">
        <v>3.9</v>
      </c>
      <c r="N2590">
        <v>819</v>
      </c>
      <c r="O2590">
        <v>4.2</v>
      </c>
      <c r="P2590">
        <v>0</v>
      </c>
      <c r="Q2590">
        <v>0</v>
      </c>
      <c r="R2590">
        <v>0</v>
      </c>
      <c r="S2590">
        <v>0</v>
      </c>
      <c r="T2590">
        <v>0.25650000000000001</v>
      </c>
      <c r="U2590">
        <v>-3.3099999999999997E-2</v>
      </c>
      <c r="V2590">
        <v>2.0000000000000001E-4</v>
      </c>
      <c r="W2590">
        <v>-1.008</v>
      </c>
      <c r="X2590">
        <v>0.95299999999999996</v>
      </c>
      <c r="Y2590">
        <v>-6.9800000000000001E-2</v>
      </c>
      <c r="Z2590">
        <v>230</v>
      </c>
      <c r="AA2590">
        <v>3.8</v>
      </c>
      <c r="AB2590">
        <v>406</v>
      </c>
      <c r="AC2590">
        <v>4.2</v>
      </c>
      <c r="AD2590">
        <v>0</v>
      </c>
      <c r="AE2590">
        <v>0</v>
      </c>
      <c r="AF2590">
        <v>3.9923000000000002</v>
      </c>
      <c r="AG2590">
        <v>7767</v>
      </c>
      <c r="AH2590">
        <v>0</v>
      </c>
    </row>
    <row r="2591" spans="1:34" x14ac:dyDescent="0.35">
      <c r="A2591" t="s">
        <v>37</v>
      </c>
      <c r="B2591" s="1">
        <v>46146.65625</v>
      </c>
      <c r="C2591" t="s">
        <v>37</v>
      </c>
      <c r="D2591" s="1">
        <v>46157.354166666664</v>
      </c>
      <c r="E2591">
        <v>6655</v>
      </c>
      <c r="F2591" t="s">
        <v>36</v>
      </c>
      <c r="G2591">
        <v>4.2</v>
      </c>
      <c r="H2591">
        <v>4.2</v>
      </c>
      <c r="I2591">
        <v>4.2</v>
      </c>
      <c r="J2591">
        <v>4.2</v>
      </c>
      <c r="K2591">
        <v>2</v>
      </c>
      <c r="L2591">
        <v>188</v>
      </c>
      <c r="M2591">
        <v>4</v>
      </c>
      <c r="N2591">
        <v>69</v>
      </c>
      <c r="O2591">
        <v>4.2</v>
      </c>
      <c r="P2591">
        <v>0</v>
      </c>
      <c r="Q2591">
        <v>0</v>
      </c>
      <c r="R2591">
        <v>0</v>
      </c>
      <c r="S2591">
        <v>0</v>
      </c>
      <c r="T2591">
        <v>0.255</v>
      </c>
      <c r="U2591">
        <v>-3.3599999999999998E-2</v>
      </c>
      <c r="V2591">
        <v>2.0000000000000001E-4</v>
      </c>
      <c r="W2591">
        <v>-1.016</v>
      </c>
      <c r="X2591">
        <v>0.96540000000000004</v>
      </c>
      <c r="Y2591">
        <v>-7.0900000000000005E-2</v>
      </c>
      <c r="Z2591">
        <v>124</v>
      </c>
      <c r="AA2591">
        <v>3.9</v>
      </c>
      <c r="AB2591">
        <v>342</v>
      </c>
      <c r="AC2591">
        <v>4.3</v>
      </c>
      <c r="AD2591">
        <v>0</v>
      </c>
      <c r="AE2591">
        <v>0</v>
      </c>
      <c r="AF2591">
        <v>4.2</v>
      </c>
      <c r="AG2591">
        <v>232</v>
      </c>
      <c r="AH2591">
        <v>0</v>
      </c>
    </row>
    <row r="2592" spans="1:34" x14ac:dyDescent="0.35">
      <c r="A2592" t="s">
        <v>37</v>
      </c>
      <c r="B2592" s="1">
        <v>46146.65625</v>
      </c>
      <c r="C2592" t="s">
        <v>37</v>
      </c>
      <c r="D2592" s="1">
        <v>46157.354166666664</v>
      </c>
      <c r="E2592">
        <v>6660</v>
      </c>
      <c r="F2592" t="s">
        <v>36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912</v>
      </c>
      <c r="M2592">
        <v>4</v>
      </c>
      <c r="N2592">
        <v>174</v>
      </c>
      <c r="O2592">
        <v>4.3</v>
      </c>
      <c r="P2592">
        <v>0</v>
      </c>
      <c r="Q2592">
        <v>0</v>
      </c>
      <c r="R2592">
        <v>0</v>
      </c>
      <c r="S2592">
        <v>0</v>
      </c>
      <c r="T2592">
        <v>0.25359999999999999</v>
      </c>
      <c r="U2592">
        <v>-3.4200000000000001E-2</v>
      </c>
      <c r="V2592">
        <v>2.0000000000000001E-4</v>
      </c>
      <c r="W2592">
        <v>-1.0239</v>
      </c>
      <c r="X2592">
        <v>0.97789999999999999</v>
      </c>
      <c r="Y2592">
        <v>-7.1999999999999995E-2</v>
      </c>
      <c r="Z2592">
        <v>81</v>
      </c>
      <c r="AA2592">
        <v>4</v>
      </c>
      <c r="AB2592">
        <v>142</v>
      </c>
      <c r="AC2592">
        <v>4.3</v>
      </c>
      <c r="AD2592">
        <v>0</v>
      </c>
      <c r="AE2592">
        <v>0</v>
      </c>
      <c r="AF2592">
        <v>0</v>
      </c>
      <c r="AG2592">
        <v>728</v>
      </c>
      <c r="AH2592">
        <v>0</v>
      </c>
    </row>
    <row r="2593" spans="1:34" x14ac:dyDescent="0.35">
      <c r="A2593" t="s">
        <v>37</v>
      </c>
      <c r="B2593" s="1">
        <v>46146.65625</v>
      </c>
      <c r="C2593" t="s">
        <v>37</v>
      </c>
      <c r="D2593" s="1">
        <v>46157.354166666664</v>
      </c>
      <c r="E2593">
        <v>6665</v>
      </c>
      <c r="F2593" t="s">
        <v>36</v>
      </c>
      <c r="G2593">
        <v>5.7</v>
      </c>
      <c r="H2593">
        <v>5.7</v>
      </c>
      <c r="I2593">
        <v>5.7</v>
      </c>
      <c r="J2593">
        <v>5.7</v>
      </c>
      <c r="K2593">
        <v>1</v>
      </c>
      <c r="L2593">
        <v>476</v>
      </c>
      <c r="M2593">
        <v>4.0999999999999996</v>
      </c>
      <c r="N2593">
        <v>231</v>
      </c>
      <c r="O2593">
        <v>4.4000000000000004</v>
      </c>
      <c r="P2593">
        <v>0</v>
      </c>
      <c r="Q2593">
        <v>0</v>
      </c>
      <c r="R2593">
        <v>0</v>
      </c>
      <c r="S2593">
        <v>0</v>
      </c>
      <c r="T2593">
        <v>0.25259999999999999</v>
      </c>
      <c r="U2593">
        <v>-3.5000000000000003E-2</v>
      </c>
      <c r="V2593">
        <v>2.9999999999999997E-4</v>
      </c>
      <c r="W2593">
        <v>-1.0414000000000001</v>
      </c>
      <c r="X2593">
        <v>0.99709999999999999</v>
      </c>
      <c r="Y2593">
        <v>-7.3800000000000004E-2</v>
      </c>
      <c r="Z2593">
        <v>133</v>
      </c>
      <c r="AA2593">
        <v>4</v>
      </c>
      <c r="AB2593">
        <v>200</v>
      </c>
      <c r="AC2593">
        <v>4.4000000000000004</v>
      </c>
      <c r="AD2593">
        <v>0</v>
      </c>
      <c r="AE2593">
        <v>0</v>
      </c>
      <c r="AF2593">
        <v>5.7</v>
      </c>
      <c r="AG2593">
        <v>283</v>
      </c>
      <c r="AH2593">
        <v>0</v>
      </c>
    </row>
    <row r="2594" spans="1:34" x14ac:dyDescent="0.35">
      <c r="A2594" t="s">
        <v>37</v>
      </c>
      <c r="B2594" s="1">
        <v>46146.65625</v>
      </c>
      <c r="C2594" t="s">
        <v>37</v>
      </c>
      <c r="D2594" s="1">
        <v>46157.354166666664</v>
      </c>
      <c r="E2594">
        <v>6670</v>
      </c>
      <c r="F2594" t="s">
        <v>36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907</v>
      </c>
      <c r="M2594">
        <v>4.2</v>
      </c>
      <c r="N2594">
        <v>704</v>
      </c>
      <c r="O2594">
        <v>4.5</v>
      </c>
      <c r="P2594">
        <v>0</v>
      </c>
      <c r="Q2594">
        <v>0</v>
      </c>
      <c r="R2594">
        <v>0</v>
      </c>
      <c r="S2594">
        <v>0</v>
      </c>
      <c r="T2594">
        <v>0.25159999999999999</v>
      </c>
      <c r="U2594">
        <v>-3.5799999999999998E-2</v>
      </c>
      <c r="V2594">
        <v>2.9999999999999997E-4</v>
      </c>
      <c r="W2594">
        <v>-1.0587</v>
      </c>
      <c r="X2594">
        <v>1.016</v>
      </c>
      <c r="Y2594">
        <v>-7.5600000000000001E-2</v>
      </c>
      <c r="Z2594">
        <v>235</v>
      </c>
      <c r="AA2594">
        <v>4.0999999999999996</v>
      </c>
      <c r="AB2594">
        <v>352</v>
      </c>
      <c r="AC2594">
        <v>4.5</v>
      </c>
      <c r="AD2594">
        <v>0</v>
      </c>
      <c r="AE2594">
        <v>0</v>
      </c>
      <c r="AF2594">
        <v>0</v>
      </c>
      <c r="AG2594">
        <v>702</v>
      </c>
      <c r="AH2594">
        <v>0</v>
      </c>
    </row>
    <row r="2595" spans="1:34" x14ac:dyDescent="0.35">
      <c r="A2595" t="s">
        <v>37</v>
      </c>
      <c r="B2595" s="1">
        <v>46146.65625</v>
      </c>
      <c r="C2595" t="s">
        <v>37</v>
      </c>
      <c r="D2595" s="1">
        <v>46157.354166666664</v>
      </c>
      <c r="E2595">
        <v>6675</v>
      </c>
      <c r="F2595" t="s">
        <v>36</v>
      </c>
      <c r="G2595">
        <v>3.45</v>
      </c>
      <c r="H2595">
        <v>4.5</v>
      </c>
      <c r="I2595">
        <v>3.45</v>
      </c>
      <c r="J2595">
        <v>4.5</v>
      </c>
      <c r="K2595">
        <v>2</v>
      </c>
      <c r="L2595">
        <v>815</v>
      </c>
      <c r="M2595">
        <v>4.3</v>
      </c>
      <c r="N2595">
        <v>72</v>
      </c>
      <c r="O2595">
        <v>4.5</v>
      </c>
      <c r="P2595">
        <v>0</v>
      </c>
      <c r="Q2595">
        <v>0</v>
      </c>
      <c r="R2595">
        <v>0</v>
      </c>
      <c r="S2595">
        <v>0</v>
      </c>
      <c r="T2595">
        <v>0.25009999999999999</v>
      </c>
      <c r="U2595">
        <v>-3.6400000000000002E-2</v>
      </c>
      <c r="V2595">
        <v>2.9999999999999997E-4</v>
      </c>
      <c r="W2595">
        <v>-1.0662</v>
      </c>
      <c r="X2595">
        <v>1.0288999999999999</v>
      </c>
      <c r="Y2595">
        <v>-7.6799999999999993E-2</v>
      </c>
      <c r="Z2595">
        <v>227</v>
      </c>
      <c r="AA2595">
        <v>4.2</v>
      </c>
      <c r="AB2595">
        <v>472</v>
      </c>
      <c r="AC2595">
        <v>4.5999999999999996</v>
      </c>
      <c r="AD2595">
        <v>0</v>
      </c>
      <c r="AE2595">
        <v>0</v>
      </c>
      <c r="AF2595">
        <v>3.9750000000000001</v>
      </c>
      <c r="AG2595">
        <v>2066</v>
      </c>
      <c r="AH2595">
        <v>0</v>
      </c>
    </row>
    <row r="2596" spans="1:34" x14ac:dyDescent="0.35">
      <c r="A2596" t="s">
        <v>37</v>
      </c>
      <c r="B2596" s="1">
        <v>46146.65625</v>
      </c>
      <c r="C2596" t="s">
        <v>37</v>
      </c>
      <c r="D2596" s="1">
        <v>46157.354166666664</v>
      </c>
      <c r="E2596">
        <v>6680</v>
      </c>
      <c r="F2596" t="s">
        <v>36</v>
      </c>
      <c r="G2596">
        <v>3.4</v>
      </c>
      <c r="H2596">
        <v>3.4</v>
      </c>
      <c r="I2596">
        <v>3.4</v>
      </c>
      <c r="J2596">
        <v>3.4</v>
      </c>
      <c r="K2596">
        <v>3</v>
      </c>
      <c r="L2596">
        <v>678</v>
      </c>
      <c r="M2596">
        <v>4.4000000000000004</v>
      </c>
      <c r="N2596">
        <v>112</v>
      </c>
      <c r="O2596">
        <v>4.5999999999999996</v>
      </c>
      <c r="P2596">
        <v>0</v>
      </c>
      <c r="Q2596">
        <v>0</v>
      </c>
      <c r="R2596">
        <v>0</v>
      </c>
      <c r="S2596">
        <v>0</v>
      </c>
      <c r="T2596">
        <v>0.24909999999999999</v>
      </c>
      <c r="U2596">
        <v>-3.7199999999999997E-2</v>
      </c>
      <c r="V2596">
        <v>2.9999999999999997E-4</v>
      </c>
      <c r="W2596">
        <v>-1.0831999999999999</v>
      </c>
      <c r="X2596">
        <v>1.0476000000000001</v>
      </c>
      <c r="Y2596">
        <v>-7.8600000000000003E-2</v>
      </c>
      <c r="Z2596">
        <v>173</v>
      </c>
      <c r="AA2596">
        <v>4.3</v>
      </c>
      <c r="AB2596">
        <v>474</v>
      </c>
      <c r="AC2596">
        <v>4.7</v>
      </c>
      <c r="AD2596">
        <v>0</v>
      </c>
      <c r="AE2596">
        <v>0</v>
      </c>
      <c r="AF2596">
        <v>3.4</v>
      </c>
      <c r="AG2596">
        <v>1137</v>
      </c>
      <c r="AH2596">
        <v>0</v>
      </c>
    </row>
    <row r="2597" spans="1:34" x14ac:dyDescent="0.35">
      <c r="A2597" t="s">
        <v>37</v>
      </c>
      <c r="B2597" s="1">
        <v>46146.65625</v>
      </c>
      <c r="C2597" t="s">
        <v>37</v>
      </c>
      <c r="D2597" s="1">
        <v>46157.354166666664</v>
      </c>
      <c r="E2597">
        <v>6685</v>
      </c>
      <c r="F2597" t="s">
        <v>36</v>
      </c>
      <c r="G2597">
        <v>6.5</v>
      </c>
      <c r="H2597">
        <v>6.65</v>
      </c>
      <c r="I2597">
        <v>4.54</v>
      </c>
      <c r="J2597">
        <v>4.54</v>
      </c>
      <c r="K2597">
        <v>7</v>
      </c>
      <c r="L2597">
        <v>191</v>
      </c>
      <c r="M2597">
        <v>4.5</v>
      </c>
      <c r="N2597">
        <v>63</v>
      </c>
      <c r="O2597">
        <v>4.7</v>
      </c>
      <c r="P2597">
        <v>0</v>
      </c>
      <c r="Q2597">
        <v>0</v>
      </c>
      <c r="R2597">
        <v>0</v>
      </c>
      <c r="S2597">
        <v>0</v>
      </c>
      <c r="T2597">
        <v>0.24809999999999999</v>
      </c>
      <c r="U2597">
        <v>-3.7999999999999999E-2</v>
      </c>
      <c r="V2597">
        <v>2.9999999999999997E-4</v>
      </c>
      <c r="W2597">
        <v>-1.1000000000000001</v>
      </c>
      <c r="X2597">
        <v>1.0666</v>
      </c>
      <c r="Y2597">
        <v>-8.0399999999999999E-2</v>
      </c>
      <c r="Z2597">
        <v>51</v>
      </c>
      <c r="AA2597">
        <v>4.4000000000000004</v>
      </c>
      <c r="AB2597">
        <v>348</v>
      </c>
      <c r="AC2597">
        <v>4.8</v>
      </c>
      <c r="AD2597">
        <v>0</v>
      </c>
      <c r="AE2597">
        <v>0</v>
      </c>
      <c r="AF2597">
        <v>5.9614000000000003</v>
      </c>
      <c r="AG2597">
        <v>290</v>
      </c>
      <c r="AH2597">
        <v>0</v>
      </c>
    </row>
    <row r="2598" spans="1:34" x14ac:dyDescent="0.35">
      <c r="A2598" t="s">
        <v>37</v>
      </c>
      <c r="B2598" s="1">
        <v>46146.65625</v>
      </c>
      <c r="C2598" t="s">
        <v>37</v>
      </c>
      <c r="D2598" s="1">
        <v>46157.354166666664</v>
      </c>
      <c r="E2598">
        <v>6690</v>
      </c>
      <c r="F2598" t="s">
        <v>36</v>
      </c>
      <c r="G2598">
        <v>4.0999999999999996</v>
      </c>
      <c r="H2598">
        <v>5.46</v>
      </c>
      <c r="I2598">
        <v>4.05</v>
      </c>
      <c r="J2598">
        <v>5.46</v>
      </c>
      <c r="K2598">
        <v>112</v>
      </c>
      <c r="L2598">
        <v>467</v>
      </c>
      <c r="M2598">
        <v>4.5999999999999996</v>
      </c>
      <c r="N2598">
        <v>165</v>
      </c>
      <c r="O2598">
        <v>4.8</v>
      </c>
      <c r="P2598">
        <v>0</v>
      </c>
      <c r="Q2598">
        <v>0</v>
      </c>
      <c r="R2598">
        <v>0</v>
      </c>
      <c r="S2598">
        <v>0</v>
      </c>
      <c r="T2598">
        <v>0.24709999999999999</v>
      </c>
      <c r="U2598">
        <v>-3.8899999999999997E-2</v>
      </c>
      <c r="V2598">
        <v>2.9999999999999997E-4</v>
      </c>
      <c r="W2598">
        <v>-1.1166</v>
      </c>
      <c r="X2598">
        <v>1.0853999999999999</v>
      </c>
      <c r="Y2598">
        <v>-8.2199999999999995E-2</v>
      </c>
      <c r="Z2598">
        <v>83</v>
      </c>
      <c r="AA2598">
        <v>4.5</v>
      </c>
      <c r="AB2598">
        <v>171</v>
      </c>
      <c r="AC2598">
        <v>4.8</v>
      </c>
      <c r="AD2598">
        <v>0</v>
      </c>
      <c r="AE2598">
        <v>0</v>
      </c>
      <c r="AF2598">
        <v>4.1116999999999999</v>
      </c>
      <c r="AG2598">
        <v>669</v>
      </c>
      <c r="AH2598">
        <v>0</v>
      </c>
    </row>
    <row r="2599" spans="1:34" x14ac:dyDescent="0.35">
      <c r="A2599" t="s">
        <v>37</v>
      </c>
      <c r="B2599" s="1">
        <v>46146.65625</v>
      </c>
      <c r="C2599" t="s">
        <v>37</v>
      </c>
      <c r="D2599" s="1">
        <v>46157.354166666664</v>
      </c>
      <c r="E2599">
        <v>6695</v>
      </c>
      <c r="F2599" t="s">
        <v>36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342</v>
      </c>
      <c r="M2599">
        <v>4.7</v>
      </c>
      <c r="N2599">
        <v>201</v>
      </c>
      <c r="O2599">
        <v>4.9000000000000004</v>
      </c>
      <c r="P2599">
        <v>0</v>
      </c>
      <c r="Q2599">
        <v>0</v>
      </c>
      <c r="R2599">
        <v>0</v>
      </c>
      <c r="S2599">
        <v>0</v>
      </c>
      <c r="T2599">
        <v>0.246</v>
      </c>
      <c r="U2599">
        <v>-3.9800000000000002E-2</v>
      </c>
      <c r="V2599">
        <v>2.9999999999999997E-4</v>
      </c>
      <c r="W2599">
        <v>-1.1328</v>
      </c>
      <c r="X2599">
        <v>1.1046</v>
      </c>
      <c r="Y2599">
        <v>-8.4000000000000005E-2</v>
      </c>
      <c r="Z2599">
        <v>30</v>
      </c>
      <c r="AA2599">
        <v>4.5999999999999996</v>
      </c>
      <c r="AB2599">
        <v>160</v>
      </c>
      <c r="AC2599">
        <v>4.9000000000000004</v>
      </c>
      <c r="AD2599">
        <v>0</v>
      </c>
      <c r="AE2599">
        <v>0</v>
      </c>
      <c r="AF2599">
        <v>0</v>
      </c>
      <c r="AG2599">
        <v>3117</v>
      </c>
      <c r="AH2599">
        <v>0</v>
      </c>
    </row>
    <row r="2600" spans="1:34" x14ac:dyDescent="0.35">
      <c r="A2600" t="s">
        <v>37</v>
      </c>
      <c r="B2600" s="1">
        <v>46146.65625</v>
      </c>
      <c r="C2600" t="s">
        <v>37</v>
      </c>
      <c r="D2600" s="1">
        <v>46157.354166666664</v>
      </c>
      <c r="E2600">
        <v>6700</v>
      </c>
      <c r="F2600" t="s">
        <v>36</v>
      </c>
      <c r="G2600">
        <v>4.3</v>
      </c>
      <c r="H2600">
        <v>6.92</v>
      </c>
      <c r="I2600">
        <v>3.5</v>
      </c>
      <c r="J2600">
        <v>5.0999999999999996</v>
      </c>
      <c r="K2600">
        <v>1239</v>
      </c>
      <c r="L2600">
        <v>403</v>
      </c>
      <c r="M2600">
        <v>4.8</v>
      </c>
      <c r="N2600">
        <v>211</v>
      </c>
      <c r="O2600">
        <v>5</v>
      </c>
      <c r="P2600">
        <v>0</v>
      </c>
      <c r="Q2600">
        <v>0</v>
      </c>
      <c r="R2600">
        <v>0</v>
      </c>
      <c r="S2600">
        <v>0</v>
      </c>
      <c r="T2600">
        <v>0.24490000000000001</v>
      </c>
      <c r="U2600">
        <v>-4.0599999999999997E-2</v>
      </c>
      <c r="V2600">
        <v>2.9999999999999997E-4</v>
      </c>
      <c r="W2600">
        <v>-1.149</v>
      </c>
      <c r="X2600">
        <v>1.1234999999999999</v>
      </c>
      <c r="Y2600">
        <v>-8.5800000000000001E-2</v>
      </c>
      <c r="Z2600">
        <v>57</v>
      </c>
      <c r="AA2600">
        <v>4.7</v>
      </c>
      <c r="AB2600">
        <v>161</v>
      </c>
      <c r="AC2600">
        <v>5</v>
      </c>
      <c r="AD2600">
        <v>0</v>
      </c>
      <c r="AE2600">
        <v>0</v>
      </c>
      <c r="AF2600">
        <v>5.9997999999999996</v>
      </c>
      <c r="AG2600">
        <v>20611</v>
      </c>
      <c r="AH2600">
        <v>0</v>
      </c>
    </row>
    <row r="2601" spans="1:34" x14ac:dyDescent="0.35">
      <c r="A2601" t="s">
        <v>37</v>
      </c>
      <c r="B2601" s="1">
        <v>46146.65625</v>
      </c>
      <c r="C2601" t="s">
        <v>37</v>
      </c>
      <c r="D2601" s="1">
        <v>46157.354166666664</v>
      </c>
      <c r="E2601">
        <v>6705</v>
      </c>
      <c r="F2601" t="s">
        <v>36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189</v>
      </c>
      <c r="M2601">
        <v>4.9000000000000004</v>
      </c>
      <c r="N2601">
        <v>89</v>
      </c>
      <c r="O2601">
        <v>5.0999999999999996</v>
      </c>
      <c r="P2601">
        <v>0</v>
      </c>
      <c r="Q2601">
        <v>0</v>
      </c>
      <c r="R2601">
        <v>0</v>
      </c>
      <c r="S2601">
        <v>0</v>
      </c>
      <c r="T2601">
        <v>0.24379999999999999</v>
      </c>
      <c r="U2601">
        <v>-4.1500000000000002E-2</v>
      </c>
      <c r="V2601">
        <v>2.9999999999999997E-4</v>
      </c>
      <c r="W2601">
        <v>-1.1648000000000001</v>
      </c>
      <c r="X2601">
        <v>1.1429</v>
      </c>
      <c r="Y2601">
        <v>-8.77E-2</v>
      </c>
      <c r="Z2601">
        <v>30</v>
      </c>
      <c r="AA2601">
        <v>4.8</v>
      </c>
      <c r="AB2601">
        <v>158</v>
      </c>
      <c r="AC2601">
        <v>5.0999999999999996</v>
      </c>
      <c r="AD2601">
        <v>0</v>
      </c>
      <c r="AE2601">
        <v>0</v>
      </c>
      <c r="AF2601">
        <v>0</v>
      </c>
      <c r="AG2601">
        <v>316</v>
      </c>
      <c r="AH2601">
        <v>0</v>
      </c>
    </row>
    <row r="2602" spans="1:34" x14ac:dyDescent="0.35">
      <c r="A2602" t="s">
        <v>37</v>
      </c>
      <c r="B2602" s="1">
        <v>46146.65625</v>
      </c>
      <c r="C2602" t="s">
        <v>37</v>
      </c>
      <c r="D2602" s="1">
        <v>46157.354166666664</v>
      </c>
      <c r="E2602">
        <v>6710</v>
      </c>
      <c r="F2602" t="s">
        <v>36</v>
      </c>
      <c r="G2602">
        <v>4.33</v>
      </c>
      <c r="H2602">
        <v>7.5</v>
      </c>
      <c r="I2602">
        <v>3.8</v>
      </c>
      <c r="J2602">
        <v>5.2</v>
      </c>
      <c r="K2602">
        <v>490</v>
      </c>
      <c r="L2602">
        <v>529</v>
      </c>
      <c r="M2602">
        <v>5</v>
      </c>
      <c r="N2602">
        <v>189</v>
      </c>
      <c r="O2602">
        <v>5.2</v>
      </c>
      <c r="P2602">
        <v>0</v>
      </c>
      <c r="Q2602">
        <v>0</v>
      </c>
      <c r="R2602">
        <v>0</v>
      </c>
      <c r="S2602">
        <v>0</v>
      </c>
      <c r="T2602">
        <v>0.24260000000000001</v>
      </c>
      <c r="U2602">
        <v>-4.24E-2</v>
      </c>
      <c r="V2602">
        <v>2.9999999999999997E-4</v>
      </c>
      <c r="W2602">
        <v>-1.1805000000000001</v>
      </c>
      <c r="X2602">
        <v>1.1621999999999999</v>
      </c>
      <c r="Y2602">
        <v>-8.9499999999999996E-2</v>
      </c>
      <c r="Z2602">
        <v>55</v>
      </c>
      <c r="AA2602">
        <v>4.9000000000000004</v>
      </c>
      <c r="AB2602">
        <v>141</v>
      </c>
      <c r="AC2602">
        <v>5.2</v>
      </c>
      <c r="AD2602">
        <v>0</v>
      </c>
      <c r="AE2602">
        <v>0</v>
      </c>
      <c r="AF2602">
        <v>4.2827999999999999</v>
      </c>
      <c r="AG2602">
        <v>391</v>
      </c>
      <c r="AH2602">
        <v>0</v>
      </c>
    </row>
    <row r="2603" spans="1:34" x14ac:dyDescent="0.35">
      <c r="A2603" t="s">
        <v>37</v>
      </c>
      <c r="B2603" s="1">
        <v>46146.65625</v>
      </c>
      <c r="C2603" t="s">
        <v>37</v>
      </c>
      <c r="D2603" s="1">
        <v>46157.354166666664</v>
      </c>
      <c r="E2603">
        <v>6715</v>
      </c>
      <c r="F2603" t="s">
        <v>36</v>
      </c>
      <c r="G2603">
        <v>4.29</v>
      </c>
      <c r="H2603">
        <v>4.29</v>
      </c>
      <c r="I2603">
        <v>4.29</v>
      </c>
      <c r="J2603">
        <v>4.29</v>
      </c>
      <c r="K2603">
        <v>68</v>
      </c>
      <c r="L2603">
        <v>180</v>
      </c>
      <c r="M2603">
        <v>5.0999999999999996</v>
      </c>
      <c r="N2603">
        <v>352</v>
      </c>
      <c r="O2603">
        <v>5.4</v>
      </c>
      <c r="P2603">
        <v>0</v>
      </c>
      <c r="Q2603">
        <v>0</v>
      </c>
      <c r="R2603">
        <v>0</v>
      </c>
      <c r="S2603">
        <v>0</v>
      </c>
      <c r="T2603">
        <v>0.2419</v>
      </c>
      <c r="U2603">
        <v>-4.36E-2</v>
      </c>
      <c r="V2603">
        <v>2.9999999999999997E-4</v>
      </c>
      <c r="W2603">
        <v>-1.2050000000000001</v>
      </c>
      <c r="X2603">
        <v>1.1875</v>
      </c>
      <c r="Y2603">
        <v>-9.1999999999999998E-2</v>
      </c>
      <c r="Z2603">
        <v>29</v>
      </c>
      <c r="AA2603">
        <v>5</v>
      </c>
      <c r="AB2603">
        <v>353</v>
      </c>
      <c r="AC2603">
        <v>5.4</v>
      </c>
      <c r="AD2603">
        <v>0</v>
      </c>
      <c r="AE2603">
        <v>0</v>
      </c>
      <c r="AF2603">
        <v>4.29</v>
      </c>
      <c r="AG2603">
        <v>674</v>
      </c>
      <c r="AH2603">
        <v>0</v>
      </c>
    </row>
    <row r="2604" spans="1:34" x14ac:dyDescent="0.35">
      <c r="A2604" t="s">
        <v>37</v>
      </c>
      <c r="B2604" s="1">
        <v>46146.65625</v>
      </c>
      <c r="C2604" t="s">
        <v>37</v>
      </c>
      <c r="D2604" s="1">
        <v>46157.354166666664</v>
      </c>
      <c r="E2604">
        <v>6720</v>
      </c>
      <c r="F2604" t="s">
        <v>36</v>
      </c>
      <c r="G2604">
        <v>4.08</v>
      </c>
      <c r="H2604">
        <v>4.08</v>
      </c>
      <c r="I2604">
        <v>4.08</v>
      </c>
      <c r="J2604">
        <v>4.08</v>
      </c>
      <c r="K2604">
        <v>16</v>
      </c>
      <c r="L2604">
        <v>659</v>
      </c>
      <c r="M2604">
        <v>5.2</v>
      </c>
      <c r="N2604">
        <v>542</v>
      </c>
      <c r="O2604">
        <v>5.5</v>
      </c>
      <c r="P2604">
        <v>0</v>
      </c>
      <c r="Q2604">
        <v>0</v>
      </c>
      <c r="R2604">
        <v>0</v>
      </c>
      <c r="S2604">
        <v>0</v>
      </c>
      <c r="T2604">
        <v>0.24079999999999999</v>
      </c>
      <c r="U2604">
        <v>-4.4400000000000002E-2</v>
      </c>
      <c r="V2604">
        <v>2.9999999999999997E-4</v>
      </c>
      <c r="W2604">
        <v>-1.2202999999999999</v>
      </c>
      <c r="X2604">
        <v>1.2068000000000001</v>
      </c>
      <c r="Y2604">
        <v>-9.3799999999999994E-2</v>
      </c>
      <c r="Z2604">
        <v>96</v>
      </c>
      <c r="AA2604">
        <v>5.0999999999999996</v>
      </c>
      <c r="AB2604">
        <v>583</v>
      </c>
      <c r="AC2604">
        <v>5.5</v>
      </c>
      <c r="AD2604">
        <v>0</v>
      </c>
      <c r="AE2604">
        <v>0</v>
      </c>
      <c r="AF2604">
        <v>4.08</v>
      </c>
      <c r="AG2604">
        <v>1161</v>
      </c>
      <c r="AH2604">
        <v>0</v>
      </c>
    </row>
    <row r="2605" spans="1:34" x14ac:dyDescent="0.35">
      <c r="A2605" t="s">
        <v>37</v>
      </c>
      <c r="B2605" s="1">
        <v>46146.65625</v>
      </c>
      <c r="C2605" t="s">
        <v>37</v>
      </c>
      <c r="D2605" s="1">
        <v>46157.354166666664</v>
      </c>
      <c r="E2605">
        <v>6725</v>
      </c>
      <c r="F2605" t="s">
        <v>36</v>
      </c>
      <c r="G2605">
        <v>4.7</v>
      </c>
      <c r="H2605">
        <v>7.05</v>
      </c>
      <c r="I2605">
        <v>3.9</v>
      </c>
      <c r="J2605">
        <v>6.99</v>
      </c>
      <c r="K2605">
        <v>365</v>
      </c>
      <c r="L2605">
        <v>670</v>
      </c>
      <c r="M2605">
        <v>5.3</v>
      </c>
      <c r="N2605">
        <v>439</v>
      </c>
      <c r="O2605">
        <v>5.6</v>
      </c>
      <c r="P2605">
        <v>0</v>
      </c>
      <c r="Q2605">
        <v>0</v>
      </c>
      <c r="R2605">
        <v>0</v>
      </c>
      <c r="S2605">
        <v>0</v>
      </c>
      <c r="T2605">
        <v>0.23960000000000001</v>
      </c>
      <c r="U2605">
        <v>-4.5400000000000003E-2</v>
      </c>
      <c r="V2605">
        <v>2.9999999999999997E-4</v>
      </c>
      <c r="W2605">
        <v>-1.2353000000000001</v>
      </c>
      <c r="X2605">
        <v>1.2264999999999999</v>
      </c>
      <c r="Y2605">
        <v>-9.5799999999999996E-2</v>
      </c>
      <c r="Z2605">
        <v>138</v>
      </c>
      <c r="AA2605">
        <v>5.2</v>
      </c>
      <c r="AB2605">
        <v>584</v>
      </c>
      <c r="AC2605">
        <v>5.6</v>
      </c>
      <c r="AD2605">
        <v>0</v>
      </c>
      <c r="AE2605">
        <v>0</v>
      </c>
      <c r="AF2605">
        <v>4.5156000000000001</v>
      </c>
      <c r="AG2605">
        <v>3239</v>
      </c>
      <c r="AH2605">
        <v>0</v>
      </c>
    </row>
    <row r="2606" spans="1:34" x14ac:dyDescent="0.35">
      <c r="A2606" t="s">
        <v>37</v>
      </c>
      <c r="B2606" s="1">
        <v>46146.65625</v>
      </c>
      <c r="C2606" t="s">
        <v>37</v>
      </c>
      <c r="D2606" s="1">
        <v>46157.354166666664</v>
      </c>
      <c r="E2606">
        <v>6730</v>
      </c>
      <c r="F2606" t="s">
        <v>36</v>
      </c>
      <c r="G2606">
        <v>4.68</v>
      </c>
      <c r="H2606">
        <v>7.88</v>
      </c>
      <c r="I2606">
        <v>4.68</v>
      </c>
      <c r="J2606">
        <v>7.88</v>
      </c>
      <c r="K2606">
        <v>2</v>
      </c>
      <c r="L2606">
        <v>464</v>
      </c>
      <c r="M2606">
        <v>5.4</v>
      </c>
      <c r="N2606">
        <v>148</v>
      </c>
      <c r="O2606">
        <v>5.7</v>
      </c>
      <c r="P2606">
        <v>0</v>
      </c>
      <c r="Q2606">
        <v>0</v>
      </c>
      <c r="R2606">
        <v>0</v>
      </c>
      <c r="S2606">
        <v>0</v>
      </c>
      <c r="T2606">
        <v>0.23830000000000001</v>
      </c>
      <c r="U2606">
        <v>-4.6300000000000001E-2</v>
      </c>
      <c r="V2606">
        <v>2.9999999999999997E-4</v>
      </c>
      <c r="W2606">
        <v>-1.2498</v>
      </c>
      <c r="X2606">
        <v>1.2466999999999999</v>
      </c>
      <c r="Y2606">
        <v>-9.7699999999999995E-2</v>
      </c>
      <c r="Z2606">
        <v>190</v>
      </c>
      <c r="AA2606">
        <v>5.3</v>
      </c>
      <c r="AB2606">
        <v>243</v>
      </c>
      <c r="AC2606">
        <v>5.7</v>
      </c>
      <c r="AD2606">
        <v>0</v>
      </c>
      <c r="AE2606">
        <v>0</v>
      </c>
      <c r="AF2606">
        <v>6.28</v>
      </c>
      <c r="AG2606">
        <v>1007</v>
      </c>
      <c r="AH2606">
        <v>0</v>
      </c>
    </row>
    <row r="2607" spans="1:34" x14ac:dyDescent="0.35">
      <c r="A2607" t="s">
        <v>37</v>
      </c>
      <c r="B2607" s="1">
        <v>46146.65625</v>
      </c>
      <c r="C2607" t="s">
        <v>37</v>
      </c>
      <c r="D2607" s="1">
        <v>46157.354166666664</v>
      </c>
      <c r="E2607">
        <v>6735</v>
      </c>
      <c r="F2607" t="s">
        <v>36</v>
      </c>
      <c r="G2607">
        <v>4.3499999999999996</v>
      </c>
      <c r="H2607">
        <v>8.3000000000000007</v>
      </c>
      <c r="I2607">
        <v>4.3499999999999996</v>
      </c>
      <c r="J2607">
        <v>8.3000000000000007</v>
      </c>
      <c r="K2607">
        <v>30</v>
      </c>
      <c r="L2607">
        <v>147</v>
      </c>
      <c r="M2607">
        <v>5.6</v>
      </c>
      <c r="N2607">
        <v>173</v>
      </c>
      <c r="O2607">
        <v>5.8</v>
      </c>
      <c r="P2607">
        <v>0</v>
      </c>
      <c r="Q2607">
        <v>0</v>
      </c>
      <c r="R2607">
        <v>0</v>
      </c>
      <c r="S2607">
        <v>0</v>
      </c>
      <c r="T2607">
        <v>0.23749999999999999</v>
      </c>
      <c r="U2607">
        <v>-4.7500000000000001E-2</v>
      </c>
      <c r="V2607">
        <v>2.9999999999999997E-4</v>
      </c>
      <c r="W2607">
        <v>-1.2732000000000001</v>
      </c>
      <c r="X2607">
        <v>1.2722</v>
      </c>
      <c r="Y2607">
        <v>-0.1003</v>
      </c>
      <c r="Z2607">
        <v>286</v>
      </c>
      <c r="AA2607">
        <v>5.4</v>
      </c>
      <c r="AB2607">
        <v>314</v>
      </c>
      <c r="AC2607">
        <v>5.8</v>
      </c>
      <c r="AD2607">
        <v>0</v>
      </c>
      <c r="AE2607">
        <v>0</v>
      </c>
      <c r="AF2607">
        <v>7.375</v>
      </c>
      <c r="AG2607">
        <v>915</v>
      </c>
      <c r="AH2607">
        <v>0</v>
      </c>
    </row>
    <row r="2608" spans="1:34" x14ac:dyDescent="0.35">
      <c r="A2608" t="s">
        <v>37</v>
      </c>
      <c r="B2608" s="1">
        <v>46146.65625</v>
      </c>
      <c r="C2608" t="s">
        <v>37</v>
      </c>
      <c r="D2608" s="1">
        <v>46157.354166666664</v>
      </c>
      <c r="E2608">
        <v>6740</v>
      </c>
      <c r="F2608" t="s">
        <v>36</v>
      </c>
      <c r="G2608">
        <v>8.23</v>
      </c>
      <c r="H2608">
        <v>8.23</v>
      </c>
      <c r="I2608">
        <v>5.6</v>
      </c>
      <c r="J2608">
        <v>5.75</v>
      </c>
      <c r="K2608">
        <v>10</v>
      </c>
      <c r="L2608">
        <v>434</v>
      </c>
      <c r="M2608">
        <v>5.7</v>
      </c>
      <c r="N2608">
        <v>144</v>
      </c>
      <c r="O2608">
        <v>5.9</v>
      </c>
      <c r="P2608">
        <v>0</v>
      </c>
      <c r="Q2608">
        <v>0</v>
      </c>
      <c r="R2608">
        <v>0</v>
      </c>
      <c r="S2608">
        <v>0</v>
      </c>
      <c r="T2608">
        <v>0.23619999999999999</v>
      </c>
      <c r="U2608">
        <v>-4.8399999999999999E-2</v>
      </c>
      <c r="V2608">
        <v>2.9999999999999997E-4</v>
      </c>
      <c r="W2608">
        <v>-1.2875000000000001</v>
      </c>
      <c r="X2608">
        <v>1.2923</v>
      </c>
      <c r="Y2608">
        <v>-0.1023</v>
      </c>
      <c r="Z2608">
        <v>55</v>
      </c>
      <c r="AA2608">
        <v>5.6</v>
      </c>
      <c r="AB2608">
        <v>268</v>
      </c>
      <c r="AC2608">
        <v>5.9</v>
      </c>
      <c r="AD2608">
        <v>0</v>
      </c>
      <c r="AE2608">
        <v>0</v>
      </c>
      <c r="AF2608">
        <v>6.2080000000000002</v>
      </c>
      <c r="AG2608">
        <v>857</v>
      </c>
      <c r="AH2608">
        <v>0</v>
      </c>
    </row>
    <row r="2609" spans="1:34" x14ac:dyDescent="0.35">
      <c r="A2609" t="s">
        <v>37</v>
      </c>
      <c r="B2609" s="1">
        <v>46146.65625</v>
      </c>
      <c r="C2609" t="s">
        <v>37</v>
      </c>
      <c r="D2609" s="1">
        <v>46157.354166666664</v>
      </c>
      <c r="E2609">
        <v>6745</v>
      </c>
      <c r="F2609" t="s">
        <v>36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249</v>
      </c>
      <c r="M2609">
        <v>5.8</v>
      </c>
      <c r="N2609">
        <v>214</v>
      </c>
      <c r="O2609">
        <v>6.1</v>
      </c>
      <c r="P2609">
        <v>0</v>
      </c>
      <c r="Q2609">
        <v>0</v>
      </c>
      <c r="R2609">
        <v>0</v>
      </c>
      <c r="S2609">
        <v>0</v>
      </c>
      <c r="T2609">
        <v>0.23530000000000001</v>
      </c>
      <c r="U2609">
        <v>-4.9599999999999998E-2</v>
      </c>
      <c r="V2609">
        <v>4.0000000000000002E-4</v>
      </c>
      <c r="W2609">
        <v>-1.31</v>
      </c>
      <c r="X2609">
        <v>1.3182</v>
      </c>
      <c r="Y2609">
        <v>-0.105</v>
      </c>
      <c r="Z2609">
        <v>48</v>
      </c>
      <c r="AA2609">
        <v>5.7</v>
      </c>
      <c r="AB2609">
        <v>301</v>
      </c>
      <c r="AC2609">
        <v>6.1</v>
      </c>
      <c r="AD2609">
        <v>0</v>
      </c>
      <c r="AE2609">
        <v>0</v>
      </c>
      <c r="AF2609">
        <v>0</v>
      </c>
      <c r="AG2609">
        <v>317</v>
      </c>
      <c r="AH2609">
        <v>0</v>
      </c>
    </row>
    <row r="2610" spans="1:34" x14ac:dyDescent="0.35">
      <c r="A2610" t="s">
        <v>37</v>
      </c>
      <c r="B2610" s="1">
        <v>46146.65625</v>
      </c>
      <c r="C2610" t="s">
        <v>37</v>
      </c>
      <c r="D2610" s="1">
        <v>46157.354166666664</v>
      </c>
      <c r="E2610">
        <v>6750</v>
      </c>
      <c r="F2610" t="s">
        <v>36</v>
      </c>
      <c r="G2610">
        <v>4.25</v>
      </c>
      <c r="H2610">
        <v>9.5</v>
      </c>
      <c r="I2610">
        <v>4.25</v>
      </c>
      <c r="J2610">
        <v>8.1999999999999993</v>
      </c>
      <c r="K2610">
        <v>1036</v>
      </c>
      <c r="L2610">
        <v>671</v>
      </c>
      <c r="M2610">
        <v>5.9</v>
      </c>
      <c r="N2610">
        <v>164</v>
      </c>
      <c r="O2610">
        <v>6.2</v>
      </c>
      <c r="P2610">
        <v>0</v>
      </c>
      <c r="Q2610">
        <v>0</v>
      </c>
      <c r="R2610">
        <v>0</v>
      </c>
      <c r="S2610">
        <v>0</v>
      </c>
      <c r="T2610">
        <v>0.2339</v>
      </c>
      <c r="U2610">
        <v>-5.0599999999999999E-2</v>
      </c>
      <c r="V2610">
        <v>4.0000000000000002E-4</v>
      </c>
      <c r="W2610">
        <v>-1.3236000000000001</v>
      </c>
      <c r="X2610">
        <v>1.3387</v>
      </c>
      <c r="Y2610">
        <v>-0.1071</v>
      </c>
      <c r="Z2610">
        <v>340</v>
      </c>
      <c r="AA2610">
        <v>5.8</v>
      </c>
      <c r="AB2610">
        <v>456</v>
      </c>
      <c r="AC2610">
        <v>6.2</v>
      </c>
      <c r="AD2610">
        <v>0</v>
      </c>
      <c r="AE2610">
        <v>0</v>
      </c>
      <c r="AF2610">
        <v>7.3973000000000004</v>
      </c>
      <c r="AG2610">
        <v>23640</v>
      </c>
      <c r="AH2610">
        <v>0</v>
      </c>
    </row>
    <row r="2611" spans="1:34" x14ac:dyDescent="0.35">
      <c r="A2611" t="s">
        <v>37</v>
      </c>
      <c r="B2611" s="1">
        <v>46146.65625</v>
      </c>
      <c r="C2611" t="s">
        <v>37</v>
      </c>
      <c r="D2611" s="1">
        <v>46157.354166666664</v>
      </c>
      <c r="E2611">
        <v>6755</v>
      </c>
      <c r="F2611" t="s">
        <v>36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164</v>
      </c>
      <c r="M2611">
        <v>6.1</v>
      </c>
      <c r="N2611">
        <v>352</v>
      </c>
      <c r="O2611">
        <v>6.4</v>
      </c>
      <c r="P2611">
        <v>0</v>
      </c>
      <c r="Q2611">
        <v>0</v>
      </c>
      <c r="R2611">
        <v>0</v>
      </c>
      <c r="S2611">
        <v>0</v>
      </c>
      <c r="T2611">
        <v>0.23300000000000001</v>
      </c>
      <c r="U2611">
        <v>-5.1900000000000002E-2</v>
      </c>
      <c r="V2611">
        <v>4.0000000000000002E-4</v>
      </c>
      <c r="W2611">
        <v>-1.3454999999999999</v>
      </c>
      <c r="X2611">
        <v>1.3645</v>
      </c>
      <c r="Y2611">
        <v>-0.10979999999999999</v>
      </c>
      <c r="Z2611">
        <v>27</v>
      </c>
      <c r="AA2611">
        <v>6</v>
      </c>
      <c r="AB2611">
        <v>128</v>
      </c>
      <c r="AC2611">
        <v>6.3</v>
      </c>
      <c r="AD2611">
        <v>0</v>
      </c>
      <c r="AE2611">
        <v>0</v>
      </c>
      <c r="AF2611">
        <v>0</v>
      </c>
      <c r="AG2611">
        <v>262</v>
      </c>
      <c r="AH2611">
        <v>0</v>
      </c>
    </row>
    <row r="2612" spans="1:34" x14ac:dyDescent="0.35">
      <c r="A2612" t="s">
        <v>37</v>
      </c>
      <c r="B2612" s="1">
        <v>46146.65625</v>
      </c>
      <c r="C2612" t="s">
        <v>37</v>
      </c>
      <c r="D2612" s="1">
        <v>46157.354166666664</v>
      </c>
      <c r="E2612">
        <v>6760</v>
      </c>
      <c r="F2612" t="s">
        <v>36</v>
      </c>
      <c r="G2612">
        <v>5.38</v>
      </c>
      <c r="H2612">
        <v>6.82</v>
      </c>
      <c r="I2612">
        <v>5.38</v>
      </c>
      <c r="J2612">
        <v>6.82</v>
      </c>
      <c r="K2612">
        <v>6</v>
      </c>
      <c r="L2612">
        <v>382</v>
      </c>
      <c r="M2612">
        <v>6.2</v>
      </c>
      <c r="N2612">
        <v>261</v>
      </c>
      <c r="O2612">
        <v>6.5</v>
      </c>
      <c r="P2612">
        <v>0</v>
      </c>
      <c r="Q2612">
        <v>0</v>
      </c>
      <c r="R2612">
        <v>0</v>
      </c>
      <c r="S2612">
        <v>0</v>
      </c>
      <c r="T2612">
        <v>0.2321</v>
      </c>
      <c r="U2612">
        <v>-5.3100000000000001E-2</v>
      </c>
      <c r="V2612">
        <v>4.0000000000000002E-4</v>
      </c>
      <c r="W2612">
        <v>-1.3673</v>
      </c>
      <c r="X2612">
        <v>1.3897999999999999</v>
      </c>
      <c r="Y2612">
        <v>-0.1124</v>
      </c>
      <c r="Z2612">
        <v>74</v>
      </c>
      <c r="AA2612">
        <v>6.1</v>
      </c>
      <c r="AB2612">
        <v>346</v>
      </c>
      <c r="AC2612">
        <v>6.5</v>
      </c>
      <c r="AD2612">
        <v>0</v>
      </c>
      <c r="AE2612">
        <v>0</v>
      </c>
      <c r="AF2612">
        <v>6.58</v>
      </c>
      <c r="AG2612">
        <v>478</v>
      </c>
      <c r="AH2612">
        <v>0</v>
      </c>
    </row>
    <row r="2613" spans="1:34" x14ac:dyDescent="0.35">
      <c r="A2613" t="s">
        <v>37</v>
      </c>
      <c r="B2613" s="1">
        <v>46146.65625</v>
      </c>
      <c r="C2613" t="s">
        <v>37</v>
      </c>
      <c r="D2613" s="1">
        <v>46157.354166666664</v>
      </c>
      <c r="E2613">
        <v>6765</v>
      </c>
      <c r="F2613" t="s">
        <v>36</v>
      </c>
      <c r="G2613">
        <v>5.51</v>
      </c>
      <c r="H2613">
        <v>5.51</v>
      </c>
      <c r="I2613">
        <v>4.8</v>
      </c>
      <c r="J2613">
        <v>4.8</v>
      </c>
      <c r="K2613">
        <v>18</v>
      </c>
      <c r="L2613">
        <v>319</v>
      </c>
      <c r="M2613">
        <v>6.4</v>
      </c>
      <c r="N2613">
        <v>173</v>
      </c>
      <c r="O2613">
        <v>6.6</v>
      </c>
      <c r="P2613">
        <v>0</v>
      </c>
      <c r="Q2613">
        <v>0</v>
      </c>
      <c r="R2613">
        <v>0</v>
      </c>
      <c r="S2613">
        <v>0</v>
      </c>
      <c r="T2613">
        <v>0.23100000000000001</v>
      </c>
      <c r="U2613">
        <v>-5.4399999999999997E-2</v>
      </c>
      <c r="V2613">
        <v>4.0000000000000002E-4</v>
      </c>
      <c r="W2613">
        <v>-1.3884000000000001</v>
      </c>
      <c r="X2613">
        <v>1.4154</v>
      </c>
      <c r="Y2613">
        <v>-0.1152</v>
      </c>
      <c r="Z2613">
        <v>265</v>
      </c>
      <c r="AA2613">
        <v>6.2</v>
      </c>
      <c r="AB2613">
        <v>300</v>
      </c>
      <c r="AC2613">
        <v>6.6</v>
      </c>
      <c r="AD2613">
        <v>0</v>
      </c>
      <c r="AE2613">
        <v>0</v>
      </c>
      <c r="AF2613">
        <v>4.8394000000000004</v>
      </c>
      <c r="AG2613">
        <v>710</v>
      </c>
      <c r="AH2613">
        <v>0</v>
      </c>
    </row>
    <row r="2614" spans="1:34" x14ac:dyDescent="0.35">
      <c r="A2614" t="s">
        <v>37</v>
      </c>
      <c r="B2614" s="1">
        <v>46146.65625</v>
      </c>
      <c r="C2614" t="s">
        <v>37</v>
      </c>
      <c r="D2614" s="1">
        <v>46157.354166666664</v>
      </c>
      <c r="E2614">
        <v>6770</v>
      </c>
      <c r="F2614" t="s">
        <v>36</v>
      </c>
      <c r="G2614">
        <v>6.4</v>
      </c>
      <c r="H2614">
        <v>6.4</v>
      </c>
      <c r="I2614">
        <v>6.4</v>
      </c>
      <c r="J2614">
        <v>6.4</v>
      </c>
      <c r="K2614">
        <v>2</v>
      </c>
      <c r="L2614">
        <v>354</v>
      </c>
      <c r="M2614">
        <v>6.5</v>
      </c>
      <c r="N2614">
        <v>268</v>
      </c>
      <c r="O2614">
        <v>6.8</v>
      </c>
      <c r="P2614">
        <v>0</v>
      </c>
      <c r="Q2614">
        <v>0</v>
      </c>
      <c r="R2614">
        <v>0</v>
      </c>
      <c r="S2614">
        <v>0</v>
      </c>
      <c r="T2614">
        <v>0.23</v>
      </c>
      <c r="U2614">
        <v>-5.57E-2</v>
      </c>
      <c r="V2614">
        <v>4.0000000000000002E-4</v>
      </c>
      <c r="W2614">
        <v>-1.4093</v>
      </c>
      <c r="X2614">
        <v>1.4409000000000001</v>
      </c>
      <c r="Y2614">
        <v>-0.1179</v>
      </c>
      <c r="Z2614">
        <v>76</v>
      </c>
      <c r="AA2614">
        <v>6.4</v>
      </c>
      <c r="AB2614">
        <v>337</v>
      </c>
      <c r="AC2614">
        <v>6.8</v>
      </c>
      <c r="AD2614">
        <v>0</v>
      </c>
      <c r="AE2614">
        <v>0</v>
      </c>
      <c r="AF2614">
        <v>6.4</v>
      </c>
      <c r="AG2614">
        <v>481</v>
      </c>
      <c r="AH2614">
        <v>0</v>
      </c>
    </row>
    <row r="2615" spans="1:34" x14ac:dyDescent="0.35">
      <c r="A2615" t="s">
        <v>37</v>
      </c>
      <c r="B2615" s="1">
        <v>46146.65625</v>
      </c>
      <c r="C2615" t="s">
        <v>37</v>
      </c>
      <c r="D2615" s="1">
        <v>46157.354166666664</v>
      </c>
      <c r="E2615">
        <v>6775</v>
      </c>
      <c r="F2615" t="s">
        <v>36</v>
      </c>
      <c r="G2615">
        <v>5.5</v>
      </c>
      <c r="H2615">
        <v>9.42</v>
      </c>
      <c r="I2615">
        <v>4.8</v>
      </c>
      <c r="J2615">
        <v>6.77</v>
      </c>
      <c r="K2615">
        <v>259</v>
      </c>
      <c r="L2615">
        <v>447</v>
      </c>
      <c r="M2615">
        <v>6.7</v>
      </c>
      <c r="N2615">
        <v>112</v>
      </c>
      <c r="O2615">
        <v>6.9</v>
      </c>
      <c r="P2615">
        <v>0</v>
      </c>
      <c r="Q2615">
        <v>0</v>
      </c>
      <c r="R2615">
        <v>0</v>
      </c>
      <c r="S2615">
        <v>0</v>
      </c>
      <c r="T2615">
        <v>0.2288</v>
      </c>
      <c r="U2615">
        <v>-5.7000000000000002E-2</v>
      </c>
      <c r="V2615">
        <v>4.0000000000000002E-4</v>
      </c>
      <c r="W2615">
        <v>-1.4296</v>
      </c>
      <c r="X2615">
        <v>1.4668000000000001</v>
      </c>
      <c r="Y2615">
        <v>-0.1207</v>
      </c>
      <c r="Z2615">
        <v>339</v>
      </c>
      <c r="AA2615">
        <v>6.5</v>
      </c>
      <c r="AB2615">
        <v>280</v>
      </c>
      <c r="AC2615">
        <v>6.9</v>
      </c>
      <c r="AD2615">
        <v>0</v>
      </c>
      <c r="AE2615">
        <v>0</v>
      </c>
      <c r="AF2615">
        <v>6.7626999999999997</v>
      </c>
      <c r="AG2615">
        <v>3420</v>
      </c>
      <c r="AH2615">
        <v>0</v>
      </c>
    </row>
    <row r="2616" spans="1:34" x14ac:dyDescent="0.35">
      <c r="A2616" t="s">
        <v>37</v>
      </c>
      <c r="B2616" s="1">
        <v>46146.65625</v>
      </c>
      <c r="C2616" t="s">
        <v>37</v>
      </c>
      <c r="D2616" s="1">
        <v>46157.354166666664</v>
      </c>
      <c r="E2616">
        <v>6780</v>
      </c>
      <c r="F2616" t="s">
        <v>36</v>
      </c>
      <c r="G2616">
        <v>4.75</v>
      </c>
      <c r="H2616">
        <v>6.7</v>
      </c>
      <c r="I2616">
        <v>4.75</v>
      </c>
      <c r="J2616">
        <v>6.7</v>
      </c>
      <c r="K2616">
        <v>8</v>
      </c>
      <c r="L2616">
        <v>422</v>
      </c>
      <c r="M2616">
        <v>6.8</v>
      </c>
      <c r="N2616">
        <v>105</v>
      </c>
      <c r="O2616">
        <v>7.1</v>
      </c>
      <c r="P2616">
        <v>0</v>
      </c>
      <c r="Q2616">
        <v>0</v>
      </c>
      <c r="R2616">
        <v>0</v>
      </c>
      <c r="S2616">
        <v>0</v>
      </c>
      <c r="T2616">
        <v>0.2276</v>
      </c>
      <c r="U2616">
        <v>-5.8299999999999998E-2</v>
      </c>
      <c r="V2616">
        <v>4.0000000000000002E-4</v>
      </c>
      <c r="W2616">
        <v>-1.4496</v>
      </c>
      <c r="X2616">
        <v>1.4926999999999999</v>
      </c>
      <c r="Y2616">
        <v>-0.1235</v>
      </c>
      <c r="Z2616">
        <v>75</v>
      </c>
      <c r="AA2616">
        <v>6.7</v>
      </c>
      <c r="AB2616">
        <v>225</v>
      </c>
      <c r="AC2616">
        <v>7.1</v>
      </c>
      <c r="AD2616">
        <v>0</v>
      </c>
      <c r="AE2616">
        <v>0</v>
      </c>
      <c r="AF2616">
        <v>5.375</v>
      </c>
      <c r="AG2616">
        <v>560</v>
      </c>
      <c r="AH2616">
        <v>0</v>
      </c>
    </row>
    <row r="2617" spans="1:34" x14ac:dyDescent="0.35">
      <c r="A2617" t="s">
        <v>37</v>
      </c>
      <c r="B2617" s="1">
        <v>46146.65625</v>
      </c>
      <c r="C2617" t="s">
        <v>37</v>
      </c>
      <c r="D2617" s="1">
        <v>46157.354166666664</v>
      </c>
      <c r="E2617">
        <v>6785</v>
      </c>
      <c r="F2617" t="s">
        <v>36</v>
      </c>
      <c r="G2617">
        <v>5.3</v>
      </c>
      <c r="H2617">
        <v>5.3</v>
      </c>
      <c r="I2617">
        <v>5</v>
      </c>
      <c r="J2617">
        <v>5</v>
      </c>
      <c r="K2617">
        <v>18</v>
      </c>
      <c r="L2617">
        <v>409</v>
      </c>
      <c r="M2617">
        <v>7</v>
      </c>
      <c r="N2617">
        <v>369</v>
      </c>
      <c r="O2617">
        <v>7.3</v>
      </c>
      <c r="P2617">
        <v>0</v>
      </c>
      <c r="Q2617">
        <v>0</v>
      </c>
      <c r="R2617">
        <v>0</v>
      </c>
      <c r="S2617">
        <v>0</v>
      </c>
      <c r="T2617">
        <v>0.22700000000000001</v>
      </c>
      <c r="U2617">
        <v>-5.9799999999999999E-2</v>
      </c>
      <c r="V2617">
        <v>4.0000000000000002E-4</v>
      </c>
      <c r="W2617">
        <v>-1.4776</v>
      </c>
      <c r="X2617">
        <v>1.5228999999999999</v>
      </c>
      <c r="Y2617">
        <v>-0.1268</v>
      </c>
      <c r="Z2617">
        <v>46</v>
      </c>
      <c r="AA2617">
        <v>6.9</v>
      </c>
      <c r="AB2617">
        <v>56</v>
      </c>
      <c r="AC2617">
        <v>7.2</v>
      </c>
      <c r="AD2617">
        <v>0</v>
      </c>
      <c r="AE2617">
        <v>0</v>
      </c>
      <c r="AF2617">
        <v>5.2832999999999997</v>
      </c>
      <c r="AG2617">
        <v>702</v>
      </c>
      <c r="AH2617">
        <v>0</v>
      </c>
    </row>
    <row r="2618" spans="1:34" x14ac:dyDescent="0.35">
      <c r="A2618" t="s">
        <v>37</v>
      </c>
      <c r="B2618" s="1">
        <v>46146.65625</v>
      </c>
      <c r="C2618" t="s">
        <v>37</v>
      </c>
      <c r="D2618" s="1">
        <v>46157.354166666664</v>
      </c>
      <c r="E2618">
        <v>6790</v>
      </c>
      <c r="F2618" t="s">
        <v>36</v>
      </c>
      <c r="G2618">
        <v>5.74</v>
      </c>
      <c r="H2618">
        <v>8.3000000000000007</v>
      </c>
      <c r="I2618">
        <v>5.74</v>
      </c>
      <c r="J2618">
        <v>7</v>
      </c>
      <c r="K2618">
        <v>205</v>
      </c>
      <c r="L2618">
        <v>298</v>
      </c>
      <c r="M2618">
        <v>7.2</v>
      </c>
      <c r="N2618">
        <v>147</v>
      </c>
      <c r="O2618">
        <v>7.4</v>
      </c>
      <c r="P2618">
        <v>0</v>
      </c>
      <c r="Q2618">
        <v>0</v>
      </c>
      <c r="R2618">
        <v>0</v>
      </c>
      <c r="S2618">
        <v>0</v>
      </c>
      <c r="T2618">
        <v>0.22570000000000001</v>
      </c>
      <c r="U2618">
        <v>-6.1199999999999997E-2</v>
      </c>
      <c r="V2618">
        <v>4.0000000000000002E-4</v>
      </c>
      <c r="W2618">
        <v>-1.4967999999999999</v>
      </c>
      <c r="X2618">
        <v>1.5489999999999999</v>
      </c>
      <c r="Y2618">
        <v>-0.12959999999999999</v>
      </c>
      <c r="Z2618">
        <v>331</v>
      </c>
      <c r="AA2618">
        <v>7</v>
      </c>
      <c r="AB2618">
        <v>339</v>
      </c>
      <c r="AC2618">
        <v>7.4</v>
      </c>
      <c r="AD2618">
        <v>0</v>
      </c>
      <c r="AE2618">
        <v>0</v>
      </c>
      <c r="AF2618">
        <v>5.7897999999999996</v>
      </c>
      <c r="AG2618">
        <v>6097</v>
      </c>
      <c r="AH2618">
        <v>0</v>
      </c>
    </row>
    <row r="2619" spans="1:34" x14ac:dyDescent="0.35">
      <c r="A2619" t="s">
        <v>37</v>
      </c>
      <c r="B2619" s="1">
        <v>46146.65625</v>
      </c>
      <c r="C2619" t="s">
        <v>37</v>
      </c>
      <c r="D2619" s="1">
        <v>46157.354166666664</v>
      </c>
      <c r="E2619">
        <v>6795</v>
      </c>
      <c r="F2619" t="s">
        <v>36</v>
      </c>
      <c r="G2619">
        <v>9.8699999999999992</v>
      </c>
      <c r="H2619">
        <v>9.8699999999999992</v>
      </c>
      <c r="I2619">
        <v>7.9</v>
      </c>
      <c r="J2619">
        <v>7.9</v>
      </c>
      <c r="K2619">
        <v>95</v>
      </c>
      <c r="L2619">
        <v>513</v>
      </c>
      <c r="M2619">
        <v>7.3</v>
      </c>
      <c r="N2619">
        <v>180</v>
      </c>
      <c r="O2619">
        <v>7.6</v>
      </c>
      <c r="P2619">
        <v>0</v>
      </c>
      <c r="Q2619">
        <v>0</v>
      </c>
      <c r="R2619">
        <v>0</v>
      </c>
      <c r="S2619">
        <v>0</v>
      </c>
      <c r="T2619">
        <v>0.22450000000000001</v>
      </c>
      <c r="U2619">
        <v>-6.25E-2</v>
      </c>
      <c r="V2619">
        <v>4.0000000000000002E-4</v>
      </c>
      <c r="W2619">
        <v>-1.5157</v>
      </c>
      <c r="X2619">
        <v>1.5750999999999999</v>
      </c>
      <c r="Y2619">
        <v>-0.13250000000000001</v>
      </c>
      <c r="Z2619">
        <v>67</v>
      </c>
      <c r="AA2619">
        <v>7.2</v>
      </c>
      <c r="AB2619">
        <v>275</v>
      </c>
      <c r="AC2619">
        <v>7.6</v>
      </c>
      <c r="AD2619">
        <v>0</v>
      </c>
      <c r="AE2619">
        <v>0</v>
      </c>
      <c r="AF2619">
        <v>9.4552999999999994</v>
      </c>
      <c r="AG2619">
        <v>362</v>
      </c>
      <c r="AH2619">
        <v>0</v>
      </c>
    </row>
    <row r="2620" spans="1:34" x14ac:dyDescent="0.35">
      <c r="A2620" t="s">
        <v>37</v>
      </c>
      <c r="B2620" s="1">
        <v>46146.65625</v>
      </c>
      <c r="C2620" t="s">
        <v>37</v>
      </c>
      <c r="D2620" s="1">
        <v>46157.354166666664</v>
      </c>
      <c r="E2620">
        <v>6800</v>
      </c>
      <c r="F2620" t="s">
        <v>36</v>
      </c>
      <c r="G2620">
        <v>6.49</v>
      </c>
      <c r="H2620">
        <v>11.35</v>
      </c>
      <c r="I2620">
        <v>5.03</v>
      </c>
      <c r="J2620">
        <v>7.3</v>
      </c>
      <c r="K2620">
        <v>1183</v>
      </c>
      <c r="L2620">
        <v>541</v>
      </c>
      <c r="M2620">
        <v>7.5</v>
      </c>
      <c r="N2620">
        <v>202</v>
      </c>
      <c r="O2620">
        <v>7.8</v>
      </c>
      <c r="P2620">
        <v>0</v>
      </c>
      <c r="Q2620">
        <v>0</v>
      </c>
      <c r="R2620">
        <v>0</v>
      </c>
      <c r="S2620">
        <v>0</v>
      </c>
      <c r="T2620">
        <v>0.22370000000000001</v>
      </c>
      <c r="U2620">
        <v>-6.4100000000000004E-2</v>
      </c>
      <c r="V2620">
        <v>5.0000000000000001E-4</v>
      </c>
      <c r="W2620">
        <v>-1.5423</v>
      </c>
      <c r="X2620">
        <v>1.6057999999999999</v>
      </c>
      <c r="Y2620">
        <v>-0.13589999999999999</v>
      </c>
      <c r="Z2620">
        <v>114</v>
      </c>
      <c r="AA2620">
        <v>7.4</v>
      </c>
      <c r="AB2620">
        <v>412</v>
      </c>
      <c r="AC2620">
        <v>7.8</v>
      </c>
      <c r="AD2620">
        <v>0</v>
      </c>
      <c r="AE2620">
        <v>0</v>
      </c>
      <c r="AF2620">
        <v>6.9115000000000002</v>
      </c>
      <c r="AG2620">
        <v>37510</v>
      </c>
      <c r="AH2620">
        <v>0</v>
      </c>
    </row>
    <row r="2621" spans="1:34" x14ac:dyDescent="0.35">
      <c r="A2621" t="s">
        <v>37</v>
      </c>
      <c r="B2621" s="1">
        <v>46146.65625</v>
      </c>
      <c r="C2621" t="s">
        <v>37</v>
      </c>
      <c r="D2621" s="1">
        <v>46157.354166666664</v>
      </c>
      <c r="E2621">
        <v>6805</v>
      </c>
      <c r="F2621" t="s">
        <v>36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256</v>
      </c>
      <c r="M2621">
        <v>7.7</v>
      </c>
      <c r="N2621">
        <v>170</v>
      </c>
      <c r="O2621">
        <v>8</v>
      </c>
      <c r="P2621">
        <v>0</v>
      </c>
      <c r="Q2621">
        <v>0</v>
      </c>
      <c r="R2621">
        <v>0</v>
      </c>
      <c r="S2621">
        <v>0</v>
      </c>
      <c r="T2621">
        <v>0.2228</v>
      </c>
      <c r="U2621">
        <v>-6.5799999999999997E-2</v>
      </c>
      <c r="V2621">
        <v>5.0000000000000001E-4</v>
      </c>
      <c r="W2621">
        <v>-1.5682</v>
      </c>
      <c r="X2621">
        <v>1.6372</v>
      </c>
      <c r="Y2621">
        <v>-0.13930000000000001</v>
      </c>
      <c r="Z2621">
        <v>130</v>
      </c>
      <c r="AA2621">
        <v>7.5</v>
      </c>
      <c r="AB2621">
        <v>243</v>
      </c>
      <c r="AC2621">
        <v>8</v>
      </c>
      <c r="AD2621">
        <v>0</v>
      </c>
      <c r="AE2621">
        <v>0</v>
      </c>
      <c r="AF2621">
        <v>0</v>
      </c>
      <c r="AG2621">
        <v>302</v>
      </c>
      <c r="AH2621">
        <v>0</v>
      </c>
    </row>
    <row r="2622" spans="1:34" x14ac:dyDescent="0.35">
      <c r="A2622" t="s">
        <v>37</v>
      </c>
      <c r="B2622" s="1">
        <v>46146.65625</v>
      </c>
      <c r="C2622" t="s">
        <v>37</v>
      </c>
      <c r="D2622" s="1">
        <v>46157.354166666664</v>
      </c>
      <c r="E2622">
        <v>6810</v>
      </c>
      <c r="F2622" t="s">
        <v>36</v>
      </c>
      <c r="G2622">
        <v>5.9</v>
      </c>
      <c r="H2622">
        <v>9.9</v>
      </c>
      <c r="I2622">
        <v>5.9</v>
      </c>
      <c r="J2622">
        <v>9.9</v>
      </c>
      <c r="K2622">
        <v>43</v>
      </c>
      <c r="L2622">
        <v>514</v>
      </c>
      <c r="M2622">
        <v>7.9</v>
      </c>
      <c r="N2622">
        <v>349</v>
      </c>
      <c r="O2622">
        <v>8.1999999999999993</v>
      </c>
      <c r="P2622">
        <v>0</v>
      </c>
      <c r="Q2622">
        <v>0</v>
      </c>
      <c r="R2622">
        <v>0</v>
      </c>
      <c r="S2622">
        <v>0</v>
      </c>
      <c r="T2622">
        <v>0.2218</v>
      </c>
      <c r="U2622">
        <v>-6.7400000000000002E-2</v>
      </c>
      <c r="V2622">
        <v>5.0000000000000001E-4</v>
      </c>
      <c r="W2622">
        <v>-1.5934999999999999</v>
      </c>
      <c r="X2622">
        <v>1.6686000000000001</v>
      </c>
      <c r="Y2622">
        <v>-0.1429</v>
      </c>
      <c r="Z2622">
        <v>25</v>
      </c>
      <c r="AA2622">
        <v>7.8</v>
      </c>
      <c r="AB2622">
        <v>58</v>
      </c>
      <c r="AC2622">
        <v>8.1</v>
      </c>
      <c r="AD2622">
        <v>0</v>
      </c>
      <c r="AE2622">
        <v>0</v>
      </c>
      <c r="AF2622">
        <v>7.8135000000000003</v>
      </c>
      <c r="AG2622">
        <v>768</v>
      </c>
      <c r="AH2622">
        <v>0</v>
      </c>
    </row>
    <row r="2623" spans="1:34" x14ac:dyDescent="0.35">
      <c r="A2623" t="s">
        <v>37</v>
      </c>
      <c r="B2623" s="1">
        <v>46146.65625</v>
      </c>
      <c r="C2623" t="s">
        <v>37</v>
      </c>
      <c r="D2623" s="1">
        <v>46157.354166666664</v>
      </c>
      <c r="E2623">
        <v>6815</v>
      </c>
      <c r="F2623" t="s">
        <v>36</v>
      </c>
      <c r="G2623">
        <v>6.2</v>
      </c>
      <c r="H2623">
        <v>9.59</v>
      </c>
      <c r="I2623">
        <v>6.2</v>
      </c>
      <c r="J2623">
        <v>9.59</v>
      </c>
      <c r="K2623">
        <v>4</v>
      </c>
      <c r="L2623">
        <v>246</v>
      </c>
      <c r="M2623">
        <v>8.1</v>
      </c>
      <c r="N2623">
        <v>216</v>
      </c>
      <c r="O2623">
        <v>8.4</v>
      </c>
      <c r="P2623">
        <v>0</v>
      </c>
      <c r="Q2623">
        <v>0</v>
      </c>
      <c r="R2623">
        <v>0</v>
      </c>
      <c r="S2623">
        <v>0</v>
      </c>
      <c r="T2623">
        <v>0.2208</v>
      </c>
      <c r="U2623">
        <v>-6.9099999999999995E-2</v>
      </c>
      <c r="V2623">
        <v>5.0000000000000001E-4</v>
      </c>
      <c r="W2623">
        <v>-1.6183000000000001</v>
      </c>
      <c r="X2623">
        <v>1.7000999999999999</v>
      </c>
      <c r="Y2623">
        <v>-0.14649999999999999</v>
      </c>
      <c r="Z2623">
        <v>130</v>
      </c>
      <c r="AA2623">
        <v>7.9</v>
      </c>
      <c r="AB2623">
        <v>236</v>
      </c>
      <c r="AC2623">
        <v>8.4</v>
      </c>
      <c r="AD2623">
        <v>0</v>
      </c>
      <c r="AE2623">
        <v>0</v>
      </c>
      <c r="AF2623">
        <v>7.8949999999999996</v>
      </c>
      <c r="AG2623">
        <v>465</v>
      </c>
      <c r="AH2623">
        <v>0</v>
      </c>
    </row>
    <row r="2624" spans="1:34" x14ac:dyDescent="0.35">
      <c r="A2624" t="s">
        <v>37</v>
      </c>
      <c r="B2624" s="1">
        <v>46146.65625</v>
      </c>
      <c r="C2624" t="s">
        <v>37</v>
      </c>
      <c r="D2624" s="1">
        <v>46157.354166666664</v>
      </c>
      <c r="E2624">
        <v>6820</v>
      </c>
      <c r="F2624" t="s">
        <v>36</v>
      </c>
      <c r="G2624">
        <v>7.05</v>
      </c>
      <c r="H2624">
        <v>9.75</v>
      </c>
      <c r="I2624">
        <v>5.9</v>
      </c>
      <c r="J2624">
        <v>8.1999999999999993</v>
      </c>
      <c r="K2624">
        <v>79</v>
      </c>
      <c r="L2624">
        <v>4</v>
      </c>
      <c r="M2624">
        <v>8.4</v>
      </c>
      <c r="N2624">
        <v>215</v>
      </c>
      <c r="O2624">
        <v>8.6</v>
      </c>
      <c r="P2624">
        <v>0</v>
      </c>
      <c r="Q2624">
        <v>0</v>
      </c>
      <c r="R2624">
        <v>0</v>
      </c>
      <c r="S2624">
        <v>0</v>
      </c>
      <c r="T2624">
        <v>0.22</v>
      </c>
      <c r="U2624">
        <v>-7.1099999999999997E-2</v>
      </c>
      <c r="V2624">
        <v>5.0000000000000001E-4</v>
      </c>
      <c r="W2624">
        <v>-1.6496999999999999</v>
      </c>
      <c r="X2624">
        <v>1.7369000000000001</v>
      </c>
      <c r="Y2624">
        <v>-0.1507</v>
      </c>
      <c r="Z2624">
        <v>25</v>
      </c>
      <c r="AA2624">
        <v>8.1999999999999993</v>
      </c>
      <c r="AB2624">
        <v>58</v>
      </c>
      <c r="AC2624">
        <v>8.5</v>
      </c>
      <c r="AD2624">
        <v>0</v>
      </c>
      <c r="AE2624">
        <v>0</v>
      </c>
      <c r="AF2624">
        <v>6.8394000000000004</v>
      </c>
      <c r="AG2624">
        <v>1798</v>
      </c>
      <c r="AH2624">
        <v>0</v>
      </c>
    </row>
    <row r="2625" spans="1:34" x14ac:dyDescent="0.35">
      <c r="A2625" t="s">
        <v>37</v>
      </c>
      <c r="B2625" s="1">
        <v>46146.65625</v>
      </c>
      <c r="C2625" t="s">
        <v>37</v>
      </c>
      <c r="D2625" s="1">
        <v>46157.354166666664</v>
      </c>
      <c r="E2625">
        <v>6825</v>
      </c>
      <c r="F2625" t="s">
        <v>36</v>
      </c>
      <c r="G2625">
        <v>6.71</v>
      </c>
      <c r="H2625">
        <v>6.71</v>
      </c>
      <c r="I2625">
        <v>5.87</v>
      </c>
      <c r="J2625">
        <v>5.87</v>
      </c>
      <c r="K2625">
        <v>644</v>
      </c>
      <c r="L2625">
        <v>505</v>
      </c>
      <c r="M2625">
        <v>8.5</v>
      </c>
      <c r="N2625">
        <v>202</v>
      </c>
      <c r="O2625">
        <v>8.8000000000000007</v>
      </c>
      <c r="P2625">
        <v>0</v>
      </c>
      <c r="Q2625">
        <v>0</v>
      </c>
      <c r="R2625">
        <v>0</v>
      </c>
      <c r="S2625">
        <v>0</v>
      </c>
      <c r="T2625">
        <v>0.21870000000000001</v>
      </c>
      <c r="U2625">
        <v>-7.2499999999999995E-2</v>
      </c>
      <c r="V2625">
        <v>5.0000000000000001E-4</v>
      </c>
      <c r="W2625">
        <v>-1.6665000000000001</v>
      </c>
      <c r="X2625">
        <v>1.7628999999999999</v>
      </c>
      <c r="Y2625">
        <v>-0.15379999999999999</v>
      </c>
      <c r="Z2625">
        <v>47</v>
      </c>
      <c r="AA2625">
        <v>8.4</v>
      </c>
      <c r="AB2625">
        <v>52</v>
      </c>
      <c r="AC2625">
        <v>8.6999999999999993</v>
      </c>
      <c r="AD2625">
        <v>0</v>
      </c>
      <c r="AE2625">
        <v>0</v>
      </c>
      <c r="AF2625">
        <v>6.5932000000000004</v>
      </c>
      <c r="AG2625">
        <v>6146</v>
      </c>
      <c r="AH2625">
        <v>0</v>
      </c>
    </row>
    <row r="2626" spans="1:34" x14ac:dyDescent="0.35">
      <c r="A2626" t="s">
        <v>37</v>
      </c>
      <c r="B2626" s="1">
        <v>46146.65625</v>
      </c>
      <c r="C2626" t="s">
        <v>37</v>
      </c>
      <c r="D2626" s="1">
        <v>46157.354166666664</v>
      </c>
      <c r="E2626">
        <v>6830</v>
      </c>
      <c r="F2626" t="s">
        <v>36</v>
      </c>
      <c r="G2626">
        <v>6.9</v>
      </c>
      <c r="H2626">
        <v>13.49</v>
      </c>
      <c r="I2626">
        <v>6.9</v>
      </c>
      <c r="J2626">
        <v>8.9499999999999993</v>
      </c>
      <c r="K2626">
        <v>9</v>
      </c>
      <c r="L2626">
        <v>411</v>
      </c>
      <c r="M2626">
        <v>8.6999999999999993</v>
      </c>
      <c r="N2626">
        <v>202</v>
      </c>
      <c r="O2626">
        <v>9</v>
      </c>
      <c r="P2626">
        <v>0</v>
      </c>
      <c r="Q2626">
        <v>0</v>
      </c>
      <c r="R2626">
        <v>0</v>
      </c>
      <c r="S2626">
        <v>0</v>
      </c>
      <c r="T2626">
        <v>0.21740000000000001</v>
      </c>
      <c r="U2626">
        <v>-7.4300000000000005E-2</v>
      </c>
      <c r="V2626">
        <v>5.0000000000000001E-4</v>
      </c>
      <c r="W2626">
        <v>-1.6893</v>
      </c>
      <c r="X2626">
        <v>1.7951999999999999</v>
      </c>
      <c r="Y2626">
        <v>-0.15759999999999999</v>
      </c>
      <c r="Z2626">
        <v>66</v>
      </c>
      <c r="AA2626">
        <v>8.6</v>
      </c>
      <c r="AB2626">
        <v>319</v>
      </c>
      <c r="AC2626">
        <v>9</v>
      </c>
      <c r="AD2626">
        <v>0</v>
      </c>
      <c r="AE2626">
        <v>0</v>
      </c>
      <c r="AF2626">
        <v>9.1199999999999992</v>
      </c>
      <c r="AG2626">
        <v>263</v>
      </c>
      <c r="AH2626">
        <v>0</v>
      </c>
    </row>
    <row r="2627" spans="1:34" x14ac:dyDescent="0.35">
      <c r="A2627" t="s">
        <v>37</v>
      </c>
      <c r="B2627" s="1">
        <v>46146.65625</v>
      </c>
      <c r="C2627" t="s">
        <v>37</v>
      </c>
      <c r="D2627" s="1">
        <v>46157.354166666664</v>
      </c>
      <c r="E2627">
        <v>6835</v>
      </c>
      <c r="F2627" t="s">
        <v>36</v>
      </c>
      <c r="G2627">
        <v>6.25</v>
      </c>
      <c r="H2627">
        <v>10</v>
      </c>
      <c r="I2627">
        <v>6.2</v>
      </c>
      <c r="J2627">
        <v>10</v>
      </c>
      <c r="K2627">
        <v>43</v>
      </c>
      <c r="L2627">
        <v>162</v>
      </c>
      <c r="M2627">
        <v>9</v>
      </c>
      <c r="N2627">
        <v>101</v>
      </c>
      <c r="O2627">
        <v>9.1999999999999993</v>
      </c>
      <c r="P2627">
        <v>0</v>
      </c>
      <c r="Q2627">
        <v>0</v>
      </c>
      <c r="R2627">
        <v>0</v>
      </c>
      <c r="S2627">
        <v>0</v>
      </c>
      <c r="T2627">
        <v>0.2167</v>
      </c>
      <c r="U2627">
        <v>-7.6200000000000004E-2</v>
      </c>
      <c r="V2627">
        <v>5.0000000000000001E-4</v>
      </c>
      <c r="W2627">
        <v>-1.7196</v>
      </c>
      <c r="X2627">
        <v>1.8301000000000001</v>
      </c>
      <c r="Y2627">
        <v>-0.1618</v>
      </c>
      <c r="Z2627">
        <v>65</v>
      </c>
      <c r="AA2627">
        <v>8.8000000000000007</v>
      </c>
      <c r="AB2627">
        <v>101</v>
      </c>
      <c r="AC2627">
        <v>9.1999999999999993</v>
      </c>
      <c r="AD2627">
        <v>0</v>
      </c>
      <c r="AE2627">
        <v>0</v>
      </c>
      <c r="AF2627">
        <v>9.1778999999999993</v>
      </c>
      <c r="AG2627">
        <v>292</v>
      </c>
      <c r="AH2627">
        <v>0</v>
      </c>
    </row>
    <row r="2628" spans="1:34" x14ac:dyDescent="0.35">
      <c r="A2628" t="s">
        <v>37</v>
      </c>
      <c r="B2628" s="1">
        <v>46146.65625</v>
      </c>
      <c r="C2628" t="s">
        <v>37</v>
      </c>
      <c r="D2628" s="1">
        <v>46157.354166666664</v>
      </c>
      <c r="E2628">
        <v>6840</v>
      </c>
      <c r="F2628" t="s">
        <v>36</v>
      </c>
      <c r="G2628">
        <v>13.48</v>
      </c>
      <c r="H2628">
        <v>13.48</v>
      </c>
      <c r="I2628">
        <v>8.9</v>
      </c>
      <c r="J2628">
        <v>9.0500000000000007</v>
      </c>
      <c r="K2628">
        <v>217</v>
      </c>
      <c r="L2628">
        <v>211</v>
      </c>
      <c r="M2628">
        <v>9.1999999999999993</v>
      </c>
      <c r="N2628">
        <v>202</v>
      </c>
      <c r="O2628">
        <v>9.5</v>
      </c>
      <c r="P2628">
        <v>0</v>
      </c>
      <c r="Q2628">
        <v>0</v>
      </c>
      <c r="R2628">
        <v>0</v>
      </c>
      <c r="S2628">
        <v>0</v>
      </c>
      <c r="T2628">
        <v>0.21590000000000001</v>
      </c>
      <c r="U2628">
        <v>-7.8200000000000006E-2</v>
      </c>
      <c r="V2628">
        <v>5.9999999999999995E-4</v>
      </c>
      <c r="W2628">
        <v>-1.7488999999999999</v>
      </c>
      <c r="X2628">
        <v>1.8655999999999999</v>
      </c>
      <c r="Y2628">
        <v>-0.16619999999999999</v>
      </c>
      <c r="Z2628">
        <v>249</v>
      </c>
      <c r="AA2628">
        <v>9</v>
      </c>
      <c r="AB2628">
        <v>323</v>
      </c>
      <c r="AC2628">
        <v>9.5</v>
      </c>
      <c r="AD2628">
        <v>0</v>
      </c>
      <c r="AE2628">
        <v>0</v>
      </c>
      <c r="AF2628">
        <v>9.4985999999999997</v>
      </c>
      <c r="AG2628">
        <v>772</v>
      </c>
      <c r="AH2628">
        <v>0</v>
      </c>
    </row>
    <row r="2629" spans="1:34" x14ac:dyDescent="0.35">
      <c r="A2629" t="s">
        <v>37</v>
      </c>
      <c r="B2629" s="1">
        <v>46146.65625</v>
      </c>
      <c r="C2629" t="s">
        <v>37</v>
      </c>
      <c r="D2629" s="1">
        <v>46157.354166666664</v>
      </c>
      <c r="E2629">
        <v>6845</v>
      </c>
      <c r="F2629" t="s">
        <v>36</v>
      </c>
      <c r="G2629">
        <v>6.65</v>
      </c>
      <c r="H2629">
        <v>9.6999999999999993</v>
      </c>
      <c r="I2629">
        <v>6.65</v>
      </c>
      <c r="J2629">
        <v>9.6999999999999993</v>
      </c>
      <c r="K2629">
        <v>16</v>
      </c>
      <c r="L2629">
        <v>293</v>
      </c>
      <c r="M2629">
        <v>9.4</v>
      </c>
      <c r="N2629">
        <v>186</v>
      </c>
      <c r="O2629">
        <v>9.6999999999999993</v>
      </c>
      <c r="P2629">
        <v>0</v>
      </c>
      <c r="Q2629">
        <v>0</v>
      </c>
      <c r="R2629">
        <v>0</v>
      </c>
      <c r="S2629">
        <v>0</v>
      </c>
      <c r="T2629">
        <v>0.2145</v>
      </c>
      <c r="U2629">
        <v>-0.08</v>
      </c>
      <c r="V2629">
        <v>5.9999999999999995E-4</v>
      </c>
      <c r="W2629">
        <v>-1.7702</v>
      </c>
      <c r="X2629">
        <v>1.8971</v>
      </c>
      <c r="Y2629">
        <v>-0.17</v>
      </c>
      <c r="Z2629">
        <v>199</v>
      </c>
      <c r="AA2629">
        <v>9.1999999999999993</v>
      </c>
      <c r="AB2629">
        <v>261</v>
      </c>
      <c r="AC2629">
        <v>9.6999999999999993</v>
      </c>
      <c r="AD2629">
        <v>0</v>
      </c>
      <c r="AE2629">
        <v>0</v>
      </c>
      <c r="AF2629">
        <v>9.5093999999999994</v>
      </c>
      <c r="AG2629">
        <v>930</v>
      </c>
      <c r="AH2629">
        <v>0</v>
      </c>
    </row>
    <row r="2630" spans="1:34" x14ac:dyDescent="0.35">
      <c r="A2630" t="s">
        <v>37</v>
      </c>
      <c r="B2630" s="1">
        <v>46146.65625</v>
      </c>
      <c r="C2630" t="s">
        <v>37</v>
      </c>
      <c r="D2630" s="1">
        <v>46157.354166666664</v>
      </c>
      <c r="E2630">
        <v>6850</v>
      </c>
      <c r="F2630" t="s">
        <v>36</v>
      </c>
      <c r="G2630">
        <v>7.66</v>
      </c>
      <c r="H2630">
        <v>16.45</v>
      </c>
      <c r="I2630">
        <v>6.54</v>
      </c>
      <c r="J2630">
        <v>9.9600000000000009</v>
      </c>
      <c r="K2630">
        <v>789</v>
      </c>
      <c r="L2630">
        <v>210</v>
      </c>
      <c r="M2630">
        <v>9.6999999999999993</v>
      </c>
      <c r="N2630">
        <v>320</v>
      </c>
      <c r="O2630">
        <v>10</v>
      </c>
      <c r="P2630">
        <v>0</v>
      </c>
      <c r="Q2630">
        <v>0</v>
      </c>
      <c r="R2630">
        <v>0</v>
      </c>
      <c r="S2630">
        <v>0</v>
      </c>
      <c r="T2630">
        <v>0.21390000000000001</v>
      </c>
      <c r="U2630">
        <v>-8.2299999999999998E-2</v>
      </c>
      <c r="V2630">
        <v>5.9999999999999995E-4</v>
      </c>
      <c r="W2630">
        <v>-1.8053999999999999</v>
      </c>
      <c r="X2630">
        <v>1.9359999999999999</v>
      </c>
      <c r="Y2630">
        <v>-0.1749</v>
      </c>
      <c r="Z2630">
        <v>251</v>
      </c>
      <c r="AA2630">
        <v>9.5</v>
      </c>
      <c r="AB2630">
        <v>32</v>
      </c>
      <c r="AC2630">
        <v>9.9</v>
      </c>
      <c r="AD2630">
        <v>0</v>
      </c>
      <c r="AE2630">
        <v>0</v>
      </c>
      <c r="AF2630">
        <v>7.7907000000000002</v>
      </c>
      <c r="AG2630">
        <v>9678</v>
      </c>
      <c r="AH2630">
        <v>0</v>
      </c>
    </row>
    <row r="2631" spans="1:34" x14ac:dyDescent="0.35">
      <c r="A2631" t="s">
        <v>37</v>
      </c>
      <c r="B2631" s="1">
        <v>46146.65625</v>
      </c>
      <c r="C2631" t="s">
        <v>37</v>
      </c>
      <c r="D2631" s="1">
        <v>46157.354166666664</v>
      </c>
      <c r="E2631">
        <v>6855</v>
      </c>
      <c r="F2631" t="s">
        <v>36</v>
      </c>
      <c r="G2631">
        <v>13.9</v>
      </c>
      <c r="H2631">
        <v>13.9</v>
      </c>
      <c r="I2631">
        <v>13.9</v>
      </c>
      <c r="J2631">
        <v>13.9</v>
      </c>
      <c r="K2631">
        <v>11</v>
      </c>
      <c r="L2631">
        <v>357</v>
      </c>
      <c r="M2631">
        <v>9.9</v>
      </c>
      <c r="N2631">
        <v>63</v>
      </c>
      <c r="O2631">
        <v>10.199999999999999</v>
      </c>
      <c r="P2631">
        <v>0</v>
      </c>
      <c r="Q2631">
        <v>0</v>
      </c>
      <c r="R2631">
        <v>0</v>
      </c>
      <c r="S2631">
        <v>0</v>
      </c>
      <c r="T2631">
        <v>0.21260000000000001</v>
      </c>
      <c r="U2631">
        <v>-8.4099999999999994E-2</v>
      </c>
      <c r="V2631">
        <v>5.9999999999999995E-4</v>
      </c>
      <c r="W2631">
        <v>-1.8255999999999999</v>
      </c>
      <c r="X2631">
        <v>1.9676</v>
      </c>
      <c r="Y2631">
        <v>-0.17879999999999999</v>
      </c>
      <c r="Z2631">
        <v>202</v>
      </c>
      <c r="AA2631">
        <v>9.6999999999999993</v>
      </c>
      <c r="AB2631">
        <v>193</v>
      </c>
      <c r="AC2631">
        <v>10.199999999999999</v>
      </c>
      <c r="AD2631">
        <v>0</v>
      </c>
      <c r="AE2631">
        <v>0</v>
      </c>
      <c r="AF2631">
        <v>13.9</v>
      </c>
      <c r="AG2631">
        <v>339</v>
      </c>
      <c r="AH2631">
        <v>0</v>
      </c>
    </row>
    <row r="2632" spans="1:34" x14ac:dyDescent="0.35">
      <c r="A2632" t="s">
        <v>37</v>
      </c>
      <c r="B2632" s="1">
        <v>46146.65625</v>
      </c>
      <c r="C2632" t="s">
        <v>37</v>
      </c>
      <c r="D2632" s="1">
        <v>46157.354166666664</v>
      </c>
      <c r="E2632">
        <v>6860</v>
      </c>
      <c r="F2632" t="s">
        <v>36</v>
      </c>
      <c r="G2632">
        <v>8.06</v>
      </c>
      <c r="H2632">
        <v>11.75</v>
      </c>
      <c r="I2632">
        <v>6.77</v>
      </c>
      <c r="J2632">
        <v>10.9</v>
      </c>
      <c r="K2632">
        <v>38</v>
      </c>
      <c r="L2632">
        <v>313</v>
      </c>
      <c r="M2632">
        <v>10.199999999999999</v>
      </c>
      <c r="N2632">
        <v>187</v>
      </c>
      <c r="O2632">
        <v>10.5</v>
      </c>
      <c r="P2632">
        <v>0</v>
      </c>
      <c r="Q2632">
        <v>0</v>
      </c>
      <c r="R2632">
        <v>0</v>
      </c>
      <c r="S2632">
        <v>0</v>
      </c>
      <c r="T2632">
        <v>0.21190000000000001</v>
      </c>
      <c r="U2632">
        <v>-8.6499999999999994E-2</v>
      </c>
      <c r="V2632">
        <v>5.9999999999999995E-4</v>
      </c>
      <c r="W2632">
        <v>-1.8593</v>
      </c>
      <c r="X2632">
        <v>2.0065</v>
      </c>
      <c r="Y2632">
        <v>-0.1837</v>
      </c>
      <c r="Z2632">
        <v>255</v>
      </c>
      <c r="AA2632">
        <v>10</v>
      </c>
      <c r="AB2632">
        <v>314</v>
      </c>
      <c r="AC2632">
        <v>10.5</v>
      </c>
      <c r="AD2632">
        <v>0</v>
      </c>
      <c r="AE2632">
        <v>0</v>
      </c>
      <c r="AF2632">
        <v>8.8063000000000002</v>
      </c>
      <c r="AG2632">
        <v>778</v>
      </c>
      <c r="AH2632">
        <v>0</v>
      </c>
    </row>
    <row r="2633" spans="1:34" x14ac:dyDescent="0.35">
      <c r="A2633" t="s">
        <v>37</v>
      </c>
      <c r="B2633" s="1">
        <v>46146.65625</v>
      </c>
      <c r="C2633" t="s">
        <v>37</v>
      </c>
      <c r="D2633" s="1">
        <v>46157.354166666664</v>
      </c>
      <c r="E2633">
        <v>6865</v>
      </c>
      <c r="F2633" t="s">
        <v>36</v>
      </c>
      <c r="G2633">
        <v>7.35</v>
      </c>
      <c r="H2633">
        <v>11.05</v>
      </c>
      <c r="I2633">
        <v>7.35</v>
      </c>
      <c r="J2633">
        <v>10.5</v>
      </c>
      <c r="K2633">
        <v>20</v>
      </c>
      <c r="L2633">
        <v>171</v>
      </c>
      <c r="M2633">
        <v>10.5</v>
      </c>
      <c r="N2633">
        <v>301</v>
      </c>
      <c r="O2633">
        <v>10.8</v>
      </c>
      <c r="P2633">
        <v>0</v>
      </c>
      <c r="Q2633">
        <v>0</v>
      </c>
      <c r="R2633">
        <v>0</v>
      </c>
      <c r="S2633">
        <v>0</v>
      </c>
      <c r="T2633">
        <v>0.21099999999999999</v>
      </c>
      <c r="U2633">
        <v>-8.8900000000000007E-2</v>
      </c>
      <c r="V2633">
        <v>5.9999999999999995E-4</v>
      </c>
      <c r="W2633">
        <v>-1.8915999999999999</v>
      </c>
      <c r="X2633">
        <v>2.0466000000000002</v>
      </c>
      <c r="Y2633">
        <v>-0.18870000000000001</v>
      </c>
      <c r="Z2633">
        <v>92</v>
      </c>
      <c r="AA2633">
        <v>10.3</v>
      </c>
      <c r="AB2633">
        <v>53</v>
      </c>
      <c r="AC2633">
        <v>10.7</v>
      </c>
      <c r="AD2633">
        <v>0</v>
      </c>
      <c r="AE2633">
        <v>0</v>
      </c>
      <c r="AF2633">
        <v>10.2225</v>
      </c>
      <c r="AG2633">
        <v>272</v>
      </c>
      <c r="AH2633">
        <v>0</v>
      </c>
    </row>
    <row r="2634" spans="1:34" x14ac:dyDescent="0.35">
      <c r="A2634" t="s">
        <v>37</v>
      </c>
      <c r="B2634" s="1">
        <v>46146.65625</v>
      </c>
      <c r="C2634" t="s">
        <v>37</v>
      </c>
      <c r="D2634" s="1">
        <v>46157.354166666664</v>
      </c>
      <c r="E2634">
        <v>6870</v>
      </c>
      <c r="F2634" t="s">
        <v>36</v>
      </c>
      <c r="G2634">
        <v>9.0500000000000007</v>
      </c>
      <c r="H2634">
        <v>12.62</v>
      </c>
      <c r="I2634">
        <v>9.0500000000000007</v>
      </c>
      <c r="J2634">
        <v>12.62</v>
      </c>
      <c r="K2634">
        <v>3</v>
      </c>
      <c r="L2634">
        <v>349</v>
      </c>
      <c r="M2634">
        <v>10.7</v>
      </c>
      <c r="N2634">
        <v>230</v>
      </c>
      <c r="O2634">
        <v>11.1</v>
      </c>
      <c r="P2634">
        <v>0</v>
      </c>
      <c r="Q2634">
        <v>0</v>
      </c>
      <c r="R2634">
        <v>0</v>
      </c>
      <c r="S2634">
        <v>0</v>
      </c>
      <c r="T2634">
        <v>0.20960000000000001</v>
      </c>
      <c r="U2634">
        <v>-9.0700000000000003E-2</v>
      </c>
      <c r="V2634">
        <v>5.9999999999999995E-4</v>
      </c>
      <c r="W2634">
        <v>-1.9104000000000001</v>
      </c>
      <c r="X2634">
        <v>2.0781999999999998</v>
      </c>
      <c r="Y2634">
        <v>-0.19270000000000001</v>
      </c>
      <c r="Z2634">
        <v>23</v>
      </c>
      <c r="AA2634">
        <v>10.6</v>
      </c>
      <c r="AB2634">
        <v>58</v>
      </c>
      <c r="AC2634">
        <v>11</v>
      </c>
      <c r="AD2634">
        <v>0</v>
      </c>
      <c r="AE2634">
        <v>0</v>
      </c>
      <c r="AF2634">
        <v>10.24</v>
      </c>
      <c r="AG2634">
        <v>556</v>
      </c>
      <c r="AH2634">
        <v>0</v>
      </c>
    </row>
    <row r="2635" spans="1:34" x14ac:dyDescent="0.35">
      <c r="A2635" t="s">
        <v>37</v>
      </c>
      <c r="B2635" s="1">
        <v>46146.65625</v>
      </c>
      <c r="C2635" t="s">
        <v>37</v>
      </c>
      <c r="D2635" s="1">
        <v>46157.354166666664</v>
      </c>
      <c r="E2635">
        <v>6875</v>
      </c>
      <c r="F2635" t="s">
        <v>36</v>
      </c>
      <c r="G2635">
        <v>7.42</v>
      </c>
      <c r="H2635">
        <v>14.77</v>
      </c>
      <c r="I2635">
        <v>7.42</v>
      </c>
      <c r="J2635">
        <v>11.85</v>
      </c>
      <c r="K2635">
        <v>73</v>
      </c>
      <c r="L2635">
        <v>412</v>
      </c>
      <c r="M2635">
        <v>11</v>
      </c>
      <c r="N2635">
        <v>21</v>
      </c>
      <c r="O2635">
        <v>11.3</v>
      </c>
      <c r="P2635">
        <v>0</v>
      </c>
      <c r="Q2635">
        <v>0</v>
      </c>
      <c r="R2635">
        <v>0</v>
      </c>
      <c r="S2635">
        <v>0</v>
      </c>
      <c r="T2635">
        <v>0.2087</v>
      </c>
      <c r="U2635">
        <v>-9.3100000000000002E-2</v>
      </c>
      <c r="V2635">
        <v>5.9999999999999995E-4</v>
      </c>
      <c r="W2635">
        <v>-1.9416</v>
      </c>
      <c r="X2635">
        <v>2.1179999999999999</v>
      </c>
      <c r="Y2635">
        <v>-0.1978</v>
      </c>
      <c r="Z2635">
        <v>42</v>
      </c>
      <c r="AA2635">
        <v>10.9</v>
      </c>
      <c r="AB2635">
        <v>205</v>
      </c>
      <c r="AC2635">
        <v>11.3</v>
      </c>
      <c r="AD2635">
        <v>0</v>
      </c>
      <c r="AE2635">
        <v>0</v>
      </c>
      <c r="AF2635">
        <v>8.8300999999999998</v>
      </c>
      <c r="AG2635">
        <v>2036</v>
      </c>
      <c r="AH2635">
        <v>0</v>
      </c>
    </row>
    <row r="2636" spans="1:34" x14ac:dyDescent="0.35">
      <c r="A2636" t="s">
        <v>37</v>
      </c>
      <c r="B2636" s="1">
        <v>46146.65625</v>
      </c>
      <c r="C2636" t="s">
        <v>37</v>
      </c>
      <c r="D2636" s="1">
        <v>46157.354166666664</v>
      </c>
      <c r="E2636">
        <v>6880</v>
      </c>
      <c r="F2636" t="s">
        <v>36</v>
      </c>
      <c r="G2636">
        <v>9.6</v>
      </c>
      <c r="H2636">
        <v>10</v>
      </c>
      <c r="I2636">
        <v>7.95</v>
      </c>
      <c r="J2636">
        <v>10</v>
      </c>
      <c r="K2636">
        <v>6</v>
      </c>
      <c r="L2636">
        <v>351</v>
      </c>
      <c r="M2636">
        <v>11.3</v>
      </c>
      <c r="N2636">
        <v>181</v>
      </c>
      <c r="O2636">
        <v>11.7</v>
      </c>
      <c r="P2636">
        <v>0</v>
      </c>
      <c r="Q2636">
        <v>0</v>
      </c>
      <c r="R2636">
        <v>0</v>
      </c>
      <c r="S2636">
        <v>0</v>
      </c>
      <c r="T2636">
        <v>0.2077</v>
      </c>
      <c r="U2636">
        <v>-9.5600000000000004E-2</v>
      </c>
      <c r="V2636">
        <v>6.9999999999999999E-4</v>
      </c>
      <c r="W2636">
        <v>-1.9719</v>
      </c>
      <c r="X2636">
        <v>2.1579999999999999</v>
      </c>
      <c r="Y2636">
        <v>-0.20300000000000001</v>
      </c>
      <c r="Z2636">
        <v>22</v>
      </c>
      <c r="AA2636">
        <v>11.2</v>
      </c>
      <c r="AB2636">
        <v>58</v>
      </c>
      <c r="AC2636">
        <v>11.6</v>
      </c>
      <c r="AD2636">
        <v>0</v>
      </c>
      <c r="AE2636">
        <v>0</v>
      </c>
      <c r="AF2636">
        <v>9.5083000000000002</v>
      </c>
      <c r="AG2636">
        <v>610</v>
      </c>
      <c r="AH2636">
        <v>0</v>
      </c>
    </row>
    <row r="2637" spans="1:34" x14ac:dyDescent="0.35">
      <c r="A2637" t="s">
        <v>37</v>
      </c>
      <c r="B2637" s="1">
        <v>46146.65625</v>
      </c>
      <c r="C2637" t="s">
        <v>37</v>
      </c>
      <c r="D2637" s="1">
        <v>46157.354166666664</v>
      </c>
      <c r="E2637">
        <v>6885</v>
      </c>
      <c r="F2637" t="s">
        <v>36</v>
      </c>
      <c r="G2637">
        <v>7.63</v>
      </c>
      <c r="H2637">
        <v>7.63</v>
      </c>
      <c r="I2637">
        <v>7.63</v>
      </c>
      <c r="J2637">
        <v>7.63</v>
      </c>
      <c r="K2637">
        <v>1</v>
      </c>
      <c r="L2637">
        <v>510</v>
      </c>
      <c r="M2637">
        <v>11.6</v>
      </c>
      <c r="N2637">
        <v>182</v>
      </c>
      <c r="O2637">
        <v>12</v>
      </c>
      <c r="P2637">
        <v>0</v>
      </c>
      <c r="Q2637">
        <v>0</v>
      </c>
      <c r="R2637">
        <v>0</v>
      </c>
      <c r="S2637">
        <v>0</v>
      </c>
      <c r="T2637">
        <v>0.20669999999999999</v>
      </c>
      <c r="U2637">
        <v>-9.8000000000000004E-2</v>
      </c>
      <c r="V2637">
        <v>6.9999999999999999E-4</v>
      </c>
      <c r="W2637">
        <v>-2.0013999999999998</v>
      </c>
      <c r="X2637">
        <v>2.1979000000000002</v>
      </c>
      <c r="Y2637">
        <v>-0.20830000000000001</v>
      </c>
      <c r="Z2637">
        <v>202</v>
      </c>
      <c r="AA2637">
        <v>11.4</v>
      </c>
      <c r="AB2637">
        <v>72</v>
      </c>
      <c r="AC2637">
        <v>12</v>
      </c>
      <c r="AD2637">
        <v>0</v>
      </c>
      <c r="AE2637">
        <v>0</v>
      </c>
      <c r="AF2637">
        <v>7.63</v>
      </c>
      <c r="AG2637">
        <v>252</v>
      </c>
      <c r="AH2637">
        <v>0</v>
      </c>
    </row>
    <row r="2638" spans="1:34" x14ac:dyDescent="0.35">
      <c r="A2638" t="s">
        <v>37</v>
      </c>
      <c r="B2638" s="1">
        <v>46146.65625</v>
      </c>
      <c r="C2638" t="s">
        <v>37</v>
      </c>
      <c r="D2638" s="1">
        <v>46157.354166666664</v>
      </c>
      <c r="E2638">
        <v>6890</v>
      </c>
      <c r="F2638" t="s">
        <v>36</v>
      </c>
      <c r="G2638">
        <v>13.3</v>
      </c>
      <c r="H2638">
        <v>13.3</v>
      </c>
      <c r="I2638">
        <v>12.8</v>
      </c>
      <c r="J2638">
        <v>12.8</v>
      </c>
      <c r="K2638">
        <v>21</v>
      </c>
      <c r="L2638">
        <v>388</v>
      </c>
      <c r="M2638">
        <v>11.9</v>
      </c>
      <c r="N2638">
        <v>411</v>
      </c>
      <c r="O2638">
        <v>12.3</v>
      </c>
      <c r="P2638">
        <v>0</v>
      </c>
      <c r="Q2638">
        <v>0</v>
      </c>
      <c r="R2638">
        <v>0</v>
      </c>
      <c r="S2638">
        <v>0</v>
      </c>
      <c r="T2638">
        <v>0.20619999999999999</v>
      </c>
      <c r="U2638">
        <v>-0.10100000000000001</v>
      </c>
      <c r="V2638">
        <v>6.9999999999999999E-4</v>
      </c>
      <c r="W2638">
        <v>-2.0425</v>
      </c>
      <c r="X2638">
        <v>2.2452000000000001</v>
      </c>
      <c r="Y2638">
        <v>-0.21479999999999999</v>
      </c>
      <c r="Z2638">
        <v>397</v>
      </c>
      <c r="AA2638">
        <v>11.7</v>
      </c>
      <c r="AB2638">
        <v>181</v>
      </c>
      <c r="AC2638">
        <v>12.3</v>
      </c>
      <c r="AD2638">
        <v>0</v>
      </c>
      <c r="AE2638">
        <v>0</v>
      </c>
      <c r="AF2638">
        <v>13.276199999999999</v>
      </c>
      <c r="AG2638">
        <v>541</v>
      </c>
      <c r="AH2638">
        <v>0</v>
      </c>
    </row>
    <row r="2639" spans="1:34" x14ac:dyDescent="0.35">
      <c r="A2639" t="s">
        <v>37</v>
      </c>
      <c r="B2639" s="1">
        <v>46146.65625</v>
      </c>
      <c r="C2639" t="s">
        <v>37</v>
      </c>
      <c r="D2639" s="1">
        <v>46157.354166666664</v>
      </c>
      <c r="E2639">
        <v>6895</v>
      </c>
      <c r="F2639" t="s">
        <v>36</v>
      </c>
      <c r="G2639">
        <v>9.94</v>
      </c>
      <c r="H2639">
        <v>12.85</v>
      </c>
      <c r="I2639">
        <v>9.4</v>
      </c>
      <c r="J2639">
        <v>12.85</v>
      </c>
      <c r="K2639">
        <v>22</v>
      </c>
      <c r="L2639">
        <v>310</v>
      </c>
      <c r="M2639">
        <v>12.3</v>
      </c>
      <c r="N2639">
        <v>235</v>
      </c>
      <c r="O2639">
        <v>12.6</v>
      </c>
      <c r="P2639">
        <v>0</v>
      </c>
      <c r="Q2639">
        <v>0</v>
      </c>
      <c r="R2639">
        <v>0</v>
      </c>
      <c r="S2639">
        <v>0</v>
      </c>
      <c r="T2639">
        <v>0.2051</v>
      </c>
      <c r="U2639">
        <v>-0.10340000000000001</v>
      </c>
      <c r="V2639">
        <v>6.9999999999999999E-4</v>
      </c>
      <c r="W2639">
        <v>-2.0701999999999998</v>
      </c>
      <c r="X2639">
        <v>2.2846000000000002</v>
      </c>
      <c r="Y2639">
        <v>-0.22020000000000001</v>
      </c>
      <c r="Z2639">
        <v>157</v>
      </c>
      <c r="AA2639">
        <v>12.1</v>
      </c>
      <c r="AB2639">
        <v>254</v>
      </c>
      <c r="AC2639">
        <v>12.6</v>
      </c>
      <c r="AD2639">
        <v>0</v>
      </c>
      <c r="AE2639">
        <v>0</v>
      </c>
      <c r="AF2639">
        <v>9.5814000000000004</v>
      </c>
      <c r="AG2639">
        <v>1143</v>
      </c>
      <c r="AH2639">
        <v>0</v>
      </c>
    </row>
    <row r="2640" spans="1:34" x14ac:dyDescent="0.35">
      <c r="A2640" t="s">
        <v>37</v>
      </c>
      <c r="B2640" s="1">
        <v>46146.65625</v>
      </c>
      <c r="C2640" t="s">
        <v>37</v>
      </c>
      <c r="D2640" s="1">
        <v>46157.354166666664</v>
      </c>
      <c r="E2640">
        <v>6900</v>
      </c>
      <c r="F2640" t="s">
        <v>36</v>
      </c>
      <c r="G2640">
        <v>10</v>
      </c>
      <c r="H2640">
        <v>20.45</v>
      </c>
      <c r="I2640">
        <v>8.24</v>
      </c>
      <c r="J2640">
        <v>12.9</v>
      </c>
      <c r="K2640">
        <v>2185</v>
      </c>
      <c r="L2640">
        <v>129</v>
      </c>
      <c r="M2640">
        <v>12.7</v>
      </c>
      <c r="N2640">
        <v>43</v>
      </c>
      <c r="O2640">
        <v>12.9</v>
      </c>
      <c r="P2640">
        <v>0</v>
      </c>
      <c r="Q2640">
        <v>0</v>
      </c>
      <c r="R2640">
        <v>0</v>
      </c>
      <c r="S2640">
        <v>0</v>
      </c>
      <c r="T2640">
        <v>0.2039</v>
      </c>
      <c r="U2640">
        <v>-0.106</v>
      </c>
      <c r="V2640">
        <v>6.9999999999999999E-4</v>
      </c>
      <c r="W2640">
        <v>-2.0972</v>
      </c>
      <c r="X2640">
        <v>2.3237999999999999</v>
      </c>
      <c r="Y2640">
        <v>-0.22570000000000001</v>
      </c>
      <c r="Z2640">
        <v>297</v>
      </c>
      <c r="AA2640">
        <v>12.4</v>
      </c>
      <c r="AB2640">
        <v>151</v>
      </c>
      <c r="AC2640">
        <v>12.9</v>
      </c>
      <c r="AD2640">
        <v>0</v>
      </c>
      <c r="AE2640">
        <v>0</v>
      </c>
      <c r="AF2640">
        <v>13.8726</v>
      </c>
      <c r="AG2640">
        <v>26512</v>
      </c>
      <c r="AH2640">
        <v>0</v>
      </c>
    </row>
    <row r="2641" spans="1:34" x14ac:dyDescent="0.35">
      <c r="A2641" t="s">
        <v>37</v>
      </c>
      <c r="B2641" s="1">
        <v>46146.65625</v>
      </c>
      <c r="C2641" t="s">
        <v>37</v>
      </c>
      <c r="D2641" s="1">
        <v>46157.354166666664</v>
      </c>
      <c r="E2641">
        <v>6905</v>
      </c>
      <c r="F2641" t="s">
        <v>36</v>
      </c>
      <c r="G2641">
        <v>15.49</v>
      </c>
      <c r="H2641">
        <v>15.6</v>
      </c>
      <c r="I2641">
        <v>13.55</v>
      </c>
      <c r="J2641">
        <v>13.55</v>
      </c>
      <c r="K2641">
        <v>17</v>
      </c>
      <c r="L2641">
        <v>104</v>
      </c>
      <c r="M2641">
        <v>13</v>
      </c>
      <c r="N2641">
        <v>287</v>
      </c>
      <c r="O2641">
        <v>13.3</v>
      </c>
      <c r="P2641">
        <v>0</v>
      </c>
      <c r="Q2641">
        <v>0</v>
      </c>
      <c r="R2641">
        <v>0</v>
      </c>
      <c r="S2641">
        <v>0</v>
      </c>
      <c r="T2641">
        <v>0.20319999999999999</v>
      </c>
      <c r="U2641">
        <v>-0.109</v>
      </c>
      <c r="V2641">
        <v>6.9999999999999999E-4</v>
      </c>
      <c r="W2641">
        <v>-2.1352000000000002</v>
      </c>
      <c r="X2641">
        <v>2.3696000000000002</v>
      </c>
      <c r="Y2641">
        <v>-0.23219999999999999</v>
      </c>
      <c r="Z2641">
        <v>274</v>
      </c>
      <c r="AA2641">
        <v>12.7</v>
      </c>
      <c r="AB2641">
        <v>241</v>
      </c>
      <c r="AC2641">
        <v>13.3</v>
      </c>
      <c r="AD2641">
        <v>0</v>
      </c>
      <c r="AE2641">
        <v>0</v>
      </c>
      <c r="AF2641">
        <v>15.354699999999999</v>
      </c>
      <c r="AG2641">
        <v>1096</v>
      </c>
      <c r="AH2641">
        <v>0</v>
      </c>
    </row>
    <row r="2642" spans="1:34" x14ac:dyDescent="0.35">
      <c r="A2642" t="s">
        <v>37</v>
      </c>
      <c r="B2642" s="1">
        <v>46146.65625</v>
      </c>
      <c r="C2642" t="s">
        <v>37</v>
      </c>
      <c r="D2642" s="1">
        <v>46157.354166666664</v>
      </c>
      <c r="E2642">
        <v>6910</v>
      </c>
      <c r="F2642" t="s">
        <v>36</v>
      </c>
      <c r="G2642">
        <v>10.81</v>
      </c>
      <c r="H2642">
        <v>15.1</v>
      </c>
      <c r="I2642">
        <v>10</v>
      </c>
      <c r="J2642">
        <v>15.1</v>
      </c>
      <c r="K2642">
        <v>21</v>
      </c>
      <c r="L2642">
        <v>475</v>
      </c>
      <c r="M2642">
        <v>13.3</v>
      </c>
      <c r="N2642">
        <v>174</v>
      </c>
      <c r="O2642">
        <v>13.7</v>
      </c>
      <c r="P2642">
        <v>0</v>
      </c>
      <c r="Q2642">
        <v>0</v>
      </c>
      <c r="R2642">
        <v>0</v>
      </c>
      <c r="S2642">
        <v>0</v>
      </c>
      <c r="T2642">
        <v>0.20200000000000001</v>
      </c>
      <c r="U2642">
        <v>-0.1116</v>
      </c>
      <c r="V2642">
        <v>8.0000000000000004E-4</v>
      </c>
      <c r="W2642">
        <v>-2.1604000000000001</v>
      </c>
      <c r="X2642">
        <v>2.4081999999999999</v>
      </c>
      <c r="Y2642">
        <v>-0.23769999999999999</v>
      </c>
      <c r="Z2642">
        <v>285</v>
      </c>
      <c r="AA2642">
        <v>13.1</v>
      </c>
      <c r="AB2642">
        <v>109</v>
      </c>
      <c r="AC2642">
        <v>13.6</v>
      </c>
      <c r="AD2642">
        <v>0</v>
      </c>
      <c r="AE2642">
        <v>0</v>
      </c>
      <c r="AF2642">
        <v>14.652900000000001</v>
      </c>
      <c r="AG2642">
        <v>549</v>
      </c>
      <c r="AH2642">
        <v>0</v>
      </c>
    </row>
    <row r="2643" spans="1:34" x14ac:dyDescent="0.35">
      <c r="A2643" t="s">
        <v>37</v>
      </c>
      <c r="B2643" s="1">
        <v>46146.65625</v>
      </c>
      <c r="C2643" t="s">
        <v>37</v>
      </c>
      <c r="D2643" s="1">
        <v>46157.354166666664</v>
      </c>
      <c r="E2643">
        <v>6915</v>
      </c>
      <c r="F2643" t="s">
        <v>36</v>
      </c>
      <c r="G2643">
        <v>11.16</v>
      </c>
      <c r="H2643">
        <v>16.600000000000001</v>
      </c>
      <c r="I2643">
        <v>8.9</v>
      </c>
      <c r="J2643">
        <v>13.9</v>
      </c>
      <c r="K2643">
        <v>15</v>
      </c>
      <c r="L2643">
        <v>330</v>
      </c>
      <c r="M2643">
        <v>13.7</v>
      </c>
      <c r="N2643">
        <v>79</v>
      </c>
      <c r="O2643">
        <v>14</v>
      </c>
      <c r="P2643">
        <v>0</v>
      </c>
      <c r="Q2643">
        <v>0</v>
      </c>
      <c r="R2643">
        <v>0</v>
      </c>
      <c r="S2643">
        <v>0</v>
      </c>
      <c r="T2643">
        <v>0.20100000000000001</v>
      </c>
      <c r="U2643">
        <v>-0.1144</v>
      </c>
      <c r="V2643">
        <v>8.0000000000000004E-4</v>
      </c>
      <c r="W2643">
        <v>-2.1905999999999999</v>
      </c>
      <c r="X2643">
        <v>2.4500000000000002</v>
      </c>
      <c r="Y2643">
        <v>-0.24379999999999999</v>
      </c>
      <c r="Z2643">
        <v>230</v>
      </c>
      <c r="AA2643">
        <v>13.5</v>
      </c>
      <c r="AB2643">
        <v>139</v>
      </c>
      <c r="AC2643">
        <v>14</v>
      </c>
      <c r="AD2643">
        <v>0</v>
      </c>
      <c r="AE2643">
        <v>0</v>
      </c>
      <c r="AF2643">
        <v>14.0747</v>
      </c>
      <c r="AG2643">
        <v>374</v>
      </c>
      <c r="AH2643">
        <v>0</v>
      </c>
    </row>
    <row r="2644" spans="1:34" x14ac:dyDescent="0.35">
      <c r="A2644" t="s">
        <v>37</v>
      </c>
      <c r="B2644" s="1">
        <v>46146.65625</v>
      </c>
      <c r="C2644" t="s">
        <v>37</v>
      </c>
      <c r="D2644" s="1">
        <v>46157.354166666664</v>
      </c>
      <c r="E2644">
        <v>6920</v>
      </c>
      <c r="F2644" t="s">
        <v>36</v>
      </c>
      <c r="G2644">
        <v>10.1</v>
      </c>
      <c r="H2644">
        <v>15.64</v>
      </c>
      <c r="I2644">
        <v>10.1</v>
      </c>
      <c r="J2644">
        <v>15.64</v>
      </c>
      <c r="K2644">
        <v>12</v>
      </c>
      <c r="L2644">
        <v>331</v>
      </c>
      <c r="M2644">
        <v>14.1</v>
      </c>
      <c r="N2644">
        <v>100</v>
      </c>
      <c r="O2644">
        <v>14.4</v>
      </c>
      <c r="P2644">
        <v>0</v>
      </c>
      <c r="Q2644">
        <v>0</v>
      </c>
      <c r="R2644">
        <v>0</v>
      </c>
      <c r="S2644">
        <v>0</v>
      </c>
      <c r="T2644">
        <v>0.20030000000000001</v>
      </c>
      <c r="U2644">
        <v>-0.1177</v>
      </c>
      <c r="V2644">
        <v>8.0000000000000004E-4</v>
      </c>
      <c r="W2644">
        <v>-2.2311999999999999</v>
      </c>
      <c r="X2644">
        <v>2.4984999999999999</v>
      </c>
      <c r="Y2644">
        <v>-0.25090000000000001</v>
      </c>
      <c r="Z2644">
        <v>177</v>
      </c>
      <c r="AA2644">
        <v>13.9</v>
      </c>
      <c r="AB2644">
        <v>211</v>
      </c>
      <c r="AC2644">
        <v>14.4</v>
      </c>
      <c r="AD2644">
        <v>0</v>
      </c>
      <c r="AE2644">
        <v>0</v>
      </c>
      <c r="AF2644">
        <v>11.342499999999999</v>
      </c>
      <c r="AG2644">
        <v>889</v>
      </c>
      <c r="AH2644">
        <v>0</v>
      </c>
    </row>
    <row r="2645" spans="1:34" x14ac:dyDescent="0.35">
      <c r="A2645" t="s">
        <v>37</v>
      </c>
      <c r="B2645" s="1">
        <v>46146.65625</v>
      </c>
      <c r="C2645" t="s">
        <v>37</v>
      </c>
      <c r="D2645" s="1">
        <v>46157.354166666664</v>
      </c>
      <c r="E2645">
        <v>6925</v>
      </c>
      <c r="F2645" t="s">
        <v>36</v>
      </c>
      <c r="G2645">
        <v>9.65</v>
      </c>
      <c r="H2645">
        <v>16.53</v>
      </c>
      <c r="I2645">
        <v>9.65</v>
      </c>
      <c r="J2645">
        <v>16.45</v>
      </c>
      <c r="K2645">
        <v>194</v>
      </c>
      <c r="L2645">
        <v>101</v>
      </c>
      <c r="M2645">
        <v>14.5</v>
      </c>
      <c r="N2645">
        <v>80</v>
      </c>
      <c r="O2645">
        <v>14.8</v>
      </c>
      <c r="P2645">
        <v>0</v>
      </c>
      <c r="Q2645">
        <v>0</v>
      </c>
      <c r="R2645">
        <v>0</v>
      </c>
      <c r="S2645">
        <v>0</v>
      </c>
      <c r="T2645">
        <v>0.19950000000000001</v>
      </c>
      <c r="U2645">
        <v>-0.1208</v>
      </c>
      <c r="V2645">
        <v>8.0000000000000004E-4</v>
      </c>
      <c r="W2645">
        <v>-2.2654000000000001</v>
      </c>
      <c r="X2645">
        <v>2.5428000000000002</v>
      </c>
      <c r="Y2645">
        <v>-0.25740000000000002</v>
      </c>
      <c r="Z2645">
        <v>174</v>
      </c>
      <c r="AA2645">
        <v>14.3</v>
      </c>
      <c r="AB2645">
        <v>204</v>
      </c>
      <c r="AC2645">
        <v>14.8</v>
      </c>
      <c r="AD2645">
        <v>0</v>
      </c>
      <c r="AE2645">
        <v>0</v>
      </c>
      <c r="AF2645">
        <v>16.000900000000001</v>
      </c>
      <c r="AG2645">
        <v>2534</v>
      </c>
      <c r="AH2645">
        <v>0</v>
      </c>
    </row>
    <row r="2646" spans="1:34" x14ac:dyDescent="0.35">
      <c r="A2646" t="s">
        <v>37</v>
      </c>
      <c r="B2646" s="1">
        <v>46146.65625</v>
      </c>
      <c r="C2646" t="s">
        <v>37</v>
      </c>
      <c r="D2646" s="1">
        <v>46157.354166666664</v>
      </c>
      <c r="E2646">
        <v>6930</v>
      </c>
      <c r="F2646" t="s">
        <v>36</v>
      </c>
      <c r="G2646">
        <v>10.4</v>
      </c>
      <c r="H2646">
        <v>17.22</v>
      </c>
      <c r="I2646">
        <v>10.4</v>
      </c>
      <c r="J2646">
        <v>16.53</v>
      </c>
      <c r="K2646">
        <v>33</v>
      </c>
      <c r="L2646">
        <v>149</v>
      </c>
      <c r="M2646">
        <v>14.9</v>
      </c>
      <c r="N2646">
        <v>79</v>
      </c>
      <c r="O2646">
        <v>15.2</v>
      </c>
      <c r="P2646">
        <v>0</v>
      </c>
      <c r="Q2646">
        <v>0</v>
      </c>
      <c r="R2646">
        <v>0</v>
      </c>
      <c r="S2646">
        <v>0</v>
      </c>
      <c r="T2646">
        <v>0.19839999999999999</v>
      </c>
      <c r="U2646">
        <v>-0.124</v>
      </c>
      <c r="V2646">
        <v>8.0000000000000004E-4</v>
      </c>
      <c r="W2646">
        <v>-2.2976000000000001</v>
      </c>
      <c r="X2646">
        <v>2.5886999999999998</v>
      </c>
      <c r="Y2646">
        <v>-0.26419999999999999</v>
      </c>
      <c r="Z2646">
        <v>173</v>
      </c>
      <c r="AA2646">
        <v>14.7</v>
      </c>
      <c r="AB2646">
        <v>178</v>
      </c>
      <c r="AC2646">
        <v>15.2</v>
      </c>
      <c r="AD2646">
        <v>0</v>
      </c>
      <c r="AE2646">
        <v>0</v>
      </c>
      <c r="AF2646">
        <v>12.077299999999999</v>
      </c>
      <c r="AG2646">
        <v>546</v>
      </c>
      <c r="AH2646">
        <v>0</v>
      </c>
    </row>
    <row r="2647" spans="1:34" x14ac:dyDescent="0.35">
      <c r="A2647" t="s">
        <v>37</v>
      </c>
      <c r="B2647" s="1">
        <v>46146.65625</v>
      </c>
      <c r="C2647" t="s">
        <v>37</v>
      </c>
      <c r="D2647" s="1">
        <v>46157.354166666664</v>
      </c>
      <c r="E2647">
        <v>6935</v>
      </c>
      <c r="F2647" t="s">
        <v>36</v>
      </c>
      <c r="G2647">
        <v>11.31</v>
      </c>
      <c r="H2647">
        <v>17.670000000000002</v>
      </c>
      <c r="I2647">
        <v>11.31</v>
      </c>
      <c r="J2647">
        <v>16.399999999999999</v>
      </c>
      <c r="K2647">
        <v>21</v>
      </c>
      <c r="L2647">
        <v>333</v>
      </c>
      <c r="M2647">
        <v>15.3</v>
      </c>
      <c r="N2647">
        <v>113</v>
      </c>
      <c r="O2647">
        <v>15.7</v>
      </c>
      <c r="P2647">
        <v>0</v>
      </c>
      <c r="Q2647">
        <v>0</v>
      </c>
      <c r="R2647">
        <v>0</v>
      </c>
      <c r="S2647">
        <v>0</v>
      </c>
      <c r="T2647">
        <v>0.19739999999999999</v>
      </c>
      <c r="U2647">
        <v>-0.12720000000000001</v>
      </c>
      <c r="V2647">
        <v>8.9999999999999998E-4</v>
      </c>
      <c r="W2647">
        <v>-2.3290999999999999</v>
      </c>
      <c r="X2647">
        <v>2.6341000000000001</v>
      </c>
      <c r="Y2647">
        <v>-0.27100000000000002</v>
      </c>
      <c r="Z2647">
        <v>214</v>
      </c>
      <c r="AA2647">
        <v>15.1</v>
      </c>
      <c r="AB2647">
        <v>62</v>
      </c>
      <c r="AC2647">
        <v>15.6</v>
      </c>
      <c r="AD2647">
        <v>0</v>
      </c>
      <c r="AE2647">
        <v>0</v>
      </c>
      <c r="AF2647">
        <v>16.593299999999999</v>
      </c>
      <c r="AG2647">
        <v>728</v>
      </c>
      <c r="AH2647">
        <v>0</v>
      </c>
    </row>
    <row r="2648" spans="1:34" x14ac:dyDescent="0.35">
      <c r="A2648" t="s">
        <v>37</v>
      </c>
      <c r="B2648" s="1">
        <v>46146.65625</v>
      </c>
      <c r="C2648" t="s">
        <v>37</v>
      </c>
      <c r="D2648" s="1">
        <v>46157.354166666664</v>
      </c>
      <c r="E2648">
        <v>6940</v>
      </c>
      <c r="F2648" t="s">
        <v>36</v>
      </c>
      <c r="G2648">
        <v>10.199999999999999</v>
      </c>
      <c r="H2648">
        <v>18.8</v>
      </c>
      <c r="I2648">
        <v>10.199999999999999</v>
      </c>
      <c r="J2648">
        <v>15.55</v>
      </c>
      <c r="K2648">
        <v>19</v>
      </c>
      <c r="L2648">
        <v>428</v>
      </c>
      <c r="M2648">
        <v>15.7</v>
      </c>
      <c r="N2648">
        <v>262</v>
      </c>
      <c r="O2648">
        <v>16.100000000000001</v>
      </c>
      <c r="P2648">
        <v>0</v>
      </c>
      <c r="Q2648">
        <v>0</v>
      </c>
      <c r="R2648">
        <v>0</v>
      </c>
      <c r="S2648">
        <v>0</v>
      </c>
      <c r="T2648">
        <v>0.19670000000000001</v>
      </c>
      <c r="U2648">
        <v>-0.13059999999999999</v>
      </c>
      <c r="V2648">
        <v>8.9999999999999998E-4</v>
      </c>
      <c r="W2648">
        <v>-2.3654000000000002</v>
      </c>
      <c r="X2648">
        <v>2.6816</v>
      </c>
      <c r="Y2648">
        <v>-0.27839999999999998</v>
      </c>
      <c r="Z2648">
        <v>250</v>
      </c>
      <c r="AA2648">
        <v>15.5</v>
      </c>
      <c r="AB2648">
        <v>232</v>
      </c>
      <c r="AC2648">
        <v>16.100000000000001</v>
      </c>
      <c r="AD2648">
        <v>0</v>
      </c>
      <c r="AE2648">
        <v>0</v>
      </c>
      <c r="AF2648">
        <v>16.271599999999999</v>
      </c>
      <c r="AG2648">
        <v>308</v>
      </c>
      <c r="AH2648">
        <v>0</v>
      </c>
    </row>
    <row r="2649" spans="1:34" x14ac:dyDescent="0.35">
      <c r="A2649" t="s">
        <v>37</v>
      </c>
      <c r="B2649" s="1">
        <v>46146.65625</v>
      </c>
      <c r="C2649" t="s">
        <v>37</v>
      </c>
      <c r="D2649" s="1">
        <v>46157.354166666664</v>
      </c>
      <c r="E2649">
        <v>6945</v>
      </c>
      <c r="F2649" t="s">
        <v>36</v>
      </c>
      <c r="G2649">
        <v>13.25</v>
      </c>
      <c r="H2649">
        <v>23.5</v>
      </c>
      <c r="I2649">
        <v>12.38</v>
      </c>
      <c r="J2649">
        <v>16.75</v>
      </c>
      <c r="K2649">
        <v>63</v>
      </c>
      <c r="L2649">
        <v>169</v>
      </c>
      <c r="M2649">
        <v>16.2</v>
      </c>
      <c r="N2649">
        <v>50</v>
      </c>
      <c r="O2649">
        <v>16.5</v>
      </c>
      <c r="P2649">
        <v>0</v>
      </c>
      <c r="Q2649">
        <v>0</v>
      </c>
      <c r="R2649">
        <v>0</v>
      </c>
      <c r="S2649">
        <v>0</v>
      </c>
      <c r="T2649">
        <v>0.19570000000000001</v>
      </c>
      <c r="U2649">
        <v>-0.1341</v>
      </c>
      <c r="V2649">
        <v>8.9999999999999998E-4</v>
      </c>
      <c r="W2649">
        <v>-2.4</v>
      </c>
      <c r="X2649">
        <v>2.7296999999999998</v>
      </c>
      <c r="Y2649">
        <v>-0.28589999999999999</v>
      </c>
      <c r="Z2649">
        <v>158</v>
      </c>
      <c r="AA2649">
        <v>16</v>
      </c>
      <c r="AB2649">
        <v>91</v>
      </c>
      <c r="AC2649">
        <v>16.5</v>
      </c>
      <c r="AD2649">
        <v>0</v>
      </c>
      <c r="AE2649">
        <v>0</v>
      </c>
      <c r="AF2649">
        <v>16.741399999999999</v>
      </c>
      <c r="AG2649">
        <v>2081</v>
      </c>
      <c r="AH2649">
        <v>0</v>
      </c>
    </row>
    <row r="2650" spans="1:34" x14ac:dyDescent="0.35">
      <c r="A2650" t="s">
        <v>37</v>
      </c>
      <c r="B2650" s="1">
        <v>46146.65625</v>
      </c>
      <c r="C2650" t="s">
        <v>37</v>
      </c>
      <c r="D2650" s="1">
        <v>46157.354166666664</v>
      </c>
      <c r="E2650">
        <v>6950</v>
      </c>
      <c r="F2650" t="s">
        <v>36</v>
      </c>
      <c r="G2650">
        <v>13.65</v>
      </c>
      <c r="H2650">
        <v>23.32</v>
      </c>
      <c r="I2650">
        <v>10.9</v>
      </c>
      <c r="J2650">
        <v>16.600000000000001</v>
      </c>
      <c r="K2650">
        <v>1528</v>
      </c>
      <c r="L2650">
        <v>416</v>
      </c>
      <c r="M2650">
        <v>16.600000000000001</v>
      </c>
      <c r="N2650">
        <v>212</v>
      </c>
      <c r="O2650">
        <v>17</v>
      </c>
      <c r="P2650">
        <v>0</v>
      </c>
      <c r="Q2650">
        <v>0</v>
      </c>
      <c r="R2650">
        <v>0</v>
      </c>
      <c r="S2650">
        <v>0</v>
      </c>
      <c r="T2650">
        <v>0.19470000000000001</v>
      </c>
      <c r="U2650">
        <v>-0.13769999999999999</v>
      </c>
      <c r="V2650">
        <v>8.9999999999999998E-4</v>
      </c>
      <c r="W2650">
        <v>-2.4327000000000001</v>
      </c>
      <c r="X2650">
        <v>2.7783000000000002</v>
      </c>
      <c r="Y2650">
        <v>-0.29370000000000002</v>
      </c>
      <c r="Z2650">
        <v>247</v>
      </c>
      <c r="AA2650">
        <v>16.399999999999999</v>
      </c>
      <c r="AB2650">
        <v>221</v>
      </c>
      <c r="AC2650">
        <v>17</v>
      </c>
      <c r="AD2650">
        <v>0</v>
      </c>
      <c r="AE2650">
        <v>0</v>
      </c>
      <c r="AF2650">
        <v>16.518799999999999</v>
      </c>
      <c r="AG2650">
        <v>15088</v>
      </c>
      <c r="AH2650">
        <v>0</v>
      </c>
    </row>
    <row r="2651" spans="1:34" x14ac:dyDescent="0.35">
      <c r="A2651" t="s">
        <v>37</v>
      </c>
      <c r="B2651" s="1">
        <v>46146.65625</v>
      </c>
      <c r="C2651" t="s">
        <v>37</v>
      </c>
      <c r="D2651" s="1">
        <v>46157.354166666664</v>
      </c>
      <c r="E2651">
        <v>6955</v>
      </c>
      <c r="F2651" t="s">
        <v>36</v>
      </c>
      <c r="G2651">
        <v>11.9</v>
      </c>
      <c r="H2651">
        <v>13.31</v>
      </c>
      <c r="I2651">
        <v>11.9</v>
      </c>
      <c r="J2651">
        <v>13.31</v>
      </c>
      <c r="K2651">
        <v>5</v>
      </c>
      <c r="L2651">
        <v>284</v>
      </c>
      <c r="M2651">
        <v>17.100000000000001</v>
      </c>
      <c r="N2651">
        <v>200</v>
      </c>
      <c r="O2651">
        <v>17.5</v>
      </c>
      <c r="P2651">
        <v>0</v>
      </c>
      <c r="Q2651">
        <v>0</v>
      </c>
      <c r="R2651">
        <v>0</v>
      </c>
      <c r="S2651">
        <v>0</v>
      </c>
      <c r="T2651">
        <v>0.1938</v>
      </c>
      <c r="U2651">
        <v>-0.1414</v>
      </c>
      <c r="V2651">
        <v>8.9999999999999998E-4</v>
      </c>
      <c r="W2651">
        <v>-2.4697</v>
      </c>
      <c r="X2651">
        <v>2.8283</v>
      </c>
      <c r="Y2651">
        <v>-0.3019</v>
      </c>
      <c r="Z2651">
        <v>131</v>
      </c>
      <c r="AA2651">
        <v>16.899999999999999</v>
      </c>
      <c r="AB2651">
        <v>129</v>
      </c>
      <c r="AC2651">
        <v>17.5</v>
      </c>
      <c r="AD2651">
        <v>0</v>
      </c>
      <c r="AE2651">
        <v>0</v>
      </c>
      <c r="AF2651">
        <v>13.028</v>
      </c>
      <c r="AG2651">
        <v>295</v>
      </c>
      <c r="AH2651">
        <v>0</v>
      </c>
    </row>
    <row r="2652" spans="1:34" x14ac:dyDescent="0.35">
      <c r="A2652" t="s">
        <v>37</v>
      </c>
      <c r="B2652" s="1">
        <v>46146.65625</v>
      </c>
      <c r="C2652" t="s">
        <v>37</v>
      </c>
      <c r="D2652" s="1">
        <v>46157.354166666664</v>
      </c>
      <c r="E2652">
        <v>6960</v>
      </c>
      <c r="F2652" t="s">
        <v>36</v>
      </c>
      <c r="G2652">
        <v>16.7</v>
      </c>
      <c r="H2652">
        <v>23.96</v>
      </c>
      <c r="I2652">
        <v>16.7</v>
      </c>
      <c r="J2652">
        <v>19.14</v>
      </c>
      <c r="K2652">
        <v>22</v>
      </c>
      <c r="L2652">
        <v>163</v>
      </c>
      <c r="M2652">
        <v>17.600000000000001</v>
      </c>
      <c r="N2652">
        <v>268</v>
      </c>
      <c r="O2652">
        <v>18</v>
      </c>
      <c r="P2652">
        <v>0</v>
      </c>
      <c r="Q2652">
        <v>0</v>
      </c>
      <c r="R2652">
        <v>0</v>
      </c>
      <c r="S2652">
        <v>0</v>
      </c>
      <c r="T2652">
        <v>0.19289999999999999</v>
      </c>
      <c r="U2652">
        <v>-0.1452</v>
      </c>
      <c r="V2652">
        <v>1E-3</v>
      </c>
      <c r="W2652">
        <v>-2.5053000000000001</v>
      </c>
      <c r="X2652">
        <v>2.8776000000000002</v>
      </c>
      <c r="Y2652">
        <v>-0.31019999999999998</v>
      </c>
      <c r="Z2652">
        <v>164</v>
      </c>
      <c r="AA2652">
        <v>17.399999999999999</v>
      </c>
      <c r="AB2652">
        <v>198</v>
      </c>
      <c r="AC2652">
        <v>18</v>
      </c>
      <c r="AD2652">
        <v>0</v>
      </c>
      <c r="AE2652">
        <v>0</v>
      </c>
      <c r="AF2652">
        <v>17.706399999999999</v>
      </c>
      <c r="AG2652">
        <v>2608</v>
      </c>
      <c r="AH2652">
        <v>0</v>
      </c>
    </row>
    <row r="2653" spans="1:34" x14ac:dyDescent="0.35">
      <c r="A2653" t="s">
        <v>37</v>
      </c>
      <c r="B2653" s="1">
        <v>46146.65625</v>
      </c>
      <c r="C2653" t="s">
        <v>37</v>
      </c>
      <c r="D2653" s="1">
        <v>46157.354166666664</v>
      </c>
      <c r="E2653">
        <v>6965</v>
      </c>
      <c r="F2653" t="s">
        <v>36</v>
      </c>
      <c r="G2653">
        <v>14.5</v>
      </c>
      <c r="H2653">
        <v>19.34</v>
      </c>
      <c r="I2653">
        <v>14.5</v>
      </c>
      <c r="J2653">
        <v>18.02</v>
      </c>
      <c r="K2653">
        <v>30</v>
      </c>
      <c r="L2653">
        <v>169</v>
      </c>
      <c r="M2653">
        <v>18.100000000000001</v>
      </c>
      <c r="N2653">
        <v>252</v>
      </c>
      <c r="O2653">
        <v>18.5</v>
      </c>
      <c r="P2653">
        <v>0</v>
      </c>
      <c r="Q2653">
        <v>0</v>
      </c>
      <c r="R2653">
        <v>0</v>
      </c>
      <c r="S2653">
        <v>0</v>
      </c>
      <c r="T2653">
        <v>0.192</v>
      </c>
      <c r="U2653">
        <v>-0.14899999999999999</v>
      </c>
      <c r="V2653">
        <v>1E-3</v>
      </c>
      <c r="W2653">
        <v>-2.5394999999999999</v>
      </c>
      <c r="X2653">
        <v>2.9262000000000001</v>
      </c>
      <c r="Y2653">
        <v>-0.31840000000000002</v>
      </c>
      <c r="Z2653">
        <v>185</v>
      </c>
      <c r="AA2653">
        <v>17.899999999999999</v>
      </c>
      <c r="AB2653">
        <v>180</v>
      </c>
      <c r="AC2653">
        <v>18.5</v>
      </c>
      <c r="AD2653">
        <v>0</v>
      </c>
      <c r="AE2653">
        <v>0</v>
      </c>
      <c r="AF2653">
        <v>17.697299999999998</v>
      </c>
      <c r="AG2653">
        <v>211</v>
      </c>
      <c r="AH2653">
        <v>0</v>
      </c>
    </row>
    <row r="2654" spans="1:34" x14ac:dyDescent="0.35">
      <c r="A2654" t="s">
        <v>37</v>
      </c>
      <c r="B2654" s="1">
        <v>46146.65625</v>
      </c>
      <c r="C2654" t="s">
        <v>37</v>
      </c>
      <c r="D2654" s="1">
        <v>46157.354166666664</v>
      </c>
      <c r="E2654">
        <v>6970</v>
      </c>
      <c r="F2654" t="s">
        <v>36</v>
      </c>
      <c r="G2654">
        <v>13.3</v>
      </c>
      <c r="H2654">
        <v>20.8</v>
      </c>
      <c r="I2654">
        <v>13.23</v>
      </c>
      <c r="J2654">
        <v>18.73</v>
      </c>
      <c r="K2654">
        <v>46</v>
      </c>
      <c r="L2654">
        <v>250</v>
      </c>
      <c r="M2654">
        <v>18.600000000000001</v>
      </c>
      <c r="N2654">
        <v>172</v>
      </c>
      <c r="O2654">
        <v>19</v>
      </c>
      <c r="P2654">
        <v>0</v>
      </c>
      <c r="Q2654">
        <v>0</v>
      </c>
      <c r="R2654">
        <v>0</v>
      </c>
      <c r="S2654">
        <v>0</v>
      </c>
      <c r="T2654">
        <v>0.19109999999999999</v>
      </c>
      <c r="U2654">
        <v>-0.15279999999999999</v>
      </c>
      <c r="V2654">
        <v>1E-3</v>
      </c>
      <c r="W2654">
        <v>-2.573</v>
      </c>
      <c r="X2654">
        <v>2.9735</v>
      </c>
      <c r="Y2654">
        <v>-0.32650000000000001</v>
      </c>
      <c r="Z2654">
        <v>212</v>
      </c>
      <c r="AA2654">
        <v>18.399999999999999</v>
      </c>
      <c r="AB2654">
        <v>131</v>
      </c>
      <c r="AC2654">
        <v>19</v>
      </c>
      <c r="AD2654">
        <v>0</v>
      </c>
      <c r="AE2654">
        <v>0</v>
      </c>
      <c r="AF2654">
        <v>17.4941</v>
      </c>
      <c r="AG2654">
        <v>391</v>
      </c>
      <c r="AH2654">
        <v>0</v>
      </c>
    </row>
    <row r="2655" spans="1:34" x14ac:dyDescent="0.35">
      <c r="A2655" t="s">
        <v>37</v>
      </c>
      <c r="B2655" s="1">
        <v>46146.65625</v>
      </c>
      <c r="C2655" t="s">
        <v>37</v>
      </c>
      <c r="D2655" s="1">
        <v>46157.354166666664</v>
      </c>
      <c r="E2655">
        <v>6975</v>
      </c>
      <c r="F2655" t="s">
        <v>36</v>
      </c>
      <c r="G2655">
        <v>15.4</v>
      </c>
      <c r="H2655">
        <v>25.9</v>
      </c>
      <c r="I2655">
        <v>12.75</v>
      </c>
      <c r="J2655">
        <v>19.07</v>
      </c>
      <c r="K2655">
        <v>48</v>
      </c>
      <c r="L2655">
        <v>386</v>
      </c>
      <c r="M2655">
        <v>19.100000000000001</v>
      </c>
      <c r="N2655">
        <v>70</v>
      </c>
      <c r="O2655">
        <v>19.5</v>
      </c>
      <c r="P2655">
        <v>0</v>
      </c>
      <c r="Q2655">
        <v>0</v>
      </c>
      <c r="R2655">
        <v>0</v>
      </c>
      <c r="S2655">
        <v>0</v>
      </c>
      <c r="T2655">
        <v>0.18990000000000001</v>
      </c>
      <c r="U2655">
        <v>-0.15679999999999999</v>
      </c>
      <c r="V2655">
        <v>1E-3</v>
      </c>
      <c r="W2655">
        <v>-2.6038000000000001</v>
      </c>
      <c r="X2655">
        <v>3.0223</v>
      </c>
      <c r="Y2655">
        <v>-0.33500000000000002</v>
      </c>
      <c r="Z2655">
        <v>231</v>
      </c>
      <c r="AA2655">
        <v>18.899999999999999</v>
      </c>
      <c r="AB2655">
        <v>96</v>
      </c>
      <c r="AC2655">
        <v>19.5</v>
      </c>
      <c r="AD2655">
        <v>0</v>
      </c>
      <c r="AE2655">
        <v>0</v>
      </c>
      <c r="AF2655">
        <v>21.270199999999999</v>
      </c>
      <c r="AG2655">
        <v>2483</v>
      </c>
      <c r="AH2655">
        <v>0</v>
      </c>
    </row>
    <row r="2656" spans="1:34" x14ac:dyDescent="0.35">
      <c r="A2656" t="s">
        <v>37</v>
      </c>
      <c r="B2656" s="1">
        <v>46146.65625</v>
      </c>
      <c r="C2656" t="s">
        <v>37</v>
      </c>
      <c r="D2656" s="1">
        <v>46157.354166666664</v>
      </c>
      <c r="E2656">
        <v>6980</v>
      </c>
      <c r="F2656" t="s">
        <v>36</v>
      </c>
      <c r="G2656">
        <v>15.85</v>
      </c>
      <c r="H2656">
        <v>22.47</v>
      </c>
      <c r="I2656">
        <v>13.2</v>
      </c>
      <c r="J2656">
        <v>19.11</v>
      </c>
      <c r="K2656">
        <v>61</v>
      </c>
      <c r="L2656">
        <v>235</v>
      </c>
      <c r="M2656">
        <v>19.7</v>
      </c>
      <c r="N2656">
        <v>180</v>
      </c>
      <c r="O2656">
        <v>20.100000000000001</v>
      </c>
      <c r="P2656">
        <v>0</v>
      </c>
      <c r="Q2656">
        <v>0</v>
      </c>
      <c r="R2656">
        <v>0</v>
      </c>
      <c r="S2656">
        <v>0</v>
      </c>
      <c r="T2656">
        <v>0.1893</v>
      </c>
      <c r="U2656">
        <v>-0.16109999999999999</v>
      </c>
      <c r="V2656">
        <v>1E-3</v>
      </c>
      <c r="W2656">
        <v>-2.6440000000000001</v>
      </c>
      <c r="X2656">
        <v>3.0741000000000001</v>
      </c>
      <c r="Y2656">
        <v>-0.34410000000000002</v>
      </c>
      <c r="Z2656">
        <v>242</v>
      </c>
      <c r="AA2656">
        <v>19.399999999999999</v>
      </c>
      <c r="AB2656">
        <v>128</v>
      </c>
      <c r="AC2656">
        <v>20.100000000000001</v>
      </c>
      <c r="AD2656">
        <v>0</v>
      </c>
      <c r="AE2656">
        <v>0</v>
      </c>
      <c r="AF2656">
        <v>18.563300000000002</v>
      </c>
      <c r="AG2656">
        <v>258</v>
      </c>
      <c r="AH2656">
        <v>0</v>
      </c>
    </row>
    <row r="2657" spans="1:34" x14ac:dyDescent="0.35">
      <c r="A2657" t="s">
        <v>37</v>
      </c>
      <c r="B2657" s="1">
        <v>46146.65625</v>
      </c>
      <c r="C2657" t="s">
        <v>37</v>
      </c>
      <c r="D2657" s="1">
        <v>46157.354166666664</v>
      </c>
      <c r="E2657">
        <v>6985</v>
      </c>
      <c r="F2657" t="s">
        <v>36</v>
      </c>
      <c r="G2657">
        <v>27.7</v>
      </c>
      <c r="H2657">
        <v>27.7</v>
      </c>
      <c r="I2657">
        <v>22.35</v>
      </c>
      <c r="J2657">
        <v>22.35</v>
      </c>
      <c r="K2657">
        <v>11</v>
      </c>
      <c r="L2657">
        <v>343</v>
      </c>
      <c r="M2657">
        <v>20.2</v>
      </c>
      <c r="N2657">
        <v>41</v>
      </c>
      <c r="O2657">
        <v>20.6</v>
      </c>
      <c r="P2657">
        <v>0</v>
      </c>
      <c r="Q2657">
        <v>0</v>
      </c>
      <c r="R2657">
        <v>0</v>
      </c>
      <c r="S2657">
        <v>0</v>
      </c>
      <c r="T2657">
        <v>0.18809999999999999</v>
      </c>
      <c r="U2657">
        <v>-0.1651</v>
      </c>
      <c r="V2657">
        <v>1.1000000000000001E-3</v>
      </c>
      <c r="W2657">
        <v>-2.6726000000000001</v>
      </c>
      <c r="X2657">
        <v>3.1219000000000001</v>
      </c>
      <c r="Y2657">
        <v>-0.35260000000000002</v>
      </c>
      <c r="Z2657">
        <v>167</v>
      </c>
      <c r="AA2657">
        <v>20</v>
      </c>
      <c r="AB2657">
        <v>111</v>
      </c>
      <c r="AC2657">
        <v>20.7</v>
      </c>
      <c r="AD2657">
        <v>0</v>
      </c>
      <c r="AE2657">
        <v>0</v>
      </c>
      <c r="AF2657">
        <v>22.836400000000001</v>
      </c>
      <c r="AG2657">
        <v>208</v>
      </c>
      <c r="AH2657">
        <v>0</v>
      </c>
    </row>
    <row r="2658" spans="1:34" x14ac:dyDescent="0.35">
      <c r="A2658" t="s">
        <v>37</v>
      </c>
      <c r="B2658" s="1">
        <v>46146.65625</v>
      </c>
      <c r="C2658" t="s">
        <v>37</v>
      </c>
      <c r="D2658" s="1">
        <v>46157.354166666664</v>
      </c>
      <c r="E2658">
        <v>6990</v>
      </c>
      <c r="F2658" t="s">
        <v>36</v>
      </c>
      <c r="G2658">
        <v>17.45</v>
      </c>
      <c r="H2658">
        <v>27.65</v>
      </c>
      <c r="I2658">
        <v>13.9</v>
      </c>
      <c r="J2658">
        <v>21</v>
      </c>
      <c r="K2658">
        <v>37</v>
      </c>
      <c r="L2658">
        <v>344</v>
      </c>
      <c r="M2658">
        <v>20.8</v>
      </c>
      <c r="N2658">
        <v>57</v>
      </c>
      <c r="O2658">
        <v>21.2</v>
      </c>
      <c r="P2658">
        <v>0</v>
      </c>
      <c r="Q2658">
        <v>0</v>
      </c>
      <c r="R2658">
        <v>0</v>
      </c>
      <c r="S2658">
        <v>0</v>
      </c>
      <c r="T2658">
        <v>0.18709999999999999</v>
      </c>
      <c r="U2658">
        <v>-0.1696</v>
      </c>
      <c r="V2658">
        <v>1.1000000000000001E-3</v>
      </c>
      <c r="W2658">
        <v>-2.7079</v>
      </c>
      <c r="X2658">
        <v>3.1753</v>
      </c>
      <c r="Y2658">
        <v>-0.3624</v>
      </c>
      <c r="Z2658">
        <v>198</v>
      </c>
      <c r="AA2658">
        <v>20.6</v>
      </c>
      <c r="AB2658">
        <v>154</v>
      </c>
      <c r="AC2658">
        <v>21.3</v>
      </c>
      <c r="AD2658">
        <v>0</v>
      </c>
      <c r="AE2658">
        <v>0</v>
      </c>
      <c r="AF2658">
        <v>19.421399999999998</v>
      </c>
      <c r="AG2658">
        <v>391</v>
      </c>
      <c r="AH2658">
        <v>0</v>
      </c>
    </row>
    <row r="2659" spans="1:34" x14ac:dyDescent="0.35">
      <c r="A2659" t="s">
        <v>37</v>
      </c>
      <c r="B2659" s="1">
        <v>46146.65625</v>
      </c>
      <c r="C2659" t="s">
        <v>37</v>
      </c>
      <c r="D2659" s="1">
        <v>46157.354166666664</v>
      </c>
      <c r="E2659">
        <v>6995</v>
      </c>
      <c r="F2659" t="s">
        <v>36</v>
      </c>
      <c r="G2659">
        <v>16.78</v>
      </c>
      <c r="H2659">
        <v>20.32</v>
      </c>
      <c r="I2659">
        <v>16.04</v>
      </c>
      <c r="J2659">
        <v>20.32</v>
      </c>
      <c r="K2659">
        <v>5</v>
      </c>
      <c r="L2659">
        <v>275</v>
      </c>
      <c r="M2659">
        <v>21.4</v>
      </c>
      <c r="N2659">
        <v>39</v>
      </c>
      <c r="O2659">
        <v>21.8</v>
      </c>
      <c r="P2659">
        <v>0</v>
      </c>
      <c r="Q2659">
        <v>0</v>
      </c>
      <c r="R2659">
        <v>0</v>
      </c>
      <c r="S2659">
        <v>0</v>
      </c>
      <c r="T2659">
        <v>0.18629999999999999</v>
      </c>
      <c r="U2659">
        <v>-0.17399999999999999</v>
      </c>
      <c r="V2659">
        <v>1.1000000000000001E-3</v>
      </c>
      <c r="W2659">
        <v>-2.7431999999999999</v>
      </c>
      <c r="X2659">
        <v>3.2265999999999999</v>
      </c>
      <c r="Y2659">
        <v>-0.37190000000000001</v>
      </c>
      <c r="Z2659">
        <v>172</v>
      </c>
      <c r="AA2659">
        <v>21.2</v>
      </c>
      <c r="AB2659">
        <v>72</v>
      </c>
      <c r="AC2659">
        <v>21.8</v>
      </c>
      <c r="AD2659">
        <v>0</v>
      </c>
      <c r="AE2659">
        <v>0</v>
      </c>
      <c r="AF2659">
        <v>17.988</v>
      </c>
      <c r="AG2659">
        <v>1336</v>
      </c>
      <c r="AH2659">
        <v>0</v>
      </c>
    </row>
    <row r="2660" spans="1:34" x14ac:dyDescent="0.35">
      <c r="A2660" t="s">
        <v>37</v>
      </c>
      <c r="B2660" s="1">
        <v>46146.65625</v>
      </c>
      <c r="C2660" t="s">
        <v>37</v>
      </c>
      <c r="D2660" s="1">
        <v>46157.354166666664</v>
      </c>
      <c r="E2660">
        <v>7000</v>
      </c>
      <c r="F2660" t="s">
        <v>36</v>
      </c>
      <c r="G2660">
        <v>18.2</v>
      </c>
      <c r="H2660">
        <v>29.85</v>
      </c>
      <c r="I2660">
        <v>14.5</v>
      </c>
      <c r="J2660">
        <v>21.97</v>
      </c>
      <c r="K2660">
        <v>5957</v>
      </c>
      <c r="L2660">
        <v>42</v>
      </c>
      <c r="M2660">
        <v>22.2</v>
      </c>
      <c r="N2660">
        <v>43</v>
      </c>
      <c r="O2660">
        <v>22.3</v>
      </c>
      <c r="P2660">
        <v>0</v>
      </c>
      <c r="Q2660">
        <v>0</v>
      </c>
      <c r="R2660">
        <v>0</v>
      </c>
      <c r="S2660">
        <v>0</v>
      </c>
      <c r="T2660">
        <v>0.1852</v>
      </c>
      <c r="U2660">
        <v>-0.1787</v>
      </c>
      <c r="V2660">
        <v>1.1000000000000001E-3</v>
      </c>
      <c r="W2660">
        <v>-2.7751999999999999</v>
      </c>
      <c r="X2660">
        <v>3.2793999999999999</v>
      </c>
      <c r="Y2660">
        <v>-0.38200000000000001</v>
      </c>
      <c r="Z2660">
        <v>176</v>
      </c>
      <c r="AA2660">
        <v>21.8</v>
      </c>
      <c r="AB2660">
        <v>42</v>
      </c>
      <c r="AC2660">
        <v>22.5</v>
      </c>
      <c r="AD2660">
        <v>0</v>
      </c>
      <c r="AE2660">
        <v>0</v>
      </c>
      <c r="AF2660">
        <v>19.289300000000001</v>
      </c>
      <c r="AG2660">
        <v>105934</v>
      </c>
      <c r="AH2660">
        <v>0</v>
      </c>
    </row>
    <row r="2661" spans="1:34" x14ac:dyDescent="0.35">
      <c r="A2661" t="s">
        <v>37</v>
      </c>
      <c r="B2661" s="1">
        <v>46146.65625</v>
      </c>
      <c r="C2661" t="s">
        <v>37</v>
      </c>
      <c r="D2661" s="1">
        <v>46157.354166666664</v>
      </c>
      <c r="E2661">
        <v>7005</v>
      </c>
      <c r="F2661" t="s">
        <v>36</v>
      </c>
      <c r="G2661">
        <v>16.850000000000001</v>
      </c>
      <c r="H2661">
        <v>30.22</v>
      </c>
      <c r="I2661">
        <v>15.32</v>
      </c>
      <c r="J2661">
        <v>22.2</v>
      </c>
      <c r="K2661">
        <v>22</v>
      </c>
      <c r="L2661">
        <v>333</v>
      </c>
      <c r="M2661">
        <v>22.6</v>
      </c>
      <c r="N2661">
        <v>295</v>
      </c>
      <c r="O2661">
        <v>23.2</v>
      </c>
      <c r="P2661">
        <v>0</v>
      </c>
      <c r="Q2661">
        <v>0</v>
      </c>
      <c r="R2661">
        <v>0</v>
      </c>
      <c r="S2661">
        <v>0</v>
      </c>
      <c r="T2661">
        <v>0.1845</v>
      </c>
      <c r="U2661">
        <v>-0.18360000000000001</v>
      </c>
      <c r="V2661">
        <v>1.1999999999999999E-3</v>
      </c>
      <c r="W2661">
        <v>-2.8147000000000002</v>
      </c>
      <c r="X2661">
        <v>3.3349000000000002</v>
      </c>
      <c r="Y2661">
        <v>-0.39290000000000003</v>
      </c>
      <c r="Z2661">
        <v>125</v>
      </c>
      <c r="AA2661">
        <v>22.5</v>
      </c>
      <c r="AB2661">
        <v>86</v>
      </c>
      <c r="AC2661">
        <v>23.1</v>
      </c>
      <c r="AD2661">
        <v>0</v>
      </c>
      <c r="AE2661">
        <v>0</v>
      </c>
      <c r="AF2661">
        <v>20.291799999999999</v>
      </c>
      <c r="AG2661">
        <v>365</v>
      </c>
      <c r="AH2661">
        <v>0</v>
      </c>
    </row>
    <row r="2662" spans="1:34" x14ac:dyDescent="0.35">
      <c r="A2662" t="s">
        <v>37</v>
      </c>
      <c r="B2662" s="1">
        <v>46146.65625</v>
      </c>
      <c r="C2662" t="s">
        <v>37</v>
      </c>
      <c r="D2662" s="1">
        <v>46157.354166666664</v>
      </c>
      <c r="E2662">
        <v>7010</v>
      </c>
      <c r="F2662" t="s">
        <v>36</v>
      </c>
      <c r="G2662">
        <v>18.52</v>
      </c>
      <c r="H2662">
        <v>25.7</v>
      </c>
      <c r="I2662">
        <v>15.75</v>
      </c>
      <c r="J2662">
        <v>25.5</v>
      </c>
      <c r="K2662">
        <v>6</v>
      </c>
      <c r="L2662">
        <v>353</v>
      </c>
      <c r="M2662">
        <v>23.3</v>
      </c>
      <c r="N2662">
        <v>169</v>
      </c>
      <c r="O2662">
        <v>23.8</v>
      </c>
      <c r="P2662">
        <v>0</v>
      </c>
      <c r="Q2662">
        <v>0</v>
      </c>
      <c r="R2662">
        <v>0</v>
      </c>
      <c r="S2662">
        <v>0</v>
      </c>
      <c r="T2662">
        <v>0.18360000000000001</v>
      </c>
      <c r="U2662">
        <v>-0.1883</v>
      </c>
      <c r="V2662">
        <v>1.1999999999999999E-3</v>
      </c>
      <c r="W2662">
        <v>-2.8491</v>
      </c>
      <c r="X2662">
        <v>3.3858999999999999</v>
      </c>
      <c r="Y2662">
        <v>-0.4032</v>
      </c>
      <c r="Z2662">
        <v>139</v>
      </c>
      <c r="AA2662">
        <v>23.2</v>
      </c>
      <c r="AB2662">
        <v>204</v>
      </c>
      <c r="AC2662">
        <v>23.9</v>
      </c>
      <c r="AD2662">
        <v>0</v>
      </c>
      <c r="AE2662">
        <v>0</v>
      </c>
      <c r="AF2662">
        <v>20.331700000000001</v>
      </c>
      <c r="AG2662">
        <v>816</v>
      </c>
      <c r="AH2662">
        <v>0</v>
      </c>
    </row>
    <row r="2663" spans="1:34" x14ac:dyDescent="0.35">
      <c r="A2663" t="s">
        <v>37</v>
      </c>
      <c r="B2663" s="1">
        <v>46146.65625</v>
      </c>
      <c r="C2663" t="s">
        <v>37</v>
      </c>
      <c r="D2663" s="1">
        <v>46157.354166666664</v>
      </c>
      <c r="E2663">
        <v>7015</v>
      </c>
      <c r="F2663" t="s">
        <v>36</v>
      </c>
      <c r="G2663">
        <v>20.100000000000001</v>
      </c>
      <c r="H2663">
        <v>26.75</v>
      </c>
      <c r="I2663">
        <v>20.100000000000001</v>
      </c>
      <c r="J2663">
        <v>23.42</v>
      </c>
      <c r="K2663">
        <v>46</v>
      </c>
      <c r="L2663">
        <v>161</v>
      </c>
      <c r="M2663">
        <v>24</v>
      </c>
      <c r="N2663">
        <v>50</v>
      </c>
      <c r="O2663">
        <v>24.5</v>
      </c>
      <c r="P2663">
        <v>0</v>
      </c>
      <c r="Q2663">
        <v>0</v>
      </c>
      <c r="R2663">
        <v>0</v>
      </c>
      <c r="S2663">
        <v>0</v>
      </c>
      <c r="T2663">
        <v>0.1825</v>
      </c>
      <c r="U2663">
        <v>-0.1933</v>
      </c>
      <c r="V2663">
        <v>1.1999999999999999E-3</v>
      </c>
      <c r="W2663">
        <v>-2.8795999999999999</v>
      </c>
      <c r="X2663">
        <v>3.4382000000000001</v>
      </c>
      <c r="Y2663">
        <v>-0.41399999999999998</v>
      </c>
      <c r="Z2663">
        <v>139</v>
      </c>
      <c r="AA2663">
        <v>23.8</v>
      </c>
      <c r="AB2663">
        <v>50</v>
      </c>
      <c r="AC2663">
        <v>24.5</v>
      </c>
      <c r="AD2663">
        <v>0</v>
      </c>
      <c r="AE2663">
        <v>0</v>
      </c>
      <c r="AF2663">
        <v>22.903500000000001</v>
      </c>
      <c r="AG2663">
        <v>156</v>
      </c>
      <c r="AH2663">
        <v>0</v>
      </c>
    </row>
    <row r="2664" spans="1:34" x14ac:dyDescent="0.35">
      <c r="A2664" t="s">
        <v>37</v>
      </c>
      <c r="B2664" s="1">
        <v>46146.65625</v>
      </c>
      <c r="C2664" t="s">
        <v>37</v>
      </c>
      <c r="D2664" s="1">
        <v>46157.354166666664</v>
      </c>
      <c r="E2664">
        <v>7020</v>
      </c>
      <c r="F2664" t="s">
        <v>36</v>
      </c>
      <c r="G2664">
        <v>18.59</v>
      </c>
      <c r="H2664">
        <v>30.65</v>
      </c>
      <c r="I2664">
        <v>16.41</v>
      </c>
      <c r="J2664">
        <v>24.17</v>
      </c>
      <c r="K2664">
        <v>105</v>
      </c>
      <c r="L2664">
        <v>207</v>
      </c>
      <c r="M2664">
        <v>24.7</v>
      </c>
      <c r="N2664">
        <v>42</v>
      </c>
      <c r="O2664">
        <v>25.2</v>
      </c>
      <c r="P2664">
        <v>0</v>
      </c>
      <c r="Q2664">
        <v>0</v>
      </c>
      <c r="R2664">
        <v>0</v>
      </c>
      <c r="S2664">
        <v>0</v>
      </c>
      <c r="T2664">
        <v>0.1817</v>
      </c>
      <c r="U2664">
        <v>-0.1983</v>
      </c>
      <c r="V2664">
        <v>1.1999999999999999E-3</v>
      </c>
      <c r="W2664">
        <v>-2.9144000000000001</v>
      </c>
      <c r="X2664">
        <v>3.4895</v>
      </c>
      <c r="Y2664">
        <v>-0.42470000000000002</v>
      </c>
      <c r="Z2664">
        <v>109</v>
      </c>
      <c r="AA2664">
        <v>24.6</v>
      </c>
      <c r="AB2664">
        <v>97</v>
      </c>
      <c r="AC2664">
        <v>25.2</v>
      </c>
      <c r="AD2664">
        <v>0</v>
      </c>
      <c r="AE2664">
        <v>0</v>
      </c>
      <c r="AF2664">
        <v>26.058499999999999</v>
      </c>
      <c r="AG2664">
        <v>283</v>
      </c>
      <c r="AH2664">
        <v>0</v>
      </c>
    </row>
    <row r="2665" spans="1:34" x14ac:dyDescent="0.35">
      <c r="A2665" t="s">
        <v>37</v>
      </c>
      <c r="B2665" s="1">
        <v>46146.65625</v>
      </c>
      <c r="C2665" t="s">
        <v>37</v>
      </c>
      <c r="D2665" s="1">
        <v>46157.354166666664</v>
      </c>
      <c r="E2665">
        <v>7025</v>
      </c>
      <c r="F2665" t="s">
        <v>36</v>
      </c>
      <c r="G2665">
        <v>21.18</v>
      </c>
      <c r="H2665">
        <v>30.7</v>
      </c>
      <c r="I2665">
        <v>17</v>
      </c>
      <c r="J2665">
        <v>25.8</v>
      </c>
      <c r="K2665">
        <v>539</v>
      </c>
      <c r="L2665">
        <v>232</v>
      </c>
      <c r="M2665">
        <v>25.4</v>
      </c>
      <c r="N2665">
        <v>150</v>
      </c>
      <c r="O2665">
        <v>25.9</v>
      </c>
      <c r="P2665">
        <v>0</v>
      </c>
      <c r="Q2665">
        <v>0</v>
      </c>
      <c r="R2665">
        <v>0</v>
      </c>
      <c r="S2665">
        <v>0</v>
      </c>
      <c r="T2665">
        <v>0.18079999999999999</v>
      </c>
      <c r="U2665">
        <v>-0.20369999999999999</v>
      </c>
      <c r="V2665">
        <v>1.2999999999999999E-3</v>
      </c>
      <c r="W2665">
        <v>-2.9500999999999999</v>
      </c>
      <c r="X2665">
        <v>3.5428000000000002</v>
      </c>
      <c r="Y2665">
        <v>-0.43609999999999999</v>
      </c>
      <c r="Z2665">
        <v>111</v>
      </c>
      <c r="AA2665">
        <v>25.3</v>
      </c>
      <c r="AB2665">
        <v>95</v>
      </c>
      <c r="AC2665">
        <v>25.9</v>
      </c>
      <c r="AD2665">
        <v>0</v>
      </c>
      <c r="AE2665">
        <v>0</v>
      </c>
      <c r="AF2665">
        <v>26.601199999999999</v>
      </c>
      <c r="AG2665">
        <v>2687</v>
      </c>
      <c r="AH2665">
        <v>0</v>
      </c>
    </row>
    <row r="2666" spans="1:34" x14ac:dyDescent="0.35">
      <c r="A2666" t="s">
        <v>37</v>
      </c>
      <c r="B2666" s="1">
        <v>46146.65625</v>
      </c>
      <c r="C2666" t="s">
        <v>37</v>
      </c>
      <c r="D2666" s="1">
        <v>46157.354166666664</v>
      </c>
      <c r="E2666">
        <v>7030</v>
      </c>
      <c r="F2666" t="s">
        <v>36</v>
      </c>
      <c r="G2666">
        <v>21.98</v>
      </c>
      <c r="H2666">
        <v>29.66</v>
      </c>
      <c r="I2666">
        <v>18.84</v>
      </c>
      <c r="J2666">
        <v>26.82</v>
      </c>
      <c r="K2666">
        <v>45</v>
      </c>
      <c r="L2666">
        <v>348</v>
      </c>
      <c r="M2666">
        <v>26.1</v>
      </c>
      <c r="N2666">
        <v>31</v>
      </c>
      <c r="O2666">
        <v>26.6</v>
      </c>
      <c r="P2666">
        <v>0</v>
      </c>
      <c r="Q2666">
        <v>0</v>
      </c>
      <c r="R2666">
        <v>0</v>
      </c>
      <c r="S2666">
        <v>0</v>
      </c>
      <c r="T2666">
        <v>0.1797</v>
      </c>
      <c r="U2666">
        <v>-0.20899999999999999</v>
      </c>
      <c r="V2666">
        <v>1.2999999999999999E-3</v>
      </c>
      <c r="W2666">
        <v>-2.9786000000000001</v>
      </c>
      <c r="X2666">
        <v>3.5952000000000002</v>
      </c>
      <c r="Y2666">
        <v>-0.44750000000000001</v>
      </c>
      <c r="Z2666">
        <v>175</v>
      </c>
      <c r="AA2666">
        <v>26</v>
      </c>
      <c r="AB2666">
        <v>113</v>
      </c>
      <c r="AC2666">
        <v>26.7</v>
      </c>
      <c r="AD2666">
        <v>0</v>
      </c>
      <c r="AE2666">
        <v>0</v>
      </c>
      <c r="AF2666">
        <v>22.735299999999999</v>
      </c>
      <c r="AG2666">
        <v>565</v>
      </c>
      <c r="AH2666">
        <v>0</v>
      </c>
    </row>
    <row r="2667" spans="1:34" x14ac:dyDescent="0.35">
      <c r="A2667" t="s">
        <v>37</v>
      </c>
      <c r="B2667" s="1">
        <v>46146.65625</v>
      </c>
      <c r="C2667" t="s">
        <v>37</v>
      </c>
      <c r="D2667" s="1">
        <v>46157.354166666664</v>
      </c>
      <c r="E2667">
        <v>7035</v>
      </c>
      <c r="F2667" t="s">
        <v>36</v>
      </c>
      <c r="G2667">
        <v>22.48</v>
      </c>
      <c r="H2667">
        <v>28.2</v>
      </c>
      <c r="I2667">
        <v>18.7</v>
      </c>
      <c r="J2667">
        <v>28.2</v>
      </c>
      <c r="K2667">
        <v>9</v>
      </c>
      <c r="L2667">
        <v>166</v>
      </c>
      <c r="M2667">
        <v>26.9</v>
      </c>
      <c r="N2667">
        <v>43</v>
      </c>
      <c r="O2667">
        <v>27.4</v>
      </c>
      <c r="P2667">
        <v>0</v>
      </c>
      <c r="Q2667">
        <v>0</v>
      </c>
      <c r="R2667">
        <v>0</v>
      </c>
      <c r="S2667">
        <v>0</v>
      </c>
      <c r="T2667">
        <v>0.17899999999999999</v>
      </c>
      <c r="U2667">
        <v>-0.2145</v>
      </c>
      <c r="V2667">
        <v>1.2999999999999999E-3</v>
      </c>
      <c r="W2667">
        <v>-3.0152999999999999</v>
      </c>
      <c r="X2667">
        <v>3.6480999999999999</v>
      </c>
      <c r="Y2667">
        <v>-0.4592</v>
      </c>
      <c r="Z2667">
        <v>53</v>
      </c>
      <c r="AA2667">
        <v>26.8</v>
      </c>
      <c r="AB2667">
        <v>66</v>
      </c>
      <c r="AC2667">
        <v>27.5</v>
      </c>
      <c r="AD2667">
        <v>0</v>
      </c>
      <c r="AE2667">
        <v>0</v>
      </c>
      <c r="AF2667">
        <v>21.5989</v>
      </c>
      <c r="AG2667">
        <v>222</v>
      </c>
      <c r="AH2667">
        <v>0</v>
      </c>
    </row>
    <row r="2668" spans="1:34" x14ac:dyDescent="0.35">
      <c r="A2668" t="s">
        <v>37</v>
      </c>
      <c r="B2668" s="1">
        <v>46146.65625</v>
      </c>
      <c r="C2668" t="s">
        <v>37</v>
      </c>
      <c r="D2668" s="1">
        <v>46157.354166666664</v>
      </c>
      <c r="E2668">
        <v>7040</v>
      </c>
      <c r="F2668" t="s">
        <v>36</v>
      </c>
      <c r="G2668">
        <v>23.38</v>
      </c>
      <c r="H2668">
        <v>35.14</v>
      </c>
      <c r="I2668">
        <v>18.7</v>
      </c>
      <c r="J2668">
        <v>29.53</v>
      </c>
      <c r="K2668">
        <v>83</v>
      </c>
      <c r="L2668">
        <v>160</v>
      </c>
      <c r="M2668">
        <v>27.7</v>
      </c>
      <c r="N2668">
        <v>112</v>
      </c>
      <c r="O2668">
        <v>28.2</v>
      </c>
      <c r="P2668">
        <v>0</v>
      </c>
      <c r="Q2668">
        <v>0</v>
      </c>
      <c r="R2668">
        <v>0</v>
      </c>
      <c r="S2668">
        <v>0</v>
      </c>
      <c r="T2668">
        <v>0.17810000000000001</v>
      </c>
      <c r="U2668">
        <v>-0.22020000000000001</v>
      </c>
      <c r="V2668">
        <v>1.2999999999999999E-3</v>
      </c>
      <c r="W2668">
        <v>-3.0484</v>
      </c>
      <c r="X2668">
        <v>3.7019000000000002</v>
      </c>
      <c r="Y2668">
        <v>-0.47149999999999997</v>
      </c>
      <c r="Z2668">
        <v>98</v>
      </c>
      <c r="AA2668">
        <v>27.6</v>
      </c>
      <c r="AB2668">
        <v>107</v>
      </c>
      <c r="AC2668">
        <v>28.3</v>
      </c>
      <c r="AD2668">
        <v>0</v>
      </c>
      <c r="AE2668">
        <v>0</v>
      </c>
      <c r="AF2668">
        <v>28.873000000000001</v>
      </c>
      <c r="AG2668">
        <v>179</v>
      </c>
      <c r="AH2668">
        <v>0</v>
      </c>
    </row>
    <row r="2669" spans="1:34" x14ac:dyDescent="0.35">
      <c r="A2669" t="s">
        <v>37</v>
      </c>
      <c r="B2669" s="1">
        <v>46146.65625</v>
      </c>
      <c r="C2669" t="s">
        <v>37</v>
      </c>
      <c r="D2669" s="1">
        <v>46157.354166666664</v>
      </c>
      <c r="E2669">
        <v>7045</v>
      </c>
      <c r="F2669" t="s">
        <v>36</v>
      </c>
      <c r="G2669">
        <v>23.2</v>
      </c>
      <c r="H2669">
        <v>38.9</v>
      </c>
      <c r="I2669">
        <v>23.2</v>
      </c>
      <c r="J2669">
        <v>27.95</v>
      </c>
      <c r="K2669">
        <v>134</v>
      </c>
      <c r="L2669">
        <v>194</v>
      </c>
      <c r="M2669">
        <v>28.5</v>
      </c>
      <c r="N2669">
        <v>41</v>
      </c>
      <c r="O2669">
        <v>29</v>
      </c>
      <c r="P2669">
        <v>0</v>
      </c>
      <c r="Q2669">
        <v>0</v>
      </c>
      <c r="R2669">
        <v>0</v>
      </c>
      <c r="S2669">
        <v>0</v>
      </c>
      <c r="T2669">
        <v>0.17699999999999999</v>
      </c>
      <c r="U2669">
        <v>-0.22600000000000001</v>
      </c>
      <c r="V2669">
        <v>1.4E-3</v>
      </c>
      <c r="W2669">
        <v>-3.0781000000000001</v>
      </c>
      <c r="X2669">
        <v>3.7563</v>
      </c>
      <c r="Y2669">
        <v>-0.48420000000000002</v>
      </c>
      <c r="Z2669">
        <v>95</v>
      </c>
      <c r="AA2669">
        <v>28.4</v>
      </c>
      <c r="AB2669">
        <v>87</v>
      </c>
      <c r="AC2669">
        <v>29.1</v>
      </c>
      <c r="AD2669">
        <v>0</v>
      </c>
      <c r="AE2669">
        <v>0</v>
      </c>
      <c r="AF2669">
        <v>33.0503</v>
      </c>
      <c r="AG2669">
        <v>480</v>
      </c>
      <c r="AH2669">
        <v>0</v>
      </c>
    </row>
    <row r="2670" spans="1:34" x14ac:dyDescent="0.35">
      <c r="A2670" t="s">
        <v>37</v>
      </c>
      <c r="B2670" s="1">
        <v>46146.65625</v>
      </c>
      <c r="C2670" t="s">
        <v>37</v>
      </c>
      <c r="D2670" s="1">
        <v>46157.354166666664</v>
      </c>
      <c r="E2670">
        <v>7050</v>
      </c>
      <c r="F2670" t="s">
        <v>36</v>
      </c>
      <c r="G2670">
        <v>23.85</v>
      </c>
      <c r="H2670">
        <v>38.82</v>
      </c>
      <c r="I2670">
        <v>19.36</v>
      </c>
      <c r="J2670">
        <v>30.03</v>
      </c>
      <c r="K2670">
        <v>3654</v>
      </c>
      <c r="L2670">
        <v>206</v>
      </c>
      <c r="M2670">
        <v>29.3</v>
      </c>
      <c r="N2670">
        <v>40</v>
      </c>
      <c r="O2670">
        <v>29.8</v>
      </c>
      <c r="P2670">
        <v>0</v>
      </c>
      <c r="Q2670">
        <v>0</v>
      </c>
      <c r="R2670">
        <v>0</v>
      </c>
      <c r="S2670">
        <v>0</v>
      </c>
      <c r="T2670">
        <v>0.1759</v>
      </c>
      <c r="U2670">
        <v>-0.23180000000000001</v>
      </c>
      <c r="V2670">
        <v>1.4E-3</v>
      </c>
      <c r="W2670">
        <v>-3.1065</v>
      </c>
      <c r="X2670">
        <v>3.8088000000000002</v>
      </c>
      <c r="Y2670">
        <v>-0.49690000000000001</v>
      </c>
      <c r="Z2670">
        <v>142</v>
      </c>
      <c r="AA2670">
        <v>29.2</v>
      </c>
      <c r="AB2670">
        <v>162</v>
      </c>
      <c r="AC2670">
        <v>30</v>
      </c>
      <c r="AD2670">
        <v>0</v>
      </c>
      <c r="AE2670">
        <v>0</v>
      </c>
      <c r="AF2670">
        <v>22.9939</v>
      </c>
      <c r="AG2670">
        <v>9908</v>
      </c>
      <c r="AH2670">
        <v>0</v>
      </c>
    </row>
    <row r="2671" spans="1:34" x14ac:dyDescent="0.35">
      <c r="A2671" t="s">
        <v>37</v>
      </c>
      <c r="B2671" s="1">
        <v>46146.65625</v>
      </c>
      <c r="C2671" t="s">
        <v>37</v>
      </c>
      <c r="D2671" s="1">
        <v>46157.354166666664</v>
      </c>
      <c r="E2671">
        <v>7055</v>
      </c>
      <c r="F2671" t="s">
        <v>36</v>
      </c>
      <c r="G2671">
        <v>20.9</v>
      </c>
      <c r="H2671">
        <v>39.049999999999997</v>
      </c>
      <c r="I2671">
        <v>20.45</v>
      </c>
      <c r="J2671">
        <v>30.12</v>
      </c>
      <c r="K2671">
        <v>55</v>
      </c>
      <c r="L2671">
        <v>305</v>
      </c>
      <c r="M2671">
        <v>30.1</v>
      </c>
      <c r="N2671">
        <v>124</v>
      </c>
      <c r="O2671">
        <v>30.8</v>
      </c>
      <c r="P2671">
        <v>0</v>
      </c>
      <c r="Q2671">
        <v>0</v>
      </c>
      <c r="R2671">
        <v>0</v>
      </c>
      <c r="S2671">
        <v>0</v>
      </c>
      <c r="T2671">
        <v>0.17480000000000001</v>
      </c>
      <c r="U2671">
        <v>-0.23769999999999999</v>
      </c>
      <c r="V2671">
        <v>1.4E-3</v>
      </c>
      <c r="W2671">
        <v>-3.1324999999999998</v>
      </c>
      <c r="X2671">
        <v>3.8603999999999998</v>
      </c>
      <c r="Y2671">
        <v>-0.50980000000000003</v>
      </c>
      <c r="Z2671">
        <v>112</v>
      </c>
      <c r="AA2671">
        <v>30.1</v>
      </c>
      <c r="AB2671">
        <v>137</v>
      </c>
      <c r="AC2671">
        <v>30.9</v>
      </c>
      <c r="AD2671">
        <v>0</v>
      </c>
      <c r="AE2671">
        <v>0</v>
      </c>
      <c r="AF2671">
        <v>27.392399999999999</v>
      </c>
      <c r="AG2671">
        <v>85</v>
      </c>
      <c r="AH2671">
        <v>0</v>
      </c>
    </row>
    <row r="2672" spans="1:34" x14ac:dyDescent="0.35">
      <c r="A2672" t="s">
        <v>37</v>
      </c>
      <c r="B2672" s="1">
        <v>46146.65625</v>
      </c>
      <c r="C2672" t="s">
        <v>37</v>
      </c>
      <c r="D2672" s="1">
        <v>46157.354166666664</v>
      </c>
      <c r="E2672">
        <v>7060</v>
      </c>
      <c r="F2672" t="s">
        <v>36</v>
      </c>
      <c r="G2672">
        <v>21.1</v>
      </c>
      <c r="H2672">
        <v>41.12</v>
      </c>
      <c r="I2672">
        <v>21.1</v>
      </c>
      <c r="J2672">
        <v>32.96</v>
      </c>
      <c r="K2672">
        <v>133</v>
      </c>
      <c r="L2672">
        <v>238</v>
      </c>
      <c r="M2672">
        <v>31</v>
      </c>
      <c r="N2672">
        <v>135</v>
      </c>
      <c r="O2672">
        <v>31.6</v>
      </c>
      <c r="P2672">
        <v>0</v>
      </c>
      <c r="Q2672">
        <v>0</v>
      </c>
      <c r="R2672">
        <v>0</v>
      </c>
      <c r="S2672">
        <v>0</v>
      </c>
      <c r="T2672">
        <v>0.17419999999999999</v>
      </c>
      <c r="U2672">
        <v>-0.24390000000000001</v>
      </c>
      <c r="V2672">
        <v>1.5E-3</v>
      </c>
      <c r="W2672">
        <v>-3.1684000000000001</v>
      </c>
      <c r="X2672">
        <v>3.9131</v>
      </c>
      <c r="Y2672">
        <v>-0.52349999999999997</v>
      </c>
      <c r="Z2672">
        <v>86</v>
      </c>
      <c r="AA2672">
        <v>31</v>
      </c>
      <c r="AB2672">
        <v>131</v>
      </c>
      <c r="AC2672">
        <v>31.8</v>
      </c>
      <c r="AD2672">
        <v>0</v>
      </c>
      <c r="AE2672">
        <v>0</v>
      </c>
      <c r="AF2672">
        <v>30.9392</v>
      </c>
      <c r="AG2672">
        <v>277</v>
      </c>
      <c r="AH2672">
        <v>0</v>
      </c>
    </row>
    <row r="2673" spans="1:34" x14ac:dyDescent="0.35">
      <c r="A2673" t="s">
        <v>37</v>
      </c>
      <c r="B2673" s="1">
        <v>46146.65625</v>
      </c>
      <c r="C2673" t="s">
        <v>37</v>
      </c>
      <c r="D2673" s="1">
        <v>46157.354166666664</v>
      </c>
      <c r="E2673">
        <v>7065</v>
      </c>
      <c r="F2673" t="s">
        <v>36</v>
      </c>
      <c r="G2673">
        <v>24.86</v>
      </c>
      <c r="H2673">
        <v>34.49</v>
      </c>
      <c r="I2673">
        <v>24.86</v>
      </c>
      <c r="J2673">
        <v>31.11</v>
      </c>
      <c r="K2673">
        <v>38</v>
      </c>
      <c r="L2673">
        <v>196</v>
      </c>
      <c r="M2673">
        <v>31.9</v>
      </c>
      <c r="N2673">
        <v>101</v>
      </c>
      <c r="O2673">
        <v>32.5</v>
      </c>
      <c r="P2673">
        <v>0</v>
      </c>
      <c r="Q2673">
        <v>0</v>
      </c>
      <c r="R2673">
        <v>0</v>
      </c>
      <c r="S2673">
        <v>0</v>
      </c>
      <c r="T2673">
        <v>0.1731</v>
      </c>
      <c r="U2673">
        <v>-0.25040000000000001</v>
      </c>
      <c r="V2673">
        <v>1.5E-3</v>
      </c>
      <c r="W2673">
        <v>-3.1951000000000001</v>
      </c>
      <c r="X2673">
        <v>3.9655</v>
      </c>
      <c r="Y2673">
        <v>-0.53739999999999999</v>
      </c>
      <c r="Z2673">
        <v>106</v>
      </c>
      <c r="AA2673">
        <v>31.9</v>
      </c>
      <c r="AB2673">
        <v>100</v>
      </c>
      <c r="AC2673">
        <v>32.6</v>
      </c>
      <c r="AD2673">
        <v>0</v>
      </c>
      <c r="AE2673">
        <v>0</v>
      </c>
      <c r="AF2673">
        <v>32.574199999999998</v>
      </c>
      <c r="AG2673">
        <v>134</v>
      </c>
      <c r="AH2673">
        <v>0</v>
      </c>
    </row>
    <row r="2674" spans="1:34" x14ac:dyDescent="0.35">
      <c r="A2674" t="s">
        <v>37</v>
      </c>
      <c r="B2674" s="1">
        <v>46146.65625</v>
      </c>
      <c r="C2674" t="s">
        <v>37</v>
      </c>
      <c r="D2674" s="1">
        <v>46157.354166666664</v>
      </c>
      <c r="E2674">
        <v>7070</v>
      </c>
      <c r="F2674" t="s">
        <v>36</v>
      </c>
      <c r="G2674">
        <v>28.6</v>
      </c>
      <c r="H2674">
        <v>38.22</v>
      </c>
      <c r="I2674">
        <v>24.85</v>
      </c>
      <c r="J2674">
        <v>32.450000000000003</v>
      </c>
      <c r="K2674">
        <v>48</v>
      </c>
      <c r="L2674">
        <v>19</v>
      </c>
      <c r="M2674">
        <v>32.9</v>
      </c>
      <c r="N2674">
        <v>99</v>
      </c>
      <c r="O2674">
        <v>33.5</v>
      </c>
      <c r="P2674">
        <v>0</v>
      </c>
      <c r="Q2674">
        <v>0</v>
      </c>
      <c r="R2674">
        <v>0</v>
      </c>
      <c r="S2674">
        <v>0</v>
      </c>
      <c r="T2674">
        <v>0.1719</v>
      </c>
      <c r="U2674">
        <v>-0.25669999999999998</v>
      </c>
      <c r="V2674">
        <v>1.5E-3</v>
      </c>
      <c r="W2674">
        <v>-3.2170999999999998</v>
      </c>
      <c r="X2674">
        <v>4.0145999999999997</v>
      </c>
      <c r="Y2674">
        <v>-0.55079999999999996</v>
      </c>
      <c r="Z2674">
        <v>107</v>
      </c>
      <c r="AA2674">
        <v>32.799999999999997</v>
      </c>
      <c r="AB2674">
        <v>80</v>
      </c>
      <c r="AC2674">
        <v>33.6</v>
      </c>
      <c r="AD2674">
        <v>0</v>
      </c>
      <c r="AE2674">
        <v>0</v>
      </c>
      <c r="AF2674">
        <v>33.357500000000002</v>
      </c>
      <c r="AG2674">
        <v>540</v>
      </c>
      <c r="AH2674">
        <v>0</v>
      </c>
    </row>
    <row r="2675" spans="1:34" x14ac:dyDescent="0.35">
      <c r="A2675" t="s">
        <v>37</v>
      </c>
      <c r="B2675" s="1">
        <v>46146.65625</v>
      </c>
      <c r="C2675" t="s">
        <v>37</v>
      </c>
      <c r="D2675" s="1">
        <v>46157.354166666664</v>
      </c>
      <c r="E2675">
        <v>7075</v>
      </c>
      <c r="F2675" t="s">
        <v>36</v>
      </c>
      <c r="G2675">
        <v>26.99</v>
      </c>
      <c r="H2675">
        <v>42.74</v>
      </c>
      <c r="I2675">
        <v>22.59</v>
      </c>
      <c r="J2675">
        <v>34.549999999999997</v>
      </c>
      <c r="K2675">
        <v>386</v>
      </c>
      <c r="L2675">
        <v>268</v>
      </c>
      <c r="M2675">
        <v>33.799999999999997</v>
      </c>
      <c r="N2675">
        <v>41</v>
      </c>
      <c r="O2675">
        <v>34.4</v>
      </c>
      <c r="P2675">
        <v>0</v>
      </c>
      <c r="Q2675">
        <v>0</v>
      </c>
      <c r="R2675">
        <v>0</v>
      </c>
      <c r="S2675">
        <v>0</v>
      </c>
      <c r="T2675">
        <v>0.1711</v>
      </c>
      <c r="U2675">
        <v>-0.26340000000000002</v>
      </c>
      <c r="V2675">
        <v>1.5E-3</v>
      </c>
      <c r="W2675">
        <v>-3.2469999999999999</v>
      </c>
      <c r="X2675">
        <v>4.0659000000000001</v>
      </c>
      <c r="Y2675">
        <v>-0.56520000000000004</v>
      </c>
      <c r="Z2675">
        <v>110</v>
      </c>
      <c r="AA2675">
        <v>33.799999999999997</v>
      </c>
      <c r="AB2675">
        <v>50</v>
      </c>
      <c r="AC2675">
        <v>34.5</v>
      </c>
      <c r="AD2675">
        <v>0</v>
      </c>
      <c r="AE2675">
        <v>0</v>
      </c>
      <c r="AF2675">
        <v>34.323799999999999</v>
      </c>
      <c r="AG2675">
        <v>584</v>
      </c>
      <c r="AH2675">
        <v>0</v>
      </c>
    </row>
    <row r="2676" spans="1:34" x14ac:dyDescent="0.35">
      <c r="A2676" t="s">
        <v>37</v>
      </c>
      <c r="B2676" s="1">
        <v>46146.65625</v>
      </c>
      <c r="C2676" t="s">
        <v>37</v>
      </c>
      <c r="D2676" s="1">
        <v>46157.354166666664</v>
      </c>
      <c r="E2676">
        <v>7080</v>
      </c>
      <c r="F2676" t="s">
        <v>36</v>
      </c>
      <c r="G2676">
        <v>30.3</v>
      </c>
      <c r="H2676">
        <v>41.46</v>
      </c>
      <c r="I2676">
        <v>23.79</v>
      </c>
      <c r="J2676">
        <v>34.06</v>
      </c>
      <c r="K2676">
        <v>91</v>
      </c>
      <c r="L2676">
        <v>123</v>
      </c>
      <c r="M2676">
        <v>34.799999999999997</v>
      </c>
      <c r="N2676">
        <v>66</v>
      </c>
      <c r="O2676">
        <v>35.5</v>
      </c>
      <c r="P2676">
        <v>0</v>
      </c>
      <c r="Q2676">
        <v>0</v>
      </c>
      <c r="R2676">
        <v>0</v>
      </c>
      <c r="S2676">
        <v>0</v>
      </c>
      <c r="T2676">
        <v>0.17019999999999999</v>
      </c>
      <c r="U2676">
        <v>-0.2702</v>
      </c>
      <c r="V2676">
        <v>1.6000000000000001E-3</v>
      </c>
      <c r="W2676">
        <v>-3.2738999999999998</v>
      </c>
      <c r="X2676">
        <v>4.1165000000000003</v>
      </c>
      <c r="Y2676">
        <v>-0.57979999999999998</v>
      </c>
      <c r="Z2676">
        <v>82</v>
      </c>
      <c r="AA2676">
        <v>34.799999999999997</v>
      </c>
      <c r="AB2676">
        <v>41</v>
      </c>
      <c r="AC2676">
        <v>35.5</v>
      </c>
      <c r="AD2676">
        <v>0</v>
      </c>
      <c r="AE2676">
        <v>0</v>
      </c>
      <c r="AF2676">
        <v>28.423400000000001</v>
      </c>
      <c r="AG2676">
        <v>262</v>
      </c>
      <c r="AH2676">
        <v>0</v>
      </c>
    </row>
    <row r="2677" spans="1:34" x14ac:dyDescent="0.35">
      <c r="A2677" t="s">
        <v>37</v>
      </c>
      <c r="B2677" s="1">
        <v>46146.65625</v>
      </c>
      <c r="C2677" t="s">
        <v>37</v>
      </c>
      <c r="D2677" s="1">
        <v>46157.354166666664</v>
      </c>
      <c r="E2677">
        <v>7085</v>
      </c>
      <c r="F2677" t="s">
        <v>36</v>
      </c>
      <c r="G2677">
        <v>31.2</v>
      </c>
      <c r="H2677">
        <v>40.68</v>
      </c>
      <c r="I2677">
        <v>28.2</v>
      </c>
      <c r="J2677">
        <v>35.04</v>
      </c>
      <c r="K2677">
        <v>23</v>
      </c>
      <c r="L2677">
        <v>193</v>
      </c>
      <c r="M2677">
        <v>35.799999999999997</v>
      </c>
      <c r="N2677">
        <v>37</v>
      </c>
      <c r="O2677">
        <v>36.4</v>
      </c>
      <c r="P2677">
        <v>0</v>
      </c>
      <c r="Q2677">
        <v>0</v>
      </c>
      <c r="R2677">
        <v>0</v>
      </c>
      <c r="S2677">
        <v>0</v>
      </c>
      <c r="T2677">
        <v>0.16919999999999999</v>
      </c>
      <c r="U2677">
        <v>-0.27710000000000001</v>
      </c>
      <c r="V2677">
        <v>1.6000000000000001E-3</v>
      </c>
      <c r="W2677">
        <v>-3.2978999999999998</v>
      </c>
      <c r="X2677">
        <v>4.1664000000000003</v>
      </c>
      <c r="Y2677">
        <v>-0.59470000000000001</v>
      </c>
      <c r="Z2677">
        <v>79</v>
      </c>
      <c r="AA2677">
        <v>35.799999999999997</v>
      </c>
      <c r="AB2677">
        <v>111</v>
      </c>
      <c r="AC2677">
        <v>36.6</v>
      </c>
      <c r="AD2677">
        <v>0</v>
      </c>
      <c r="AE2677">
        <v>0</v>
      </c>
      <c r="AF2677">
        <v>30.882999999999999</v>
      </c>
      <c r="AG2677">
        <v>139</v>
      </c>
      <c r="AH2677">
        <v>0</v>
      </c>
    </row>
    <row r="2678" spans="1:34" x14ac:dyDescent="0.35">
      <c r="A2678" t="s">
        <v>37</v>
      </c>
      <c r="B2678" s="1">
        <v>46146.65625</v>
      </c>
      <c r="C2678" t="s">
        <v>37</v>
      </c>
      <c r="D2678" s="1">
        <v>46157.354166666664</v>
      </c>
      <c r="E2678">
        <v>7090</v>
      </c>
      <c r="F2678" t="s">
        <v>36</v>
      </c>
      <c r="G2678">
        <v>29.67</v>
      </c>
      <c r="H2678">
        <v>46.21</v>
      </c>
      <c r="I2678">
        <v>24.75</v>
      </c>
      <c r="J2678">
        <v>37.67</v>
      </c>
      <c r="K2678">
        <v>198</v>
      </c>
      <c r="L2678">
        <v>199</v>
      </c>
      <c r="M2678">
        <v>36.799999999999997</v>
      </c>
      <c r="N2678">
        <v>33</v>
      </c>
      <c r="O2678">
        <v>37.4</v>
      </c>
      <c r="P2678">
        <v>0</v>
      </c>
      <c r="Q2678">
        <v>0</v>
      </c>
      <c r="R2678">
        <v>0</v>
      </c>
      <c r="S2678">
        <v>0</v>
      </c>
      <c r="T2678">
        <v>0.16819999999999999</v>
      </c>
      <c r="U2678">
        <v>-0.28420000000000001</v>
      </c>
      <c r="V2678">
        <v>1.6000000000000001E-3</v>
      </c>
      <c r="W2678">
        <v>-3.3220999999999998</v>
      </c>
      <c r="X2678">
        <v>4.2164000000000001</v>
      </c>
      <c r="Y2678">
        <v>-0.61029999999999995</v>
      </c>
      <c r="Z2678">
        <v>80</v>
      </c>
      <c r="AA2678">
        <v>36.9</v>
      </c>
      <c r="AB2678">
        <v>72</v>
      </c>
      <c r="AC2678">
        <v>37.6</v>
      </c>
      <c r="AD2678">
        <v>0</v>
      </c>
      <c r="AE2678">
        <v>0</v>
      </c>
      <c r="AF2678">
        <v>35.685400000000001</v>
      </c>
      <c r="AG2678">
        <v>229</v>
      </c>
      <c r="AH2678">
        <v>0</v>
      </c>
    </row>
    <row r="2679" spans="1:34" x14ac:dyDescent="0.35">
      <c r="A2679" t="s">
        <v>37</v>
      </c>
      <c r="B2679" s="1">
        <v>46146.65625</v>
      </c>
      <c r="C2679" t="s">
        <v>37</v>
      </c>
      <c r="D2679" s="1">
        <v>46157.354166666664</v>
      </c>
      <c r="E2679">
        <v>7095</v>
      </c>
      <c r="F2679" t="s">
        <v>36</v>
      </c>
      <c r="G2679">
        <v>29.65</v>
      </c>
      <c r="H2679">
        <v>46.27</v>
      </c>
      <c r="I2679">
        <v>29.65</v>
      </c>
      <c r="J2679">
        <v>38.65</v>
      </c>
      <c r="K2679">
        <v>77</v>
      </c>
      <c r="L2679">
        <v>164</v>
      </c>
      <c r="M2679">
        <v>37.9</v>
      </c>
      <c r="N2679">
        <v>114</v>
      </c>
      <c r="O2679">
        <v>38.6</v>
      </c>
      <c r="P2679">
        <v>0</v>
      </c>
      <c r="Q2679">
        <v>0</v>
      </c>
      <c r="R2679">
        <v>0</v>
      </c>
      <c r="S2679">
        <v>0</v>
      </c>
      <c r="T2679">
        <v>0.16719999999999999</v>
      </c>
      <c r="U2679">
        <v>-0.29139999999999999</v>
      </c>
      <c r="V2679">
        <v>1.6999999999999999E-3</v>
      </c>
      <c r="W2679">
        <v>-3.3433999999999999</v>
      </c>
      <c r="X2679">
        <v>4.2651000000000003</v>
      </c>
      <c r="Y2679">
        <v>-0.62609999999999999</v>
      </c>
      <c r="Z2679">
        <v>79</v>
      </c>
      <c r="AA2679">
        <v>38</v>
      </c>
      <c r="AB2679">
        <v>72</v>
      </c>
      <c r="AC2679">
        <v>38.700000000000003</v>
      </c>
      <c r="AD2679">
        <v>0</v>
      </c>
      <c r="AE2679">
        <v>0</v>
      </c>
      <c r="AF2679">
        <v>39.368600000000001</v>
      </c>
      <c r="AG2679">
        <v>163</v>
      </c>
      <c r="AH2679">
        <v>0</v>
      </c>
    </row>
    <row r="2680" spans="1:34" x14ac:dyDescent="0.35">
      <c r="A2680" t="s">
        <v>37</v>
      </c>
      <c r="B2680" s="1">
        <v>46146.65625</v>
      </c>
      <c r="C2680" t="s">
        <v>37</v>
      </c>
      <c r="D2680" s="1">
        <v>46157.354166666664</v>
      </c>
      <c r="E2680">
        <v>7100</v>
      </c>
      <c r="F2680" t="s">
        <v>36</v>
      </c>
      <c r="G2680">
        <v>34.340000000000003</v>
      </c>
      <c r="H2680">
        <v>50.38</v>
      </c>
      <c r="I2680">
        <v>26.28</v>
      </c>
      <c r="J2680">
        <v>39.75</v>
      </c>
      <c r="K2680">
        <v>578</v>
      </c>
      <c r="L2680">
        <v>161</v>
      </c>
      <c r="M2680">
        <v>39</v>
      </c>
      <c r="N2680">
        <v>32</v>
      </c>
      <c r="O2680">
        <v>39.6</v>
      </c>
      <c r="P2680">
        <v>0</v>
      </c>
      <c r="Q2680">
        <v>0</v>
      </c>
      <c r="R2680">
        <v>0</v>
      </c>
      <c r="S2680">
        <v>0</v>
      </c>
      <c r="T2680">
        <v>0.16619999999999999</v>
      </c>
      <c r="U2680">
        <v>-0.29880000000000001</v>
      </c>
      <c r="V2680">
        <v>1.6999999999999999E-3</v>
      </c>
      <c r="W2680">
        <v>-3.3643999999999998</v>
      </c>
      <c r="X2680">
        <v>4.3129999999999997</v>
      </c>
      <c r="Y2680">
        <v>-0.64229999999999998</v>
      </c>
      <c r="Z2680">
        <v>79</v>
      </c>
      <c r="AA2680">
        <v>39.1</v>
      </c>
      <c r="AB2680">
        <v>46</v>
      </c>
      <c r="AC2680">
        <v>39.799999999999997</v>
      </c>
      <c r="AD2680">
        <v>0</v>
      </c>
      <c r="AE2680">
        <v>0</v>
      </c>
      <c r="AF2680">
        <v>39.920200000000001</v>
      </c>
      <c r="AG2680">
        <v>12013</v>
      </c>
      <c r="AH2680">
        <v>0</v>
      </c>
    </row>
    <row r="2681" spans="1:34" x14ac:dyDescent="0.35">
      <c r="A2681" t="s">
        <v>37</v>
      </c>
      <c r="B2681" s="1">
        <v>46146.65625</v>
      </c>
      <c r="C2681" t="s">
        <v>37</v>
      </c>
      <c r="D2681" s="1">
        <v>46157.354166666664</v>
      </c>
      <c r="E2681">
        <v>7105</v>
      </c>
      <c r="F2681" t="s">
        <v>36</v>
      </c>
      <c r="G2681">
        <v>30.7</v>
      </c>
      <c r="H2681">
        <v>49.69</v>
      </c>
      <c r="I2681">
        <v>27.15</v>
      </c>
      <c r="J2681">
        <v>39.4</v>
      </c>
      <c r="K2681">
        <v>45</v>
      </c>
      <c r="L2681">
        <v>155</v>
      </c>
      <c r="M2681">
        <v>40.1</v>
      </c>
      <c r="N2681">
        <v>31</v>
      </c>
      <c r="O2681">
        <v>40.700000000000003</v>
      </c>
      <c r="P2681">
        <v>0</v>
      </c>
      <c r="Q2681">
        <v>0</v>
      </c>
      <c r="R2681">
        <v>0</v>
      </c>
      <c r="S2681">
        <v>0</v>
      </c>
      <c r="T2681">
        <v>0.1653</v>
      </c>
      <c r="U2681">
        <v>-0.30649999999999999</v>
      </c>
      <c r="V2681">
        <v>1.6999999999999999E-3</v>
      </c>
      <c r="W2681">
        <v>-3.3853</v>
      </c>
      <c r="X2681">
        <v>4.3597999999999999</v>
      </c>
      <c r="Y2681">
        <v>-0.65890000000000004</v>
      </c>
      <c r="Z2681">
        <v>70</v>
      </c>
      <c r="AA2681">
        <v>40.200000000000003</v>
      </c>
      <c r="AB2681">
        <v>81</v>
      </c>
      <c r="AC2681">
        <v>41</v>
      </c>
      <c r="AD2681">
        <v>0</v>
      </c>
      <c r="AE2681">
        <v>0</v>
      </c>
      <c r="AF2681">
        <v>39.262</v>
      </c>
      <c r="AG2681">
        <v>150</v>
      </c>
      <c r="AH2681">
        <v>0</v>
      </c>
    </row>
    <row r="2682" spans="1:34" x14ac:dyDescent="0.35">
      <c r="A2682" t="s">
        <v>37</v>
      </c>
      <c r="B2682" s="1">
        <v>46146.65625</v>
      </c>
      <c r="C2682" t="s">
        <v>37</v>
      </c>
      <c r="D2682" s="1">
        <v>46157.354166666664</v>
      </c>
      <c r="E2682">
        <v>7110</v>
      </c>
      <c r="F2682" t="s">
        <v>36</v>
      </c>
      <c r="G2682">
        <v>34.520000000000003</v>
      </c>
      <c r="H2682">
        <v>47.47</v>
      </c>
      <c r="I2682">
        <v>29.2</v>
      </c>
      <c r="J2682">
        <v>41.3</v>
      </c>
      <c r="K2682">
        <v>56</v>
      </c>
      <c r="L2682">
        <v>165</v>
      </c>
      <c r="M2682">
        <v>41.3</v>
      </c>
      <c r="N2682">
        <v>34</v>
      </c>
      <c r="O2682">
        <v>41.9</v>
      </c>
      <c r="P2682">
        <v>0</v>
      </c>
      <c r="Q2682">
        <v>0</v>
      </c>
      <c r="R2682">
        <v>0</v>
      </c>
      <c r="S2682">
        <v>0</v>
      </c>
      <c r="T2682">
        <v>0.1641</v>
      </c>
      <c r="U2682">
        <v>-0.31409999999999999</v>
      </c>
      <c r="V2682">
        <v>1.6999999999999999E-3</v>
      </c>
      <c r="W2682">
        <v>-3.3997000000000002</v>
      </c>
      <c r="X2682">
        <v>4.4043000000000001</v>
      </c>
      <c r="Y2682">
        <v>-0.6754</v>
      </c>
      <c r="Z2682">
        <v>69</v>
      </c>
      <c r="AA2682">
        <v>41.4</v>
      </c>
      <c r="AB2682">
        <v>91</v>
      </c>
      <c r="AC2682">
        <v>42.2</v>
      </c>
      <c r="AD2682">
        <v>0</v>
      </c>
      <c r="AE2682">
        <v>0</v>
      </c>
      <c r="AF2682">
        <v>33.634799999999998</v>
      </c>
      <c r="AG2682">
        <v>160</v>
      </c>
      <c r="AH2682">
        <v>0</v>
      </c>
    </row>
    <row r="2683" spans="1:34" x14ac:dyDescent="0.35">
      <c r="A2683" t="s">
        <v>37</v>
      </c>
      <c r="B2683" s="1">
        <v>46146.65625</v>
      </c>
      <c r="C2683" t="s">
        <v>37</v>
      </c>
      <c r="D2683" s="1">
        <v>46157.354166666664</v>
      </c>
      <c r="E2683">
        <v>7115</v>
      </c>
      <c r="F2683" t="s">
        <v>36</v>
      </c>
      <c r="G2683">
        <v>32.700000000000003</v>
      </c>
      <c r="H2683">
        <v>47.85</v>
      </c>
      <c r="I2683">
        <v>29.8</v>
      </c>
      <c r="J2683">
        <v>41.98</v>
      </c>
      <c r="K2683">
        <v>162</v>
      </c>
      <c r="L2683">
        <v>144</v>
      </c>
      <c r="M2683">
        <v>42.5</v>
      </c>
      <c r="N2683">
        <v>46</v>
      </c>
      <c r="O2683">
        <v>43.1</v>
      </c>
      <c r="P2683">
        <v>0</v>
      </c>
      <c r="Q2683">
        <v>0</v>
      </c>
      <c r="R2683">
        <v>0</v>
      </c>
      <c r="S2683">
        <v>0</v>
      </c>
      <c r="T2683">
        <v>0.16309999999999999</v>
      </c>
      <c r="U2683">
        <v>-0.32200000000000001</v>
      </c>
      <c r="V2683">
        <v>1.8E-3</v>
      </c>
      <c r="W2683">
        <v>-3.4169</v>
      </c>
      <c r="X2683">
        <v>4.4481999999999999</v>
      </c>
      <c r="Y2683">
        <v>-0.69230000000000003</v>
      </c>
      <c r="Z2683">
        <v>25</v>
      </c>
      <c r="AA2683">
        <v>42.6</v>
      </c>
      <c r="AB2683">
        <v>78</v>
      </c>
      <c r="AC2683">
        <v>43.4</v>
      </c>
      <c r="AD2683">
        <v>0</v>
      </c>
      <c r="AE2683">
        <v>0</v>
      </c>
      <c r="AF2683">
        <v>30.794799999999999</v>
      </c>
      <c r="AG2683">
        <v>144</v>
      </c>
      <c r="AH2683">
        <v>0</v>
      </c>
    </row>
    <row r="2684" spans="1:34" x14ac:dyDescent="0.35">
      <c r="A2684" t="s">
        <v>37</v>
      </c>
      <c r="B2684" s="1">
        <v>46146.65625</v>
      </c>
      <c r="C2684" t="s">
        <v>37</v>
      </c>
      <c r="D2684" s="1">
        <v>46157.354166666664</v>
      </c>
      <c r="E2684">
        <v>7120</v>
      </c>
      <c r="F2684" t="s">
        <v>36</v>
      </c>
      <c r="G2684">
        <v>35.06</v>
      </c>
      <c r="H2684">
        <v>54.55</v>
      </c>
      <c r="I2684">
        <v>29.5</v>
      </c>
      <c r="J2684">
        <v>46.46</v>
      </c>
      <c r="K2684">
        <v>42</v>
      </c>
      <c r="L2684">
        <v>135</v>
      </c>
      <c r="M2684">
        <v>43.7</v>
      </c>
      <c r="N2684">
        <v>105</v>
      </c>
      <c r="O2684">
        <v>44.4</v>
      </c>
      <c r="P2684">
        <v>0</v>
      </c>
      <c r="Q2684">
        <v>0</v>
      </c>
      <c r="R2684">
        <v>0</v>
      </c>
      <c r="S2684">
        <v>0</v>
      </c>
      <c r="T2684">
        <v>0.16200000000000001</v>
      </c>
      <c r="U2684">
        <v>-0.33</v>
      </c>
      <c r="V2684">
        <v>1.8E-3</v>
      </c>
      <c r="W2684">
        <v>-3.4306999999999999</v>
      </c>
      <c r="X2684">
        <v>4.4908000000000001</v>
      </c>
      <c r="Y2684">
        <v>-0.70950000000000002</v>
      </c>
      <c r="Z2684">
        <v>91</v>
      </c>
      <c r="AA2684">
        <v>43.8</v>
      </c>
      <c r="AB2684">
        <v>70</v>
      </c>
      <c r="AC2684">
        <v>44.7</v>
      </c>
      <c r="AD2684">
        <v>0</v>
      </c>
      <c r="AE2684">
        <v>0</v>
      </c>
      <c r="AF2684">
        <v>40.816400000000002</v>
      </c>
      <c r="AG2684">
        <v>673</v>
      </c>
      <c r="AH2684">
        <v>0</v>
      </c>
    </row>
    <row r="2685" spans="1:34" x14ac:dyDescent="0.35">
      <c r="A2685" t="s">
        <v>37</v>
      </c>
      <c r="B2685" s="1">
        <v>46146.65625</v>
      </c>
      <c r="C2685" t="s">
        <v>37</v>
      </c>
      <c r="D2685" s="1">
        <v>46157.354166666664</v>
      </c>
      <c r="E2685">
        <v>7125</v>
      </c>
      <c r="F2685" t="s">
        <v>36</v>
      </c>
      <c r="G2685">
        <v>37.72</v>
      </c>
      <c r="H2685">
        <v>55.95</v>
      </c>
      <c r="I2685">
        <v>30.9</v>
      </c>
      <c r="J2685">
        <v>44.64</v>
      </c>
      <c r="K2685">
        <v>434</v>
      </c>
      <c r="L2685">
        <v>147</v>
      </c>
      <c r="M2685">
        <v>44.9</v>
      </c>
      <c r="N2685">
        <v>65</v>
      </c>
      <c r="O2685">
        <v>45.6</v>
      </c>
      <c r="P2685">
        <v>0</v>
      </c>
      <c r="Q2685">
        <v>0</v>
      </c>
      <c r="R2685">
        <v>0</v>
      </c>
      <c r="S2685">
        <v>0</v>
      </c>
      <c r="T2685">
        <v>0.16109999999999999</v>
      </c>
      <c r="U2685">
        <v>-0.33829999999999999</v>
      </c>
      <c r="V2685">
        <v>1.8E-3</v>
      </c>
      <c r="W2685">
        <v>-3.4468999999999999</v>
      </c>
      <c r="X2685">
        <v>4.5330000000000004</v>
      </c>
      <c r="Y2685">
        <v>-0.72740000000000005</v>
      </c>
      <c r="Z2685">
        <v>38</v>
      </c>
      <c r="AA2685">
        <v>45.1</v>
      </c>
      <c r="AB2685">
        <v>22</v>
      </c>
      <c r="AC2685">
        <v>46</v>
      </c>
      <c r="AD2685">
        <v>0</v>
      </c>
      <c r="AE2685">
        <v>0</v>
      </c>
      <c r="AF2685">
        <v>43.775500000000001</v>
      </c>
      <c r="AG2685">
        <v>2724</v>
      </c>
      <c r="AH2685">
        <v>0</v>
      </c>
    </row>
    <row r="2686" spans="1:34" x14ac:dyDescent="0.35">
      <c r="A2686" t="s">
        <v>37</v>
      </c>
      <c r="B2686" s="1">
        <v>46146.65625</v>
      </c>
      <c r="C2686" t="s">
        <v>37</v>
      </c>
      <c r="D2686" s="1">
        <v>46157.354166666664</v>
      </c>
      <c r="E2686">
        <v>7130</v>
      </c>
      <c r="F2686" t="s">
        <v>36</v>
      </c>
      <c r="G2686">
        <v>40.9</v>
      </c>
      <c r="H2686">
        <v>50.1</v>
      </c>
      <c r="I2686">
        <v>32.049999999999997</v>
      </c>
      <c r="J2686">
        <v>46.7</v>
      </c>
      <c r="K2686">
        <v>46</v>
      </c>
      <c r="L2686">
        <v>148</v>
      </c>
      <c r="M2686">
        <v>46.2</v>
      </c>
      <c r="N2686">
        <v>65</v>
      </c>
      <c r="O2686">
        <v>46.9</v>
      </c>
      <c r="P2686">
        <v>0</v>
      </c>
      <c r="Q2686">
        <v>0</v>
      </c>
      <c r="R2686">
        <v>0</v>
      </c>
      <c r="S2686">
        <v>0</v>
      </c>
      <c r="T2686">
        <v>0.16</v>
      </c>
      <c r="U2686">
        <v>-0.34670000000000001</v>
      </c>
      <c r="V2686">
        <v>1.9E-3</v>
      </c>
      <c r="W2686">
        <v>-3.4561000000000002</v>
      </c>
      <c r="X2686">
        <v>4.5735999999999999</v>
      </c>
      <c r="Y2686">
        <v>-0.74560000000000004</v>
      </c>
      <c r="Z2686">
        <v>78</v>
      </c>
      <c r="AA2686">
        <v>46.4</v>
      </c>
      <c r="AB2686">
        <v>94</v>
      </c>
      <c r="AC2686">
        <v>47.4</v>
      </c>
      <c r="AD2686">
        <v>0</v>
      </c>
      <c r="AE2686">
        <v>0</v>
      </c>
      <c r="AF2686">
        <v>43.678699999999999</v>
      </c>
      <c r="AG2686">
        <v>745</v>
      </c>
      <c r="AH2686">
        <v>0</v>
      </c>
    </row>
    <row r="2687" spans="1:34" x14ac:dyDescent="0.35">
      <c r="A2687" t="s">
        <v>37</v>
      </c>
      <c r="B2687" s="1">
        <v>46146.65625</v>
      </c>
      <c r="C2687" t="s">
        <v>37</v>
      </c>
      <c r="D2687" s="1">
        <v>46157.354166666664</v>
      </c>
      <c r="E2687">
        <v>7135</v>
      </c>
      <c r="F2687" t="s">
        <v>36</v>
      </c>
      <c r="G2687">
        <v>37.799999999999997</v>
      </c>
      <c r="H2687">
        <v>53.42</v>
      </c>
      <c r="I2687">
        <v>36.200000000000003</v>
      </c>
      <c r="J2687">
        <v>50.98</v>
      </c>
      <c r="K2687">
        <v>37</v>
      </c>
      <c r="L2687">
        <v>128</v>
      </c>
      <c r="M2687">
        <v>47.6</v>
      </c>
      <c r="N2687">
        <v>88</v>
      </c>
      <c r="O2687">
        <v>48.3</v>
      </c>
      <c r="P2687">
        <v>0</v>
      </c>
      <c r="Q2687">
        <v>0</v>
      </c>
      <c r="R2687">
        <v>0</v>
      </c>
      <c r="S2687">
        <v>0</v>
      </c>
      <c r="T2687">
        <v>0.159</v>
      </c>
      <c r="U2687">
        <v>-0.3553</v>
      </c>
      <c r="V2687">
        <v>1.9E-3</v>
      </c>
      <c r="W2687">
        <v>-3.4676</v>
      </c>
      <c r="X2687">
        <v>4.6131000000000002</v>
      </c>
      <c r="Y2687">
        <v>-0.76459999999999995</v>
      </c>
      <c r="Z2687">
        <v>23</v>
      </c>
      <c r="AA2687">
        <v>47.8</v>
      </c>
      <c r="AB2687">
        <v>22</v>
      </c>
      <c r="AC2687">
        <v>48.6</v>
      </c>
      <c r="AD2687">
        <v>0</v>
      </c>
      <c r="AE2687">
        <v>0</v>
      </c>
      <c r="AF2687">
        <v>42.603000000000002</v>
      </c>
      <c r="AG2687">
        <v>884</v>
      </c>
      <c r="AH2687">
        <v>0</v>
      </c>
    </row>
    <row r="2688" spans="1:34" x14ac:dyDescent="0.35">
      <c r="A2688" t="s">
        <v>37</v>
      </c>
      <c r="B2688" s="1">
        <v>46146.65625</v>
      </c>
      <c r="C2688" t="s">
        <v>37</v>
      </c>
      <c r="D2688" s="1">
        <v>46157.354166666664</v>
      </c>
      <c r="E2688">
        <v>7140</v>
      </c>
      <c r="F2688" t="s">
        <v>36</v>
      </c>
      <c r="G2688">
        <v>40.119999999999997</v>
      </c>
      <c r="H2688">
        <v>61.84</v>
      </c>
      <c r="I2688">
        <v>34.82</v>
      </c>
      <c r="J2688">
        <v>48.37</v>
      </c>
      <c r="K2688">
        <v>204</v>
      </c>
      <c r="L2688">
        <v>122</v>
      </c>
      <c r="M2688">
        <v>48.9</v>
      </c>
      <c r="N2688">
        <v>72</v>
      </c>
      <c r="O2688">
        <v>49.6</v>
      </c>
      <c r="P2688">
        <v>0</v>
      </c>
      <c r="Q2688">
        <v>0</v>
      </c>
      <c r="R2688">
        <v>0</v>
      </c>
      <c r="S2688">
        <v>0</v>
      </c>
      <c r="T2688">
        <v>0.15790000000000001</v>
      </c>
      <c r="U2688">
        <v>-0.36399999999999999</v>
      </c>
      <c r="V2688">
        <v>1.9E-3</v>
      </c>
      <c r="W2688">
        <v>-3.4744000000000002</v>
      </c>
      <c r="X2688">
        <v>4.6508000000000003</v>
      </c>
      <c r="Y2688">
        <v>-0.78380000000000005</v>
      </c>
      <c r="Z2688">
        <v>68</v>
      </c>
      <c r="AA2688">
        <v>49.2</v>
      </c>
      <c r="AB2688">
        <v>71</v>
      </c>
      <c r="AC2688">
        <v>50.1</v>
      </c>
      <c r="AD2688">
        <v>0</v>
      </c>
      <c r="AE2688">
        <v>0</v>
      </c>
      <c r="AF2688">
        <v>49.463000000000001</v>
      </c>
      <c r="AG2688">
        <v>485</v>
      </c>
      <c r="AH2688">
        <v>0</v>
      </c>
    </row>
    <row r="2689" spans="1:34" x14ac:dyDescent="0.35">
      <c r="A2689" t="s">
        <v>37</v>
      </c>
      <c r="B2689" s="1">
        <v>46146.65625</v>
      </c>
      <c r="C2689" t="s">
        <v>37</v>
      </c>
      <c r="D2689" s="1">
        <v>46157.354166666664</v>
      </c>
      <c r="E2689">
        <v>7145</v>
      </c>
      <c r="F2689" t="s">
        <v>36</v>
      </c>
      <c r="G2689">
        <v>43.62</v>
      </c>
      <c r="H2689">
        <v>59.87</v>
      </c>
      <c r="I2689">
        <v>35.700000000000003</v>
      </c>
      <c r="J2689">
        <v>59.87</v>
      </c>
      <c r="K2689">
        <v>10</v>
      </c>
      <c r="L2689">
        <v>128</v>
      </c>
      <c r="M2689">
        <v>50.3</v>
      </c>
      <c r="N2689">
        <v>39</v>
      </c>
      <c r="O2689">
        <v>51</v>
      </c>
      <c r="P2689">
        <v>0</v>
      </c>
      <c r="Q2689">
        <v>0</v>
      </c>
      <c r="R2689">
        <v>0</v>
      </c>
      <c r="S2689">
        <v>0</v>
      </c>
      <c r="T2689">
        <v>0.15690000000000001</v>
      </c>
      <c r="U2689">
        <v>-0.373</v>
      </c>
      <c r="V2689">
        <v>2E-3</v>
      </c>
      <c r="W2689">
        <v>-3.4803000000000002</v>
      </c>
      <c r="X2689">
        <v>4.6863000000000001</v>
      </c>
      <c r="Y2689">
        <v>-0.80330000000000001</v>
      </c>
      <c r="Z2689">
        <v>24</v>
      </c>
      <c r="AA2689">
        <v>50.6</v>
      </c>
      <c r="AB2689">
        <v>65</v>
      </c>
      <c r="AC2689">
        <v>51.5</v>
      </c>
      <c r="AD2689">
        <v>0</v>
      </c>
      <c r="AE2689">
        <v>0</v>
      </c>
      <c r="AF2689">
        <v>41.329000000000001</v>
      </c>
      <c r="AG2689">
        <v>316</v>
      </c>
      <c r="AH2689">
        <v>0</v>
      </c>
    </row>
    <row r="2690" spans="1:34" x14ac:dyDescent="0.35">
      <c r="A2690" t="s">
        <v>37</v>
      </c>
      <c r="B2690" s="1">
        <v>46146.65625</v>
      </c>
      <c r="C2690" t="s">
        <v>37</v>
      </c>
      <c r="D2690" s="1">
        <v>46157.354166666664</v>
      </c>
      <c r="E2690">
        <v>7150</v>
      </c>
      <c r="F2690" t="s">
        <v>36</v>
      </c>
      <c r="G2690">
        <v>46.19</v>
      </c>
      <c r="H2690">
        <v>64.92</v>
      </c>
      <c r="I2690">
        <v>35.93</v>
      </c>
      <c r="J2690">
        <v>52</v>
      </c>
      <c r="K2690">
        <v>1740</v>
      </c>
      <c r="L2690">
        <v>155</v>
      </c>
      <c r="M2690">
        <v>51.7</v>
      </c>
      <c r="N2690">
        <v>86</v>
      </c>
      <c r="O2690">
        <v>52.5</v>
      </c>
      <c r="P2690">
        <v>0</v>
      </c>
      <c r="Q2690">
        <v>0</v>
      </c>
      <c r="R2690">
        <v>0</v>
      </c>
      <c r="S2690">
        <v>0</v>
      </c>
      <c r="T2690">
        <v>0.15590000000000001</v>
      </c>
      <c r="U2690">
        <v>-0.3821</v>
      </c>
      <c r="V2690">
        <v>2E-3</v>
      </c>
      <c r="W2690">
        <v>-3.4851000000000001</v>
      </c>
      <c r="X2690">
        <v>4.7195</v>
      </c>
      <c r="Y2690">
        <v>-0.82299999999999995</v>
      </c>
      <c r="Z2690">
        <v>24</v>
      </c>
      <c r="AA2690">
        <v>52.1</v>
      </c>
      <c r="AB2690">
        <v>66</v>
      </c>
      <c r="AC2690">
        <v>53</v>
      </c>
      <c r="AD2690">
        <v>0</v>
      </c>
      <c r="AE2690">
        <v>0</v>
      </c>
      <c r="AF2690">
        <v>45.315100000000001</v>
      </c>
      <c r="AG2690">
        <v>14856</v>
      </c>
      <c r="AH2690">
        <v>0</v>
      </c>
    </row>
    <row r="2691" spans="1:34" x14ac:dyDescent="0.35">
      <c r="A2691" t="s">
        <v>37</v>
      </c>
      <c r="B2691" s="1">
        <v>46146.65625</v>
      </c>
      <c r="C2691" t="s">
        <v>37</v>
      </c>
      <c r="D2691" s="1">
        <v>46157.354166666664</v>
      </c>
      <c r="E2691">
        <v>7155</v>
      </c>
      <c r="F2691" t="s">
        <v>36</v>
      </c>
      <c r="G2691">
        <v>45.25</v>
      </c>
      <c r="H2691">
        <v>68.48</v>
      </c>
      <c r="I2691">
        <v>40.020000000000003</v>
      </c>
      <c r="J2691">
        <v>65.2</v>
      </c>
      <c r="K2691">
        <v>25</v>
      </c>
      <c r="L2691">
        <v>102</v>
      </c>
      <c r="M2691">
        <v>53.3</v>
      </c>
      <c r="N2691">
        <v>85</v>
      </c>
      <c r="O2691">
        <v>54</v>
      </c>
      <c r="P2691">
        <v>0</v>
      </c>
      <c r="Q2691">
        <v>0</v>
      </c>
      <c r="R2691">
        <v>0</v>
      </c>
      <c r="S2691">
        <v>0</v>
      </c>
      <c r="T2691">
        <v>0.15490000000000001</v>
      </c>
      <c r="U2691">
        <v>-0.39140000000000003</v>
      </c>
      <c r="V2691">
        <v>2E-3</v>
      </c>
      <c r="W2691">
        <v>-3.488</v>
      </c>
      <c r="X2691">
        <v>4.7507000000000001</v>
      </c>
      <c r="Y2691">
        <v>-0.84299999999999997</v>
      </c>
      <c r="Z2691">
        <v>23</v>
      </c>
      <c r="AA2691">
        <v>53.6</v>
      </c>
      <c r="AB2691">
        <v>60</v>
      </c>
      <c r="AC2691">
        <v>54.5</v>
      </c>
      <c r="AD2691">
        <v>0</v>
      </c>
      <c r="AE2691">
        <v>0</v>
      </c>
      <c r="AF2691">
        <v>53.180399999999999</v>
      </c>
      <c r="AG2691">
        <v>366</v>
      </c>
      <c r="AH2691">
        <v>0</v>
      </c>
    </row>
    <row r="2692" spans="1:34" x14ac:dyDescent="0.35">
      <c r="A2692" t="s">
        <v>37</v>
      </c>
      <c r="B2692" s="1">
        <v>46146.65625</v>
      </c>
      <c r="C2692" t="s">
        <v>37</v>
      </c>
      <c r="D2692" s="1">
        <v>46157.354166666664</v>
      </c>
      <c r="E2692">
        <v>7160</v>
      </c>
      <c r="F2692" t="s">
        <v>36</v>
      </c>
      <c r="G2692">
        <v>46.5</v>
      </c>
      <c r="H2692">
        <v>61.68</v>
      </c>
      <c r="I2692">
        <v>42.63</v>
      </c>
      <c r="J2692">
        <v>55.3</v>
      </c>
      <c r="K2692">
        <v>340</v>
      </c>
      <c r="L2692">
        <v>120</v>
      </c>
      <c r="M2692">
        <v>54.8</v>
      </c>
      <c r="N2692">
        <v>57</v>
      </c>
      <c r="O2692">
        <v>55.5</v>
      </c>
      <c r="P2692">
        <v>0</v>
      </c>
      <c r="Q2692">
        <v>0</v>
      </c>
      <c r="R2692">
        <v>0</v>
      </c>
      <c r="S2692">
        <v>0</v>
      </c>
      <c r="T2692">
        <v>0.15379999999999999</v>
      </c>
      <c r="U2692">
        <v>-0.40079999999999999</v>
      </c>
      <c r="V2692">
        <v>2E-3</v>
      </c>
      <c r="W2692">
        <v>-3.4866999999999999</v>
      </c>
      <c r="X2692">
        <v>4.7798999999999996</v>
      </c>
      <c r="Y2692">
        <v>-0.86329999999999996</v>
      </c>
      <c r="Z2692">
        <v>23</v>
      </c>
      <c r="AA2692">
        <v>55.2</v>
      </c>
      <c r="AB2692">
        <v>62</v>
      </c>
      <c r="AC2692">
        <v>56.1</v>
      </c>
      <c r="AD2692">
        <v>0</v>
      </c>
      <c r="AE2692">
        <v>0</v>
      </c>
      <c r="AF2692">
        <v>44.601399999999998</v>
      </c>
      <c r="AG2692">
        <v>964</v>
      </c>
      <c r="AH2692">
        <v>0</v>
      </c>
    </row>
    <row r="2693" spans="1:34" x14ac:dyDescent="0.35">
      <c r="A2693" t="s">
        <v>37</v>
      </c>
      <c r="B2693" s="1">
        <v>46146.65625</v>
      </c>
      <c r="C2693" t="s">
        <v>37</v>
      </c>
      <c r="D2693" s="1">
        <v>46157.354166666664</v>
      </c>
      <c r="E2693">
        <v>7165</v>
      </c>
      <c r="F2693" t="s">
        <v>36</v>
      </c>
      <c r="G2693">
        <v>45.3</v>
      </c>
      <c r="H2693">
        <v>72.83</v>
      </c>
      <c r="I2693">
        <v>40.03</v>
      </c>
      <c r="J2693">
        <v>54.55</v>
      </c>
      <c r="K2693">
        <v>36</v>
      </c>
      <c r="L2693">
        <v>130</v>
      </c>
      <c r="M2693">
        <v>56.3</v>
      </c>
      <c r="N2693">
        <v>84</v>
      </c>
      <c r="O2693">
        <v>57.1</v>
      </c>
      <c r="P2693">
        <v>0</v>
      </c>
      <c r="Q2693">
        <v>0</v>
      </c>
      <c r="R2693">
        <v>0</v>
      </c>
      <c r="S2693">
        <v>0</v>
      </c>
      <c r="T2693">
        <v>0.15279999999999999</v>
      </c>
      <c r="U2693">
        <v>-0.41049999999999998</v>
      </c>
      <c r="V2693">
        <v>2.0999999999999999E-3</v>
      </c>
      <c r="W2693">
        <v>-3.4861</v>
      </c>
      <c r="X2693">
        <v>4.8071999999999999</v>
      </c>
      <c r="Y2693">
        <v>-0.88429999999999997</v>
      </c>
      <c r="Z2693">
        <v>23</v>
      </c>
      <c r="AA2693">
        <v>56.8</v>
      </c>
      <c r="AB2693">
        <v>61</v>
      </c>
      <c r="AC2693">
        <v>57.7</v>
      </c>
      <c r="AD2693">
        <v>0</v>
      </c>
      <c r="AE2693">
        <v>0</v>
      </c>
      <c r="AF2693">
        <v>47.814399999999999</v>
      </c>
      <c r="AG2693">
        <v>108</v>
      </c>
      <c r="AH2693">
        <v>0</v>
      </c>
    </row>
    <row r="2694" spans="1:34" x14ac:dyDescent="0.35">
      <c r="A2694" t="s">
        <v>37</v>
      </c>
      <c r="B2694" s="1">
        <v>46146.65625</v>
      </c>
      <c r="C2694" t="s">
        <v>37</v>
      </c>
      <c r="D2694" s="1">
        <v>46157.354166666664</v>
      </c>
      <c r="E2694">
        <v>7170</v>
      </c>
      <c r="F2694" t="s">
        <v>36</v>
      </c>
      <c r="G2694">
        <v>48.02</v>
      </c>
      <c r="H2694">
        <v>64.22</v>
      </c>
      <c r="I2694">
        <v>41.47</v>
      </c>
      <c r="J2694">
        <v>56.4</v>
      </c>
      <c r="K2694">
        <v>16</v>
      </c>
      <c r="L2694">
        <v>39</v>
      </c>
      <c r="M2694">
        <v>58</v>
      </c>
      <c r="N2694">
        <v>34</v>
      </c>
      <c r="O2694">
        <v>58.7</v>
      </c>
      <c r="P2694">
        <v>0</v>
      </c>
      <c r="Q2694">
        <v>0</v>
      </c>
      <c r="R2694">
        <v>0</v>
      </c>
      <c r="S2694">
        <v>0</v>
      </c>
      <c r="T2694">
        <v>0.1517</v>
      </c>
      <c r="U2694">
        <v>-0.4204</v>
      </c>
      <c r="V2694">
        <v>2.0999999999999999E-3</v>
      </c>
      <c r="W2694">
        <v>-3.4802</v>
      </c>
      <c r="X2694">
        <v>4.8323999999999998</v>
      </c>
      <c r="Y2694">
        <v>-0.90600000000000003</v>
      </c>
      <c r="Z2694">
        <v>34</v>
      </c>
      <c r="AA2694">
        <v>58.4</v>
      </c>
      <c r="AB2694">
        <v>55</v>
      </c>
      <c r="AC2694">
        <v>59.5</v>
      </c>
      <c r="AD2694">
        <v>0</v>
      </c>
      <c r="AE2694">
        <v>0</v>
      </c>
      <c r="AF2694">
        <v>47.374400000000001</v>
      </c>
      <c r="AG2694">
        <v>84</v>
      </c>
      <c r="AH2694">
        <v>0</v>
      </c>
    </row>
    <row r="2695" spans="1:34" x14ac:dyDescent="0.35">
      <c r="A2695" t="s">
        <v>37</v>
      </c>
      <c r="B2695" s="1">
        <v>46146.65625</v>
      </c>
      <c r="C2695" t="s">
        <v>37</v>
      </c>
      <c r="D2695" s="1">
        <v>46157.354166666664</v>
      </c>
      <c r="E2695">
        <v>7175</v>
      </c>
      <c r="F2695" t="s">
        <v>36</v>
      </c>
      <c r="G2695">
        <v>53.59</v>
      </c>
      <c r="H2695">
        <v>74.13</v>
      </c>
      <c r="I2695">
        <v>41.72</v>
      </c>
      <c r="J2695">
        <v>60.44</v>
      </c>
      <c r="K2695">
        <v>230</v>
      </c>
      <c r="L2695">
        <v>27</v>
      </c>
      <c r="M2695">
        <v>59.7</v>
      </c>
      <c r="N2695">
        <v>10</v>
      </c>
      <c r="O2695">
        <v>60.3</v>
      </c>
      <c r="P2695">
        <v>0</v>
      </c>
      <c r="Q2695">
        <v>0</v>
      </c>
      <c r="R2695">
        <v>0</v>
      </c>
      <c r="S2695">
        <v>0</v>
      </c>
      <c r="T2695">
        <v>0.15060000000000001</v>
      </c>
      <c r="U2695">
        <v>-0.4304</v>
      </c>
      <c r="V2695">
        <v>2.0999999999999999E-3</v>
      </c>
      <c r="W2695">
        <v>-3.4727999999999999</v>
      </c>
      <c r="X2695">
        <v>4.8548</v>
      </c>
      <c r="Y2695">
        <v>-0.92810000000000004</v>
      </c>
      <c r="Z2695">
        <v>69</v>
      </c>
      <c r="AA2695">
        <v>60.1</v>
      </c>
      <c r="AB2695">
        <v>47</v>
      </c>
      <c r="AC2695">
        <v>61</v>
      </c>
      <c r="AD2695">
        <v>0</v>
      </c>
      <c r="AE2695">
        <v>0</v>
      </c>
      <c r="AF2695">
        <v>56.548999999999999</v>
      </c>
      <c r="AG2695">
        <v>1296</v>
      </c>
      <c r="AH2695">
        <v>0</v>
      </c>
    </row>
    <row r="2696" spans="1:34" x14ac:dyDescent="0.35">
      <c r="A2696" t="s">
        <v>37</v>
      </c>
      <c r="B2696" s="1">
        <v>46146.65625</v>
      </c>
      <c r="C2696" t="s">
        <v>37</v>
      </c>
      <c r="D2696" s="1">
        <v>46157.354166666664</v>
      </c>
      <c r="E2696">
        <v>7180</v>
      </c>
      <c r="F2696" t="s">
        <v>36</v>
      </c>
      <c r="G2696">
        <v>46.47</v>
      </c>
      <c r="H2696">
        <v>74</v>
      </c>
      <c r="I2696">
        <v>43.96</v>
      </c>
      <c r="J2696">
        <v>62.75</v>
      </c>
      <c r="K2696">
        <v>153</v>
      </c>
      <c r="L2696">
        <v>49</v>
      </c>
      <c r="M2696">
        <v>61.4</v>
      </c>
      <c r="N2696">
        <v>10</v>
      </c>
      <c r="O2696">
        <v>62</v>
      </c>
      <c r="P2696">
        <v>0</v>
      </c>
      <c r="Q2696">
        <v>0</v>
      </c>
      <c r="R2696">
        <v>0</v>
      </c>
      <c r="S2696">
        <v>0</v>
      </c>
      <c r="T2696">
        <v>0.14949999999999999</v>
      </c>
      <c r="U2696">
        <v>-0.44059999999999999</v>
      </c>
      <c r="V2696">
        <v>2.0999999999999999E-3</v>
      </c>
      <c r="W2696">
        <v>-3.4630000000000001</v>
      </c>
      <c r="X2696">
        <v>4.8745000000000003</v>
      </c>
      <c r="Y2696">
        <v>-0.95050000000000001</v>
      </c>
      <c r="Z2696">
        <v>56</v>
      </c>
      <c r="AA2696">
        <v>61.9</v>
      </c>
      <c r="AB2696">
        <v>59</v>
      </c>
      <c r="AC2696">
        <v>62.8</v>
      </c>
      <c r="AD2696">
        <v>0</v>
      </c>
      <c r="AE2696">
        <v>0</v>
      </c>
      <c r="AF2696">
        <v>59.693399999999997</v>
      </c>
      <c r="AG2696">
        <v>104</v>
      </c>
      <c r="AH2696">
        <v>0</v>
      </c>
    </row>
    <row r="2697" spans="1:34" x14ac:dyDescent="0.35">
      <c r="A2697" t="s">
        <v>37</v>
      </c>
      <c r="B2697" s="1">
        <v>46146.65625</v>
      </c>
      <c r="C2697" t="s">
        <v>37</v>
      </c>
      <c r="D2697" s="1">
        <v>46157.354166666664</v>
      </c>
      <c r="E2697">
        <v>7185</v>
      </c>
      <c r="F2697" t="s">
        <v>36</v>
      </c>
      <c r="G2697">
        <v>51.3</v>
      </c>
      <c r="H2697">
        <v>76.2</v>
      </c>
      <c r="I2697">
        <v>51.3</v>
      </c>
      <c r="J2697">
        <v>66</v>
      </c>
      <c r="K2697">
        <v>6</v>
      </c>
      <c r="L2697">
        <v>11</v>
      </c>
      <c r="M2697">
        <v>63.2</v>
      </c>
      <c r="N2697">
        <v>10</v>
      </c>
      <c r="O2697">
        <v>63.8</v>
      </c>
      <c r="P2697">
        <v>0</v>
      </c>
      <c r="Q2697">
        <v>0</v>
      </c>
      <c r="R2697">
        <v>0</v>
      </c>
      <c r="S2697">
        <v>0</v>
      </c>
      <c r="T2697">
        <v>0.1484</v>
      </c>
      <c r="U2697">
        <v>-0.45100000000000001</v>
      </c>
      <c r="V2697">
        <v>2.2000000000000001E-3</v>
      </c>
      <c r="W2697">
        <v>-3.4506999999999999</v>
      </c>
      <c r="X2697">
        <v>4.891</v>
      </c>
      <c r="Y2697">
        <v>-0.97299999999999998</v>
      </c>
      <c r="Z2697">
        <v>22</v>
      </c>
      <c r="AA2697">
        <v>63.6</v>
      </c>
      <c r="AB2697">
        <v>42</v>
      </c>
      <c r="AC2697">
        <v>64.599999999999994</v>
      </c>
      <c r="AD2697">
        <v>0</v>
      </c>
      <c r="AE2697">
        <v>0</v>
      </c>
      <c r="AF2697">
        <v>60.596699999999998</v>
      </c>
      <c r="AG2697">
        <v>42</v>
      </c>
      <c r="AH2697">
        <v>0</v>
      </c>
    </row>
    <row r="2698" spans="1:34" x14ac:dyDescent="0.35">
      <c r="A2698" t="s">
        <v>37</v>
      </c>
      <c r="B2698" s="1">
        <v>46146.65625</v>
      </c>
      <c r="C2698" t="s">
        <v>37</v>
      </c>
      <c r="D2698" s="1">
        <v>46157.354166666664</v>
      </c>
      <c r="E2698">
        <v>7190</v>
      </c>
      <c r="F2698" t="s">
        <v>36</v>
      </c>
      <c r="G2698">
        <v>56.32</v>
      </c>
      <c r="H2698">
        <v>80.099999999999994</v>
      </c>
      <c r="I2698">
        <v>46.25</v>
      </c>
      <c r="J2698">
        <v>66.63</v>
      </c>
      <c r="K2698">
        <v>414</v>
      </c>
      <c r="L2698">
        <v>11</v>
      </c>
      <c r="M2698">
        <v>65</v>
      </c>
      <c r="N2698">
        <v>21</v>
      </c>
      <c r="O2698">
        <v>65.599999999999994</v>
      </c>
      <c r="P2698">
        <v>0</v>
      </c>
      <c r="Q2698">
        <v>0</v>
      </c>
      <c r="R2698">
        <v>0</v>
      </c>
      <c r="S2698">
        <v>0</v>
      </c>
      <c r="T2698">
        <v>0.14729999999999999</v>
      </c>
      <c r="U2698">
        <v>-0.46150000000000002</v>
      </c>
      <c r="V2698">
        <v>2.2000000000000001E-3</v>
      </c>
      <c r="W2698">
        <v>-3.4359999999999999</v>
      </c>
      <c r="X2698">
        <v>4.9044999999999996</v>
      </c>
      <c r="Y2698">
        <v>-0.99570000000000003</v>
      </c>
      <c r="Z2698">
        <v>22</v>
      </c>
      <c r="AA2698">
        <v>65.5</v>
      </c>
      <c r="AB2698">
        <v>51</v>
      </c>
      <c r="AC2698">
        <v>66.400000000000006</v>
      </c>
      <c r="AD2698">
        <v>0</v>
      </c>
      <c r="AE2698">
        <v>0</v>
      </c>
      <c r="AF2698">
        <v>61.009500000000003</v>
      </c>
      <c r="AG2698">
        <v>57</v>
      </c>
      <c r="AH2698">
        <v>0</v>
      </c>
    </row>
    <row r="2699" spans="1:34" x14ac:dyDescent="0.35">
      <c r="A2699" t="s">
        <v>37</v>
      </c>
      <c r="B2699" s="1">
        <v>46146.65625</v>
      </c>
      <c r="C2699" t="s">
        <v>37</v>
      </c>
      <c r="D2699" s="1">
        <v>46157.354166666664</v>
      </c>
      <c r="E2699">
        <v>7195</v>
      </c>
      <c r="F2699" t="s">
        <v>36</v>
      </c>
      <c r="G2699">
        <v>57.63</v>
      </c>
      <c r="H2699">
        <v>78.8</v>
      </c>
      <c r="I2699">
        <v>48.8</v>
      </c>
      <c r="J2699">
        <v>66.069999999999993</v>
      </c>
      <c r="K2699">
        <v>796</v>
      </c>
      <c r="L2699">
        <v>65</v>
      </c>
      <c r="M2699">
        <v>66.8</v>
      </c>
      <c r="N2699">
        <v>21</v>
      </c>
      <c r="O2699">
        <v>67.5</v>
      </c>
      <c r="P2699">
        <v>0</v>
      </c>
      <c r="Q2699">
        <v>0</v>
      </c>
      <c r="R2699">
        <v>0</v>
      </c>
      <c r="S2699">
        <v>0</v>
      </c>
      <c r="T2699">
        <v>0.1464</v>
      </c>
      <c r="U2699">
        <v>-0.4723</v>
      </c>
      <c r="V2699">
        <v>2.2000000000000001E-3</v>
      </c>
      <c r="W2699">
        <v>-3.4209999999999998</v>
      </c>
      <c r="X2699">
        <v>4.9149000000000003</v>
      </c>
      <c r="Y2699">
        <v>-1.0187999999999999</v>
      </c>
      <c r="Z2699">
        <v>22</v>
      </c>
      <c r="AA2699">
        <v>67.400000000000006</v>
      </c>
      <c r="AB2699">
        <v>56</v>
      </c>
      <c r="AC2699">
        <v>68.3</v>
      </c>
      <c r="AD2699">
        <v>0</v>
      </c>
      <c r="AE2699">
        <v>0</v>
      </c>
      <c r="AF2699">
        <v>69.8874</v>
      </c>
      <c r="AG2699">
        <v>382</v>
      </c>
      <c r="AH2699">
        <v>0</v>
      </c>
    </row>
    <row r="2700" spans="1:34" x14ac:dyDescent="0.35">
      <c r="A2700" t="s">
        <v>37</v>
      </c>
      <c r="B2700" s="1">
        <v>46146.65625</v>
      </c>
      <c r="C2700" t="s">
        <v>37</v>
      </c>
      <c r="D2700" s="1">
        <v>46157.354166666664</v>
      </c>
      <c r="E2700">
        <v>7200</v>
      </c>
      <c r="F2700" t="s">
        <v>36</v>
      </c>
      <c r="G2700">
        <v>59.5</v>
      </c>
      <c r="H2700">
        <v>85</v>
      </c>
      <c r="I2700">
        <v>48.4</v>
      </c>
      <c r="J2700">
        <v>70.42</v>
      </c>
      <c r="K2700">
        <v>1825</v>
      </c>
      <c r="L2700">
        <v>11</v>
      </c>
      <c r="M2700">
        <v>68.8</v>
      </c>
      <c r="N2700">
        <v>26</v>
      </c>
      <c r="O2700">
        <v>69.400000000000006</v>
      </c>
      <c r="P2700">
        <v>0</v>
      </c>
      <c r="Q2700">
        <v>0</v>
      </c>
      <c r="R2700">
        <v>0</v>
      </c>
      <c r="S2700">
        <v>0</v>
      </c>
      <c r="T2700">
        <v>0.14530000000000001</v>
      </c>
      <c r="U2700">
        <v>-0.48320000000000002</v>
      </c>
      <c r="V2700">
        <v>2.2000000000000001E-3</v>
      </c>
      <c r="W2700">
        <v>-3.4007999999999998</v>
      </c>
      <c r="X2700">
        <v>4.9221000000000004</v>
      </c>
      <c r="Y2700">
        <v>-1.0426</v>
      </c>
      <c r="Z2700">
        <v>46</v>
      </c>
      <c r="AA2700">
        <v>69.3</v>
      </c>
      <c r="AB2700">
        <v>41</v>
      </c>
      <c r="AC2700">
        <v>70.400000000000006</v>
      </c>
      <c r="AD2700">
        <v>0</v>
      </c>
      <c r="AE2700">
        <v>0</v>
      </c>
      <c r="AF2700">
        <v>63.140999999999998</v>
      </c>
      <c r="AG2700">
        <v>5017</v>
      </c>
      <c r="AH2700">
        <v>0</v>
      </c>
    </row>
    <row r="2701" spans="1:34" x14ac:dyDescent="0.35">
      <c r="A2701" t="s">
        <v>37</v>
      </c>
      <c r="B2701" s="1">
        <v>46146.65625</v>
      </c>
      <c r="C2701" t="s">
        <v>37</v>
      </c>
      <c r="D2701" s="1">
        <v>46157.354166666664</v>
      </c>
      <c r="E2701">
        <v>7205</v>
      </c>
      <c r="F2701" t="s">
        <v>36</v>
      </c>
      <c r="G2701">
        <v>59.37</v>
      </c>
      <c r="H2701">
        <v>84.15</v>
      </c>
      <c r="I2701">
        <v>59.37</v>
      </c>
      <c r="J2701">
        <v>72.42</v>
      </c>
      <c r="K2701">
        <v>564</v>
      </c>
      <c r="L2701">
        <v>31</v>
      </c>
      <c r="M2701">
        <v>70.7</v>
      </c>
      <c r="N2701">
        <v>20</v>
      </c>
      <c r="O2701">
        <v>71.400000000000006</v>
      </c>
      <c r="P2701">
        <v>0</v>
      </c>
      <c r="Q2701">
        <v>0</v>
      </c>
      <c r="R2701">
        <v>0</v>
      </c>
      <c r="S2701">
        <v>0</v>
      </c>
      <c r="T2701">
        <v>0.14430000000000001</v>
      </c>
      <c r="U2701">
        <v>-0.49419999999999997</v>
      </c>
      <c r="V2701">
        <v>2.2000000000000001E-3</v>
      </c>
      <c r="W2701">
        <v>-3.38</v>
      </c>
      <c r="X2701">
        <v>4.9259000000000004</v>
      </c>
      <c r="Y2701">
        <v>-1.0669999999999999</v>
      </c>
      <c r="Z2701">
        <v>32</v>
      </c>
      <c r="AA2701">
        <v>71.3</v>
      </c>
      <c r="AB2701">
        <v>40</v>
      </c>
      <c r="AC2701">
        <v>72.400000000000006</v>
      </c>
      <c r="AD2701">
        <v>0</v>
      </c>
      <c r="AE2701">
        <v>0</v>
      </c>
      <c r="AF2701">
        <v>72.510000000000005</v>
      </c>
      <c r="AG2701">
        <v>45</v>
      </c>
      <c r="AH2701">
        <v>0</v>
      </c>
    </row>
    <row r="2702" spans="1:34" x14ac:dyDescent="0.35">
      <c r="A2702" t="s">
        <v>37</v>
      </c>
      <c r="B2702" s="1">
        <v>46146.65625</v>
      </c>
      <c r="C2702" t="s">
        <v>37</v>
      </c>
      <c r="D2702" s="1">
        <v>46157.354166666664</v>
      </c>
      <c r="E2702">
        <v>7210</v>
      </c>
      <c r="F2702" t="s">
        <v>36</v>
      </c>
      <c r="G2702">
        <v>63.17</v>
      </c>
      <c r="H2702">
        <v>75.7</v>
      </c>
      <c r="I2702">
        <v>51.8</v>
      </c>
      <c r="J2702">
        <v>71.77</v>
      </c>
      <c r="K2702">
        <v>35</v>
      </c>
      <c r="L2702">
        <v>31</v>
      </c>
      <c r="M2702">
        <v>72.5</v>
      </c>
      <c r="N2702">
        <v>10</v>
      </c>
      <c r="O2702">
        <v>73.400000000000006</v>
      </c>
      <c r="P2702">
        <v>0</v>
      </c>
      <c r="Q2702">
        <v>0</v>
      </c>
      <c r="R2702">
        <v>0</v>
      </c>
      <c r="S2702">
        <v>0</v>
      </c>
      <c r="T2702">
        <v>0.14299999999999999</v>
      </c>
      <c r="U2702">
        <v>-0.50549999999999995</v>
      </c>
      <c r="V2702">
        <v>2.3E-3</v>
      </c>
      <c r="W2702">
        <v>-3.3489</v>
      </c>
      <c r="X2702">
        <v>4.9260000000000002</v>
      </c>
      <c r="Y2702">
        <v>-1.0918000000000001</v>
      </c>
      <c r="Z2702">
        <v>32</v>
      </c>
      <c r="AA2702">
        <v>73.400000000000006</v>
      </c>
      <c r="AB2702">
        <v>30</v>
      </c>
      <c r="AC2702">
        <v>74.5</v>
      </c>
      <c r="AD2702">
        <v>0</v>
      </c>
      <c r="AE2702">
        <v>0</v>
      </c>
      <c r="AF2702">
        <v>66.632000000000005</v>
      </c>
      <c r="AG2702">
        <v>93</v>
      </c>
      <c r="AH2702">
        <v>0</v>
      </c>
    </row>
    <row r="2703" spans="1:34" x14ac:dyDescent="0.35">
      <c r="A2703" t="s">
        <v>37</v>
      </c>
      <c r="B2703" s="1">
        <v>46146.65625</v>
      </c>
      <c r="C2703" t="s">
        <v>37</v>
      </c>
      <c r="D2703" s="1">
        <v>46157.354166666664</v>
      </c>
      <c r="E2703">
        <v>7215</v>
      </c>
      <c r="F2703" t="s">
        <v>36</v>
      </c>
      <c r="G2703">
        <v>67.5</v>
      </c>
      <c r="H2703">
        <v>76</v>
      </c>
      <c r="I2703">
        <v>54.03</v>
      </c>
      <c r="J2703">
        <v>76</v>
      </c>
      <c r="K2703">
        <v>65</v>
      </c>
      <c r="L2703">
        <v>31</v>
      </c>
      <c r="M2703">
        <v>74.599999999999994</v>
      </c>
      <c r="N2703">
        <v>10</v>
      </c>
      <c r="O2703">
        <v>75.5</v>
      </c>
      <c r="P2703">
        <v>0</v>
      </c>
      <c r="Q2703">
        <v>0</v>
      </c>
      <c r="R2703">
        <v>0</v>
      </c>
      <c r="S2703">
        <v>0</v>
      </c>
      <c r="T2703">
        <v>0.1419</v>
      </c>
      <c r="U2703">
        <v>-0.51690000000000003</v>
      </c>
      <c r="V2703">
        <v>2.3E-3</v>
      </c>
      <c r="W2703">
        <v>-3.3216999999999999</v>
      </c>
      <c r="X2703">
        <v>4.9223999999999997</v>
      </c>
      <c r="Y2703">
        <v>-1.1167</v>
      </c>
      <c r="Z2703">
        <v>22</v>
      </c>
      <c r="AA2703">
        <v>75.5</v>
      </c>
      <c r="AB2703">
        <v>30</v>
      </c>
      <c r="AC2703">
        <v>76.599999999999994</v>
      </c>
      <c r="AD2703">
        <v>0</v>
      </c>
      <c r="AE2703">
        <v>0</v>
      </c>
      <c r="AF2703">
        <v>66.800899999999999</v>
      </c>
      <c r="AG2703">
        <v>26</v>
      </c>
      <c r="AH2703">
        <v>0</v>
      </c>
    </row>
    <row r="2704" spans="1:34" x14ac:dyDescent="0.35">
      <c r="A2704" t="s">
        <v>37</v>
      </c>
      <c r="B2704" s="1">
        <v>46146.65625</v>
      </c>
      <c r="C2704" t="s">
        <v>37</v>
      </c>
      <c r="D2704" s="1">
        <v>46157.354166666664</v>
      </c>
      <c r="E2704">
        <v>7220</v>
      </c>
      <c r="F2704" t="s">
        <v>36</v>
      </c>
      <c r="G2704">
        <v>67.900000000000006</v>
      </c>
      <c r="H2704">
        <v>82.5</v>
      </c>
      <c r="I2704">
        <v>56.66</v>
      </c>
      <c r="J2704">
        <v>77.31</v>
      </c>
      <c r="K2704">
        <v>84</v>
      </c>
      <c r="L2704">
        <v>72</v>
      </c>
      <c r="M2704">
        <v>76.7</v>
      </c>
      <c r="N2704">
        <v>10</v>
      </c>
      <c r="O2704">
        <v>77.599999999999994</v>
      </c>
      <c r="P2704">
        <v>0</v>
      </c>
      <c r="Q2704">
        <v>0</v>
      </c>
      <c r="R2704">
        <v>0</v>
      </c>
      <c r="S2704">
        <v>0</v>
      </c>
      <c r="T2704">
        <v>0.14080000000000001</v>
      </c>
      <c r="U2704">
        <v>-0.52839999999999998</v>
      </c>
      <c r="V2704">
        <v>2.3E-3</v>
      </c>
      <c r="W2704">
        <v>-3.2888999999999999</v>
      </c>
      <c r="X2704">
        <v>4.9149000000000003</v>
      </c>
      <c r="Y2704">
        <v>-1.1416999999999999</v>
      </c>
      <c r="Z2704">
        <v>22</v>
      </c>
      <c r="AA2704">
        <v>77.7</v>
      </c>
      <c r="AB2704">
        <v>20</v>
      </c>
      <c r="AC2704">
        <v>78.7</v>
      </c>
      <c r="AD2704">
        <v>0</v>
      </c>
      <c r="AE2704">
        <v>0</v>
      </c>
      <c r="AF2704">
        <v>74.0458</v>
      </c>
      <c r="AG2704">
        <v>87</v>
      </c>
      <c r="AH2704">
        <v>0</v>
      </c>
    </row>
    <row r="2705" spans="1:34" x14ac:dyDescent="0.35">
      <c r="A2705" t="s">
        <v>37</v>
      </c>
      <c r="B2705" s="1">
        <v>46146.65625</v>
      </c>
      <c r="C2705" t="s">
        <v>37</v>
      </c>
      <c r="D2705" s="1">
        <v>46157.354166666664</v>
      </c>
      <c r="E2705">
        <v>7225</v>
      </c>
      <c r="F2705" t="s">
        <v>36</v>
      </c>
      <c r="G2705">
        <v>70.400000000000006</v>
      </c>
      <c r="H2705">
        <v>98.23</v>
      </c>
      <c r="I2705">
        <v>58.42</v>
      </c>
      <c r="J2705">
        <v>77.739999999999995</v>
      </c>
      <c r="K2705">
        <v>79</v>
      </c>
      <c r="L2705">
        <v>47</v>
      </c>
      <c r="M2705">
        <v>78.900000000000006</v>
      </c>
      <c r="N2705">
        <v>10</v>
      </c>
      <c r="O2705">
        <v>79.8</v>
      </c>
      <c r="P2705">
        <v>0</v>
      </c>
      <c r="Q2705">
        <v>0</v>
      </c>
      <c r="R2705">
        <v>0</v>
      </c>
      <c r="S2705">
        <v>0</v>
      </c>
      <c r="T2705">
        <v>0.13969999999999999</v>
      </c>
      <c r="U2705">
        <v>-0.54010000000000002</v>
      </c>
      <c r="V2705">
        <v>2.3E-3</v>
      </c>
      <c r="W2705">
        <v>-3.2551000000000001</v>
      </c>
      <c r="X2705">
        <v>4.9034000000000004</v>
      </c>
      <c r="Y2705">
        <v>-1.1669</v>
      </c>
      <c r="Z2705">
        <v>32</v>
      </c>
      <c r="AA2705">
        <v>79.900000000000006</v>
      </c>
      <c r="AB2705">
        <v>30</v>
      </c>
      <c r="AC2705">
        <v>81</v>
      </c>
      <c r="AD2705">
        <v>0</v>
      </c>
      <c r="AE2705">
        <v>0</v>
      </c>
      <c r="AF2705">
        <v>70.032899999999998</v>
      </c>
      <c r="AG2705">
        <v>688</v>
      </c>
      <c r="AH2705">
        <v>0</v>
      </c>
    </row>
    <row r="2706" spans="1:34" x14ac:dyDescent="0.35">
      <c r="A2706" t="s">
        <v>37</v>
      </c>
      <c r="B2706" s="1">
        <v>46146.65625</v>
      </c>
      <c r="C2706" t="s">
        <v>37</v>
      </c>
      <c r="D2706" s="1">
        <v>46157.354166666664</v>
      </c>
      <c r="E2706">
        <v>7230</v>
      </c>
      <c r="F2706" t="s">
        <v>36</v>
      </c>
      <c r="G2706">
        <v>72.2</v>
      </c>
      <c r="H2706">
        <v>84.25</v>
      </c>
      <c r="I2706">
        <v>63.6</v>
      </c>
      <c r="J2706">
        <v>81.099999999999994</v>
      </c>
      <c r="K2706">
        <v>59</v>
      </c>
      <c r="L2706">
        <v>30</v>
      </c>
      <c r="M2706">
        <v>81.2</v>
      </c>
      <c r="N2706">
        <v>10</v>
      </c>
      <c r="O2706">
        <v>82.1</v>
      </c>
      <c r="P2706">
        <v>0</v>
      </c>
      <c r="Q2706">
        <v>0</v>
      </c>
      <c r="R2706">
        <v>0</v>
      </c>
      <c r="S2706">
        <v>0</v>
      </c>
      <c r="T2706">
        <v>0.13880000000000001</v>
      </c>
      <c r="U2706">
        <v>-0.55189999999999995</v>
      </c>
      <c r="V2706">
        <v>2.3E-3</v>
      </c>
      <c r="W2706">
        <v>-3.2204000000000002</v>
      </c>
      <c r="X2706">
        <v>4.8876999999999997</v>
      </c>
      <c r="Y2706">
        <v>-1.1924999999999999</v>
      </c>
      <c r="Z2706">
        <v>22</v>
      </c>
      <c r="AA2706">
        <v>81.8</v>
      </c>
      <c r="AB2706">
        <v>40</v>
      </c>
      <c r="AC2706">
        <v>83.5</v>
      </c>
      <c r="AD2706">
        <v>0</v>
      </c>
      <c r="AE2706">
        <v>0</v>
      </c>
      <c r="AF2706">
        <v>70.764700000000005</v>
      </c>
      <c r="AG2706">
        <v>77</v>
      </c>
      <c r="AH2706">
        <v>0</v>
      </c>
    </row>
    <row r="2707" spans="1:34" x14ac:dyDescent="0.35">
      <c r="A2707" t="s">
        <v>37</v>
      </c>
      <c r="B2707" s="1">
        <v>46146.65625</v>
      </c>
      <c r="C2707" t="s">
        <v>37</v>
      </c>
      <c r="D2707" s="1">
        <v>46157.354166666664</v>
      </c>
      <c r="E2707">
        <v>7235</v>
      </c>
      <c r="F2707" t="s">
        <v>36</v>
      </c>
      <c r="G2707">
        <v>67.930000000000007</v>
      </c>
      <c r="H2707">
        <v>85.57</v>
      </c>
      <c r="I2707">
        <v>61</v>
      </c>
      <c r="J2707">
        <v>85.57</v>
      </c>
      <c r="K2707">
        <v>38</v>
      </c>
      <c r="L2707">
        <v>55</v>
      </c>
      <c r="M2707">
        <v>83.5</v>
      </c>
      <c r="N2707">
        <v>35</v>
      </c>
      <c r="O2707">
        <v>84.5</v>
      </c>
      <c r="P2707">
        <v>0</v>
      </c>
      <c r="Q2707">
        <v>0</v>
      </c>
      <c r="R2707">
        <v>0</v>
      </c>
      <c r="S2707">
        <v>0</v>
      </c>
      <c r="T2707">
        <v>0.13800000000000001</v>
      </c>
      <c r="U2707">
        <v>-0.56369999999999998</v>
      </c>
      <c r="V2707">
        <v>2.3E-3</v>
      </c>
      <c r="W2707">
        <v>-3.1869999999999998</v>
      </c>
      <c r="X2707">
        <v>4.8676000000000004</v>
      </c>
      <c r="Y2707">
        <v>-1.2185999999999999</v>
      </c>
      <c r="Z2707">
        <v>12</v>
      </c>
      <c r="AA2707">
        <v>84.2</v>
      </c>
      <c r="AB2707">
        <v>20</v>
      </c>
      <c r="AC2707">
        <v>85.8</v>
      </c>
      <c r="AD2707">
        <v>0</v>
      </c>
      <c r="AE2707">
        <v>0</v>
      </c>
      <c r="AF2707">
        <v>67.431799999999996</v>
      </c>
      <c r="AG2707">
        <v>181</v>
      </c>
      <c r="AH2707">
        <v>0</v>
      </c>
    </row>
    <row r="2708" spans="1:34" x14ac:dyDescent="0.35">
      <c r="A2708" t="s">
        <v>37</v>
      </c>
      <c r="B2708" s="1">
        <v>46146.65625</v>
      </c>
      <c r="C2708" t="s">
        <v>37</v>
      </c>
      <c r="D2708" s="1">
        <v>46157.354166666664</v>
      </c>
      <c r="E2708">
        <v>7240</v>
      </c>
      <c r="F2708" t="s">
        <v>36</v>
      </c>
      <c r="G2708">
        <v>76.55</v>
      </c>
      <c r="H2708">
        <v>76.55</v>
      </c>
      <c r="I2708">
        <v>62.2</v>
      </c>
      <c r="J2708">
        <v>70.510000000000005</v>
      </c>
      <c r="K2708">
        <v>41</v>
      </c>
      <c r="L2708">
        <v>30</v>
      </c>
      <c r="M2708">
        <v>85.9</v>
      </c>
      <c r="N2708">
        <v>20</v>
      </c>
      <c r="O2708">
        <v>86.9</v>
      </c>
      <c r="P2708">
        <v>0</v>
      </c>
      <c r="Q2708">
        <v>0</v>
      </c>
      <c r="R2708">
        <v>0</v>
      </c>
      <c r="S2708">
        <v>0</v>
      </c>
      <c r="T2708">
        <v>0.13700000000000001</v>
      </c>
      <c r="U2708">
        <v>-0.57569999999999999</v>
      </c>
      <c r="V2708">
        <v>2.3E-3</v>
      </c>
      <c r="W2708">
        <v>-3.145</v>
      </c>
      <c r="X2708">
        <v>4.8428000000000004</v>
      </c>
      <c r="Y2708">
        <v>-1.2452000000000001</v>
      </c>
      <c r="Z2708">
        <v>22</v>
      </c>
      <c r="AA2708">
        <v>86.6</v>
      </c>
      <c r="AB2708">
        <v>30</v>
      </c>
      <c r="AC2708">
        <v>88.2</v>
      </c>
      <c r="AD2708">
        <v>0</v>
      </c>
      <c r="AE2708">
        <v>0</v>
      </c>
      <c r="AF2708">
        <v>69.946100000000001</v>
      </c>
      <c r="AG2708">
        <v>68</v>
      </c>
      <c r="AH2708">
        <v>0</v>
      </c>
    </row>
    <row r="2709" spans="1:34" x14ac:dyDescent="0.35">
      <c r="A2709" t="s">
        <v>37</v>
      </c>
      <c r="B2709" s="1">
        <v>46146.65625</v>
      </c>
      <c r="C2709" t="s">
        <v>37</v>
      </c>
      <c r="D2709" s="1">
        <v>46157.354166666664</v>
      </c>
      <c r="E2709">
        <v>7245</v>
      </c>
      <c r="F2709" t="s">
        <v>36</v>
      </c>
      <c r="G2709">
        <v>65.05</v>
      </c>
      <c r="H2709">
        <v>95.5</v>
      </c>
      <c r="I2709">
        <v>64.930000000000007</v>
      </c>
      <c r="J2709">
        <v>88.25</v>
      </c>
      <c r="K2709">
        <v>129</v>
      </c>
      <c r="L2709">
        <v>45</v>
      </c>
      <c r="M2709">
        <v>88.3</v>
      </c>
      <c r="N2709">
        <v>54</v>
      </c>
      <c r="O2709">
        <v>89.4</v>
      </c>
      <c r="P2709">
        <v>0</v>
      </c>
      <c r="Q2709">
        <v>0</v>
      </c>
      <c r="R2709">
        <v>0</v>
      </c>
      <c r="S2709">
        <v>0</v>
      </c>
      <c r="T2709">
        <v>0.1358</v>
      </c>
      <c r="U2709">
        <v>-0.58789999999999998</v>
      </c>
      <c r="V2709">
        <v>2.3E-3</v>
      </c>
      <c r="W2709">
        <v>-3.0968</v>
      </c>
      <c r="X2709">
        <v>4.8133999999999997</v>
      </c>
      <c r="Y2709">
        <v>-1.272</v>
      </c>
      <c r="Z2709">
        <v>30</v>
      </c>
      <c r="AA2709">
        <v>89</v>
      </c>
      <c r="AB2709">
        <v>20</v>
      </c>
      <c r="AC2709">
        <v>90.7</v>
      </c>
      <c r="AD2709">
        <v>0</v>
      </c>
      <c r="AE2709">
        <v>0</v>
      </c>
      <c r="AF2709">
        <v>65.7774</v>
      </c>
      <c r="AG2709">
        <v>121</v>
      </c>
      <c r="AH2709">
        <v>0</v>
      </c>
    </row>
    <row r="2710" spans="1:34" x14ac:dyDescent="0.35">
      <c r="A2710" t="s">
        <v>37</v>
      </c>
      <c r="B2710" s="1">
        <v>46146.65625</v>
      </c>
      <c r="C2710" t="s">
        <v>37</v>
      </c>
      <c r="D2710" s="1">
        <v>46157.354166666664</v>
      </c>
      <c r="E2710">
        <v>7250</v>
      </c>
      <c r="F2710" t="s">
        <v>36</v>
      </c>
      <c r="G2710">
        <v>81</v>
      </c>
      <c r="H2710">
        <v>109.09</v>
      </c>
      <c r="I2710">
        <v>66.72</v>
      </c>
      <c r="J2710">
        <v>89.52</v>
      </c>
      <c r="K2710">
        <v>2110</v>
      </c>
      <c r="L2710">
        <v>10</v>
      </c>
      <c r="M2710">
        <v>90.9</v>
      </c>
      <c r="N2710">
        <v>51</v>
      </c>
      <c r="O2710">
        <v>91.9</v>
      </c>
      <c r="P2710">
        <v>0</v>
      </c>
      <c r="Q2710">
        <v>0</v>
      </c>
      <c r="R2710">
        <v>0</v>
      </c>
      <c r="S2710">
        <v>0</v>
      </c>
      <c r="T2710">
        <v>0.13469999999999999</v>
      </c>
      <c r="U2710">
        <v>-0.60019999999999996</v>
      </c>
      <c r="V2710">
        <v>2.3E-3</v>
      </c>
      <c r="W2710">
        <v>-3.0472999999999999</v>
      </c>
      <c r="X2710">
        <v>4.7797999999999998</v>
      </c>
      <c r="Y2710">
        <v>-1.2985</v>
      </c>
      <c r="Z2710">
        <v>20</v>
      </c>
      <c r="AA2710">
        <v>91.6</v>
      </c>
      <c r="AB2710">
        <v>20</v>
      </c>
      <c r="AC2710">
        <v>93.2</v>
      </c>
      <c r="AD2710">
        <v>0</v>
      </c>
      <c r="AE2710">
        <v>0</v>
      </c>
      <c r="AF2710">
        <v>92.656700000000001</v>
      </c>
      <c r="AG2710">
        <v>3347</v>
      </c>
      <c r="AH2710">
        <v>0</v>
      </c>
    </row>
    <row r="2711" spans="1:34" x14ac:dyDescent="0.35">
      <c r="A2711" t="s">
        <v>37</v>
      </c>
      <c r="B2711" s="1">
        <v>46146.65625</v>
      </c>
      <c r="C2711" t="s">
        <v>37</v>
      </c>
      <c r="D2711" s="1">
        <v>46157.354166666664</v>
      </c>
      <c r="E2711">
        <v>7255</v>
      </c>
      <c r="F2711" t="s">
        <v>36</v>
      </c>
      <c r="G2711">
        <v>82.98</v>
      </c>
      <c r="H2711">
        <v>82.98</v>
      </c>
      <c r="I2711">
        <v>82.98</v>
      </c>
      <c r="J2711">
        <v>82.98</v>
      </c>
      <c r="K2711">
        <v>1</v>
      </c>
      <c r="L2711">
        <v>45</v>
      </c>
      <c r="M2711">
        <v>93.4</v>
      </c>
      <c r="N2711">
        <v>45</v>
      </c>
      <c r="O2711">
        <v>94.5</v>
      </c>
      <c r="P2711">
        <v>0</v>
      </c>
      <c r="Q2711">
        <v>0</v>
      </c>
      <c r="R2711">
        <v>0</v>
      </c>
      <c r="S2711">
        <v>0</v>
      </c>
      <c r="T2711">
        <v>0.13370000000000001</v>
      </c>
      <c r="U2711">
        <v>-0.61250000000000004</v>
      </c>
      <c r="V2711">
        <v>2.3E-3</v>
      </c>
      <c r="W2711">
        <v>-2.9965999999999999</v>
      </c>
      <c r="X2711">
        <v>4.742</v>
      </c>
      <c r="Y2711">
        <v>-1.3250999999999999</v>
      </c>
      <c r="Z2711">
        <v>20</v>
      </c>
      <c r="AA2711">
        <v>94.2</v>
      </c>
      <c r="AB2711">
        <v>20</v>
      </c>
      <c r="AC2711">
        <v>95.8</v>
      </c>
      <c r="AD2711">
        <v>0</v>
      </c>
      <c r="AE2711">
        <v>0</v>
      </c>
      <c r="AF2711">
        <v>82.98</v>
      </c>
      <c r="AG2711">
        <v>12</v>
      </c>
      <c r="AH2711">
        <v>0</v>
      </c>
    </row>
    <row r="2712" spans="1:34" x14ac:dyDescent="0.35">
      <c r="A2712" t="s">
        <v>37</v>
      </c>
      <c r="B2712" s="1">
        <v>46146.65625</v>
      </c>
      <c r="C2712" t="s">
        <v>37</v>
      </c>
      <c r="D2712" s="1">
        <v>46157.354166666664</v>
      </c>
      <c r="E2712">
        <v>7260</v>
      </c>
      <c r="F2712" t="s">
        <v>36</v>
      </c>
      <c r="G2712">
        <v>74.63</v>
      </c>
      <c r="H2712">
        <v>93.38</v>
      </c>
      <c r="I2712">
        <v>74.099999999999994</v>
      </c>
      <c r="J2712">
        <v>93.38</v>
      </c>
      <c r="K2712">
        <v>24</v>
      </c>
      <c r="L2712">
        <v>30</v>
      </c>
      <c r="M2712">
        <v>96.1</v>
      </c>
      <c r="N2712">
        <v>20</v>
      </c>
      <c r="O2712">
        <v>97.3</v>
      </c>
      <c r="P2712">
        <v>0</v>
      </c>
      <c r="Q2712">
        <v>0</v>
      </c>
      <c r="R2712">
        <v>0</v>
      </c>
      <c r="S2712">
        <v>0</v>
      </c>
      <c r="T2712">
        <v>0.1326</v>
      </c>
      <c r="U2712">
        <v>-0.62490000000000001</v>
      </c>
      <c r="V2712">
        <v>2.3E-3</v>
      </c>
      <c r="W2712">
        <v>-2.9396</v>
      </c>
      <c r="X2712">
        <v>4.6985000000000001</v>
      </c>
      <c r="Y2712">
        <v>-1.3524</v>
      </c>
      <c r="Z2712">
        <v>31</v>
      </c>
      <c r="AA2712">
        <v>96.9</v>
      </c>
      <c r="AB2712">
        <v>20</v>
      </c>
      <c r="AC2712">
        <v>98.5</v>
      </c>
      <c r="AD2712">
        <v>0</v>
      </c>
      <c r="AE2712">
        <v>0</v>
      </c>
      <c r="AF2712">
        <v>76.200800000000001</v>
      </c>
      <c r="AG2712">
        <v>704</v>
      </c>
      <c r="AH2712">
        <v>0</v>
      </c>
    </row>
    <row r="2713" spans="1:34" x14ac:dyDescent="0.35">
      <c r="A2713" t="s">
        <v>37</v>
      </c>
      <c r="B2713" s="1">
        <v>46146.65625</v>
      </c>
      <c r="C2713" t="s">
        <v>37</v>
      </c>
      <c r="D2713" s="1">
        <v>46157.354166666664</v>
      </c>
      <c r="E2713">
        <v>7265</v>
      </c>
      <c r="F2713" t="s">
        <v>36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30</v>
      </c>
      <c r="M2713">
        <v>98.8</v>
      </c>
      <c r="N2713">
        <v>20</v>
      </c>
      <c r="O2713">
        <v>99.9</v>
      </c>
      <c r="P2713">
        <v>0</v>
      </c>
      <c r="Q2713">
        <v>0</v>
      </c>
      <c r="R2713">
        <v>0</v>
      </c>
      <c r="S2713">
        <v>0</v>
      </c>
      <c r="T2713">
        <v>0.13159999999999999</v>
      </c>
      <c r="U2713">
        <v>-0.63729999999999998</v>
      </c>
      <c r="V2713">
        <v>2.3E-3</v>
      </c>
      <c r="W2713">
        <v>-2.8839000000000001</v>
      </c>
      <c r="X2713">
        <v>4.6500000000000004</v>
      </c>
      <c r="Y2713">
        <v>-1.3797999999999999</v>
      </c>
      <c r="Z2713">
        <v>20</v>
      </c>
      <c r="AA2713">
        <v>99.6</v>
      </c>
      <c r="AB2713">
        <v>16</v>
      </c>
      <c r="AC2713">
        <v>101.3</v>
      </c>
      <c r="AD2713">
        <v>0</v>
      </c>
      <c r="AE2713">
        <v>0</v>
      </c>
      <c r="AF2713">
        <v>0</v>
      </c>
      <c r="AG2713">
        <v>40</v>
      </c>
      <c r="AH2713">
        <v>0</v>
      </c>
    </row>
    <row r="2714" spans="1:34" x14ac:dyDescent="0.35">
      <c r="A2714" t="s">
        <v>37</v>
      </c>
      <c r="B2714" s="1">
        <v>46146.65625</v>
      </c>
      <c r="C2714" t="s">
        <v>37</v>
      </c>
      <c r="D2714" s="1">
        <v>46157.354166666664</v>
      </c>
      <c r="E2714">
        <v>7270</v>
      </c>
      <c r="F2714" t="s">
        <v>36</v>
      </c>
      <c r="G2714">
        <v>84.45</v>
      </c>
      <c r="H2714">
        <v>101.22</v>
      </c>
      <c r="I2714">
        <v>84.45</v>
      </c>
      <c r="J2714">
        <v>101.22</v>
      </c>
      <c r="K2714">
        <v>2</v>
      </c>
      <c r="L2714">
        <v>27</v>
      </c>
      <c r="M2714">
        <v>101.6</v>
      </c>
      <c r="N2714">
        <v>10</v>
      </c>
      <c r="O2714">
        <v>102.6</v>
      </c>
      <c r="P2714">
        <v>0</v>
      </c>
      <c r="Q2714">
        <v>0</v>
      </c>
      <c r="R2714">
        <v>0</v>
      </c>
      <c r="S2714">
        <v>0</v>
      </c>
      <c r="T2714">
        <v>0.1305</v>
      </c>
      <c r="U2714">
        <v>-0.64990000000000003</v>
      </c>
      <c r="V2714">
        <v>2.3E-3</v>
      </c>
      <c r="W2714">
        <v>-2.8216000000000001</v>
      </c>
      <c r="X2714">
        <v>4.5956000000000001</v>
      </c>
      <c r="Y2714">
        <v>-1.4077</v>
      </c>
      <c r="Z2714">
        <v>17</v>
      </c>
      <c r="AA2714">
        <v>101.8</v>
      </c>
      <c r="AB2714">
        <v>18</v>
      </c>
      <c r="AC2714">
        <v>104.8</v>
      </c>
      <c r="AD2714">
        <v>0</v>
      </c>
      <c r="AE2714">
        <v>0</v>
      </c>
      <c r="AF2714">
        <v>92.834999999999994</v>
      </c>
      <c r="AG2714">
        <v>44</v>
      </c>
      <c r="AH2714">
        <v>0</v>
      </c>
    </row>
    <row r="2715" spans="1:34" x14ac:dyDescent="0.35">
      <c r="A2715" t="s">
        <v>37</v>
      </c>
      <c r="B2715" s="1">
        <v>46146.65625</v>
      </c>
      <c r="C2715" t="s">
        <v>37</v>
      </c>
      <c r="D2715" s="1">
        <v>46157.354166666664</v>
      </c>
      <c r="E2715">
        <v>7275</v>
      </c>
      <c r="F2715" t="s">
        <v>36</v>
      </c>
      <c r="G2715">
        <v>80.16</v>
      </c>
      <c r="H2715">
        <v>125.73</v>
      </c>
      <c r="I2715">
        <v>80.16</v>
      </c>
      <c r="J2715">
        <v>101.44</v>
      </c>
      <c r="K2715">
        <v>33</v>
      </c>
      <c r="L2715">
        <v>61</v>
      </c>
      <c r="M2715">
        <v>104</v>
      </c>
      <c r="N2715">
        <v>71</v>
      </c>
      <c r="O2715">
        <v>105.9</v>
      </c>
      <c r="P2715">
        <v>0</v>
      </c>
      <c r="Q2715">
        <v>0</v>
      </c>
      <c r="R2715">
        <v>0</v>
      </c>
      <c r="S2715">
        <v>0</v>
      </c>
      <c r="T2715">
        <v>0.1298</v>
      </c>
      <c r="U2715">
        <v>-0.66200000000000003</v>
      </c>
      <c r="V2715">
        <v>2.3E-3</v>
      </c>
      <c r="W2715">
        <v>-2.7665999999999999</v>
      </c>
      <c r="X2715">
        <v>4.5389999999999997</v>
      </c>
      <c r="Y2715">
        <v>-1.4341999999999999</v>
      </c>
      <c r="Z2715">
        <v>27</v>
      </c>
      <c r="AA2715">
        <v>104.7</v>
      </c>
      <c r="AB2715">
        <v>28</v>
      </c>
      <c r="AC2715">
        <v>107.7</v>
      </c>
      <c r="AD2715">
        <v>0</v>
      </c>
      <c r="AE2715">
        <v>0</v>
      </c>
      <c r="AF2715">
        <v>93.641499999999994</v>
      </c>
      <c r="AG2715">
        <v>130</v>
      </c>
      <c r="AH2715">
        <v>0</v>
      </c>
    </row>
    <row r="2716" spans="1:34" x14ac:dyDescent="0.35">
      <c r="A2716" t="s">
        <v>37</v>
      </c>
      <c r="B2716" s="1">
        <v>46146.65625</v>
      </c>
      <c r="C2716" t="s">
        <v>37</v>
      </c>
      <c r="D2716" s="1">
        <v>46157.354166666664</v>
      </c>
      <c r="E2716">
        <v>7280</v>
      </c>
      <c r="F2716" t="s">
        <v>36</v>
      </c>
      <c r="G2716">
        <v>90.83</v>
      </c>
      <c r="H2716">
        <v>104.27</v>
      </c>
      <c r="I2716">
        <v>80.31</v>
      </c>
      <c r="J2716">
        <v>104.27</v>
      </c>
      <c r="K2716">
        <v>5</v>
      </c>
      <c r="L2716">
        <v>72</v>
      </c>
      <c r="M2716">
        <v>106.8</v>
      </c>
      <c r="N2716">
        <v>21</v>
      </c>
      <c r="O2716">
        <v>108.6</v>
      </c>
      <c r="P2716">
        <v>0</v>
      </c>
      <c r="Q2716">
        <v>0</v>
      </c>
      <c r="R2716">
        <v>0</v>
      </c>
      <c r="S2716">
        <v>0</v>
      </c>
      <c r="T2716">
        <v>0.1285</v>
      </c>
      <c r="U2716">
        <v>-0.67479999999999996</v>
      </c>
      <c r="V2716">
        <v>2.3E-3</v>
      </c>
      <c r="W2716">
        <v>-2.6922000000000001</v>
      </c>
      <c r="X2716">
        <v>4.4748000000000001</v>
      </c>
      <c r="Y2716">
        <v>-1.462</v>
      </c>
      <c r="Z2716">
        <v>19</v>
      </c>
      <c r="AA2716">
        <v>107.6</v>
      </c>
      <c r="AB2716">
        <v>18</v>
      </c>
      <c r="AC2716">
        <v>110.7</v>
      </c>
      <c r="AD2716">
        <v>0</v>
      </c>
      <c r="AE2716">
        <v>0</v>
      </c>
      <c r="AF2716">
        <v>89.366</v>
      </c>
      <c r="AG2716">
        <v>53</v>
      </c>
      <c r="AH2716">
        <v>0</v>
      </c>
    </row>
    <row r="2717" spans="1:34" x14ac:dyDescent="0.35">
      <c r="A2717" t="s">
        <v>37</v>
      </c>
      <c r="B2717" s="1">
        <v>46146.65625</v>
      </c>
      <c r="C2717" t="s">
        <v>37</v>
      </c>
      <c r="D2717" s="1">
        <v>46157.354166666664</v>
      </c>
      <c r="E2717">
        <v>7285</v>
      </c>
      <c r="F2717" t="s">
        <v>36</v>
      </c>
      <c r="G2717">
        <v>112.12</v>
      </c>
      <c r="H2717">
        <v>118.13</v>
      </c>
      <c r="I2717">
        <v>108.52</v>
      </c>
      <c r="J2717">
        <v>111.76</v>
      </c>
      <c r="K2717">
        <v>12</v>
      </c>
      <c r="L2717">
        <v>37</v>
      </c>
      <c r="M2717">
        <v>109.9</v>
      </c>
      <c r="N2717">
        <v>22</v>
      </c>
      <c r="O2717">
        <v>111.6</v>
      </c>
      <c r="P2717">
        <v>0</v>
      </c>
      <c r="Q2717">
        <v>0</v>
      </c>
      <c r="R2717">
        <v>0</v>
      </c>
      <c r="S2717">
        <v>0</v>
      </c>
      <c r="T2717">
        <v>0.12759999999999999</v>
      </c>
      <c r="U2717">
        <v>-0.68720000000000003</v>
      </c>
      <c r="V2717">
        <v>2.2000000000000001E-3</v>
      </c>
      <c r="W2717">
        <v>-2.6271</v>
      </c>
      <c r="X2717">
        <v>4.4081999999999999</v>
      </c>
      <c r="Y2717">
        <v>-1.4890000000000001</v>
      </c>
      <c r="Z2717">
        <v>2</v>
      </c>
      <c r="AA2717">
        <v>110.6</v>
      </c>
      <c r="AB2717">
        <v>2</v>
      </c>
      <c r="AC2717">
        <v>114</v>
      </c>
      <c r="AD2717">
        <v>0</v>
      </c>
      <c r="AE2717">
        <v>0</v>
      </c>
      <c r="AF2717">
        <v>111.83329999999999</v>
      </c>
      <c r="AG2717">
        <v>6</v>
      </c>
      <c r="AH2717">
        <v>0</v>
      </c>
    </row>
    <row r="2718" spans="1:34" x14ac:dyDescent="0.35">
      <c r="A2718" t="s">
        <v>37</v>
      </c>
      <c r="B2718" s="1">
        <v>46146.65625</v>
      </c>
      <c r="C2718" t="s">
        <v>37</v>
      </c>
      <c r="D2718" s="1">
        <v>46157.354166666664</v>
      </c>
      <c r="E2718">
        <v>7290</v>
      </c>
      <c r="F2718" t="s">
        <v>36</v>
      </c>
      <c r="G2718">
        <v>97.47</v>
      </c>
      <c r="H2718">
        <v>111.28</v>
      </c>
      <c r="I2718">
        <v>97.47</v>
      </c>
      <c r="J2718">
        <v>111.28</v>
      </c>
      <c r="K2718">
        <v>3</v>
      </c>
      <c r="L2718">
        <v>61</v>
      </c>
      <c r="M2718">
        <v>112.8</v>
      </c>
      <c r="N2718">
        <v>54</v>
      </c>
      <c r="O2718">
        <v>114.9</v>
      </c>
      <c r="P2718">
        <v>0</v>
      </c>
      <c r="Q2718">
        <v>0</v>
      </c>
      <c r="R2718">
        <v>0</v>
      </c>
      <c r="S2718">
        <v>0</v>
      </c>
      <c r="T2718">
        <v>0.12659999999999999</v>
      </c>
      <c r="U2718">
        <v>-0.69969999999999999</v>
      </c>
      <c r="V2718">
        <v>2.2000000000000001E-3</v>
      </c>
      <c r="W2718">
        <v>-2.5568</v>
      </c>
      <c r="X2718">
        <v>4.3346999999999998</v>
      </c>
      <c r="Y2718">
        <v>-1.5166999999999999</v>
      </c>
      <c r="Z2718">
        <v>17</v>
      </c>
      <c r="AA2718">
        <v>113.8</v>
      </c>
      <c r="AB2718">
        <v>18</v>
      </c>
      <c r="AC2718">
        <v>116.5</v>
      </c>
      <c r="AD2718">
        <v>0</v>
      </c>
      <c r="AE2718">
        <v>0</v>
      </c>
      <c r="AF2718">
        <v>106.2533</v>
      </c>
      <c r="AG2718">
        <v>54</v>
      </c>
      <c r="AH2718">
        <v>0</v>
      </c>
    </row>
    <row r="2719" spans="1:34" x14ac:dyDescent="0.35">
      <c r="A2719" t="s">
        <v>37</v>
      </c>
      <c r="B2719" s="1">
        <v>46146.65625</v>
      </c>
      <c r="C2719" t="s">
        <v>37</v>
      </c>
      <c r="D2719" s="1">
        <v>46157.354166666664</v>
      </c>
      <c r="E2719">
        <v>7295</v>
      </c>
      <c r="F2719" t="s">
        <v>36</v>
      </c>
      <c r="G2719">
        <v>100.03</v>
      </c>
      <c r="H2719">
        <v>134.21</v>
      </c>
      <c r="I2719">
        <v>100.03</v>
      </c>
      <c r="J2719">
        <v>116.59</v>
      </c>
      <c r="K2719">
        <v>93</v>
      </c>
      <c r="L2719">
        <v>36</v>
      </c>
      <c r="M2719">
        <v>115.9</v>
      </c>
      <c r="N2719">
        <v>29</v>
      </c>
      <c r="O2719">
        <v>118.1</v>
      </c>
      <c r="P2719">
        <v>0</v>
      </c>
      <c r="Q2719">
        <v>0</v>
      </c>
      <c r="R2719">
        <v>0</v>
      </c>
      <c r="S2719">
        <v>0</v>
      </c>
      <c r="T2719">
        <v>0.12570000000000001</v>
      </c>
      <c r="U2719">
        <v>-0.7117</v>
      </c>
      <c r="V2719">
        <v>2.2000000000000001E-3</v>
      </c>
      <c r="W2719">
        <v>-2.4876999999999998</v>
      </c>
      <c r="X2719">
        <v>4.2577999999999996</v>
      </c>
      <c r="Y2719">
        <v>-1.5436000000000001</v>
      </c>
      <c r="Z2719">
        <v>2</v>
      </c>
      <c r="AA2719">
        <v>116.5</v>
      </c>
      <c r="AB2719">
        <v>14</v>
      </c>
      <c r="AC2719">
        <v>119.7</v>
      </c>
      <c r="AD2719">
        <v>0</v>
      </c>
      <c r="AE2719">
        <v>0</v>
      </c>
      <c r="AF2719">
        <v>106.5067</v>
      </c>
      <c r="AG2719">
        <v>14</v>
      </c>
      <c r="AH2719">
        <v>0</v>
      </c>
    </row>
    <row r="2720" spans="1:34" x14ac:dyDescent="0.35">
      <c r="A2720" t="s">
        <v>37</v>
      </c>
      <c r="B2720" s="1">
        <v>46146.65625</v>
      </c>
      <c r="C2720" t="s">
        <v>37</v>
      </c>
      <c r="D2720" s="1">
        <v>46157.354166666664</v>
      </c>
      <c r="E2720">
        <v>7300</v>
      </c>
      <c r="F2720" t="s">
        <v>36</v>
      </c>
      <c r="G2720">
        <v>96.5</v>
      </c>
      <c r="H2720">
        <v>129.85</v>
      </c>
      <c r="I2720">
        <v>92.91</v>
      </c>
      <c r="J2720">
        <v>119.84</v>
      </c>
      <c r="K2720">
        <v>100</v>
      </c>
      <c r="L2720">
        <v>47</v>
      </c>
      <c r="M2720">
        <v>119.1</v>
      </c>
      <c r="N2720">
        <v>20</v>
      </c>
      <c r="O2720">
        <v>120.9</v>
      </c>
      <c r="P2720">
        <v>0</v>
      </c>
      <c r="Q2720">
        <v>0</v>
      </c>
      <c r="R2720">
        <v>0</v>
      </c>
      <c r="S2720">
        <v>0</v>
      </c>
      <c r="T2720">
        <v>0.1241</v>
      </c>
      <c r="U2720">
        <v>-0.72519999999999996</v>
      </c>
      <c r="V2720">
        <v>2.2000000000000001E-3</v>
      </c>
      <c r="W2720">
        <v>-2.3953000000000002</v>
      </c>
      <c r="X2720">
        <v>4.1668000000000003</v>
      </c>
      <c r="Y2720">
        <v>-1.5730999999999999</v>
      </c>
      <c r="Z2720">
        <v>15</v>
      </c>
      <c r="AA2720">
        <v>120.3</v>
      </c>
      <c r="AB2720">
        <v>15</v>
      </c>
      <c r="AC2720">
        <v>123</v>
      </c>
      <c r="AD2720">
        <v>0</v>
      </c>
      <c r="AE2720">
        <v>0</v>
      </c>
      <c r="AF2720">
        <v>109.55</v>
      </c>
      <c r="AG2720">
        <v>703</v>
      </c>
      <c r="AH2720">
        <v>0</v>
      </c>
    </row>
    <row r="2721" spans="1:34" x14ac:dyDescent="0.35">
      <c r="A2721" t="s">
        <v>37</v>
      </c>
      <c r="B2721" s="1">
        <v>46146.65625</v>
      </c>
      <c r="C2721" t="s">
        <v>37</v>
      </c>
      <c r="D2721" s="1">
        <v>46157.354166666664</v>
      </c>
      <c r="E2721">
        <v>7305</v>
      </c>
      <c r="F2721" t="s">
        <v>36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40</v>
      </c>
      <c r="M2721">
        <v>122.6</v>
      </c>
      <c r="N2721">
        <v>19</v>
      </c>
      <c r="O2721">
        <v>124.5</v>
      </c>
      <c r="P2721">
        <v>0</v>
      </c>
      <c r="Q2721">
        <v>0</v>
      </c>
      <c r="R2721">
        <v>0</v>
      </c>
      <c r="S2721">
        <v>0</v>
      </c>
      <c r="T2721">
        <v>0.12379999999999999</v>
      </c>
      <c r="U2721">
        <v>-0.73619999999999997</v>
      </c>
      <c r="V2721">
        <v>2.0999999999999999E-3</v>
      </c>
      <c r="W2721">
        <v>-2.3374999999999999</v>
      </c>
      <c r="X2721">
        <v>4.0884999999999998</v>
      </c>
      <c r="Y2721">
        <v>-1.5971</v>
      </c>
      <c r="Z2721">
        <v>2</v>
      </c>
      <c r="AA2721">
        <v>123.3</v>
      </c>
      <c r="AB2721">
        <v>2</v>
      </c>
      <c r="AC2721">
        <v>126.9</v>
      </c>
      <c r="AD2721">
        <v>0</v>
      </c>
      <c r="AE2721">
        <v>0</v>
      </c>
      <c r="AF2721">
        <v>0</v>
      </c>
      <c r="AG2721">
        <v>23</v>
      </c>
      <c r="AH2721">
        <v>0</v>
      </c>
    </row>
    <row r="2722" spans="1:34" x14ac:dyDescent="0.35">
      <c r="A2722" t="s">
        <v>37</v>
      </c>
      <c r="B2722" s="1">
        <v>46146.65625</v>
      </c>
      <c r="C2722" t="s">
        <v>37</v>
      </c>
      <c r="D2722" s="1">
        <v>46157.354166666664</v>
      </c>
      <c r="E2722">
        <v>7310</v>
      </c>
      <c r="F2722" t="s">
        <v>36</v>
      </c>
      <c r="G2722">
        <v>124.38</v>
      </c>
      <c r="H2722">
        <v>139.16999999999999</v>
      </c>
      <c r="I2722">
        <v>124.38</v>
      </c>
      <c r="J2722">
        <v>139.16999999999999</v>
      </c>
      <c r="K2722">
        <v>3</v>
      </c>
      <c r="L2722">
        <v>47</v>
      </c>
      <c r="M2722">
        <v>125.9</v>
      </c>
      <c r="N2722">
        <v>20</v>
      </c>
      <c r="O2722">
        <v>127.8</v>
      </c>
      <c r="P2722">
        <v>0</v>
      </c>
      <c r="Q2722">
        <v>0</v>
      </c>
      <c r="R2722">
        <v>0</v>
      </c>
      <c r="S2722">
        <v>0</v>
      </c>
      <c r="T2722">
        <v>0.1231</v>
      </c>
      <c r="U2722">
        <v>-0.74739999999999995</v>
      </c>
      <c r="V2722">
        <v>2.0999999999999999E-3</v>
      </c>
      <c r="W2722">
        <v>-2.2683</v>
      </c>
      <c r="X2722">
        <v>4.0049000000000001</v>
      </c>
      <c r="Y2722">
        <v>-1.6217999999999999</v>
      </c>
      <c r="Z2722">
        <v>15</v>
      </c>
      <c r="AA2722">
        <v>126.7</v>
      </c>
      <c r="AB2722">
        <v>16</v>
      </c>
      <c r="AC2722">
        <v>130</v>
      </c>
      <c r="AD2722">
        <v>0</v>
      </c>
      <c r="AE2722">
        <v>0</v>
      </c>
      <c r="AF2722">
        <v>129.6</v>
      </c>
      <c r="AG2722">
        <v>14</v>
      </c>
      <c r="AH2722">
        <v>0</v>
      </c>
    </row>
    <row r="2723" spans="1:34" x14ac:dyDescent="0.35">
      <c r="A2723" t="s">
        <v>37</v>
      </c>
      <c r="B2723" s="1">
        <v>46146.65625</v>
      </c>
      <c r="C2723" t="s">
        <v>37</v>
      </c>
      <c r="D2723" s="1">
        <v>46157.354166666664</v>
      </c>
      <c r="E2723">
        <v>7315</v>
      </c>
      <c r="F2723" t="s">
        <v>36</v>
      </c>
      <c r="G2723">
        <v>106.29</v>
      </c>
      <c r="H2723">
        <v>128.78</v>
      </c>
      <c r="I2723">
        <v>106.29</v>
      </c>
      <c r="J2723">
        <v>128.78</v>
      </c>
      <c r="K2723">
        <v>3</v>
      </c>
      <c r="L2723">
        <v>47</v>
      </c>
      <c r="M2723">
        <v>129.30000000000001</v>
      </c>
      <c r="N2723">
        <v>19</v>
      </c>
      <c r="O2723">
        <v>131.30000000000001</v>
      </c>
      <c r="P2723">
        <v>0</v>
      </c>
      <c r="Q2723">
        <v>0</v>
      </c>
      <c r="R2723">
        <v>0</v>
      </c>
      <c r="S2723">
        <v>0</v>
      </c>
      <c r="T2723">
        <v>0.1217</v>
      </c>
      <c r="U2723">
        <v>-0.76049999999999995</v>
      </c>
      <c r="V2723">
        <v>2.0999999999999999E-3</v>
      </c>
      <c r="W2723">
        <v>-2.1762000000000001</v>
      </c>
      <c r="X2723">
        <v>3.9005000000000001</v>
      </c>
      <c r="Y2723">
        <v>-1.6508</v>
      </c>
      <c r="Z2723">
        <v>2</v>
      </c>
      <c r="AA2723">
        <v>130.1</v>
      </c>
      <c r="AB2723">
        <v>2</v>
      </c>
      <c r="AC2723">
        <v>133.80000000000001</v>
      </c>
      <c r="AD2723">
        <v>0</v>
      </c>
      <c r="AE2723">
        <v>0</v>
      </c>
      <c r="AF2723">
        <v>114.11</v>
      </c>
      <c r="AG2723">
        <v>108</v>
      </c>
      <c r="AH2723">
        <v>0</v>
      </c>
    </row>
    <row r="2724" spans="1:34" x14ac:dyDescent="0.35">
      <c r="A2724" t="s">
        <v>37</v>
      </c>
      <c r="B2724" s="1">
        <v>46146.65625</v>
      </c>
      <c r="C2724" t="s">
        <v>37</v>
      </c>
      <c r="D2724" s="1">
        <v>46157.354166666664</v>
      </c>
      <c r="E2724">
        <v>7320</v>
      </c>
      <c r="F2724" t="s">
        <v>36</v>
      </c>
      <c r="G2724">
        <v>134.16</v>
      </c>
      <c r="H2724">
        <v>140.44</v>
      </c>
      <c r="I2724">
        <v>132.69999999999999</v>
      </c>
      <c r="J2724">
        <v>132.69999999999999</v>
      </c>
      <c r="K2724">
        <v>4</v>
      </c>
      <c r="L2724">
        <v>40</v>
      </c>
      <c r="M2724">
        <v>132.69999999999999</v>
      </c>
      <c r="N2724">
        <v>19</v>
      </c>
      <c r="O2724">
        <v>134.80000000000001</v>
      </c>
      <c r="P2724">
        <v>0</v>
      </c>
      <c r="Q2724">
        <v>0</v>
      </c>
      <c r="R2724">
        <v>0</v>
      </c>
      <c r="S2724">
        <v>0</v>
      </c>
      <c r="T2724">
        <v>0.1211</v>
      </c>
      <c r="U2724">
        <v>-0.77129999999999999</v>
      </c>
      <c r="V2724">
        <v>2E-3</v>
      </c>
      <c r="W2724">
        <v>-2.1053000000000002</v>
      </c>
      <c r="X2724">
        <v>3.8077000000000001</v>
      </c>
      <c r="Y2724">
        <v>-1.6751</v>
      </c>
      <c r="Z2724">
        <v>2</v>
      </c>
      <c r="AA2724">
        <v>133.6</v>
      </c>
      <c r="AB2724">
        <v>2</v>
      </c>
      <c r="AC2724">
        <v>137.30000000000001</v>
      </c>
      <c r="AD2724">
        <v>0</v>
      </c>
      <c r="AE2724">
        <v>0</v>
      </c>
      <c r="AF2724">
        <v>135.8775</v>
      </c>
      <c r="AG2724">
        <v>28</v>
      </c>
      <c r="AH2724">
        <v>0</v>
      </c>
    </row>
    <row r="2725" spans="1:34" x14ac:dyDescent="0.35">
      <c r="A2725" t="s">
        <v>37</v>
      </c>
      <c r="B2725" s="1">
        <v>46146.65625</v>
      </c>
      <c r="C2725" t="s">
        <v>37</v>
      </c>
      <c r="D2725" s="1">
        <v>46157.354166666664</v>
      </c>
      <c r="E2725">
        <v>7325</v>
      </c>
      <c r="F2725" t="s">
        <v>36</v>
      </c>
      <c r="G2725">
        <v>107.96</v>
      </c>
      <c r="H2725">
        <v>107.96</v>
      </c>
      <c r="I2725">
        <v>107.96</v>
      </c>
      <c r="J2725">
        <v>107.96</v>
      </c>
      <c r="K2725">
        <v>1</v>
      </c>
      <c r="L2725">
        <v>40</v>
      </c>
      <c r="M2725">
        <v>136.30000000000001</v>
      </c>
      <c r="N2725">
        <v>19</v>
      </c>
      <c r="O2725">
        <v>138.30000000000001</v>
      </c>
      <c r="P2725">
        <v>0</v>
      </c>
      <c r="Q2725">
        <v>0</v>
      </c>
      <c r="R2725">
        <v>0</v>
      </c>
      <c r="S2725">
        <v>0</v>
      </c>
      <c r="T2725">
        <v>0.1202</v>
      </c>
      <c r="U2725">
        <v>-0.78249999999999997</v>
      </c>
      <c r="V2725">
        <v>2E-3</v>
      </c>
      <c r="W2725">
        <v>-2.0272000000000001</v>
      </c>
      <c r="X2725">
        <v>3.7069999999999999</v>
      </c>
      <c r="Y2725">
        <v>-1.7</v>
      </c>
      <c r="Z2725">
        <v>2</v>
      </c>
      <c r="AA2725">
        <v>137.1</v>
      </c>
      <c r="AB2725">
        <v>2</v>
      </c>
      <c r="AC2725">
        <v>140.9</v>
      </c>
      <c r="AD2725">
        <v>0</v>
      </c>
      <c r="AE2725">
        <v>0</v>
      </c>
      <c r="AF2725">
        <v>107.96</v>
      </c>
      <c r="AG2725">
        <v>43</v>
      </c>
      <c r="AH2725">
        <v>0</v>
      </c>
    </row>
    <row r="2726" spans="1:34" x14ac:dyDescent="0.35">
      <c r="A2726" t="s">
        <v>37</v>
      </c>
      <c r="B2726" s="1">
        <v>46146.65625</v>
      </c>
      <c r="C2726" t="s">
        <v>37</v>
      </c>
      <c r="D2726" s="1">
        <v>46157.354166666664</v>
      </c>
      <c r="E2726">
        <v>7330</v>
      </c>
      <c r="F2726" t="s">
        <v>36</v>
      </c>
      <c r="G2726">
        <v>122.5</v>
      </c>
      <c r="H2726">
        <v>122.5</v>
      </c>
      <c r="I2726">
        <v>122.5</v>
      </c>
      <c r="J2726">
        <v>122.5</v>
      </c>
      <c r="K2726">
        <v>8</v>
      </c>
      <c r="L2726">
        <v>47</v>
      </c>
      <c r="M2726">
        <v>139.9</v>
      </c>
      <c r="N2726">
        <v>19</v>
      </c>
      <c r="O2726">
        <v>142</v>
      </c>
      <c r="P2726">
        <v>0</v>
      </c>
      <c r="Q2726">
        <v>0</v>
      </c>
      <c r="R2726">
        <v>0</v>
      </c>
      <c r="S2726">
        <v>0</v>
      </c>
      <c r="T2726">
        <v>0.1186</v>
      </c>
      <c r="U2726">
        <v>-0.79600000000000004</v>
      </c>
      <c r="V2726">
        <v>1.9E-3</v>
      </c>
      <c r="W2726">
        <v>-1.9202999999999999</v>
      </c>
      <c r="X2726">
        <v>3.5817000000000001</v>
      </c>
      <c r="Y2726">
        <v>-1.7291000000000001</v>
      </c>
      <c r="Z2726">
        <v>2</v>
      </c>
      <c r="AA2726">
        <v>140.80000000000001</v>
      </c>
      <c r="AB2726">
        <v>2</v>
      </c>
      <c r="AC2726">
        <v>144.6</v>
      </c>
      <c r="AD2726">
        <v>0</v>
      </c>
      <c r="AE2726">
        <v>0</v>
      </c>
      <c r="AF2726">
        <v>122.5</v>
      </c>
      <c r="AG2726">
        <v>16</v>
      </c>
      <c r="AH2726">
        <v>0</v>
      </c>
    </row>
    <row r="2727" spans="1:34" x14ac:dyDescent="0.35">
      <c r="A2727" t="s">
        <v>37</v>
      </c>
      <c r="B2727" s="1">
        <v>46146.65625</v>
      </c>
      <c r="C2727" t="s">
        <v>37</v>
      </c>
      <c r="D2727" s="1">
        <v>46157.354166666664</v>
      </c>
      <c r="E2727">
        <v>7335</v>
      </c>
      <c r="F2727" t="s">
        <v>36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29</v>
      </c>
      <c r="M2727">
        <v>143.4</v>
      </c>
      <c r="N2727">
        <v>34</v>
      </c>
      <c r="O2727">
        <v>145.69999999999999</v>
      </c>
      <c r="P2727">
        <v>0</v>
      </c>
      <c r="Q2727">
        <v>0</v>
      </c>
      <c r="R2727">
        <v>0</v>
      </c>
      <c r="S2727">
        <v>0</v>
      </c>
      <c r="T2727">
        <v>0.1173</v>
      </c>
      <c r="U2727">
        <v>-0.80789999999999995</v>
      </c>
      <c r="V2727">
        <v>1.9E-3</v>
      </c>
      <c r="W2727">
        <v>-1.8263</v>
      </c>
      <c r="X2727">
        <v>3.4641000000000002</v>
      </c>
      <c r="Y2727">
        <v>-1.7557</v>
      </c>
      <c r="Z2727">
        <v>2</v>
      </c>
      <c r="AA2727">
        <v>144.4</v>
      </c>
      <c r="AB2727">
        <v>2</v>
      </c>
      <c r="AC2727">
        <v>148.4</v>
      </c>
      <c r="AD2727">
        <v>0</v>
      </c>
      <c r="AE2727">
        <v>0</v>
      </c>
      <c r="AF2727">
        <v>0</v>
      </c>
      <c r="AG2727">
        <v>1</v>
      </c>
      <c r="AH2727">
        <v>0</v>
      </c>
    </row>
    <row r="2728" spans="1:34" x14ac:dyDescent="0.35">
      <c r="A2728" t="s">
        <v>37</v>
      </c>
      <c r="B2728" s="1">
        <v>46146.65625</v>
      </c>
      <c r="C2728" t="s">
        <v>37</v>
      </c>
      <c r="D2728" s="1">
        <v>46157.354166666664</v>
      </c>
      <c r="E2728">
        <v>7340</v>
      </c>
      <c r="F2728" t="s">
        <v>36</v>
      </c>
      <c r="G2728">
        <v>123.14</v>
      </c>
      <c r="H2728">
        <v>151.6</v>
      </c>
      <c r="I2728">
        <v>123.14</v>
      </c>
      <c r="J2728">
        <v>151.6</v>
      </c>
      <c r="K2728">
        <v>4</v>
      </c>
      <c r="L2728">
        <v>19</v>
      </c>
      <c r="M2728">
        <v>147.1</v>
      </c>
      <c r="N2728">
        <v>9</v>
      </c>
      <c r="O2728">
        <v>149.4</v>
      </c>
      <c r="P2728">
        <v>0</v>
      </c>
      <c r="Q2728">
        <v>0</v>
      </c>
      <c r="R2728">
        <v>0</v>
      </c>
      <c r="S2728">
        <v>0</v>
      </c>
      <c r="T2728">
        <v>0.11609999999999999</v>
      </c>
      <c r="U2728">
        <v>-0.81950000000000001</v>
      </c>
      <c r="V2728">
        <v>1.8E-3</v>
      </c>
      <c r="W2728">
        <v>-1.7338</v>
      </c>
      <c r="X2728">
        <v>3.3422999999999998</v>
      </c>
      <c r="Y2728">
        <v>-1.7817000000000001</v>
      </c>
      <c r="Z2728">
        <v>2</v>
      </c>
      <c r="AA2728">
        <v>148.19999999999999</v>
      </c>
      <c r="AB2728">
        <v>2</v>
      </c>
      <c r="AC2728">
        <v>152.19999999999999</v>
      </c>
      <c r="AD2728">
        <v>0</v>
      </c>
      <c r="AE2728">
        <v>0</v>
      </c>
      <c r="AF2728">
        <v>137.37</v>
      </c>
      <c r="AG2728">
        <v>9</v>
      </c>
      <c r="AH2728">
        <v>0</v>
      </c>
    </row>
    <row r="2729" spans="1:34" x14ac:dyDescent="0.35">
      <c r="A2729" t="s">
        <v>37</v>
      </c>
      <c r="B2729" s="1">
        <v>46146.65625</v>
      </c>
      <c r="C2729" t="s">
        <v>37</v>
      </c>
      <c r="D2729" s="1">
        <v>46157.354166666664</v>
      </c>
      <c r="E2729">
        <v>7345</v>
      </c>
      <c r="F2729" t="s">
        <v>36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18</v>
      </c>
      <c r="M2729">
        <v>151</v>
      </c>
      <c r="N2729">
        <v>8</v>
      </c>
      <c r="O2729">
        <v>153.19999999999999</v>
      </c>
      <c r="P2729">
        <v>0</v>
      </c>
      <c r="Q2729">
        <v>0</v>
      </c>
      <c r="R2729">
        <v>0</v>
      </c>
      <c r="S2729">
        <v>0</v>
      </c>
      <c r="T2729">
        <v>0.1159</v>
      </c>
      <c r="U2729">
        <v>-0.82840000000000003</v>
      </c>
      <c r="V2729">
        <v>1.8E-3</v>
      </c>
      <c r="W2729">
        <v>-1.6711</v>
      </c>
      <c r="X2729">
        <v>3.2435999999999998</v>
      </c>
      <c r="Y2729">
        <v>-1.8017000000000001</v>
      </c>
      <c r="Z2729">
        <v>2</v>
      </c>
      <c r="AA2729">
        <v>151.6</v>
      </c>
      <c r="AB2729">
        <v>2</v>
      </c>
      <c r="AC2729">
        <v>155.6</v>
      </c>
      <c r="AD2729">
        <v>0</v>
      </c>
      <c r="AE2729">
        <v>0</v>
      </c>
      <c r="AF2729">
        <v>0</v>
      </c>
      <c r="AG2729">
        <v>5</v>
      </c>
      <c r="AH2729">
        <v>0</v>
      </c>
    </row>
    <row r="2730" spans="1:34" x14ac:dyDescent="0.35">
      <c r="A2730" t="s">
        <v>37</v>
      </c>
      <c r="B2730" s="1">
        <v>46146.65625</v>
      </c>
      <c r="C2730" t="s">
        <v>37</v>
      </c>
      <c r="D2730" s="1">
        <v>46157.354166666664</v>
      </c>
      <c r="E2730">
        <v>7350</v>
      </c>
      <c r="F2730" t="s">
        <v>36</v>
      </c>
      <c r="G2730">
        <v>173.21</v>
      </c>
      <c r="H2730">
        <v>173.21</v>
      </c>
      <c r="I2730">
        <v>173.21</v>
      </c>
      <c r="J2730">
        <v>173.21</v>
      </c>
      <c r="K2730">
        <v>1</v>
      </c>
      <c r="L2730">
        <v>18</v>
      </c>
      <c r="M2730">
        <v>154.80000000000001</v>
      </c>
      <c r="N2730">
        <v>8</v>
      </c>
      <c r="O2730">
        <v>157.1</v>
      </c>
      <c r="P2730">
        <v>0</v>
      </c>
      <c r="Q2730">
        <v>0</v>
      </c>
      <c r="R2730">
        <v>0</v>
      </c>
      <c r="S2730">
        <v>0</v>
      </c>
      <c r="T2730">
        <v>0.11409999999999999</v>
      </c>
      <c r="U2730">
        <v>-0.84119999999999995</v>
      </c>
      <c r="V2730">
        <v>1.6999999999999999E-3</v>
      </c>
      <c r="W2730">
        <v>-1.5588</v>
      </c>
      <c r="X2730">
        <v>3.0981000000000001</v>
      </c>
      <c r="Y2730">
        <v>-1.8294999999999999</v>
      </c>
      <c r="Z2730">
        <v>2</v>
      </c>
      <c r="AA2730">
        <v>156.19999999999999</v>
      </c>
      <c r="AB2730">
        <v>2</v>
      </c>
      <c r="AC2730">
        <v>159.6</v>
      </c>
      <c r="AD2730">
        <v>0</v>
      </c>
      <c r="AE2730">
        <v>0</v>
      </c>
      <c r="AF2730">
        <v>173.21</v>
      </c>
      <c r="AG2730">
        <v>118</v>
      </c>
      <c r="AH2730">
        <v>0</v>
      </c>
    </row>
    <row r="2731" spans="1:34" x14ac:dyDescent="0.35">
      <c r="A2731" t="s">
        <v>37</v>
      </c>
      <c r="B2731" s="1">
        <v>46146.65625</v>
      </c>
      <c r="C2731" t="s">
        <v>37</v>
      </c>
      <c r="D2731" s="1">
        <v>46157.354166666664</v>
      </c>
      <c r="E2731">
        <v>7355</v>
      </c>
      <c r="F2731" t="s">
        <v>36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18</v>
      </c>
      <c r="M2731">
        <v>158.80000000000001</v>
      </c>
      <c r="N2731">
        <v>8</v>
      </c>
      <c r="O2731">
        <v>161.1</v>
      </c>
      <c r="P2731">
        <v>0</v>
      </c>
      <c r="Q2731">
        <v>0</v>
      </c>
      <c r="R2731">
        <v>0</v>
      </c>
      <c r="S2731">
        <v>0</v>
      </c>
      <c r="T2731">
        <v>0.11310000000000001</v>
      </c>
      <c r="U2731">
        <v>-0.85160000000000002</v>
      </c>
      <c r="V2731">
        <v>1.6999999999999999E-3</v>
      </c>
      <c r="W2731">
        <v>-1.4724999999999999</v>
      </c>
      <c r="X2731">
        <v>2.9742999999999999</v>
      </c>
      <c r="Y2731">
        <v>-1.8526</v>
      </c>
      <c r="Z2731">
        <v>2</v>
      </c>
      <c r="AA2731">
        <v>159.80000000000001</v>
      </c>
      <c r="AB2731">
        <v>2</v>
      </c>
      <c r="AC2731">
        <v>164</v>
      </c>
      <c r="AD2731">
        <v>0</v>
      </c>
      <c r="AE2731">
        <v>0</v>
      </c>
      <c r="AF2731">
        <v>0</v>
      </c>
      <c r="AG2731">
        <v>6</v>
      </c>
      <c r="AH2731">
        <v>0</v>
      </c>
    </row>
    <row r="2732" spans="1:34" x14ac:dyDescent="0.35">
      <c r="A2732" t="s">
        <v>37</v>
      </c>
      <c r="B2732" s="1">
        <v>46146.65625</v>
      </c>
      <c r="C2732" t="s">
        <v>37</v>
      </c>
      <c r="D2732" s="1">
        <v>46157.354166666664</v>
      </c>
      <c r="E2732">
        <v>7360</v>
      </c>
      <c r="F2732" t="s">
        <v>36</v>
      </c>
      <c r="G2732">
        <v>165.15</v>
      </c>
      <c r="H2732">
        <v>165.15</v>
      </c>
      <c r="I2732">
        <v>164.46</v>
      </c>
      <c r="J2732">
        <v>164.46</v>
      </c>
      <c r="K2732">
        <v>2</v>
      </c>
      <c r="L2732">
        <v>18</v>
      </c>
      <c r="M2732">
        <v>162.80000000000001</v>
      </c>
      <c r="N2732">
        <v>8</v>
      </c>
      <c r="O2732">
        <v>165</v>
      </c>
      <c r="P2732">
        <v>0</v>
      </c>
      <c r="Q2732">
        <v>0</v>
      </c>
      <c r="R2732">
        <v>0</v>
      </c>
      <c r="S2732">
        <v>0</v>
      </c>
      <c r="T2732">
        <v>0.1118</v>
      </c>
      <c r="U2732">
        <v>-0.86229999999999996</v>
      </c>
      <c r="V2732">
        <v>1.6000000000000001E-3</v>
      </c>
      <c r="W2732">
        <v>-1.3777999999999999</v>
      </c>
      <c r="X2732">
        <v>2.8389000000000002</v>
      </c>
      <c r="Y2732">
        <v>-1.8768</v>
      </c>
      <c r="Z2732">
        <v>2</v>
      </c>
      <c r="AA2732">
        <v>163.30000000000001</v>
      </c>
      <c r="AB2732">
        <v>2</v>
      </c>
      <c r="AC2732">
        <v>167.6</v>
      </c>
      <c r="AD2732">
        <v>0</v>
      </c>
      <c r="AE2732">
        <v>0</v>
      </c>
      <c r="AF2732">
        <v>164.80500000000001</v>
      </c>
      <c r="AG2732">
        <v>14</v>
      </c>
      <c r="AH2732">
        <v>0</v>
      </c>
    </row>
    <row r="2733" spans="1:34" x14ac:dyDescent="0.35">
      <c r="A2733" t="s">
        <v>37</v>
      </c>
      <c r="B2733" s="1">
        <v>46146.65625</v>
      </c>
      <c r="C2733" t="s">
        <v>37</v>
      </c>
      <c r="D2733" s="1">
        <v>46157.354166666664</v>
      </c>
      <c r="E2733">
        <v>7365</v>
      </c>
      <c r="F2733" t="s">
        <v>36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12</v>
      </c>
      <c r="M2733">
        <v>166.6</v>
      </c>
      <c r="N2733">
        <v>11</v>
      </c>
      <c r="O2733">
        <v>169.2</v>
      </c>
      <c r="P2733">
        <v>0</v>
      </c>
      <c r="Q2733">
        <v>0</v>
      </c>
      <c r="R2733">
        <v>0</v>
      </c>
      <c r="S2733">
        <v>0</v>
      </c>
      <c r="T2733">
        <v>0.1113</v>
      </c>
      <c r="U2733">
        <v>-0.87070000000000003</v>
      </c>
      <c r="V2733">
        <v>1.5E-3</v>
      </c>
      <c r="W2733">
        <v>-1.3077000000000001</v>
      </c>
      <c r="X2733">
        <v>2.7263999999999999</v>
      </c>
      <c r="Y2733">
        <v>-1.8959999999999999</v>
      </c>
      <c r="Z2733">
        <v>2</v>
      </c>
      <c r="AA2733">
        <v>167.8</v>
      </c>
      <c r="AB2733">
        <v>2</v>
      </c>
      <c r="AC2733">
        <v>172.2</v>
      </c>
      <c r="AD2733">
        <v>0</v>
      </c>
      <c r="AE2733">
        <v>0</v>
      </c>
      <c r="AF2733">
        <v>0</v>
      </c>
      <c r="AG2733">
        <v>5</v>
      </c>
      <c r="AH2733">
        <v>0</v>
      </c>
    </row>
    <row r="2734" spans="1:34" x14ac:dyDescent="0.35">
      <c r="A2734" t="s">
        <v>37</v>
      </c>
      <c r="B2734" s="1">
        <v>46146.65625</v>
      </c>
      <c r="C2734" t="s">
        <v>37</v>
      </c>
      <c r="D2734" s="1">
        <v>46157.354166666664</v>
      </c>
      <c r="E2734">
        <v>7370</v>
      </c>
      <c r="F2734" t="s">
        <v>36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12</v>
      </c>
      <c r="M2734">
        <v>170.8</v>
      </c>
      <c r="N2734">
        <v>12</v>
      </c>
      <c r="O2734">
        <v>173.4</v>
      </c>
      <c r="P2734">
        <v>0</v>
      </c>
      <c r="Q2734">
        <v>0</v>
      </c>
      <c r="R2734">
        <v>0</v>
      </c>
      <c r="S2734">
        <v>0</v>
      </c>
      <c r="T2734">
        <v>0.1105</v>
      </c>
      <c r="U2734">
        <v>-0.87980000000000003</v>
      </c>
      <c r="V2734">
        <v>1.5E-3</v>
      </c>
      <c r="W2734">
        <v>-1.2292000000000001</v>
      </c>
      <c r="X2734">
        <v>2.6027</v>
      </c>
      <c r="Y2734">
        <v>-1.9159999999999999</v>
      </c>
      <c r="Z2734">
        <v>2</v>
      </c>
      <c r="AA2734">
        <v>171.9</v>
      </c>
      <c r="AB2734">
        <v>2</v>
      </c>
      <c r="AC2734">
        <v>176.4</v>
      </c>
      <c r="AD2734">
        <v>0</v>
      </c>
      <c r="AE2734">
        <v>0</v>
      </c>
      <c r="AF2734">
        <v>0</v>
      </c>
      <c r="AG2734">
        <v>3</v>
      </c>
      <c r="AH2734">
        <v>0</v>
      </c>
    </row>
    <row r="2735" spans="1:34" x14ac:dyDescent="0.35">
      <c r="A2735" t="s">
        <v>37</v>
      </c>
      <c r="B2735" s="1">
        <v>46146.65625</v>
      </c>
      <c r="C2735" t="s">
        <v>37</v>
      </c>
      <c r="D2735" s="1">
        <v>46157.354166666664</v>
      </c>
      <c r="E2735">
        <v>7375</v>
      </c>
      <c r="F2735" t="s">
        <v>36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12</v>
      </c>
      <c r="M2735">
        <v>175</v>
      </c>
      <c r="N2735">
        <v>9</v>
      </c>
      <c r="O2735">
        <v>177.5</v>
      </c>
      <c r="P2735">
        <v>0</v>
      </c>
      <c r="Q2735">
        <v>0</v>
      </c>
      <c r="R2735">
        <v>0</v>
      </c>
      <c r="S2735">
        <v>0</v>
      </c>
      <c r="T2735">
        <v>0.10929999999999999</v>
      </c>
      <c r="U2735">
        <v>-0.88939999999999997</v>
      </c>
      <c r="V2735">
        <v>1.4E-3</v>
      </c>
      <c r="W2735">
        <v>-1.1396999999999999</v>
      </c>
      <c r="X2735">
        <v>2.4664000000000001</v>
      </c>
      <c r="Y2735">
        <v>-1.9375</v>
      </c>
      <c r="Z2735">
        <v>2</v>
      </c>
      <c r="AA2735">
        <v>175.5</v>
      </c>
      <c r="AB2735">
        <v>2</v>
      </c>
      <c r="AC2735">
        <v>180.1</v>
      </c>
      <c r="AD2735">
        <v>0</v>
      </c>
      <c r="AE2735">
        <v>0</v>
      </c>
      <c r="AF2735">
        <v>0</v>
      </c>
      <c r="AG2735">
        <v>9</v>
      </c>
      <c r="AH2735">
        <v>0</v>
      </c>
    </row>
    <row r="2736" spans="1:34" x14ac:dyDescent="0.35">
      <c r="A2736" t="s">
        <v>37</v>
      </c>
      <c r="B2736" s="1">
        <v>46146.65625</v>
      </c>
      <c r="C2736" t="s">
        <v>37</v>
      </c>
      <c r="D2736" s="1">
        <v>46157.354166666664</v>
      </c>
      <c r="E2736">
        <v>7380</v>
      </c>
      <c r="F2736" t="s">
        <v>36</v>
      </c>
      <c r="G2736">
        <v>183.11</v>
      </c>
      <c r="H2736">
        <v>183.11</v>
      </c>
      <c r="I2736">
        <v>181.82</v>
      </c>
      <c r="J2736">
        <v>181.82</v>
      </c>
      <c r="K2736">
        <v>2</v>
      </c>
      <c r="L2736">
        <v>12</v>
      </c>
      <c r="M2736">
        <v>179.2</v>
      </c>
      <c r="N2736">
        <v>2</v>
      </c>
      <c r="O2736">
        <v>181.9</v>
      </c>
      <c r="P2736">
        <v>0</v>
      </c>
      <c r="Q2736">
        <v>0</v>
      </c>
      <c r="R2736">
        <v>0</v>
      </c>
      <c r="S2736">
        <v>0</v>
      </c>
      <c r="T2736">
        <v>0.108</v>
      </c>
      <c r="U2736">
        <v>-0.89880000000000004</v>
      </c>
      <c r="V2736">
        <v>1.2999999999999999E-3</v>
      </c>
      <c r="W2736">
        <v>-1.0503</v>
      </c>
      <c r="X2736">
        <v>2.3266</v>
      </c>
      <c r="Y2736">
        <v>-1.9588000000000001</v>
      </c>
      <c r="Z2736">
        <v>2</v>
      </c>
      <c r="AA2736">
        <v>179.7</v>
      </c>
      <c r="AB2736">
        <v>2</v>
      </c>
      <c r="AC2736">
        <v>184.4</v>
      </c>
      <c r="AD2736">
        <v>0</v>
      </c>
      <c r="AE2736">
        <v>0</v>
      </c>
      <c r="AF2736">
        <v>182.465</v>
      </c>
      <c r="AG2736">
        <v>13</v>
      </c>
      <c r="AH2736">
        <v>0</v>
      </c>
    </row>
    <row r="2737" spans="1:34" x14ac:dyDescent="0.35">
      <c r="A2737" t="s">
        <v>37</v>
      </c>
      <c r="B2737" s="1">
        <v>46146.65625</v>
      </c>
      <c r="C2737" t="s">
        <v>37</v>
      </c>
      <c r="D2737" s="1">
        <v>46157.354166666664</v>
      </c>
      <c r="E2737">
        <v>7385</v>
      </c>
      <c r="F2737" t="s">
        <v>36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12</v>
      </c>
      <c r="M2737">
        <v>183.5</v>
      </c>
      <c r="N2737">
        <v>11</v>
      </c>
      <c r="O2737">
        <v>186.1</v>
      </c>
      <c r="P2737">
        <v>0</v>
      </c>
      <c r="Q2737">
        <v>0</v>
      </c>
      <c r="R2737">
        <v>0</v>
      </c>
      <c r="S2737">
        <v>0</v>
      </c>
      <c r="T2737">
        <v>0.1071</v>
      </c>
      <c r="U2737">
        <v>-0.90680000000000005</v>
      </c>
      <c r="V2737">
        <v>1.2999999999999999E-3</v>
      </c>
      <c r="W2737">
        <v>-0.97450000000000003</v>
      </c>
      <c r="X2737">
        <v>2.1991999999999998</v>
      </c>
      <c r="Y2737">
        <v>-1.9772000000000001</v>
      </c>
      <c r="Z2737">
        <v>18</v>
      </c>
      <c r="AA2737">
        <v>183.8</v>
      </c>
      <c r="AB2737">
        <v>2</v>
      </c>
      <c r="AC2737">
        <v>188.8</v>
      </c>
      <c r="AD2737">
        <v>0</v>
      </c>
      <c r="AE2737">
        <v>0</v>
      </c>
      <c r="AF2737">
        <v>0</v>
      </c>
      <c r="AG2737">
        <v>5</v>
      </c>
      <c r="AH2737">
        <v>0</v>
      </c>
    </row>
    <row r="2738" spans="1:34" x14ac:dyDescent="0.35">
      <c r="A2738" t="s">
        <v>37</v>
      </c>
      <c r="B2738" s="1">
        <v>46146.65625</v>
      </c>
      <c r="C2738" t="s">
        <v>37</v>
      </c>
      <c r="D2738" s="1">
        <v>46157.354166666664</v>
      </c>
      <c r="E2738">
        <v>7390</v>
      </c>
      <c r="F2738" t="s">
        <v>36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12</v>
      </c>
      <c r="M2738">
        <v>187.9</v>
      </c>
      <c r="N2738">
        <v>11</v>
      </c>
      <c r="O2738">
        <v>190.5</v>
      </c>
      <c r="P2738">
        <v>0</v>
      </c>
      <c r="Q2738">
        <v>0</v>
      </c>
      <c r="R2738">
        <v>0</v>
      </c>
      <c r="S2738">
        <v>0</v>
      </c>
      <c r="T2738">
        <v>0.10630000000000001</v>
      </c>
      <c r="U2738">
        <v>-0.91459999999999997</v>
      </c>
      <c r="V2738">
        <v>1.1999999999999999E-3</v>
      </c>
      <c r="W2738">
        <v>-0.90090000000000003</v>
      </c>
      <c r="X2738">
        <v>2.0735999999999999</v>
      </c>
      <c r="Y2738">
        <v>-1.9945999999999999</v>
      </c>
      <c r="Z2738">
        <v>2</v>
      </c>
      <c r="AA2738">
        <v>188.7</v>
      </c>
      <c r="AB2738">
        <v>2</v>
      </c>
      <c r="AC2738">
        <v>193.7</v>
      </c>
      <c r="AD2738">
        <v>0</v>
      </c>
      <c r="AE2738">
        <v>0</v>
      </c>
      <c r="AF2738">
        <v>0</v>
      </c>
      <c r="AG2738">
        <v>2</v>
      </c>
      <c r="AH2738">
        <v>0</v>
      </c>
    </row>
    <row r="2739" spans="1:34" x14ac:dyDescent="0.35">
      <c r="A2739" t="s">
        <v>37</v>
      </c>
      <c r="B2739" s="1">
        <v>46146.65625</v>
      </c>
      <c r="C2739" t="s">
        <v>37</v>
      </c>
      <c r="D2739" s="1">
        <v>46157.354166666664</v>
      </c>
      <c r="E2739">
        <v>7395</v>
      </c>
      <c r="F2739" t="s">
        <v>36</v>
      </c>
      <c r="G2739">
        <v>192.37</v>
      </c>
      <c r="H2739">
        <v>192.37</v>
      </c>
      <c r="I2739">
        <v>192.37</v>
      </c>
      <c r="J2739">
        <v>192.37</v>
      </c>
      <c r="K2739">
        <v>1</v>
      </c>
      <c r="L2739">
        <v>12</v>
      </c>
      <c r="M2739">
        <v>192.3</v>
      </c>
      <c r="N2739">
        <v>11</v>
      </c>
      <c r="O2739">
        <v>194.9</v>
      </c>
      <c r="P2739">
        <v>0</v>
      </c>
      <c r="Q2739">
        <v>0</v>
      </c>
      <c r="R2739">
        <v>0</v>
      </c>
      <c r="S2739">
        <v>0</v>
      </c>
      <c r="T2739">
        <v>0.1051</v>
      </c>
      <c r="U2739">
        <v>-0.9224</v>
      </c>
      <c r="V2739">
        <v>1.1000000000000001E-3</v>
      </c>
      <c r="W2739">
        <v>-0.82289999999999996</v>
      </c>
      <c r="X2739">
        <v>1.9413</v>
      </c>
      <c r="Y2739">
        <v>-2.0125999999999999</v>
      </c>
      <c r="Z2739">
        <v>2</v>
      </c>
      <c r="AA2739">
        <v>193.1</v>
      </c>
      <c r="AB2739">
        <v>2</v>
      </c>
      <c r="AC2739">
        <v>198.1</v>
      </c>
      <c r="AD2739">
        <v>0</v>
      </c>
      <c r="AE2739">
        <v>0</v>
      </c>
      <c r="AF2739">
        <v>192.37</v>
      </c>
      <c r="AG2739">
        <v>1</v>
      </c>
      <c r="AH2739">
        <v>0</v>
      </c>
    </row>
    <row r="2740" spans="1:34" x14ac:dyDescent="0.35">
      <c r="A2740" t="s">
        <v>37</v>
      </c>
      <c r="B2740" s="1">
        <v>46146.65625</v>
      </c>
      <c r="C2740" t="s">
        <v>37</v>
      </c>
      <c r="D2740" s="1">
        <v>46157.354166666664</v>
      </c>
      <c r="E2740">
        <v>7400</v>
      </c>
      <c r="F2740" t="s">
        <v>36</v>
      </c>
      <c r="G2740">
        <v>179.41</v>
      </c>
      <c r="H2740">
        <v>196.81</v>
      </c>
      <c r="I2740">
        <v>175.21</v>
      </c>
      <c r="J2740">
        <v>196.81</v>
      </c>
      <c r="K2740">
        <v>6</v>
      </c>
      <c r="L2740">
        <v>12</v>
      </c>
      <c r="M2740">
        <v>196.8</v>
      </c>
      <c r="N2740">
        <v>1</v>
      </c>
      <c r="O2740">
        <v>199.2</v>
      </c>
      <c r="P2740">
        <v>0</v>
      </c>
      <c r="Q2740">
        <v>0</v>
      </c>
      <c r="R2740">
        <v>0</v>
      </c>
      <c r="S2740">
        <v>0</v>
      </c>
      <c r="T2740">
        <v>0.10340000000000001</v>
      </c>
      <c r="U2740">
        <v>-0.93110000000000004</v>
      </c>
      <c r="V2740">
        <v>1E-3</v>
      </c>
      <c r="W2740">
        <v>-0.73209999999999997</v>
      </c>
      <c r="X2740">
        <v>1.7884</v>
      </c>
      <c r="Y2740">
        <v>-2.0323000000000002</v>
      </c>
      <c r="Z2740">
        <v>2</v>
      </c>
      <c r="AA2740">
        <v>197.4</v>
      </c>
      <c r="AB2740">
        <v>2</v>
      </c>
      <c r="AC2740">
        <v>201.7</v>
      </c>
      <c r="AD2740">
        <v>0</v>
      </c>
      <c r="AE2740">
        <v>0</v>
      </c>
      <c r="AF2740">
        <v>186.01169999999999</v>
      </c>
      <c r="AG2740">
        <v>138</v>
      </c>
      <c r="AH2740">
        <v>0</v>
      </c>
    </row>
    <row r="2741" spans="1:34" x14ac:dyDescent="0.35">
      <c r="A2741" t="s">
        <v>37</v>
      </c>
      <c r="B2741" s="1">
        <v>46146.65625</v>
      </c>
      <c r="C2741" t="s">
        <v>37</v>
      </c>
      <c r="D2741" s="1">
        <v>46157.354166666664</v>
      </c>
      <c r="E2741">
        <v>7405</v>
      </c>
      <c r="F2741" t="s">
        <v>36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12</v>
      </c>
      <c r="M2741">
        <v>201.2</v>
      </c>
      <c r="N2741">
        <v>11</v>
      </c>
      <c r="O2741">
        <v>203.9</v>
      </c>
      <c r="P2741">
        <v>0</v>
      </c>
      <c r="Q2741">
        <v>0</v>
      </c>
      <c r="R2741">
        <v>0</v>
      </c>
      <c r="S2741">
        <v>0</v>
      </c>
      <c r="T2741">
        <v>0.10290000000000001</v>
      </c>
      <c r="U2741">
        <v>-0.93700000000000006</v>
      </c>
      <c r="V2741">
        <v>1E-3</v>
      </c>
      <c r="W2741">
        <v>-0.67490000000000006</v>
      </c>
      <c r="X2741">
        <v>1.6789000000000001</v>
      </c>
      <c r="Y2741">
        <v>-2.0457999999999998</v>
      </c>
      <c r="Z2741">
        <v>2</v>
      </c>
      <c r="AA2741">
        <v>202</v>
      </c>
      <c r="AB2741">
        <v>2</v>
      </c>
      <c r="AC2741">
        <v>207.1</v>
      </c>
      <c r="AD2741">
        <v>0</v>
      </c>
      <c r="AE2741">
        <v>0</v>
      </c>
      <c r="AF2741">
        <v>0</v>
      </c>
      <c r="AG2741">
        <v>0</v>
      </c>
      <c r="AH2741">
        <v>0</v>
      </c>
    </row>
    <row r="2742" spans="1:34" x14ac:dyDescent="0.35">
      <c r="A2742" t="s">
        <v>37</v>
      </c>
      <c r="B2742" s="1">
        <v>46146.65625</v>
      </c>
      <c r="C2742" t="s">
        <v>37</v>
      </c>
      <c r="D2742" s="1">
        <v>46157.354166666664</v>
      </c>
      <c r="E2742">
        <v>7410</v>
      </c>
      <c r="F2742" t="s">
        <v>36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12</v>
      </c>
      <c r="M2742">
        <v>205.8</v>
      </c>
      <c r="N2742">
        <v>11</v>
      </c>
      <c r="O2742">
        <v>208.4</v>
      </c>
      <c r="P2742">
        <v>0</v>
      </c>
      <c r="Q2742">
        <v>0</v>
      </c>
      <c r="R2742">
        <v>0</v>
      </c>
      <c r="S2742">
        <v>0</v>
      </c>
      <c r="T2742">
        <v>0.1018</v>
      </c>
      <c r="U2742">
        <v>-0.94359999999999999</v>
      </c>
      <c r="V2742">
        <v>8.9999999999999998E-4</v>
      </c>
      <c r="W2742">
        <v>-0.60619999999999996</v>
      </c>
      <c r="X2742">
        <v>1.5525</v>
      </c>
      <c r="Y2742">
        <v>-2.0609999999999999</v>
      </c>
      <c r="Z2742">
        <v>2</v>
      </c>
      <c r="AA2742">
        <v>206.5</v>
      </c>
      <c r="AB2742">
        <v>2</v>
      </c>
      <c r="AC2742">
        <v>211.7</v>
      </c>
      <c r="AD2742">
        <v>0</v>
      </c>
      <c r="AE2742">
        <v>0</v>
      </c>
      <c r="AF2742">
        <v>0</v>
      </c>
      <c r="AG2742">
        <v>4</v>
      </c>
      <c r="AH2742">
        <v>0</v>
      </c>
    </row>
    <row r="2743" spans="1:34" x14ac:dyDescent="0.35">
      <c r="A2743" t="s">
        <v>37</v>
      </c>
      <c r="B2743" s="1">
        <v>46146.65625</v>
      </c>
      <c r="C2743" t="s">
        <v>37</v>
      </c>
      <c r="D2743" s="1">
        <v>46157.354166666664</v>
      </c>
      <c r="E2743">
        <v>7415</v>
      </c>
      <c r="F2743" t="s">
        <v>36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12</v>
      </c>
      <c r="M2743">
        <v>210.4</v>
      </c>
      <c r="N2743">
        <v>11</v>
      </c>
      <c r="O2743">
        <v>213</v>
      </c>
      <c r="P2743">
        <v>0</v>
      </c>
      <c r="Q2743">
        <v>0</v>
      </c>
      <c r="R2743">
        <v>0</v>
      </c>
      <c r="S2743">
        <v>0</v>
      </c>
      <c r="T2743">
        <v>0.1007</v>
      </c>
      <c r="U2743">
        <v>-0.94969999999999999</v>
      </c>
      <c r="V2743">
        <v>8.0000000000000004E-4</v>
      </c>
      <c r="W2743">
        <v>-0.54200000000000004</v>
      </c>
      <c r="X2743">
        <v>1.4308000000000001</v>
      </c>
      <c r="Y2743">
        <v>-2.0752999999999999</v>
      </c>
      <c r="Z2743">
        <v>2</v>
      </c>
      <c r="AA2743">
        <v>210.5</v>
      </c>
      <c r="AB2743">
        <v>2</v>
      </c>
      <c r="AC2743">
        <v>215.8</v>
      </c>
      <c r="AD2743">
        <v>0</v>
      </c>
      <c r="AE2743">
        <v>0</v>
      </c>
      <c r="AF2743">
        <v>0</v>
      </c>
      <c r="AG2743">
        <v>0</v>
      </c>
      <c r="AH2743">
        <v>0</v>
      </c>
    </row>
    <row r="2744" spans="1:34" x14ac:dyDescent="0.35">
      <c r="A2744" t="s">
        <v>37</v>
      </c>
      <c r="B2744" s="1">
        <v>46146.65625</v>
      </c>
      <c r="C2744" t="s">
        <v>37</v>
      </c>
      <c r="D2744" s="1">
        <v>46157.354166666664</v>
      </c>
      <c r="E2744">
        <v>7420</v>
      </c>
      <c r="F2744" t="s">
        <v>36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12</v>
      </c>
      <c r="M2744">
        <v>215</v>
      </c>
      <c r="N2744">
        <v>11</v>
      </c>
      <c r="O2744">
        <v>217.6</v>
      </c>
      <c r="P2744">
        <v>0</v>
      </c>
      <c r="Q2744">
        <v>0</v>
      </c>
      <c r="R2744">
        <v>0</v>
      </c>
      <c r="S2744">
        <v>0</v>
      </c>
      <c r="T2744">
        <v>9.9299999999999999E-2</v>
      </c>
      <c r="U2744">
        <v>-0.95589999999999997</v>
      </c>
      <c r="V2744">
        <v>8.0000000000000004E-4</v>
      </c>
      <c r="W2744">
        <v>-0.47399999999999998</v>
      </c>
      <c r="X2744">
        <v>1.3001</v>
      </c>
      <c r="Y2744">
        <v>-2.0897000000000001</v>
      </c>
      <c r="Z2744">
        <v>2</v>
      </c>
      <c r="AA2744">
        <v>215.7</v>
      </c>
      <c r="AB2744">
        <v>2</v>
      </c>
      <c r="AC2744">
        <v>220.9</v>
      </c>
      <c r="AD2744">
        <v>0</v>
      </c>
      <c r="AE2744">
        <v>0</v>
      </c>
      <c r="AF2744">
        <v>0</v>
      </c>
      <c r="AG2744">
        <v>5</v>
      </c>
      <c r="AH2744">
        <v>0</v>
      </c>
    </row>
    <row r="2745" spans="1:34" x14ac:dyDescent="0.35">
      <c r="A2745" t="s">
        <v>37</v>
      </c>
      <c r="B2745" s="1">
        <v>46146.65625</v>
      </c>
      <c r="C2745" t="s">
        <v>37</v>
      </c>
      <c r="D2745" s="1">
        <v>46157.354166666664</v>
      </c>
      <c r="E2745">
        <v>7425</v>
      </c>
      <c r="F2745" t="s">
        <v>36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12</v>
      </c>
      <c r="M2745">
        <v>219.6</v>
      </c>
      <c r="N2745">
        <v>11</v>
      </c>
      <c r="O2745">
        <v>222.3</v>
      </c>
      <c r="P2745">
        <v>0</v>
      </c>
      <c r="Q2745">
        <v>0</v>
      </c>
      <c r="R2745">
        <v>0</v>
      </c>
      <c r="S2745">
        <v>0</v>
      </c>
      <c r="T2745">
        <v>9.7900000000000001E-2</v>
      </c>
      <c r="U2745">
        <v>-0.96160000000000001</v>
      </c>
      <c r="V2745">
        <v>6.9999999999999999E-4</v>
      </c>
      <c r="W2745">
        <v>-0.41110000000000002</v>
      </c>
      <c r="X2745">
        <v>1.1751</v>
      </c>
      <c r="Y2745">
        <v>-2.1031</v>
      </c>
      <c r="Z2745">
        <v>2</v>
      </c>
      <c r="AA2745">
        <v>220.4</v>
      </c>
      <c r="AB2745">
        <v>2</v>
      </c>
      <c r="AC2745">
        <v>225.6</v>
      </c>
      <c r="AD2745">
        <v>0</v>
      </c>
      <c r="AE2745">
        <v>0</v>
      </c>
      <c r="AF2745">
        <v>0</v>
      </c>
      <c r="AG2745">
        <v>6</v>
      </c>
      <c r="AH2745">
        <v>0</v>
      </c>
    </row>
    <row r="2746" spans="1:34" x14ac:dyDescent="0.35">
      <c r="A2746" t="s">
        <v>37</v>
      </c>
      <c r="B2746" s="1">
        <v>46146.65625</v>
      </c>
      <c r="C2746" t="s">
        <v>37</v>
      </c>
      <c r="D2746" s="1">
        <v>46157.354166666664</v>
      </c>
      <c r="E2746">
        <v>7430</v>
      </c>
      <c r="F2746" t="s">
        <v>36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12</v>
      </c>
      <c r="M2746">
        <v>224.3</v>
      </c>
      <c r="N2746">
        <v>11</v>
      </c>
      <c r="O2746">
        <v>227</v>
      </c>
      <c r="P2746">
        <v>0</v>
      </c>
      <c r="Q2746">
        <v>0</v>
      </c>
      <c r="R2746">
        <v>0</v>
      </c>
      <c r="S2746">
        <v>0</v>
      </c>
      <c r="T2746">
        <v>9.6500000000000002E-2</v>
      </c>
      <c r="U2746">
        <v>-0.96679999999999999</v>
      </c>
      <c r="V2746">
        <v>5.9999999999999995E-4</v>
      </c>
      <c r="W2746">
        <v>-0.35439999999999999</v>
      </c>
      <c r="X2746">
        <v>1.0580000000000001</v>
      </c>
      <c r="Y2746">
        <v>-2.1153</v>
      </c>
      <c r="Z2746">
        <v>2</v>
      </c>
      <c r="AA2746">
        <v>225.1</v>
      </c>
      <c r="AB2746">
        <v>2</v>
      </c>
      <c r="AC2746">
        <v>230.3</v>
      </c>
      <c r="AD2746">
        <v>0</v>
      </c>
      <c r="AE2746">
        <v>0</v>
      </c>
      <c r="AF2746">
        <v>0</v>
      </c>
      <c r="AG2746">
        <v>3</v>
      </c>
      <c r="AH2746">
        <v>0</v>
      </c>
    </row>
    <row r="2747" spans="1:34" x14ac:dyDescent="0.35">
      <c r="A2747" t="s">
        <v>37</v>
      </c>
      <c r="B2747" s="1">
        <v>46146.65625</v>
      </c>
      <c r="C2747" t="s">
        <v>37</v>
      </c>
      <c r="D2747" s="1">
        <v>46157.354166666664</v>
      </c>
      <c r="E2747">
        <v>7435</v>
      </c>
      <c r="F2747" t="s">
        <v>36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12</v>
      </c>
      <c r="M2747">
        <v>229</v>
      </c>
      <c r="N2747">
        <v>11</v>
      </c>
      <c r="O2747">
        <v>231.7</v>
      </c>
      <c r="P2747">
        <v>0</v>
      </c>
      <c r="Q2747">
        <v>0</v>
      </c>
      <c r="R2747">
        <v>0</v>
      </c>
      <c r="S2747">
        <v>0</v>
      </c>
      <c r="T2747">
        <v>9.4700000000000006E-2</v>
      </c>
      <c r="U2747">
        <v>-0.97209999999999996</v>
      </c>
      <c r="V2747">
        <v>5.0000000000000001E-4</v>
      </c>
      <c r="W2747">
        <v>-0.29409999999999997</v>
      </c>
      <c r="X2747">
        <v>0.93089999999999995</v>
      </c>
      <c r="Y2747">
        <v>-2.1276999999999999</v>
      </c>
      <c r="Z2747">
        <v>2</v>
      </c>
      <c r="AA2747">
        <v>229.3</v>
      </c>
      <c r="AB2747">
        <v>2</v>
      </c>
      <c r="AC2747">
        <v>234.5</v>
      </c>
      <c r="AD2747">
        <v>0</v>
      </c>
      <c r="AE2747">
        <v>0</v>
      </c>
      <c r="AF2747">
        <v>0</v>
      </c>
      <c r="AG2747">
        <v>0</v>
      </c>
      <c r="AH2747">
        <v>0</v>
      </c>
    </row>
    <row r="2748" spans="1:34" x14ac:dyDescent="0.35">
      <c r="A2748" t="s">
        <v>37</v>
      </c>
      <c r="B2748" s="1">
        <v>46146.65625</v>
      </c>
      <c r="C2748" t="s">
        <v>37</v>
      </c>
      <c r="D2748" s="1">
        <v>46157.354166666664</v>
      </c>
      <c r="E2748">
        <v>7440</v>
      </c>
      <c r="F2748" t="s">
        <v>36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12</v>
      </c>
      <c r="M2748">
        <v>233.8</v>
      </c>
      <c r="N2748">
        <v>11</v>
      </c>
      <c r="O2748">
        <v>236.4</v>
      </c>
      <c r="P2748">
        <v>0</v>
      </c>
      <c r="Q2748">
        <v>0</v>
      </c>
      <c r="R2748">
        <v>0</v>
      </c>
      <c r="S2748">
        <v>0</v>
      </c>
      <c r="T2748">
        <v>9.2999999999999999E-2</v>
      </c>
      <c r="U2748">
        <v>-0.97670000000000001</v>
      </c>
      <c r="V2748">
        <v>5.0000000000000001E-4</v>
      </c>
      <c r="W2748">
        <v>-0.2409</v>
      </c>
      <c r="X2748">
        <v>0.81320000000000003</v>
      </c>
      <c r="Y2748">
        <v>-2.1389</v>
      </c>
      <c r="Z2748">
        <v>2</v>
      </c>
      <c r="AA2748">
        <v>234</v>
      </c>
      <c r="AB2748">
        <v>2</v>
      </c>
      <c r="AC2748">
        <v>239.3</v>
      </c>
      <c r="AD2748">
        <v>0</v>
      </c>
      <c r="AE2748">
        <v>0</v>
      </c>
      <c r="AF2748">
        <v>0</v>
      </c>
      <c r="AG2748">
        <v>2</v>
      </c>
      <c r="AH2748">
        <v>0</v>
      </c>
    </row>
    <row r="2749" spans="1:34" x14ac:dyDescent="0.35">
      <c r="A2749" t="s">
        <v>37</v>
      </c>
      <c r="B2749" s="1">
        <v>46146.65625</v>
      </c>
      <c r="C2749" t="s">
        <v>37</v>
      </c>
      <c r="D2749" s="1">
        <v>46157.354166666664</v>
      </c>
      <c r="E2749">
        <v>7445</v>
      </c>
      <c r="F2749" t="s">
        <v>36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12</v>
      </c>
      <c r="M2749">
        <v>238.5</v>
      </c>
      <c r="N2749">
        <v>11</v>
      </c>
      <c r="O2749">
        <v>241.2</v>
      </c>
      <c r="P2749">
        <v>0</v>
      </c>
      <c r="Q2749">
        <v>0</v>
      </c>
      <c r="R2749">
        <v>0</v>
      </c>
      <c r="S2749">
        <v>0</v>
      </c>
      <c r="T2749">
        <v>9.06E-2</v>
      </c>
      <c r="U2749">
        <v>-0.98160000000000003</v>
      </c>
      <c r="V2749">
        <v>4.0000000000000002E-4</v>
      </c>
      <c r="W2749">
        <v>-0.18390000000000001</v>
      </c>
      <c r="X2749">
        <v>0.68289999999999995</v>
      </c>
      <c r="Y2749">
        <v>-2.1503999999999999</v>
      </c>
      <c r="Z2749">
        <v>2</v>
      </c>
      <c r="AA2749">
        <v>238.8</v>
      </c>
      <c r="AB2749">
        <v>2</v>
      </c>
      <c r="AC2749">
        <v>244</v>
      </c>
      <c r="AD2749">
        <v>0</v>
      </c>
      <c r="AE2749">
        <v>0</v>
      </c>
      <c r="AF2749">
        <v>0</v>
      </c>
      <c r="AG2749">
        <v>24</v>
      </c>
      <c r="AH2749">
        <v>0</v>
      </c>
    </row>
    <row r="2750" spans="1:34" x14ac:dyDescent="0.35">
      <c r="A2750" t="s">
        <v>37</v>
      </c>
      <c r="B2750" s="1">
        <v>46146.65625</v>
      </c>
      <c r="C2750" t="s">
        <v>37</v>
      </c>
      <c r="D2750" s="1">
        <v>46157.354166666664</v>
      </c>
      <c r="E2750">
        <v>7450</v>
      </c>
      <c r="F2750" t="s">
        <v>36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9</v>
      </c>
      <c r="M2750">
        <v>243.3</v>
      </c>
      <c r="N2750">
        <v>2</v>
      </c>
      <c r="O2750">
        <v>246</v>
      </c>
      <c r="P2750">
        <v>0</v>
      </c>
      <c r="Q2750">
        <v>0</v>
      </c>
      <c r="R2750">
        <v>0</v>
      </c>
      <c r="S2750">
        <v>0</v>
      </c>
      <c r="T2750">
        <v>8.8200000000000001E-2</v>
      </c>
      <c r="U2750">
        <v>-0.98580000000000001</v>
      </c>
      <c r="V2750">
        <v>2.9999999999999997E-4</v>
      </c>
      <c r="W2750">
        <v>-0.13519999999999999</v>
      </c>
      <c r="X2750">
        <v>0.56359999999999999</v>
      </c>
      <c r="Y2750">
        <v>-2.1606000000000001</v>
      </c>
      <c r="Z2750">
        <v>2</v>
      </c>
      <c r="AA2750">
        <v>244.5</v>
      </c>
      <c r="AB2750">
        <v>2</v>
      </c>
      <c r="AC2750">
        <v>248.9</v>
      </c>
      <c r="AD2750">
        <v>0</v>
      </c>
      <c r="AE2750">
        <v>0</v>
      </c>
      <c r="AF2750">
        <v>0</v>
      </c>
      <c r="AG2750">
        <v>2064</v>
      </c>
      <c r="AH2750">
        <v>0</v>
      </c>
    </row>
    <row r="2751" spans="1:34" x14ac:dyDescent="0.35">
      <c r="A2751" t="s">
        <v>37</v>
      </c>
      <c r="B2751" s="1">
        <v>46146.65625</v>
      </c>
      <c r="C2751" t="s">
        <v>37</v>
      </c>
      <c r="D2751" s="1">
        <v>46157.354166666664</v>
      </c>
      <c r="E2751">
        <v>7455</v>
      </c>
      <c r="F2751" t="s">
        <v>36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9</v>
      </c>
      <c r="M2751">
        <v>248.2</v>
      </c>
      <c r="N2751">
        <v>2</v>
      </c>
      <c r="O2751">
        <v>250.8</v>
      </c>
      <c r="P2751">
        <v>0</v>
      </c>
      <c r="Q2751">
        <v>0</v>
      </c>
      <c r="R2751">
        <v>0</v>
      </c>
      <c r="S2751">
        <v>0</v>
      </c>
      <c r="T2751">
        <v>8.5999999999999993E-2</v>
      </c>
      <c r="U2751">
        <v>-0.98909999999999998</v>
      </c>
      <c r="V2751">
        <v>2.9999999999999997E-4</v>
      </c>
      <c r="W2751">
        <v>-9.6299999999999997E-2</v>
      </c>
      <c r="X2751">
        <v>0.46150000000000002</v>
      </c>
      <c r="Y2751">
        <v>-2.1688999999999998</v>
      </c>
      <c r="Z2751">
        <v>2</v>
      </c>
      <c r="AA2751">
        <v>248.9</v>
      </c>
      <c r="AB2751">
        <v>2</v>
      </c>
      <c r="AC2751">
        <v>254.2</v>
      </c>
      <c r="AD2751">
        <v>0</v>
      </c>
      <c r="AE2751">
        <v>0</v>
      </c>
      <c r="AF2751">
        <v>0</v>
      </c>
      <c r="AG2751">
        <v>6</v>
      </c>
      <c r="AH2751">
        <v>0</v>
      </c>
    </row>
    <row r="2752" spans="1:34" x14ac:dyDescent="0.35">
      <c r="A2752" t="s">
        <v>37</v>
      </c>
      <c r="B2752" s="1">
        <v>46146.65625</v>
      </c>
      <c r="C2752" t="s">
        <v>37</v>
      </c>
      <c r="D2752" s="1">
        <v>46157.354166666664</v>
      </c>
      <c r="E2752">
        <v>7460</v>
      </c>
      <c r="F2752" t="s">
        <v>36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7</v>
      </c>
      <c r="M2752">
        <v>253.1</v>
      </c>
      <c r="N2752">
        <v>3</v>
      </c>
      <c r="O2752">
        <v>255.7</v>
      </c>
      <c r="P2752">
        <v>0</v>
      </c>
      <c r="Q2752">
        <v>0</v>
      </c>
      <c r="R2752">
        <v>0</v>
      </c>
      <c r="S2752">
        <v>0</v>
      </c>
      <c r="T2752">
        <v>0.1051</v>
      </c>
      <c r="U2752">
        <v>-0.97189999999999999</v>
      </c>
      <c r="V2752">
        <v>5.0000000000000001E-4</v>
      </c>
      <c r="W2752">
        <v>-0.3281</v>
      </c>
      <c r="X2752">
        <v>0.91969999999999996</v>
      </c>
      <c r="Y2752">
        <v>-2.1349</v>
      </c>
      <c r="Z2752">
        <v>2</v>
      </c>
      <c r="AA2752">
        <v>253.1</v>
      </c>
      <c r="AB2752">
        <v>2</v>
      </c>
      <c r="AC2752">
        <v>258.5</v>
      </c>
      <c r="AD2752">
        <v>0</v>
      </c>
      <c r="AE2752">
        <v>0</v>
      </c>
      <c r="AF2752">
        <v>0</v>
      </c>
      <c r="AG2752">
        <v>0</v>
      </c>
      <c r="AH2752">
        <v>0</v>
      </c>
    </row>
    <row r="2753" spans="1:34" x14ac:dyDescent="0.35">
      <c r="A2753" t="s">
        <v>37</v>
      </c>
      <c r="B2753" s="1">
        <v>46146.65625</v>
      </c>
      <c r="C2753" t="s">
        <v>37</v>
      </c>
      <c r="D2753" s="1">
        <v>46157.354166666664</v>
      </c>
      <c r="E2753">
        <v>7465</v>
      </c>
      <c r="F2753" t="s">
        <v>36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9</v>
      </c>
      <c r="M2753">
        <v>257.8</v>
      </c>
      <c r="N2753">
        <v>2</v>
      </c>
      <c r="O2753">
        <v>260.5</v>
      </c>
      <c r="P2753">
        <v>0</v>
      </c>
      <c r="Q2753">
        <v>0</v>
      </c>
      <c r="R2753">
        <v>0</v>
      </c>
      <c r="S2753">
        <v>0</v>
      </c>
      <c r="T2753">
        <v>0.1041</v>
      </c>
      <c r="U2753">
        <v>-0.97529999999999994</v>
      </c>
      <c r="V2753">
        <v>5.0000000000000001E-4</v>
      </c>
      <c r="W2753">
        <v>-0.28639999999999999</v>
      </c>
      <c r="X2753">
        <v>0.83479999999999999</v>
      </c>
      <c r="Y2753">
        <v>-2.1434000000000002</v>
      </c>
      <c r="Z2753">
        <v>2</v>
      </c>
      <c r="AA2753">
        <v>258.60000000000002</v>
      </c>
      <c r="AB2753">
        <v>2</v>
      </c>
      <c r="AC2753">
        <v>263.89999999999998</v>
      </c>
      <c r="AD2753">
        <v>0</v>
      </c>
      <c r="AE2753">
        <v>0</v>
      </c>
      <c r="AF2753">
        <v>0</v>
      </c>
      <c r="AG2753">
        <v>0</v>
      </c>
      <c r="AH2753">
        <v>0</v>
      </c>
    </row>
    <row r="2754" spans="1:34" x14ac:dyDescent="0.35">
      <c r="A2754" t="s">
        <v>37</v>
      </c>
      <c r="B2754" s="1">
        <v>46146.65625</v>
      </c>
      <c r="C2754" t="s">
        <v>37</v>
      </c>
      <c r="D2754" s="1">
        <v>46157.354166666664</v>
      </c>
      <c r="E2754">
        <v>7470</v>
      </c>
      <c r="F2754" t="s">
        <v>36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9</v>
      </c>
      <c r="M2754">
        <v>262.7</v>
      </c>
      <c r="N2754">
        <v>2</v>
      </c>
      <c r="O2754">
        <v>265.39999999999998</v>
      </c>
      <c r="P2754">
        <v>0</v>
      </c>
      <c r="Q2754">
        <v>0</v>
      </c>
      <c r="R2754">
        <v>0</v>
      </c>
      <c r="S2754">
        <v>0</v>
      </c>
      <c r="T2754">
        <v>0.1077</v>
      </c>
      <c r="U2754">
        <v>-0.97330000000000005</v>
      </c>
      <c r="V2754">
        <v>5.0000000000000001E-4</v>
      </c>
      <c r="W2754">
        <v>-0.31909999999999999</v>
      </c>
      <c r="X2754">
        <v>0.87949999999999995</v>
      </c>
      <c r="Y2754">
        <v>-2.1408</v>
      </c>
      <c r="Z2754">
        <v>2</v>
      </c>
      <c r="AA2754">
        <v>263.39999999999998</v>
      </c>
      <c r="AB2754">
        <v>2</v>
      </c>
      <c r="AC2754">
        <v>268.8</v>
      </c>
      <c r="AD2754">
        <v>0</v>
      </c>
      <c r="AE2754">
        <v>0</v>
      </c>
      <c r="AF2754">
        <v>0</v>
      </c>
      <c r="AG2754">
        <v>0</v>
      </c>
      <c r="AH2754">
        <v>0</v>
      </c>
    </row>
    <row r="2755" spans="1:34" x14ac:dyDescent="0.35">
      <c r="A2755" t="s">
        <v>37</v>
      </c>
      <c r="B2755" s="1">
        <v>46146.65625</v>
      </c>
      <c r="C2755" t="s">
        <v>37</v>
      </c>
      <c r="D2755" s="1">
        <v>46157.354166666664</v>
      </c>
      <c r="E2755">
        <v>7475</v>
      </c>
      <c r="F2755" t="s">
        <v>36</v>
      </c>
      <c r="G2755">
        <v>247.36</v>
      </c>
      <c r="H2755">
        <v>247.36</v>
      </c>
      <c r="I2755">
        <v>247.36</v>
      </c>
      <c r="J2755">
        <v>247.36</v>
      </c>
      <c r="K2755">
        <v>1</v>
      </c>
      <c r="L2755">
        <v>9</v>
      </c>
      <c r="M2755">
        <v>267.60000000000002</v>
      </c>
      <c r="N2755">
        <v>3</v>
      </c>
      <c r="O2755">
        <v>270.3</v>
      </c>
      <c r="P2755">
        <v>0</v>
      </c>
      <c r="Q2755">
        <v>0</v>
      </c>
      <c r="R2755">
        <v>0</v>
      </c>
      <c r="S2755">
        <v>0</v>
      </c>
      <c r="T2755">
        <v>0.1081</v>
      </c>
      <c r="U2755">
        <v>-0.97509999999999997</v>
      </c>
      <c r="V2755">
        <v>4.0000000000000002E-4</v>
      </c>
      <c r="W2755">
        <v>-0.29899999999999999</v>
      </c>
      <c r="X2755">
        <v>0.8337</v>
      </c>
      <c r="Y2755">
        <v>-2.1459999999999999</v>
      </c>
      <c r="Z2755">
        <v>2</v>
      </c>
      <c r="AA2755">
        <v>268.2</v>
      </c>
      <c r="AB2755">
        <v>2</v>
      </c>
      <c r="AC2755">
        <v>273.7</v>
      </c>
      <c r="AD2755">
        <v>0</v>
      </c>
      <c r="AE2755">
        <v>0</v>
      </c>
      <c r="AF2755">
        <v>247.36</v>
      </c>
      <c r="AG2755">
        <v>3</v>
      </c>
      <c r="AH2755">
        <v>0</v>
      </c>
    </row>
    <row r="2756" spans="1:34" x14ac:dyDescent="0.35">
      <c r="A2756" t="s">
        <v>37</v>
      </c>
      <c r="B2756" s="1">
        <v>46146.65625</v>
      </c>
      <c r="C2756" t="s">
        <v>37</v>
      </c>
      <c r="D2756" s="1">
        <v>46157.354166666664</v>
      </c>
      <c r="E2756">
        <v>7480</v>
      </c>
      <c r="F2756" t="s">
        <v>36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6</v>
      </c>
      <c r="M2756">
        <v>272.7</v>
      </c>
      <c r="N2756">
        <v>3</v>
      </c>
      <c r="O2756">
        <v>275.2</v>
      </c>
      <c r="P2756">
        <v>0</v>
      </c>
      <c r="Q2756">
        <v>0</v>
      </c>
      <c r="R2756">
        <v>0</v>
      </c>
      <c r="S2756">
        <v>0</v>
      </c>
      <c r="T2756">
        <v>0.105</v>
      </c>
      <c r="U2756">
        <v>-0.98029999999999995</v>
      </c>
      <c r="V2756">
        <v>4.0000000000000002E-4</v>
      </c>
      <c r="W2756">
        <v>-0.22939999999999999</v>
      </c>
      <c r="X2756">
        <v>0.70030000000000003</v>
      </c>
      <c r="Y2756">
        <v>-2.1581999999999999</v>
      </c>
      <c r="Z2756">
        <v>2</v>
      </c>
      <c r="AA2756">
        <v>273.10000000000002</v>
      </c>
      <c r="AB2756">
        <v>2</v>
      </c>
      <c r="AC2756">
        <v>278.60000000000002</v>
      </c>
      <c r="AD2756">
        <v>0</v>
      </c>
      <c r="AE2756">
        <v>0</v>
      </c>
      <c r="AF2756">
        <v>0</v>
      </c>
      <c r="AG2756">
        <v>0</v>
      </c>
      <c r="AH2756">
        <v>0</v>
      </c>
    </row>
    <row r="2757" spans="1:34" x14ac:dyDescent="0.35">
      <c r="A2757" t="s">
        <v>37</v>
      </c>
      <c r="B2757" s="1">
        <v>46146.65625</v>
      </c>
      <c r="C2757" t="s">
        <v>37</v>
      </c>
      <c r="D2757" s="1">
        <v>46157.354166666664</v>
      </c>
      <c r="E2757">
        <v>7485</v>
      </c>
      <c r="F2757" t="s">
        <v>36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6</v>
      </c>
      <c r="M2757">
        <v>277.60000000000002</v>
      </c>
      <c r="N2757">
        <v>1</v>
      </c>
      <c r="O2757">
        <v>280.8</v>
      </c>
      <c r="P2757">
        <v>0</v>
      </c>
      <c r="Q2757">
        <v>0</v>
      </c>
      <c r="R2757">
        <v>0</v>
      </c>
      <c r="S2757">
        <v>0</v>
      </c>
      <c r="T2757">
        <v>0.1111</v>
      </c>
      <c r="U2757">
        <v>-0.97619999999999996</v>
      </c>
      <c r="V2757">
        <v>4.0000000000000002E-4</v>
      </c>
      <c r="W2757">
        <v>-0.29380000000000001</v>
      </c>
      <c r="X2757">
        <v>0.80220000000000002</v>
      </c>
      <c r="Y2757">
        <v>-2.1513</v>
      </c>
      <c r="Z2757">
        <v>6</v>
      </c>
      <c r="AA2757">
        <v>277</v>
      </c>
      <c r="AB2757">
        <v>6</v>
      </c>
      <c r="AC2757">
        <v>284.3</v>
      </c>
      <c r="AD2757">
        <v>0</v>
      </c>
      <c r="AE2757">
        <v>0</v>
      </c>
      <c r="AF2757">
        <v>0</v>
      </c>
      <c r="AG2757">
        <v>0</v>
      </c>
      <c r="AH2757">
        <v>0</v>
      </c>
    </row>
    <row r="2758" spans="1:34" x14ac:dyDescent="0.35">
      <c r="A2758" t="s">
        <v>37</v>
      </c>
      <c r="B2758" s="1">
        <v>46146.65625</v>
      </c>
      <c r="C2758" t="s">
        <v>37</v>
      </c>
      <c r="D2758" s="1">
        <v>46157.354166666664</v>
      </c>
      <c r="E2758">
        <v>7490</v>
      </c>
      <c r="F2758" t="s">
        <v>36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1</v>
      </c>
      <c r="M2758">
        <v>274</v>
      </c>
      <c r="N2758">
        <v>1</v>
      </c>
      <c r="O2758">
        <v>293.2</v>
      </c>
      <c r="P2758">
        <v>0</v>
      </c>
      <c r="Q2758">
        <v>0</v>
      </c>
      <c r="R2758">
        <v>0</v>
      </c>
      <c r="S2758">
        <v>0</v>
      </c>
      <c r="T2758">
        <v>0.16639999999999999</v>
      </c>
      <c r="U2758">
        <v>-0.90949999999999998</v>
      </c>
      <c r="V2758">
        <v>8.0000000000000004E-4</v>
      </c>
      <c r="W2758">
        <v>-1.4769000000000001</v>
      </c>
      <c r="X2758">
        <v>2.0983999999999998</v>
      </c>
      <c r="Y2758">
        <v>-2.0152999999999999</v>
      </c>
      <c r="Z2758">
        <v>1</v>
      </c>
      <c r="AA2758">
        <v>274.89999999999998</v>
      </c>
      <c r="AB2758">
        <v>2</v>
      </c>
      <c r="AC2758">
        <v>293.3</v>
      </c>
      <c r="AD2758">
        <v>0</v>
      </c>
      <c r="AE2758">
        <v>0</v>
      </c>
      <c r="AF2758">
        <v>0</v>
      </c>
      <c r="AG2758">
        <v>0</v>
      </c>
      <c r="AH2758">
        <v>0</v>
      </c>
    </row>
    <row r="2759" spans="1:34" x14ac:dyDescent="0.35">
      <c r="A2759" t="s">
        <v>37</v>
      </c>
      <c r="B2759" s="1">
        <v>46146.65625</v>
      </c>
      <c r="C2759" t="s">
        <v>37</v>
      </c>
      <c r="D2759" s="1">
        <v>46157.354166666664</v>
      </c>
      <c r="E2759">
        <v>7495</v>
      </c>
      <c r="F2759" t="s">
        <v>36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1</v>
      </c>
      <c r="M2759">
        <v>278.89999999999998</v>
      </c>
      <c r="N2759">
        <v>1</v>
      </c>
      <c r="O2759">
        <v>297.89999999999998</v>
      </c>
      <c r="P2759">
        <v>0</v>
      </c>
      <c r="Q2759">
        <v>0</v>
      </c>
      <c r="R2759">
        <v>0</v>
      </c>
      <c r="S2759">
        <v>0</v>
      </c>
      <c r="T2759">
        <v>0.1646</v>
      </c>
      <c r="U2759">
        <v>-0.91600000000000004</v>
      </c>
      <c r="V2759">
        <v>8.0000000000000004E-4</v>
      </c>
      <c r="W2759">
        <v>-1.375</v>
      </c>
      <c r="X2759">
        <v>1.9923</v>
      </c>
      <c r="Y2759">
        <v>-2.0299</v>
      </c>
      <c r="Z2759">
        <v>1</v>
      </c>
      <c r="AA2759">
        <v>279.8</v>
      </c>
      <c r="AB2759">
        <v>2</v>
      </c>
      <c r="AC2759">
        <v>299.3</v>
      </c>
      <c r="AD2759">
        <v>0</v>
      </c>
      <c r="AE2759">
        <v>0</v>
      </c>
      <c r="AF2759">
        <v>0</v>
      </c>
      <c r="AG2759">
        <v>0</v>
      </c>
      <c r="AH2759">
        <v>0</v>
      </c>
    </row>
    <row r="2760" spans="1:34" x14ac:dyDescent="0.35">
      <c r="A2760" t="s">
        <v>37</v>
      </c>
      <c r="B2760" s="1">
        <v>46146.65625</v>
      </c>
      <c r="C2760" t="s">
        <v>37</v>
      </c>
      <c r="D2760" s="1">
        <v>46157.354166666664</v>
      </c>
      <c r="E2760">
        <v>7500</v>
      </c>
      <c r="F2760" t="s">
        <v>36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1</v>
      </c>
      <c r="M2760">
        <v>283.3</v>
      </c>
      <c r="N2760">
        <v>2</v>
      </c>
      <c r="O2760">
        <v>301.7</v>
      </c>
      <c r="P2760">
        <v>0</v>
      </c>
      <c r="Q2760">
        <v>0</v>
      </c>
      <c r="R2760">
        <v>0</v>
      </c>
      <c r="S2760">
        <v>0</v>
      </c>
      <c r="T2760">
        <v>0.16120000000000001</v>
      </c>
      <c r="U2760">
        <v>-0.92379999999999995</v>
      </c>
      <c r="V2760">
        <v>6.9999999999999999E-4</v>
      </c>
      <c r="W2760">
        <v>-1.2412000000000001</v>
      </c>
      <c r="X2760">
        <v>1.8593999999999999</v>
      </c>
      <c r="Y2760">
        <v>-2.0478000000000001</v>
      </c>
      <c r="Z2760">
        <v>2</v>
      </c>
      <c r="AA2760">
        <v>284.89999999999998</v>
      </c>
      <c r="AB2760">
        <v>1</v>
      </c>
      <c r="AC2760">
        <v>308.3</v>
      </c>
      <c r="AD2760">
        <v>0</v>
      </c>
      <c r="AE2760">
        <v>0</v>
      </c>
      <c r="AF2760">
        <v>0</v>
      </c>
      <c r="AG2760">
        <v>726</v>
      </c>
      <c r="AH2760">
        <v>0</v>
      </c>
    </row>
    <row r="2761" spans="1:34" x14ac:dyDescent="0.35">
      <c r="A2761" t="s">
        <v>37</v>
      </c>
      <c r="B2761" s="1">
        <v>46146.65625</v>
      </c>
      <c r="C2761" t="s">
        <v>37</v>
      </c>
      <c r="D2761" s="1">
        <v>46157.354166666664</v>
      </c>
      <c r="E2761">
        <v>7505</v>
      </c>
      <c r="F2761" t="s">
        <v>36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1</v>
      </c>
      <c r="M2761">
        <v>288.7</v>
      </c>
      <c r="N2761">
        <v>2</v>
      </c>
      <c r="O2761">
        <v>308.2</v>
      </c>
      <c r="P2761">
        <v>0</v>
      </c>
      <c r="Q2761">
        <v>0</v>
      </c>
      <c r="R2761">
        <v>0</v>
      </c>
      <c r="S2761">
        <v>0</v>
      </c>
      <c r="T2761">
        <v>0.17430000000000001</v>
      </c>
      <c r="U2761">
        <v>-0.91</v>
      </c>
      <c r="V2761">
        <v>8.0000000000000004E-4</v>
      </c>
      <c r="W2761">
        <v>-1.5411999999999999</v>
      </c>
      <c r="X2761">
        <v>2.0867</v>
      </c>
      <c r="Y2761">
        <v>-2.0207999999999999</v>
      </c>
      <c r="Z2761">
        <v>1</v>
      </c>
      <c r="AA2761">
        <v>289.7</v>
      </c>
      <c r="AB2761">
        <v>2</v>
      </c>
      <c r="AC2761">
        <v>308.2</v>
      </c>
      <c r="AD2761">
        <v>0</v>
      </c>
      <c r="AE2761">
        <v>0</v>
      </c>
      <c r="AF2761">
        <v>0</v>
      </c>
      <c r="AG2761">
        <v>0</v>
      </c>
      <c r="AH2761">
        <v>0</v>
      </c>
    </row>
    <row r="2762" spans="1:34" x14ac:dyDescent="0.35">
      <c r="A2762" t="s">
        <v>37</v>
      </c>
      <c r="B2762" s="1">
        <v>46146.65625</v>
      </c>
      <c r="C2762" t="s">
        <v>37</v>
      </c>
      <c r="D2762" s="1">
        <v>46157.354166666664</v>
      </c>
      <c r="E2762">
        <v>7510</v>
      </c>
      <c r="F2762" t="s">
        <v>36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1</v>
      </c>
      <c r="M2762">
        <v>293.2</v>
      </c>
      <c r="N2762">
        <v>1</v>
      </c>
      <c r="O2762">
        <v>312.7</v>
      </c>
      <c r="P2762">
        <v>0</v>
      </c>
      <c r="Q2762">
        <v>0</v>
      </c>
      <c r="R2762">
        <v>0</v>
      </c>
      <c r="S2762">
        <v>0</v>
      </c>
      <c r="T2762">
        <v>0.1724</v>
      </c>
      <c r="U2762">
        <v>-0.91610000000000003</v>
      </c>
      <c r="V2762">
        <v>6.9999999999999999E-4</v>
      </c>
      <c r="W2762">
        <v>-1.4379999999999999</v>
      </c>
      <c r="X2762">
        <v>1.9854000000000001</v>
      </c>
      <c r="Y2762">
        <v>-2.0348999999999999</v>
      </c>
      <c r="Z2762">
        <v>1</v>
      </c>
      <c r="AA2762">
        <v>294.60000000000002</v>
      </c>
      <c r="AB2762">
        <v>2</v>
      </c>
      <c r="AC2762">
        <v>313.39999999999998</v>
      </c>
      <c r="AD2762">
        <v>0</v>
      </c>
      <c r="AE2762">
        <v>0</v>
      </c>
      <c r="AF2762">
        <v>0</v>
      </c>
      <c r="AG2762">
        <v>0</v>
      </c>
      <c r="AH2762">
        <v>0</v>
      </c>
    </row>
    <row r="2763" spans="1:34" x14ac:dyDescent="0.35">
      <c r="A2763" t="s">
        <v>37</v>
      </c>
      <c r="B2763" s="1">
        <v>46146.65625</v>
      </c>
      <c r="C2763" t="s">
        <v>37</v>
      </c>
      <c r="D2763" s="1">
        <v>46157.354166666664</v>
      </c>
      <c r="E2763">
        <v>7515</v>
      </c>
      <c r="F2763" t="s">
        <v>36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1</v>
      </c>
      <c r="M2763">
        <v>298.60000000000002</v>
      </c>
      <c r="N2763">
        <v>1</v>
      </c>
      <c r="O2763">
        <v>317.7</v>
      </c>
      <c r="P2763">
        <v>0</v>
      </c>
      <c r="Q2763">
        <v>0</v>
      </c>
      <c r="R2763">
        <v>0</v>
      </c>
      <c r="S2763">
        <v>0</v>
      </c>
      <c r="T2763">
        <v>0.18</v>
      </c>
      <c r="U2763">
        <v>-0.9093</v>
      </c>
      <c r="V2763">
        <v>6.9999999999999999E-4</v>
      </c>
      <c r="W2763">
        <v>-1.6017999999999999</v>
      </c>
      <c r="X2763">
        <v>2.0952000000000002</v>
      </c>
      <c r="Y2763">
        <v>-2.0223</v>
      </c>
      <c r="Z2763">
        <v>1</v>
      </c>
      <c r="AA2763">
        <v>299.60000000000002</v>
      </c>
      <c r="AB2763">
        <v>2</v>
      </c>
      <c r="AC2763">
        <v>317.89999999999998</v>
      </c>
      <c r="AD2763">
        <v>0</v>
      </c>
      <c r="AE2763">
        <v>0</v>
      </c>
      <c r="AF2763">
        <v>0</v>
      </c>
      <c r="AG2763">
        <v>0</v>
      </c>
      <c r="AH2763">
        <v>0</v>
      </c>
    </row>
    <row r="2764" spans="1:34" x14ac:dyDescent="0.35">
      <c r="A2764" t="s">
        <v>37</v>
      </c>
      <c r="B2764" s="1">
        <v>46146.65625</v>
      </c>
      <c r="C2764" t="s">
        <v>37</v>
      </c>
      <c r="D2764" s="1">
        <v>46157.354166666664</v>
      </c>
      <c r="E2764">
        <v>7520</v>
      </c>
      <c r="F2764" t="s">
        <v>36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1</v>
      </c>
      <c r="M2764">
        <v>303.60000000000002</v>
      </c>
      <c r="N2764">
        <v>2</v>
      </c>
      <c r="O2764">
        <v>322.3</v>
      </c>
      <c r="P2764">
        <v>0</v>
      </c>
      <c r="Q2764">
        <v>0</v>
      </c>
      <c r="R2764">
        <v>0</v>
      </c>
      <c r="S2764">
        <v>0</v>
      </c>
      <c r="T2764">
        <v>0.17580000000000001</v>
      </c>
      <c r="U2764">
        <v>-0.91849999999999998</v>
      </c>
      <c r="V2764">
        <v>6.9999999999999999E-4</v>
      </c>
      <c r="W2764">
        <v>-1.4328000000000001</v>
      </c>
      <c r="X2764">
        <v>1.9441999999999999</v>
      </c>
      <c r="Y2764">
        <v>-2.0428999999999999</v>
      </c>
      <c r="Z2764">
        <v>2</v>
      </c>
      <c r="AA2764">
        <v>305.60000000000002</v>
      </c>
      <c r="AB2764">
        <v>1</v>
      </c>
      <c r="AC2764">
        <v>328</v>
      </c>
      <c r="AD2764">
        <v>0</v>
      </c>
      <c r="AE2764">
        <v>0</v>
      </c>
      <c r="AF2764">
        <v>0</v>
      </c>
      <c r="AG2764">
        <v>0</v>
      </c>
      <c r="AH2764">
        <v>0</v>
      </c>
    </row>
    <row r="2765" spans="1:34" x14ac:dyDescent="0.35">
      <c r="A2765" t="s">
        <v>37</v>
      </c>
      <c r="B2765" s="1">
        <v>46146.65625</v>
      </c>
      <c r="C2765" t="s">
        <v>37</v>
      </c>
      <c r="D2765" s="1">
        <v>46157.354166666664</v>
      </c>
      <c r="E2765">
        <v>7525</v>
      </c>
      <c r="F2765" t="s">
        <v>36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1</v>
      </c>
      <c r="M2765">
        <v>308.5</v>
      </c>
      <c r="N2765">
        <v>1</v>
      </c>
      <c r="O2765">
        <v>327.60000000000002</v>
      </c>
      <c r="P2765">
        <v>0</v>
      </c>
      <c r="Q2765">
        <v>0</v>
      </c>
      <c r="R2765">
        <v>0</v>
      </c>
      <c r="S2765">
        <v>0</v>
      </c>
      <c r="T2765">
        <v>0.18110000000000001</v>
      </c>
      <c r="U2765">
        <v>-0.91520000000000001</v>
      </c>
      <c r="V2765">
        <v>6.9999999999999999E-4</v>
      </c>
      <c r="W2765">
        <v>-1.5234000000000001</v>
      </c>
      <c r="X2765">
        <v>1.9958</v>
      </c>
      <c r="Y2765">
        <v>-2.0375000000000001</v>
      </c>
      <c r="Z2765">
        <v>1</v>
      </c>
      <c r="AA2765">
        <v>309.5</v>
      </c>
      <c r="AB2765">
        <v>2</v>
      </c>
      <c r="AC2765">
        <v>327.9</v>
      </c>
      <c r="AD2765">
        <v>0</v>
      </c>
      <c r="AE2765">
        <v>0</v>
      </c>
      <c r="AF2765">
        <v>0</v>
      </c>
      <c r="AG2765">
        <v>0</v>
      </c>
      <c r="AH2765">
        <v>0</v>
      </c>
    </row>
    <row r="2766" spans="1:34" x14ac:dyDescent="0.35">
      <c r="A2766" t="s">
        <v>37</v>
      </c>
      <c r="B2766" s="1">
        <v>46146.65625</v>
      </c>
      <c r="C2766" t="s">
        <v>37</v>
      </c>
      <c r="D2766" s="1">
        <v>46157.354166666664</v>
      </c>
      <c r="E2766">
        <v>7530</v>
      </c>
      <c r="F2766" t="s">
        <v>36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1</v>
      </c>
      <c r="M2766">
        <v>313.5</v>
      </c>
      <c r="N2766">
        <v>1</v>
      </c>
      <c r="O2766">
        <v>332.5</v>
      </c>
      <c r="P2766">
        <v>0</v>
      </c>
      <c r="Q2766">
        <v>0</v>
      </c>
      <c r="R2766">
        <v>0</v>
      </c>
      <c r="S2766">
        <v>0</v>
      </c>
      <c r="T2766">
        <v>0.18110000000000001</v>
      </c>
      <c r="U2766">
        <v>-0.91859999999999997</v>
      </c>
      <c r="V2766">
        <v>6.9999999999999999E-4</v>
      </c>
      <c r="W2766">
        <v>-1.4733000000000001</v>
      </c>
      <c r="X2766">
        <v>1.9387000000000001</v>
      </c>
      <c r="Y2766">
        <v>-2.0461999999999998</v>
      </c>
      <c r="Z2766">
        <v>1</v>
      </c>
      <c r="AA2766">
        <v>314.39999999999998</v>
      </c>
      <c r="AB2766">
        <v>2</v>
      </c>
      <c r="AC2766">
        <v>332.8</v>
      </c>
      <c r="AD2766">
        <v>0</v>
      </c>
      <c r="AE2766">
        <v>0</v>
      </c>
      <c r="AF2766">
        <v>0</v>
      </c>
      <c r="AG2766">
        <v>0</v>
      </c>
      <c r="AH2766">
        <v>0</v>
      </c>
    </row>
    <row r="2767" spans="1:34" x14ac:dyDescent="0.35">
      <c r="A2767" t="s">
        <v>37</v>
      </c>
      <c r="B2767" s="1">
        <v>46146.65625</v>
      </c>
      <c r="C2767" t="s">
        <v>37</v>
      </c>
      <c r="D2767" s="1">
        <v>46157.354166666664</v>
      </c>
      <c r="E2767">
        <v>7535</v>
      </c>
      <c r="F2767" t="s">
        <v>36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1</v>
      </c>
      <c r="M2767">
        <v>318.39999999999998</v>
      </c>
      <c r="N2767">
        <v>2</v>
      </c>
      <c r="O2767">
        <v>336.8</v>
      </c>
      <c r="P2767">
        <v>0</v>
      </c>
      <c r="Q2767">
        <v>0</v>
      </c>
      <c r="R2767">
        <v>0</v>
      </c>
      <c r="S2767">
        <v>0</v>
      </c>
      <c r="T2767">
        <v>0.17929999999999999</v>
      </c>
      <c r="U2767">
        <v>-0.92390000000000005</v>
      </c>
      <c r="V2767">
        <v>5.9999999999999995E-4</v>
      </c>
      <c r="W2767">
        <v>-1.3786</v>
      </c>
      <c r="X2767">
        <v>1.847</v>
      </c>
      <c r="Y2767">
        <v>-2.0589</v>
      </c>
      <c r="Z2767">
        <v>2</v>
      </c>
      <c r="AA2767">
        <v>320</v>
      </c>
      <c r="AB2767">
        <v>1</v>
      </c>
      <c r="AC2767">
        <v>342.8</v>
      </c>
      <c r="AD2767">
        <v>0</v>
      </c>
      <c r="AE2767">
        <v>0</v>
      </c>
      <c r="AF2767">
        <v>0</v>
      </c>
      <c r="AG2767">
        <v>0</v>
      </c>
      <c r="AH2767">
        <v>0</v>
      </c>
    </row>
    <row r="2768" spans="1:34" x14ac:dyDescent="0.35">
      <c r="A2768" t="s">
        <v>37</v>
      </c>
      <c r="B2768" s="1">
        <v>46146.65625</v>
      </c>
      <c r="C2768" t="s">
        <v>37</v>
      </c>
      <c r="D2768" s="1">
        <v>46157.354166666664</v>
      </c>
      <c r="E2768">
        <v>7540</v>
      </c>
      <c r="F2768" t="s">
        <v>36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1</v>
      </c>
      <c r="M2768">
        <v>323.7</v>
      </c>
      <c r="N2768">
        <v>1</v>
      </c>
      <c r="O2768">
        <v>342.4</v>
      </c>
      <c r="P2768">
        <v>0</v>
      </c>
      <c r="Q2768">
        <v>0</v>
      </c>
      <c r="R2768">
        <v>0</v>
      </c>
      <c r="S2768">
        <v>0</v>
      </c>
      <c r="T2768">
        <v>0.18049999999999999</v>
      </c>
      <c r="U2768">
        <v>-0.92600000000000005</v>
      </c>
      <c r="V2768">
        <v>5.9999999999999995E-4</v>
      </c>
      <c r="W2768">
        <v>-1.3561000000000001</v>
      </c>
      <c r="X2768">
        <v>1.8085</v>
      </c>
      <c r="Y2768">
        <v>-2.0644999999999998</v>
      </c>
      <c r="Z2768">
        <v>1</v>
      </c>
      <c r="AA2768">
        <v>324.39999999999998</v>
      </c>
      <c r="AB2768">
        <v>2</v>
      </c>
      <c r="AC2768">
        <v>342.7</v>
      </c>
      <c r="AD2768">
        <v>0</v>
      </c>
      <c r="AE2768">
        <v>0</v>
      </c>
      <c r="AF2768">
        <v>0</v>
      </c>
      <c r="AG2768">
        <v>0</v>
      </c>
      <c r="AH2768">
        <v>0</v>
      </c>
    </row>
    <row r="2769" spans="1:34" x14ac:dyDescent="0.35">
      <c r="A2769" t="s">
        <v>37</v>
      </c>
      <c r="B2769" s="1">
        <v>46146.65625</v>
      </c>
      <c r="C2769" t="s">
        <v>37</v>
      </c>
      <c r="D2769" s="1">
        <v>46157.354166666664</v>
      </c>
      <c r="E2769">
        <v>7545</v>
      </c>
      <c r="F2769" t="s">
        <v>36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1</v>
      </c>
      <c r="M2769">
        <v>328.3</v>
      </c>
      <c r="N2769">
        <v>2</v>
      </c>
      <c r="O2769">
        <v>346.8</v>
      </c>
      <c r="P2769">
        <v>0</v>
      </c>
      <c r="Q2769">
        <v>0</v>
      </c>
      <c r="R2769">
        <v>0</v>
      </c>
      <c r="S2769">
        <v>0</v>
      </c>
      <c r="T2769">
        <v>0.18340000000000001</v>
      </c>
      <c r="U2769">
        <v>-0.92520000000000002</v>
      </c>
      <c r="V2769">
        <v>5.9999999999999995E-4</v>
      </c>
      <c r="W2769">
        <v>-1.3895999999999999</v>
      </c>
      <c r="X2769">
        <v>1.8213999999999999</v>
      </c>
      <c r="Y2769">
        <v>-2.0646</v>
      </c>
      <c r="Z2769">
        <v>2</v>
      </c>
      <c r="AA2769">
        <v>330</v>
      </c>
      <c r="AB2769">
        <v>1</v>
      </c>
      <c r="AC2769">
        <v>352.7</v>
      </c>
      <c r="AD2769">
        <v>0</v>
      </c>
      <c r="AE2769">
        <v>0</v>
      </c>
      <c r="AF2769">
        <v>0</v>
      </c>
      <c r="AG2769">
        <v>0</v>
      </c>
      <c r="AH2769">
        <v>0</v>
      </c>
    </row>
    <row r="2770" spans="1:34" x14ac:dyDescent="0.35">
      <c r="A2770" t="s">
        <v>37</v>
      </c>
      <c r="B2770" s="1">
        <v>46146.65625</v>
      </c>
      <c r="C2770" t="s">
        <v>37</v>
      </c>
      <c r="D2770" s="1">
        <v>46157.354166666664</v>
      </c>
      <c r="E2770">
        <v>7550</v>
      </c>
      <c r="F2770" t="s">
        <v>36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1</v>
      </c>
      <c r="M2770">
        <v>333.3</v>
      </c>
      <c r="N2770">
        <v>2</v>
      </c>
      <c r="O2770">
        <v>352.3</v>
      </c>
      <c r="P2770">
        <v>0</v>
      </c>
      <c r="Q2770">
        <v>0</v>
      </c>
      <c r="R2770">
        <v>0</v>
      </c>
      <c r="S2770">
        <v>0</v>
      </c>
      <c r="T2770">
        <v>0.1883</v>
      </c>
      <c r="U2770">
        <v>-0.92259999999999998</v>
      </c>
      <c r="V2770">
        <v>5.9999999999999995E-4</v>
      </c>
      <c r="W2770">
        <v>-1.4682999999999999</v>
      </c>
      <c r="X2770">
        <v>1.8651</v>
      </c>
      <c r="Y2770">
        <v>-2.0607000000000002</v>
      </c>
      <c r="Z2770">
        <v>2</v>
      </c>
      <c r="AA2770">
        <v>335.5</v>
      </c>
      <c r="AB2770">
        <v>1</v>
      </c>
      <c r="AC2770">
        <v>357.8</v>
      </c>
      <c r="AD2770">
        <v>0</v>
      </c>
      <c r="AE2770">
        <v>0</v>
      </c>
      <c r="AF2770">
        <v>0</v>
      </c>
      <c r="AG2770">
        <v>3</v>
      </c>
      <c r="AH2770">
        <v>0</v>
      </c>
    </row>
    <row r="2771" spans="1:34" x14ac:dyDescent="0.35">
      <c r="A2771" t="s">
        <v>37</v>
      </c>
      <c r="B2771" s="1">
        <v>46146.65625</v>
      </c>
      <c r="C2771" t="s">
        <v>37</v>
      </c>
      <c r="D2771" s="1">
        <v>46157.354166666664</v>
      </c>
      <c r="E2771">
        <v>7555</v>
      </c>
      <c r="F2771" t="s">
        <v>36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1</v>
      </c>
      <c r="M2771">
        <v>336.9</v>
      </c>
      <c r="N2771">
        <v>1</v>
      </c>
      <c r="O2771">
        <v>357.8</v>
      </c>
      <c r="P2771">
        <v>0</v>
      </c>
      <c r="Q2771">
        <v>0</v>
      </c>
      <c r="R2771">
        <v>0</v>
      </c>
      <c r="S2771">
        <v>0</v>
      </c>
      <c r="T2771">
        <v>0.193</v>
      </c>
      <c r="U2771">
        <v>-0.92030000000000001</v>
      </c>
      <c r="V2771">
        <v>5.9999999999999995E-4</v>
      </c>
      <c r="W2771">
        <v>-1.5427</v>
      </c>
      <c r="X2771">
        <v>1.903</v>
      </c>
      <c r="Y2771">
        <v>-2.0571999999999999</v>
      </c>
      <c r="Z2771">
        <v>1</v>
      </c>
      <c r="AA2771">
        <v>339.3</v>
      </c>
      <c r="AB2771">
        <v>2</v>
      </c>
      <c r="AC2771">
        <v>358.7</v>
      </c>
      <c r="AD2771">
        <v>0</v>
      </c>
      <c r="AE2771">
        <v>0</v>
      </c>
      <c r="AF2771">
        <v>0</v>
      </c>
      <c r="AG2771">
        <v>0</v>
      </c>
      <c r="AH2771">
        <v>0</v>
      </c>
    </row>
    <row r="2772" spans="1:34" x14ac:dyDescent="0.35">
      <c r="A2772" t="s">
        <v>37</v>
      </c>
      <c r="B2772" s="1">
        <v>46146.65625</v>
      </c>
      <c r="C2772" t="s">
        <v>37</v>
      </c>
      <c r="D2772" s="1">
        <v>46157.354166666664</v>
      </c>
      <c r="E2772">
        <v>7560</v>
      </c>
      <c r="F2772" t="s">
        <v>36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1</v>
      </c>
      <c r="M2772">
        <v>343.3</v>
      </c>
      <c r="N2772">
        <v>2</v>
      </c>
      <c r="O2772">
        <v>362.6</v>
      </c>
      <c r="P2772">
        <v>0</v>
      </c>
      <c r="Q2772">
        <v>0</v>
      </c>
      <c r="R2772">
        <v>0</v>
      </c>
      <c r="S2772">
        <v>0</v>
      </c>
      <c r="T2772">
        <v>0.18990000000000001</v>
      </c>
      <c r="U2772">
        <v>-0.92720000000000002</v>
      </c>
      <c r="V2772">
        <v>5.9999999999999995E-4</v>
      </c>
      <c r="W2772">
        <v>-1.4072</v>
      </c>
      <c r="X2772">
        <v>1.7827999999999999</v>
      </c>
      <c r="Y2772">
        <v>-2.073</v>
      </c>
      <c r="Z2772">
        <v>1</v>
      </c>
      <c r="AA2772">
        <v>344.2</v>
      </c>
      <c r="AB2772">
        <v>2</v>
      </c>
      <c r="AC2772">
        <v>362.6</v>
      </c>
      <c r="AD2772">
        <v>0</v>
      </c>
      <c r="AE2772">
        <v>0</v>
      </c>
      <c r="AF2772">
        <v>0</v>
      </c>
      <c r="AG2772">
        <v>1</v>
      </c>
      <c r="AH2772">
        <v>0</v>
      </c>
    </row>
    <row r="2773" spans="1:34" x14ac:dyDescent="0.35">
      <c r="A2773" t="s">
        <v>37</v>
      </c>
      <c r="B2773" s="1">
        <v>46146.65625</v>
      </c>
      <c r="C2773" t="s">
        <v>37</v>
      </c>
      <c r="D2773" s="1">
        <v>46157.354166666664</v>
      </c>
      <c r="E2773">
        <v>7565</v>
      </c>
      <c r="F2773" t="s">
        <v>36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1</v>
      </c>
      <c r="M2773">
        <v>348.2</v>
      </c>
      <c r="N2773">
        <v>1</v>
      </c>
      <c r="O2773">
        <v>367.3</v>
      </c>
      <c r="P2773">
        <v>0</v>
      </c>
      <c r="Q2773">
        <v>0</v>
      </c>
      <c r="R2773">
        <v>0</v>
      </c>
      <c r="S2773">
        <v>0</v>
      </c>
      <c r="T2773">
        <v>0.19489999999999999</v>
      </c>
      <c r="U2773">
        <v>-0.92400000000000004</v>
      </c>
      <c r="V2773">
        <v>5.9999999999999995E-4</v>
      </c>
      <c r="W2773">
        <v>-1.4968999999999999</v>
      </c>
      <c r="X2773">
        <v>1.8375999999999999</v>
      </c>
      <c r="Y2773">
        <v>-2.0680999999999998</v>
      </c>
      <c r="Z2773">
        <v>1</v>
      </c>
      <c r="AA2773">
        <v>349.2</v>
      </c>
      <c r="AB2773">
        <v>2</v>
      </c>
      <c r="AC2773">
        <v>367.8</v>
      </c>
      <c r="AD2773">
        <v>0</v>
      </c>
      <c r="AE2773">
        <v>0</v>
      </c>
      <c r="AF2773">
        <v>0</v>
      </c>
      <c r="AG2773">
        <v>0</v>
      </c>
      <c r="AH2773">
        <v>0</v>
      </c>
    </row>
    <row r="2774" spans="1:34" x14ac:dyDescent="0.35">
      <c r="A2774" t="s">
        <v>37</v>
      </c>
      <c r="B2774" s="1">
        <v>46146.65625</v>
      </c>
      <c r="C2774" t="s">
        <v>37</v>
      </c>
      <c r="D2774" s="1">
        <v>46157.354166666664</v>
      </c>
      <c r="E2774">
        <v>7570</v>
      </c>
      <c r="F2774" t="s">
        <v>36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1</v>
      </c>
      <c r="M2774">
        <v>353.7</v>
      </c>
      <c r="N2774">
        <v>2</v>
      </c>
      <c r="O2774">
        <v>372.5</v>
      </c>
      <c r="P2774">
        <v>0</v>
      </c>
      <c r="Q2774">
        <v>0</v>
      </c>
      <c r="R2774">
        <v>0</v>
      </c>
      <c r="S2774">
        <v>0</v>
      </c>
      <c r="T2774">
        <v>0.1933</v>
      </c>
      <c r="U2774">
        <v>-0.92900000000000005</v>
      </c>
      <c r="V2774">
        <v>5.9999999999999995E-4</v>
      </c>
      <c r="W2774">
        <v>-1.4026000000000001</v>
      </c>
      <c r="X2774">
        <v>1.7482</v>
      </c>
      <c r="Y2774">
        <v>-2.0796999999999999</v>
      </c>
      <c r="Z2774">
        <v>1</v>
      </c>
      <c r="AA2774">
        <v>354.2</v>
      </c>
      <c r="AB2774">
        <v>2</v>
      </c>
      <c r="AC2774">
        <v>372.5</v>
      </c>
      <c r="AD2774">
        <v>0</v>
      </c>
      <c r="AE2774">
        <v>0</v>
      </c>
      <c r="AF2774">
        <v>0</v>
      </c>
      <c r="AG2774">
        <v>1</v>
      </c>
      <c r="AH2774">
        <v>0</v>
      </c>
    </row>
    <row r="2775" spans="1:34" x14ac:dyDescent="0.35">
      <c r="A2775" t="s">
        <v>37</v>
      </c>
      <c r="B2775" s="1">
        <v>46146.65625</v>
      </c>
      <c r="C2775" t="s">
        <v>37</v>
      </c>
      <c r="D2775" s="1">
        <v>46157.354166666664</v>
      </c>
      <c r="E2775">
        <v>7575</v>
      </c>
      <c r="F2775" t="s">
        <v>36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1</v>
      </c>
      <c r="M2775">
        <v>358.1</v>
      </c>
      <c r="N2775">
        <v>2</v>
      </c>
      <c r="O2775">
        <v>376.5</v>
      </c>
      <c r="P2775">
        <v>0</v>
      </c>
      <c r="Q2775">
        <v>0</v>
      </c>
      <c r="R2775">
        <v>0</v>
      </c>
      <c r="S2775">
        <v>0</v>
      </c>
      <c r="T2775">
        <v>0.1953</v>
      </c>
      <c r="U2775">
        <v>-0.92900000000000005</v>
      </c>
      <c r="V2775">
        <v>5.9999999999999995E-4</v>
      </c>
      <c r="W2775">
        <v>-1.4159999999999999</v>
      </c>
      <c r="X2775">
        <v>1.7464999999999999</v>
      </c>
      <c r="Y2775">
        <v>-2.0811999999999999</v>
      </c>
      <c r="Z2775">
        <v>2</v>
      </c>
      <c r="AA2775">
        <v>359.8</v>
      </c>
      <c r="AB2775">
        <v>1</v>
      </c>
      <c r="AC2775">
        <v>382.6</v>
      </c>
      <c r="AD2775">
        <v>0</v>
      </c>
      <c r="AE2775">
        <v>0</v>
      </c>
      <c r="AF2775">
        <v>0</v>
      </c>
      <c r="AG2775">
        <v>4</v>
      </c>
      <c r="AH2775">
        <v>0</v>
      </c>
    </row>
    <row r="2776" spans="1:34" x14ac:dyDescent="0.35">
      <c r="A2776" t="s">
        <v>37</v>
      </c>
      <c r="B2776" s="1">
        <v>46146.65625</v>
      </c>
      <c r="C2776" t="s">
        <v>37</v>
      </c>
      <c r="D2776" s="1">
        <v>46157.354166666664</v>
      </c>
      <c r="E2776">
        <v>7580</v>
      </c>
      <c r="F2776" t="s">
        <v>36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1</v>
      </c>
      <c r="M2776">
        <v>363.1</v>
      </c>
      <c r="N2776">
        <v>1</v>
      </c>
      <c r="O2776">
        <v>382.2</v>
      </c>
      <c r="P2776">
        <v>0</v>
      </c>
      <c r="Q2776">
        <v>0</v>
      </c>
      <c r="R2776">
        <v>0</v>
      </c>
      <c r="S2776">
        <v>0</v>
      </c>
      <c r="T2776">
        <v>0.1993</v>
      </c>
      <c r="U2776">
        <v>-0.92769999999999997</v>
      </c>
      <c r="V2776">
        <v>5.9999999999999995E-4</v>
      </c>
      <c r="W2776">
        <v>-1.4673</v>
      </c>
      <c r="X2776">
        <v>1.7686999999999999</v>
      </c>
      <c r="Y2776">
        <v>-2.0804</v>
      </c>
      <c r="Z2776">
        <v>1</v>
      </c>
      <c r="AA2776">
        <v>364.1</v>
      </c>
      <c r="AB2776">
        <v>2</v>
      </c>
      <c r="AC2776">
        <v>382.7</v>
      </c>
      <c r="AD2776">
        <v>0</v>
      </c>
      <c r="AE2776">
        <v>0</v>
      </c>
      <c r="AF2776">
        <v>0</v>
      </c>
      <c r="AG2776">
        <v>0</v>
      </c>
      <c r="AH2776">
        <v>0</v>
      </c>
    </row>
    <row r="2777" spans="1:34" x14ac:dyDescent="0.35">
      <c r="A2777" t="s">
        <v>37</v>
      </c>
      <c r="B2777" s="1">
        <v>46146.65625</v>
      </c>
      <c r="C2777" t="s">
        <v>37</v>
      </c>
      <c r="D2777" s="1">
        <v>46157.354166666664</v>
      </c>
      <c r="E2777">
        <v>7585</v>
      </c>
      <c r="F2777" t="s">
        <v>36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1</v>
      </c>
      <c r="M2777">
        <v>367.2</v>
      </c>
      <c r="N2777">
        <v>2</v>
      </c>
      <c r="O2777">
        <v>386.5</v>
      </c>
      <c r="P2777">
        <v>0</v>
      </c>
      <c r="Q2777">
        <v>0</v>
      </c>
      <c r="R2777">
        <v>0</v>
      </c>
      <c r="S2777">
        <v>0</v>
      </c>
      <c r="T2777">
        <v>0.19819999999999999</v>
      </c>
      <c r="U2777">
        <v>-0.93130000000000002</v>
      </c>
      <c r="V2777">
        <v>5.0000000000000001E-4</v>
      </c>
      <c r="W2777">
        <v>-1.3978999999999999</v>
      </c>
      <c r="X2777">
        <v>1.7034</v>
      </c>
      <c r="Y2777">
        <v>-2.0891999999999999</v>
      </c>
      <c r="Z2777">
        <v>2</v>
      </c>
      <c r="AA2777">
        <v>369.7</v>
      </c>
      <c r="AB2777">
        <v>1</v>
      </c>
      <c r="AC2777">
        <v>392.5</v>
      </c>
      <c r="AD2777">
        <v>0</v>
      </c>
      <c r="AE2777">
        <v>0</v>
      </c>
      <c r="AF2777">
        <v>0</v>
      </c>
      <c r="AG2777">
        <v>0</v>
      </c>
      <c r="AH2777">
        <v>0</v>
      </c>
    </row>
    <row r="2778" spans="1:34" x14ac:dyDescent="0.35">
      <c r="A2778" t="s">
        <v>37</v>
      </c>
      <c r="B2778" s="1">
        <v>46146.65625</v>
      </c>
      <c r="C2778" t="s">
        <v>37</v>
      </c>
      <c r="D2778" s="1">
        <v>46157.354166666664</v>
      </c>
      <c r="E2778">
        <v>7590</v>
      </c>
      <c r="F2778" t="s">
        <v>36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1</v>
      </c>
      <c r="M2778">
        <v>371.8</v>
      </c>
      <c r="N2778">
        <v>1</v>
      </c>
      <c r="O2778">
        <v>392.2</v>
      </c>
      <c r="P2778">
        <v>0</v>
      </c>
      <c r="Q2778">
        <v>0</v>
      </c>
      <c r="R2778">
        <v>0</v>
      </c>
      <c r="S2778">
        <v>0</v>
      </c>
      <c r="T2778">
        <v>0.20660000000000001</v>
      </c>
      <c r="U2778">
        <v>-0.92510000000000003</v>
      </c>
      <c r="V2778">
        <v>5.9999999999999995E-4</v>
      </c>
      <c r="W2778">
        <v>-1.5674999999999999</v>
      </c>
      <c r="X2778">
        <v>1.8124</v>
      </c>
      <c r="Y2778">
        <v>-2.0777000000000001</v>
      </c>
      <c r="Z2778">
        <v>1</v>
      </c>
      <c r="AA2778">
        <v>374.1</v>
      </c>
      <c r="AB2778">
        <v>2</v>
      </c>
      <c r="AC2778">
        <v>392.4</v>
      </c>
      <c r="AD2778">
        <v>0</v>
      </c>
      <c r="AE2778">
        <v>0</v>
      </c>
      <c r="AF2778">
        <v>0</v>
      </c>
      <c r="AG2778">
        <v>0</v>
      </c>
      <c r="AH2778">
        <v>0</v>
      </c>
    </row>
    <row r="2779" spans="1:34" x14ac:dyDescent="0.35">
      <c r="A2779" t="s">
        <v>37</v>
      </c>
      <c r="B2779" s="1">
        <v>46146.65625</v>
      </c>
      <c r="C2779" t="s">
        <v>37</v>
      </c>
      <c r="D2779" s="1">
        <v>46157.354166666664</v>
      </c>
      <c r="E2779">
        <v>7595</v>
      </c>
      <c r="F2779" t="s">
        <v>36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1</v>
      </c>
      <c r="M2779">
        <v>378.6</v>
      </c>
      <c r="N2779">
        <v>2</v>
      </c>
      <c r="O2779">
        <v>396.4</v>
      </c>
      <c r="P2779">
        <v>0</v>
      </c>
      <c r="Q2779">
        <v>0</v>
      </c>
      <c r="R2779">
        <v>0</v>
      </c>
      <c r="S2779">
        <v>0</v>
      </c>
      <c r="T2779">
        <v>0.19620000000000001</v>
      </c>
      <c r="U2779">
        <v>-0.93869999999999998</v>
      </c>
      <c r="V2779">
        <v>5.0000000000000001E-4</v>
      </c>
      <c r="W2779">
        <v>-1.2544</v>
      </c>
      <c r="X2779">
        <v>1.5658000000000001</v>
      </c>
      <c r="Y2779">
        <v>-2.1071</v>
      </c>
      <c r="Z2779">
        <v>2</v>
      </c>
      <c r="AA2779">
        <v>379.7</v>
      </c>
      <c r="AB2779">
        <v>1</v>
      </c>
      <c r="AC2779">
        <v>402.5</v>
      </c>
      <c r="AD2779">
        <v>0</v>
      </c>
      <c r="AE2779">
        <v>0</v>
      </c>
      <c r="AF2779">
        <v>0</v>
      </c>
      <c r="AG2779">
        <v>0</v>
      </c>
      <c r="AH2779">
        <v>0</v>
      </c>
    </row>
    <row r="2780" spans="1:34" x14ac:dyDescent="0.35">
      <c r="A2780" t="s">
        <v>37</v>
      </c>
      <c r="B2780" s="1">
        <v>46146.65625</v>
      </c>
      <c r="C2780" t="s">
        <v>37</v>
      </c>
      <c r="D2780" s="1">
        <v>46157.354166666664</v>
      </c>
      <c r="E2780">
        <v>7600</v>
      </c>
      <c r="F2780" t="s">
        <v>36</v>
      </c>
      <c r="G2780">
        <v>396.34</v>
      </c>
      <c r="H2780">
        <v>396.34</v>
      </c>
      <c r="I2780">
        <v>396.34</v>
      </c>
      <c r="J2780">
        <v>396.34</v>
      </c>
      <c r="K2780">
        <v>2</v>
      </c>
      <c r="L2780">
        <v>1</v>
      </c>
      <c r="M2780">
        <v>382.5</v>
      </c>
      <c r="N2780">
        <v>1</v>
      </c>
      <c r="O2780">
        <v>402.1</v>
      </c>
      <c r="P2780">
        <v>0</v>
      </c>
      <c r="Q2780">
        <v>0</v>
      </c>
      <c r="R2780">
        <v>0</v>
      </c>
      <c r="S2780">
        <v>0</v>
      </c>
      <c r="T2780">
        <v>0.2074</v>
      </c>
      <c r="U2780">
        <v>-0.92969999999999997</v>
      </c>
      <c r="V2780">
        <v>5.0000000000000001E-4</v>
      </c>
      <c r="W2780">
        <v>-1.4923</v>
      </c>
      <c r="X2780">
        <v>1.7294</v>
      </c>
      <c r="Y2780">
        <v>-2.0905</v>
      </c>
      <c r="Z2780">
        <v>1</v>
      </c>
      <c r="AA2780">
        <v>384</v>
      </c>
      <c r="AB2780">
        <v>2</v>
      </c>
      <c r="AC2780">
        <v>402.7</v>
      </c>
      <c r="AD2780">
        <v>0</v>
      </c>
      <c r="AE2780">
        <v>0</v>
      </c>
      <c r="AF2780">
        <v>396.34</v>
      </c>
      <c r="AG2780">
        <v>9</v>
      </c>
      <c r="AH2780">
        <v>0</v>
      </c>
    </row>
    <row r="2781" spans="1:34" x14ac:dyDescent="0.35">
      <c r="A2781" t="s">
        <v>37</v>
      </c>
      <c r="B2781" s="1">
        <v>46146.65625</v>
      </c>
      <c r="C2781" t="s">
        <v>37</v>
      </c>
      <c r="D2781" s="1">
        <v>46157.354166666664</v>
      </c>
      <c r="E2781">
        <v>7605</v>
      </c>
      <c r="F2781" t="s">
        <v>36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1</v>
      </c>
      <c r="M2781">
        <v>386.6</v>
      </c>
      <c r="N2781">
        <v>1</v>
      </c>
      <c r="O2781">
        <v>407.4</v>
      </c>
      <c r="P2781">
        <v>0</v>
      </c>
      <c r="Q2781">
        <v>0</v>
      </c>
      <c r="R2781">
        <v>0</v>
      </c>
      <c r="S2781">
        <v>0</v>
      </c>
      <c r="T2781">
        <v>0.20910000000000001</v>
      </c>
      <c r="U2781">
        <v>-0.93069999999999997</v>
      </c>
      <c r="V2781">
        <v>5.0000000000000001E-4</v>
      </c>
      <c r="W2781">
        <v>-1.4844999999999999</v>
      </c>
      <c r="X2781">
        <v>1.7088000000000001</v>
      </c>
      <c r="Y2781">
        <v>-2.0939000000000001</v>
      </c>
      <c r="Z2781">
        <v>1</v>
      </c>
      <c r="AA2781">
        <v>389</v>
      </c>
      <c r="AB2781">
        <v>2</v>
      </c>
      <c r="AC2781">
        <v>407.5</v>
      </c>
      <c r="AD2781">
        <v>0</v>
      </c>
      <c r="AE2781">
        <v>0</v>
      </c>
      <c r="AF2781">
        <v>0</v>
      </c>
      <c r="AG2781">
        <v>0</v>
      </c>
      <c r="AH2781">
        <v>0</v>
      </c>
    </row>
    <row r="2782" spans="1:34" x14ac:dyDescent="0.35">
      <c r="A2782" t="s">
        <v>37</v>
      </c>
      <c r="B2782" s="1">
        <v>46146.65625</v>
      </c>
      <c r="C2782" t="s">
        <v>37</v>
      </c>
      <c r="D2782" s="1">
        <v>46157.354166666664</v>
      </c>
      <c r="E2782">
        <v>7610</v>
      </c>
      <c r="F2782" t="s">
        <v>36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1</v>
      </c>
      <c r="M2782">
        <v>393</v>
      </c>
      <c r="N2782">
        <v>4</v>
      </c>
      <c r="O2782">
        <v>413.5</v>
      </c>
      <c r="P2782">
        <v>0</v>
      </c>
      <c r="Q2782">
        <v>0</v>
      </c>
      <c r="R2782">
        <v>0</v>
      </c>
      <c r="S2782">
        <v>0</v>
      </c>
      <c r="T2782">
        <v>0.22009999999999999</v>
      </c>
      <c r="U2782">
        <v>-0.92230000000000001</v>
      </c>
      <c r="V2782">
        <v>5.0000000000000001E-4</v>
      </c>
      <c r="W2782">
        <v>-1.7223999999999999</v>
      </c>
      <c r="X2782">
        <v>1.8580000000000001</v>
      </c>
      <c r="Y2782">
        <v>-2.0781999999999998</v>
      </c>
      <c r="Z2782">
        <v>1</v>
      </c>
      <c r="AA2782">
        <v>394</v>
      </c>
      <c r="AB2782">
        <v>2</v>
      </c>
      <c r="AC2782">
        <v>413.5</v>
      </c>
      <c r="AD2782">
        <v>0</v>
      </c>
      <c r="AE2782">
        <v>0</v>
      </c>
      <c r="AF2782">
        <v>0</v>
      </c>
      <c r="AG2782">
        <v>0</v>
      </c>
      <c r="AH2782">
        <v>0</v>
      </c>
    </row>
    <row r="2783" spans="1:34" x14ac:dyDescent="0.35">
      <c r="A2783" t="s">
        <v>37</v>
      </c>
      <c r="B2783" s="1">
        <v>46146.65625</v>
      </c>
      <c r="C2783" t="s">
        <v>37</v>
      </c>
      <c r="D2783" s="1">
        <v>46157.354166666664</v>
      </c>
      <c r="E2783">
        <v>7620</v>
      </c>
      <c r="F2783" t="s">
        <v>36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1</v>
      </c>
      <c r="M2783">
        <v>401.7</v>
      </c>
      <c r="N2783">
        <v>2</v>
      </c>
      <c r="O2783">
        <v>420.2</v>
      </c>
      <c r="P2783">
        <v>0</v>
      </c>
      <c r="Q2783">
        <v>0</v>
      </c>
      <c r="R2783">
        <v>0</v>
      </c>
      <c r="S2783">
        <v>0</v>
      </c>
      <c r="T2783">
        <v>0.2059</v>
      </c>
      <c r="U2783">
        <v>-0.94030000000000002</v>
      </c>
      <c r="V2783">
        <v>5.0000000000000001E-4</v>
      </c>
      <c r="W2783">
        <v>-1.2861</v>
      </c>
      <c r="X2783">
        <v>1.5310999999999999</v>
      </c>
      <c r="Y2783">
        <v>-2.1177999999999999</v>
      </c>
      <c r="Z2783">
        <v>1</v>
      </c>
      <c r="AA2783">
        <v>404</v>
      </c>
      <c r="AB2783">
        <v>2</v>
      </c>
      <c r="AC2783">
        <v>427.3</v>
      </c>
      <c r="AD2783">
        <v>0</v>
      </c>
      <c r="AE2783">
        <v>0</v>
      </c>
      <c r="AF2783">
        <v>0</v>
      </c>
      <c r="AG2783">
        <v>0</v>
      </c>
      <c r="AH2783">
        <v>0</v>
      </c>
    </row>
    <row r="2784" spans="1:34" x14ac:dyDescent="0.35">
      <c r="A2784" t="s">
        <v>37</v>
      </c>
      <c r="B2784" s="1">
        <v>46146.65625</v>
      </c>
      <c r="C2784" t="s">
        <v>37</v>
      </c>
      <c r="D2784" s="1">
        <v>46157.354166666664</v>
      </c>
      <c r="E2784">
        <v>7625</v>
      </c>
      <c r="F2784" t="s">
        <v>36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1</v>
      </c>
      <c r="M2784">
        <v>408</v>
      </c>
      <c r="N2784">
        <v>1</v>
      </c>
      <c r="O2784">
        <v>427</v>
      </c>
      <c r="P2784">
        <v>0</v>
      </c>
      <c r="Q2784">
        <v>0</v>
      </c>
      <c r="R2784">
        <v>0</v>
      </c>
      <c r="S2784">
        <v>0</v>
      </c>
      <c r="T2784">
        <v>0.2167</v>
      </c>
      <c r="U2784">
        <v>-0.93269999999999997</v>
      </c>
      <c r="V2784">
        <v>5.0000000000000001E-4</v>
      </c>
      <c r="W2784">
        <v>-1.5014000000000001</v>
      </c>
      <c r="X2784">
        <v>1.6695</v>
      </c>
      <c r="Y2784">
        <v>-2.1042000000000001</v>
      </c>
      <c r="Z2784">
        <v>1</v>
      </c>
      <c r="AA2784">
        <v>409</v>
      </c>
      <c r="AB2784">
        <v>2</v>
      </c>
      <c r="AC2784">
        <v>427.1</v>
      </c>
      <c r="AD2784">
        <v>0</v>
      </c>
      <c r="AE2784">
        <v>0</v>
      </c>
      <c r="AF2784">
        <v>0</v>
      </c>
      <c r="AG2784">
        <v>0</v>
      </c>
      <c r="AH2784">
        <v>0</v>
      </c>
    </row>
    <row r="2785" spans="1:34" x14ac:dyDescent="0.35">
      <c r="A2785" t="s">
        <v>37</v>
      </c>
      <c r="B2785" s="1">
        <v>46146.65625</v>
      </c>
      <c r="C2785" t="s">
        <v>37</v>
      </c>
      <c r="D2785" s="1">
        <v>46157.354166666664</v>
      </c>
      <c r="E2785">
        <v>7630</v>
      </c>
      <c r="F2785" t="s">
        <v>36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1</v>
      </c>
      <c r="M2785">
        <v>412.9</v>
      </c>
      <c r="N2785">
        <v>1</v>
      </c>
      <c r="O2785">
        <v>432</v>
      </c>
      <c r="P2785">
        <v>0</v>
      </c>
      <c r="Q2785">
        <v>0</v>
      </c>
      <c r="R2785">
        <v>0</v>
      </c>
      <c r="S2785">
        <v>0</v>
      </c>
      <c r="T2785">
        <v>0.21920000000000001</v>
      </c>
      <c r="U2785">
        <v>-0.93269999999999997</v>
      </c>
      <c r="V2785">
        <v>5.0000000000000001E-4</v>
      </c>
      <c r="W2785">
        <v>-1.5185</v>
      </c>
      <c r="X2785">
        <v>1.6688000000000001</v>
      </c>
      <c r="Y2785">
        <v>-2.1057000000000001</v>
      </c>
      <c r="Z2785">
        <v>1</v>
      </c>
      <c r="AA2785">
        <v>413.9</v>
      </c>
      <c r="AB2785">
        <v>2</v>
      </c>
      <c r="AC2785">
        <v>432.3</v>
      </c>
      <c r="AD2785">
        <v>0</v>
      </c>
      <c r="AE2785">
        <v>0</v>
      </c>
      <c r="AF2785">
        <v>0</v>
      </c>
      <c r="AG2785">
        <v>0</v>
      </c>
      <c r="AH2785">
        <v>0</v>
      </c>
    </row>
    <row r="2786" spans="1:34" x14ac:dyDescent="0.35">
      <c r="A2786" t="s">
        <v>37</v>
      </c>
      <c r="B2786" s="1">
        <v>46146.65625</v>
      </c>
      <c r="C2786" t="s">
        <v>37</v>
      </c>
      <c r="D2786" s="1">
        <v>46157.354166666664</v>
      </c>
      <c r="E2786">
        <v>7640</v>
      </c>
      <c r="F2786" t="s">
        <v>36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1</v>
      </c>
      <c r="M2786">
        <v>423.4</v>
      </c>
      <c r="N2786">
        <v>2</v>
      </c>
      <c r="O2786">
        <v>442</v>
      </c>
      <c r="P2786">
        <v>0</v>
      </c>
      <c r="Q2786">
        <v>0</v>
      </c>
      <c r="R2786">
        <v>0</v>
      </c>
      <c r="S2786">
        <v>0</v>
      </c>
      <c r="T2786">
        <v>0.2177</v>
      </c>
      <c r="U2786">
        <v>-0.93879999999999997</v>
      </c>
      <c r="V2786">
        <v>5.0000000000000001E-4</v>
      </c>
      <c r="W2786">
        <v>-1.3895999999999999</v>
      </c>
      <c r="X2786">
        <v>1.5549999999999999</v>
      </c>
      <c r="Y2786">
        <v>-2.1208999999999998</v>
      </c>
      <c r="Z2786">
        <v>1</v>
      </c>
      <c r="AA2786">
        <v>423.9</v>
      </c>
      <c r="AB2786">
        <v>2</v>
      </c>
      <c r="AC2786">
        <v>442</v>
      </c>
      <c r="AD2786">
        <v>0</v>
      </c>
      <c r="AE2786">
        <v>0</v>
      </c>
      <c r="AF2786">
        <v>0</v>
      </c>
      <c r="AG2786">
        <v>0</v>
      </c>
      <c r="AH2786">
        <v>0</v>
      </c>
    </row>
    <row r="2787" spans="1:34" x14ac:dyDescent="0.35">
      <c r="A2787" t="s">
        <v>37</v>
      </c>
      <c r="B2787" s="1">
        <v>46146.65625</v>
      </c>
      <c r="C2787" t="s">
        <v>37</v>
      </c>
      <c r="D2787" s="1">
        <v>46157.354166666664</v>
      </c>
      <c r="E2787">
        <v>7650</v>
      </c>
      <c r="F2787" t="s">
        <v>36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1</v>
      </c>
      <c r="M2787">
        <v>432</v>
      </c>
      <c r="N2787">
        <v>2</v>
      </c>
      <c r="O2787">
        <v>451.3</v>
      </c>
      <c r="P2787">
        <v>0</v>
      </c>
      <c r="Q2787">
        <v>0</v>
      </c>
      <c r="R2787">
        <v>0</v>
      </c>
      <c r="S2787">
        <v>0</v>
      </c>
      <c r="T2787">
        <v>0.22109999999999999</v>
      </c>
      <c r="U2787">
        <v>-0.93969999999999998</v>
      </c>
      <c r="V2787">
        <v>4.0000000000000002E-4</v>
      </c>
      <c r="W2787">
        <v>-1.3919999999999999</v>
      </c>
      <c r="X2787">
        <v>1.5361</v>
      </c>
      <c r="Y2787">
        <v>-2.1261000000000001</v>
      </c>
      <c r="Z2787">
        <v>2</v>
      </c>
      <c r="AA2787">
        <v>434.5</v>
      </c>
      <c r="AB2787">
        <v>1</v>
      </c>
      <c r="AC2787">
        <v>457.4</v>
      </c>
      <c r="AD2787">
        <v>0</v>
      </c>
      <c r="AE2787">
        <v>0</v>
      </c>
      <c r="AF2787">
        <v>0</v>
      </c>
      <c r="AG2787">
        <v>115</v>
      </c>
      <c r="AH2787">
        <v>0</v>
      </c>
    </row>
    <row r="2788" spans="1:34" x14ac:dyDescent="0.35">
      <c r="A2788" t="s">
        <v>37</v>
      </c>
      <c r="B2788" s="1">
        <v>46146.65625</v>
      </c>
      <c r="C2788" t="s">
        <v>37</v>
      </c>
      <c r="D2788" s="1">
        <v>46157.354166666664</v>
      </c>
      <c r="E2788">
        <v>7660</v>
      </c>
      <c r="F2788" t="s">
        <v>36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1</v>
      </c>
      <c r="M2788">
        <v>442.9</v>
      </c>
      <c r="N2788">
        <v>1</v>
      </c>
      <c r="O2788">
        <v>461.9</v>
      </c>
      <c r="P2788">
        <v>0</v>
      </c>
      <c r="Q2788">
        <v>0</v>
      </c>
      <c r="R2788">
        <v>0</v>
      </c>
      <c r="S2788">
        <v>0</v>
      </c>
      <c r="T2788">
        <v>0.2298</v>
      </c>
      <c r="U2788">
        <v>-0.93630000000000002</v>
      </c>
      <c r="V2788">
        <v>4.0000000000000002E-4</v>
      </c>
      <c r="W2788">
        <v>-1.5179</v>
      </c>
      <c r="X2788">
        <v>1.5978000000000001</v>
      </c>
      <c r="Y2788">
        <v>-2.1221000000000001</v>
      </c>
      <c r="Z2788">
        <v>1</v>
      </c>
      <c r="AA2788">
        <v>443.9</v>
      </c>
      <c r="AB2788">
        <v>2</v>
      </c>
      <c r="AC2788">
        <v>462.2</v>
      </c>
      <c r="AD2788">
        <v>0</v>
      </c>
      <c r="AE2788">
        <v>0</v>
      </c>
      <c r="AF2788">
        <v>0</v>
      </c>
      <c r="AG2788">
        <v>0</v>
      </c>
      <c r="AH2788">
        <v>0</v>
      </c>
    </row>
    <row r="2789" spans="1:34" x14ac:dyDescent="0.35">
      <c r="A2789" t="s">
        <v>37</v>
      </c>
      <c r="B2789" s="1">
        <v>46146.65625</v>
      </c>
      <c r="C2789" t="s">
        <v>37</v>
      </c>
      <c r="D2789" s="1">
        <v>46157.354166666664</v>
      </c>
      <c r="E2789">
        <v>7670</v>
      </c>
      <c r="F2789" t="s">
        <v>36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1</v>
      </c>
      <c r="M2789">
        <v>452.9</v>
      </c>
      <c r="N2789">
        <v>2</v>
      </c>
      <c r="O2789">
        <v>470.6</v>
      </c>
      <c r="P2789">
        <v>0</v>
      </c>
      <c r="Q2789">
        <v>0</v>
      </c>
      <c r="R2789">
        <v>0</v>
      </c>
      <c r="S2789">
        <v>0</v>
      </c>
      <c r="T2789">
        <v>0.2276</v>
      </c>
      <c r="U2789">
        <v>-0.94199999999999995</v>
      </c>
      <c r="V2789">
        <v>4.0000000000000002E-4</v>
      </c>
      <c r="W2789">
        <v>-1.3856999999999999</v>
      </c>
      <c r="X2789">
        <v>1.4903</v>
      </c>
      <c r="Y2789">
        <v>-2.1366000000000001</v>
      </c>
      <c r="Z2789">
        <v>2</v>
      </c>
      <c r="AA2789">
        <v>453.9</v>
      </c>
      <c r="AB2789">
        <v>1</v>
      </c>
      <c r="AC2789">
        <v>477.3</v>
      </c>
      <c r="AD2789">
        <v>0</v>
      </c>
      <c r="AE2789">
        <v>0</v>
      </c>
      <c r="AF2789">
        <v>0</v>
      </c>
      <c r="AG2789">
        <v>0</v>
      </c>
      <c r="AH2789">
        <v>0</v>
      </c>
    </row>
    <row r="2790" spans="1:34" x14ac:dyDescent="0.35">
      <c r="A2790" t="s">
        <v>37</v>
      </c>
      <c r="B2790" s="1">
        <v>46146.65625</v>
      </c>
      <c r="C2790" t="s">
        <v>37</v>
      </c>
      <c r="D2790" s="1">
        <v>46157.354166666664</v>
      </c>
      <c r="E2790">
        <v>7675</v>
      </c>
      <c r="F2790" t="s">
        <v>36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1</v>
      </c>
      <c r="M2790">
        <v>457.8</v>
      </c>
      <c r="N2790">
        <v>2</v>
      </c>
      <c r="O2790">
        <v>476.2</v>
      </c>
      <c r="P2790">
        <v>0</v>
      </c>
      <c r="Q2790">
        <v>0</v>
      </c>
      <c r="R2790">
        <v>0</v>
      </c>
      <c r="S2790">
        <v>0</v>
      </c>
      <c r="T2790">
        <v>0.23080000000000001</v>
      </c>
      <c r="U2790">
        <v>-0.94140000000000001</v>
      </c>
      <c r="V2790">
        <v>4.0000000000000002E-4</v>
      </c>
      <c r="W2790">
        <v>-1.4173</v>
      </c>
      <c r="X2790">
        <v>1.5002</v>
      </c>
      <c r="Y2790">
        <v>-2.1371000000000002</v>
      </c>
      <c r="Z2790">
        <v>2</v>
      </c>
      <c r="AA2790">
        <v>459.5</v>
      </c>
      <c r="AB2790">
        <v>1</v>
      </c>
      <c r="AC2790">
        <v>482.3</v>
      </c>
      <c r="AD2790">
        <v>0</v>
      </c>
      <c r="AE2790">
        <v>0</v>
      </c>
      <c r="AF2790">
        <v>0</v>
      </c>
      <c r="AG2790">
        <v>6</v>
      </c>
      <c r="AH2790">
        <v>0</v>
      </c>
    </row>
    <row r="2791" spans="1:34" x14ac:dyDescent="0.35">
      <c r="A2791" t="s">
        <v>37</v>
      </c>
      <c r="B2791" s="1">
        <v>46146.65625</v>
      </c>
      <c r="C2791" t="s">
        <v>37</v>
      </c>
      <c r="D2791" s="1">
        <v>46157.354166666664</v>
      </c>
      <c r="E2791">
        <v>7680</v>
      </c>
      <c r="F2791" t="s">
        <v>36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1</v>
      </c>
      <c r="M2791">
        <v>462.8</v>
      </c>
      <c r="N2791">
        <v>2</v>
      </c>
      <c r="O2791">
        <v>481.9</v>
      </c>
      <c r="P2791">
        <v>0</v>
      </c>
      <c r="Q2791">
        <v>0</v>
      </c>
      <c r="R2791">
        <v>0</v>
      </c>
      <c r="S2791">
        <v>0</v>
      </c>
      <c r="T2791">
        <v>0.23669999999999999</v>
      </c>
      <c r="U2791">
        <v>-0.93859999999999999</v>
      </c>
      <c r="V2791">
        <v>4.0000000000000002E-4</v>
      </c>
      <c r="W2791">
        <v>-1.5145</v>
      </c>
      <c r="X2791">
        <v>1.5524</v>
      </c>
      <c r="Y2791">
        <v>-2.1328</v>
      </c>
      <c r="Z2791">
        <v>1</v>
      </c>
      <c r="AA2791">
        <v>463.8</v>
      </c>
      <c r="AB2791">
        <v>2</v>
      </c>
      <c r="AC2791">
        <v>481.9</v>
      </c>
      <c r="AD2791">
        <v>0</v>
      </c>
      <c r="AE2791">
        <v>0</v>
      </c>
      <c r="AF2791">
        <v>0</v>
      </c>
      <c r="AG2791">
        <v>0</v>
      </c>
      <c r="AH2791">
        <v>0</v>
      </c>
    </row>
    <row r="2792" spans="1:34" x14ac:dyDescent="0.35">
      <c r="A2792" t="s">
        <v>37</v>
      </c>
      <c r="B2792" s="1">
        <v>46146.65625</v>
      </c>
      <c r="C2792" t="s">
        <v>37</v>
      </c>
      <c r="D2792" s="1">
        <v>46157.354166666664</v>
      </c>
      <c r="E2792">
        <v>7690</v>
      </c>
      <c r="F2792" t="s">
        <v>36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1</v>
      </c>
      <c r="M2792">
        <v>471.6</v>
      </c>
      <c r="N2792">
        <v>3</v>
      </c>
      <c r="O2792">
        <v>491.9</v>
      </c>
      <c r="P2792">
        <v>0</v>
      </c>
      <c r="Q2792">
        <v>0</v>
      </c>
      <c r="R2792">
        <v>0</v>
      </c>
      <c r="S2792">
        <v>0</v>
      </c>
      <c r="T2792">
        <v>0.24229999999999999</v>
      </c>
      <c r="U2792">
        <v>-0.93789999999999996</v>
      </c>
      <c r="V2792">
        <v>4.0000000000000002E-4</v>
      </c>
      <c r="W2792">
        <v>-1.5656000000000001</v>
      </c>
      <c r="X2792">
        <v>1.5642</v>
      </c>
      <c r="Y2792">
        <v>-2.1341000000000001</v>
      </c>
      <c r="Z2792">
        <v>1</v>
      </c>
      <c r="AA2792">
        <v>473.8</v>
      </c>
      <c r="AB2792">
        <v>2</v>
      </c>
      <c r="AC2792">
        <v>491.9</v>
      </c>
      <c r="AD2792">
        <v>0</v>
      </c>
      <c r="AE2792">
        <v>0</v>
      </c>
      <c r="AF2792">
        <v>0</v>
      </c>
      <c r="AG2792">
        <v>0</v>
      </c>
      <c r="AH2792">
        <v>0</v>
      </c>
    </row>
    <row r="2793" spans="1:34" x14ac:dyDescent="0.35">
      <c r="A2793" t="s">
        <v>37</v>
      </c>
      <c r="B2793" s="1">
        <v>46146.65625</v>
      </c>
      <c r="C2793" t="s">
        <v>37</v>
      </c>
      <c r="D2793" s="1">
        <v>46157.354166666664</v>
      </c>
      <c r="E2793">
        <v>7700</v>
      </c>
      <c r="F2793" t="s">
        <v>36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1</v>
      </c>
      <c r="M2793">
        <v>482.8</v>
      </c>
      <c r="N2793">
        <v>1</v>
      </c>
      <c r="O2793">
        <v>502.1</v>
      </c>
      <c r="P2793">
        <v>0</v>
      </c>
      <c r="Q2793">
        <v>0</v>
      </c>
      <c r="R2793">
        <v>0</v>
      </c>
      <c r="S2793">
        <v>0</v>
      </c>
      <c r="T2793">
        <v>0.24660000000000001</v>
      </c>
      <c r="U2793">
        <v>-0.93830000000000002</v>
      </c>
      <c r="V2793">
        <v>4.0000000000000002E-4</v>
      </c>
      <c r="W2793">
        <v>-1.5847</v>
      </c>
      <c r="X2793">
        <v>1.5557000000000001</v>
      </c>
      <c r="Y2793">
        <v>-2.1381999999999999</v>
      </c>
      <c r="Z2793">
        <v>1</v>
      </c>
      <c r="AA2793">
        <v>483.8</v>
      </c>
      <c r="AB2793">
        <v>2</v>
      </c>
      <c r="AC2793">
        <v>503.3</v>
      </c>
      <c r="AD2793">
        <v>0</v>
      </c>
      <c r="AE2793">
        <v>0</v>
      </c>
      <c r="AF2793">
        <v>0</v>
      </c>
      <c r="AG2793">
        <v>6</v>
      </c>
      <c r="AH2793">
        <v>0</v>
      </c>
    </row>
    <row r="2794" spans="1:34" x14ac:dyDescent="0.35">
      <c r="A2794" t="s">
        <v>37</v>
      </c>
      <c r="B2794" s="1">
        <v>46146.65625</v>
      </c>
      <c r="C2794" t="s">
        <v>37</v>
      </c>
      <c r="D2794" s="1">
        <v>46157.354166666664</v>
      </c>
      <c r="E2794">
        <v>7710</v>
      </c>
      <c r="F2794" t="s">
        <v>36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1</v>
      </c>
      <c r="M2794">
        <v>492.8</v>
      </c>
      <c r="N2794">
        <v>2</v>
      </c>
      <c r="O2794">
        <v>510.5</v>
      </c>
      <c r="P2794">
        <v>0</v>
      </c>
      <c r="Q2794">
        <v>0</v>
      </c>
      <c r="R2794">
        <v>0</v>
      </c>
      <c r="S2794">
        <v>0</v>
      </c>
      <c r="T2794">
        <v>0.2389</v>
      </c>
      <c r="U2794">
        <v>-0.94779999999999998</v>
      </c>
      <c r="V2794">
        <v>4.0000000000000002E-4</v>
      </c>
      <c r="W2794">
        <v>-1.3254999999999999</v>
      </c>
      <c r="X2794">
        <v>1.3715999999999999</v>
      </c>
      <c r="Y2794">
        <v>-2.1608000000000001</v>
      </c>
      <c r="Z2794">
        <v>3</v>
      </c>
      <c r="AA2794">
        <v>493.7</v>
      </c>
      <c r="AB2794">
        <v>1</v>
      </c>
      <c r="AC2794">
        <v>517.20000000000005</v>
      </c>
      <c r="AD2794">
        <v>0</v>
      </c>
      <c r="AE2794">
        <v>0</v>
      </c>
      <c r="AF2794">
        <v>0</v>
      </c>
      <c r="AG2794">
        <v>0</v>
      </c>
      <c r="AH2794">
        <v>0</v>
      </c>
    </row>
    <row r="2795" spans="1:34" x14ac:dyDescent="0.35">
      <c r="A2795" t="s">
        <v>37</v>
      </c>
      <c r="B2795" s="1">
        <v>46146.65625</v>
      </c>
      <c r="C2795" t="s">
        <v>37</v>
      </c>
      <c r="D2795" s="1">
        <v>46157.354166666664</v>
      </c>
      <c r="E2795">
        <v>7720</v>
      </c>
      <c r="F2795" t="s">
        <v>36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1</v>
      </c>
      <c r="M2795">
        <v>502.7</v>
      </c>
      <c r="N2795">
        <v>1</v>
      </c>
      <c r="O2795">
        <v>521.79999999999995</v>
      </c>
      <c r="P2795">
        <v>0</v>
      </c>
      <c r="Q2795">
        <v>0</v>
      </c>
      <c r="R2795">
        <v>0</v>
      </c>
      <c r="S2795">
        <v>0</v>
      </c>
      <c r="T2795">
        <v>0.25130000000000002</v>
      </c>
      <c r="U2795">
        <v>-0.94189999999999996</v>
      </c>
      <c r="V2795">
        <v>4.0000000000000002E-4</v>
      </c>
      <c r="W2795">
        <v>-1.5309999999999999</v>
      </c>
      <c r="X2795">
        <v>1.4843999999999999</v>
      </c>
      <c r="Y2795">
        <v>-2.1518000000000002</v>
      </c>
      <c r="Z2795">
        <v>1</v>
      </c>
      <c r="AA2795">
        <v>503.7</v>
      </c>
      <c r="AB2795">
        <v>2</v>
      </c>
      <c r="AC2795">
        <v>523</v>
      </c>
      <c r="AD2795">
        <v>0</v>
      </c>
      <c r="AE2795">
        <v>0</v>
      </c>
      <c r="AF2795">
        <v>0</v>
      </c>
      <c r="AG2795">
        <v>0</v>
      </c>
      <c r="AH2795">
        <v>0</v>
      </c>
    </row>
    <row r="2796" spans="1:34" x14ac:dyDescent="0.35">
      <c r="A2796" t="s">
        <v>37</v>
      </c>
      <c r="B2796" s="1">
        <v>46146.65625</v>
      </c>
      <c r="C2796" t="s">
        <v>37</v>
      </c>
      <c r="D2796" s="1">
        <v>46157.354166666664</v>
      </c>
      <c r="E2796">
        <v>7725</v>
      </c>
      <c r="F2796" t="s">
        <v>36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1</v>
      </c>
      <c r="M2796">
        <v>507.7</v>
      </c>
      <c r="N2796">
        <v>1</v>
      </c>
      <c r="O2796">
        <v>526.79999999999995</v>
      </c>
      <c r="P2796">
        <v>0</v>
      </c>
      <c r="Q2796">
        <v>0</v>
      </c>
      <c r="R2796">
        <v>0</v>
      </c>
      <c r="S2796">
        <v>0</v>
      </c>
      <c r="T2796">
        <v>0.25209999999999999</v>
      </c>
      <c r="U2796">
        <v>-0.94310000000000005</v>
      </c>
      <c r="V2796">
        <v>4.0000000000000002E-4</v>
      </c>
      <c r="W2796">
        <v>-1.5075000000000001</v>
      </c>
      <c r="X2796">
        <v>1.4604999999999999</v>
      </c>
      <c r="Y2796">
        <v>-2.1556999999999999</v>
      </c>
      <c r="Z2796">
        <v>1</v>
      </c>
      <c r="AA2796">
        <v>508.7</v>
      </c>
      <c r="AB2796">
        <v>2</v>
      </c>
      <c r="AC2796">
        <v>527.1</v>
      </c>
      <c r="AD2796">
        <v>0</v>
      </c>
      <c r="AE2796">
        <v>0</v>
      </c>
      <c r="AF2796">
        <v>0</v>
      </c>
      <c r="AG2796">
        <v>1</v>
      </c>
      <c r="AH2796">
        <v>0</v>
      </c>
    </row>
    <row r="2797" spans="1:34" x14ac:dyDescent="0.35">
      <c r="A2797" t="s">
        <v>37</v>
      </c>
      <c r="B2797" s="1">
        <v>46146.65625</v>
      </c>
      <c r="C2797" t="s">
        <v>37</v>
      </c>
      <c r="D2797" s="1">
        <v>46157.354166666664</v>
      </c>
      <c r="E2797">
        <v>7730</v>
      </c>
      <c r="F2797" t="s">
        <v>36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1</v>
      </c>
      <c r="M2797">
        <v>512.70000000000005</v>
      </c>
      <c r="N2797">
        <v>1</v>
      </c>
      <c r="O2797">
        <v>531.79999999999995</v>
      </c>
      <c r="P2797">
        <v>0</v>
      </c>
      <c r="Q2797">
        <v>0</v>
      </c>
      <c r="R2797">
        <v>0</v>
      </c>
      <c r="S2797">
        <v>0</v>
      </c>
      <c r="T2797">
        <v>0.2576</v>
      </c>
      <c r="U2797">
        <v>-0.94059999999999999</v>
      </c>
      <c r="V2797">
        <v>4.0000000000000002E-4</v>
      </c>
      <c r="W2797">
        <v>-1.6005</v>
      </c>
      <c r="X2797">
        <v>1.5084</v>
      </c>
      <c r="Y2797">
        <v>-2.1518000000000002</v>
      </c>
      <c r="Z2797">
        <v>1</v>
      </c>
      <c r="AA2797">
        <v>513.70000000000005</v>
      </c>
      <c r="AB2797">
        <v>2</v>
      </c>
      <c r="AC2797">
        <v>532.1</v>
      </c>
      <c r="AD2797">
        <v>0</v>
      </c>
      <c r="AE2797">
        <v>0</v>
      </c>
      <c r="AF2797">
        <v>0</v>
      </c>
      <c r="AG2797">
        <v>0</v>
      </c>
      <c r="AH2797">
        <v>0</v>
      </c>
    </row>
    <row r="2798" spans="1:34" x14ac:dyDescent="0.35">
      <c r="A2798" t="s">
        <v>37</v>
      </c>
      <c r="B2798" s="1">
        <v>46146.65625</v>
      </c>
      <c r="C2798" t="s">
        <v>37</v>
      </c>
      <c r="D2798" s="1">
        <v>46157.354166666664</v>
      </c>
      <c r="E2798">
        <v>7740</v>
      </c>
      <c r="F2798" t="s">
        <v>36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1</v>
      </c>
      <c r="M2798">
        <v>521.4</v>
      </c>
      <c r="N2798">
        <v>1</v>
      </c>
      <c r="O2798">
        <v>541.79999999999995</v>
      </c>
      <c r="P2798">
        <v>0</v>
      </c>
      <c r="Q2798">
        <v>0</v>
      </c>
      <c r="R2798">
        <v>0</v>
      </c>
      <c r="S2798">
        <v>0</v>
      </c>
      <c r="T2798">
        <v>0.26290000000000002</v>
      </c>
      <c r="U2798">
        <v>-0.94010000000000005</v>
      </c>
      <c r="V2798">
        <v>4.0000000000000002E-4</v>
      </c>
      <c r="W2798">
        <v>-1.6464000000000001</v>
      </c>
      <c r="X2798">
        <v>1.5173000000000001</v>
      </c>
      <c r="Y2798">
        <v>-2.1536</v>
      </c>
      <c r="Z2798">
        <v>1</v>
      </c>
      <c r="AA2798">
        <v>523.70000000000005</v>
      </c>
      <c r="AB2798">
        <v>2</v>
      </c>
      <c r="AC2798">
        <v>542</v>
      </c>
      <c r="AD2798">
        <v>0</v>
      </c>
      <c r="AE2798">
        <v>0</v>
      </c>
      <c r="AF2798">
        <v>0</v>
      </c>
      <c r="AG2798">
        <v>0</v>
      </c>
      <c r="AH2798">
        <v>0</v>
      </c>
    </row>
    <row r="2799" spans="1:34" x14ac:dyDescent="0.35">
      <c r="A2799" t="s">
        <v>37</v>
      </c>
      <c r="B2799" s="1">
        <v>46146.65625</v>
      </c>
      <c r="C2799" t="s">
        <v>37</v>
      </c>
      <c r="D2799" s="1">
        <v>46157.354166666664</v>
      </c>
      <c r="E2799">
        <v>7750</v>
      </c>
      <c r="F2799" t="s">
        <v>36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1</v>
      </c>
      <c r="M2799">
        <v>532.70000000000005</v>
      </c>
      <c r="N2799">
        <v>1</v>
      </c>
      <c r="O2799">
        <v>551.70000000000005</v>
      </c>
      <c r="P2799">
        <v>0</v>
      </c>
      <c r="Q2799">
        <v>0</v>
      </c>
      <c r="R2799">
        <v>0</v>
      </c>
      <c r="S2799">
        <v>0</v>
      </c>
      <c r="T2799">
        <v>0.26279999999999998</v>
      </c>
      <c r="U2799">
        <v>-0.94359999999999999</v>
      </c>
      <c r="V2799">
        <v>4.0000000000000002E-4</v>
      </c>
      <c r="W2799">
        <v>-1.5592999999999999</v>
      </c>
      <c r="X2799">
        <v>1.4480999999999999</v>
      </c>
      <c r="Y2799">
        <v>-2.1642999999999999</v>
      </c>
      <c r="Z2799">
        <v>1</v>
      </c>
      <c r="AA2799">
        <v>533.6</v>
      </c>
      <c r="AB2799">
        <v>2</v>
      </c>
      <c r="AC2799">
        <v>552.1</v>
      </c>
      <c r="AD2799">
        <v>0</v>
      </c>
      <c r="AE2799">
        <v>0</v>
      </c>
      <c r="AF2799">
        <v>0</v>
      </c>
      <c r="AG2799">
        <v>1</v>
      </c>
      <c r="AH2799">
        <v>0</v>
      </c>
    </row>
    <row r="2800" spans="1:34" x14ac:dyDescent="0.35">
      <c r="A2800" t="s">
        <v>37</v>
      </c>
      <c r="B2800" s="1">
        <v>46146.65625</v>
      </c>
      <c r="C2800" t="s">
        <v>37</v>
      </c>
      <c r="D2800" s="1">
        <v>46157.354166666664</v>
      </c>
      <c r="E2800">
        <v>7760</v>
      </c>
      <c r="F2800" t="s">
        <v>36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1</v>
      </c>
      <c r="M2800">
        <v>542.6</v>
      </c>
      <c r="N2800">
        <v>2</v>
      </c>
      <c r="O2800">
        <v>562.1</v>
      </c>
      <c r="P2800">
        <v>0</v>
      </c>
      <c r="Q2800">
        <v>0</v>
      </c>
      <c r="R2800">
        <v>0</v>
      </c>
      <c r="S2800">
        <v>0</v>
      </c>
      <c r="T2800">
        <v>0.26850000000000002</v>
      </c>
      <c r="U2800">
        <v>-0.94289999999999996</v>
      </c>
      <c r="V2800">
        <v>2.9999999999999997E-4</v>
      </c>
      <c r="W2800">
        <v>-1.6122000000000001</v>
      </c>
      <c r="X2800">
        <v>1.4617</v>
      </c>
      <c r="Y2800">
        <v>-2.1657999999999999</v>
      </c>
      <c r="Z2800">
        <v>1</v>
      </c>
      <c r="AA2800">
        <v>543.6</v>
      </c>
      <c r="AB2800">
        <v>2</v>
      </c>
      <c r="AC2800">
        <v>562.1</v>
      </c>
      <c r="AD2800">
        <v>0</v>
      </c>
      <c r="AE2800">
        <v>0</v>
      </c>
      <c r="AF2800">
        <v>0</v>
      </c>
      <c r="AG2800">
        <v>0</v>
      </c>
      <c r="AH2800">
        <v>0</v>
      </c>
    </row>
    <row r="2801" spans="1:34" x14ac:dyDescent="0.35">
      <c r="A2801" t="s">
        <v>37</v>
      </c>
      <c r="B2801" s="1">
        <v>46146.65625</v>
      </c>
      <c r="C2801" t="s">
        <v>37</v>
      </c>
      <c r="D2801" s="1">
        <v>46157.354166666664</v>
      </c>
      <c r="E2801">
        <v>7770</v>
      </c>
      <c r="F2801" t="s">
        <v>36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1</v>
      </c>
      <c r="M2801">
        <v>552.70000000000005</v>
      </c>
      <c r="N2801">
        <v>2</v>
      </c>
      <c r="O2801">
        <v>570.9</v>
      </c>
      <c r="P2801">
        <v>0</v>
      </c>
      <c r="Q2801">
        <v>0</v>
      </c>
      <c r="R2801">
        <v>0</v>
      </c>
      <c r="S2801">
        <v>0</v>
      </c>
      <c r="T2801">
        <v>0.26419999999999999</v>
      </c>
      <c r="U2801">
        <v>-0.94889999999999997</v>
      </c>
      <c r="V2801">
        <v>2.9999999999999997E-4</v>
      </c>
      <c r="W2801">
        <v>-1.4368000000000001</v>
      </c>
      <c r="X2801">
        <v>1.3412999999999999</v>
      </c>
      <c r="Y2801">
        <v>-2.1812</v>
      </c>
      <c r="Z2801">
        <v>2</v>
      </c>
      <c r="AA2801">
        <v>554</v>
      </c>
      <c r="AB2801">
        <v>1</v>
      </c>
      <c r="AC2801">
        <v>577</v>
      </c>
      <c r="AD2801">
        <v>0</v>
      </c>
      <c r="AE2801">
        <v>0</v>
      </c>
      <c r="AF2801">
        <v>0</v>
      </c>
      <c r="AG2801">
        <v>0</v>
      </c>
      <c r="AH2801">
        <v>0</v>
      </c>
    </row>
    <row r="2802" spans="1:34" x14ac:dyDescent="0.35">
      <c r="A2802" t="s">
        <v>37</v>
      </c>
      <c r="B2802" s="1">
        <v>46146.65625</v>
      </c>
      <c r="C2802" t="s">
        <v>37</v>
      </c>
      <c r="D2802" s="1">
        <v>46157.354166666664</v>
      </c>
      <c r="E2802">
        <v>7775</v>
      </c>
      <c r="F2802" t="s">
        <v>36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1</v>
      </c>
      <c r="M2802">
        <v>557.6</v>
      </c>
      <c r="N2802">
        <v>2</v>
      </c>
      <c r="O2802">
        <v>575.9</v>
      </c>
      <c r="P2802">
        <v>0</v>
      </c>
      <c r="Q2802">
        <v>0</v>
      </c>
      <c r="R2802">
        <v>0</v>
      </c>
      <c r="S2802">
        <v>0</v>
      </c>
      <c r="T2802">
        <v>0.26800000000000002</v>
      </c>
      <c r="U2802">
        <v>-0.94769999999999999</v>
      </c>
      <c r="V2802">
        <v>2.9999999999999997E-4</v>
      </c>
      <c r="W2802">
        <v>-1.4879</v>
      </c>
      <c r="X2802">
        <v>1.3645</v>
      </c>
      <c r="Y2802">
        <v>-2.1800999999999999</v>
      </c>
      <c r="Z2802">
        <v>2</v>
      </c>
      <c r="AA2802">
        <v>559.29999999999995</v>
      </c>
      <c r="AB2802">
        <v>1</v>
      </c>
      <c r="AC2802">
        <v>582</v>
      </c>
      <c r="AD2802">
        <v>0</v>
      </c>
      <c r="AE2802">
        <v>0</v>
      </c>
      <c r="AF2802">
        <v>0</v>
      </c>
      <c r="AG2802">
        <v>0</v>
      </c>
      <c r="AH2802">
        <v>0</v>
      </c>
    </row>
    <row r="2803" spans="1:34" x14ac:dyDescent="0.35">
      <c r="A2803" t="s">
        <v>37</v>
      </c>
      <c r="B2803" s="1">
        <v>46146.65625</v>
      </c>
      <c r="C2803" t="s">
        <v>37</v>
      </c>
      <c r="D2803" s="1">
        <v>46157.354166666664</v>
      </c>
      <c r="E2803">
        <v>7780</v>
      </c>
      <c r="F2803" t="s">
        <v>36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1</v>
      </c>
      <c r="M2803">
        <v>562.6</v>
      </c>
      <c r="N2803">
        <v>2</v>
      </c>
      <c r="O2803">
        <v>581.70000000000005</v>
      </c>
      <c r="P2803">
        <v>0</v>
      </c>
      <c r="Q2803">
        <v>0</v>
      </c>
      <c r="R2803">
        <v>0</v>
      </c>
      <c r="S2803">
        <v>0</v>
      </c>
      <c r="T2803">
        <v>0.27400000000000002</v>
      </c>
      <c r="U2803">
        <v>-0.94530000000000003</v>
      </c>
      <c r="V2803">
        <v>2.9999999999999997E-4</v>
      </c>
      <c r="W2803">
        <v>-1.5818000000000001</v>
      </c>
      <c r="X2803">
        <v>1.4113</v>
      </c>
      <c r="Y2803">
        <v>-2.1768999999999998</v>
      </c>
      <c r="Z2803">
        <v>1</v>
      </c>
      <c r="AA2803">
        <v>563.6</v>
      </c>
      <c r="AB2803">
        <v>2</v>
      </c>
      <c r="AC2803">
        <v>581.70000000000005</v>
      </c>
      <c r="AD2803">
        <v>0</v>
      </c>
      <c r="AE2803">
        <v>0</v>
      </c>
      <c r="AF2803">
        <v>0</v>
      </c>
      <c r="AG2803">
        <v>1</v>
      </c>
      <c r="AH2803">
        <v>0</v>
      </c>
    </row>
    <row r="2804" spans="1:34" x14ac:dyDescent="0.35">
      <c r="A2804" t="s">
        <v>37</v>
      </c>
      <c r="B2804" s="1">
        <v>46146.65625</v>
      </c>
      <c r="C2804" t="s">
        <v>37</v>
      </c>
      <c r="D2804" s="1">
        <v>46157.354166666664</v>
      </c>
      <c r="E2804">
        <v>7790</v>
      </c>
      <c r="F2804" t="s">
        <v>36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1</v>
      </c>
      <c r="M2804">
        <v>571.20000000000005</v>
      </c>
      <c r="N2804">
        <v>1</v>
      </c>
      <c r="O2804">
        <v>591.70000000000005</v>
      </c>
      <c r="P2804">
        <v>0</v>
      </c>
      <c r="Q2804">
        <v>0</v>
      </c>
      <c r="R2804">
        <v>0</v>
      </c>
      <c r="S2804">
        <v>0</v>
      </c>
      <c r="T2804">
        <v>0.27860000000000001</v>
      </c>
      <c r="U2804">
        <v>-0.94520000000000004</v>
      </c>
      <c r="V2804">
        <v>2.9999999999999997E-4</v>
      </c>
      <c r="W2804">
        <v>-1.6121000000000001</v>
      </c>
      <c r="X2804">
        <v>1.4127000000000001</v>
      </c>
      <c r="Y2804">
        <v>-2.1793</v>
      </c>
      <c r="Z2804">
        <v>1</v>
      </c>
      <c r="AA2804">
        <v>573.6</v>
      </c>
      <c r="AB2804">
        <v>2</v>
      </c>
      <c r="AC2804">
        <v>592</v>
      </c>
      <c r="AD2804">
        <v>0</v>
      </c>
      <c r="AE2804">
        <v>0</v>
      </c>
      <c r="AF2804">
        <v>0</v>
      </c>
      <c r="AG2804">
        <v>0</v>
      </c>
      <c r="AH2804">
        <v>0</v>
      </c>
    </row>
    <row r="2805" spans="1:34" x14ac:dyDescent="0.35">
      <c r="A2805" t="s">
        <v>37</v>
      </c>
      <c r="B2805" s="1">
        <v>46146.65625</v>
      </c>
      <c r="C2805" t="s">
        <v>37</v>
      </c>
      <c r="D2805" s="1">
        <v>46157.354166666664</v>
      </c>
      <c r="E2805">
        <v>7800</v>
      </c>
      <c r="F2805" t="s">
        <v>36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1</v>
      </c>
      <c r="M2805">
        <v>582.6</v>
      </c>
      <c r="N2805">
        <v>1</v>
      </c>
      <c r="O2805">
        <v>601.6</v>
      </c>
      <c r="P2805">
        <v>0</v>
      </c>
      <c r="Q2805">
        <v>0</v>
      </c>
      <c r="R2805">
        <v>0</v>
      </c>
      <c r="S2805">
        <v>0</v>
      </c>
      <c r="T2805">
        <v>0.28060000000000002</v>
      </c>
      <c r="U2805">
        <v>-0.94689999999999996</v>
      </c>
      <c r="V2805">
        <v>2.9999999999999997E-4</v>
      </c>
      <c r="W2805">
        <v>-1.5791999999999999</v>
      </c>
      <c r="X2805">
        <v>1.3785000000000001</v>
      </c>
      <c r="Y2805">
        <v>-2.1861000000000002</v>
      </c>
      <c r="Z2805">
        <v>1</v>
      </c>
      <c r="AA2805">
        <v>583.5</v>
      </c>
      <c r="AB2805">
        <v>2</v>
      </c>
      <c r="AC2805">
        <v>602.29999999999995</v>
      </c>
      <c r="AD2805">
        <v>0</v>
      </c>
      <c r="AE2805">
        <v>0</v>
      </c>
      <c r="AF2805">
        <v>0</v>
      </c>
      <c r="AG2805">
        <v>1</v>
      </c>
      <c r="AH2805">
        <v>0</v>
      </c>
    </row>
    <row r="2806" spans="1:34" x14ac:dyDescent="0.35">
      <c r="A2806" t="s">
        <v>37</v>
      </c>
      <c r="B2806" s="1">
        <v>46146.65625</v>
      </c>
      <c r="C2806" t="s">
        <v>37</v>
      </c>
      <c r="D2806" s="1">
        <v>46157.354166666664</v>
      </c>
      <c r="E2806">
        <v>7810</v>
      </c>
      <c r="F2806" t="s">
        <v>36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1</v>
      </c>
      <c r="M2806">
        <v>592.5</v>
      </c>
      <c r="N2806">
        <v>2</v>
      </c>
      <c r="O2806">
        <v>610.79999999999995</v>
      </c>
      <c r="P2806">
        <v>0</v>
      </c>
      <c r="Q2806">
        <v>0</v>
      </c>
      <c r="R2806">
        <v>0</v>
      </c>
      <c r="S2806">
        <v>0</v>
      </c>
      <c r="T2806">
        <v>0.27689999999999998</v>
      </c>
      <c r="U2806">
        <v>-0.95199999999999996</v>
      </c>
      <c r="V2806">
        <v>2.9999999999999997E-4</v>
      </c>
      <c r="W2806">
        <v>-1.4225000000000001</v>
      </c>
      <c r="X2806">
        <v>1.2734000000000001</v>
      </c>
      <c r="Y2806">
        <v>-2.1996000000000002</v>
      </c>
      <c r="Z2806">
        <v>2</v>
      </c>
      <c r="AA2806">
        <v>594</v>
      </c>
      <c r="AB2806">
        <v>1</v>
      </c>
      <c r="AC2806">
        <v>617</v>
      </c>
      <c r="AD2806">
        <v>0</v>
      </c>
      <c r="AE2806">
        <v>0</v>
      </c>
      <c r="AF2806">
        <v>0</v>
      </c>
      <c r="AG2806">
        <v>0</v>
      </c>
      <c r="AH2806">
        <v>0</v>
      </c>
    </row>
    <row r="2807" spans="1:34" x14ac:dyDescent="0.35">
      <c r="A2807" t="s">
        <v>37</v>
      </c>
      <c r="B2807" s="1">
        <v>46146.65625</v>
      </c>
      <c r="C2807" t="s">
        <v>37</v>
      </c>
      <c r="D2807" s="1">
        <v>46157.354166666664</v>
      </c>
      <c r="E2807">
        <v>7820</v>
      </c>
      <c r="F2807" t="s">
        <v>36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1</v>
      </c>
      <c r="M2807">
        <v>602.5</v>
      </c>
      <c r="N2807">
        <v>1</v>
      </c>
      <c r="O2807">
        <v>621.6</v>
      </c>
      <c r="P2807">
        <v>0</v>
      </c>
      <c r="Q2807">
        <v>0</v>
      </c>
      <c r="R2807">
        <v>0</v>
      </c>
      <c r="S2807">
        <v>0</v>
      </c>
      <c r="T2807">
        <v>0.28699999999999998</v>
      </c>
      <c r="U2807">
        <v>-0.94850000000000001</v>
      </c>
      <c r="V2807">
        <v>2.9999999999999997E-4</v>
      </c>
      <c r="W2807">
        <v>-1.5707</v>
      </c>
      <c r="X2807">
        <v>1.3439000000000001</v>
      </c>
      <c r="Y2807">
        <v>-2.1955</v>
      </c>
      <c r="Z2807">
        <v>1</v>
      </c>
      <c r="AA2807">
        <v>603.5</v>
      </c>
      <c r="AB2807">
        <v>2</v>
      </c>
      <c r="AC2807">
        <v>621.79999999999995</v>
      </c>
      <c r="AD2807">
        <v>0</v>
      </c>
      <c r="AE2807">
        <v>0</v>
      </c>
      <c r="AF2807">
        <v>0</v>
      </c>
      <c r="AG2807">
        <v>0</v>
      </c>
      <c r="AH2807">
        <v>0</v>
      </c>
    </row>
    <row r="2808" spans="1:34" x14ac:dyDescent="0.35">
      <c r="A2808" t="s">
        <v>37</v>
      </c>
      <c r="B2808" s="1">
        <v>46146.65625</v>
      </c>
      <c r="C2808" t="s">
        <v>37</v>
      </c>
      <c r="D2808" s="1">
        <v>46157.354166666664</v>
      </c>
      <c r="E2808">
        <v>7825</v>
      </c>
      <c r="F2808" t="s">
        <v>36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1</v>
      </c>
      <c r="M2808">
        <v>607.6</v>
      </c>
      <c r="N2808">
        <v>2</v>
      </c>
      <c r="O2808">
        <v>626.5</v>
      </c>
      <c r="P2808">
        <v>0</v>
      </c>
      <c r="Q2808">
        <v>0</v>
      </c>
      <c r="R2808">
        <v>0</v>
      </c>
      <c r="S2808">
        <v>0</v>
      </c>
      <c r="T2808">
        <v>0.28899999999999998</v>
      </c>
      <c r="U2808">
        <v>-0.9486</v>
      </c>
      <c r="V2808">
        <v>2.9999999999999997E-4</v>
      </c>
      <c r="W2808">
        <v>-1.5792999999999999</v>
      </c>
      <c r="X2808">
        <v>1.3416999999999999</v>
      </c>
      <c r="Y2808">
        <v>-2.1972</v>
      </c>
      <c r="Z2808">
        <v>2</v>
      </c>
      <c r="AA2808">
        <v>609.70000000000005</v>
      </c>
      <c r="AB2808">
        <v>1</v>
      </c>
      <c r="AC2808">
        <v>631.9</v>
      </c>
      <c r="AD2808">
        <v>0</v>
      </c>
      <c r="AE2808">
        <v>0</v>
      </c>
      <c r="AF2808">
        <v>0</v>
      </c>
      <c r="AG2808">
        <v>0</v>
      </c>
      <c r="AH2808">
        <v>0</v>
      </c>
    </row>
    <row r="2809" spans="1:34" x14ac:dyDescent="0.35">
      <c r="A2809" t="s">
        <v>37</v>
      </c>
      <c r="B2809" s="1">
        <v>46146.65625</v>
      </c>
      <c r="C2809" t="s">
        <v>37</v>
      </c>
      <c r="D2809" s="1">
        <v>46157.354166666664</v>
      </c>
      <c r="E2809">
        <v>7830</v>
      </c>
      <c r="F2809" t="s">
        <v>36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1</v>
      </c>
      <c r="M2809">
        <v>612.5</v>
      </c>
      <c r="N2809">
        <v>2</v>
      </c>
      <c r="O2809">
        <v>630.9</v>
      </c>
      <c r="P2809">
        <v>0</v>
      </c>
      <c r="Q2809">
        <v>0</v>
      </c>
      <c r="R2809">
        <v>0</v>
      </c>
      <c r="S2809">
        <v>0</v>
      </c>
      <c r="T2809">
        <v>0.28489999999999999</v>
      </c>
      <c r="U2809">
        <v>-0.95240000000000002</v>
      </c>
      <c r="V2809">
        <v>2.9999999999999997E-4</v>
      </c>
      <c r="W2809">
        <v>-1.4533</v>
      </c>
      <c r="X2809">
        <v>1.2639</v>
      </c>
      <c r="Y2809">
        <v>-2.2063999999999999</v>
      </c>
      <c r="Z2809">
        <v>2</v>
      </c>
      <c r="AA2809">
        <v>614.1</v>
      </c>
      <c r="AB2809">
        <v>1</v>
      </c>
      <c r="AC2809">
        <v>636.9</v>
      </c>
      <c r="AD2809">
        <v>0</v>
      </c>
      <c r="AE2809">
        <v>0</v>
      </c>
      <c r="AF2809">
        <v>0</v>
      </c>
      <c r="AG2809">
        <v>0</v>
      </c>
      <c r="AH2809">
        <v>0</v>
      </c>
    </row>
    <row r="2810" spans="1:34" x14ac:dyDescent="0.35">
      <c r="A2810" t="s">
        <v>37</v>
      </c>
      <c r="B2810" s="1">
        <v>46146.65625</v>
      </c>
      <c r="C2810" t="s">
        <v>37</v>
      </c>
      <c r="D2810" s="1">
        <v>46157.354166666664</v>
      </c>
      <c r="E2810">
        <v>7840</v>
      </c>
      <c r="F2810" t="s">
        <v>36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1</v>
      </c>
      <c r="M2810">
        <v>621.1</v>
      </c>
      <c r="N2810">
        <v>3</v>
      </c>
      <c r="O2810">
        <v>641.79999999999995</v>
      </c>
      <c r="P2810">
        <v>0</v>
      </c>
      <c r="Q2810">
        <v>0</v>
      </c>
      <c r="R2810">
        <v>0</v>
      </c>
      <c r="S2810">
        <v>0</v>
      </c>
      <c r="T2810">
        <v>0.29659999999999997</v>
      </c>
      <c r="U2810">
        <v>-0.94799999999999995</v>
      </c>
      <c r="V2810">
        <v>2.9999999999999997E-4</v>
      </c>
      <c r="W2810">
        <v>-1.6376999999999999</v>
      </c>
      <c r="X2810">
        <v>1.3522000000000001</v>
      </c>
      <c r="Y2810">
        <v>-2.2002000000000002</v>
      </c>
      <c r="Z2810">
        <v>1</v>
      </c>
      <c r="AA2810">
        <v>623.5</v>
      </c>
      <c r="AB2810">
        <v>2</v>
      </c>
      <c r="AC2810">
        <v>641.79999999999995</v>
      </c>
      <c r="AD2810">
        <v>0</v>
      </c>
      <c r="AE2810">
        <v>0</v>
      </c>
      <c r="AF2810">
        <v>0</v>
      </c>
      <c r="AG2810">
        <v>0</v>
      </c>
      <c r="AH2810">
        <v>0</v>
      </c>
    </row>
    <row r="2811" spans="1:34" x14ac:dyDescent="0.35">
      <c r="A2811" t="s">
        <v>37</v>
      </c>
      <c r="B2811" s="1">
        <v>46146.65625</v>
      </c>
      <c r="C2811" t="s">
        <v>37</v>
      </c>
      <c r="D2811" s="1">
        <v>46157.354166666664</v>
      </c>
      <c r="E2811">
        <v>7850</v>
      </c>
      <c r="F2811" t="s">
        <v>36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1</v>
      </c>
      <c r="M2811">
        <v>632.5</v>
      </c>
      <c r="N2811">
        <v>2</v>
      </c>
      <c r="O2811">
        <v>650.70000000000005</v>
      </c>
      <c r="P2811">
        <v>0</v>
      </c>
      <c r="Q2811">
        <v>0</v>
      </c>
      <c r="R2811">
        <v>0</v>
      </c>
      <c r="S2811">
        <v>0</v>
      </c>
      <c r="T2811">
        <v>0.29149999999999998</v>
      </c>
      <c r="U2811">
        <v>-0.9536</v>
      </c>
      <c r="V2811">
        <v>2.9999999999999997E-4</v>
      </c>
      <c r="W2811">
        <v>-1.4530000000000001</v>
      </c>
      <c r="X2811">
        <v>1.2382</v>
      </c>
      <c r="Y2811">
        <v>-2.2147000000000001</v>
      </c>
      <c r="Z2811">
        <v>2</v>
      </c>
      <c r="AA2811">
        <v>633.9</v>
      </c>
      <c r="AB2811">
        <v>1</v>
      </c>
      <c r="AC2811">
        <v>656.9</v>
      </c>
      <c r="AD2811">
        <v>0</v>
      </c>
      <c r="AE2811">
        <v>0</v>
      </c>
      <c r="AF2811">
        <v>0</v>
      </c>
      <c r="AG2811">
        <v>0</v>
      </c>
      <c r="AH2811">
        <v>0</v>
      </c>
    </row>
    <row r="2812" spans="1:34" x14ac:dyDescent="0.35">
      <c r="A2812" t="s">
        <v>37</v>
      </c>
      <c r="B2812" s="1">
        <v>46146.65625</v>
      </c>
      <c r="C2812" t="s">
        <v>37</v>
      </c>
      <c r="D2812" s="1">
        <v>46157.354166666664</v>
      </c>
      <c r="E2812">
        <v>7860</v>
      </c>
      <c r="F2812" t="s">
        <v>36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1</v>
      </c>
      <c r="M2812">
        <v>642.5</v>
      </c>
      <c r="N2812">
        <v>1</v>
      </c>
      <c r="O2812">
        <v>661.5</v>
      </c>
      <c r="P2812">
        <v>0</v>
      </c>
      <c r="Q2812">
        <v>0</v>
      </c>
      <c r="R2812">
        <v>0</v>
      </c>
      <c r="S2812">
        <v>0</v>
      </c>
      <c r="T2812">
        <v>0.30159999999999998</v>
      </c>
      <c r="U2812">
        <v>-0.95020000000000004</v>
      </c>
      <c r="V2812">
        <v>2.9999999999999997E-4</v>
      </c>
      <c r="W2812">
        <v>-1.6028</v>
      </c>
      <c r="X2812">
        <v>1.3067</v>
      </c>
      <c r="Y2812">
        <v>-2.2109000000000001</v>
      </c>
      <c r="Z2812">
        <v>1</v>
      </c>
      <c r="AA2812">
        <v>643.4</v>
      </c>
      <c r="AB2812">
        <v>2</v>
      </c>
      <c r="AC2812">
        <v>662.7</v>
      </c>
      <c r="AD2812">
        <v>0</v>
      </c>
      <c r="AE2812">
        <v>0</v>
      </c>
      <c r="AF2812">
        <v>0</v>
      </c>
      <c r="AG2812">
        <v>0</v>
      </c>
      <c r="AH2812">
        <v>0</v>
      </c>
    </row>
    <row r="2813" spans="1:34" x14ac:dyDescent="0.35">
      <c r="A2813" t="s">
        <v>37</v>
      </c>
      <c r="B2813" s="1">
        <v>46146.65625</v>
      </c>
      <c r="C2813" t="s">
        <v>37</v>
      </c>
      <c r="D2813" s="1">
        <v>46157.354166666664</v>
      </c>
      <c r="E2813">
        <v>7870</v>
      </c>
      <c r="F2813" t="s">
        <v>36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1</v>
      </c>
      <c r="M2813">
        <v>652.4</v>
      </c>
      <c r="N2813">
        <v>2</v>
      </c>
      <c r="O2813">
        <v>671.8</v>
      </c>
      <c r="P2813">
        <v>0</v>
      </c>
      <c r="Q2813">
        <v>0</v>
      </c>
      <c r="R2813">
        <v>0</v>
      </c>
      <c r="S2813">
        <v>0</v>
      </c>
      <c r="T2813">
        <v>0.30669999999999997</v>
      </c>
      <c r="U2813">
        <v>-0.94979999999999998</v>
      </c>
      <c r="V2813">
        <v>2.9999999999999997E-4</v>
      </c>
      <c r="W2813">
        <v>-1.6396999999999999</v>
      </c>
      <c r="X2813">
        <v>1.3129</v>
      </c>
      <c r="Y2813">
        <v>-2.2132000000000001</v>
      </c>
      <c r="Z2813">
        <v>1</v>
      </c>
      <c r="AA2813">
        <v>653.4</v>
      </c>
      <c r="AB2813">
        <v>2</v>
      </c>
      <c r="AC2813">
        <v>671.8</v>
      </c>
      <c r="AD2813">
        <v>0</v>
      </c>
      <c r="AE2813">
        <v>0</v>
      </c>
      <c r="AF2813">
        <v>0</v>
      </c>
      <c r="AG2813">
        <v>0</v>
      </c>
      <c r="AH2813">
        <v>0</v>
      </c>
    </row>
    <row r="2814" spans="1:34" x14ac:dyDescent="0.35">
      <c r="A2814" t="s">
        <v>37</v>
      </c>
      <c r="B2814" s="1">
        <v>46146.65625</v>
      </c>
      <c r="C2814" t="s">
        <v>37</v>
      </c>
      <c r="D2814" s="1">
        <v>46157.354166666664</v>
      </c>
      <c r="E2814">
        <v>7875</v>
      </c>
      <c r="F2814" t="s">
        <v>36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1</v>
      </c>
      <c r="M2814">
        <v>656</v>
      </c>
      <c r="N2814">
        <v>2</v>
      </c>
      <c r="O2814">
        <v>676.5</v>
      </c>
      <c r="P2814">
        <v>0</v>
      </c>
      <c r="Q2814">
        <v>0</v>
      </c>
      <c r="R2814">
        <v>0</v>
      </c>
      <c r="S2814">
        <v>0</v>
      </c>
      <c r="T2814">
        <v>0.30690000000000001</v>
      </c>
      <c r="U2814">
        <v>-0.95089999999999997</v>
      </c>
      <c r="V2814">
        <v>2.9999999999999997E-4</v>
      </c>
      <c r="W2814">
        <v>-1.6084000000000001</v>
      </c>
      <c r="X2814">
        <v>1.2901</v>
      </c>
      <c r="Y2814">
        <v>-2.2166000000000001</v>
      </c>
      <c r="Z2814">
        <v>1</v>
      </c>
      <c r="AA2814">
        <v>658.4</v>
      </c>
      <c r="AB2814">
        <v>2</v>
      </c>
      <c r="AC2814">
        <v>676.5</v>
      </c>
      <c r="AD2814">
        <v>0</v>
      </c>
      <c r="AE2814">
        <v>0</v>
      </c>
      <c r="AF2814">
        <v>0</v>
      </c>
      <c r="AG2814">
        <v>7</v>
      </c>
      <c r="AH2814">
        <v>0</v>
      </c>
    </row>
    <row r="2815" spans="1:34" x14ac:dyDescent="0.35">
      <c r="A2815" t="s">
        <v>37</v>
      </c>
      <c r="B2815" s="1">
        <v>46146.65625</v>
      </c>
      <c r="C2815" t="s">
        <v>37</v>
      </c>
      <c r="D2815" s="1">
        <v>46157.354166666664</v>
      </c>
      <c r="E2815">
        <v>7880</v>
      </c>
      <c r="F2815" t="s">
        <v>36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1</v>
      </c>
      <c r="M2815">
        <v>662.4</v>
      </c>
      <c r="N2815">
        <v>1</v>
      </c>
      <c r="O2815">
        <v>681.5</v>
      </c>
      <c r="P2815">
        <v>0</v>
      </c>
      <c r="Q2815">
        <v>0</v>
      </c>
      <c r="R2815">
        <v>0</v>
      </c>
      <c r="S2815">
        <v>0</v>
      </c>
      <c r="T2815">
        <v>0.30780000000000002</v>
      </c>
      <c r="U2815">
        <v>-0.9516</v>
      </c>
      <c r="V2815">
        <v>2.9999999999999997E-4</v>
      </c>
      <c r="W2815">
        <v>-1.5928</v>
      </c>
      <c r="X2815">
        <v>1.2758</v>
      </c>
      <c r="Y2815">
        <v>-2.2198000000000002</v>
      </c>
      <c r="Z2815">
        <v>1</v>
      </c>
      <c r="AA2815">
        <v>663.4</v>
      </c>
      <c r="AB2815">
        <v>2</v>
      </c>
      <c r="AC2815">
        <v>681.7</v>
      </c>
      <c r="AD2815">
        <v>0</v>
      </c>
      <c r="AE2815">
        <v>0</v>
      </c>
      <c r="AF2815">
        <v>0</v>
      </c>
      <c r="AG2815">
        <v>0</v>
      </c>
      <c r="AH2815">
        <v>0</v>
      </c>
    </row>
    <row r="2816" spans="1:34" x14ac:dyDescent="0.35">
      <c r="A2816" t="s">
        <v>37</v>
      </c>
      <c r="B2816" s="1">
        <v>46146.65625</v>
      </c>
      <c r="C2816" t="s">
        <v>37</v>
      </c>
      <c r="D2816" s="1">
        <v>46157.354166666664</v>
      </c>
      <c r="E2816">
        <v>7890</v>
      </c>
      <c r="F2816" t="s">
        <v>36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1</v>
      </c>
      <c r="M2816">
        <v>672.4</v>
      </c>
      <c r="N2816">
        <v>2</v>
      </c>
      <c r="O2816">
        <v>690.5</v>
      </c>
      <c r="P2816">
        <v>0</v>
      </c>
      <c r="Q2816">
        <v>0</v>
      </c>
      <c r="R2816">
        <v>0</v>
      </c>
      <c r="S2816">
        <v>0</v>
      </c>
      <c r="T2816">
        <v>0.3039</v>
      </c>
      <c r="U2816">
        <v>-0.95609999999999995</v>
      </c>
      <c r="V2816">
        <v>2.9999999999999997E-4</v>
      </c>
      <c r="W2816">
        <v>-1.4401999999999999</v>
      </c>
      <c r="X2816">
        <v>1.1838</v>
      </c>
      <c r="Y2816">
        <v>-2.2317999999999998</v>
      </c>
      <c r="Z2816">
        <v>2</v>
      </c>
      <c r="AA2816">
        <v>673.8</v>
      </c>
      <c r="AB2816">
        <v>1</v>
      </c>
      <c r="AC2816">
        <v>696.8</v>
      </c>
      <c r="AD2816">
        <v>0</v>
      </c>
      <c r="AE2816">
        <v>0</v>
      </c>
      <c r="AF2816">
        <v>0</v>
      </c>
      <c r="AG2816">
        <v>0</v>
      </c>
      <c r="AH2816">
        <v>0</v>
      </c>
    </row>
    <row r="2817" spans="1:34" x14ac:dyDescent="0.35">
      <c r="A2817" t="s">
        <v>37</v>
      </c>
      <c r="B2817" s="1">
        <v>46146.65625</v>
      </c>
      <c r="C2817" t="s">
        <v>37</v>
      </c>
      <c r="D2817" s="1">
        <v>46157.354166666664</v>
      </c>
      <c r="E2817">
        <v>7900</v>
      </c>
      <c r="F2817" t="s">
        <v>36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1</v>
      </c>
      <c r="M2817">
        <v>682.9</v>
      </c>
      <c r="N2817">
        <v>2</v>
      </c>
      <c r="O2817">
        <v>701.5</v>
      </c>
      <c r="P2817">
        <v>0</v>
      </c>
      <c r="Q2817">
        <v>0</v>
      </c>
      <c r="R2817">
        <v>0</v>
      </c>
      <c r="S2817">
        <v>0</v>
      </c>
      <c r="T2817">
        <v>0.3095</v>
      </c>
      <c r="U2817">
        <v>-0.95550000000000002</v>
      </c>
      <c r="V2817">
        <v>2.0000000000000001E-4</v>
      </c>
      <c r="W2817">
        <v>-1.4842</v>
      </c>
      <c r="X2817">
        <v>1.1946000000000001</v>
      </c>
      <c r="Y2817">
        <v>-2.2334000000000001</v>
      </c>
      <c r="Z2817">
        <v>1</v>
      </c>
      <c r="AA2817">
        <v>683.3</v>
      </c>
      <c r="AB2817">
        <v>2</v>
      </c>
      <c r="AC2817">
        <v>701.5</v>
      </c>
      <c r="AD2817">
        <v>0</v>
      </c>
      <c r="AE2817">
        <v>0</v>
      </c>
      <c r="AF2817">
        <v>0</v>
      </c>
      <c r="AG2817">
        <v>56</v>
      </c>
      <c r="AH2817">
        <v>0</v>
      </c>
    </row>
    <row r="2818" spans="1:34" x14ac:dyDescent="0.35">
      <c r="A2818" t="s">
        <v>37</v>
      </c>
      <c r="B2818" s="1">
        <v>46146.65625</v>
      </c>
      <c r="C2818" t="s">
        <v>37</v>
      </c>
      <c r="D2818" s="1">
        <v>46157.354166666664</v>
      </c>
      <c r="E2818">
        <v>7910</v>
      </c>
      <c r="F2818" t="s">
        <v>36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1</v>
      </c>
      <c r="M2818">
        <v>692.4</v>
      </c>
      <c r="N2818">
        <v>2</v>
      </c>
      <c r="O2818">
        <v>710.7</v>
      </c>
      <c r="P2818">
        <v>0</v>
      </c>
      <c r="Q2818">
        <v>0</v>
      </c>
      <c r="R2818">
        <v>0</v>
      </c>
      <c r="S2818">
        <v>0</v>
      </c>
      <c r="T2818">
        <v>0.31269999999999998</v>
      </c>
      <c r="U2818">
        <v>-0.95579999999999998</v>
      </c>
      <c r="V2818">
        <v>2.0000000000000001E-4</v>
      </c>
      <c r="W2818">
        <v>-1.4888999999999999</v>
      </c>
      <c r="X2818">
        <v>1.1872</v>
      </c>
      <c r="Y2818">
        <v>-2.2372999999999998</v>
      </c>
      <c r="Z2818">
        <v>2</v>
      </c>
      <c r="AA2818">
        <v>693.9</v>
      </c>
      <c r="AB2818">
        <v>1</v>
      </c>
      <c r="AC2818">
        <v>716.8</v>
      </c>
      <c r="AD2818">
        <v>0</v>
      </c>
      <c r="AE2818">
        <v>0</v>
      </c>
      <c r="AF2818">
        <v>0</v>
      </c>
      <c r="AG2818">
        <v>0</v>
      </c>
      <c r="AH2818">
        <v>0</v>
      </c>
    </row>
    <row r="2819" spans="1:34" x14ac:dyDescent="0.35">
      <c r="A2819" t="s">
        <v>37</v>
      </c>
      <c r="B2819" s="1">
        <v>46146.65625</v>
      </c>
      <c r="C2819" t="s">
        <v>37</v>
      </c>
      <c r="D2819" s="1">
        <v>46157.354166666664</v>
      </c>
      <c r="E2819">
        <v>7920</v>
      </c>
      <c r="F2819" t="s">
        <v>36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1</v>
      </c>
      <c r="M2819">
        <v>702.4</v>
      </c>
      <c r="N2819">
        <v>2</v>
      </c>
      <c r="O2819">
        <v>720.7</v>
      </c>
      <c r="P2819">
        <v>0</v>
      </c>
      <c r="Q2819">
        <v>0</v>
      </c>
      <c r="R2819">
        <v>0</v>
      </c>
      <c r="S2819">
        <v>0</v>
      </c>
      <c r="T2819">
        <v>0.31619999999999998</v>
      </c>
      <c r="U2819">
        <v>-0.95620000000000005</v>
      </c>
      <c r="V2819">
        <v>2.0000000000000001E-4</v>
      </c>
      <c r="W2819">
        <v>-1.4947999999999999</v>
      </c>
      <c r="X2819">
        <v>1.1794</v>
      </c>
      <c r="Y2819">
        <v>-2.2410000000000001</v>
      </c>
      <c r="Z2819">
        <v>2</v>
      </c>
      <c r="AA2819">
        <v>703.9</v>
      </c>
      <c r="AB2819">
        <v>1</v>
      </c>
      <c r="AC2819">
        <v>726.8</v>
      </c>
      <c r="AD2819">
        <v>0</v>
      </c>
      <c r="AE2819">
        <v>0</v>
      </c>
      <c r="AF2819">
        <v>0</v>
      </c>
      <c r="AG2819">
        <v>0</v>
      </c>
      <c r="AH2819">
        <v>0</v>
      </c>
    </row>
    <row r="2820" spans="1:34" x14ac:dyDescent="0.35">
      <c r="A2820" t="s">
        <v>37</v>
      </c>
      <c r="B2820" s="1">
        <v>46146.65625</v>
      </c>
      <c r="C2820" t="s">
        <v>37</v>
      </c>
      <c r="D2820" s="1">
        <v>46157.354166666664</v>
      </c>
      <c r="E2820">
        <v>7925</v>
      </c>
      <c r="F2820" t="s">
        <v>36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1</v>
      </c>
      <c r="M2820">
        <v>706.5</v>
      </c>
      <c r="N2820">
        <v>2</v>
      </c>
      <c r="O2820">
        <v>726.7</v>
      </c>
      <c r="P2820">
        <v>0</v>
      </c>
      <c r="Q2820">
        <v>0</v>
      </c>
      <c r="R2820">
        <v>0</v>
      </c>
      <c r="S2820">
        <v>0</v>
      </c>
      <c r="T2820">
        <v>0.32550000000000001</v>
      </c>
      <c r="U2820">
        <v>-0.95240000000000002</v>
      </c>
      <c r="V2820">
        <v>2.0000000000000001E-4</v>
      </c>
      <c r="W2820">
        <v>-1.6573</v>
      </c>
      <c r="X2820">
        <v>1.2554000000000001</v>
      </c>
      <c r="Y2820">
        <v>-2.2349999999999999</v>
      </c>
      <c r="Z2820">
        <v>1</v>
      </c>
      <c r="AA2820">
        <v>708.3</v>
      </c>
      <c r="AB2820">
        <v>2</v>
      </c>
      <c r="AC2820">
        <v>726.7</v>
      </c>
      <c r="AD2820">
        <v>0</v>
      </c>
      <c r="AE2820">
        <v>0</v>
      </c>
      <c r="AF2820">
        <v>0</v>
      </c>
      <c r="AG2820">
        <v>0</v>
      </c>
      <c r="AH2820">
        <v>0</v>
      </c>
    </row>
    <row r="2821" spans="1:34" x14ac:dyDescent="0.35">
      <c r="A2821" t="s">
        <v>37</v>
      </c>
      <c r="B2821" s="1">
        <v>46146.65625</v>
      </c>
      <c r="C2821" t="s">
        <v>37</v>
      </c>
      <c r="D2821" s="1">
        <v>46157.354166666664</v>
      </c>
      <c r="E2821">
        <v>7930</v>
      </c>
      <c r="F2821" t="s">
        <v>36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1</v>
      </c>
      <c r="M2821">
        <v>710.9</v>
      </c>
      <c r="N2821">
        <v>3</v>
      </c>
      <c r="O2821">
        <v>731.7</v>
      </c>
      <c r="P2821">
        <v>0</v>
      </c>
      <c r="Q2821">
        <v>0</v>
      </c>
      <c r="R2821">
        <v>0</v>
      </c>
      <c r="S2821">
        <v>0</v>
      </c>
      <c r="T2821">
        <v>0.3281</v>
      </c>
      <c r="U2821">
        <v>-0.95220000000000005</v>
      </c>
      <c r="V2821">
        <v>2.0000000000000001E-4</v>
      </c>
      <c r="W2821">
        <v>-1.6794</v>
      </c>
      <c r="X2821">
        <v>1.2605999999999999</v>
      </c>
      <c r="Y2821">
        <v>-2.2357</v>
      </c>
      <c r="Z2821">
        <v>1</v>
      </c>
      <c r="AA2821">
        <v>713.3</v>
      </c>
      <c r="AB2821">
        <v>2</v>
      </c>
      <c r="AC2821">
        <v>731.7</v>
      </c>
      <c r="AD2821">
        <v>0</v>
      </c>
      <c r="AE2821">
        <v>0</v>
      </c>
      <c r="AF2821">
        <v>0</v>
      </c>
      <c r="AG2821">
        <v>0</v>
      </c>
      <c r="AH2821">
        <v>0</v>
      </c>
    </row>
    <row r="2822" spans="1:34" x14ac:dyDescent="0.35">
      <c r="A2822" t="s">
        <v>37</v>
      </c>
      <c r="B2822" s="1">
        <v>46146.65625</v>
      </c>
      <c r="C2822" t="s">
        <v>37</v>
      </c>
      <c r="D2822" s="1">
        <v>46157.354166666664</v>
      </c>
      <c r="E2822">
        <v>7940</v>
      </c>
      <c r="F2822" t="s">
        <v>36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1</v>
      </c>
      <c r="M2822">
        <v>721.3</v>
      </c>
      <c r="N2822">
        <v>2</v>
      </c>
      <c r="O2822">
        <v>741.1</v>
      </c>
      <c r="P2822">
        <v>0</v>
      </c>
      <c r="Q2822">
        <v>0</v>
      </c>
      <c r="R2822">
        <v>0</v>
      </c>
      <c r="S2822">
        <v>0</v>
      </c>
      <c r="T2822">
        <v>0.3256</v>
      </c>
      <c r="U2822">
        <v>-0.9556</v>
      </c>
      <c r="V2822">
        <v>2.0000000000000001E-4</v>
      </c>
      <c r="W2822">
        <v>-1.5566</v>
      </c>
      <c r="X2822">
        <v>1.1893</v>
      </c>
      <c r="Y2822">
        <v>-2.2458999999999998</v>
      </c>
      <c r="Z2822">
        <v>2</v>
      </c>
      <c r="AA2822">
        <v>724.4</v>
      </c>
      <c r="AB2822">
        <v>1</v>
      </c>
      <c r="AC2822">
        <v>746.8</v>
      </c>
      <c r="AD2822">
        <v>0</v>
      </c>
      <c r="AE2822">
        <v>0</v>
      </c>
      <c r="AF2822">
        <v>0</v>
      </c>
      <c r="AG2822">
        <v>0</v>
      </c>
      <c r="AH2822">
        <v>0</v>
      </c>
    </row>
    <row r="2823" spans="1:34" x14ac:dyDescent="0.35">
      <c r="A2823" t="s">
        <v>37</v>
      </c>
      <c r="B2823" s="1">
        <v>46146.65625</v>
      </c>
      <c r="C2823" t="s">
        <v>37</v>
      </c>
      <c r="D2823" s="1">
        <v>46157.354166666664</v>
      </c>
      <c r="E2823">
        <v>7950</v>
      </c>
      <c r="F2823" t="s">
        <v>36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1</v>
      </c>
      <c r="M2823">
        <v>731.1</v>
      </c>
      <c r="N2823">
        <v>2</v>
      </c>
      <c r="O2823">
        <v>751.6</v>
      </c>
      <c r="P2823">
        <v>0</v>
      </c>
      <c r="Q2823">
        <v>0</v>
      </c>
      <c r="R2823">
        <v>0</v>
      </c>
      <c r="S2823">
        <v>0</v>
      </c>
      <c r="T2823">
        <v>0.33550000000000002</v>
      </c>
      <c r="U2823">
        <v>-0.95269999999999999</v>
      </c>
      <c r="V2823">
        <v>2.0000000000000001E-4</v>
      </c>
      <c r="W2823">
        <v>-1.7009000000000001</v>
      </c>
      <c r="X2823">
        <v>1.2491000000000001</v>
      </c>
      <c r="Y2823">
        <v>-2.2427000000000001</v>
      </c>
      <c r="Z2823">
        <v>1</v>
      </c>
      <c r="AA2823">
        <v>733.3</v>
      </c>
      <c r="AB2823">
        <v>2</v>
      </c>
      <c r="AC2823">
        <v>751.6</v>
      </c>
      <c r="AD2823">
        <v>0</v>
      </c>
      <c r="AE2823">
        <v>0</v>
      </c>
      <c r="AF2823">
        <v>0</v>
      </c>
      <c r="AG2823">
        <v>0</v>
      </c>
      <c r="AH2823">
        <v>0</v>
      </c>
    </row>
    <row r="2824" spans="1:34" x14ac:dyDescent="0.35">
      <c r="A2824" t="s">
        <v>37</v>
      </c>
      <c r="B2824" s="1">
        <v>46146.65625</v>
      </c>
      <c r="C2824" t="s">
        <v>37</v>
      </c>
      <c r="D2824" s="1">
        <v>46157.354166666664</v>
      </c>
      <c r="E2824">
        <v>7960</v>
      </c>
      <c r="F2824" t="s">
        <v>36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1</v>
      </c>
      <c r="M2824">
        <v>741.1</v>
      </c>
      <c r="N2824">
        <v>2</v>
      </c>
      <c r="O2824">
        <v>760.6</v>
      </c>
      <c r="P2824">
        <v>0</v>
      </c>
      <c r="Q2824">
        <v>0</v>
      </c>
      <c r="R2824">
        <v>0</v>
      </c>
      <c r="S2824">
        <v>0</v>
      </c>
      <c r="T2824">
        <v>0.33029999999999998</v>
      </c>
      <c r="U2824">
        <v>-0.95740000000000003</v>
      </c>
      <c r="V2824">
        <v>2.0000000000000001E-4</v>
      </c>
      <c r="W2824">
        <v>-1.5223</v>
      </c>
      <c r="X2824">
        <v>1.1520999999999999</v>
      </c>
      <c r="Y2824">
        <v>-2.2551000000000001</v>
      </c>
      <c r="Z2824">
        <v>2</v>
      </c>
      <c r="AA2824">
        <v>743.9</v>
      </c>
      <c r="AB2824">
        <v>1</v>
      </c>
      <c r="AC2824">
        <v>766.7</v>
      </c>
      <c r="AD2824">
        <v>0</v>
      </c>
      <c r="AE2824">
        <v>0</v>
      </c>
      <c r="AF2824">
        <v>0</v>
      </c>
      <c r="AG2824">
        <v>0</v>
      </c>
      <c r="AH2824">
        <v>0</v>
      </c>
    </row>
    <row r="2825" spans="1:34" x14ac:dyDescent="0.35">
      <c r="A2825" t="s">
        <v>37</v>
      </c>
      <c r="B2825" s="1">
        <v>46146.65625</v>
      </c>
      <c r="C2825" t="s">
        <v>37</v>
      </c>
      <c r="D2825" s="1">
        <v>46157.354166666664</v>
      </c>
      <c r="E2825">
        <v>7975</v>
      </c>
      <c r="F2825" t="s">
        <v>36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1</v>
      </c>
      <c r="M2825">
        <v>757.3</v>
      </c>
      <c r="N2825">
        <v>1</v>
      </c>
      <c r="O2825">
        <v>776.3</v>
      </c>
      <c r="P2825">
        <v>0</v>
      </c>
      <c r="Q2825">
        <v>0</v>
      </c>
      <c r="R2825">
        <v>0</v>
      </c>
      <c r="S2825">
        <v>0</v>
      </c>
      <c r="T2825">
        <v>0.3407</v>
      </c>
      <c r="U2825">
        <v>-0.95530000000000004</v>
      </c>
      <c r="V2825">
        <v>2.0000000000000001E-4</v>
      </c>
      <c r="W2825">
        <v>-1.6382000000000001</v>
      </c>
      <c r="X2825">
        <v>1.1934</v>
      </c>
      <c r="Y2825">
        <v>-2.2557999999999998</v>
      </c>
      <c r="Z2825">
        <v>1</v>
      </c>
      <c r="AA2825">
        <v>758.2</v>
      </c>
      <c r="AB2825">
        <v>2</v>
      </c>
      <c r="AC2825">
        <v>776.6</v>
      </c>
      <c r="AD2825">
        <v>0</v>
      </c>
      <c r="AE2825">
        <v>0</v>
      </c>
      <c r="AF2825">
        <v>0</v>
      </c>
      <c r="AG2825">
        <v>0</v>
      </c>
      <c r="AH2825">
        <v>0</v>
      </c>
    </row>
    <row r="2826" spans="1:34" x14ac:dyDescent="0.35">
      <c r="A2826" t="s">
        <v>37</v>
      </c>
      <c r="B2826" s="1">
        <v>46146.65625</v>
      </c>
      <c r="C2826" t="s">
        <v>37</v>
      </c>
      <c r="D2826" s="1">
        <v>46157.354166666664</v>
      </c>
      <c r="E2826">
        <v>8000</v>
      </c>
      <c r="F2826" t="s">
        <v>36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6</v>
      </c>
      <c r="M2826">
        <v>790.5</v>
      </c>
      <c r="N2826">
        <v>6</v>
      </c>
      <c r="O2826">
        <v>794.5</v>
      </c>
      <c r="P2826">
        <v>0</v>
      </c>
      <c r="Q2826">
        <v>0</v>
      </c>
      <c r="R2826">
        <v>0</v>
      </c>
      <c r="S2826">
        <v>0</v>
      </c>
      <c r="T2826">
        <v>0.2319</v>
      </c>
      <c r="U2826">
        <v>-0.99539999999999995</v>
      </c>
      <c r="V2826">
        <v>1E-4</v>
      </c>
      <c r="W2826">
        <v>-6.0900000000000003E-2</v>
      </c>
      <c r="X2826">
        <v>0.18479999999999999</v>
      </c>
      <c r="Y2826">
        <v>-2.3441999999999998</v>
      </c>
      <c r="Z2826">
        <v>6</v>
      </c>
      <c r="AA2826">
        <v>790</v>
      </c>
      <c r="AB2826">
        <v>6</v>
      </c>
      <c r="AC2826">
        <v>797.8</v>
      </c>
      <c r="AD2826">
        <v>0</v>
      </c>
      <c r="AE2826">
        <v>0</v>
      </c>
      <c r="AF2826">
        <v>0</v>
      </c>
      <c r="AG2826">
        <v>2735</v>
      </c>
      <c r="AH2826">
        <v>0</v>
      </c>
    </row>
    <row r="2827" spans="1:34" x14ac:dyDescent="0.35">
      <c r="A2827" t="s">
        <v>37</v>
      </c>
      <c r="B2827" s="1">
        <v>46146.65625</v>
      </c>
      <c r="C2827" t="s">
        <v>37</v>
      </c>
      <c r="D2827" s="1">
        <v>46157.354166666664</v>
      </c>
      <c r="E2827">
        <v>8025</v>
      </c>
      <c r="F2827" t="s">
        <v>36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1</v>
      </c>
      <c r="M2827">
        <v>807.2</v>
      </c>
      <c r="N2827">
        <v>2</v>
      </c>
      <c r="O2827">
        <v>825.4</v>
      </c>
      <c r="P2827">
        <v>0</v>
      </c>
      <c r="Q2827">
        <v>0</v>
      </c>
      <c r="R2827">
        <v>0</v>
      </c>
      <c r="S2827">
        <v>0</v>
      </c>
      <c r="T2827">
        <v>0.34960000000000002</v>
      </c>
      <c r="U2827">
        <v>-0.96060000000000001</v>
      </c>
      <c r="V2827">
        <v>2.0000000000000001E-4</v>
      </c>
      <c r="W2827">
        <v>-1.4953000000000001</v>
      </c>
      <c r="X2827">
        <v>1.0787</v>
      </c>
      <c r="Y2827">
        <v>-2.2816000000000001</v>
      </c>
      <c r="Z2827">
        <v>2</v>
      </c>
      <c r="AA2827">
        <v>808.6</v>
      </c>
      <c r="AB2827">
        <v>1</v>
      </c>
      <c r="AC2827">
        <v>831.6</v>
      </c>
      <c r="AD2827">
        <v>0</v>
      </c>
      <c r="AE2827">
        <v>0</v>
      </c>
      <c r="AF2827">
        <v>0</v>
      </c>
      <c r="AG2827">
        <v>0</v>
      </c>
      <c r="AH2827">
        <v>0</v>
      </c>
    </row>
    <row r="2828" spans="1:34" x14ac:dyDescent="0.35">
      <c r="A2828" t="s">
        <v>37</v>
      </c>
      <c r="B2828" s="1">
        <v>46146.65625</v>
      </c>
      <c r="C2828" t="s">
        <v>37</v>
      </c>
      <c r="D2828" s="1">
        <v>46157.354166666664</v>
      </c>
      <c r="E2828">
        <v>8050</v>
      </c>
      <c r="F2828" t="s">
        <v>36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1</v>
      </c>
      <c r="M2828">
        <v>832.1</v>
      </c>
      <c r="N2828">
        <v>3</v>
      </c>
      <c r="O2828">
        <v>851.2</v>
      </c>
      <c r="P2828">
        <v>0</v>
      </c>
      <c r="Q2828">
        <v>0</v>
      </c>
      <c r="R2828">
        <v>0</v>
      </c>
      <c r="S2828">
        <v>0</v>
      </c>
      <c r="T2828">
        <v>0.36449999999999999</v>
      </c>
      <c r="U2828">
        <v>-0.95850000000000002</v>
      </c>
      <c r="V2828">
        <v>2.0000000000000001E-4</v>
      </c>
      <c r="W2828">
        <v>-1.6374</v>
      </c>
      <c r="X2828">
        <v>1.1234999999999999</v>
      </c>
      <c r="Y2828">
        <v>-2.2847</v>
      </c>
      <c r="Z2828">
        <v>1</v>
      </c>
      <c r="AA2828">
        <v>833.1</v>
      </c>
      <c r="AB2828">
        <v>2</v>
      </c>
      <c r="AC2828">
        <v>851.2</v>
      </c>
      <c r="AD2828">
        <v>0</v>
      </c>
      <c r="AE2828">
        <v>0</v>
      </c>
      <c r="AF2828">
        <v>0</v>
      </c>
      <c r="AG2828">
        <v>0</v>
      </c>
      <c r="AH2828">
        <v>0</v>
      </c>
    </row>
    <row r="2829" spans="1:34" x14ac:dyDescent="0.35">
      <c r="A2829" t="s">
        <v>37</v>
      </c>
      <c r="B2829" s="1">
        <v>46146.65625</v>
      </c>
      <c r="C2829" t="s">
        <v>37</v>
      </c>
      <c r="D2829" s="1">
        <v>46157.354166666664</v>
      </c>
      <c r="E2829">
        <v>8075</v>
      </c>
      <c r="F2829" t="s">
        <v>36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1</v>
      </c>
      <c r="M2829">
        <v>857.1</v>
      </c>
      <c r="N2829">
        <v>2</v>
      </c>
      <c r="O2829">
        <v>876.4</v>
      </c>
      <c r="P2829">
        <v>0</v>
      </c>
      <c r="Q2829">
        <v>0</v>
      </c>
      <c r="R2829">
        <v>0</v>
      </c>
      <c r="S2829">
        <v>0</v>
      </c>
      <c r="T2829">
        <v>0.36880000000000002</v>
      </c>
      <c r="U2829">
        <v>-0.96099999999999997</v>
      </c>
      <c r="V2829">
        <v>2.0000000000000001E-4</v>
      </c>
      <c r="W2829">
        <v>-1.5610999999999999</v>
      </c>
      <c r="X2829">
        <v>1.0669</v>
      </c>
      <c r="Y2829">
        <v>-2.2972000000000001</v>
      </c>
      <c r="Z2829">
        <v>1</v>
      </c>
      <c r="AA2829">
        <v>858.1</v>
      </c>
      <c r="AB2829">
        <v>2</v>
      </c>
      <c r="AC2829">
        <v>876.4</v>
      </c>
      <c r="AD2829">
        <v>0</v>
      </c>
      <c r="AE2829">
        <v>0</v>
      </c>
      <c r="AF2829">
        <v>0</v>
      </c>
      <c r="AG2829">
        <v>0</v>
      </c>
      <c r="AH2829">
        <v>0</v>
      </c>
    </row>
    <row r="2830" spans="1:34" x14ac:dyDescent="0.35">
      <c r="A2830" t="s">
        <v>37</v>
      </c>
      <c r="B2830" s="1">
        <v>46146.65625</v>
      </c>
      <c r="C2830" t="s">
        <v>37</v>
      </c>
      <c r="D2830" s="1">
        <v>46157.354166666664</v>
      </c>
      <c r="E2830">
        <v>8100</v>
      </c>
      <c r="F2830" t="s">
        <v>36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1</v>
      </c>
      <c r="M2830">
        <v>881.2</v>
      </c>
      <c r="N2830">
        <v>2</v>
      </c>
      <c r="O2830">
        <v>902.5</v>
      </c>
      <c r="P2830">
        <v>0</v>
      </c>
      <c r="Q2830">
        <v>0</v>
      </c>
      <c r="R2830">
        <v>0</v>
      </c>
      <c r="S2830">
        <v>0</v>
      </c>
      <c r="T2830">
        <v>0.38950000000000001</v>
      </c>
      <c r="U2830">
        <v>-0.95650000000000002</v>
      </c>
      <c r="V2830">
        <v>2.0000000000000001E-4</v>
      </c>
      <c r="W2830">
        <v>-1.8268</v>
      </c>
      <c r="X2830">
        <v>1.1632</v>
      </c>
      <c r="Y2830">
        <v>-2.2953999999999999</v>
      </c>
      <c r="Z2830">
        <v>1</v>
      </c>
      <c r="AA2830">
        <v>883</v>
      </c>
      <c r="AB2830">
        <v>2</v>
      </c>
      <c r="AC2830">
        <v>902.6</v>
      </c>
      <c r="AD2830">
        <v>0</v>
      </c>
      <c r="AE2830">
        <v>0</v>
      </c>
      <c r="AF2830">
        <v>0</v>
      </c>
      <c r="AG2830">
        <v>0</v>
      </c>
      <c r="AH2830">
        <v>0</v>
      </c>
    </row>
    <row r="2831" spans="1:34" x14ac:dyDescent="0.35">
      <c r="A2831" t="s">
        <v>37</v>
      </c>
      <c r="B2831" s="1">
        <v>46146.65625</v>
      </c>
      <c r="C2831" t="s">
        <v>37</v>
      </c>
      <c r="D2831" s="1">
        <v>46157.354166666664</v>
      </c>
      <c r="E2831">
        <v>8125</v>
      </c>
      <c r="F2831" t="s">
        <v>36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1</v>
      </c>
      <c r="M2831">
        <v>907</v>
      </c>
      <c r="N2831">
        <v>1</v>
      </c>
      <c r="O2831">
        <v>926.1</v>
      </c>
      <c r="P2831">
        <v>0</v>
      </c>
      <c r="Q2831">
        <v>0</v>
      </c>
      <c r="R2831">
        <v>0</v>
      </c>
      <c r="S2831">
        <v>0</v>
      </c>
      <c r="T2831">
        <v>0.38879999999999998</v>
      </c>
      <c r="U2831">
        <v>-0.9607</v>
      </c>
      <c r="V2831">
        <v>2.0000000000000001E-4</v>
      </c>
      <c r="W2831">
        <v>-1.6578999999999999</v>
      </c>
      <c r="X2831">
        <v>1.0717000000000001</v>
      </c>
      <c r="Y2831">
        <v>-2.3117999999999999</v>
      </c>
      <c r="Z2831">
        <v>1</v>
      </c>
      <c r="AA2831">
        <v>908</v>
      </c>
      <c r="AB2831">
        <v>2</v>
      </c>
      <c r="AC2831">
        <v>926.3</v>
      </c>
      <c r="AD2831">
        <v>0</v>
      </c>
      <c r="AE2831">
        <v>0</v>
      </c>
      <c r="AF2831">
        <v>0</v>
      </c>
      <c r="AG2831">
        <v>0</v>
      </c>
      <c r="AH2831">
        <v>0</v>
      </c>
    </row>
    <row r="2832" spans="1:34" x14ac:dyDescent="0.35">
      <c r="A2832" t="s">
        <v>37</v>
      </c>
      <c r="B2832" s="1">
        <v>46146.65625</v>
      </c>
      <c r="C2832" t="s">
        <v>37</v>
      </c>
      <c r="D2832" s="1">
        <v>46157.354166666664</v>
      </c>
      <c r="E2832">
        <v>8150</v>
      </c>
      <c r="F2832" t="s">
        <v>36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1</v>
      </c>
      <c r="M2832">
        <v>932</v>
      </c>
      <c r="N2832">
        <v>2</v>
      </c>
      <c r="O2832">
        <v>950.7</v>
      </c>
      <c r="P2832">
        <v>0</v>
      </c>
      <c r="Q2832">
        <v>0</v>
      </c>
      <c r="R2832">
        <v>0</v>
      </c>
      <c r="S2832">
        <v>0</v>
      </c>
      <c r="T2832">
        <v>0.39439999999999997</v>
      </c>
      <c r="U2832">
        <v>-0.96230000000000004</v>
      </c>
      <c r="V2832">
        <v>2.0000000000000001E-4</v>
      </c>
      <c r="W2832">
        <v>-1.6175999999999999</v>
      </c>
      <c r="X2832">
        <v>1.0356000000000001</v>
      </c>
      <c r="Y2832">
        <v>-2.3224999999999998</v>
      </c>
      <c r="Z2832">
        <v>2</v>
      </c>
      <c r="AA2832">
        <v>934</v>
      </c>
      <c r="AB2832">
        <v>1</v>
      </c>
      <c r="AC2832">
        <v>956.4</v>
      </c>
      <c r="AD2832">
        <v>0</v>
      </c>
      <c r="AE2832">
        <v>0</v>
      </c>
      <c r="AF2832">
        <v>0</v>
      </c>
      <c r="AG2832">
        <v>0</v>
      </c>
      <c r="AH2832">
        <v>0</v>
      </c>
    </row>
    <row r="2833" spans="1:34" x14ac:dyDescent="0.35">
      <c r="A2833" t="s">
        <v>37</v>
      </c>
      <c r="B2833" s="1">
        <v>46146.65625</v>
      </c>
      <c r="C2833" t="s">
        <v>37</v>
      </c>
      <c r="D2833" s="1">
        <v>46157.354166666664</v>
      </c>
      <c r="E2833">
        <v>8175</v>
      </c>
      <c r="F2833" t="s">
        <v>36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1</v>
      </c>
      <c r="M2833">
        <v>956.9</v>
      </c>
      <c r="N2833">
        <v>1</v>
      </c>
      <c r="O2833">
        <v>976</v>
      </c>
      <c r="P2833">
        <v>0</v>
      </c>
      <c r="Q2833">
        <v>0</v>
      </c>
      <c r="R2833">
        <v>0</v>
      </c>
      <c r="S2833">
        <v>0</v>
      </c>
      <c r="T2833">
        <v>0.40439999999999998</v>
      </c>
      <c r="U2833">
        <v>-0.96220000000000006</v>
      </c>
      <c r="V2833">
        <v>2.0000000000000001E-4</v>
      </c>
      <c r="W2833">
        <v>-1.6636</v>
      </c>
      <c r="X2833">
        <v>1.0375000000000001</v>
      </c>
      <c r="Y2833">
        <v>-2.3298000000000001</v>
      </c>
      <c r="Z2833">
        <v>1</v>
      </c>
      <c r="AA2833">
        <v>957.9</v>
      </c>
      <c r="AB2833">
        <v>2</v>
      </c>
      <c r="AC2833">
        <v>976.4</v>
      </c>
      <c r="AD2833">
        <v>0</v>
      </c>
      <c r="AE2833">
        <v>0</v>
      </c>
      <c r="AF2833">
        <v>0</v>
      </c>
      <c r="AG2833">
        <v>0</v>
      </c>
      <c r="AH2833">
        <v>0</v>
      </c>
    </row>
    <row r="2834" spans="1:34" x14ac:dyDescent="0.35">
      <c r="A2834" t="s">
        <v>37</v>
      </c>
      <c r="B2834" s="1">
        <v>46146.65625</v>
      </c>
      <c r="C2834" t="s">
        <v>37</v>
      </c>
      <c r="D2834" s="1">
        <v>46157.354166666664</v>
      </c>
      <c r="E2834">
        <v>8200</v>
      </c>
      <c r="F2834" t="s">
        <v>36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1</v>
      </c>
      <c r="M2834">
        <v>981.9</v>
      </c>
      <c r="N2834">
        <v>1</v>
      </c>
      <c r="O2834">
        <v>1001</v>
      </c>
      <c r="P2834">
        <v>0</v>
      </c>
      <c r="Q2834">
        <v>0</v>
      </c>
      <c r="R2834">
        <v>0</v>
      </c>
      <c r="S2834">
        <v>0</v>
      </c>
      <c r="T2834">
        <v>0.41389999999999999</v>
      </c>
      <c r="U2834">
        <v>-0.96220000000000006</v>
      </c>
      <c r="V2834">
        <v>2.0000000000000001E-4</v>
      </c>
      <c r="W2834">
        <v>-1.7016</v>
      </c>
      <c r="X2834">
        <v>1.0362</v>
      </c>
      <c r="Y2834">
        <v>-2.3372999999999999</v>
      </c>
      <c r="Z2834">
        <v>1</v>
      </c>
      <c r="AA2834">
        <v>982.9</v>
      </c>
      <c r="AB2834">
        <v>2</v>
      </c>
      <c r="AC2834">
        <v>1002.4</v>
      </c>
      <c r="AD2834">
        <v>0</v>
      </c>
      <c r="AE2834">
        <v>0</v>
      </c>
      <c r="AF2834">
        <v>0</v>
      </c>
      <c r="AG2834">
        <v>0</v>
      </c>
      <c r="AH2834">
        <v>0</v>
      </c>
    </row>
    <row r="2835" spans="1:34" x14ac:dyDescent="0.35">
      <c r="A2835" t="s">
        <v>37</v>
      </c>
      <c r="B2835" s="1">
        <v>46146.65625</v>
      </c>
      <c r="C2835" t="s">
        <v>37</v>
      </c>
      <c r="D2835" s="1">
        <v>46157.354166666664</v>
      </c>
      <c r="E2835">
        <v>8225</v>
      </c>
      <c r="F2835" t="s">
        <v>36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1</v>
      </c>
      <c r="M2835">
        <v>1007.4</v>
      </c>
      <c r="N2835">
        <v>2</v>
      </c>
      <c r="O2835">
        <v>1025.2</v>
      </c>
      <c r="P2835">
        <v>0</v>
      </c>
      <c r="Q2835">
        <v>0</v>
      </c>
      <c r="R2835">
        <v>0</v>
      </c>
      <c r="S2835">
        <v>0</v>
      </c>
      <c r="T2835">
        <v>0.40500000000000003</v>
      </c>
      <c r="U2835">
        <v>-0.96879999999999999</v>
      </c>
      <c r="V2835">
        <v>1E-4</v>
      </c>
      <c r="W2835">
        <v>-1.3874</v>
      </c>
      <c r="X2835">
        <v>0.88759999999999994</v>
      </c>
      <c r="Y2835">
        <v>-2.3576999999999999</v>
      </c>
      <c r="Z2835">
        <v>2</v>
      </c>
      <c r="AA2835">
        <v>1008.5</v>
      </c>
      <c r="AB2835">
        <v>1</v>
      </c>
      <c r="AC2835">
        <v>1031.3</v>
      </c>
      <c r="AD2835">
        <v>0</v>
      </c>
      <c r="AE2835">
        <v>0</v>
      </c>
      <c r="AF2835">
        <v>0</v>
      </c>
      <c r="AG2835">
        <v>0</v>
      </c>
      <c r="AH2835">
        <v>0</v>
      </c>
    </row>
    <row r="2836" spans="1:34" x14ac:dyDescent="0.35">
      <c r="A2836" t="s">
        <v>37</v>
      </c>
      <c r="B2836" s="1">
        <v>46146.65625</v>
      </c>
      <c r="C2836" t="s">
        <v>37</v>
      </c>
      <c r="D2836" s="1">
        <v>46157.354166666664</v>
      </c>
      <c r="E2836">
        <v>8250</v>
      </c>
      <c r="F2836" t="s">
        <v>36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1</v>
      </c>
      <c r="M2836">
        <v>1030.4000000000001</v>
      </c>
      <c r="N2836">
        <v>2</v>
      </c>
      <c r="O2836">
        <v>1050.2</v>
      </c>
      <c r="P2836">
        <v>0</v>
      </c>
      <c r="Q2836">
        <v>0</v>
      </c>
      <c r="R2836">
        <v>0</v>
      </c>
      <c r="S2836">
        <v>0</v>
      </c>
      <c r="T2836">
        <v>0.42159999999999997</v>
      </c>
      <c r="U2836">
        <v>-0.96619999999999995</v>
      </c>
      <c r="V2836">
        <v>1E-4</v>
      </c>
      <c r="W2836">
        <v>-1.5588</v>
      </c>
      <c r="X2836">
        <v>0.94520000000000004</v>
      </c>
      <c r="Y2836">
        <v>-2.36</v>
      </c>
      <c r="Z2836">
        <v>2</v>
      </c>
      <c r="AA2836">
        <v>1033.4000000000001</v>
      </c>
      <c r="AB2836">
        <v>1</v>
      </c>
      <c r="AC2836">
        <v>1056.3</v>
      </c>
      <c r="AD2836">
        <v>0</v>
      </c>
      <c r="AE2836">
        <v>0</v>
      </c>
      <c r="AF2836">
        <v>0</v>
      </c>
      <c r="AG2836">
        <v>0</v>
      </c>
      <c r="AH2836">
        <v>0</v>
      </c>
    </row>
    <row r="2837" spans="1:34" x14ac:dyDescent="0.35">
      <c r="A2837" t="s">
        <v>37</v>
      </c>
      <c r="B2837" s="1">
        <v>46146.65625</v>
      </c>
      <c r="C2837" t="s">
        <v>37</v>
      </c>
      <c r="D2837" s="1">
        <v>46157.354166666664</v>
      </c>
      <c r="E2837">
        <v>8275</v>
      </c>
      <c r="F2837" t="s">
        <v>36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1</v>
      </c>
      <c r="M2837">
        <v>1056.7</v>
      </c>
      <c r="N2837">
        <v>2</v>
      </c>
      <c r="O2837">
        <v>1075.0999999999999</v>
      </c>
      <c r="P2837">
        <v>0</v>
      </c>
      <c r="Q2837">
        <v>0</v>
      </c>
      <c r="R2837">
        <v>0</v>
      </c>
      <c r="S2837">
        <v>0</v>
      </c>
      <c r="T2837">
        <v>0.42730000000000001</v>
      </c>
      <c r="U2837">
        <v>-0.96730000000000005</v>
      </c>
      <c r="V2837">
        <v>1E-4</v>
      </c>
      <c r="W2837">
        <v>-1.5275000000000001</v>
      </c>
      <c r="X2837">
        <v>0.91839999999999999</v>
      </c>
      <c r="Y2837">
        <v>-2.3700999999999999</v>
      </c>
      <c r="Z2837">
        <v>2</v>
      </c>
      <c r="AA2837">
        <v>1058.4000000000001</v>
      </c>
      <c r="AB2837">
        <v>1</v>
      </c>
      <c r="AC2837">
        <v>1081.3</v>
      </c>
      <c r="AD2837">
        <v>0</v>
      </c>
      <c r="AE2837">
        <v>0</v>
      </c>
      <c r="AF2837">
        <v>0</v>
      </c>
      <c r="AG2837">
        <v>0</v>
      </c>
      <c r="AH2837">
        <v>0</v>
      </c>
    </row>
    <row r="2838" spans="1:34" x14ac:dyDescent="0.35">
      <c r="A2838" t="s">
        <v>37</v>
      </c>
      <c r="B2838" s="1">
        <v>46146.65625</v>
      </c>
      <c r="C2838" t="s">
        <v>37</v>
      </c>
      <c r="D2838" s="1">
        <v>46157.354166666664</v>
      </c>
      <c r="E2838">
        <v>8300</v>
      </c>
      <c r="F2838" t="s">
        <v>36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1</v>
      </c>
      <c r="M2838">
        <v>1081.8</v>
      </c>
      <c r="N2838">
        <v>4</v>
      </c>
      <c r="O2838">
        <v>1102.3</v>
      </c>
      <c r="P2838">
        <v>0</v>
      </c>
      <c r="Q2838">
        <v>0</v>
      </c>
      <c r="R2838">
        <v>0</v>
      </c>
      <c r="S2838">
        <v>0</v>
      </c>
      <c r="T2838">
        <v>0.45200000000000001</v>
      </c>
      <c r="U2838">
        <v>-0.96230000000000004</v>
      </c>
      <c r="V2838">
        <v>2.0000000000000001E-4</v>
      </c>
      <c r="W2838">
        <v>-1.8511</v>
      </c>
      <c r="X2838">
        <v>1.0301</v>
      </c>
      <c r="Y2838">
        <v>-2.3672</v>
      </c>
      <c r="Z2838">
        <v>1</v>
      </c>
      <c r="AA2838">
        <v>1082.7</v>
      </c>
      <c r="AB2838">
        <v>2</v>
      </c>
      <c r="AC2838">
        <v>1102.3</v>
      </c>
      <c r="AD2838">
        <v>0</v>
      </c>
      <c r="AE2838">
        <v>0</v>
      </c>
      <c r="AF2838">
        <v>0</v>
      </c>
      <c r="AG2838">
        <v>0</v>
      </c>
      <c r="AH2838">
        <v>0</v>
      </c>
    </row>
    <row r="2839" spans="1:34" x14ac:dyDescent="0.35">
      <c r="A2839" t="s">
        <v>37</v>
      </c>
      <c r="B2839" s="1">
        <v>46146.65625</v>
      </c>
      <c r="C2839" t="s">
        <v>37</v>
      </c>
      <c r="D2839" s="1">
        <v>46157.354166666664</v>
      </c>
      <c r="E2839">
        <v>8325</v>
      </c>
      <c r="F2839" t="s">
        <v>36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1</v>
      </c>
      <c r="M2839">
        <v>1106</v>
      </c>
      <c r="N2839">
        <v>2</v>
      </c>
      <c r="O2839">
        <v>1125.0999999999999</v>
      </c>
      <c r="P2839">
        <v>0</v>
      </c>
      <c r="Q2839">
        <v>0</v>
      </c>
      <c r="R2839">
        <v>0</v>
      </c>
      <c r="S2839">
        <v>0</v>
      </c>
      <c r="T2839">
        <v>0.4446</v>
      </c>
      <c r="U2839">
        <v>-0.96760000000000002</v>
      </c>
      <c r="V2839">
        <v>1E-4</v>
      </c>
      <c r="W2839">
        <v>-1.5764</v>
      </c>
      <c r="X2839">
        <v>0.91110000000000002</v>
      </c>
      <c r="Y2839">
        <v>-2.3856000000000002</v>
      </c>
      <c r="Z2839">
        <v>2</v>
      </c>
      <c r="AA2839">
        <v>1108.3</v>
      </c>
      <c r="AB2839">
        <v>1</v>
      </c>
      <c r="AC2839">
        <v>1131.2</v>
      </c>
      <c r="AD2839">
        <v>0</v>
      </c>
      <c r="AE2839">
        <v>0</v>
      </c>
      <c r="AF2839">
        <v>0</v>
      </c>
      <c r="AG2839">
        <v>0</v>
      </c>
      <c r="AH2839">
        <v>0</v>
      </c>
    </row>
    <row r="2840" spans="1:34" x14ac:dyDescent="0.35">
      <c r="A2840" t="s">
        <v>37</v>
      </c>
      <c r="B2840" s="1">
        <v>46146.65625</v>
      </c>
      <c r="C2840" t="s">
        <v>37</v>
      </c>
      <c r="D2840" s="1">
        <v>46157.354166666664</v>
      </c>
      <c r="E2840">
        <v>8400</v>
      </c>
      <c r="F2840" t="s">
        <v>36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1</v>
      </c>
      <c r="M2840">
        <v>1181.5999999999999</v>
      </c>
      <c r="N2840">
        <v>2</v>
      </c>
      <c r="O2840">
        <v>1199.7</v>
      </c>
      <c r="P2840">
        <v>0</v>
      </c>
      <c r="Q2840">
        <v>0</v>
      </c>
      <c r="R2840">
        <v>0</v>
      </c>
      <c r="S2840">
        <v>0</v>
      </c>
      <c r="T2840">
        <v>0.46339999999999998</v>
      </c>
      <c r="U2840">
        <v>-0.97</v>
      </c>
      <c r="V2840">
        <v>1E-4</v>
      </c>
      <c r="W2840">
        <v>-1.5233000000000001</v>
      </c>
      <c r="X2840">
        <v>0.85460000000000003</v>
      </c>
      <c r="Y2840">
        <v>-2.4127999999999998</v>
      </c>
      <c r="Z2840">
        <v>2</v>
      </c>
      <c r="AA2840">
        <v>1182.9000000000001</v>
      </c>
      <c r="AB2840">
        <v>1</v>
      </c>
      <c r="AC2840">
        <v>1206</v>
      </c>
      <c r="AD2840">
        <v>0</v>
      </c>
      <c r="AE2840">
        <v>0</v>
      </c>
      <c r="AF2840">
        <v>0</v>
      </c>
      <c r="AG2840">
        <v>1</v>
      </c>
      <c r="AH2840">
        <v>0</v>
      </c>
    </row>
    <row r="2841" spans="1:34" x14ac:dyDescent="0.35">
      <c r="A2841" t="s">
        <v>37</v>
      </c>
      <c r="B2841" s="1">
        <v>46146.65625</v>
      </c>
      <c r="C2841" t="s">
        <v>37</v>
      </c>
      <c r="D2841" s="1">
        <v>46157.354166666664</v>
      </c>
      <c r="E2841">
        <v>8500</v>
      </c>
      <c r="F2841" t="s">
        <v>36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1</v>
      </c>
      <c r="M2841">
        <v>1280.5999999999999</v>
      </c>
      <c r="N2841">
        <v>1</v>
      </c>
      <c r="O2841">
        <v>1301.9000000000001</v>
      </c>
      <c r="P2841">
        <v>0</v>
      </c>
      <c r="Q2841">
        <v>0</v>
      </c>
      <c r="R2841">
        <v>0</v>
      </c>
      <c r="S2841">
        <v>0</v>
      </c>
      <c r="T2841">
        <v>0.51349999999999996</v>
      </c>
      <c r="U2841">
        <v>-0.96589999999999998</v>
      </c>
      <c r="V2841">
        <v>1E-4</v>
      </c>
      <c r="W2841">
        <v>-1.9079999999999999</v>
      </c>
      <c r="X2841">
        <v>0.94430000000000003</v>
      </c>
      <c r="Y2841">
        <v>-2.4342999999999999</v>
      </c>
      <c r="Z2841">
        <v>1</v>
      </c>
      <c r="AA2841">
        <v>1282.4000000000001</v>
      </c>
      <c r="AB2841">
        <v>2</v>
      </c>
      <c r="AC2841">
        <v>1302</v>
      </c>
      <c r="AD2841">
        <v>0</v>
      </c>
      <c r="AE2841">
        <v>0</v>
      </c>
      <c r="AF2841">
        <v>0</v>
      </c>
      <c r="AG2841">
        <v>7</v>
      </c>
      <c r="AH2841">
        <v>0</v>
      </c>
    </row>
    <row r="2842" spans="1:34" x14ac:dyDescent="0.35">
      <c r="A2842" t="s">
        <v>37</v>
      </c>
      <c r="B2842" s="1">
        <v>46146.65625</v>
      </c>
      <c r="C2842" t="s">
        <v>37</v>
      </c>
      <c r="D2842" s="1">
        <v>46157.354166666664</v>
      </c>
      <c r="E2842">
        <v>8600</v>
      </c>
      <c r="F2842" t="s">
        <v>36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1</v>
      </c>
      <c r="M2842">
        <v>1381.3</v>
      </c>
      <c r="N2842">
        <v>1</v>
      </c>
      <c r="O2842">
        <v>1400.4</v>
      </c>
      <c r="P2842">
        <v>0</v>
      </c>
      <c r="Q2842">
        <v>0</v>
      </c>
      <c r="R2842">
        <v>0</v>
      </c>
      <c r="S2842">
        <v>0</v>
      </c>
      <c r="T2842">
        <v>0.53180000000000005</v>
      </c>
      <c r="U2842">
        <v>-0.97030000000000005</v>
      </c>
      <c r="V2842">
        <v>1E-4</v>
      </c>
      <c r="W2842">
        <v>-1.7276</v>
      </c>
      <c r="X2842">
        <v>0.84370000000000001</v>
      </c>
      <c r="Y2842">
        <v>-2.4731999999999998</v>
      </c>
      <c r="Z2842">
        <v>1</v>
      </c>
      <c r="AA2842">
        <v>1382.3</v>
      </c>
      <c r="AB2842">
        <v>2</v>
      </c>
      <c r="AC2842">
        <v>1401.2</v>
      </c>
      <c r="AD2842">
        <v>0</v>
      </c>
      <c r="AE2842">
        <v>0</v>
      </c>
      <c r="AF2842">
        <v>0</v>
      </c>
      <c r="AG2842">
        <v>1</v>
      </c>
      <c r="AH2842">
        <v>0</v>
      </c>
    </row>
    <row r="2843" spans="1:34" x14ac:dyDescent="0.35">
      <c r="A2843" t="s">
        <v>37</v>
      </c>
      <c r="B2843" s="1">
        <v>46146.65625</v>
      </c>
      <c r="C2843" t="s">
        <v>37</v>
      </c>
      <c r="D2843" s="1">
        <v>46157.354166666664</v>
      </c>
      <c r="E2843">
        <v>8700</v>
      </c>
      <c r="F2843" t="s">
        <v>36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1</v>
      </c>
      <c r="M2843">
        <v>1481.2</v>
      </c>
      <c r="N2843">
        <v>2</v>
      </c>
      <c r="O2843">
        <v>1499.3</v>
      </c>
      <c r="P2843">
        <v>0</v>
      </c>
      <c r="Q2843">
        <v>0</v>
      </c>
      <c r="R2843">
        <v>0</v>
      </c>
      <c r="S2843">
        <v>0</v>
      </c>
      <c r="T2843">
        <v>0.54890000000000005</v>
      </c>
      <c r="U2843">
        <v>-0.97419999999999995</v>
      </c>
      <c r="V2843">
        <v>1E-4</v>
      </c>
      <c r="W2843">
        <v>-1.5516000000000001</v>
      </c>
      <c r="X2843">
        <v>0.75060000000000004</v>
      </c>
      <c r="Y2843">
        <v>-2.5108000000000001</v>
      </c>
      <c r="Z2843">
        <v>2</v>
      </c>
      <c r="AA2843">
        <v>1482.6</v>
      </c>
      <c r="AB2843">
        <v>1</v>
      </c>
      <c r="AC2843">
        <v>1505.6</v>
      </c>
      <c r="AD2843">
        <v>0</v>
      </c>
      <c r="AE2843">
        <v>0</v>
      </c>
      <c r="AF2843">
        <v>0</v>
      </c>
      <c r="AG2843">
        <v>0</v>
      </c>
      <c r="AH2843">
        <v>0</v>
      </c>
    </row>
    <row r="2844" spans="1:34" x14ac:dyDescent="0.35">
      <c r="A2844" t="s">
        <v>37</v>
      </c>
      <c r="B2844" s="1">
        <v>46146.65625</v>
      </c>
      <c r="C2844" t="s">
        <v>37</v>
      </c>
      <c r="D2844" s="1">
        <v>46157.354166666664</v>
      </c>
      <c r="E2844">
        <v>8800</v>
      </c>
      <c r="F2844" t="s">
        <v>36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1</v>
      </c>
      <c r="M2844">
        <v>1581.1</v>
      </c>
      <c r="N2844">
        <v>1</v>
      </c>
      <c r="O2844">
        <v>1600.1</v>
      </c>
      <c r="P2844">
        <v>0</v>
      </c>
      <c r="Q2844">
        <v>0</v>
      </c>
      <c r="R2844">
        <v>0</v>
      </c>
      <c r="S2844">
        <v>0</v>
      </c>
      <c r="T2844">
        <v>0.58899999999999997</v>
      </c>
      <c r="U2844">
        <v>-0.97250000000000003</v>
      </c>
      <c r="V2844">
        <v>1E-4</v>
      </c>
      <c r="W2844">
        <v>-1.7686999999999999</v>
      </c>
      <c r="X2844">
        <v>0.78849999999999998</v>
      </c>
      <c r="Y2844">
        <v>-2.5373999999999999</v>
      </c>
      <c r="Z2844">
        <v>1</v>
      </c>
      <c r="AA2844">
        <v>1582</v>
      </c>
      <c r="AB2844">
        <v>2</v>
      </c>
      <c r="AC2844">
        <v>1600.4</v>
      </c>
      <c r="AD2844">
        <v>0</v>
      </c>
      <c r="AE2844">
        <v>0</v>
      </c>
      <c r="AF2844">
        <v>0</v>
      </c>
      <c r="AG2844">
        <v>0</v>
      </c>
      <c r="AH2844">
        <v>0</v>
      </c>
    </row>
    <row r="2845" spans="1:34" x14ac:dyDescent="0.35">
      <c r="A2845" t="s">
        <v>37</v>
      </c>
      <c r="B2845" s="1">
        <v>46146.65625</v>
      </c>
      <c r="C2845" t="s">
        <v>37</v>
      </c>
      <c r="D2845" s="1">
        <v>46157.354166666664</v>
      </c>
      <c r="E2845">
        <v>8900</v>
      </c>
      <c r="F2845" t="s">
        <v>36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1</v>
      </c>
      <c r="M2845">
        <v>1680.9</v>
      </c>
      <c r="N2845">
        <v>2</v>
      </c>
      <c r="O2845">
        <v>1700.2</v>
      </c>
      <c r="P2845">
        <v>0</v>
      </c>
      <c r="Q2845">
        <v>0</v>
      </c>
      <c r="R2845">
        <v>0</v>
      </c>
      <c r="S2845">
        <v>0</v>
      </c>
      <c r="T2845">
        <v>0.61929999999999996</v>
      </c>
      <c r="U2845">
        <v>-0.97299999999999998</v>
      </c>
      <c r="V2845">
        <v>1E-4</v>
      </c>
      <c r="W2845">
        <v>-1.8289</v>
      </c>
      <c r="X2845">
        <v>0.77690000000000003</v>
      </c>
      <c r="Y2845">
        <v>-2.5680999999999998</v>
      </c>
      <c r="Z2845">
        <v>1</v>
      </c>
      <c r="AA2845">
        <v>1681.8</v>
      </c>
      <c r="AB2845">
        <v>2</v>
      </c>
      <c r="AC2845">
        <v>1700.2</v>
      </c>
      <c r="AD2845">
        <v>0</v>
      </c>
      <c r="AE2845">
        <v>0</v>
      </c>
      <c r="AF2845">
        <v>0</v>
      </c>
      <c r="AG2845">
        <v>0</v>
      </c>
      <c r="AH2845">
        <v>0</v>
      </c>
    </row>
    <row r="2846" spans="1:34" x14ac:dyDescent="0.35">
      <c r="A2846" t="s">
        <v>37</v>
      </c>
      <c r="B2846" s="1">
        <v>46146.65625</v>
      </c>
      <c r="C2846" t="s">
        <v>37</v>
      </c>
      <c r="D2846" s="1">
        <v>46157.354166666664</v>
      </c>
      <c r="E2846">
        <v>9000</v>
      </c>
      <c r="F2846" t="s">
        <v>36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1</v>
      </c>
      <c r="M2846">
        <v>1780.7</v>
      </c>
      <c r="N2846">
        <v>1</v>
      </c>
      <c r="O2846">
        <v>1799.8</v>
      </c>
      <c r="P2846">
        <v>0</v>
      </c>
      <c r="Q2846">
        <v>0</v>
      </c>
      <c r="R2846">
        <v>0</v>
      </c>
      <c r="S2846">
        <v>0</v>
      </c>
      <c r="T2846">
        <v>0.64239999999999997</v>
      </c>
      <c r="U2846">
        <v>-0.97470000000000001</v>
      </c>
      <c r="V2846">
        <v>1E-4</v>
      </c>
      <c r="W2846">
        <v>-1.7750999999999999</v>
      </c>
      <c r="X2846">
        <v>0.73450000000000004</v>
      </c>
      <c r="Y2846">
        <v>-2.6013999999999999</v>
      </c>
      <c r="Z2846">
        <v>1</v>
      </c>
      <c r="AA2846">
        <v>1781.7</v>
      </c>
      <c r="AB2846">
        <v>2</v>
      </c>
      <c r="AC2846">
        <v>1800.4</v>
      </c>
      <c r="AD2846">
        <v>0</v>
      </c>
      <c r="AE2846">
        <v>0</v>
      </c>
      <c r="AF2846">
        <v>0</v>
      </c>
      <c r="AG2846">
        <v>7</v>
      </c>
      <c r="AH2846">
        <v>0</v>
      </c>
    </row>
    <row r="2847" spans="1:34" x14ac:dyDescent="0.35">
      <c r="A2847" t="s">
        <v>37</v>
      </c>
      <c r="B2847" s="1">
        <v>46146.65625</v>
      </c>
      <c r="C2847" t="s">
        <v>37</v>
      </c>
      <c r="D2847" s="1">
        <v>46157.354166666664</v>
      </c>
      <c r="E2847">
        <v>9200</v>
      </c>
      <c r="F2847" t="s">
        <v>36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1</v>
      </c>
      <c r="M2847">
        <v>1979.9</v>
      </c>
      <c r="N2847">
        <v>1</v>
      </c>
      <c r="O2847">
        <v>1999.5</v>
      </c>
      <c r="P2847">
        <v>0</v>
      </c>
      <c r="Q2847">
        <v>0</v>
      </c>
      <c r="R2847">
        <v>0</v>
      </c>
      <c r="S2847">
        <v>0</v>
      </c>
      <c r="T2847">
        <v>0.69369999999999998</v>
      </c>
      <c r="U2847">
        <v>-0.97640000000000005</v>
      </c>
      <c r="V2847">
        <v>1E-4</v>
      </c>
      <c r="W2847">
        <v>-1.7763</v>
      </c>
      <c r="X2847">
        <v>0.68940000000000001</v>
      </c>
      <c r="Y2847">
        <v>-2.6646000000000001</v>
      </c>
      <c r="Z2847">
        <v>1</v>
      </c>
      <c r="AA2847">
        <v>1981.4</v>
      </c>
      <c r="AB2847">
        <v>2</v>
      </c>
      <c r="AC2847">
        <v>2001</v>
      </c>
      <c r="AD2847">
        <v>0</v>
      </c>
      <c r="AE2847">
        <v>0</v>
      </c>
      <c r="AF2847">
        <v>0</v>
      </c>
      <c r="AG2847">
        <v>1</v>
      </c>
      <c r="AH2847">
        <v>0</v>
      </c>
    </row>
    <row r="2848" spans="1:34" x14ac:dyDescent="0.35">
      <c r="A2848" t="s">
        <v>37</v>
      </c>
      <c r="B2848" s="1">
        <v>46146.65625</v>
      </c>
      <c r="C2848" t="s">
        <v>37</v>
      </c>
      <c r="D2848" s="1">
        <v>46157.354166666664</v>
      </c>
      <c r="E2848">
        <v>9600</v>
      </c>
      <c r="F2848" t="s">
        <v>36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1</v>
      </c>
      <c r="M2848">
        <v>2379.9</v>
      </c>
      <c r="N2848">
        <v>2</v>
      </c>
      <c r="O2848">
        <v>2398.6999999999998</v>
      </c>
      <c r="P2848">
        <v>0</v>
      </c>
      <c r="Q2848">
        <v>0</v>
      </c>
      <c r="R2848">
        <v>0</v>
      </c>
      <c r="S2848">
        <v>0</v>
      </c>
      <c r="T2848">
        <v>0.78759999999999997</v>
      </c>
      <c r="U2848">
        <v>-0.97970000000000002</v>
      </c>
      <c r="V2848">
        <v>1E-4</v>
      </c>
      <c r="W2848">
        <v>-1.7174</v>
      </c>
      <c r="X2848">
        <v>0.60709999999999997</v>
      </c>
      <c r="Y2848">
        <v>-2.7902999999999998</v>
      </c>
      <c r="Z2848">
        <v>2</v>
      </c>
      <c r="AA2848">
        <v>2381.9</v>
      </c>
      <c r="AB2848">
        <v>1</v>
      </c>
      <c r="AC2848">
        <v>2404.3000000000002</v>
      </c>
      <c r="AD2848">
        <v>0</v>
      </c>
      <c r="AE2848">
        <v>0</v>
      </c>
      <c r="AF2848">
        <v>0</v>
      </c>
      <c r="AG2848">
        <v>0</v>
      </c>
      <c r="AH2848">
        <v>0</v>
      </c>
    </row>
    <row r="2849" spans="1:34" x14ac:dyDescent="0.35">
      <c r="A2849" t="s">
        <v>37</v>
      </c>
      <c r="B2849" s="1">
        <v>46146.65625</v>
      </c>
      <c r="C2849" t="s">
        <v>37</v>
      </c>
      <c r="D2849" s="1">
        <v>46157.354166666664</v>
      </c>
      <c r="E2849">
        <v>10000</v>
      </c>
      <c r="F2849" t="s">
        <v>36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1</v>
      </c>
      <c r="M2849">
        <v>2779.3</v>
      </c>
      <c r="N2849">
        <v>2</v>
      </c>
      <c r="O2849">
        <v>2798.2</v>
      </c>
      <c r="P2849">
        <v>0</v>
      </c>
      <c r="Q2849">
        <v>0</v>
      </c>
      <c r="R2849">
        <v>0</v>
      </c>
      <c r="S2849">
        <v>0</v>
      </c>
      <c r="T2849">
        <v>0.87770000000000004</v>
      </c>
      <c r="U2849">
        <v>-0.98180000000000001</v>
      </c>
      <c r="V2849">
        <v>0</v>
      </c>
      <c r="W2849">
        <v>-1.6861999999999999</v>
      </c>
      <c r="X2849">
        <v>0.55010000000000003</v>
      </c>
      <c r="Y2849">
        <v>-2.9138000000000002</v>
      </c>
      <c r="Z2849">
        <v>2</v>
      </c>
      <c r="AA2849">
        <v>2781.4</v>
      </c>
      <c r="AB2849">
        <v>1</v>
      </c>
      <c r="AC2849">
        <v>2803.8</v>
      </c>
      <c r="AD2849">
        <v>0</v>
      </c>
      <c r="AE2849">
        <v>0</v>
      </c>
      <c r="AF2849">
        <v>0</v>
      </c>
      <c r="AG2849">
        <v>672</v>
      </c>
      <c r="AH2849">
        <v>0</v>
      </c>
    </row>
    <row r="2850" spans="1:34" x14ac:dyDescent="0.35">
      <c r="A2850" t="s">
        <v>37</v>
      </c>
      <c r="B2850" s="1">
        <v>46146.65625</v>
      </c>
      <c r="C2850" t="s">
        <v>37</v>
      </c>
      <c r="D2850" s="1">
        <v>46157.354166666664</v>
      </c>
      <c r="E2850">
        <v>10400</v>
      </c>
      <c r="F2850" t="s">
        <v>36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1</v>
      </c>
      <c r="M2850">
        <v>3178.7</v>
      </c>
      <c r="N2850">
        <v>1</v>
      </c>
      <c r="O2850">
        <v>3197.8</v>
      </c>
      <c r="P2850">
        <v>0</v>
      </c>
      <c r="Q2850">
        <v>0</v>
      </c>
      <c r="R2850">
        <v>0</v>
      </c>
      <c r="S2850">
        <v>0</v>
      </c>
      <c r="T2850">
        <v>0.96909999999999996</v>
      </c>
      <c r="U2850">
        <v>-0.98280000000000001</v>
      </c>
      <c r="V2850">
        <v>0</v>
      </c>
      <c r="W2850">
        <v>-1.7397</v>
      </c>
      <c r="X2850">
        <v>0.52280000000000004</v>
      </c>
      <c r="Y2850">
        <v>-3.0350000000000001</v>
      </c>
      <c r="Z2850">
        <v>1</v>
      </c>
      <c r="AA2850">
        <v>3179.7</v>
      </c>
      <c r="AB2850">
        <v>1</v>
      </c>
      <c r="AC2850">
        <v>3203.2</v>
      </c>
      <c r="AD2850">
        <v>0</v>
      </c>
      <c r="AE2850">
        <v>0</v>
      </c>
      <c r="AF2850">
        <v>0</v>
      </c>
      <c r="AG2850">
        <v>19</v>
      </c>
      <c r="AH2850">
        <v>0</v>
      </c>
    </row>
    <row r="2851" spans="1:34" x14ac:dyDescent="0.35">
      <c r="A2851" t="s">
        <v>37</v>
      </c>
      <c r="B2851" s="1">
        <v>46146.65625</v>
      </c>
      <c r="C2851" t="s">
        <v>37</v>
      </c>
      <c r="D2851" s="1">
        <v>46157.354166666664</v>
      </c>
      <c r="E2851">
        <v>10800</v>
      </c>
      <c r="F2851" t="s">
        <v>36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1</v>
      </c>
      <c r="M2851">
        <v>3577.6</v>
      </c>
      <c r="N2851">
        <v>1</v>
      </c>
      <c r="O2851">
        <v>3597.2</v>
      </c>
      <c r="P2851">
        <v>0</v>
      </c>
      <c r="Q2851">
        <v>0</v>
      </c>
      <c r="R2851">
        <v>0</v>
      </c>
      <c r="S2851">
        <v>0</v>
      </c>
      <c r="T2851">
        <v>1.0497000000000001</v>
      </c>
      <c r="U2851">
        <v>-0.98419999999999996</v>
      </c>
      <c r="V2851">
        <v>0</v>
      </c>
      <c r="W2851">
        <v>-1.7020999999999999</v>
      </c>
      <c r="X2851">
        <v>0.48599999999999999</v>
      </c>
      <c r="Y2851">
        <v>-3.1568999999999998</v>
      </c>
      <c r="Z2851">
        <v>1</v>
      </c>
      <c r="AA2851">
        <v>3579.1</v>
      </c>
      <c r="AB2851">
        <v>1</v>
      </c>
      <c r="AC2851">
        <v>3602.6</v>
      </c>
      <c r="AD2851">
        <v>0</v>
      </c>
      <c r="AE2851">
        <v>0</v>
      </c>
      <c r="AF2851">
        <v>0</v>
      </c>
      <c r="AG2851">
        <v>0</v>
      </c>
      <c r="AH2851">
        <v>0</v>
      </c>
    </row>
    <row r="2852" spans="1:34" x14ac:dyDescent="0.35">
      <c r="A2852" t="s">
        <v>37</v>
      </c>
      <c r="B2852" s="1">
        <v>46146.65625</v>
      </c>
      <c r="C2852" t="s">
        <v>37</v>
      </c>
      <c r="D2852" s="1">
        <v>46157.354166666664</v>
      </c>
      <c r="E2852">
        <v>11200</v>
      </c>
      <c r="F2852" t="s">
        <v>36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1</v>
      </c>
      <c r="M2852">
        <v>3976.5</v>
      </c>
      <c r="N2852">
        <v>1</v>
      </c>
      <c r="O2852">
        <v>3998</v>
      </c>
      <c r="P2852">
        <v>0</v>
      </c>
      <c r="Q2852">
        <v>0</v>
      </c>
      <c r="R2852">
        <v>0</v>
      </c>
      <c r="S2852">
        <v>0</v>
      </c>
      <c r="T2852">
        <v>1.1437999999999999</v>
      </c>
      <c r="U2852">
        <v>-0.9839</v>
      </c>
      <c r="V2852">
        <v>0</v>
      </c>
      <c r="W2852">
        <v>-1.8818999999999999</v>
      </c>
      <c r="X2852">
        <v>0.49259999999999998</v>
      </c>
      <c r="Y2852">
        <v>-3.2753000000000001</v>
      </c>
      <c r="Z2852">
        <v>1</v>
      </c>
      <c r="AA2852">
        <v>3978.6</v>
      </c>
      <c r="AB2852">
        <v>1</v>
      </c>
      <c r="AC2852">
        <v>4002</v>
      </c>
      <c r="AD2852">
        <v>0</v>
      </c>
      <c r="AE2852">
        <v>0</v>
      </c>
      <c r="AF2852">
        <v>0</v>
      </c>
      <c r="AG2852">
        <v>2</v>
      </c>
      <c r="AH2852">
        <v>0</v>
      </c>
    </row>
    <row r="2853" spans="1:34" x14ac:dyDescent="0.35">
      <c r="A2853" t="s">
        <v>37</v>
      </c>
      <c r="B2853" s="1">
        <v>46146.65625</v>
      </c>
      <c r="C2853" t="s">
        <v>37</v>
      </c>
      <c r="D2853" s="1">
        <v>46157.354166666664</v>
      </c>
      <c r="E2853">
        <v>11600</v>
      </c>
      <c r="F2853" t="s">
        <v>36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1</v>
      </c>
      <c r="M2853">
        <v>4375.5</v>
      </c>
      <c r="N2853">
        <v>1</v>
      </c>
      <c r="O2853">
        <v>4396.3</v>
      </c>
      <c r="P2853">
        <v>0</v>
      </c>
      <c r="Q2853">
        <v>0</v>
      </c>
      <c r="R2853">
        <v>0</v>
      </c>
      <c r="S2853">
        <v>0</v>
      </c>
      <c r="T2853">
        <v>1.2045999999999999</v>
      </c>
      <c r="U2853">
        <v>-0.98580000000000001</v>
      </c>
      <c r="V2853">
        <v>0</v>
      </c>
      <c r="W2853">
        <v>-1.6873</v>
      </c>
      <c r="X2853">
        <v>0.44090000000000001</v>
      </c>
      <c r="Y2853">
        <v>-3.3980999999999999</v>
      </c>
      <c r="Z2853">
        <v>1</v>
      </c>
      <c r="AA2853">
        <v>4378</v>
      </c>
      <c r="AB2853">
        <v>1</v>
      </c>
      <c r="AC2853">
        <v>4401.5</v>
      </c>
      <c r="AD2853">
        <v>0</v>
      </c>
      <c r="AE2853">
        <v>0</v>
      </c>
      <c r="AF2853">
        <v>0</v>
      </c>
      <c r="AG2853">
        <v>0</v>
      </c>
      <c r="AH2853">
        <v>0</v>
      </c>
    </row>
    <row r="2854" spans="1:34" x14ac:dyDescent="0.35">
      <c r="A2854" t="s">
        <v>37</v>
      </c>
      <c r="B2854" s="1">
        <v>46146.65625</v>
      </c>
      <c r="C2854" t="s">
        <v>37</v>
      </c>
      <c r="D2854" s="1">
        <v>46157.354166666664</v>
      </c>
      <c r="E2854">
        <v>12000</v>
      </c>
      <c r="F2854" t="s">
        <v>36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1</v>
      </c>
      <c r="M2854">
        <v>4775.5</v>
      </c>
      <c r="N2854">
        <v>1</v>
      </c>
      <c r="O2854">
        <v>4796.8999999999996</v>
      </c>
      <c r="P2854">
        <v>0</v>
      </c>
      <c r="Q2854">
        <v>0</v>
      </c>
      <c r="R2854">
        <v>0</v>
      </c>
      <c r="S2854">
        <v>0</v>
      </c>
      <c r="T2854">
        <v>1.3126</v>
      </c>
      <c r="U2854">
        <v>-0.98399999999999999</v>
      </c>
      <c r="V2854">
        <v>0</v>
      </c>
      <c r="W2854">
        <v>-2.1177000000000001</v>
      </c>
      <c r="X2854">
        <v>0.48899999999999999</v>
      </c>
      <c r="Y2854">
        <v>-3.5137999999999998</v>
      </c>
      <c r="Z2854">
        <v>1</v>
      </c>
      <c r="AA2854">
        <v>4777.3999999999996</v>
      </c>
      <c r="AB2854">
        <v>1</v>
      </c>
      <c r="AC2854">
        <v>4800.8999999999996</v>
      </c>
      <c r="AD2854">
        <v>0</v>
      </c>
      <c r="AE2854">
        <v>0</v>
      </c>
      <c r="AF2854">
        <v>0</v>
      </c>
      <c r="AG2854">
        <v>2</v>
      </c>
      <c r="AH2854">
        <v>0</v>
      </c>
    </row>
    <row r="2855" spans="1:34" x14ac:dyDescent="0.35">
      <c r="A2855" t="s">
        <v>37</v>
      </c>
      <c r="B2855" s="1">
        <v>46146.65625</v>
      </c>
      <c r="C2855" t="s">
        <v>37</v>
      </c>
      <c r="D2855" s="1">
        <v>46157.354166666664</v>
      </c>
      <c r="E2855">
        <v>12400</v>
      </c>
      <c r="F2855" t="s">
        <v>36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1</v>
      </c>
      <c r="M2855">
        <v>5174.8999999999996</v>
      </c>
      <c r="N2855">
        <v>1</v>
      </c>
      <c r="O2855">
        <v>5196.2</v>
      </c>
      <c r="P2855">
        <v>0</v>
      </c>
      <c r="Q2855">
        <v>0</v>
      </c>
      <c r="R2855">
        <v>0</v>
      </c>
      <c r="S2855">
        <v>0</v>
      </c>
      <c r="T2855">
        <v>1.3634999999999999</v>
      </c>
      <c r="U2855">
        <v>-0.9859</v>
      </c>
      <c r="V2855">
        <v>0</v>
      </c>
      <c r="W2855">
        <v>-1.8651</v>
      </c>
      <c r="X2855">
        <v>0.437</v>
      </c>
      <c r="Y2855">
        <v>-3.637</v>
      </c>
      <c r="Z2855">
        <v>1</v>
      </c>
      <c r="AA2855">
        <v>5176.8999999999996</v>
      </c>
      <c r="AB2855">
        <v>1</v>
      </c>
      <c r="AC2855">
        <v>5200.3</v>
      </c>
      <c r="AD2855">
        <v>0</v>
      </c>
      <c r="AE2855">
        <v>0</v>
      </c>
      <c r="AF2855">
        <v>0</v>
      </c>
      <c r="AG2855">
        <v>2</v>
      </c>
      <c r="AH2855">
        <v>0</v>
      </c>
    </row>
    <row r="2856" spans="1:34" x14ac:dyDescent="0.35">
      <c r="A2856" t="s">
        <v>34</v>
      </c>
      <c r="B2856" s="1">
        <v>46146.65625</v>
      </c>
      <c r="C2856" t="s">
        <v>34</v>
      </c>
      <c r="D2856" s="1">
        <v>46157.625</v>
      </c>
      <c r="E2856">
        <v>1400</v>
      </c>
      <c r="F2856" t="s">
        <v>35</v>
      </c>
      <c r="G2856">
        <v>0.05</v>
      </c>
      <c r="H2856">
        <v>0.05</v>
      </c>
      <c r="I2856">
        <v>0.05</v>
      </c>
      <c r="J2856">
        <v>0.05</v>
      </c>
      <c r="K2856">
        <v>2</v>
      </c>
      <c r="L2856">
        <v>0</v>
      </c>
      <c r="M2856">
        <v>0</v>
      </c>
      <c r="N2856">
        <v>695</v>
      </c>
      <c r="O2856">
        <v>0.05</v>
      </c>
      <c r="P2856">
        <v>0</v>
      </c>
      <c r="Q2856">
        <v>0</v>
      </c>
      <c r="R2856">
        <v>0</v>
      </c>
      <c r="S2856">
        <v>0</v>
      </c>
      <c r="T2856">
        <v>2.5190999999999999</v>
      </c>
      <c r="U2856">
        <v>0</v>
      </c>
      <c r="V2856">
        <v>0</v>
      </c>
      <c r="W2856">
        <v>-1.44E-2</v>
      </c>
      <c r="X2856">
        <v>1.8E-3</v>
      </c>
      <c r="Y2856">
        <v>-1E-4</v>
      </c>
      <c r="Z2856">
        <v>0</v>
      </c>
      <c r="AA2856">
        <v>0</v>
      </c>
      <c r="AB2856">
        <v>35</v>
      </c>
      <c r="AC2856">
        <v>0.05</v>
      </c>
      <c r="AD2856">
        <v>0</v>
      </c>
      <c r="AE2856">
        <v>0</v>
      </c>
      <c r="AF2856">
        <v>0.05</v>
      </c>
      <c r="AG2856">
        <v>4129</v>
      </c>
      <c r="AH2856">
        <v>0</v>
      </c>
    </row>
    <row r="2857" spans="1:34" x14ac:dyDescent="0.35">
      <c r="A2857" t="s">
        <v>34</v>
      </c>
      <c r="B2857" s="1">
        <v>46146.65625</v>
      </c>
      <c r="C2857" t="s">
        <v>34</v>
      </c>
      <c r="D2857" s="1">
        <v>46157.625</v>
      </c>
      <c r="E2857">
        <v>1600</v>
      </c>
      <c r="F2857" t="s">
        <v>35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679</v>
      </c>
      <c r="O2857">
        <v>0.05</v>
      </c>
      <c r="P2857">
        <v>0</v>
      </c>
      <c r="Q2857">
        <v>0</v>
      </c>
      <c r="R2857">
        <v>0</v>
      </c>
      <c r="S2857">
        <v>0</v>
      </c>
      <c r="T2857">
        <v>2.3157999999999999</v>
      </c>
      <c r="U2857">
        <v>0</v>
      </c>
      <c r="V2857">
        <v>0</v>
      </c>
      <c r="W2857">
        <v>-1.43E-2</v>
      </c>
      <c r="X2857">
        <v>1.9E-3</v>
      </c>
      <c r="Y2857">
        <v>-1E-4</v>
      </c>
      <c r="Z2857">
        <v>0</v>
      </c>
      <c r="AA2857">
        <v>0</v>
      </c>
      <c r="AB2857">
        <v>33</v>
      </c>
      <c r="AC2857">
        <v>0.05</v>
      </c>
      <c r="AD2857">
        <v>0</v>
      </c>
      <c r="AE2857">
        <v>0</v>
      </c>
      <c r="AF2857">
        <v>0</v>
      </c>
      <c r="AG2857">
        <v>1438</v>
      </c>
      <c r="AH2857">
        <v>0</v>
      </c>
    </row>
    <row r="2858" spans="1:34" x14ac:dyDescent="0.35">
      <c r="A2858" t="s">
        <v>34</v>
      </c>
      <c r="B2858" s="1">
        <v>46146.65625</v>
      </c>
      <c r="C2858" t="s">
        <v>34</v>
      </c>
      <c r="D2858" s="1">
        <v>46157.625</v>
      </c>
      <c r="E2858">
        <v>1800</v>
      </c>
      <c r="F2858" t="s">
        <v>35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663</v>
      </c>
      <c r="O2858">
        <v>0.05</v>
      </c>
      <c r="P2858">
        <v>0</v>
      </c>
      <c r="Q2858">
        <v>0</v>
      </c>
      <c r="R2858">
        <v>0</v>
      </c>
      <c r="S2858">
        <v>0</v>
      </c>
      <c r="T2858">
        <v>2.137</v>
      </c>
      <c r="U2858">
        <v>0</v>
      </c>
      <c r="V2858">
        <v>0</v>
      </c>
      <c r="W2858">
        <v>-1.43E-2</v>
      </c>
      <c r="X2858">
        <v>2.0999999999999999E-3</v>
      </c>
      <c r="Y2858">
        <v>-1E-4</v>
      </c>
      <c r="Z2858">
        <v>0</v>
      </c>
      <c r="AA2858">
        <v>0</v>
      </c>
      <c r="AB2858">
        <v>576</v>
      </c>
      <c r="AC2858">
        <v>0.1</v>
      </c>
      <c r="AD2858">
        <v>0</v>
      </c>
      <c r="AE2858">
        <v>0</v>
      </c>
      <c r="AF2858">
        <v>0</v>
      </c>
      <c r="AG2858">
        <v>835</v>
      </c>
      <c r="AH2858">
        <v>0</v>
      </c>
    </row>
    <row r="2859" spans="1:34" x14ac:dyDescent="0.35">
      <c r="A2859" t="s">
        <v>34</v>
      </c>
      <c r="B2859" s="1">
        <v>46146.65625</v>
      </c>
      <c r="C2859" t="s">
        <v>34</v>
      </c>
      <c r="D2859" s="1">
        <v>46157.625</v>
      </c>
      <c r="E2859">
        <v>2000</v>
      </c>
      <c r="F2859" t="s">
        <v>35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975</v>
      </c>
      <c r="O2859">
        <v>0.05</v>
      </c>
      <c r="P2859">
        <v>0</v>
      </c>
      <c r="Q2859">
        <v>0</v>
      </c>
      <c r="R2859">
        <v>0</v>
      </c>
      <c r="S2859">
        <v>0</v>
      </c>
      <c r="T2859">
        <v>1.9774</v>
      </c>
      <c r="U2859">
        <v>-1E-4</v>
      </c>
      <c r="V2859">
        <v>0</v>
      </c>
      <c r="W2859">
        <v>-1.43E-2</v>
      </c>
      <c r="X2859">
        <v>2.3E-3</v>
      </c>
      <c r="Y2859">
        <v>-1E-4</v>
      </c>
      <c r="Z2859">
        <v>0</v>
      </c>
      <c r="AA2859">
        <v>0</v>
      </c>
      <c r="AB2859">
        <v>444</v>
      </c>
      <c r="AC2859">
        <v>0.05</v>
      </c>
      <c r="AD2859">
        <v>0</v>
      </c>
      <c r="AE2859">
        <v>0</v>
      </c>
      <c r="AF2859">
        <v>0</v>
      </c>
      <c r="AG2859">
        <v>729</v>
      </c>
      <c r="AH2859">
        <v>0</v>
      </c>
    </row>
    <row r="2860" spans="1:34" x14ac:dyDescent="0.35">
      <c r="A2860" t="s">
        <v>34</v>
      </c>
      <c r="B2860" s="1">
        <v>46146.65625</v>
      </c>
      <c r="C2860" t="s">
        <v>34</v>
      </c>
      <c r="D2860" s="1">
        <v>46157.625</v>
      </c>
      <c r="E2860">
        <v>2200</v>
      </c>
      <c r="F2860" t="s">
        <v>35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592</v>
      </c>
      <c r="O2860">
        <v>0.05</v>
      </c>
      <c r="P2860">
        <v>0</v>
      </c>
      <c r="Q2860">
        <v>0</v>
      </c>
      <c r="R2860">
        <v>0</v>
      </c>
      <c r="S2860">
        <v>0</v>
      </c>
      <c r="T2860">
        <v>1.8331</v>
      </c>
      <c r="U2860">
        <v>-1E-4</v>
      </c>
      <c r="V2860">
        <v>0</v>
      </c>
      <c r="W2860">
        <v>-1.43E-2</v>
      </c>
      <c r="X2860">
        <v>2.3999999999999998E-3</v>
      </c>
      <c r="Y2860">
        <v>-1E-4</v>
      </c>
      <c r="Z2860">
        <v>0</v>
      </c>
      <c r="AA2860">
        <v>0</v>
      </c>
      <c r="AB2860">
        <v>609</v>
      </c>
      <c r="AC2860">
        <v>0.1</v>
      </c>
      <c r="AD2860">
        <v>0</v>
      </c>
      <c r="AE2860">
        <v>0</v>
      </c>
      <c r="AF2860">
        <v>0</v>
      </c>
      <c r="AG2860">
        <v>155</v>
      </c>
      <c r="AH2860">
        <v>0</v>
      </c>
    </row>
    <row r="2861" spans="1:34" x14ac:dyDescent="0.35">
      <c r="A2861" t="s">
        <v>34</v>
      </c>
      <c r="B2861" s="1">
        <v>46146.65625</v>
      </c>
      <c r="C2861" t="s">
        <v>34</v>
      </c>
      <c r="D2861" s="1">
        <v>46157.625</v>
      </c>
      <c r="E2861">
        <v>2400</v>
      </c>
      <c r="F2861" t="s">
        <v>35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565</v>
      </c>
      <c r="O2861">
        <v>0.05</v>
      </c>
      <c r="P2861">
        <v>0</v>
      </c>
      <c r="Q2861">
        <v>0</v>
      </c>
      <c r="R2861">
        <v>0</v>
      </c>
      <c r="S2861">
        <v>0</v>
      </c>
      <c r="T2861">
        <v>1.702</v>
      </c>
      <c r="U2861">
        <v>-1E-4</v>
      </c>
      <c r="V2861">
        <v>0</v>
      </c>
      <c r="W2861">
        <v>-1.43E-2</v>
      </c>
      <c r="X2861">
        <v>2.5999999999999999E-3</v>
      </c>
      <c r="Y2861">
        <v>-1E-4</v>
      </c>
      <c r="Z2861">
        <v>0</v>
      </c>
      <c r="AA2861">
        <v>0</v>
      </c>
      <c r="AB2861">
        <v>597</v>
      </c>
      <c r="AC2861">
        <v>0.1</v>
      </c>
      <c r="AD2861">
        <v>0</v>
      </c>
      <c r="AE2861">
        <v>0</v>
      </c>
      <c r="AF2861">
        <v>0</v>
      </c>
      <c r="AG2861">
        <v>290</v>
      </c>
      <c r="AH2861">
        <v>0</v>
      </c>
    </row>
    <row r="2862" spans="1:34" x14ac:dyDescent="0.35">
      <c r="A2862" t="s">
        <v>34</v>
      </c>
      <c r="B2862" s="1">
        <v>46146.65625</v>
      </c>
      <c r="C2862" t="s">
        <v>34</v>
      </c>
      <c r="D2862" s="1">
        <v>46157.625</v>
      </c>
      <c r="E2862">
        <v>2600</v>
      </c>
      <c r="F2862" t="s">
        <v>35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528</v>
      </c>
      <c r="O2862">
        <v>0.05</v>
      </c>
      <c r="P2862">
        <v>0</v>
      </c>
      <c r="Q2862">
        <v>0</v>
      </c>
      <c r="R2862">
        <v>0</v>
      </c>
      <c r="S2862">
        <v>0</v>
      </c>
      <c r="T2862">
        <v>1.5811999999999999</v>
      </c>
      <c r="U2862">
        <v>-1E-4</v>
      </c>
      <c r="V2862">
        <v>0</v>
      </c>
      <c r="W2862">
        <v>-1.4200000000000001E-2</v>
      </c>
      <c r="X2862">
        <v>2.8E-3</v>
      </c>
      <c r="Y2862">
        <v>-1E-4</v>
      </c>
      <c r="Z2862">
        <v>0</v>
      </c>
      <c r="AA2862">
        <v>0</v>
      </c>
      <c r="AB2862">
        <v>582</v>
      </c>
      <c r="AC2862">
        <v>0.1</v>
      </c>
      <c r="AD2862">
        <v>0</v>
      </c>
      <c r="AE2862">
        <v>0</v>
      </c>
      <c r="AF2862">
        <v>0</v>
      </c>
      <c r="AG2862">
        <v>399</v>
      </c>
      <c r="AH2862">
        <v>0</v>
      </c>
    </row>
    <row r="2863" spans="1:34" x14ac:dyDescent="0.35">
      <c r="A2863" t="s">
        <v>34</v>
      </c>
      <c r="B2863" s="1">
        <v>46146.65625</v>
      </c>
      <c r="C2863" t="s">
        <v>34</v>
      </c>
      <c r="D2863" s="1">
        <v>46157.625</v>
      </c>
      <c r="E2863">
        <v>2800</v>
      </c>
      <c r="F2863" t="s">
        <v>35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519</v>
      </c>
      <c r="O2863">
        <v>0.05</v>
      </c>
      <c r="P2863">
        <v>0</v>
      </c>
      <c r="Q2863">
        <v>0</v>
      </c>
      <c r="R2863">
        <v>0</v>
      </c>
      <c r="S2863">
        <v>0</v>
      </c>
      <c r="T2863">
        <v>1.4695</v>
      </c>
      <c r="U2863">
        <v>-1E-4</v>
      </c>
      <c r="V2863">
        <v>0</v>
      </c>
      <c r="W2863">
        <v>-1.4200000000000001E-2</v>
      </c>
      <c r="X2863">
        <v>3.0000000000000001E-3</v>
      </c>
      <c r="Y2863">
        <v>-1E-4</v>
      </c>
      <c r="Z2863">
        <v>0</v>
      </c>
      <c r="AA2863">
        <v>0</v>
      </c>
      <c r="AB2863">
        <v>67</v>
      </c>
      <c r="AC2863">
        <v>0.05</v>
      </c>
      <c r="AD2863">
        <v>0</v>
      </c>
      <c r="AE2863">
        <v>0</v>
      </c>
      <c r="AF2863">
        <v>0</v>
      </c>
      <c r="AG2863">
        <v>2197</v>
      </c>
      <c r="AH2863">
        <v>0</v>
      </c>
    </row>
    <row r="2864" spans="1:34" x14ac:dyDescent="0.35">
      <c r="A2864" t="s">
        <v>34</v>
      </c>
      <c r="B2864" s="1">
        <v>46146.65625</v>
      </c>
      <c r="C2864" t="s">
        <v>34</v>
      </c>
      <c r="D2864" s="1">
        <v>46157.625</v>
      </c>
      <c r="E2864">
        <v>3000</v>
      </c>
      <c r="F2864" t="s">
        <v>35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515</v>
      </c>
      <c r="O2864">
        <v>0.05</v>
      </c>
      <c r="P2864">
        <v>0</v>
      </c>
      <c r="Q2864">
        <v>0</v>
      </c>
      <c r="R2864">
        <v>0</v>
      </c>
      <c r="S2864">
        <v>0</v>
      </c>
      <c r="T2864">
        <v>1.3654999999999999</v>
      </c>
      <c r="U2864">
        <v>-1E-4</v>
      </c>
      <c r="V2864">
        <v>0</v>
      </c>
      <c r="W2864">
        <v>-1.4200000000000001E-2</v>
      </c>
      <c r="X2864">
        <v>3.3E-3</v>
      </c>
      <c r="Y2864">
        <v>-1E-4</v>
      </c>
      <c r="Z2864">
        <v>0</v>
      </c>
      <c r="AA2864">
        <v>0</v>
      </c>
      <c r="AB2864">
        <v>581</v>
      </c>
      <c r="AC2864">
        <v>0.1</v>
      </c>
      <c r="AD2864">
        <v>0</v>
      </c>
      <c r="AE2864">
        <v>0</v>
      </c>
      <c r="AF2864">
        <v>0</v>
      </c>
      <c r="AG2864">
        <v>840</v>
      </c>
      <c r="AH2864">
        <v>0</v>
      </c>
    </row>
    <row r="2865" spans="1:34" x14ac:dyDescent="0.35">
      <c r="A2865" t="s">
        <v>34</v>
      </c>
      <c r="B2865" s="1">
        <v>46146.65625</v>
      </c>
      <c r="C2865" t="s">
        <v>34</v>
      </c>
      <c r="D2865" s="1">
        <v>46157.625</v>
      </c>
      <c r="E2865">
        <v>3200</v>
      </c>
      <c r="F2865" t="s">
        <v>35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431</v>
      </c>
      <c r="O2865">
        <v>0.05</v>
      </c>
      <c r="P2865">
        <v>0</v>
      </c>
      <c r="Q2865">
        <v>0</v>
      </c>
      <c r="R2865">
        <v>0</v>
      </c>
      <c r="S2865">
        <v>0</v>
      </c>
      <c r="T2865">
        <v>1.2682</v>
      </c>
      <c r="U2865">
        <v>-1E-4</v>
      </c>
      <c r="V2865">
        <v>0</v>
      </c>
      <c r="W2865">
        <v>-1.41E-2</v>
      </c>
      <c r="X2865">
        <v>3.5000000000000001E-3</v>
      </c>
      <c r="Y2865">
        <v>-2.0000000000000001E-4</v>
      </c>
      <c r="Z2865">
        <v>0</v>
      </c>
      <c r="AA2865">
        <v>0</v>
      </c>
      <c r="AB2865">
        <v>559</v>
      </c>
      <c r="AC2865">
        <v>0.1</v>
      </c>
      <c r="AD2865">
        <v>0</v>
      </c>
      <c r="AE2865">
        <v>0</v>
      </c>
      <c r="AF2865">
        <v>0</v>
      </c>
      <c r="AG2865">
        <v>4341</v>
      </c>
      <c r="AH2865">
        <v>0</v>
      </c>
    </row>
    <row r="2866" spans="1:34" x14ac:dyDescent="0.35">
      <c r="A2866" t="s">
        <v>34</v>
      </c>
      <c r="B2866" s="1">
        <v>46146.65625</v>
      </c>
      <c r="C2866" t="s">
        <v>34</v>
      </c>
      <c r="D2866" s="1">
        <v>46157.625</v>
      </c>
      <c r="E2866">
        <v>3300</v>
      </c>
      <c r="F2866" t="s">
        <v>35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392</v>
      </c>
      <c r="O2866">
        <v>0.05</v>
      </c>
      <c r="P2866">
        <v>0</v>
      </c>
      <c r="Q2866">
        <v>0</v>
      </c>
      <c r="R2866">
        <v>0</v>
      </c>
      <c r="S2866">
        <v>0</v>
      </c>
      <c r="T2866">
        <v>1.2217</v>
      </c>
      <c r="U2866">
        <v>-1E-4</v>
      </c>
      <c r="V2866">
        <v>0</v>
      </c>
      <c r="W2866">
        <v>-1.41E-2</v>
      </c>
      <c r="X2866">
        <v>3.5999999999999999E-3</v>
      </c>
      <c r="Y2866">
        <v>-2.0000000000000001E-4</v>
      </c>
      <c r="Z2866">
        <v>0</v>
      </c>
      <c r="AA2866">
        <v>0</v>
      </c>
      <c r="AB2866">
        <v>545</v>
      </c>
      <c r="AC2866">
        <v>0.1</v>
      </c>
      <c r="AD2866">
        <v>0</v>
      </c>
      <c r="AE2866">
        <v>0</v>
      </c>
      <c r="AF2866">
        <v>0</v>
      </c>
      <c r="AG2866">
        <v>811</v>
      </c>
      <c r="AH2866">
        <v>0</v>
      </c>
    </row>
    <row r="2867" spans="1:34" x14ac:dyDescent="0.35">
      <c r="A2867" t="s">
        <v>34</v>
      </c>
      <c r="B2867" s="1">
        <v>46146.65625</v>
      </c>
      <c r="C2867" t="s">
        <v>34</v>
      </c>
      <c r="D2867" s="1">
        <v>46157.625</v>
      </c>
      <c r="E2867">
        <v>3400</v>
      </c>
      <c r="F2867" t="s">
        <v>35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338</v>
      </c>
      <c r="O2867">
        <v>0.05</v>
      </c>
      <c r="P2867">
        <v>0</v>
      </c>
      <c r="Q2867">
        <v>0</v>
      </c>
      <c r="R2867">
        <v>0</v>
      </c>
      <c r="S2867">
        <v>0</v>
      </c>
      <c r="T2867">
        <v>1.1767000000000001</v>
      </c>
      <c r="U2867">
        <v>-1E-4</v>
      </c>
      <c r="V2867">
        <v>0</v>
      </c>
      <c r="W2867">
        <v>-1.41E-2</v>
      </c>
      <c r="X2867">
        <v>3.8E-3</v>
      </c>
      <c r="Y2867">
        <v>-2.0000000000000001E-4</v>
      </c>
      <c r="Z2867">
        <v>0</v>
      </c>
      <c r="AA2867">
        <v>0</v>
      </c>
      <c r="AB2867">
        <v>530</v>
      </c>
      <c r="AC2867">
        <v>0.1</v>
      </c>
      <c r="AD2867">
        <v>0</v>
      </c>
      <c r="AE2867">
        <v>0</v>
      </c>
      <c r="AF2867">
        <v>0</v>
      </c>
      <c r="AG2867">
        <v>1162</v>
      </c>
      <c r="AH2867">
        <v>0</v>
      </c>
    </row>
    <row r="2868" spans="1:34" x14ac:dyDescent="0.35">
      <c r="A2868" t="s">
        <v>34</v>
      </c>
      <c r="B2868" s="1">
        <v>46146.65625</v>
      </c>
      <c r="C2868" t="s">
        <v>34</v>
      </c>
      <c r="D2868" s="1">
        <v>46157.625</v>
      </c>
      <c r="E2868">
        <v>3500</v>
      </c>
      <c r="F2868" t="s">
        <v>35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320</v>
      </c>
      <c r="O2868">
        <v>0.05</v>
      </c>
      <c r="P2868">
        <v>0</v>
      </c>
      <c r="Q2868">
        <v>0</v>
      </c>
      <c r="R2868">
        <v>0</v>
      </c>
      <c r="S2868">
        <v>0</v>
      </c>
      <c r="T2868">
        <v>1.133</v>
      </c>
      <c r="U2868">
        <v>-1E-4</v>
      </c>
      <c r="V2868">
        <v>0</v>
      </c>
      <c r="W2868">
        <v>-1.41E-2</v>
      </c>
      <c r="X2868">
        <v>3.8999999999999998E-3</v>
      </c>
      <c r="Y2868">
        <v>-2.0000000000000001E-4</v>
      </c>
      <c r="Z2868">
        <v>0</v>
      </c>
      <c r="AA2868">
        <v>0</v>
      </c>
      <c r="AB2868">
        <v>515</v>
      </c>
      <c r="AC2868">
        <v>0.1</v>
      </c>
      <c r="AD2868">
        <v>0</v>
      </c>
      <c r="AE2868">
        <v>0</v>
      </c>
      <c r="AF2868">
        <v>0</v>
      </c>
      <c r="AG2868">
        <v>1798</v>
      </c>
      <c r="AH2868">
        <v>0</v>
      </c>
    </row>
    <row r="2869" spans="1:34" x14ac:dyDescent="0.35">
      <c r="A2869" t="s">
        <v>34</v>
      </c>
      <c r="B2869" s="1">
        <v>46146.65625</v>
      </c>
      <c r="C2869" t="s">
        <v>34</v>
      </c>
      <c r="D2869" s="1">
        <v>46157.625</v>
      </c>
      <c r="E2869">
        <v>3600</v>
      </c>
      <c r="F2869" t="s">
        <v>36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239</v>
      </c>
      <c r="O2869">
        <v>0.05</v>
      </c>
      <c r="P2869">
        <v>0</v>
      </c>
      <c r="Q2869">
        <v>0</v>
      </c>
      <c r="R2869">
        <v>0</v>
      </c>
      <c r="S2869">
        <v>0</v>
      </c>
      <c r="T2869">
        <v>1.0904</v>
      </c>
      <c r="U2869">
        <v>-1E-4</v>
      </c>
      <c r="V2869">
        <v>0</v>
      </c>
      <c r="W2869">
        <v>-1.4E-2</v>
      </c>
      <c r="X2869">
        <v>4.1000000000000003E-3</v>
      </c>
      <c r="Y2869">
        <v>-2.0000000000000001E-4</v>
      </c>
      <c r="Z2869">
        <v>0</v>
      </c>
      <c r="AA2869">
        <v>0</v>
      </c>
      <c r="AB2869">
        <v>493</v>
      </c>
      <c r="AC2869">
        <v>0.1</v>
      </c>
      <c r="AD2869">
        <v>0</v>
      </c>
      <c r="AE2869">
        <v>0</v>
      </c>
      <c r="AF2869">
        <v>0</v>
      </c>
      <c r="AG2869">
        <v>4797</v>
      </c>
      <c r="AH2869">
        <v>0</v>
      </c>
    </row>
    <row r="2870" spans="1:34" x14ac:dyDescent="0.35">
      <c r="A2870" t="s">
        <v>34</v>
      </c>
      <c r="B2870" s="1">
        <v>46146.65625</v>
      </c>
      <c r="C2870" t="s">
        <v>34</v>
      </c>
      <c r="D2870" s="1">
        <v>46157.625</v>
      </c>
      <c r="E2870">
        <v>3700</v>
      </c>
      <c r="F2870" t="s">
        <v>36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1050</v>
      </c>
      <c r="O2870">
        <v>0.1</v>
      </c>
      <c r="P2870">
        <v>0</v>
      </c>
      <c r="Q2870">
        <v>0</v>
      </c>
      <c r="R2870">
        <v>0</v>
      </c>
      <c r="S2870">
        <v>0</v>
      </c>
      <c r="T2870">
        <v>1.0953999999999999</v>
      </c>
      <c r="U2870">
        <v>-2.0000000000000001E-4</v>
      </c>
      <c r="V2870">
        <v>0</v>
      </c>
      <c r="W2870">
        <v>-2.6599999999999999E-2</v>
      </c>
      <c r="X2870">
        <v>7.4000000000000003E-3</v>
      </c>
      <c r="Y2870">
        <v>-2.9999999999999997E-4</v>
      </c>
      <c r="Z2870">
        <v>0</v>
      </c>
      <c r="AA2870">
        <v>0</v>
      </c>
      <c r="AB2870">
        <v>468</v>
      </c>
      <c r="AC2870">
        <v>0.1</v>
      </c>
      <c r="AD2870">
        <v>0</v>
      </c>
      <c r="AE2870">
        <v>0</v>
      </c>
      <c r="AF2870">
        <v>0</v>
      </c>
      <c r="AG2870">
        <v>2424</v>
      </c>
      <c r="AH2870">
        <v>0</v>
      </c>
    </row>
    <row r="2871" spans="1:34" x14ac:dyDescent="0.35">
      <c r="A2871" t="s">
        <v>34</v>
      </c>
      <c r="B2871" s="1">
        <v>46146.65625</v>
      </c>
      <c r="C2871" t="s">
        <v>34</v>
      </c>
      <c r="D2871" s="1">
        <v>46157.625</v>
      </c>
      <c r="E2871">
        <v>3800</v>
      </c>
      <c r="F2871" t="s">
        <v>36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196</v>
      </c>
      <c r="O2871">
        <v>0.05</v>
      </c>
      <c r="P2871">
        <v>0</v>
      </c>
      <c r="Q2871">
        <v>0</v>
      </c>
      <c r="R2871">
        <v>0</v>
      </c>
      <c r="S2871">
        <v>0</v>
      </c>
      <c r="T2871">
        <v>1.0086999999999999</v>
      </c>
      <c r="U2871">
        <v>-1E-4</v>
      </c>
      <c r="V2871">
        <v>0</v>
      </c>
      <c r="W2871">
        <v>-1.4E-2</v>
      </c>
      <c r="X2871">
        <v>4.4000000000000003E-3</v>
      </c>
      <c r="Y2871">
        <v>-2.0000000000000001E-4</v>
      </c>
      <c r="Z2871">
        <v>0</v>
      </c>
      <c r="AA2871">
        <v>0</v>
      </c>
      <c r="AB2871">
        <v>46</v>
      </c>
      <c r="AC2871">
        <v>0.05</v>
      </c>
      <c r="AD2871">
        <v>0</v>
      </c>
      <c r="AE2871">
        <v>0</v>
      </c>
      <c r="AF2871">
        <v>0</v>
      </c>
      <c r="AG2871">
        <v>825</v>
      </c>
      <c r="AH2871">
        <v>0</v>
      </c>
    </row>
    <row r="2872" spans="1:34" x14ac:dyDescent="0.35">
      <c r="A2872" t="s">
        <v>34</v>
      </c>
      <c r="B2872" s="1">
        <v>46146.65625</v>
      </c>
      <c r="C2872" t="s">
        <v>34</v>
      </c>
      <c r="D2872" s="1">
        <v>46157.625</v>
      </c>
      <c r="E2872">
        <v>3850</v>
      </c>
      <c r="F2872" t="s">
        <v>36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912</v>
      </c>
      <c r="O2872">
        <v>0.1</v>
      </c>
      <c r="P2872">
        <v>0</v>
      </c>
      <c r="Q2872">
        <v>0</v>
      </c>
      <c r="R2872">
        <v>0</v>
      </c>
      <c r="S2872">
        <v>0</v>
      </c>
      <c r="T2872">
        <v>1.0327</v>
      </c>
      <c r="U2872">
        <v>-2.0000000000000001E-4</v>
      </c>
      <c r="V2872">
        <v>0</v>
      </c>
      <c r="W2872">
        <v>-2.6599999999999999E-2</v>
      </c>
      <c r="X2872">
        <v>7.9000000000000008E-3</v>
      </c>
      <c r="Y2872">
        <v>-4.0000000000000002E-4</v>
      </c>
      <c r="Z2872">
        <v>0</v>
      </c>
      <c r="AA2872">
        <v>0</v>
      </c>
      <c r="AB2872">
        <v>421</v>
      </c>
      <c r="AC2872">
        <v>0.1</v>
      </c>
      <c r="AD2872">
        <v>0</v>
      </c>
      <c r="AE2872">
        <v>0</v>
      </c>
      <c r="AF2872">
        <v>0</v>
      </c>
      <c r="AG2872">
        <v>104</v>
      </c>
      <c r="AH2872">
        <v>0</v>
      </c>
    </row>
    <row r="2873" spans="1:34" x14ac:dyDescent="0.35">
      <c r="A2873" t="s">
        <v>34</v>
      </c>
      <c r="B2873" s="1">
        <v>46146.65625</v>
      </c>
      <c r="C2873" t="s">
        <v>34</v>
      </c>
      <c r="D2873" s="1">
        <v>46157.625</v>
      </c>
      <c r="E2873">
        <v>3900</v>
      </c>
      <c r="F2873" t="s">
        <v>36</v>
      </c>
      <c r="G2873">
        <v>0.08</v>
      </c>
      <c r="H2873">
        <v>0.08</v>
      </c>
      <c r="I2873">
        <v>0.08</v>
      </c>
      <c r="J2873">
        <v>0.08</v>
      </c>
      <c r="K2873">
        <v>6</v>
      </c>
      <c r="L2873">
        <v>0</v>
      </c>
      <c r="M2873">
        <v>0</v>
      </c>
      <c r="N2873">
        <v>43</v>
      </c>
      <c r="O2873">
        <v>0.05</v>
      </c>
      <c r="P2873">
        <v>0</v>
      </c>
      <c r="Q2873">
        <v>0</v>
      </c>
      <c r="R2873">
        <v>0</v>
      </c>
      <c r="S2873">
        <v>0</v>
      </c>
      <c r="T2873">
        <v>0.96940000000000004</v>
      </c>
      <c r="U2873">
        <v>-1E-4</v>
      </c>
      <c r="V2873">
        <v>0</v>
      </c>
      <c r="W2873">
        <v>-1.3899999999999999E-2</v>
      </c>
      <c r="X2873">
        <v>4.5999999999999999E-3</v>
      </c>
      <c r="Y2873">
        <v>-2.0000000000000001E-4</v>
      </c>
      <c r="Z2873">
        <v>0</v>
      </c>
      <c r="AA2873">
        <v>0</v>
      </c>
      <c r="AB2873">
        <v>43</v>
      </c>
      <c r="AC2873">
        <v>0.05</v>
      </c>
      <c r="AD2873">
        <v>0</v>
      </c>
      <c r="AE2873">
        <v>0</v>
      </c>
      <c r="AF2873">
        <v>0.08</v>
      </c>
      <c r="AG2873">
        <v>2094</v>
      </c>
      <c r="AH2873">
        <v>0</v>
      </c>
    </row>
    <row r="2874" spans="1:34" x14ac:dyDescent="0.35">
      <c r="A2874" t="s">
        <v>34</v>
      </c>
      <c r="B2874" s="1">
        <v>46146.65625</v>
      </c>
      <c r="C2874" t="s">
        <v>34</v>
      </c>
      <c r="D2874" s="1">
        <v>46157.625</v>
      </c>
      <c r="E2874">
        <v>3950</v>
      </c>
      <c r="F2874" t="s">
        <v>36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819</v>
      </c>
      <c r="O2874">
        <v>0.1</v>
      </c>
      <c r="P2874">
        <v>0</v>
      </c>
      <c r="Q2874">
        <v>0</v>
      </c>
      <c r="R2874">
        <v>0</v>
      </c>
      <c r="S2874">
        <v>0</v>
      </c>
      <c r="T2874">
        <v>0.99260000000000004</v>
      </c>
      <c r="U2874">
        <v>-2.0000000000000001E-4</v>
      </c>
      <c r="V2874">
        <v>0</v>
      </c>
      <c r="W2874">
        <v>-2.6499999999999999E-2</v>
      </c>
      <c r="X2874">
        <v>8.2000000000000007E-3</v>
      </c>
      <c r="Y2874">
        <v>-4.0000000000000002E-4</v>
      </c>
      <c r="Z2874">
        <v>0</v>
      </c>
      <c r="AA2874">
        <v>0</v>
      </c>
      <c r="AB2874">
        <v>263</v>
      </c>
      <c r="AC2874">
        <v>0.1</v>
      </c>
      <c r="AD2874">
        <v>0</v>
      </c>
      <c r="AE2874">
        <v>0</v>
      </c>
      <c r="AF2874">
        <v>0</v>
      </c>
      <c r="AG2874">
        <v>227</v>
      </c>
      <c r="AH2874">
        <v>0</v>
      </c>
    </row>
    <row r="2875" spans="1:34" x14ac:dyDescent="0.35">
      <c r="A2875" t="s">
        <v>34</v>
      </c>
      <c r="B2875" s="1">
        <v>46146.65625</v>
      </c>
      <c r="C2875" t="s">
        <v>34</v>
      </c>
      <c r="D2875" s="1">
        <v>46157.625</v>
      </c>
      <c r="E2875">
        <v>4000</v>
      </c>
      <c r="F2875" t="s">
        <v>36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562</v>
      </c>
      <c r="O2875">
        <v>0.05</v>
      </c>
      <c r="P2875">
        <v>0</v>
      </c>
      <c r="Q2875">
        <v>0</v>
      </c>
      <c r="R2875">
        <v>0</v>
      </c>
      <c r="S2875">
        <v>0</v>
      </c>
      <c r="T2875">
        <v>0.93100000000000005</v>
      </c>
      <c r="U2875">
        <v>-1E-4</v>
      </c>
      <c r="V2875">
        <v>0</v>
      </c>
      <c r="W2875">
        <v>-1.3899999999999999E-2</v>
      </c>
      <c r="X2875">
        <v>4.7999999999999996E-3</v>
      </c>
      <c r="Y2875">
        <v>-2.0000000000000001E-4</v>
      </c>
      <c r="Z2875">
        <v>0</v>
      </c>
      <c r="AA2875">
        <v>0</v>
      </c>
      <c r="AB2875">
        <v>557</v>
      </c>
      <c r="AC2875">
        <v>0.05</v>
      </c>
      <c r="AD2875">
        <v>0</v>
      </c>
      <c r="AE2875">
        <v>0</v>
      </c>
      <c r="AF2875">
        <v>0</v>
      </c>
      <c r="AG2875">
        <v>3681</v>
      </c>
      <c r="AH2875">
        <v>0</v>
      </c>
    </row>
    <row r="2876" spans="1:34" x14ac:dyDescent="0.35">
      <c r="A2876" t="s">
        <v>34</v>
      </c>
      <c r="B2876" s="1">
        <v>46146.65625</v>
      </c>
      <c r="C2876" t="s">
        <v>34</v>
      </c>
      <c r="D2876" s="1">
        <v>46157.625</v>
      </c>
      <c r="E2876">
        <v>4050</v>
      </c>
      <c r="F2876" t="s">
        <v>36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724</v>
      </c>
      <c r="O2876">
        <v>0.1</v>
      </c>
      <c r="P2876">
        <v>0</v>
      </c>
      <c r="Q2876">
        <v>0</v>
      </c>
      <c r="R2876">
        <v>0</v>
      </c>
      <c r="S2876">
        <v>0</v>
      </c>
      <c r="T2876">
        <v>0.95309999999999995</v>
      </c>
      <c r="U2876">
        <v>-2.0000000000000001E-4</v>
      </c>
      <c r="V2876">
        <v>0</v>
      </c>
      <c r="W2876">
        <v>-2.64E-2</v>
      </c>
      <c r="X2876">
        <v>8.5000000000000006E-3</v>
      </c>
      <c r="Y2876">
        <v>-4.0000000000000002E-4</v>
      </c>
      <c r="Z2876">
        <v>0</v>
      </c>
      <c r="AA2876">
        <v>0</v>
      </c>
      <c r="AB2876">
        <v>252</v>
      </c>
      <c r="AC2876">
        <v>0.1</v>
      </c>
      <c r="AD2876">
        <v>0</v>
      </c>
      <c r="AE2876">
        <v>0</v>
      </c>
      <c r="AF2876">
        <v>0</v>
      </c>
      <c r="AG2876">
        <v>980</v>
      </c>
      <c r="AH2876">
        <v>0</v>
      </c>
    </row>
    <row r="2877" spans="1:34" x14ac:dyDescent="0.35">
      <c r="A2877" t="s">
        <v>34</v>
      </c>
      <c r="B2877" s="1">
        <v>46146.65625</v>
      </c>
      <c r="C2877" t="s">
        <v>34</v>
      </c>
      <c r="D2877" s="1">
        <v>46157.625</v>
      </c>
      <c r="E2877">
        <v>4100</v>
      </c>
      <c r="F2877" t="s">
        <v>36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677</v>
      </c>
      <c r="O2877">
        <v>0.1</v>
      </c>
      <c r="P2877">
        <v>0</v>
      </c>
      <c r="Q2877">
        <v>0</v>
      </c>
      <c r="R2877">
        <v>0</v>
      </c>
      <c r="S2877">
        <v>0</v>
      </c>
      <c r="T2877">
        <v>0.93379999999999996</v>
      </c>
      <c r="U2877">
        <v>-2.0000000000000001E-4</v>
      </c>
      <c r="V2877">
        <v>0</v>
      </c>
      <c r="W2877">
        <v>-2.64E-2</v>
      </c>
      <c r="X2877">
        <v>8.6999999999999994E-3</v>
      </c>
      <c r="Y2877">
        <v>-4.0000000000000002E-4</v>
      </c>
      <c r="Z2877">
        <v>0</v>
      </c>
      <c r="AA2877">
        <v>0</v>
      </c>
      <c r="AB2877">
        <v>246</v>
      </c>
      <c r="AC2877">
        <v>0.1</v>
      </c>
      <c r="AD2877">
        <v>0</v>
      </c>
      <c r="AE2877">
        <v>0</v>
      </c>
      <c r="AF2877">
        <v>0</v>
      </c>
      <c r="AG2877">
        <v>951</v>
      </c>
      <c r="AH2877">
        <v>0</v>
      </c>
    </row>
    <row r="2878" spans="1:34" x14ac:dyDescent="0.35">
      <c r="A2878" t="s">
        <v>34</v>
      </c>
      <c r="B2878" s="1">
        <v>46146.65625</v>
      </c>
      <c r="C2878" t="s">
        <v>34</v>
      </c>
      <c r="D2878" s="1">
        <v>46157.625</v>
      </c>
      <c r="E2878">
        <v>4150</v>
      </c>
      <c r="F2878" t="s">
        <v>36</v>
      </c>
      <c r="G2878">
        <v>0.05</v>
      </c>
      <c r="H2878">
        <v>0.05</v>
      </c>
      <c r="I2878">
        <v>0.05</v>
      </c>
      <c r="J2878">
        <v>0.05</v>
      </c>
      <c r="K2878">
        <v>2</v>
      </c>
      <c r="L2878">
        <v>0</v>
      </c>
      <c r="M2878">
        <v>0</v>
      </c>
      <c r="N2878">
        <v>628</v>
      </c>
      <c r="O2878">
        <v>0.1</v>
      </c>
      <c r="P2878">
        <v>0</v>
      </c>
      <c r="Q2878">
        <v>0</v>
      </c>
      <c r="R2878">
        <v>0</v>
      </c>
      <c r="S2878">
        <v>0</v>
      </c>
      <c r="T2878">
        <v>0.91459999999999997</v>
      </c>
      <c r="U2878">
        <v>-2.0000000000000001E-4</v>
      </c>
      <c r="V2878">
        <v>0</v>
      </c>
      <c r="W2878">
        <v>-2.64E-2</v>
      </c>
      <c r="X2878">
        <v>8.8999999999999999E-3</v>
      </c>
      <c r="Y2878">
        <v>-4.0000000000000002E-4</v>
      </c>
      <c r="Z2878">
        <v>0</v>
      </c>
      <c r="AA2878">
        <v>0</v>
      </c>
      <c r="AB2878">
        <v>462</v>
      </c>
      <c r="AC2878">
        <v>0.15</v>
      </c>
      <c r="AD2878">
        <v>0</v>
      </c>
      <c r="AE2878">
        <v>0</v>
      </c>
      <c r="AF2878">
        <v>0.05</v>
      </c>
      <c r="AG2878">
        <v>585</v>
      </c>
      <c r="AH2878">
        <v>0</v>
      </c>
    </row>
    <row r="2879" spans="1:34" x14ac:dyDescent="0.35">
      <c r="A2879" t="s">
        <v>34</v>
      </c>
      <c r="B2879" s="1">
        <v>46146.65625</v>
      </c>
      <c r="C2879" t="s">
        <v>34</v>
      </c>
      <c r="D2879" s="1">
        <v>46157.625</v>
      </c>
      <c r="E2879">
        <v>4200</v>
      </c>
      <c r="F2879" t="s">
        <v>36</v>
      </c>
      <c r="G2879">
        <v>0.05</v>
      </c>
      <c r="H2879">
        <v>0.05</v>
      </c>
      <c r="I2879">
        <v>0.05</v>
      </c>
      <c r="J2879">
        <v>0.05</v>
      </c>
      <c r="K2879">
        <v>1</v>
      </c>
      <c r="L2879">
        <v>0</v>
      </c>
      <c r="M2879">
        <v>0</v>
      </c>
      <c r="N2879">
        <v>499</v>
      </c>
      <c r="O2879">
        <v>0.05</v>
      </c>
      <c r="P2879">
        <v>0</v>
      </c>
      <c r="Q2879">
        <v>0</v>
      </c>
      <c r="R2879">
        <v>0</v>
      </c>
      <c r="S2879">
        <v>0</v>
      </c>
      <c r="T2879">
        <v>0.85709999999999997</v>
      </c>
      <c r="U2879">
        <v>-1E-4</v>
      </c>
      <c r="V2879">
        <v>0</v>
      </c>
      <c r="W2879">
        <v>-1.3899999999999999E-2</v>
      </c>
      <c r="X2879">
        <v>5.1999999999999998E-3</v>
      </c>
      <c r="Y2879">
        <v>-2.0000000000000001E-4</v>
      </c>
      <c r="Z2879">
        <v>0</v>
      </c>
      <c r="AA2879">
        <v>0</v>
      </c>
      <c r="AB2879">
        <v>499</v>
      </c>
      <c r="AC2879">
        <v>0.05</v>
      </c>
      <c r="AD2879">
        <v>0</v>
      </c>
      <c r="AE2879">
        <v>0</v>
      </c>
      <c r="AF2879">
        <v>0.05</v>
      </c>
      <c r="AG2879">
        <v>4504</v>
      </c>
      <c r="AH2879">
        <v>0</v>
      </c>
    </row>
    <row r="2880" spans="1:34" x14ac:dyDescent="0.35">
      <c r="A2880" t="s">
        <v>34</v>
      </c>
      <c r="B2880" s="1">
        <v>46146.65625</v>
      </c>
      <c r="C2880" t="s">
        <v>34</v>
      </c>
      <c r="D2880" s="1">
        <v>46157.625</v>
      </c>
      <c r="E2880">
        <v>4250</v>
      </c>
      <c r="F2880" t="s">
        <v>36</v>
      </c>
      <c r="G2880">
        <v>0.05</v>
      </c>
      <c r="H2880">
        <v>0.05</v>
      </c>
      <c r="I2880">
        <v>0.05</v>
      </c>
      <c r="J2880">
        <v>0.05</v>
      </c>
      <c r="K2880">
        <v>1</v>
      </c>
      <c r="L2880">
        <v>0</v>
      </c>
      <c r="M2880">
        <v>0</v>
      </c>
      <c r="N2880">
        <v>494</v>
      </c>
      <c r="O2880">
        <v>0.1</v>
      </c>
      <c r="P2880">
        <v>0</v>
      </c>
      <c r="Q2880">
        <v>0</v>
      </c>
      <c r="R2880">
        <v>0</v>
      </c>
      <c r="S2880">
        <v>0</v>
      </c>
      <c r="T2880">
        <v>0.877</v>
      </c>
      <c r="U2880">
        <v>-2.0000000000000001E-4</v>
      </c>
      <c r="V2880">
        <v>0</v>
      </c>
      <c r="W2880">
        <v>-2.63E-2</v>
      </c>
      <c r="X2880">
        <v>9.2999999999999992E-3</v>
      </c>
      <c r="Y2880">
        <v>-4.0000000000000002E-4</v>
      </c>
      <c r="Z2880">
        <v>0</v>
      </c>
      <c r="AA2880">
        <v>0</v>
      </c>
      <c r="AB2880">
        <v>428</v>
      </c>
      <c r="AC2880">
        <v>0.15</v>
      </c>
      <c r="AD2880">
        <v>0</v>
      </c>
      <c r="AE2880">
        <v>0</v>
      </c>
      <c r="AF2880">
        <v>0.05</v>
      </c>
      <c r="AG2880">
        <v>186</v>
      </c>
      <c r="AH2880">
        <v>0</v>
      </c>
    </row>
    <row r="2881" spans="1:34" x14ac:dyDescent="0.35">
      <c r="A2881" t="s">
        <v>34</v>
      </c>
      <c r="B2881" s="1">
        <v>46146.65625</v>
      </c>
      <c r="C2881" t="s">
        <v>34</v>
      </c>
      <c r="D2881" s="1">
        <v>46157.625</v>
      </c>
      <c r="E2881">
        <v>4300</v>
      </c>
      <c r="F2881" t="s">
        <v>36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500</v>
      </c>
      <c r="O2881">
        <v>0.05</v>
      </c>
      <c r="P2881">
        <v>0</v>
      </c>
      <c r="Q2881">
        <v>0</v>
      </c>
      <c r="R2881">
        <v>0</v>
      </c>
      <c r="S2881">
        <v>0</v>
      </c>
      <c r="T2881">
        <v>0.82130000000000003</v>
      </c>
      <c r="U2881">
        <v>-1E-4</v>
      </c>
      <c r="V2881">
        <v>0</v>
      </c>
      <c r="W2881">
        <v>-1.38E-2</v>
      </c>
      <c r="X2881">
        <v>5.4000000000000003E-3</v>
      </c>
      <c r="Y2881">
        <v>-2.0000000000000001E-4</v>
      </c>
      <c r="Z2881">
        <v>0</v>
      </c>
      <c r="AA2881">
        <v>0</v>
      </c>
      <c r="AB2881">
        <v>500</v>
      </c>
      <c r="AC2881">
        <v>0.05</v>
      </c>
      <c r="AD2881">
        <v>0</v>
      </c>
      <c r="AE2881">
        <v>0</v>
      </c>
      <c r="AF2881">
        <v>0</v>
      </c>
      <c r="AG2881">
        <v>744</v>
      </c>
      <c r="AH2881">
        <v>0</v>
      </c>
    </row>
    <row r="2882" spans="1:34" x14ac:dyDescent="0.35">
      <c r="A2882" t="s">
        <v>34</v>
      </c>
      <c r="B2882" s="1">
        <v>46146.65625</v>
      </c>
      <c r="C2882" t="s">
        <v>34</v>
      </c>
      <c r="D2882" s="1">
        <v>46157.625</v>
      </c>
      <c r="E2882">
        <v>4350</v>
      </c>
      <c r="F2882" t="s">
        <v>36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150</v>
      </c>
      <c r="O2882">
        <v>0.1</v>
      </c>
      <c r="P2882">
        <v>0</v>
      </c>
      <c r="Q2882">
        <v>0</v>
      </c>
      <c r="R2882">
        <v>0</v>
      </c>
      <c r="S2882">
        <v>0</v>
      </c>
      <c r="T2882">
        <v>0.84019999999999995</v>
      </c>
      <c r="U2882">
        <v>-2.0000000000000001E-4</v>
      </c>
      <c r="V2882">
        <v>0</v>
      </c>
      <c r="W2882">
        <v>-2.6200000000000001E-2</v>
      </c>
      <c r="X2882">
        <v>9.5999999999999992E-3</v>
      </c>
      <c r="Y2882">
        <v>-4.0000000000000002E-4</v>
      </c>
      <c r="Z2882">
        <v>0</v>
      </c>
      <c r="AA2882">
        <v>0</v>
      </c>
      <c r="AB2882">
        <v>92</v>
      </c>
      <c r="AC2882">
        <v>0.1</v>
      </c>
      <c r="AD2882">
        <v>0</v>
      </c>
      <c r="AE2882">
        <v>0</v>
      </c>
      <c r="AF2882">
        <v>0</v>
      </c>
      <c r="AG2882">
        <v>308</v>
      </c>
      <c r="AH2882">
        <v>0</v>
      </c>
    </row>
    <row r="2883" spans="1:34" x14ac:dyDescent="0.35">
      <c r="A2883" t="s">
        <v>34</v>
      </c>
      <c r="B2883" s="1">
        <v>46146.65625</v>
      </c>
      <c r="C2883" t="s">
        <v>34</v>
      </c>
      <c r="D2883" s="1">
        <v>46157.625</v>
      </c>
      <c r="E2883">
        <v>4400</v>
      </c>
      <c r="F2883" t="s">
        <v>36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119</v>
      </c>
      <c r="O2883">
        <v>0.1</v>
      </c>
      <c r="P2883">
        <v>0</v>
      </c>
      <c r="Q2883">
        <v>0</v>
      </c>
      <c r="R2883">
        <v>0</v>
      </c>
      <c r="S2883">
        <v>0</v>
      </c>
      <c r="T2883">
        <v>0.82210000000000005</v>
      </c>
      <c r="U2883">
        <v>-2.0000000000000001E-4</v>
      </c>
      <c r="V2883">
        <v>0</v>
      </c>
      <c r="W2883">
        <v>-2.6200000000000001E-2</v>
      </c>
      <c r="X2883">
        <v>9.9000000000000008E-3</v>
      </c>
      <c r="Y2883">
        <v>-4.0000000000000002E-4</v>
      </c>
      <c r="Z2883">
        <v>0</v>
      </c>
      <c r="AA2883">
        <v>0</v>
      </c>
      <c r="AB2883">
        <v>423</v>
      </c>
      <c r="AC2883">
        <v>0.15</v>
      </c>
      <c r="AD2883">
        <v>0</v>
      </c>
      <c r="AE2883">
        <v>0</v>
      </c>
      <c r="AF2883">
        <v>0</v>
      </c>
      <c r="AG2883">
        <v>1249</v>
      </c>
      <c r="AH2883">
        <v>0</v>
      </c>
    </row>
    <row r="2884" spans="1:34" x14ac:dyDescent="0.35">
      <c r="A2884" t="s">
        <v>34</v>
      </c>
      <c r="B2884" s="1">
        <v>46146.65625</v>
      </c>
      <c r="C2884" t="s">
        <v>34</v>
      </c>
      <c r="D2884" s="1">
        <v>46157.625</v>
      </c>
      <c r="E2884">
        <v>4450</v>
      </c>
      <c r="F2884" t="s">
        <v>36</v>
      </c>
      <c r="G2884">
        <v>0.1</v>
      </c>
      <c r="H2884">
        <v>0.1</v>
      </c>
      <c r="I2884">
        <v>0.05</v>
      </c>
      <c r="J2884">
        <v>0.05</v>
      </c>
      <c r="K2884">
        <v>502</v>
      </c>
      <c r="L2884">
        <v>0</v>
      </c>
      <c r="M2884">
        <v>0</v>
      </c>
      <c r="N2884">
        <v>820</v>
      </c>
      <c r="O2884">
        <v>0.15</v>
      </c>
      <c r="P2884">
        <v>0</v>
      </c>
      <c r="Q2884">
        <v>0</v>
      </c>
      <c r="R2884">
        <v>0</v>
      </c>
      <c r="S2884">
        <v>0</v>
      </c>
      <c r="T2884">
        <v>0.82669999999999999</v>
      </c>
      <c r="U2884">
        <v>-2.9999999999999997E-4</v>
      </c>
      <c r="V2884">
        <v>0</v>
      </c>
      <c r="W2884">
        <v>-3.7999999999999999E-2</v>
      </c>
      <c r="X2884">
        <v>1.3899999999999999E-2</v>
      </c>
      <c r="Y2884">
        <v>-5.9999999999999995E-4</v>
      </c>
      <c r="Z2884">
        <v>0</v>
      </c>
      <c r="AA2884">
        <v>0</v>
      </c>
      <c r="AB2884">
        <v>385</v>
      </c>
      <c r="AC2884">
        <v>0.15</v>
      </c>
      <c r="AD2884">
        <v>0</v>
      </c>
      <c r="AE2884">
        <v>0</v>
      </c>
      <c r="AF2884">
        <v>5.0200000000000002E-2</v>
      </c>
      <c r="AG2884">
        <v>168</v>
      </c>
      <c r="AH2884">
        <v>0</v>
      </c>
    </row>
    <row r="2885" spans="1:34" x14ac:dyDescent="0.35">
      <c r="A2885" t="s">
        <v>34</v>
      </c>
      <c r="B2885" s="1">
        <v>46146.65625</v>
      </c>
      <c r="C2885" t="s">
        <v>34</v>
      </c>
      <c r="D2885" s="1">
        <v>46157.625</v>
      </c>
      <c r="E2885">
        <v>4500</v>
      </c>
      <c r="F2885" t="s">
        <v>36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759</v>
      </c>
      <c r="O2885">
        <v>0.15</v>
      </c>
      <c r="P2885">
        <v>0</v>
      </c>
      <c r="Q2885">
        <v>0</v>
      </c>
      <c r="R2885">
        <v>0</v>
      </c>
      <c r="S2885">
        <v>0</v>
      </c>
      <c r="T2885">
        <v>0.8085</v>
      </c>
      <c r="U2885">
        <v>-2.9999999999999997E-4</v>
      </c>
      <c r="V2885">
        <v>0</v>
      </c>
      <c r="W2885">
        <v>-3.7999999999999999E-2</v>
      </c>
      <c r="X2885">
        <v>1.4200000000000001E-2</v>
      </c>
      <c r="Y2885">
        <v>-6.9999999999999999E-4</v>
      </c>
      <c r="Z2885">
        <v>0</v>
      </c>
      <c r="AA2885">
        <v>0</v>
      </c>
      <c r="AB2885">
        <v>270</v>
      </c>
      <c r="AC2885">
        <v>0.15</v>
      </c>
      <c r="AD2885">
        <v>0</v>
      </c>
      <c r="AE2885">
        <v>0</v>
      </c>
      <c r="AF2885">
        <v>0</v>
      </c>
      <c r="AG2885">
        <v>1151</v>
      </c>
      <c r="AH2885">
        <v>0</v>
      </c>
    </row>
    <row r="2886" spans="1:34" x14ac:dyDescent="0.35">
      <c r="A2886" t="s">
        <v>34</v>
      </c>
      <c r="B2886" s="1">
        <v>46146.65625</v>
      </c>
      <c r="C2886" t="s">
        <v>34</v>
      </c>
      <c r="D2886" s="1">
        <v>46157.625</v>
      </c>
      <c r="E2886">
        <v>4550</v>
      </c>
      <c r="F2886" t="s">
        <v>36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89</v>
      </c>
      <c r="M2886">
        <v>0.05</v>
      </c>
      <c r="N2886">
        <v>503</v>
      </c>
      <c r="O2886">
        <v>0.15</v>
      </c>
      <c r="P2886">
        <v>0</v>
      </c>
      <c r="Q2886">
        <v>0</v>
      </c>
      <c r="R2886">
        <v>0</v>
      </c>
      <c r="S2886">
        <v>0</v>
      </c>
      <c r="T2886">
        <v>0.80710000000000004</v>
      </c>
      <c r="U2886">
        <v>-4.0000000000000002E-4</v>
      </c>
      <c r="V2886">
        <v>0</v>
      </c>
      <c r="W2886">
        <v>-4.9299999999999997E-2</v>
      </c>
      <c r="X2886">
        <v>1.8200000000000001E-2</v>
      </c>
      <c r="Y2886">
        <v>-8.9999999999999998E-4</v>
      </c>
      <c r="Z2886">
        <v>1</v>
      </c>
      <c r="AA2886">
        <v>0.05</v>
      </c>
      <c r="AB2886">
        <v>259</v>
      </c>
      <c r="AC2886">
        <v>0.15</v>
      </c>
      <c r="AD2886">
        <v>0</v>
      </c>
      <c r="AE2886">
        <v>0</v>
      </c>
      <c r="AF2886">
        <v>0</v>
      </c>
      <c r="AG2886">
        <v>98</v>
      </c>
      <c r="AH2886">
        <v>0</v>
      </c>
    </row>
    <row r="2887" spans="1:34" x14ac:dyDescent="0.35">
      <c r="A2887" t="s">
        <v>34</v>
      </c>
      <c r="B2887" s="1">
        <v>46146.65625</v>
      </c>
      <c r="C2887" t="s">
        <v>34</v>
      </c>
      <c r="D2887" s="1">
        <v>46157.625</v>
      </c>
      <c r="E2887">
        <v>4600</v>
      </c>
      <c r="F2887" t="s">
        <v>36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374</v>
      </c>
      <c r="M2887">
        <v>0.05</v>
      </c>
      <c r="N2887">
        <v>454</v>
      </c>
      <c r="O2887">
        <v>0.15</v>
      </c>
      <c r="P2887">
        <v>0</v>
      </c>
      <c r="Q2887">
        <v>0</v>
      </c>
      <c r="R2887">
        <v>0</v>
      </c>
      <c r="S2887">
        <v>0</v>
      </c>
      <c r="T2887">
        <v>0.78890000000000005</v>
      </c>
      <c r="U2887">
        <v>-4.0000000000000002E-4</v>
      </c>
      <c r="V2887">
        <v>0</v>
      </c>
      <c r="W2887">
        <v>-4.9200000000000001E-2</v>
      </c>
      <c r="X2887">
        <v>1.8700000000000001E-2</v>
      </c>
      <c r="Y2887">
        <v>-8.9999999999999998E-4</v>
      </c>
      <c r="Z2887">
        <v>0</v>
      </c>
      <c r="AA2887">
        <v>0</v>
      </c>
      <c r="AB2887">
        <v>269</v>
      </c>
      <c r="AC2887">
        <v>0.15</v>
      </c>
      <c r="AD2887">
        <v>0</v>
      </c>
      <c r="AE2887">
        <v>0</v>
      </c>
      <c r="AF2887">
        <v>0</v>
      </c>
      <c r="AG2887">
        <v>1010</v>
      </c>
      <c r="AH2887">
        <v>0</v>
      </c>
    </row>
    <row r="2888" spans="1:34" x14ac:dyDescent="0.35">
      <c r="A2888" t="s">
        <v>34</v>
      </c>
      <c r="B2888" s="1">
        <v>46146.65625</v>
      </c>
      <c r="C2888" t="s">
        <v>34</v>
      </c>
      <c r="D2888" s="1">
        <v>46157.625</v>
      </c>
      <c r="E2888">
        <v>4650</v>
      </c>
      <c r="F2888" t="s">
        <v>36</v>
      </c>
      <c r="G2888">
        <v>0.1</v>
      </c>
      <c r="H2888">
        <v>0.1</v>
      </c>
      <c r="I2888">
        <v>0.1</v>
      </c>
      <c r="J2888">
        <v>0.1</v>
      </c>
      <c r="K2888">
        <v>3</v>
      </c>
      <c r="L2888">
        <v>614</v>
      </c>
      <c r="M2888">
        <v>0.05</v>
      </c>
      <c r="N2888">
        <v>319</v>
      </c>
      <c r="O2888">
        <v>0.15</v>
      </c>
      <c r="P2888">
        <v>0</v>
      </c>
      <c r="Q2888">
        <v>0</v>
      </c>
      <c r="R2888">
        <v>0</v>
      </c>
      <c r="S2888">
        <v>0</v>
      </c>
      <c r="T2888">
        <v>0.77100000000000002</v>
      </c>
      <c r="U2888">
        <v>-4.0000000000000002E-4</v>
      </c>
      <c r="V2888">
        <v>0</v>
      </c>
      <c r="W2888">
        <v>-4.9200000000000001E-2</v>
      </c>
      <c r="X2888">
        <v>1.9099999999999999E-2</v>
      </c>
      <c r="Y2888">
        <v>-8.9999999999999998E-4</v>
      </c>
      <c r="Z2888">
        <v>71</v>
      </c>
      <c r="AA2888">
        <v>0.05</v>
      </c>
      <c r="AB2888">
        <v>255</v>
      </c>
      <c r="AC2888">
        <v>0.15</v>
      </c>
      <c r="AD2888">
        <v>0</v>
      </c>
      <c r="AE2888">
        <v>0</v>
      </c>
      <c r="AF2888">
        <v>0.1</v>
      </c>
      <c r="AG2888">
        <v>315</v>
      </c>
      <c r="AH2888">
        <v>0</v>
      </c>
    </row>
    <row r="2889" spans="1:34" x14ac:dyDescent="0.35">
      <c r="A2889" t="s">
        <v>34</v>
      </c>
      <c r="B2889" s="1">
        <v>46146.65625</v>
      </c>
      <c r="C2889" t="s">
        <v>34</v>
      </c>
      <c r="D2889" s="1">
        <v>46157.625</v>
      </c>
      <c r="E2889">
        <v>4700</v>
      </c>
      <c r="F2889" t="s">
        <v>36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678</v>
      </c>
      <c r="M2889">
        <v>0.05</v>
      </c>
      <c r="N2889">
        <v>176</v>
      </c>
      <c r="O2889">
        <v>0.15</v>
      </c>
      <c r="P2889">
        <v>0</v>
      </c>
      <c r="Q2889">
        <v>0</v>
      </c>
      <c r="R2889">
        <v>0</v>
      </c>
      <c r="S2889">
        <v>0</v>
      </c>
      <c r="T2889">
        <v>0.75319999999999998</v>
      </c>
      <c r="U2889">
        <v>-4.0000000000000002E-4</v>
      </c>
      <c r="V2889">
        <v>0</v>
      </c>
      <c r="W2889">
        <v>-4.9099999999999998E-2</v>
      </c>
      <c r="X2889">
        <v>1.95E-2</v>
      </c>
      <c r="Y2889">
        <v>-8.9999999999999998E-4</v>
      </c>
      <c r="Z2889">
        <v>70</v>
      </c>
      <c r="AA2889">
        <v>0.05</v>
      </c>
      <c r="AB2889">
        <v>413</v>
      </c>
      <c r="AC2889">
        <v>0.2</v>
      </c>
      <c r="AD2889">
        <v>0</v>
      </c>
      <c r="AE2889">
        <v>0</v>
      </c>
      <c r="AF2889">
        <v>0</v>
      </c>
      <c r="AG2889">
        <v>724</v>
      </c>
      <c r="AH2889">
        <v>0</v>
      </c>
    </row>
    <row r="2890" spans="1:34" x14ac:dyDescent="0.35">
      <c r="A2890" t="s">
        <v>34</v>
      </c>
      <c r="B2890" s="1">
        <v>46146.65625</v>
      </c>
      <c r="C2890" t="s">
        <v>34</v>
      </c>
      <c r="D2890" s="1">
        <v>46157.625</v>
      </c>
      <c r="E2890">
        <v>4750</v>
      </c>
      <c r="F2890" t="s">
        <v>36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783</v>
      </c>
      <c r="M2890">
        <v>0.05</v>
      </c>
      <c r="N2890">
        <v>114</v>
      </c>
      <c r="O2890">
        <v>0.15</v>
      </c>
      <c r="P2890">
        <v>0</v>
      </c>
      <c r="Q2890">
        <v>0</v>
      </c>
      <c r="R2890">
        <v>0</v>
      </c>
      <c r="S2890">
        <v>0</v>
      </c>
      <c r="T2890">
        <v>0.73540000000000005</v>
      </c>
      <c r="U2890">
        <v>-4.0000000000000002E-4</v>
      </c>
      <c r="V2890">
        <v>0</v>
      </c>
      <c r="W2890">
        <v>-4.9000000000000002E-2</v>
      </c>
      <c r="X2890">
        <v>0.02</v>
      </c>
      <c r="Y2890">
        <v>-8.9999999999999998E-4</v>
      </c>
      <c r="Z2890">
        <v>85</v>
      </c>
      <c r="AA2890">
        <v>0.05</v>
      </c>
      <c r="AB2890">
        <v>379</v>
      </c>
      <c r="AC2890">
        <v>0.2</v>
      </c>
      <c r="AD2890">
        <v>0</v>
      </c>
      <c r="AE2890">
        <v>0</v>
      </c>
      <c r="AF2890">
        <v>0</v>
      </c>
      <c r="AG2890">
        <v>546</v>
      </c>
      <c r="AH2890">
        <v>0</v>
      </c>
    </row>
    <row r="2891" spans="1:34" x14ac:dyDescent="0.35">
      <c r="A2891" t="s">
        <v>34</v>
      </c>
      <c r="B2891" s="1">
        <v>46146.65625</v>
      </c>
      <c r="C2891" t="s">
        <v>34</v>
      </c>
      <c r="D2891" s="1">
        <v>46157.625</v>
      </c>
      <c r="E2891">
        <v>4800</v>
      </c>
      <c r="F2891" t="s">
        <v>36</v>
      </c>
      <c r="G2891">
        <v>0.1</v>
      </c>
      <c r="H2891">
        <v>0.1</v>
      </c>
      <c r="I2891">
        <v>0.1</v>
      </c>
      <c r="J2891">
        <v>0.1</v>
      </c>
      <c r="K2891">
        <v>1</v>
      </c>
      <c r="L2891">
        <v>847</v>
      </c>
      <c r="M2891">
        <v>0.05</v>
      </c>
      <c r="N2891">
        <v>53</v>
      </c>
      <c r="O2891">
        <v>0.15</v>
      </c>
      <c r="P2891">
        <v>0</v>
      </c>
      <c r="Q2891">
        <v>0</v>
      </c>
      <c r="R2891">
        <v>0</v>
      </c>
      <c r="S2891">
        <v>0</v>
      </c>
      <c r="T2891">
        <v>0.71819999999999995</v>
      </c>
      <c r="U2891">
        <v>-5.0000000000000001E-4</v>
      </c>
      <c r="V2891">
        <v>0</v>
      </c>
      <c r="W2891">
        <v>-4.8899999999999999E-2</v>
      </c>
      <c r="X2891">
        <v>2.0400000000000001E-2</v>
      </c>
      <c r="Y2891">
        <v>-1E-3</v>
      </c>
      <c r="Z2891">
        <v>102</v>
      </c>
      <c r="AA2891">
        <v>0.05</v>
      </c>
      <c r="AB2891">
        <v>36</v>
      </c>
      <c r="AC2891">
        <v>0.15</v>
      </c>
      <c r="AD2891">
        <v>0</v>
      </c>
      <c r="AE2891">
        <v>0</v>
      </c>
      <c r="AF2891">
        <v>0.1</v>
      </c>
      <c r="AG2891">
        <v>987</v>
      </c>
      <c r="AH2891">
        <v>0</v>
      </c>
    </row>
    <row r="2892" spans="1:34" x14ac:dyDescent="0.35">
      <c r="A2892" t="s">
        <v>34</v>
      </c>
      <c r="B2892" s="1">
        <v>46146.65625</v>
      </c>
      <c r="C2892" t="s">
        <v>34</v>
      </c>
      <c r="D2892" s="1">
        <v>46157.625</v>
      </c>
      <c r="E2892">
        <v>4850</v>
      </c>
      <c r="F2892" t="s">
        <v>36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938</v>
      </c>
      <c r="M2892">
        <v>0.05</v>
      </c>
      <c r="N2892">
        <v>686</v>
      </c>
      <c r="O2892">
        <v>0.2</v>
      </c>
      <c r="P2892">
        <v>0</v>
      </c>
      <c r="Q2892">
        <v>0</v>
      </c>
      <c r="R2892">
        <v>0</v>
      </c>
      <c r="S2892">
        <v>0</v>
      </c>
      <c r="T2892">
        <v>0.71260000000000001</v>
      </c>
      <c r="U2892">
        <v>-5.9999999999999995E-4</v>
      </c>
      <c r="V2892">
        <v>0</v>
      </c>
      <c r="W2892">
        <v>-5.9799999999999999E-2</v>
      </c>
      <c r="X2892">
        <v>2.4899999999999999E-2</v>
      </c>
      <c r="Y2892">
        <v>-1.1999999999999999E-3</v>
      </c>
      <c r="Z2892">
        <v>219</v>
      </c>
      <c r="AA2892">
        <v>0.05</v>
      </c>
      <c r="AB2892">
        <v>196</v>
      </c>
      <c r="AC2892">
        <v>0.15</v>
      </c>
      <c r="AD2892">
        <v>0</v>
      </c>
      <c r="AE2892">
        <v>0</v>
      </c>
      <c r="AF2892">
        <v>0</v>
      </c>
      <c r="AG2892">
        <v>975</v>
      </c>
      <c r="AH2892">
        <v>0</v>
      </c>
    </row>
    <row r="2893" spans="1:34" x14ac:dyDescent="0.35">
      <c r="A2893" t="s">
        <v>34</v>
      </c>
      <c r="B2893" s="1">
        <v>46146.65625</v>
      </c>
      <c r="C2893" t="s">
        <v>34</v>
      </c>
      <c r="D2893" s="1">
        <v>46157.625</v>
      </c>
      <c r="E2893">
        <v>4900</v>
      </c>
      <c r="F2893" t="s">
        <v>36</v>
      </c>
      <c r="G2893">
        <v>0.15</v>
      </c>
      <c r="H2893">
        <v>0.2</v>
      </c>
      <c r="I2893">
        <v>0.15</v>
      </c>
      <c r="J2893">
        <v>0.2</v>
      </c>
      <c r="K2893">
        <v>2</v>
      </c>
      <c r="L2893">
        <v>334</v>
      </c>
      <c r="M2893">
        <v>0.1</v>
      </c>
      <c r="N2893">
        <v>566</v>
      </c>
      <c r="O2893">
        <v>0.2</v>
      </c>
      <c r="P2893">
        <v>0</v>
      </c>
      <c r="Q2893">
        <v>0</v>
      </c>
      <c r="R2893">
        <v>0</v>
      </c>
      <c r="S2893">
        <v>0</v>
      </c>
      <c r="T2893">
        <v>0.70520000000000005</v>
      </c>
      <c r="U2893">
        <v>-6.9999999999999999E-4</v>
      </c>
      <c r="V2893">
        <v>0</v>
      </c>
      <c r="W2893">
        <v>-7.0499999999999993E-2</v>
      </c>
      <c r="X2893">
        <v>2.93E-2</v>
      </c>
      <c r="Y2893">
        <v>-1.4E-3</v>
      </c>
      <c r="Z2893">
        <v>237</v>
      </c>
      <c r="AA2893">
        <v>0.05</v>
      </c>
      <c r="AB2893">
        <v>16</v>
      </c>
      <c r="AC2893">
        <v>0.15</v>
      </c>
      <c r="AD2893">
        <v>0</v>
      </c>
      <c r="AE2893">
        <v>0</v>
      </c>
      <c r="AF2893">
        <v>0.17499999999999999</v>
      </c>
      <c r="AG2893">
        <v>716</v>
      </c>
      <c r="AH2893">
        <v>0</v>
      </c>
    </row>
    <row r="2894" spans="1:34" x14ac:dyDescent="0.35">
      <c r="A2894" t="s">
        <v>34</v>
      </c>
      <c r="B2894" s="1">
        <v>46146.65625</v>
      </c>
      <c r="C2894" t="s">
        <v>34</v>
      </c>
      <c r="D2894" s="1">
        <v>46157.625</v>
      </c>
      <c r="E2894">
        <v>4950</v>
      </c>
      <c r="F2894" t="s">
        <v>36</v>
      </c>
      <c r="G2894">
        <v>0.15</v>
      </c>
      <c r="H2894">
        <v>0.2</v>
      </c>
      <c r="I2894">
        <v>0.15</v>
      </c>
      <c r="J2894">
        <v>0.15</v>
      </c>
      <c r="K2894">
        <v>4</v>
      </c>
      <c r="L2894">
        <v>480</v>
      </c>
      <c r="M2894">
        <v>0.1</v>
      </c>
      <c r="N2894">
        <v>442</v>
      </c>
      <c r="O2894">
        <v>0.2</v>
      </c>
      <c r="P2894">
        <v>0</v>
      </c>
      <c r="Q2894">
        <v>0</v>
      </c>
      <c r="R2894">
        <v>0</v>
      </c>
      <c r="S2894">
        <v>0</v>
      </c>
      <c r="T2894">
        <v>0.68779999999999997</v>
      </c>
      <c r="U2894">
        <v>-6.9999999999999999E-4</v>
      </c>
      <c r="V2894">
        <v>0</v>
      </c>
      <c r="W2894">
        <v>-7.0300000000000001E-2</v>
      </c>
      <c r="X2894">
        <v>0.03</v>
      </c>
      <c r="Y2894">
        <v>-1.4E-3</v>
      </c>
      <c r="Z2894">
        <v>64</v>
      </c>
      <c r="AA2894">
        <v>0.1</v>
      </c>
      <c r="AB2894">
        <v>239</v>
      </c>
      <c r="AC2894">
        <v>0.2</v>
      </c>
      <c r="AD2894">
        <v>0</v>
      </c>
      <c r="AE2894">
        <v>0</v>
      </c>
      <c r="AF2894">
        <v>0.16250000000000001</v>
      </c>
      <c r="AG2894">
        <v>227</v>
      </c>
      <c r="AH2894">
        <v>0</v>
      </c>
    </row>
    <row r="2895" spans="1:34" x14ac:dyDescent="0.35">
      <c r="A2895" t="s">
        <v>34</v>
      </c>
      <c r="B2895" s="1">
        <v>46146.65625</v>
      </c>
      <c r="C2895" t="s">
        <v>34</v>
      </c>
      <c r="D2895" s="1">
        <v>46157.625</v>
      </c>
      <c r="E2895">
        <v>5000</v>
      </c>
      <c r="F2895" t="s">
        <v>36</v>
      </c>
      <c r="G2895">
        <v>0.16</v>
      </c>
      <c r="H2895">
        <v>0.25</v>
      </c>
      <c r="I2895">
        <v>0.1</v>
      </c>
      <c r="J2895">
        <v>0.2</v>
      </c>
      <c r="K2895">
        <v>517</v>
      </c>
      <c r="L2895">
        <v>563</v>
      </c>
      <c r="M2895">
        <v>0.1</v>
      </c>
      <c r="N2895">
        <v>270</v>
      </c>
      <c r="O2895">
        <v>0.2</v>
      </c>
      <c r="P2895">
        <v>0</v>
      </c>
      <c r="Q2895">
        <v>0</v>
      </c>
      <c r="R2895">
        <v>0</v>
      </c>
      <c r="S2895">
        <v>0</v>
      </c>
      <c r="T2895">
        <v>0.6704</v>
      </c>
      <c r="U2895">
        <v>-6.9999999999999999E-4</v>
      </c>
      <c r="V2895">
        <v>0</v>
      </c>
      <c r="W2895">
        <v>-7.0199999999999999E-2</v>
      </c>
      <c r="X2895">
        <v>3.0700000000000002E-2</v>
      </c>
      <c r="Y2895">
        <v>-1.5E-3</v>
      </c>
      <c r="Z2895">
        <v>112</v>
      </c>
      <c r="AA2895">
        <v>0.1</v>
      </c>
      <c r="AB2895">
        <v>260</v>
      </c>
      <c r="AC2895">
        <v>0.2</v>
      </c>
      <c r="AD2895">
        <v>0</v>
      </c>
      <c r="AE2895">
        <v>0</v>
      </c>
      <c r="AF2895">
        <v>0.21970000000000001</v>
      </c>
      <c r="AG2895">
        <v>41761</v>
      </c>
      <c r="AH2895">
        <v>0</v>
      </c>
    </row>
    <row r="2896" spans="1:34" x14ac:dyDescent="0.35">
      <c r="A2896" t="s">
        <v>34</v>
      </c>
      <c r="B2896" s="1">
        <v>46146.65625</v>
      </c>
      <c r="C2896" t="s">
        <v>34</v>
      </c>
      <c r="D2896" s="1">
        <v>46157.625</v>
      </c>
      <c r="E2896">
        <v>5050</v>
      </c>
      <c r="F2896" t="s">
        <v>36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679</v>
      </c>
      <c r="M2896">
        <v>0.1</v>
      </c>
      <c r="N2896">
        <v>229</v>
      </c>
      <c r="O2896">
        <v>0.2</v>
      </c>
      <c r="P2896">
        <v>0</v>
      </c>
      <c r="Q2896">
        <v>0</v>
      </c>
      <c r="R2896">
        <v>0</v>
      </c>
      <c r="S2896">
        <v>0</v>
      </c>
      <c r="T2896">
        <v>0.65339999999999998</v>
      </c>
      <c r="U2896">
        <v>-6.9999999999999999E-4</v>
      </c>
      <c r="V2896">
        <v>0</v>
      </c>
      <c r="W2896">
        <v>-7.0000000000000007E-2</v>
      </c>
      <c r="X2896">
        <v>3.15E-2</v>
      </c>
      <c r="Y2896">
        <v>-1.5E-3</v>
      </c>
      <c r="Z2896">
        <v>152</v>
      </c>
      <c r="AA2896">
        <v>0.1</v>
      </c>
      <c r="AB2896">
        <v>293</v>
      </c>
      <c r="AC2896">
        <v>0.25</v>
      </c>
      <c r="AD2896">
        <v>0</v>
      </c>
      <c r="AE2896">
        <v>0</v>
      </c>
      <c r="AF2896">
        <v>0</v>
      </c>
      <c r="AG2896">
        <v>8431</v>
      </c>
      <c r="AH2896">
        <v>0</v>
      </c>
    </row>
    <row r="2897" spans="1:34" x14ac:dyDescent="0.35">
      <c r="A2897" t="s">
        <v>34</v>
      </c>
      <c r="B2897" s="1">
        <v>46146.65625</v>
      </c>
      <c r="C2897" t="s">
        <v>34</v>
      </c>
      <c r="D2897" s="1">
        <v>46157.625</v>
      </c>
      <c r="E2897">
        <v>5100</v>
      </c>
      <c r="F2897" t="s">
        <v>36</v>
      </c>
      <c r="G2897">
        <v>0.2</v>
      </c>
      <c r="H2897">
        <v>0.2</v>
      </c>
      <c r="I2897">
        <v>0.2</v>
      </c>
      <c r="J2897">
        <v>0.2</v>
      </c>
      <c r="K2897">
        <v>2</v>
      </c>
      <c r="L2897">
        <v>109</v>
      </c>
      <c r="M2897">
        <v>0.15</v>
      </c>
      <c r="N2897">
        <v>1</v>
      </c>
      <c r="O2897">
        <v>0.2</v>
      </c>
      <c r="P2897">
        <v>0</v>
      </c>
      <c r="Q2897">
        <v>0</v>
      </c>
      <c r="R2897">
        <v>0</v>
      </c>
      <c r="S2897">
        <v>0</v>
      </c>
      <c r="T2897">
        <v>0.63649999999999995</v>
      </c>
      <c r="U2897">
        <v>-6.9999999999999999E-4</v>
      </c>
      <c r="V2897">
        <v>0</v>
      </c>
      <c r="W2897">
        <v>-6.9900000000000004E-2</v>
      </c>
      <c r="X2897">
        <v>3.2300000000000002E-2</v>
      </c>
      <c r="Y2897">
        <v>-1.6000000000000001E-3</v>
      </c>
      <c r="Z2897">
        <v>139</v>
      </c>
      <c r="AA2897">
        <v>0.1</v>
      </c>
      <c r="AB2897">
        <v>1</v>
      </c>
      <c r="AC2897">
        <v>0.2</v>
      </c>
      <c r="AD2897">
        <v>0</v>
      </c>
      <c r="AE2897">
        <v>0</v>
      </c>
      <c r="AF2897">
        <v>0.2</v>
      </c>
      <c r="AG2897">
        <v>39109</v>
      </c>
      <c r="AH2897">
        <v>0</v>
      </c>
    </row>
    <row r="2898" spans="1:34" x14ac:dyDescent="0.35">
      <c r="A2898" t="s">
        <v>34</v>
      </c>
      <c r="B2898" s="1">
        <v>46146.65625</v>
      </c>
      <c r="C2898" t="s">
        <v>34</v>
      </c>
      <c r="D2898" s="1">
        <v>46157.625</v>
      </c>
      <c r="E2898">
        <v>5125</v>
      </c>
      <c r="F2898" t="s">
        <v>36</v>
      </c>
      <c r="G2898">
        <v>0.2</v>
      </c>
      <c r="H2898">
        <v>0.2</v>
      </c>
      <c r="I2898">
        <v>0.2</v>
      </c>
      <c r="J2898">
        <v>0.2</v>
      </c>
      <c r="K2898">
        <v>1</v>
      </c>
      <c r="L2898">
        <v>171</v>
      </c>
      <c r="M2898">
        <v>0.15</v>
      </c>
      <c r="N2898">
        <v>517</v>
      </c>
      <c r="O2898">
        <v>0.25</v>
      </c>
      <c r="P2898">
        <v>0</v>
      </c>
      <c r="Q2898">
        <v>0</v>
      </c>
      <c r="R2898">
        <v>0</v>
      </c>
      <c r="S2898">
        <v>0</v>
      </c>
      <c r="T2898">
        <v>0.64280000000000004</v>
      </c>
      <c r="U2898">
        <v>-1E-3</v>
      </c>
      <c r="V2898">
        <v>0</v>
      </c>
      <c r="W2898">
        <v>-9.0499999999999997E-2</v>
      </c>
      <c r="X2898">
        <v>4.0899999999999999E-2</v>
      </c>
      <c r="Y2898">
        <v>-2E-3</v>
      </c>
      <c r="Z2898">
        <v>234</v>
      </c>
      <c r="AA2898">
        <v>0.1</v>
      </c>
      <c r="AB2898">
        <v>269</v>
      </c>
      <c r="AC2898">
        <v>0.25</v>
      </c>
      <c r="AD2898">
        <v>0</v>
      </c>
      <c r="AE2898">
        <v>0</v>
      </c>
      <c r="AF2898">
        <v>0.2</v>
      </c>
      <c r="AG2898">
        <v>2329</v>
      </c>
      <c r="AH2898">
        <v>0</v>
      </c>
    </row>
    <row r="2899" spans="1:34" x14ac:dyDescent="0.35">
      <c r="A2899" t="s">
        <v>34</v>
      </c>
      <c r="B2899" s="1">
        <v>46146.65625</v>
      </c>
      <c r="C2899" t="s">
        <v>34</v>
      </c>
      <c r="D2899" s="1">
        <v>46157.625</v>
      </c>
      <c r="E2899">
        <v>5150</v>
      </c>
      <c r="F2899" t="s">
        <v>36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292</v>
      </c>
      <c r="M2899">
        <v>0.15</v>
      </c>
      <c r="N2899">
        <v>616</v>
      </c>
      <c r="O2899">
        <v>0.25</v>
      </c>
      <c r="P2899">
        <v>0</v>
      </c>
      <c r="Q2899">
        <v>0</v>
      </c>
      <c r="R2899">
        <v>0</v>
      </c>
      <c r="S2899">
        <v>0</v>
      </c>
      <c r="T2899">
        <v>0.63419999999999999</v>
      </c>
      <c r="U2899">
        <v>-1E-3</v>
      </c>
      <c r="V2899">
        <v>0</v>
      </c>
      <c r="W2899">
        <v>-9.0399999999999994E-2</v>
      </c>
      <c r="X2899">
        <v>4.1399999999999999E-2</v>
      </c>
      <c r="Y2899">
        <v>-2E-3</v>
      </c>
      <c r="Z2899">
        <v>89</v>
      </c>
      <c r="AA2899">
        <v>0.15</v>
      </c>
      <c r="AB2899">
        <v>255</v>
      </c>
      <c r="AC2899">
        <v>0.25</v>
      </c>
      <c r="AD2899">
        <v>0</v>
      </c>
      <c r="AE2899">
        <v>0</v>
      </c>
      <c r="AF2899">
        <v>0</v>
      </c>
      <c r="AG2899">
        <v>6995</v>
      </c>
      <c r="AH2899">
        <v>0</v>
      </c>
    </row>
    <row r="2900" spans="1:34" x14ac:dyDescent="0.35">
      <c r="A2900" t="s">
        <v>34</v>
      </c>
      <c r="B2900" s="1">
        <v>46146.65625</v>
      </c>
      <c r="C2900" t="s">
        <v>34</v>
      </c>
      <c r="D2900" s="1">
        <v>46157.625</v>
      </c>
      <c r="E2900">
        <v>5175</v>
      </c>
      <c r="F2900" t="s">
        <v>36</v>
      </c>
      <c r="G2900">
        <v>0.2</v>
      </c>
      <c r="H2900">
        <v>0.2</v>
      </c>
      <c r="I2900">
        <v>0.2</v>
      </c>
      <c r="J2900">
        <v>0.2</v>
      </c>
      <c r="K2900">
        <v>1</v>
      </c>
      <c r="L2900">
        <v>466</v>
      </c>
      <c r="M2900">
        <v>0.15</v>
      </c>
      <c r="N2900">
        <v>300</v>
      </c>
      <c r="O2900">
        <v>0.25</v>
      </c>
      <c r="P2900">
        <v>0</v>
      </c>
      <c r="Q2900">
        <v>0</v>
      </c>
      <c r="R2900">
        <v>0</v>
      </c>
      <c r="S2900">
        <v>0</v>
      </c>
      <c r="T2900">
        <v>0.62570000000000003</v>
      </c>
      <c r="U2900">
        <v>-1E-3</v>
      </c>
      <c r="V2900">
        <v>0</v>
      </c>
      <c r="W2900">
        <v>-9.0300000000000005E-2</v>
      </c>
      <c r="X2900">
        <v>4.19E-2</v>
      </c>
      <c r="Y2900">
        <v>-2.0999999999999999E-3</v>
      </c>
      <c r="Z2900">
        <v>87</v>
      </c>
      <c r="AA2900">
        <v>0.15</v>
      </c>
      <c r="AB2900">
        <v>253</v>
      </c>
      <c r="AC2900">
        <v>0.25</v>
      </c>
      <c r="AD2900">
        <v>0</v>
      </c>
      <c r="AE2900">
        <v>0</v>
      </c>
      <c r="AF2900">
        <v>0.2</v>
      </c>
      <c r="AG2900">
        <v>2277</v>
      </c>
      <c r="AH2900">
        <v>0</v>
      </c>
    </row>
    <row r="2901" spans="1:34" x14ac:dyDescent="0.35">
      <c r="A2901" t="s">
        <v>34</v>
      </c>
      <c r="B2901" s="1">
        <v>46146.65625</v>
      </c>
      <c r="C2901" t="s">
        <v>34</v>
      </c>
      <c r="D2901" s="1">
        <v>46157.625</v>
      </c>
      <c r="E2901">
        <v>5200</v>
      </c>
      <c r="F2901" t="s">
        <v>36</v>
      </c>
      <c r="G2901">
        <v>0.21</v>
      </c>
      <c r="H2901">
        <v>0.22</v>
      </c>
      <c r="I2901">
        <v>0.2</v>
      </c>
      <c r="J2901">
        <v>0.22</v>
      </c>
      <c r="K2901">
        <v>105</v>
      </c>
      <c r="L2901">
        <v>598</v>
      </c>
      <c r="M2901">
        <v>0.15</v>
      </c>
      <c r="N2901">
        <v>250</v>
      </c>
      <c r="O2901">
        <v>0.25</v>
      </c>
      <c r="P2901">
        <v>0</v>
      </c>
      <c r="Q2901">
        <v>0</v>
      </c>
      <c r="R2901">
        <v>0</v>
      </c>
      <c r="S2901">
        <v>0</v>
      </c>
      <c r="T2901">
        <v>0.61719999999999997</v>
      </c>
      <c r="U2901">
        <v>-1E-3</v>
      </c>
      <c r="V2901">
        <v>0</v>
      </c>
      <c r="W2901">
        <v>-9.0200000000000002E-2</v>
      </c>
      <c r="X2901">
        <v>4.2500000000000003E-2</v>
      </c>
      <c r="Y2901">
        <v>-2.0999999999999999E-3</v>
      </c>
      <c r="Z2901">
        <v>132</v>
      </c>
      <c r="AA2901">
        <v>0.15</v>
      </c>
      <c r="AB2901">
        <v>357</v>
      </c>
      <c r="AC2901">
        <v>0.3</v>
      </c>
      <c r="AD2901">
        <v>0</v>
      </c>
      <c r="AE2901">
        <v>0</v>
      </c>
      <c r="AF2901">
        <v>0.21909999999999999</v>
      </c>
      <c r="AG2901">
        <v>3321</v>
      </c>
      <c r="AH2901">
        <v>0</v>
      </c>
    </row>
    <row r="2902" spans="1:34" x14ac:dyDescent="0.35">
      <c r="A2902" t="s">
        <v>34</v>
      </c>
      <c r="B2902" s="1">
        <v>46146.65625</v>
      </c>
      <c r="C2902" t="s">
        <v>34</v>
      </c>
      <c r="D2902" s="1">
        <v>46157.625</v>
      </c>
      <c r="E2902">
        <v>5225</v>
      </c>
      <c r="F2902" t="s">
        <v>36</v>
      </c>
      <c r="G2902">
        <v>0.2</v>
      </c>
      <c r="H2902">
        <v>0.2</v>
      </c>
      <c r="I2902">
        <v>0.2</v>
      </c>
      <c r="J2902">
        <v>0.2</v>
      </c>
      <c r="K2902">
        <v>2</v>
      </c>
      <c r="L2902">
        <v>478</v>
      </c>
      <c r="M2902">
        <v>0.15</v>
      </c>
      <c r="N2902">
        <v>605</v>
      </c>
      <c r="O2902">
        <v>0.3</v>
      </c>
      <c r="P2902">
        <v>0</v>
      </c>
      <c r="Q2902">
        <v>0</v>
      </c>
      <c r="R2902">
        <v>0</v>
      </c>
      <c r="S2902">
        <v>0</v>
      </c>
      <c r="T2902">
        <v>0.61470000000000002</v>
      </c>
      <c r="U2902">
        <v>-1.1000000000000001E-3</v>
      </c>
      <c r="V2902">
        <v>0</v>
      </c>
      <c r="W2902">
        <v>-0.10009999999999999</v>
      </c>
      <c r="X2902">
        <v>4.7E-2</v>
      </c>
      <c r="Y2902">
        <v>-2.3E-3</v>
      </c>
      <c r="Z2902">
        <v>111</v>
      </c>
      <c r="AA2902">
        <v>0.15</v>
      </c>
      <c r="AB2902">
        <v>267</v>
      </c>
      <c r="AC2902">
        <v>0.3</v>
      </c>
      <c r="AD2902">
        <v>0</v>
      </c>
      <c r="AE2902">
        <v>0</v>
      </c>
      <c r="AF2902">
        <v>0.2</v>
      </c>
      <c r="AG2902">
        <v>125</v>
      </c>
      <c r="AH2902">
        <v>0</v>
      </c>
    </row>
    <row r="2903" spans="1:34" x14ac:dyDescent="0.35">
      <c r="A2903" t="s">
        <v>34</v>
      </c>
      <c r="B2903" s="1">
        <v>46146.65625</v>
      </c>
      <c r="C2903" t="s">
        <v>34</v>
      </c>
      <c r="D2903" s="1">
        <v>46157.625</v>
      </c>
      <c r="E2903">
        <v>5250</v>
      </c>
      <c r="F2903" t="s">
        <v>36</v>
      </c>
      <c r="G2903">
        <v>0.25</v>
      </c>
      <c r="H2903">
        <v>0.25</v>
      </c>
      <c r="I2903">
        <v>0.25</v>
      </c>
      <c r="J2903">
        <v>0.25</v>
      </c>
      <c r="K2903">
        <v>2</v>
      </c>
      <c r="L2903">
        <v>125</v>
      </c>
      <c r="M2903">
        <v>0.2</v>
      </c>
      <c r="N2903">
        <v>515</v>
      </c>
      <c r="O2903">
        <v>0.3</v>
      </c>
      <c r="P2903">
        <v>0</v>
      </c>
      <c r="Q2903">
        <v>0</v>
      </c>
      <c r="R2903">
        <v>0</v>
      </c>
      <c r="S2903">
        <v>0</v>
      </c>
      <c r="T2903">
        <v>0.61170000000000002</v>
      </c>
      <c r="U2903">
        <v>-1.1999999999999999E-3</v>
      </c>
      <c r="V2903">
        <v>0</v>
      </c>
      <c r="W2903">
        <v>-0.1099</v>
      </c>
      <c r="X2903">
        <v>5.1499999999999997E-2</v>
      </c>
      <c r="Y2903">
        <v>-2.5999999999999999E-3</v>
      </c>
      <c r="Z2903">
        <v>128</v>
      </c>
      <c r="AA2903">
        <v>0.15</v>
      </c>
      <c r="AB2903">
        <v>248</v>
      </c>
      <c r="AC2903">
        <v>0.3</v>
      </c>
      <c r="AD2903">
        <v>0</v>
      </c>
      <c r="AE2903">
        <v>0</v>
      </c>
      <c r="AF2903">
        <v>0.25</v>
      </c>
      <c r="AG2903">
        <v>817</v>
      </c>
      <c r="AH2903">
        <v>0</v>
      </c>
    </row>
    <row r="2904" spans="1:34" x14ac:dyDescent="0.35">
      <c r="A2904" t="s">
        <v>34</v>
      </c>
      <c r="B2904" s="1">
        <v>46146.65625</v>
      </c>
      <c r="C2904" t="s">
        <v>34</v>
      </c>
      <c r="D2904" s="1">
        <v>46157.625</v>
      </c>
      <c r="E2904">
        <v>5260</v>
      </c>
      <c r="F2904" t="s">
        <v>36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78</v>
      </c>
      <c r="M2904">
        <v>0.2</v>
      </c>
      <c r="N2904">
        <v>426</v>
      </c>
      <c r="O2904">
        <v>0.3</v>
      </c>
      <c r="P2904">
        <v>0</v>
      </c>
      <c r="Q2904">
        <v>0</v>
      </c>
      <c r="R2904">
        <v>0</v>
      </c>
      <c r="S2904">
        <v>0</v>
      </c>
      <c r="T2904">
        <v>0.60809999999999997</v>
      </c>
      <c r="U2904">
        <v>-1.1999999999999999E-3</v>
      </c>
      <c r="V2904">
        <v>0</v>
      </c>
      <c r="W2904">
        <v>-0.10979999999999999</v>
      </c>
      <c r="X2904">
        <v>5.1799999999999999E-2</v>
      </c>
      <c r="Y2904">
        <v>-2.5999999999999999E-3</v>
      </c>
      <c r="Z2904">
        <v>102</v>
      </c>
      <c r="AA2904">
        <v>0.15</v>
      </c>
      <c r="AB2904">
        <v>222</v>
      </c>
      <c r="AC2904">
        <v>0.3</v>
      </c>
      <c r="AD2904">
        <v>0</v>
      </c>
      <c r="AE2904">
        <v>0</v>
      </c>
      <c r="AF2904">
        <v>0</v>
      </c>
      <c r="AG2904">
        <v>66</v>
      </c>
      <c r="AH2904">
        <v>0</v>
      </c>
    </row>
    <row r="2905" spans="1:34" x14ac:dyDescent="0.35">
      <c r="A2905" t="s">
        <v>34</v>
      </c>
      <c r="B2905" s="1">
        <v>46146.65625</v>
      </c>
      <c r="C2905" t="s">
        <v>34</v>
      </c>
      <c r="D2905" s="1">
        <v>46157.625</v>
      </c>
      <c r="E2905">
        <v>5270</v>
      </c>
      <c r="F2905" t="s">
        <v>36</v>
      </c>
      <c r="G2905">
        <v>0.25</v>
      </c>
      <c r="H2905">
        <v>0.25</v>
      </c>
      <c r="I2905">
        <v>0.25</v>
      </c>
      <c r="J2905">
        <v>0.25</v>
      </c>
      <c r="K2905">
        <v>1</v>
      </c>
      <c r="L2905">
        <v>120</v>
      </c>
      <c r="M2905">
        <v>0.2</v>
      </c>
      <c r="N2905">
        <v>394</v>
      </c>
      <c r="O2905">
        <v>0.3</v>
      </c>
      <c r="P2905">
        <v>0</v>
      </c>
      <c r="Q2905">
        <v>0</v>
      </c>
      <c r="R2905">
        <v>0</v>
      </c>
      <c r="S2905">
        <v>0</v>
      </c>
      <c r="T2905">
        <v>0.60489999999999999</v>
      </c>
      <c r="U2905">
        <v>-1.1999999999999999E-3</v>
      </c>
      <c r="V2905">
        <v>0</v>
      </c>
      <c r="W2905">
        <v>-0.10979999999999999</v>
      </c>
      <c r="X2905">
        <v>5.21E-2</v>
      </c>
      <c r="Y2905">
        <v>-2.5999999999999999E-3</v>
      </c>
      <c r="Z2905">
        <v>101</v>
      </c>
      <c r="AA2905">
        <v>0.15</v>
      </c>
      <c r="AB2905">
        <v>393</v>
      </c>
      <c r="AC2905">
        <v>0.35</v>
      </c>
      <c r="AD2905">
        <v>0</v>
      </c>
      <c r="AE2905">
        <v>0</v>
      </c>
      <c r="AF2905">
        <v>0.25</v>
      </c>
      <c r="AG2905">
        <v>16</v>
      </c>
      <c r="AH2905">
        <v>0</v>
      </c>
    </row>
    <row r="2906" spans="1:34" x14ac:dyDescent="0.35">
      <c r="A2906" t="s">
        <v>34</v>
      </c>
      <c r="B2906" s="1">
        <v>46146.65625</v>
      </c>
      <c r="C2906" t="s">
        <v>34</v>
      </c>
      <c r="D2906" s="1">
        <v>46157.625</v>
      </c>
      <c r="E2906">
        <v>5275</v>
      </c>
      <c r="F2906" t="s">
        <v>36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144</v>
      </c>
      <c r="M2906">
        <v>0.2</v>
      </c>
      <c r="N2906">
        <v>399</v>
      </c>
      <c r="O2906">
        <v>0.3</v>
      </c>
      <c r="P2906">
        <v>0</v>
      </c>
      <c r="Q2906">
        <v>0</v>
      </c>
      <c r="R2906">
        <v>0</v>
      </c>
      <c r="S2906">
        <v>0</v>
      </c>
      <c r="T2906">
        <v>0.60299999999999998</v>
      </c>
      <c r="U2906">
        <v>-1.1999999999999999E-3</v>
      </c>
      <c r="V2906">
        <v>0</v>
      </c>
      <c r="W2906">
        <v>-0.10970000000000001</v>
      </c>
      <c r="X2906">
        <v>5.2200000000000003E-2</v>
      </c>
      <c r="Y2906">
        <v>-2.5999999999999999E-3</v>
      </c>
      <c r="Z2906">
        <v>14</v>
      </c>
      <c r="AA2906">
        <v>0.2</v>
      </c>
      <c r="AB2906">
        <v>222</v>
      </c>
      <c r="AC2906">
        <v>0.3</v>
      </c>
      <c r="AD2906">
        <v>0</v>
      </c>
      <c r="AE2906">
        <v>0</v>
      </c>
      <c r="AF2906">
        <v>0</v>
      </c>
      <c r="AG2906">
        <v>65</v>
      </c>
      <c r="AH2906">
        <v>0</v>
      </c>
    </row>
    <row r="2907" spans="1:34" x14ac:dyDescent="0.35">
      <c r="A2907" t="s">
        <v>34</v>
      </c>
      <c r="B2907" s="1">
        <v>46146.65625</v>
      </c>
      <c r="C2907" t="s">
        <v>34</v>
      </c>
      <c r="D2907" s="1">
        <v>46157.625</v>
      </c>
      <c r="E2907">
        <v>5280</v>
      </c>
      <c r="F2907" t="s">
        <v>36</v>
      </c>
      <c r="G2907">
        <v>0.25</v>
      </c>
      <c r="H2907">
        <v>0.25</v>
      </c>
      <c r="I2907">
        <v>0.25</v>
      </c>
      <c r="J2907">
        <v>0.25</v>
      </c>
      <c r="K2907">
        <v>1</v>
      </c>
      <c r="L2907">
        <v>130</v>
      </c>
      <c r="M2907">
        <v>0.2</v>
      </c>
      <c r="N2907">
        <v>548</v>
      </c>
      <c r="O2907">
        <v>0.3</v>
      </c>
      <c r="P2907">
        <v>0</v>
      </c>
      <c r="Q2907">
        <v>0</v>
      </c>
      <c r="R2907">
        <v>0</v>
      </c>
      <c r="S2907">
        <v>0</v>
      </c>
      <c r="T2907">
        <v>0.60150000000000003</v>
      </c>
      <c r="U2907">
        <v>-1.1999999999999999E-3</v>
      </c>
      <c r="V2907">
        <v>0</v>
      </c>
      <c r="W2907">
        <v>-0.10970000000000001</v>
      </c>
      <c r="X2907">
        <v>5.2299999999999999E-2</v>
      </c>
      <c r="Y2907">
        <v>-2.5999999999999999E-3</v>
      </c>
      <c r="Z2907">
        <v>14</v>
      </c>
      <c r="AA2907">
        <v>0.2</v>
      </c>
      <c r="AB2907">
        <v>385</v>
      </c>
      <c r="AC2907">
        <v>0.35</v>
      </c>
      <c r="AD2907">
        <v>0</v>
      </c>
      <c r="AE2907">
        <v>0</v>
      </c>
      <c r="AF2907">
        <v>0.25</v>
      </c>
      <c r="AG2907">
        <v>109</v>
      </c>
      <c r="AH2907">
        <v>0</v>
      </c>
    </row>
    <row r="2908" spans="1:34" x14ac:dyDescent="0.35">
      <c r="A2908" t="s">
        <v>34</v>
      </c>
      <c r="B2908" s="1">
        <v>46146.65625</v>
      </c>
      <c r="C2908" t="s">
        <v>34</v>
      </c>
      <c r="D2908" s="1">
        <v>46157.625</v>
      </c>
      <c r="E2908">
        <v>5290</v>
      </c>
      <c r="F2908" t="s">
        <v>36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261</v>
      </c>
      <c r="M2908">
        <v>0.2</v>
      </c>
      <c r="N2908">
        <v>247</v>
      </c>
      <c r="O2908">
        <v>0.3</v>
      </c>
      <c r="P2908">
        <v>0</v>
      </c>
      <c r="Q2908">
        <v>0</v>
      </c>
      <c r="R2908">
        <v>0</v>
      </c>
      <c r="S2908">
        <v>0</v>
      </c>
      <c r="T2908">
        <v>0.59809999999999997</v>
      </c>
      <c r="U2908">
        <v>-1.2999999999999999E-3</v>
      </c>
      <c r="V2908">
        <v>0</v>
      </c>
      <c r="W2908">
        <v>-0.10970000000000001</v>
      </c>
      <c r="X2908">
        <v>5.2600000000000001E-2</v>
      </c>
      <c r="Y2908">
        <v>-2.5999999999999999E-3</v>
      </c>
      <c r="Z2908">
        <v>14</v>
      </c>
      <c r="AA2908">
        <v>0.2</v>
      </c>
      <c r="AB2908">
        <v>375</v>
      </c>
      <c r="AC2908">
        <v>0.35</v>
      </c>
      <c r="AD2908">
        <v>0</v>
      </c>
      <c r="AE2908">
        <v>0</v>
      </c>
      <c r="AF2908">
        <v>0</v>
      </c>
      <c r="AG2908">
        <v>116</v>
      </c>
      <c r="AH2908">
        <v>0</v>
      </c>
    </row>
    <row r="2909" spans="1:34" x14ac:dyDescent="0.35">
      <c r="A2909" t="s">
        <v>34</v>
      </c>
      <c r="B2909" s="1">
        <v>46146.65625</v>
      </c>
      <c r="C2909" t="s">
        <v>34</v>
      </c>
      <c r="D2909" s="1">
        <v>46157.625</v>
      </c>
      <c r="E2909">
        <v>5300</v>
      </c>
      <c r="F2909" t="s">
        <v>36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414</v>
      </c>
      <c r="M2909">
        <v>0.2</v>
      </c>
      <c r="N2909">
        <v>228</v>
      </c>
      <c r="O2909">
        <v>0.3</v>
      </c>
      <c r="P2909">
        <v>0</v>
      </c>
      <c r="Q2909">
        <v>0</v>
      </c>
      <c r="R2909">
        <v>0</v>
      </c>
      <c r="S2909">
        <v>0</v>
      </c>
      <c r="T2909">
        <v>0.59470000000000001</v>
      </c>
      <c r="U2909">
        <v>-1.2999999999999999E-3</v>
      </c>
      <c r="V2909">
        <v>0</v>
      </c>
      <c r="W2909">
        <v>-0.1096</v>
      </c>
      <c r="X2909">
        <v>5.2900000000000003E-2</v>
      </c>
      <c r="Y2909">
        <v>-2.7000000000000001E-3</v>
      </c>
      <c r="Z2909">
        <v>64</v>
      </c>
      <c r="AA2909">
        <v>0.2</v>
      </c>
      <c r="AB2909">
        <v>377</v>
      </c>
      <c r="AC2909">
        <v>0.35</v>
      </c>
      <c r="AD2909">
        <v>0</v>
      </c>
      <c r="AE2909">
        <v>0</v>
      </c>
      <c r="AF2909">
        <v>0</v>
      </c>
      <c r="AG2909">
        <v>7809</v>
      </c>
      <c r="AH2909">
        <v>0</v>
      </c>
    </row>
    <row r="2910" spans="1:34" x14ac:dyDescent="0.35">
      <c r="A2910" t="s">
        <v>34</v>
      </c>
      <c r="B2910" s="1">
        <v>46146.65625</v>
      </c>
      <c r="C2910" t="s">
        <v>34</v>
      </c>
      <c r="D2910" s="1">
        <v>46157.625</v>
      </c>
      <c r="E2910">
        <v>5310</v>
      </c>
      <c r="F2910" t="s">
        <v>36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334</v>
      </c>
      <c r="M2910">
        <v>0.2</v>
      </c>
      <c r="N2910">
        <v>646</v>
      </c>
      <c r="O2910">
        <v>0.35</v>
      </c>
      <c r="P2910">
        <v>0</v>
      </c>
      <c r="Q2910">
        <v>0</v>
      </c>
      <c r="R2910">
        <v>0</v>
      </c>
      <c r="S2910">
        <v>0</v>
      </c>
      <c r="T2910">
        <v>0.59619999999999995</v>
      </c>
      <c r="U2910">
        <v>-1.4E-3</v>
      </c>
      <c r="V2910">
        <v>0</v>
      </c>
      <c r="W2910">
        <v>-0.1193</v>
      </c>
      <c r="X2910">
        <v>5.7099999999999998E-2</v>
      </c>
      <c r="Y2910">
        <v>-2.8999999999999998E-3</v>
      </c>
      <c r="Z2910">
        <v>74</v>
      </c>
      <c r="AA2910">
        <v>0.2</v>
      </c>
      <c r="AB2910">
        <v>357</v>
      </c>
      <c r="AC2910">
        <v>0.35</v>
      </c>
      <c r="AD2910">
        <v>0</v>
      </c>
      <c r="AE2910">
        <v>0</v>
      </c>
      <c r="AF2910">
        <v>0</v>
      </c>
      <c r="AG2910">
        <v>34</v>
      </c>
      <c r="AH2910">
        <v>0</v>
      </c>
    </row>
    <row r="2911" spans="1:34" x14ac:dyDescent="0.35">
      <c r="A2911" t="s">
        <v>34</v>
      </c>
      <c r="B2911" s="1">
        <v>46146.65625</v>
      </c>
      <c r="C2911" t="s">
        <v>34</v>
      </c>
      <c r="D2911" s="1">
        <v>46157.625</v>
      </c>
      <c r="E2911">
        <v>5320</v>
      </c>
      <c r="F2911" t="s">
        <v>36</v>
      </c>
      <c r="G2911">
        <v>0.25</v>
      </c>
      <c r="H2911">
        <v>0.25</v>
      </c>
      <c r="I2911">
        <v>0.25</v>
      </c>
      <c r="J2911">
        <v>0.25</v>
      </c>
      <c r="K2911">
        <v>1</v>
      </c>
      <c r="L2911">
        <v>366</v>
      </c>
      <c r="M2911">
        <v>0.2</v>
      </c>
      <c r="N2911">
        <v>608</v>
      </c>
      <c r="O2911">
        <v>0.35</v>
      </c>
      <c r="P2911">
        <v>0</v>
      </c>
      <c r="Q2911">
        <v>0</v>
      </c>
      <c r="R2911">
        <v>0</v>
      </c>
      <c r="S2911">
        <v>0</v>
      </c>
      <c r="T2911">
        <v>0.59279999999999999</v>
      </c>
      <c r="U2911">
        <v>-1.4E-3</v>
      </c>
      <c r="V2911">
        <v>0</v>
      </c>
      <c r="W2911">
        <v>-0.1192</v>
      </c>
      <c r="X2911">
        <v>5.74E-2</v>
      </c>
      <c r="Y2911">
        <v>-2.8999999999999998E-3</v>
      </c>
      <c r="Z2911">
        <v>73</v>
      </c>
      <c r="AA2911">
        <v>0.2</v>
      </c>
      <c r="AB2911">
        <v>345</v>
      </c>
      <c r="AC2911">
        <v>0.35</v>
      </c>
      <c r="AD2911">
        <v>0</v>
      </c>
      <c r="AE2911">
        <v>0</v>
      </c>
      <c r="AF2911">
        <v>0.25</v>
      </c>
      <c r="AG2911">
        <v>79</v>
      </c>
      <c r="AH2911">
        <v>0</v>
      </c>
    </row>
    <row r="2912" spans="1:34" x14ac:dyDescent="0.35">
      <c r="A2912" t="s">
        <v>34</v>
      </c>
      <c r="B2912" s="1">
        <v>46146.65625</v>
      </c>
      <c r="C2912" t="s">
        <v>34</v>
      </c>
      <c r="D2912" s="1">
        <v>46157.625</v>
      </c>
      <c r="E2912">
        <v>5325</v>
      </c>
      <c r="F2912" t="s">
        <v>36</v>
      </c>
      <c r="G2912">
        <v>0.25</v>
      </c>
      <c r="H2912">
        <v>0.3</v>
      </c>
      <c r="I2912">
        <v>0.25</v>
      </c>
      <c r="J2912">
        <v>0.3</v>
      </c>
      <c r="K2912">
        <v>4</v>
      </c>
      <c r="L2912">
        <v>595</v>
      </c>
      <c r="M2912">
        <v>0.2</v>
      </c>
      <c r="N2912">
        <v>601</v>
      </c>
      <c r="O2912">
        <v>0.35</v>
      </c>
      <c r="P2912">
        <v>0</v>
      </c>
      <c r="Q2912">
        <v>0</v>
      </c>
      <c r="R2912">
        <v>0</v>
      </c>
      <c r="S2912">
        <v>0</v>
      </c>
      <c r="T2912">
        <v>0.59109999999999996</v>
      </c>
      <c r="U2912">
        <v>-1.4E-3</v>
      </c>
      <c r="V2912">
        <v>0</v>
      </c>
      <c r="W2912">
        <v>-0.1192</v>
      </c>
      <c r="X2912">
        <v>5.7599999999999998E-2</v>
      </c>
      <c r="Y2912">
        <v>-2.8999999999999998E-3</v>
      </c>
      <c r="Z2912">
        <v>104</v>
      </c>
      <c r="AA2912">
        <v>0.2</v>
      </c>
      <c r="AB2912">
        <v>306</v>
      </c>
      <c r="AC2912">
        <v>0.35</v>
      </c>
      <c r="AD2912">
        <v>0</v>
      </c>
      <c r="AE2912">
        <v>0</v>
      </c>
      <c r="AF2912">
        <v>0.27500000000000002</v>
      </c>
      <c r="AG2912">
        <v>113</v>
      </c>
      <c r="AH2912">
        <v>0</v>
      </c>
    </row>
    <row r="2913" spans="1:34" x14ac:dyDescent="0.35">
      <c r="A2913" t="s">
        <v>34</v>
      </c>
      <c r="B2913" s="1">
        <v>46146.65625</v>
      </c>
      <c r="C2913" t="s">
        <v>34</v>
      </c>
      <c r="D2913" s="1">
        <v>46157.625</v>
      </c>
      <c r="E2913">
        <v>5330</v>
      </c>
      <c r="F2913" t="s">
        <v>36</v>
      </c>
      <c r="G2913">
        <v>0.25</v>
      </c>
      <c r="H2913">
        <v>0.25</v>
      </c>
      <c r="I2913">
        <v>0.25</v>
      </c>
      <c r="J2913">
        <v>0.25</v>
      </c>
      <c r="K2913">
        <v>1</v>
      </c>
      <c r="L2913">
        <v>483</v>
      </c>
      <c r="M2913">
        <v>0.2</v>
      </c>
      <c r="N2913">
        <v>569</v>
      </c>
      <c r="O2913">
        <v>0.35</v>
      </c>
      <c r="P2913">
        <v>0</v>
      </c>
      <c r="Q2913">
        <v>0</v>
      </c>
      <c r="R2913">
        <v>0</v>
      </c>
      <c r="S2913">
        <v>0</v>
      </c>
      <c r="T2913">
        <v>0.58940000000000003</v>
      </c>
      <c r="U2913">
        <v>-1.4E-3</v>
      </c>
      <c r="V2913">
        <v>0</v>
      </c>
      <c r="W2913">
        <v>-0.1192</v>
      </c>
      <c r="X2913">
        <v>5.7799999999999997E-2</v>
      </c>
      <c r="Y2913">
        <v>-2.8999999999999998E-3</v>
      </c>
      <c r="Z2913">
        <v>87</v>
      </c>
      <c r="AA2913">
        <v>0.2</v>
      </c>
      <c r="AB2913">
        <v>293</v>
      </c>
      <c r="AC2913">
        <v>0.35</v>
      </c>
      <c r="AD2913">
        <v>0</v>
      </c>
      <c r="AE2913">
        <v>0</v>
      </c>
      <c r="AF2913">
        <v>0.25</v>
      </c>
      <c r="AG2913">
        <v>6</v>
      </c>
      <c r="AH2913">
        <v>0</v>
      </c>
    </row>
    <row r="2914" spans="1:34" x14ac:dyDescent="0.35">
      <c r="A2914" t="s">
        <v>34</v>
      </c>
      <c r="B2914" s="1">
        <v>46146.65625</v>
      </c>
      <c r="C2914" t="s">
        <v>34</v>
      </c>
      <c r="D2914" s="1">
        <v>46157.625</v>
      </c>
      <c r="E2914">
        <v>5340</v>
      </c>
      <c r="F2914" t="s">
        <v>36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430</v>
      </c>
      <c r="M2914">
        <v>0.2</v>
      </c>
      <c r="N2914">
        <v>532</v>
      </c>
      <c r="O2914">
        <v>0.35</v>
      </c>
      <c r="P2914">
        <v>0</v>
      </c>
      <c r="Q2914">
        <v>0</v>
      </c>
      <c r="R2914">
        <v>0</v>
      </c>
      <c r="S2914">
        <v>0</v>
      </c>
      <c r="T2914">
        <v>0.58589999999999998</v>
      </c>
      <c r="U2914">
        <v>-1.4E-3</v>
      </c>
      <c r="V2914">
        <v>0</v>
      </c>
      <c r="W2914">
        <v>-0.1191</v>
      </c>
      <c r="X2914">
        <v>5.8099999999999999E-2</v>
      </c>
      <c r="Y2914">
        <v>-2.8999999999999998E-3</v>
      </c>
      <c r="Z2914">
        <v>88</v>
      </c>
      <c r="AA2914">
        <v>0.2</v>
      </c>
      <c r="AB2914">
        <v>231</v>
      </c>
      <c r="AC2914">
        <v>0.35</v>
      </c>
      <c r="AD2914">
        <v>0</v>
      </c>
      <c r="AE2914">
        <v>0</v>
      </c>
      <c r="AF2914">
        <v>0</v>
      </c>
      <c r="AG2914">
        <v>38</v>
      </c>
      <c r="AH2914">
        <v>0</v>
      </c>
    </row>
    <row r="2915" spans="1:34" x14ac:dyDescent="0.35">
      <c r="A2915" t="s">
        <v>34</v>
      </c>
      <c r="B2915" s="1">
        <v>46146.65625</v>
      </c>
      <c r="C2915" t="s">
        <v>34</v>
      </c>
      <c r="D2915" s="1">
        <v>46157.625</v>
      </c>
      <c r="E2915">
        <v>5350</v>
      </c>
      <c r="F2915" t="s">
        <v>36</v>
      </c>
      <c r="G2915">
        <v>0.35</v>
      </c>
      <c r="H2915">
        <v>0.35</v>
      </c>
      <c r="I2915">
        <v>0.35</v>
      </c>
      <c r="J2915">
        <v>0.35</v>
      </c>
      <c r="K2915">
        <v>2</v>
      </c>
      <c r="L2915">
        <v>500</v>
      </c>
      <c r="M2915">
        <v>0.2</v>
      </c>
      <c r="N2915">
        <v>525</v>
      </c>
      <c r="O2915">
        <v>0.35</v>
      </c>
      <c r="P2915">
        <v>0</v>
      </c>
      <c r="Q2915">
        <v>0</v>
      </c>
      <c r="R2915">
        <v>0</v>
      </c>
      <c r="S2915">
        <v>0</v>
      </c>
      <c r="T2915">
        <v>0.58709999999999996</v>
      </c>
      <c r="U2915">
        <v>-1.5E-3</v>
      </c>
      <c r="V2915">
        <v>0</v>
      </c>
      <c r="W2915">
        <v>-0.12859999999999999</v>
      </c>
      <c r="X2915">
        <v>6.2399999999999997E-2</v>
      </c>
      <c r="Y2915">
        <v>-3.2000000000000002E-3</v>
      </c>
      <c r="Z2915">
        <v>121</v>
      </c>
      <c r="AA2915">
        <v>0.2</v>
      </c>
      <c r="AB2915">
        <v>255</v>
      </c>
      <c r="AC2915">
        <v>0.35</v>
      </c>
      <c r="AD2915">
        <v>0</v>
      </c>
      <c r="AE2915">
        <v>0</v>
      </c>
      <c r="AF2915">
        <v>0.35</v>
      </c>
      <c r="AG2915">
        <v>6703</v>
      </c>
      <c r="AH2915">
        <v>0</v>
      </c>
    </row>
    <row r="2916" spans="1:34" x14ac:dyDescent="0.35">
      <c r="A2916" t="s">
        <v>34</v>
      </c>
      <c r="B2916" s="1">
        <v>46146.65625</v>
      </c>
      <c r="C2916" t="s">
        <v>34</v>
      </c>
      <c r="D2916" s="1">
        <v>46157.625</v>
      </c>
      <c r="E2916">
        <v>5360</v>
      </c>
      <c r="F2916" t="s">
        <v>36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73</v>
      </c>
      <c r="M2916">
        <v>0.25</v>
      </c>
      <c r="N2916">
        <v>399</v>
      </c>
      <c r="O2916">
        <v>0.35</v>
      </c>
      <c r="P2916">
        <v>0</v>
      </c>
      <c r="Q2916">
        <v>0</v>
      </c>
      <c r="R2916">
        <v>0</v>
      </c>
      <c r="S2916">
        <v>0</v>
      </c>
      <c r="T2916">
        <v>0.5837</v>
      </c>
      <c r="U2916">
        <v>-1.5E-3</v>
      </c>
      <c r="V2916">
        <v>0</v>
      </c>
      <c r="W2916">
        <v>-0.12859999999999999</v>
      </c>
      <c r="X2916">
        <v>6.2700000000000006E-2</v>
      </c>
      <c r="Y2916">
        <v>-3.2000000000000002E-3</v>
      </c>
      <c r="Z2916">
        <v>89</v>
      </c>
      <c r="AA2916">
        <v>0.2</v>
      </c>
      <c r="AB2916">
        <v>384</v>
      </c>
      <c r="AC2916">
        <v>0.4</v>
      </c>
      <c r="AD2916">
        <v>0</v>
      </c>
      <c r="AE2916">
        <v>0</v>
      </c>
      <c r="AF2916">
        <v>0</v>
      </c>
      <c r="AG2916">
        <v>298</v>
      </c>
      <c r="AH2916">
        <v>0</v>
      </c>
    </row>
    <row r="2917" spans="1:34" x14ac:dyDescent="0.35">
      <c r="A2917" t="s">
        <v>34</v>
      </c>
      <c r="B2917" s="1">
        <v>46146.65625</v>
      </c>
      <c r="C2917" t="s">
        <v>34</v>
      </c>
      <c r="D2917" s="1">
        <v>46157.625</v>
      </c>
      <c r="E2917">
        <v>5370</v>
      </c>
      <c r="F2917" t="s">
        <v>36</v>
      </c>
      <c r="G2917">
        <v>0.3</v>
      </c>
      <c r="H2917">
        <v>0.3</v>
      </c>
      <c r="I2917">
        <v>0.3</v>
      </c>
      <c r="J2917">
        <v>0.3</v>
      </c>
      <c r="K2917">
        <v>1</v>
      </c>
      <c r="L2917">
        <v>115</v>
      </c>
      <c r="M2917">
        <v>0.25</v>
      </c>
      <c r="N2917">
        <v>364</v>
      </c>
      <c r="O2917">
        <v>0.35</v>
      </c>
      <c r="P2917">
        <v>0</v>
      </c>
      <c r="Q2917">
        <v>0</v>
      </c>
      <c r="R2917">
        <v>0</v>
      </c>
      <c r="S2917">
        <v>0</v>
      </c>
      <c r="T2917">
        <v>0.58030000000000004</v>
      </c>
      <c r="U2917">
        <v>-1.5E-3</v>
      </c>
      <c r="V2917">
        <v>0</v>
      </c>
      <c r="W2917">
        <v>-0.1285</v>
      </c>
      <c r="X2917">
        <v>6.3E-2</v>
      </c>
      <c r="Y2917">
        <v>-3.2000000000000002E-3</v>
      </c>
      <c r="Z2917">
        <v>88</v>
      </c>
      <c r="AA2917">
        <v>0.2</v>
      </c>
      <c r="AB2917">
        <v>372</v>
      </c>
      <c r="AC2917">
        <v>0.4</v>
      </c>
      <c r="AD2917">
        <v>0</v>
      </c>
      <c r="AE2917">
        <v>0</v>
      </c>
      <c r="AF2917">
        <v>0.3</v>
      </c>
      <c r="AG2917">
        <v>114</v>
      </c>
      <c r="AH2917">
        <v>0</v>
      </c>
    </row>
    <row r="2918" spans="1:34" x14ac:dyDescent="0.35">
      <c r="A2918" t="s">
        <v>34</v>
      </c>
      <c r="B2918" s="1">
        <v>46146.65625</v>
      </c>
      <c r="C2918" t="s">
        <v>34</v>
      </c>
      <c r="D2918" s="1">
        <v>46157.625</v>
      </c>
      <c r="E2918">
        <v>5375</v>
      </c>
      <c r="F2918" t="s">
        <v>36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126</v>
      </c>
      <c r="M2918">
        <v>0.25</v>
      </c>
      <c r="N2918">
        <v>547</v>
      </c>
      <c r="O2918">
        <v>0.35</v>
      </c>
      <c r="P2918">
        <v>0</v>
      </c>
      <c r="Q2918">
        <v>0</v>
      </c>
      <c r="R2918">
        <v>0</v>
      </c>
      <c r="S2918">
        <v>0</v>
      </c>
      <c r="T2918">
        <v>0.5786</v>
      </c>
      <c r="U2918">
        <v>-1.5E-3</v>
      </c>
      <c r="V2918">
        <v>0</v>
      </c>
      <c r="W2918">
        <v>-0.1285</v>
      </c>
      <c r="X2918">
        <v>6.3200000000000006E-2</v>
      </c>
      <c r="Y2918">
        <v>-3.2000000000000002E-3</v>
      </c>
      <c r="Z2918">
        <v>106</v>
      </c>
      <c r="AA2918">
        <v>0.2</v>
      </c>
      <c r="AB2918">
        <v>377</v>
      </c>
      <c r="AC2918">
        <v>0.4</v>
      </c>
      <c r="AD2918">
        <v>0</v>
      </c>
      <c r="AE2918">
        <v>0</v>
      </c>
      <c r="AF2918">
        <v>0</v>
      </c>
      <c r="AG2918">
        <v>66</v>
      </c>
      <c r="AH2918">
        <v>0</v>
      </c>
    </row>
    <row r="2919" spans="1:34" x14ac:dyDescent="0.35">
      <c r="A2919" t="s">
        <v>34</v>
      </c>
      <c r="B2919" s="1">
        <v>46146.65625</v>
      </c>
      <c r="C2919" t="s">
        <v>34</v>
      </c>
      <c r="D2919" s="1">
        <v>46157.625</v>
      </c>
      <c r="E2919">
        <v>5380</v>
      </c>
      <c r="F2919" t="s">
        <v>36</v>
      </c>
      <c r="G2919">
        <v>0.25</v>
      </c>
      <c r="H2919">
        <v>0.25</v>
      </c>
      <c r="I2919">
        <v>0.25</v>
      </c>
      <c r="J2919">
        <v>0.25</v>
      </c>
      <c r="K2919">
        <v>1</v>
      </c>
      <c r="L2919">
        <v>115</v>
      </c>
      <c r="M2919">
        <v>0.25</v>
      </c>
      <c r="N2919">
        <v>498</v>
      </c>
      <c r="O2919">
        <v>0.35</v>
      </c>
      <c r="P2919">
        <v>0</v>
      </c>
      <c r="Q2919">
        <v>0</v>
      </c>
      <c r="R2919">
        <v>0</v>
      </c>
      <c r="S2919">
        <v>0</v>
      </c>
      <c r="T2919">
        <v>0.57679999999999998</v>
      </c>
      <c r="U2919">
        <v>-1.5E-3</v>
      </c>
      <c r="V2919">
        <v>0</v>
      </c>
      <c r="W2919">
        <v>-0.12839999999999999</v>
      </c>
      <c r="X2919">
        <v>6.3399999999999998E-2</v>
      </c>
      <c r="Y2919">
        <v>-3.2000000000000002E-3</v>
      </c>
      <c r="Z2919">
        <v>14</v>
      </c>
      <c r="AA2919">
        <v>0.25</v>
      </c>
      <c r="AB2919">
        <v>362</v>
      </c>
      <c r="AC2919">
        <v>0.4</v>
      </c>
      <c r="AD2919">
        <v>0</v>
      </c>
      <c r="AE2919">
        <v>0</v>
      </c>
      <c r="AF2919">
        <v>0.25</v>
      </c>
      <c r="AG2919">
        <v>41</v>
      </c>
      <c r="AH2919">
        <v>0</v>
      </c>
    </row>
    <row r="2920" spans="1:34" x14ac:dyDescent="0.35">
      <c r="A2920" t="s">
        <v>34</v>
      </c>
      <c r="B2920" s="1">
        <v>46146.65625</v>
      </c>
      <c r="C2920" t="s">
        <v>34</v>
      </c>
      <c r="D2920" s="1">
        <v>46157.625</v>
      </c>
      <c r="E2920">
        <v>5390</v>
      </c>
      <c r="F2920" t="s">
        <v>36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124</v>
      </c>
      <c r="M2920">
        <v>0.25</v>
      </c>
      <c r="N2920">
        <v>226</v>
      </c>
      <c r="O2920">
        <v>0.35</v>
      </c>
      <c r="P2920">
        <v>0</v>
      </c>
      <c r="Q2920">
        <v>0</v>
      </c>
      <c r="R2920">
        <v>0</v>
      </c>
      <c r="S2920">
        <v>0</v>
      </c>
      <c r="T2920">
        <v>0.57350000000000001</v>
      </c>
      <c r="U2920">
        <v>-1.5E-3</v>
      </c>
      <c r="V2920">
        <v>0</v>
      </c>
      <c r="W2920">
        <v>-0.1283</v>
      </c>
      <c r="X2920">
        <v>6.3799999999999996E-2</v>
      </c>
      <c r="Y2920">
        <v>-3.3E-3</v>
      </c>
      <c r="Z2920">
        <v>14</v>
      </c>
      <c r="AA2920">
        <v>0.25</v>
      </c>
      <c r="AB2920">
        <v>348</v>
      </c>
      <c r="AC2920">
        <v>0.4</v>
      </c>
      <c r="AD2920">
        <v>0</v>
      </c>
      <c r="AE2920">
        <v>0</v>
      </c>
      <c r="AF2920">
        <v>0</v>
      </c>
      <c r="AG2920">
        <v>41</v>
      </c>
      <c r="AH2920">
        <v>0</v>
      </c>
    </row>
    <row r="2921" spans="1:34" x14ac:dyDescent="0.35">
      <c r="A2921" t="s">
        <v>34</v>
      </c>
      <c r="B2921" s="1">
        <v>46146.65625</v>
      </c>
      <c r="C2921" t="s">
        <v>34</v>
      </c>
      <c r="D2921" s="1">
        <v>46157.625</v>
      </c>
      <c r="E2921">
        <v>5400</v>
      </c>
      <c r="F2921" t="s">
        <v>36</v>
      </c>
      <c r="G2921">
        <v>0.25</v>
      </c>
      <c r="H2921">
        <v>0.37</v>
      </c>
      <c r="I2921">
        <v>0.25</v>
      </c>
      <c r="J2921">
        <v>0.31</v>
      </c>
      <c r="K2921">
        <v>91</v>
      </c>
      <c r="L2921">
        <v>430</v>
      </c>
      <c r="M2921">
        <v>0.25</v>
      </c>
      <c r="N2921">
        <v>235</v>
      </c>
      <c r="O2921">
        <v>0.35</v>
      </c>
      <c r="P2921">
        <v>0</v>
      </c>
      <c r="Q2921">
        <v>0</v>
      </c>
      <c r="R2921">
        <v>0</v>
      </c>
      <c r="S2921">
        <v>0</v>
      </c>
      <c r="T2921">
        <v>0.57010000000000005</v>
      </c>
      <c r="U2921">
        <v>-1.5E-3</v>
      </c>
      <c r="V2921">
        <v>0</v>
      </c>
      <c r="W2921">
        <v>-0.1283</v>
      </c>
      <c r="X2921">
        <v>6.4100000000000004E-2</v>
      </c>
      <c r="Y2921">
        <v>-3.3E-3</v>
      </c>
      <c r="Z2921">
        <v>80</v>
      </c>
      <c r="AA2921">
        <v>0.25</v>
      </c>
      <c r="AB2921">
        <v>360</v>
      </c>
      <c r="AC2921">
        <v>0.4</v>
      </c>
      <c r="AD2921">
        <v>0</v>
      </c>
      <c r="AE2921">
        <v>0</v>
      </c>
      <c r="AF2921">
        <v>0.27089999999999997</v>
      </c>
      <c r="AG2921">
        <v>1330</v>
      </c>
      <c r="AH2921">
        <v>0</v>
      </c>
    </row>
    <row r="2922" spans="1:34" x14ac:dyDescent="0.35">
      <c r="A2922" t="s">
        <v>34</v>
      </c>
      <c r="B2922" s="1">
        <v>46146.65625</v>
      </c>
      <c r="C2922" t="s">
        <v>34</v>
      </c>
      <c r="D2922" s="1">
        <v>46157.625</v>
      </c>
      <c r="E2922">
        <v>5410</v>
      </c>
      <c r="F2922" t="s">
        <v>36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319</v>
      </c>
      <c r="M2922">
        <v>0.25</v>
      </c>
      <c r="N2922">
        <v>569</v>
      </c>
      <c r="O2922">
        <v>0.4</v>
      </c>
      <c r="P2922">
        <v>0</v>
      </c>
      <c r="Q2922">
        <v>0</v>
      </c>
      <c r="R2922">
        <v>0</v>
      </c>
      <c r="S2922">
        <v>0</v>
      </c>
      <c r="T2922">
        <v>0.57079999999999997</v>
      </c>
      <c r="U2922">
        <v>-1.6999999999999999E-3</v>
      </c>
      <c r="V2922">
        <v>0</v>
      </c>
      <c r="W2922">
        <v>-0.13769999999999999</v>
      </c>
      <c r="X2922">
        <v>6.8500000000000005E-2</v>
      </c>
      <c r="Y2922">
        <v>-3.5000000000000001E-3</v>
      </c>
      <c r="Z2922">
        <v>71</v>
      </c>
      <c r="AA2922">
        <v>0.25</v>
      </c>
      <c r="AB2922">
        <v>313</v>
      </c>
      <c r="AC2922">
        <v>0.4</v>
      </c>
      <c r="AD2922">
        <v>0</v>
      </c>
      <c r="AE2922">
        <v>0</v>
      </c>
      <c r="AF2922">
        <v>0</v>
      </c>
      <c r="AG2922">
        <v>53</v>
      </c>
      <c r="AH2922">
        <v>0</v>
      </c>
    </row>
    <row r="2923" spans="1:34" x14ac:dyDescent="0.35">
      <c r="A2923" t="s">
        <v>34</v>
      </c>
      <c r="B2923" s="1">
        <v>46146.65625</v>
      </c>
      <c r="C2923" t="s">
        <v>34</v>
      </c>
      <c r="D2923" s="1">
        <v>46157.625</v>
      </c>
      <c r="E2923">
        <v>5420</v>
      </c>
      <c r="F2923" t="s">
        <v>36</v>
      </c>
      <c r="G2923">
        <v>0.3</v>
      </c>
      <c r="H2923">
        <v>0.3</v>
      </c>
      <c r="I2923">
        <v>0.3</v>
      </c>
      <c r="J2923">
        <v>0.3</v>
      </c>
      <c r="K2923">
        <v>2</v>
      </c>
      <c r="L2923">
        <v>353</v>
      </c>
      <c r="M2923">
        <v>0.25</v>
      </c>
      <c r="N2923">
        <v>526</v>
      </c>
      <c r="O2923">
        <v>0.4</v>
      </c>
      <c r="P2923">
        <v>0</v>
      </c>
      <c r="Q2923">
        <v>0</v>
      </c>
      <c r="R2923">
        <v>0</v>
      </c>
      <c r="S2923">
        <v>0</v>
      </c>
      <c r="T2923">
        <v>0.56720000000000004</v>
      </c>
      <c r="U2923">
        <v>-1.6999999999999999E-3</v>
      </c>
      <c r="V2923">
        <v>0</v>
      </c>
      <c r="W2923">
        <v>-0.1376</v>
      </c>
      <c r="X2923">
        <v>6.8900000000000003E-2</v>
      </c>
      <c r="Y2923">
        <v>-3.5000000000000001E-3</v>
      </c>
      <c r="Z2923">
        <v>71</v>
      </c>
      <c r="AA2923">
        <v>0.25</v>
      </c>
      <c r="AB2923">
        <v>308</v>
      </c>
      <c r="AC2923">
        <v>0.4</v>
      </c>
      <c r="AD2923">
        <v>0</v>
      </c>
      <c r="AE2923">
        <v>0</v>
      </c>
      <c r="AF2923">
        <v>0.3</v>
      </c>
      <c r="AG2923">
        <v>67</v>
      </c>
      <c r="AH2923">
        <v>0</v>
      </c>
    </row>
    <row r="2924" spans="1:34" x14ac:dyDescent="0.35">
      <c r="A2924" t="s">
        <v>34</v>
      </c>
      <c r="B2924" s="1">
        <v>46146.65625</v>
      </c>
      <c r="C2924" t="s">
        <v>34</v>
      </c>
      <c r="D2924" s="1">
        <v>46157.625</v>
      </c>
      <c r="E2924">
        <v>5425</v>
      </c>
      <c r="F2924" t="s">
        <v>36</v>
      </c>
      <c r="G2924">
        <v>0.3</v>
      </c>
      <c r="H2924">
        <v>0.3</v>
      </c>
      <c r="I2924">
        <v>0.3</v>
      </c>
      <c r="J2924">
        <v>0.3</v>
      </c>
      <c r="K2924">
        <v>6</v>
      </c>
      <c r="L2924">
        <v>1</v>
      </c>
      <c r="M2924">
        <v>0.3</v>
      </c>
      <c r="N2924">
        <v>517</v>
      </c>
      <c r="O2924">
        <v>0.4</v>
      </c>
      <c r="P2924">
        <v>0</v>
      </c>
      <c r="Q2924">
        <v>0</v>
      </c>
      <c r="R2924">
        <v>0</v>
      </c>
      <c r="S2924">
        <v>0</v>
      </c>
      <c r="T2924">
        <v>0.56950000000000001</v>
      </c>
      <c r="U2924">
        <v>-1.8E-3</v>
      </c>
      <c r="V2924">
        <v>0</v>
      </c>
      <c r="W2924">
        <v>-0.1469</v>
      </c>
      <c r="X2924">
        <v>7.2999999999999995E-2</v>
      </c>
      <c r="Y2924">
        <v>-3.8E-3</v>
      </c>
      <c r="Z2924">
        <v>79</v>
      </c>
      <c r="AA2924">
        <v>0.25</v>
      </c>
      <c r="AB2924">
        <v>507</v>
      </c>
      <c r="AC2924">
        <v>0.4</v>
      </c>
      <c r="AD2924">
        <v>0</v>
      </c>
      <c r="AE2924">
        <v>0</v>
      </c>
      <c r="AF2924">
        <v>0.3</v>
      </c>
      <c r="AG2924">
        <v>70</v>
      </c>
      <c r="AH2924">
        <v>0</v>
      </c>
    </row>
    <row r="2925" spans="1:34" x14ac:dyDescent="0.35">
      <c r="A2925" t="s">
        <v>34</v>
      </c>
      <c r="B2925" s="1">
        <v>46146.65625</v>
      </c>
      <c r="C2925" t="s">
        <v>34</v>
      </c>
      <c r="D2925" s="1">
        <v>46157.625</v>
      </c>
      <c r="E2925">
        <v>5430</v>
      </c>
      <c r="F2925" t="s">
        <v>36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617</v>
      </c>
      <c r="M2925">
        <v>0.25</v>
      </c>
      <c r="N2925">
        <v>474</v>
      </c>
      <c r="O2925">
        <v>0.4</v>
      </c>
      <c r="P2925">
        <v>0</v>
      </c>
      <c r="Q2925">
        <v>0</v>
      </c>
      <c r="R2925">
        <v>0</v>
      </c>
      <c r="S2925">
        <v>0</v>
      </c>
      <c r="T2925">
        <v>0.56389999999999996</v>
      </c>
      <c r="U2925">
        <v>-1.6999999999999999E-3</v>
      </c>
      <c r="V2925">
        <v>0</v>
      </c>
      <c r="W2925">
        <v>-0.13750000000000001</v>
      </c>
      <c r="X2925">
        <v>6.93E-2</v>
      </c>
      <c r="Y2925">
        <v>-3.5999999999999999E-3</v>
      </c>
      <c r="Z2925">
        <v>82</v>
      </c>
      <c r="AA2925">
        <v>0.25</v>
      </c>
      <c r="AB2925">
        <v>213</v>
      </c>
      <c r="AC2925">
        <v>0.4</v>
      </c>
      <c r="AD2925">
        <v>0</v>
      </c>
      <c r="AE2925">
        <v>0</v>
      </c>
      <c r="AF2925">
        <v>0</v>
      </c>
      <c r="AG2925">
        <v>43</v>
      </c>
      <c r="AH2925">
        <v>0</v>
      </c>
    </row>
    <row r="2926" spans="1:34" x14ac:dyDescent="0.35">
      <c r="A2926" t="s">
        <v>34</v>
      </c>
      <c r="B2926" s="1">
        <v>46146.65625</v>
      </c>
      <c r="C2926" t="s">
        <v>34</v>
      </c>
      <c r="D2926" s="1">
        <v>46157.625</v>
      </c>
      <c r="E2926">
        <v>5440</v>
      </c>
      <c r="F2926" t="s">
        <v>36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426</v>
      </c>
      <c r="M2926">
        <v>0.25</v>
      </c>
      <c r="N2926">
        <v>430</v>
      </c>
      <c r="O2926">
        <v>0.4</v>
      </c>
      <c r="P2926">
        <v>0</v>
      </c>
      <c r="Q2926">
        <v>0</v>
      </c>
      <c r="R2926">
        <v>0</v>
      </c>
      <c r="S2926">
        <v>0</v>
      </c>
      <c r="T2926">
        <v>0.5605</v>
      </c>
      <c r="U2926">
        <v>-1.6999999999999999E-3</v>
      </c>
      <c r="V2926">
        <v>0</v>
      </c>
      <c r="W2926">
        <v>-0.13739999999999999</v>
      </c>
      <c r="X2926">
        <v>6.9699999999999998E-2</v>
      </c>
      <c r="Y2926">
        <v>-3.5999999999999999E-3</v>
      </c>
      <c r="Z2926">
        <v>86</v>
      </c>
      <c r="AA2926">
        <v>0.25</v>
      </c>
      <c r="AB2926">
        <v>212</v>
      </c>
      <c r="AC2926">
        <v>0.4</v>
      </c>
      <c r="AD2926">
        <v>0</v>
      </c>
      <c r="AE2926">
        <v>0</v>
      </c>
      <c r="AF2926">
        <v>0</v>
      </c>
      <c r="AG2926">
        <v>587</v>
      </c>
      <c r="AH2926">
        <v>0</v>
      </c>
    </row>
    <row r="2927" spans="1:34" x14ac:dyDescent="0.35">
      <c r="A2927" t="s">
        <v>34</v>
      </c>
      <c r="B2927" s="1">
        <v>46146.65625</v>
      </c>
      <c r="C2927" t="s">
        <v>34</v>
      </c>
      <c r="D2927" s="1">
        <v>46157.625</v>
      </c>
      <c r="E2927">
        <v>5450</v>
      </c>
      <c r="F2927" t="s">
        <v>36</v>
      </c>
      <c r="G2927">
        <v>0.3</v>
      </c>
      <c r="H2927">
        <v>0.35</v>
      </c>
      <c r="I2927">
        <v>0.3</v>
      </c>
      <c r="J2927">
        <v>0.35</v>
      </c>
      <c r="K2927">
        <v>203</v>
      </c>
      <c r="L2927">
        <v>80</v>
      </c>
      <c r="M2927">
        <v>0.3</v>
      </c>
      <c r="N2927">
        <v>431</v>
      </c>
      <c r="O2927">
        <v>0.4</v>
      </c>
      <c r="P2927">
        <v>0</v>
      </c>
      <c r="Q2927">
        <v>0</v>
      </c>
      <c r="R2927">
        <v>0</v>
      </c>
      <c r="S2927">
        <v>0</v>
      </c>
      <c r="T2927">
        <v>0.56100000000000005</v>
      </c>
      <c r="U2927">
        <v>-1.8E-3</v>
      </c>
      <c r="V2927">
        <v>0</v>
      </c>
      <c r="W2927">
        <v>-0.1467</v>
      </c>
      <c r="X2927">
        <v>7.3999999999999996E-2</v>
      </c>
      <c r="Y2927">
        <v>-3.8E-3</v>
      </c>
      <c r="Z2927">
        <v>116</v>
      </c>
      <c r="AA2927">
        <v>0.25</v>
      </c>
      <c r="AB2927">
        <v>215</v>
      </c>
      <c r="AC2927">
        <v>0.4</v>
      </c>
      <c r="AD2927">
        <v>0</v>
      </c>
      <c r="AE2927">
        <v>0</v>
      </c>
      <c r="AF2927">
        <v>0.3246</v>
      </c>
      <c r="AG2927">
        <v>345</v>
      </c>
      <c r="AH2927">
        <v>0</v>
      </c>
    </row>
    <row r="2928" spans="1:34" x14ac:dyDescent="0.35">
      <c r="A2928" t="s">
        <v>34</v>
      </c>
      <c r="B2928" s="1">
        <v>46146.65625</v>
      </c>
      <c r="C2928" t="s">
        <v>34</v>
      </c>
      <c r="D2928" s="1">
        <v>46157.625</v>
      </c>
      <c r="E2928">
        <v>5460</v>
      </c>
      <c r="F2928" t="s">
        <v>36</v>
      </c>
      <c r="G2928">
        <v>0.3</v>
      </c>
      <c r="H2928">
        <v>0.3</v>
      </c>
      <c r="I2928">
        <v>0.3</v>
      </c>
      <c r="J2928">
        <v>0.3</v>
      </c>
      <c r="K2928">
        <v>1</v>
      </c>
      <c r="L2928">
        <v>69</v>
      </c>
      <c r="M2928">
        <v>0.3</v>
      </c>
      <c r="N2928">
        <v>514</v>
      </c>
      <c r="O2928">
        <v>0.4</v>
      </c>
      <c r="P2928">
        <v>0</v>
      </c>
      <c r="Q2928">
        <v>0</v>
      </c>
      <c r="R2928">
        <v>0</v>
      </c>
      <c r="S2928">
        <v>0</v>
      </c>
      <c r="T2928">
        <v>0.5575</v>
      </c>
      <c r="U2928">
        <v>-1.8E-3</v>
      </c>
      <c r="V2928">
        <v>0</v>
      </c>
      <c r="W2928">
        <v>-0.14660000000000001</v>
      </c>
      <c r="X2928">
        <v>7.4399999999999994E-2</v>
      </c>
      <c r="Y2928">
        <v>-3.8999999999999998E-3</v>
      </c>
      <c r="Z2928">
        <v>88</v>
      </c>
      <c r="AA2928">
        <v>0.25</v>
      </c>
      <c r="AB2928">
        <v>341</v>
      </c>
      <c r="AC2928">
        <v>0.45</v>
      </c>
      <c r="AD2928">
        <v>0</v>
      </c>
      <c r="AE2928">
        <v>0</v>
      </c>
      <c r="AF2928">
        <v>0.3</v>
      </c>
      <c r="AG2928">
        <v>76</v>
      </c>
      <c r="AH2928">
        <v>0</v>
      </c>
    </row>
    <row r="2929" spans="1:34" x14ac:dyDescent="0.35">
      <c r="A2929" t="s">
        <v>34</v>
      </c>
      <c r="B2929" s="1">
        <v>46146.65625</v>
      </c>
      <c r="C2929" t="s">
        <v>34</v>
      </c>
      <c r="D2929" s="1">
        <v>46157.625</v>
      </c>
      <c r="E2929">
        <v>5470</v>
      </c>
      <c r="F2929" t="s">
        <v>36</v>
      </c>
      <c r="G2929">
        <v>0.3</v>
      </c>
      <c r="H2929">
        <v>0.3</v>
      </c>
      <c r="I2929">
        <v>0.3</v>
      </c>
      <c r="J2929">
        <v>0.3</v>
      </c>
      <c r="K2929">
        <v>1</v>
      </c>
      <c r="L2929">
        <v>111</v>
      </c>
      <c r="M2929">
        <v>0.3</v>
      </c>
      <c r="N2929">
        <v>413</v>
      </c>
      <c r="O2929">
        <v>0.4</v>
      </c>
      <c r="P2929">
        <v>0</v>
      </c>
      <c r="Q2929">
        <v>0</v>
      </c>
      <c r="R2929">
        <v>0</v>
      </c>
      <c r="S2929">
        <v>0</v>
      </c>
      <c r="T2929">
        <v>0.55420000000000003</v>
      </c>
      <c r="U2929">
        <v>-1.8E-3</v>
      </c>
      <c r="V2929">
        <v>0</v>
      </c>
      <c r="W2929">
        <v>-0.14649999999999999</v>
      </c>
      <c r="X2929">
        <v>7.4800000000000005E-2</v>
      </c>
      <c r="Y2929">
        <v>-3.8999999999999998E-3</v>
      </c>
      <c r="Z2929">
        <v>104</v>
      </c>
      <c r="AA2929">
        <v>0.25</v>
      </c>
      <c r="AB2929">
        <v>330</v>
      </c>
      <c r="AC2929">
        <v>0.45</v>
      </c>
      <c r="AD2929">
        <v>0</v>
      </c>
      <c r="AE2929">
        <v>0</v>
      </c>
      <c r="AF2929">
        <v>0.3</v>
      </c>
      <c r="AG2929">
        <v>38</v>
      </c>
      <c r="AH2929">
        <v>0</v>
      </c>
    </row>
    <row r="2930" spans="1:34" x14ac:dyDescent="0.35">
      <c r="A2930" t="s">
        <v>34</v>
      </c>
      <c r="B2930" s="1">
        <v>46146.65625</v>
      </c>
      <c r="C2930" t="s">
        <v>34</v>
      </c>
      <c r="D2930" s="1">
        <v>46157.625</v>
      </c>
      <c r="E2930">
        <v>5475</v>
      </c>
      <c r="F2930" t="s">
        <v>36</v>
      </c>
      <c r="G2930">
        <v>0.35</v>
      </c>
      <c r="H2930">
        <v>0.35</v>
      </c>
      <c r="I2930">
        <v>0.35</v>
      </c>
      <c r="J2930">
        <v>0.35</v>
      </c>
      <c r="K2930">
        <v>1</v>
      </c>
      <c r="L2930">
        <v>130</v>
      </c>
      <c r="M2930">
        <v>0.3</v>
      </c>
      <c r="N2930">
        <v>221</v>
      </c>
      <c r="O2930">
        <v>0.4</v>
      </c>
      <c r="P2930">
        <v>0</v>
      </c>
      <c r="Q2930">
        <v>0</v>
      </c>
      <c r="R2930">
        <v>0</v>
      </c>
      <c r="S2930">
        <v>0</v>
      </c>
      <c r="T2930">
        <v>0.55220000000000002</v>
      </c>
      <c r="U2930">
        <v>-1.8E-3</v>
      </c>
      <c r="V2930">
        <v>0</v>
      </c>
      <c r="W2930">
        <v>-0.14649999999999999</v>
      </c>
      <c r="X2930">
        <v>7.51E-2</v>
      </c>
      <c r="Y2930">
        <v>-3.8999999999999998E-3</v>
      </c>
      <c r="Z2930">
        <v>58</v>
      </c>
      <c r="AA2930">
        <v>0.3</v>
      </c>
      <c r="AB2930">
        <v>333</v>
      </c>
      <c r="AC2930">
        <v>0.45</v>
      </c>
      <c r="AD2930">
        <v>0</v>
      </c>
      <c r="AE2930">
        <v>0</v>
      </c>
      <c r="AF2930">
        <v>0.35</v>
      </c>
      <c r="AG2930">
        <v>83</v>
      </c>
      <c r="AH2930">
        <v>0</v>
      </c>
    </row>
    <row r="2931" spans="1:34" x14ac:dyDescent="0.35">
      <c r="A2931" t="s">
        <v>34</v>
      </c>
      <c r="B2931" s="1">
        <v>46146.65625</v>
      </c>
      <c r="C2931" t="s">
        <v>34</v>
      </c>
      <c r="D2931" s="1">
        <v>46157.625</v>
      </c>
      <c r="E2931">
        <v>5480</v>
      </c>
      <c r="F2931" t="s">
        <v>36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274</v>
      </c>
      <c r="M2931">
        <v>0.3</v>
      </c>
      <c r="N2931">
        <v>573</v>
      </c>
      <c r="O2931">
        <v>0.45</v>
      </c>
      <c r="P2931">
        <v>0</v>
      </c>
      <c r="Q2931">
        <v>0</v>
      </c>
      <c r="R2931">
        <v>0</v>
      </c>
      <c r="S2931">
        <v>0</v>
      </c>
      <c r="T2931">
        <v>0.55430000000000001</v>
      </c>
      <c r="U2931">
        <v>-1.9E-3</v>
      </c>
      <c r="V2931">
        <v>0</v>
      </c>
      <c r="W2931">
        <v>-0.15570000000000001</v>
      </c>
      <c r="X2931">
        <v>7.9200000000000007E-2</v>
      </c>
      <c r="Y2931">
        <v>-4.1000000000000003E-3</v>
      </c>
      <c r="Z2931">
        <v>14</v>
      </c>
      <c r="AA2931">
        <v>0.3</v>
      </c>
      <c r="AB2931">
        <v>316</v>
      </c>
      <c r="AC2931">
        <v>0.45</v>
      </c>
      <c r="AD2931">
        <v>0</v>
      </c>
      <c r="AE2931">
        <v>0</v>
      </c>
      <c r="AF2931">
        <v>0</v>
      </c>
      <c r="AG2931">
        <v>23</v>
      </c>
      <c r="AH2931">
        <v>0</v>
      </c>
    </row>
    <row r="2932" spans="1:34" x14ac:dyDescent="0.35">
      <c r="A2932" t="s">
        <v>34</v>
      </c>
      <c r="B2932" s="1">
        <v>46146.65625</v>
      </c>
      <c r="C2932" t="s">
        <v>34</v>
      </c>
      <c r="D2932" s="1">
        <v>46157.625</v>
      </c>
      <c r="E2932">
        <v>5490</v>
      </c>
      <c r="F2932" t="s">
        <v>36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527</v>
      </c>
      <c r="M2932">
        <v>0.3</v>
      </c>
      <c r="N2932">
        <v>526</v>
      </c>
      <c r="O2932">
        <v>0.45</v>
      </c>
      <c r="P2932">
        <v>0</v>
      </c>
      <c r="Q2932">
        <v>0</v>
      </c>
      <c r="R2932">
        <v>0</v>
      </c>
      <c r="S2932">
        <v>0</v>
      </c>
      <c r="T2932">
        <v>0.55089999999999995</v>
      </c>
      <c r="U2932">
        <v>-2E-3</v>
      </c>
      <c r="V2932">
        <v>0</v>
      </c>
      <c r="W2932">
        <v>-0.15559999999999999</v>
      </c>
      <c r="X2932">
        <v>7.9600000000000004E-2</v>
      </c>
      <c r="Y2932">
        <v>-4.1999999999999997E-3</v>
      </c>
      <c r="Z2932">
        <v>14</v>
      </c>
      <c r="AA2932">
        <v>0.3</v>
      </c>
      <c r="AB2932">
        <v>304</v>
      </c>
      <c r="AC2932">
        <v>0.45</v>
      </c>
      <c r="AD2932">
        <v>0</v>
      </c>
      <c r="AE2932">
        <v>0</v>
      </c>
      <c r="AF2932">
        <v>0</v>
      </c>
      <c r="AG2932">
        <v>31</v>
      </c>
      <c r="AH2932">
        <v>0</v>
      </c>
    </row>
    <row r="2933" spans="1:34" x14ac:dyDescent="0.35">
      <c r="A2933" t="s">
        <v>34</v>
      </c>
      <c r="B2933" s="1">
        <v>46146.65625</v>
      </c>
      <c r="C2933" t="s">
        <v>34</v>
      </c>
      <c r="D2933" s="1">
        <v>46157.625</v>
      </c>
      <c r="E2933">
        <v>5500</v>
      </c>
      <c r="F2933" t="s">
        <v>36</v>
      </c>
      <c r="G2933">
        <v>0.35</v>
      </c>
      <c r="H2933">
        <v>0.42</v>
      </c>
      <c r="I2933">
        <v>0.35</v>
      </c>
      <c r="J2933">
        <v>0.42</v>
      </c>
      <c r="K2933">
        <v>9</v>
      </c>
      <c r="L2933">
        <v>343</v>
      </c>
      <c r="M2933">
        <v>0.3</v>
      </c>
      <c r="N2933">
        <v>524</v>
      </c>
      <c r="O2933">
        <v>0.45</v>
      </c>
      <c r="P2933">
        <v>0</v>
      </c>
      <c r="Q2933">
        <v>0</v>
      </c>
      <c r="R2933">
        <v>0</v>
      </c>
      <c r="S2933">
        <v>0</v>
      </c>
      <c r="T2933">
        <v>0.54749999999999999</v>
      </c>
      <c r="U2933">
        <v>-2E-3</v>
      </c>
      <c r="V2933">
        <v>0</v>
      </c>
      <c r="W2933">
        <v>-0.1555</v>
      </c>
      <c r="X2933">
        <v>8.0100000000000005E-2</v>
      </c>
      <c r="Y2933">
        <v>-4.1999999999999997E-3</v>
      </c>
      <c r="Z2933">
        <v>92</v>
      </c>
      <c r="AA2933">
        <v>0.3</v>
      </c>
      <c r="AB2933">
        <v>525</v>
      </c>
      <c r="AC2933">
        <v>0.45</v>
      </c>
      <c r="AD2933">
        <v>0</v>
      </c>
      <c r="AE2933">
        <v>0</v>
      </c>
      <c r="AF2933">
        <v>0.3967</v>
      </c>
      <c r="AG2933">
        <v>1028</v>
      </c>
      <c r="AH2933">
        <v>0</v>
      </c>
    </row>
    <row r="2934" spans="1:34" x14ac:dyDescent="0.35">
      <c r="A2934" t="s">
        <v>34</v>
      </c>
      <c r="B2934" s="1">
        <v>46146.65625</v>
      </c>
      <c r="C2934" t="s">
        <v>34</v>
      </c>
      <c r="D2934" s="1">
        <v>46157.625</v>
      </c>
      <c r="E2934">
        <v>5510</v>
      </c>
      <c r="F2934" t="s">
        <v>36</v>
      </c>
      <c r="G2934">
        <v>0.35</v>
      </c>
      <c r="H2934">
        <v>0.35</v>
      </c>
      <c r="I2934">
        <v>0.35</v>
      </c>
      <c r="J2934">
        <v>0.35</v>
      </c>
      <c r="K2934">
        <v>1</v>
      </c>
      <c r="L2934">
        <v>604</v>
      </c>
      <c r="M2934">
        <v>0.3</v>
      </c>
      <c r="N2934">
        <v>424</v>
      </c>
      <c r="O2934">
        <v>0.45</v>
      </c>
      <c r="P2934">
        <v>0</v>
      </c>
      <c r="Q2934">
        <v>0</v>
      </c>
      <c r="R2934">
        <v>0</v>
      </c>
      <c r="S2934">
        <v>0</v>
      </c>
      <c r="T2934">
        <v>0.54400000000000004</v>
      </c>
      <c r="U2934">
        <v>-2E-3</v>
      </c>
      <c r="V2934">
        <v>0</v>
      </c>
      <c r="W2934">
        <v>-0.15540000000000001</v>
      </c>
      <c r="X2934">
        <v>8.0500000000000002E-2</v>
      </c>
      <c r="Y2934">
        <v>-4.1999999999999997E-3</v>
      </c>
      <c r="Z2934">
        <v>68</v>
      </c>
      <c r="AA2934">
        <v>0.3</v>
      </c>
      <c r="AB2934">
        <v>232</v>
      </c>
      <c r="AC2934">
        <v>0.45</v>
      </c>
      <c r="AD2934">
        <v>0</v>
      </c>
      <c r="AE2934">
        <v>0</v>
      </c>
      <c r="AF2934">
        <v>0.35</v>
      </c>
      <c r="AG2934">
        <v>188</v>
      </c>
      <c r="AH2934">
        <v>0</v>
      </c>
    </row>
    <row r="2935" spans="1:34" x14ac:dyDescent="0.35">
      <c r="A2935" t="s">
        <v>34</v>
      </c>
      <c r="B2935" s="1">
        <v>46146.65625</v>
      </c>
      <c r="C2935" t="s">
        <v>34</v>
      </c>
      <c r="D2935" s="1">
        <v>46157.625</v>
      </c>
      <c r="E2935">
        <v>5520</v>
      </c>
      <c r="F2935" t="s">
        <v>36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410</v>
      </c>
      <c r="M2935">
        <v>0.3</v>
      </c>
      <c r="N2935">
        <v>379</v>
      </c>
      <c r="O2935">
        <v>0.45</v>
      </c>
      <c r="P2935">
        <v>0</v>
      </c>
      <c r="Q2935">
        <v>0</v>
      </c>
      <c r="R2935">
        <v>0</v>
      </c>
      <c r="S2935">
        <v>0</v>
      </c>
      <c r="T2935">
        <v>0.54059999999999997</v>
      </c>
      <c r="U2935">
        <v>-2E-3</v>
      </c>
      <c r="V2935">
        <v>0</v>
      </c>
      <c r="W2935">
        <v>-0.15529999999999999</v>
      </c>
      <c r="X2935">
        <v>8.1000000000000003E-2</v>
      </c>
      <c r="Y2935">
        <v>-4.1999999999999997E-3</v>
      </c>
      <c r="Z2935">
        <v>84</v>
      </c>
      <c r="AA2935">
        <v>0.3</v>
      </c>
      <c r="AB2935">
        <v>197</v>
      </c>
      <c r="AC2935">
        <v>0.45</v>
      </c>
      <c r="AD2935">
        <v>0</v>
      </c>
      <c r="AE2935">
        <v>0</v>
      </c>
      <c r="AF2935">
        <v>0</v>
      </c>
      <c r="AG2935">
        <v>55</v>
      </c>
      <c r="AH2935">
        <v>0</v>
      </c>
    </row>
    <row r="2936" spans="1:34" x14ac:dyDescent="0.35">
      <c r="A2936" t="s">
        <v>34</v>
      </c>
      <c r="B2936" s="1">
        <v>46146.65625</v>
      </c>
      <c r="C2936" t="s">
        <v>34</v>
      </c>
      <c r="D2936" s="1">
        <v>46157.625</v>
      </c>
      <c r="E2936">
        <v>5525</v>
      </c>
      <c r="F2936" t="s">
        <v>36</v>
      </c>
      <c r="G2936">
        <v>0.4</v>
      </c>
      <c r="H2936">
        <v>0.4</v>
      </c>
      <c r="I2936">
        <v>0.4</v>
      </c>
      <c r="J2936">
        <v>0.4</v>
      </c>
      <c r="K2936">
        <v>180</v>
      </c>
      <c r="L2936">
        <v>75</v>
      </c>
      <c r="M2936">
        <v>0.35</v>
      </c>
      <c r="N2936">
        <v>413</v>
      </c>
      <c r="O2936">
        <v>0.45</v>
      </c>
      <c r="P2936">
        <v>0</v>
      </c>
      <c r="Q2936">
        <v>0</v>
      </c>
      <c r="R2936">
        <v>0</v>
      </c>
      <c r="S2936">
        <v>0</v>
      </c>
      <c r="T2936">
        <v>0.5423</v>
      </c>
      <c r="U2936">
        <v>-2.0999999999999999E-3</v>
      </c>
      <c r="V2936">
        <v>0</v>
      </c>
      <c r="W2936">
        <v>-0.16439999999999999</v>
      </c>
      <c r="X2936">
        <v>8.5099999999999995E-2</v>
      </c>
      <c r="Y2936">
        <v>-4.4999999999999997E-3</v>
      </c>
      <c r="Z2936">
        <v>112</v>
      </c>
      <c r="AA2936">
        <v>0.3</v>
      </c>
      <c r="AB2936">
        <v>203</v>
      </c>
      <c r="AC2936">
        <v>0.45</v>
      </c>
      <c r="AD2936">
        <v>0</v>
      </c>
      <c r="AE2936">
        <v>0</v>
      </c>
      <c r="AF2936">
        <v>0.4</v>
      </c>
      <c r="AG2936">
        <v>53</v>
      </c>
      <c r="AH2936">
        <v>0</v>
      </c>
    </row>
    <row r="2937" spans="1:34" x14ac:dyDescent="0.35">
      <c r="A2937" t="s">
        <v>34</v>
      </c>
      <c r="B2937" s="1">
        <v>46146.65625</v>
      </c>
      <c r="C2937" t="s">
        <v>34</v>
      </c>
      <c r="D2937" s="1">
        <v>46157.625</v>
      </c>
      <c r="E2937">
        <v>5530</v>
      </c>
      <c r="F2937" t="s">
        <v>36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65</v>
      </c>
      <c r="M2937">
        <v>0.35</v>
      </c>
      <c r="N2937">
        <v>569</v>
      </c>
      <c r="O2937">
        <v>0.45</v>
      </c>
      <c r="P2937">
        <v>0</v>
      </c>
      <c r="Q2937">
        <v>0</v>
      </c>
      <c r="R2937">
        <v>0</v>
      </c>
      <c r="S2937">
        <v>0</v>
      </c>
      <c r="T2937">
        <v>0.54049999999999998</v>
      </c>
      <c r="U2937">
        <v>-2.0999999999999999E-3</v>
      </c>
      <c r="V2937">
        <v>0</v>
      </c>
      <c r="W2937">
        <v>-0.1643</v>
      </c>
      <c r="X2937">
        <v>8.5400000000000004E-2</v>
      </c>
      <c r="Y2937">
        <v>-4.4999999999999997E-3</v>
      </c>
      <c r="Z2937">
        <v>86</v>
      </c>
      <c r="AA2937">
        <v>0.3</v>
      </c>
      <c r="AB2937">
        <v>326</v>
      </c>
      <c r="AC2937">
        <v>0.5</v>
      </c>
      <c r="AD2937">
        <v>0</v>
      </c>
      <c r="AE2937">
        <v>0</v>
      </c>
      <c r="AF2937">
        <v>0</v>
      </c>
      <c r="AG2937">
        <v>48</v>
      </c>
      <c r="AH2937">
        <v>0</v>
      </c>
    </row>
    <row r="2938" spans="1:34" x14ac:dyDescent="0.35">
      <c r="A2938" t="s">
        <v>34</v>
      </c>
      <c r="B2938" s="1">
        <v>46146.65625</v>
      </c>
      <c r="C2938" t="s">
        <v>34</v>
      </c>
      <c r="D2938" s="1">
        <v>46157.625</v>
      </c>
      <c r="E2938">
        <v>5540</v>
      </c>
      <c r="F2938" t="s">
        <v>36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65</v>
      </c>
      <c r="M2938">
        <v>0.35</v>
      </c>
      <c r="N2938">
        <v>415</v>
      </c>
      <c r="O2938">
        <v>0.45</v>
      </c>
      <c r="P2938">
        <v>0</v>
      </c>
      <c r="Q2938">
        <v>0</v>
      </c>
      <c r="R2938">
        <v>0</v>
      </c>
      <c r="S2938">
        <v>0</v>
      </c>
      <c r="T2938">
        <v>0.53710000000000002</v>
      </c>
      <c r="U2938">
        <v>-2.0999999999999999E-3</v>
      </c>
      <c r="V2938">
        <v>0</v>
      </c>
      <c r="W2938">
        <v>-0.16420000000000001</v>
      </c>
      <c r="X2938">
        <v>8.5900000000000004E-2</v>
      </c>
      <c r="Y2938">
        <v>-4.4999999999999997E-3</v>
      </c>
      <c r="Z2938">
        <v>93</v>
      </c>
      <c r="AA2938">
        <v>0.3</v>
      </c>
      <c r="AB2938">
        <v>313</v>
      </c>
      <c r="AC2938">
        <v>0.5</v>
      </c>
      <c r="AD2938">
        <v>0</v>
      </c>
      <c r="AE2938">
        <v>0</v>
      </c>
      <c r="AF2938">
        <v>0</v>
      </c>
      <c r="AG2938">
        <v>40</v>
      </c>
      <c r="AH2938">
        <v>0</v>
      </c>
    </row>
    <row r="2939" spans="1:34" x14ac:dyDescent="0.35">
      <c r="A2939" t="s">
        <v>34</v>
      </c>
      <c r="B2939" s="1">
        <v>46146.65625</v>
      </c>
      <c r="C2939" t="s">
        <v>34</v>
      </c>
      <c r="D2939" s="1">
        <v>46157.625</v>
      </c>
      <c r="E2939">
        <v>5550</v>
      </c>
      <c r="F2939" t="s">
        <v>36</v>
      </c>
      <c r="G2939">
        <v>0.35</v>
      </c>
      <c r="H2939">
        <v>0.42</v>
      </c>
      <c r="I2939">
        <v>0.35</v>
      </c>
      <c r="J2939">
        <v>0.42</v>
      </c>
      <c r="K2939">
        <v>7</v>
      </c>
      <c r="L2939">
        <v>117</v>
      </c>
      <c r="M2939">
        <v>0.35</v>
      </c>
      <c r="N2939">
        <v>156</v>
      </c>
      <c r="O2939">
        <v>0.45</v>
      </c>
      <c r="P2939">
        <v>0</v>
      </c>
      <c r="Q2939">
        <v>0</v>
      </c>
      <c r="R2939">
        <v>0</v>
      </c>
      <c r="S2939">
        <v>0</v>
      </c>
      <c r="T2939">
        <v>0.53380000000000005</v>
      </c>
      <c r="U2939">
        <v>-2.0999999999999999E-3</v>
      </c>
      <c r="V2939">
        <v>0</v>
      </c>
      <c r="W2939">
        <v>-0.1641</v>
      </c>
      <c r="X2939">
        <v>8.6300000000000002E-2</v>
      </c>
      <c r="Y2939">
        <v>-4.4999999999999997E-3</v>
      </c>
      <c r="Z2939">
        <v>14</v>
      </c>
      <c r="AA2939">
        <v>0.35</v>
      </c>
      <c r="AB2939">
        <v>310</v>
      </c>
      <c r="AC2939">
        <v>0.5</v>
      </c>
      <c r="AD2939">
        <v>0</v>
      </c>
      <c r="AE2939">
        <v>0</v>
      </c>
      <c r="AF2939">
        <v>0.41</v>
      </c>
      <c r="AG2939">
        <v>431</v>
      </c>
      <c r="AH2939">
        <v>0</v>
      </c>
    </row>
    <row r="2940" spans="1:34" x14ac:dyDescent="0.35">
      <c r="A2940" t="s">
        <v>34</v>
      </c>
      <c r="B2940" s="1">
        <v>46146.65625</v>
      </c>
      <c r="C2940" t="s">
        <v>34</v>
      </c>
      <c r="D2940" s="1">
        <v>46157.625</v>
      </c>
      <c r="E2940">
        <v>5560</v>
      </c>
      <c r="F2940" t="s">
        <v>36</v>
      </c>
      <c r="G2940">
        <v>0.35</v>
      </c>
      <c r="H2940">
        <v>0.35</v>
      </c>
      <c r="I2940">
        <v>0.35</v>
      </c>
      <c r="J2940">
        <v>0.35</v>
      </c>
      <c r="K2940">
        <v>1</v>
      </c>
      <c r="L2940">
        <v>271</v>
      </c>
      <c r="M2940">
        <v>0.35</v>
      </c>
      <c r="N2940">
        <v>494</v>
      </c>
      <c r="O2940">
        <v>0.5</v>
      </c>
      <c r="P2940">
        <v>0</v>
      </c>
      <c r="Q2940">
        <v>0</v>
      </c>
      <c r="R2940">
        <v>0</v>
      </c>
      <c r="S2940">
        <v>0</v>
      </c>
      <c r="T2940">
        <v>0.53349999999999997</v>
      </c>
      <c r="U2940">
        <v>-2.3E-3</v>
      </c>
      <c r="V2940">
        <v>0</v>
      </c>
      <c r="W2940">
        <v>-0.17299999999999999</v>
      </c>
      <c r="X2940">
        <v>9.0700000000000003E-2</v>
      </c>
      <c r="Y2940">
        <v>-4.7999999999999996E-3</v>
      </c>
      <c r="Z2940">
        <v>14</v>
      </c>
      <c r="AA2940">
        <v>0.35</v>
      </c>
      <c r="AB2940">
        <v>291</v>
      </c>
      <c r="AC2940">
        <v>0.5</v>
      </c>
      <c r="AD2940">
        <v>0</v>
      </c>
      <c r="AE2940">
        <v>0</v>
      </c>
      <c r="AF2940">
        <v>0.35</v>
      </c>
      <c r="AG2940">
        <v>77</v>
      </c>
      <c r="AH2940">
        <v>0</v>
      </c>
    </row>
    <row r="2941" spans="1:34" x14ac:dyDescent="0.35">
      <c r="A2941" t="s">
        <v>34</v>
      </c>
      <c r="B2941" s="1">
        <v>46146.65625</v>
      </c>
      <c r="C2941" t="s">
        <v>34</v>
      </c>
      <c r="D2941" s="1">
        <v>46157.625</v>
      </c>
      <c r="E2941">
        <v>5570</v>
      </c>
      <c r="F2941" t="s">
        <v>36</v>
      </c>
      <c r="G2941">
        <v>0.45</v>
      </c>
      <c r="H2941">
        <v>0.47</v>
      </c>
      <c r="I2941">
        <v>0.45</v>
      </c>
      <c r="J2941">
        <v>0.47</v>
      </c>
      <c r="K2941">
        <v>100</v>
      </c>
      <c r="L2941">
        <v>309</v>
      </c>
      <c r="M2941">
        <v>0.35</v>
      </c>
      <c r="N2941">
        <v>479</v>
      </c>
      <c r="O2941">
        <v>0.5</v>
      </c>
      <c r="P2941">
        <v>0</v>
      </c>
      <c r="Q2941">
        <v>0</v>
      </c>
      <c r="R2941">
        <v>0</v>
      </c>
      <c r="S2941">
        <v>0</v>
      </c>
      <c r="T2941">
        <v>0.53010000000000002</v>
      </c>
      <c r="U2941">
        <v>-2.3E-3</v>
      </c>
      <c r="V2941">
        <v>0</v>
      </c>
      <c r="W2941">
        <v>-0.1729</v>
      </c>
      <c r="X2941">
        <v>9.1300000000000006E-2</v>
      </c>
      <c r="Y2941">
        <v>-4.7999999999999996E-3</v>
      </c>
      <c r="Z2941">
        <v>83</v>
      </c>
      <c r="AA2941">
        <v>0.35</v>
      </c>
      <c r="AB2941">
        <v>488</v>
      </c>
      <c r="AC2941">
        <v>0.5</v>
      </c>
      <c r="AD2941">
        <v>0</v>
      </c>
      <c r="AE2941">
        <v>0</v>
      </c>
      <c r="AF2941">
        <v>0.46</v>
      </c>
      <c r="AG2941">
        <v>31</v>
      </c>
      <c r="AH2941">
        <v>0</v>
      </c>
    </row>
    <row r="2942" spans="1:34" x14ac:dyDescent="0.35">
      <c r="A2942" t="s">
        <v>34</v>
      </c>
      <c r="B2942" s="1">
        <v>46146.65625</v>
      </c>
      <c r="C2942" t="s">
        <v>34</v>
      </c>
      <c r="D2942" s="1">
        <v>46157.625</v>
      </c>
      <c r="E2942">
        <v>5575</v>
      </c>
      <c r="F2942" t="s">
        <v>36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341</v>
      </c>
      <c r="M2942">
        <v>0.35</v>
      </c>
      <c r="N2942">
        <v>434</v>
      </c>
      <c r="O2942">
        <v>0.5</v>
      </c>
      <c r="P2942">
        <v>0</v>
      </c>
      <c r="Q2942">
        <v>0</v>
      </c>
      <c r="R2942">
        <v>0</v>
      </c>
      <c r="S2942">
        <v>0</v>
      </c>
      <c r="T2942">
        <v>0.52839999999999998</v>
      </c>
      <c r="U2942">
        <v>-2.3E-3</v>
      </c>
      <c r="V2942">
        <v>0</v>
      </c>
      <c r="W2942">
        <v>-0.17280000000000001</v>
      </c>
      <c r="X2942">
        <v>9.1499999999999998E-2</v>
      </c>
      <c r="Y2942">
        <v>-4.7999999999999996E-3</v>
      </c>
      <c r="Z2942">
        <v>74</v>
      </c>
      <c r="AA2942">
        <v>0.35</v>
      </c>
      <c r="AB2942">
        <v>405</v>
      </c>
      <c r="AC2942">
        <v>0.5</v>
      </c>
      <c r="AD2942">
        <v>0</v>
      </c>
      <c r="AE2942">
        <v>0</v>
      </c>
      <c r="AF2942">
        <v>0</v>
      </c>
      <c r="AG2942">
        <v>117</v>
      </c>
      <c r="AH2942">
        <v>0</v>
      </c>
    </row>
    <row r="2943" spans="1:34" x14ac:dyDescent="0.35">
      <c r="A2943" t="s">
        <v>34</v>
      </c>
      <c r="B2943" s="1">
        <v>46146.65625</v>
      </c>
      <c r="C2943" t="s">
        <v>34</v>
      </c>
      <c r="D2943" s="1">
        <v>46157.625</v>
      </c>
      <c r="E2943">
        <v>5580</v>
      </c>
      <c r="F2943" t="s">
        <v>36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351</v>
      </c>
      <c r="M2943">
        <v>0.35</v>
      </c>
      <c r="N2943">
        <v>389</v>
      </c>
      <c r="O2943">
        <v>0.5</v>
      </c>
      <c r="P2943">
        <v>0</v>
      </c>
      <c r="Q2943">
        <v>0</v>
      </c>
      <c r="R2943">
        <v>0</v>
      </c>
      <c r="S2943">
        <v>0</v>
      </c>
      <c r="T2943">
        <v>0.52649999999999997</v>
      </c>
      <c r="U2943">
        <v>-2.3E-3</v>
      </c>
      <c r="V2943">
        <v>0</v>
      </c>
      <c r="W2943">
        <v>-0.17280000000000001</v>
      </c>
      <c r="X2943">
        <v>9.1800000000000007E-2</v>
      </c>
      <c r="Y2943">
        <v>-4.8999999999999998E-3</v>
      </c>
      <c r="Z2943">
        <v>67</v>
      </c>
      <c r="AA2943">
        <v>0.35</v>
      </c>
      <c r="AB2943">
        <v>222</v>
      </c>
      <c r="AC2943">
        <v>0.5</v>
      </c>
      <c r="AD2943">
        <v>0</v>
      </c>
      <c r="AE2943">
        <v>0</v>
      </c>
      <c r="AF2943">
        <v>0</v>
      </c>
      <c r="AG2943">
        <v>195</v>
      </c>
      <c r="AH2943">
        <v>0</v>
      </c>
    </row>
    <row r="2944" spans="1:34" x14ac:dyDescent="0.35">
      <c r="A2944" t="s">
        <v>34</v>
      </c>
      <c r="B2944" s="1">
        <v>46146.65625</v>
      </c>
      <c r="C2944" t="s">
        <v>34</v>
      </c>
      <c r="D2944" s="1">
        <v>46157.625</v>
      </c>
      <c r="E2944">
        <v>5590</v>
      </c>
      <c r="F2944" t="s">
        <v>36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391</v>
      </c>
      <c r="M2944">
        <v>0.35</v>
      </c>
      <c r="N2944">
        <v>357</v>
      </c>
      <c r="O2944">
        <v>0.5</v>
      </c>
      <c r="P2944">
        <v>0</v>
      </c>
      <c r="Q2944">
        <v>0</v>
      </c>
      <c r="R2944">
        <v>0</v>
      </c>
      <c r="S2944">
        <v>0</v>
      </c>
      <c r="T2944">
        <v>0.52310000000000001</v>
      </c>
      <c r="U2944">
        <v>-2.3E-3</v>
      </c>
      <c r="V2944">
        <v>0</v>
      </c>
      <c r="W2944">
        <v>-0.1726</v>
      </c>
      <c r="X2944">
        <v>9.2399999999999996E-2</v>
      </c>
      <c r="Y2944">
        <v>-4.8999999999999998E-3</v>
      </c>
      <c r="Z2944">
        <v>79</v>
      </c>
      <c r="AA2944">
        <v>0.35</v>
      </c>
      <c r="AB2944">
        <v>170</v>
      </c>
      <c r="AC2944">
        <v>0.5</v>
      </c>
      <c r="AD2944">
        <v>0</v>
      </c>
      <c r="AE2944">
        <v>0</v>
      </c>
      <c r="AF2944">
        <v>0</v>
      </c>
      <c r="AG2944">
        <v>158</v>
      </c>
      <c r="AH2944">
        <v>0</v>
      </c>
    </row>
    <row r="2945" spans="1:34" x14ac:dyDescent="0.35">
      <c r="A2945" t="s">
        <v>34</v>
      </c>
      <c r="B2945" s="1">
        <v>46146.65625</v>
      </c>
      <c r="C2945" t="s">
        <v>34</v>
      </c>
      <c r="D2945" s="1">
        <v>46157.625</v>
      </c>
      <c r="E2945">
        <v>5600</v>
      </c>
      <c r="F2945" t="s">
        <v>36</v>
      </c>
      <c r="G2945">
        <v>0.37</v>
      </c>
      <c r="H2945">
        <v>0.37</v>
      </c>
      <c r="I2945">
        <v>0.37</v>
      </c>
      <c r="J2945">
        <v>0.37</v>
      </c>
      <c r="K2945">
        <v>10</v>
      </c>
      <c r="L2945">
        <v>74</v>
      </c>
      <c r="M2945">
        <v>0.4</v>
      </c>
      <c r="N2945">
        <v>582</v>
      </c>
      <c r="O2945">
        <v>0.5</v>
      </c>
      <c r="P2945">
        <v>0</v>
      </c>
      <c r="Q2945">
        <v>0</v>
      </c>
      <c r="R2945">
        <v>0</v>
      </c>
      <c r="S2945">
        <v>0</v>
      </c>
      <c r="T2945">
        <v>0.52280000000000004</v>
      </c>
      <c r="U2945">
        <v>-2.3999999999999998E-3</v>
      </c>
      <c r="V2945">
        <v>0</v>
      </c>
      <c r="W2945">
        <v>-0.18149999999999999</v>
      </c>
      <c r="X2945">
        <v>9.69E-2</v>
      </c>
      <c r="Y2945">
        <v>-5.1999999999999998E-3</v>
      </c>
      <c r="Z2945">
        <v>110</v>
      </c>
      <c r="AA2945">
        <v>0.35</v>
      </c>
      <c r="AB2945">
        <v>191</v>
      </c>
      <c r="AC2945">
        <v>0.5</v>
      </c>
      <c r="AD2945">
        <v>0</v>
      </c>
      <c r="AE2945">
        <v>0</v>
      </c>
      <c r="AF2945">
        <v>0.37</v>
      </c>
      <c r="AG2945">
        <v>1054</v>
      </c>
      <c r="AH2945">
        <v>0</v>
      </c>
    </row>
    <row r="2946" spans="1:34" x14ac:dyDescent="0.35">
      <c r="A2946" t="s">
        <v>34</v>
      </c>
      <c r="B2946" s="1">
        <v>46146.65625</v>
      </c>
      <c r="C2946" t="s">
        <v>34</v>
      </c>
      <c r="D2946" s="1">
        <v>46157.625</v>
      </c>
      <c r="E2946">
        <v>5610</v>
      </c>
      <c r="F2946" t="s">
        <v>36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64</v>
      </c>
      <c r="M2946">
        <v>0.4</v>
      </c>
      <c r="N2946">
        <v>384</v>
      </c>
      <c r="O2946">
        <v>0.5</v>
      </c>
      <c r="P2946">
        <v>0</v>
      </c>
      <c r="Q2946">
        <v>0</v>
      </c>
      <c r="R2946">
        <v>0</v>
      </c>
      <c r="S2946">
        <v>0</v>
      </c>
      <c r="T2946">
        <v>0.51939999999999997</v>
      </c>
      <c r="U2946">
        <v>-2.3999999999999998E-3</v>
      </c>
      <c r="V2946">
        <v>0</v>
      </c>
      <c r="W2946">
        <v>-0.18129999999999999</v>
      </c>
      <c r="X2946">
        <v>9.74E-2</v>
      </c>
      <c r="Y2946">
        <v>-5.1999999999999998E-3</v>
      </c>
      <c r="Z2946">
        <v>90</v>
      </c>
      <c r="AA2946">
        <v>0.35</v>
      </c>
      <c r="AB2946">
        <v>292</v>
      </c>
      <c r="AC2946">
        <v>0.55000000000000004</v>
      </c>
      <c r="AD2946">
        <v>0</v>
      </c>
      <c r="AE2946">
        <v>0</v>
      </c>
      <c r="AF2946">
        <v>0</v>
      </c>
      <c r="AG2946">
        <v>42</v>
      </c>
      <c r="AH2946">
        <v>0</v>
      </c>
    </row>
    <row r="2947" spans="1:34" x14ac:dyDescent="0.35">
      <c r="A2947" t="s">
        <v>34</v>
      </c>
      <c r="B2947" s="1">
        <v>46146.65625</v>
      </c>
      <c r="C2947" t="s">
        <v>34</v>
      </c>
      <c r="D2947" s="1">
        <v>46157.625</v>
      </c>
      <c r="E2947">
        <v>5620</v>
      </c>
      <c r="F2947" t="s">
        <v>36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135</v>
      </c>
      <c r="M2947">
        <v>0.4</v>
      </c>
      <c r="N2947">
        <v>115</v>
      </c>
      <c r="O2947">
        <v>0.5</v>
      </c>
      <c r="P2947">
        <v>0</v>
      </c>
      <c r="Q2947">
        <v>0</v>
      </c>
      <c r="R2947">
        <v>0</v>
      </c>
      <c r="S2947">
        <v>0</v>
      </c>
      <c r="T2947">
        <v>0.51600000000000001</v>
      </c>
      <c r="U2947">
        <v>-2.5000000000000001E-3</v>
      </c>
      <c r="V2947">
        <v>0</v>
      </c>
      <c r="W2947">
        <v>-0.1812</v>
      </c>
      <c r="X2947">
        <v>9.8000000000000004E-2</v>
      </c>
      <c r="Y2947">
        <v>-5.1999999999999998E-3</v>
      </c>
      <c r="Z2947">
        <v>14</v>
      </c>
      <c r="AA2947">
        <v>0.4</v>
      </c>
      <c r="AB2947">
        <v>281</v>
      </c>
      <c r="AC2947">
        <v>0.55000000000000004</v>
      </c>
      <c r="AD2947">
        <v>0</v>
      </c>
      <c r="AE2947">
        <v>0</v>
      </c>
      <c r="AF2947">
        <v>0</v>
      </c>
      <c r="AG2947">
        <v>137</v>
      </c>
      <c r="AH2947">
        <v>0</v>
      </c>
    </row>
    <row r="2948" spans="1:34" x14ac:dyDescent="0.35">
      <c r="A2948" t="s">
        <v>34</v>
      </c>
      <c r="B2948" s="1">
        <v>46146.65625</v>
      </c>
      <c r="C2948" t="s">
        <v>34</v>
      </c>
      <c r="D2948" s="1">
        <v>46157.625</v>
      </c>
      <c r="E2948">
        <v>5625</v>
      </c>
      <c r="F2948" t="s">
        <v>36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269</v>
      </c>
      <c r="M2948">
        <v>0.4</v>
      </c>
      <c r="N2948">
        <v>472</v>
      </c>
      <c r="O2948">
        <v>0.55000000000000004</v>
      </c>
      <c r="P2948">
        <v>0</v>
      </c>
      <c r="Q2948">
        <v>0</v>
      </c>
      <c r="R2948">
        <v>0</v>
      </c>
      <c r="S2948">
        <v>0</v>
      </c>
      <c r="T2948">
        <v>0.51690000000000003</v>
      </c>
      <c r="U2948">
        <v>-2.5999999999999999E-3</v>
      </c>
      <c r="V2948">
        <v>0</v>
      </c>
      <c r="W2948">
        <v>-0.19</v>
      </c>
      <c r="X2948">
        <v>0.1023</v>
      </c>
      <c r="Y2948">
        <v>-5.4999999999999997E-3</v>
      </c>
      <c r="Z2948">
        <v>54</v>
      </c>
      <c r="AA2948">
        <v>0.4</v>
      </c>
      <c r="AB2948">
        <v>288</v>
      </c>
      <c r="AC2948">
        <v>0.55000000000000004</v>
      </c>
      <c r="AD2948">
        <v>0</v>
      </c>
      <c r="AE2948">
        <v>0</v>
      </c>
      <c r="AF2948">
        <v>0</v>
      </c>
      <c r="AG2948">
        <v>87</v>
      </c>
      <c r="AH2948">
        <v>0</v>
      </c>
    </row>
    <row r="2949" spans="1:34" x14ac:dyDescent="0.35">
      <c r="A2949" t="s">
        <v>34</v>
      </c>
      <c r="B2949" s="1">
        <v>46146.65625</v>
      </c>
      <c r="C2949" t="s">
        <v>34</v>
      </c>
      <c r="D2949" s="1">
        <v>46157.625</v>
      </c>
      <c r="E2949">
        <v>5630</v>
      </c>
      <c r="F2949" t="s">
        <v>36</v>
      </c>
      <c r="G2949">
        <v>0.4</v>
      </c>
      <c r="H2949">
        <v>0.4</v>
      </c>
      <c r="I2949">
        <v>0.4</v>
      </c>
      <c r="J2949">
        <v>0.4</v>
      </c>
      <c r="K2949">
        <v>1</v>
      </c>
      <c r="L2949">
        <v>271</v>
      </c>
      <c r="M2949">
        <v>0.4</v>
      </c>
      <c r="N2949">
        <v>438</v>
      </c>
      <c r="O2949">
        <v>0.55000000000000004</v>
      </c>
      <c r="P2949">
        <v>0</v>
      </c>
      <c r="Q2949">
        <v>0</v>
      </c>
      <c r="R2949">
        <v>0</v>
      </c>
      <c r="S2949">
        <v>0</v>
      </c>
      <c r="T2949">
        <v>0.51529999999999998</v>
      </c>
      <c r="U2949">
        <v>-2.5999999999999999E-3</v>
      </c>
      <c r="V2949">
        <v>0</v>
      </c>
      <c r="W2949">
        <v>-0.18990000000000001</v>
      </c>
      <c r="X2949">
        <v>0.1026</v>
      </c>
      <c r="Y2949">
        <v>-5.4999999999999997E-3</v>
      </c>
      <c r="Z2949">
        <v>14</v>
      </c>
      <c r="AA2949">
        <v>0.4</v>
      </c>
      <c r="AB2949">
        <v>470</v>
      </c>
      <c r="AC2949">
        <v>0.55000000000000004</v>
      </c>
      <c r="AD2949">
        <v>0</v>
      </c>
      <c r="AE2949">
        <v>0</v>
      </c>
      <c r="AF2949">
        <v>0.4</v>
      </c>
      <c r="AG2949">
        <v>182</v>
      </c>
      <c r="AH2949">
        <v>0</v>
      </c>
    </row>
    <row r="2950" spans="1:34" x14ac:dyDescent="0.35">
      <c r="A2950" t="s">
        <v>34</v>
      </c>
      <c r="B2950" s="1">
        <v>46146.65625</v>
      </c>
      <c r="C2950" t="s">
        <v>34</v>
      </c>
      <c r="D2950" s="1">
        <v>46157.625</v>
      </c>
      <c r="E2950">
        <v>5640</v>
      </c>
      <c r="F2950" t="s">
        <v>36</v>
      </c>
      <c r="G2950">
        <v>0.4</v>
      </c>
      <c r="H2950">
        <v>0.45</v>
      </c>
      <c r="I2950">
        <v>0.4</v>
      </c>
      <c r="J2950">
        <v>0.45</v>
      </c>
      <c r="K2950">
        <v>2</v>
      </c>
      <c r="L2950">
        <v>415</v>
      </c>
      <c r="M2950">
        <v>0.4</v>
      </c>
      <c r="N2950">
        <v>378</v>
      </c>
      <c r="O2950">
        <v>0.55000000000000004</v>
      </c>
      <c r="P2950">
        <v>0</v>
      </c>
      <c r="Q2950">
        <v>0</v>
      </c>
      <c r="R2950">
        <v>0</v>
      </c>
      <c r="S2950">
        <v>0</v>
      </c>
      <c r="T2950">
        <v>0.51180000000000003</v>
      </c>
      <c r="U2950">
        <v>-2.5999999999999999E-3</v>
      </c>
      <c r="V2950">
        <v>0</v>
      </c>
      <c r="W2950">
        <v>-0.1898</v>
      </c>
      <c r="X2950">
        <v>0.1032</v>
      </c>
      <c r="Y2950">
        <v>-5.4999999999999997E-3</v>
      </c>
      <c r="Z2950">
        <v>66</v>
      </c>
      <c r="AA2950">
        <v>0.4</v>
      </c>
      <c r="AB2950">
        <v>212</v>
      </c>
      <c r="AC2950">
        <v>0.55000000000000004</v>
      </c>
      <c r="AD2950">
        <v>0</v>
      </c>
      <c r="AE2950">
        <v>0</v>
      </c>
      <c r="AF2950">
        <v>0.42499999999999999</v>
      </c>
      <c r="AG2950">
        <v>185</v>
      </c>
      <c r="AH2950">
        <v>0</v>
      </c>
    </row>
    <row r="2951" spans="1:34" x14ac:dyDescent="0.35">
      <c r="A2951" t="s">
        <v>34</v>
      </c>
      <c r="B2951" s="1">
        <v>46146.65625</v>
      </c>
      <c r="C2951" t="s">
        <v>34</v>
      </c>
      <c r="D2951" s="1">
        <v>46157.625</v>
      </c>
      <c r="E2951">
        <v>5650</v>
      </c>
      <c r="F2951" t="s">
        <v>36</v>
      </c>
      <c r="G2951">
        <v>0.45</v>
      </c>
      <c r="H2951">
        <v>0.56000000000000005</v>
      </c>
      <c r="I2951">
        <v>0.45</v>
      </c>
      <c r="J2951">
        <v>0.56000000000000005</v>
      </c>
      <c r="K2951">
        <v>7</v>
      </c>
      <c r="L2951">
        <v>467</v>
      </c>
      <c r="M2951">
        <v>0.4</v>
      </c>
      <c r="N2951">
        <v>586</v>
      </c>
      <c r="O2951">
        <v>0.55000000000000004</v>
      </c>
      <c r="P2951">
        <v>0</v>
      </c>
      <c r="Q2951">
        <v>0</v>
      </c>
      <c r="R2951">
        <v>0</v>
      </c>
      <c r="S2951">
        <v>0</v>
      </c>
      <c r="T2951">
        <v>0.50829999999999997</v>
      </c>
      <c r="U2951">
        <v>-2.5999999999999999E-3</v>
      </c>
      <c r="V2951">
        <v>0</v>
      </c>
      <c r="W2951">
        <v>-0.18959999999999999</v>
      </c>
      <c r="X2951">
        <v>0.10390000000000001</v>
      </c>
      <c r="Y2951">
        <v>-5.5999999999999999E-3</v>
      </c>
      <c r="Z2951">
        <v>73</v>
      </c>
      <c r="AA2951">
        <v>0.4</v>
      </c>
      <c r="AB2951">
        <v>218</v>
      </c>
      <c r="AC2951">
        <v>0.55000000000000004</v>
      </c>
      <c r="AD2951">
        <v>0</v>
      </c>
      <c r="AE2951">
        <v>0</v>
      </c>
      <c r="AF2951">
        <v>0.54430000000000001</v>
      </c>
      <c r="AG2951">
        <v>679</v>
      </c>
      <c r="AH2951">
        <v>0</v>
      </c>
    </row>
    <row r="2952" spans="1:34" x14ac:dyDescent="0.35">
      <c r="A2952" t="s">
        <v>34</v>
      </c>
      <c r="B2952" s="1">
        <v>46146.65625</v>
      </c>
      <c r="C2952" t="s">
        <v>34</v>
      </c>
      <c r="D2952" s="1">
        <v>46157.625</v>
      </c>
      <c r="E2952">
        <v>5660</v>
      </c>
      <c r="F2952" t="s">
        <v>36</v>
      </c>
      <c r="G2952">
        <v>0.45</v>
      </c>
      <c r="H2952">
        <v>0.45</v>
      </c>
      <c r="I2952">
        <v>0.45</v>
      </c>
      <c r="J2952">
        <v>0.45</v>
      </c>
      <c r="K2952">
        <v>1</v>
      </c>
      <c r="L2952">
        <v>63</v>
      </c>
      <c r="M2952">
        <v>0.45</v>
      </c>
      <c r="N2952">
        <v>527</v>
      </c>
      <c r="O2952">
        <v>0.55000000000000004</v>
      </c>
      <c r="P2952">
        <v>0</v>
      </c>
      <c r="Q2952">
        <v>0</v>
      </c>
      <c r="R2952">
        <v>0</v>
      </c>
      <c r="S2952">
        <v>0</v>
      </c>
      <c r="T2952">
        <v>0.50749999999999995</v>
      </c>
      <c r="U2952">
        <v>-2.7000000000000001E-3</v>
      </c>
      <c r="V2952">
        <v>0</v>
      </c>
      <c r="W2952">
        <v>-0.19819999999999999</v>
      </c>
      <c r="X2952">
        <v>0.1085</v>
      </c>
      <c r="Y2952">
        <v>-5.7999999999999996E-3</v>
      </c>
      <c r="Z2952">
        <v>190</v>
      </c>
      <c r="AA2952">
        <v>0.4</v>
      </c>
      <c r="AB2952">
        <v>292</v>
      </c>
      <c r="AC2952">
        <v>0.6</v>
      </c>
      <c r="AD2952">
        <v>0</v>
      </c>
      <c r="AE2952">
        <v>0</v>
      </c>
      <c r="AF2952">
        <v>0.45</v>
      </c>
      <c r="AG2952">
        <v>56</v>
      </c>
      <c r="AH2952">
        <v>0</v>
      </c>
    </row>
    <row r="2953" spans="1:34" x14ac:dyDescent="0.35">
      <c r="A2953" t="s">
        <v>34</v>
      </c>
      <c r="B2953" s="1">
        <v>46146.65625</v>
      </c>
      <c r="C2953" t="s">
        <v>34</v>
      </c>
      <c r="D2953" s="1">
        <v>46157.625</v>
      </c>
      <c r="E2953">
        <v>5670</v>
      </c>
      <c r="F2953" t="s">
        <v>36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63</v>
      </c>
      <c r="M2953">
        <v>0.45</v>
      </c>
      <c r="N2953">
        <v>317</v>
      </c>
      <c r="O2953">
        <v>0.55000000000000004</v>
      </c>
      <c r="P2953">
        <v>0</v>
      </c>
      <c r="Q2953">
        <v>0</v>
      </c>
      <c r="R2953">
        <v>0</v>
      </c>
      <c r="S2953">
        <v>0</v>
      </c>
      <c r="T2953">
        <v>0.50419999999999998</v>
      </c>
      <c r="U2953">
        <v>-2.8E-3</v>
      </c>
      <c r="V2953">
        <v>0</v>
      </c>
      <c r="W2953">
        <v>-0.1981</v>
      </c>
      <c r="X2953">
        <v>0.10920000000000001</v>
      </c>
      <c r="Y2953">
        <v>-5.8999999999999999E-3</v>
      </c>
      <c r="Z2953">
        <v>198</v>
      </c>
      <c r="AA2953">
        <v>0.4</v>
      </c>
      <c r="AB2953">
        <v>278</v>
      </c>
      <c r="AC2953">
        <v>0.6</v>
      </c>
      <c r="AD2953">
        <v>0</v>
      </c>
      <c r="AE2953">
        <v>0</v>
      </c>
      <c r="AF2953">
        <v>0</v>
      </c>
      <c r="AG2953">
        <v>91</v>
      </c>
      <c r="AH2953">
        <v>0</v>
      </c>
    </row>
    <row r="2954" spans="1:34" x14ac:dyDescent="0.35">
      <c r="A2954" t="s">
        <v>34</v>
      </c>
      <c r="B2954" s="1">
        <v>46146.65625</v>
      </c>
      <c r="C2954" t="s">
        <v>34</v>
      </c>
      <c r="D2954" s="1">
        <v>46157.625</v>
      </c>
      <c r="E2954">
        <v>5675</v>
      </c>
      <c r="F2954" t="s">
        <v>36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72</v>
      </c>
      <c r="M2954">
        <v>0.45</v>
      </c>
      <c r="N2954">
        <v>28</v>
      </c>
      <c r="O2954">
        <v>0.55000000000000004</v>
      </c>
      <c r="P2954">
        <v>0</v>
      </c>
      <c r="Q2954">
        <v>0</v>
      </c>
      <c r="R2954">
        <v>0</v>
      </c>
      <c r="S2954">
        <v>0</v>
      </c>
      <c r="T2954">
        <v>0.50239999999999996</v>
      </c>
      <c r="U2954">
        <v>-2.8E-3</v>
      </c>
      <c r="V2954">
        <v>0</v>
      </c>
      <c r="W2954">
        <v>-0.19800000000000001</v>
      </c>
      <c r="X2954">
        <v>0.1095</v>
      </c>
      <c r="Y2954">
        <v>-5.8999999999999999E-3</v>
      </c>
      <c r="Z2954">
        <v>206</v>
      </c>
      <c r="AA2954">
        <v>0.4</v>
      </c>
      <c r="AB2954">
        <v>279</v>
      </c>
      <c r="AC2954">
        <v>0.6</v>
      </c>
      <c r="AD2954">
        <v>0</v>
      </c>
      <c r="AE2954">
        <v>0</v>
      </c>
      <c r="AF2954">
        <v>0</v>
      </c>
      <c r="AG2954">
        <v>174</v>
      </c>
      <c r="AH2954">
        <v>0</v>
      </c>
    </row>
    <row r="2955" spans="1:34" x14ac:dyDescent="0.35">
      <c r="A2955" t="s">
        <v>34</v>
      </c>
      <c r="B2955" s="1">
        <v>46146.65625</v>
      </c>
      <c r="C2955" t="s">
        <v>34</v>
      </c>
      <c r="D2955" s="1">
        <v>46157.625</v>
      </c>
      <c r="E2955">
        <v>5680</v>
      </c>
      <c r="F2955" t="s">
        <v>36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147</v>
      </c>
      <c r="M2955">
        <v>0.45</v>
      </c>
      <c r="N2955">
        <v>455</v>
      </c>
      <c r="O2955">
        <v>0.6</v>
      </c>
      <c r="P2955">
        <v>0</v>
      </c>
      <c r="Q2955">
        <v>0</v>
      </c>
      <c r="R2955">
        <v>0</v>
      </c>
      <c r="S2955">
        <v>0</v>
      </c>
      <c r="T2955">
        <v>0.50329999999999997</v>
      </c>
      <c r="U2955">
        <v>-2.8999999999999998E-3</v>
      </c>
      <c r="V2955">
        <v>0</v>
      </c>
      <c r="W2955">
        <v>-0.20660000000000001</v>
      </c>
      <c r="X2955">
        <v>0.1139</v>
      </c>
      <c r="Y2955">
        <v>-6.1000000000000004E-3</v>
      </c>
      <c r="Z2955">
        <v>196</v>
      </c>
      <c r="AA2955">
        <v>0.4</v>
      </c>
      <c r="AB2955">
        <v>269</v>
      </c>
      <c r="AC2955">
        <v>0.6</v>
      </c>
      <c r="AD2955">
        <v>0</v>
      </c>
      <c r="AE2955">
        <v>0</v>
      </c>
      <c r="AF2955">
        <v>0</v>
      </c>
      <c r="AG2955">
        <v>90</v>
      </c>
      <c r="AH2955">
        <v>0</v>
      </c>
    </row>
    <row r="2956" spans="1:34" x14ac:dyDescent="0.35">
      <c r="A2956" t="s">
        <v>34</v>
      </c>
      <c r="B2956" s="1">
        <v>46146.65625</v>
      </c>
      <c r="C2956" t="s">
        <v>34</v>
      </c>
      <c r="D2956" s="1">
        <v>46157.625</v>
      </c>
      <c r="E2956">
        <v>5690</v>
      </c>
      <c r="F2956" t="s">
        <v>36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363</v>
      </c>
      <c r="M2956">
        <v>0.45</v>
      </c>
      <c r="N2956">
        <v>404</v>
      </c>
      <c r="O2956">
        <v>0.6</v>
      </c>
      <c r="P2956">
        <v>0</v>
      </c>
      <c r="Q2956">
        <v>0</v>
      </c>
      <c r="R2956">
        <v>0</v>
      </c>
      <c r="S2956">
        <v>0</v>
      </c>
      <c r="T2956">
        <v>0.49990000000000001</v>
      </c>
      <c r="U2956">
        <v>-2.8999999999999998E-3</v>
      </c>
      <c r="V2956">
        <v>0</v>
      </c>
      <c r="W2956">
        <v>-0.2064</v>
      </c>
      <c r="X2956">
        <v>0.11459999999999999</v>
      </c>
      <c r="Y2956">
        <v>-6.1999999999999998E-3</v>
      </c>
      <c r="Z2956">
        <v>34</v>
      </c>
      <c r="AA2956">
        <v>0.45</v>
      </c>
      <c r="AB2956">
        <v>437</v>
      </c>
      <c r="AC2956">
        <v>0.6</v>
      </c>
      <c r="AD2956">
        <v>0</v>
      </c>
      <c r="AE2956">
        <v>0</v>
      </c>
      <c r="AF2956">
        <v>0</v>
      </c>
      <c r="AG2956">
        <v>42</v>
      </c>
      <c r="AH2956">
        <v>0</v>
      </c>
    </row>
    <row r="2957" spans="1:34" x14ac:dyDescent="0.35">
      <c r="A2957" t="s">
        <v>34</v>
      </c>
      <c r="B2957" s="1">
        <v>46146.65625</v>
      </c>
      <c r="C2957" t="s">
        <v>34</v>
      </c>
      <c r="D2957" s="1">
        <v>46157.625</v>
      </c>
      <c r="E2957">
        <v>5700</v>
      </c>
      <c r="F2957" t="s">
        <v>36</v>
      </c>
      <c r="G2957">
        <v>0.45</v>
      </c>
      <c r="H2957">
        <v>0.82</v>
      </c>
      <c r="I2957">
        <v>0.4</v>
      </c>
      <c r="J2957">
        <v>0.56999999999999995</v>
      </c>
      <c r="K2957">
        <v>135</v>
      </c>
      <c r="L2957">
        <v>420</v>
      </c>
      <c r="M2957">
        <v>0.45</v>
      </c>
      <c r="N2957">
        <v>385</v>
      </c>
      <c r="O2957">
        <v>0.6</v>
      </c>
      <c r="P2957">
        <v>0</v>
      </c>
      <c r="Q2957">
        <v>0</v>
      </c>
      <c r="R2957">
        <v>0</v>
      </c>
      <c r="S2957">
        <v>0</v>
      </c>
      <c r="T2957">
        <v>0.49640000000000001</v>
      </c>
      <c r="U2957">
        <v>-2.8999999999999998E-3</v>
      </c>
      <c r="V2957">
        <v>0</v>
      </c>
      <c r="W2957">
        <v>-0.20630000000000001</v>
      </c>
      <c r="X2957">
        <v>0.1153</v>
      </c>
      <c r="Y2957">
        <v>-6.1999999999999998E-3</v>
      </c>
      <c r="Z2957">
        <v>195</v>
      </c>
      <c r="AA2957">
        <v>0.45</v>
      </c>
      <c r="AB2957">
        <v>226</v>
      </c>
      <c r="AC2957">
        <v>0.6</v>
      </c>
      <c r="AD2957">
        <v>0</v>
      </c>
      <c r="AE2957">
        <v>0</v>
      </c>
      <c r="AF2957">
        <v>0.41610000000000003</v>
      </c>
      <c r="AG2957">
        <v>2374</v>
      </c>
      <c r="AH2957">
        <v>0</v>
      </c>
    </row>
    <row r="2958" spans="1:34" x14ac:dyDescent="0.35">
      <c r="A2958" t="s">
        <v>34</v>
      </c>
      <c r="B2958" s="1">
        <v>46146.65625</v>
      </c>
      <c r="C2958" t="s">
        <v>34</v>
      </c>
      <c r="D2958" s="1">
        <v>46157.625</v>
      </c>
      <c r="E2958">
        <v>5710</v>
      </c>
      <c r="F2958" t="s">
        <v>36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455</v>
      </c>
      <c r="M2958">
        <v>0.45</v>
      </c>
      <c r="N2958">
        <v>318</v>
      </c>
      <c r="O2958">
        <v>0.6</v>
      </c>
      <c r="P2958">
        <v>0</v>
      </c>
      <c r="Q2958">
        <v>0</v>
      </c>
      <c r="R2958">
        <v>0</v>
      </c>
      <c r="S2958">
        <v>0</v>
      </c>
      <c r="T2958">
        <v>0.4929</v>
      </c>
      <c r="U2958">
        <v>-2.8999999999999998E-3</v>
      </c>
      <c r="V2958">
        <v>0</v>
      </c>
      <c r="W2958">
        <v>-0.20610000000000001</v>
      </c>
      <c r="X2958">
        <v>0.11609999999999999</v>
      </c>
      <c r="Y2958">
        <v>-6.3E-3</v>
      </c>
      <c r="Z2958">
        <v>179</v>
      </c>
      <c r="AA2958">
        <v>0.45</v>
      </c>
      <c r="AB2958">
        <v>156</v>
      </c>
      <c r="AC2958">
        <v>0.6</v>
      </c>
      <c r="AD2958">
        <v>0</v>
      </c>
      <c r="AE2958">
        <v>0</v>
      </c>
      <c r="AF2958">
        <v>0</v>
      </c>
      <c r="AG2958">
        <v>112</v>
      </c>
      <c r="AH2958">
        <v>0</v>
      </c>
    </row>
    <row r="2959" spans="1:34" x14ac:dyDescent="0.35">
      <c r="A2959" t="s">
        <v>34</v>
      </c>
      <c r="B2959" s="1">
        <v>46146.65625</v>
      </c>
      <c r="C2959" t="s">
        <v>34</v>
      </c>
      <c r="D2959" s="1">
        <v>46157.625</v>
      </c>
      <c r="E2959">
        <v>5720</v>
      </c>
      <c r="F2959" t="s">
        <v>36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62</v>
      </c>
      <c r="M2959">
        <v>0.5</v>
      </c>
      <c r="N2959">
        <v>353</v>
      </c>
      <c r="O2959">
        <v>0.6</v>
      </c>
      <c r="P2959">
        <v>0</v>
      </c>
      <c r="Q2959">
        <v>0</v>
      </c>
      <c r="R2959">
        <v>0</v>
      </c>
      <c r="S2959">
        <v>0</v>
      </c>
      <c r="T2959">
        <v>0.49180000000000001</v>
      </c>
      <c r="U2959">
        <v>-3.0999999999999999E-3</v>
      </c>
      <c r="V2959">
        <v>0</v>
      </c>
      <c r="W2959">
        <v>-0.2145</v>
      </c>
      <c r="X2959">
        <v>0.1208</v>
      </c>
      <c r="Y2959">
        <v>-6.6E-3</v>
      </c>
      <c r="Z2959">
        <v>191</v>
      </c>
      <c r="AA2959">
        <v>0.45</v>
      </c>
      <c r="AB2959">
        <v>271</v>
      </c>
      <c r="AC2959">
        <v>0.65</v>
      </c>
      <c r="AD2959">
        <v>0</v>
      </c>
      <c r="AE2959">
        <v>0</v>
      </c>
      <c r="AF2959">
        <v>0</v>
      </c>
      <c r="AG2959">
        <v>99</v>
      </c>
      <c r="AH2959">
        <v>0</v>
      </c>
    </row>
    <row r="2960" spans="1:34" x14ac:dyDescent="0.35">
      <c r="A2960" t="s">
        <v>34</v>
      </c>
      <c r="B2960" s="1">
        <v>46146.65625</v>
      </c>
      <c r="C2960" t="s">
        <v>34</v>
      </c>
      <c r="D2960" s="1">
        <v>46157.625</v>
      </c>
      <c r="E2960">
        <v>5725</v>
      </c>
      <c r="F2960" t="s">
        <v>36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72</v>
      </c>
      <c r="M2960">
        <v>0.5</v>
      </c>
      <c r="N2960">
        <v>188</v>
      </c>
      <c r="O2960">
        <v>0.6</v>
      </c>
      <c r="P2960">
        <v>0</v>
      </c>
      <c r="Q2960">
        <v>0</v>
      </c>
      <c r="R2960">
        <v>0</v>
      </c>
      <c r="S2960">
        <v>0</v>
      </c>
      <c r="T2960">
        <v>0.49030000000000001</v>
      </c>
      <c r="U2960">
        <v>-3.0999999999999999E-3</v>
      </c>
      <c r="V2960">
        <v>0</v>
      </c>
      <c r="W2960">
        <v>-0.21440000000000001</v>
      </c>
      <c r="X2960">
        <v>0.1211</v>
      </c>
      <c r="Y2960">
        <v>-6.6E-3</v>
      </c>
      <c r="Z2960">
        <v>198</v>
      </c>
      <c r="AA2960">
        <v>0.45</v>
      </c>
      <c r="AB2960">
        <v>271</v>
      </c>
      <c r="AC2960">
        <v>0.65</v>
      </c>
      <c r="AD2960">
        <v>0</v>
      </c>
      <c r="AE2960">
        <v>0</v>
      </c>
      <c r="AF2960">
        <v>0</v>
      </c>
      <c r="AG2960">
        <v>111</v>
      </c>
      <c r="AH2960">
        <v>0</v>
      </c>
    </row>
    <row r="2961" spans="1:34" x14ac:dyDescent="0.35">
      <c r="A2961" t="s">
        <v>34</v>
      </c>
      <c r="B2961" s="1">
        <v>46146.65625</v>
      </c>
      <c r="C2961" t="s">
        <v>34</v>
      </c>
      <c r="D2961" s="1">
        <v>46157.625</v>
      </c>
      <c r="E2961">
        <v>5730</v>
      </c>
      <c r="F2961" t="s">
        <v>36</v>
      </c>
      <c r="G2961">
        <v>0.64</v>
      </c>
      <c r="H2961">
        <v>0.64</v>
      </c>
      <c r="I2961">
        <v>0.64</v>
      </c>
      <c r="J2961">
        <v>0.64</v>
      </c>
      <c r="K2961">
        <v>2</v>
      </c>
      <c r="L2961">
        <v>194</v>
      </c>
      <c r="M2961">
        <v>0.5</v>
      </c>
      <c r="N2961">
        <v>451</v>
      </c>
      <c r="O2961">
        <v>0.65</v>
      </c>
      <c r="P2961">
        <v>0</v>
      </c>
      <c r="Q2961">
        <v>0</v>
      </c>
      <c r="R2961">
        <v>0</v>
      </c>
      <c r="S2961">
        <v>0</v>
      </c>
      <c r="T2961">
        <v>0.49080000000000001</v>
      </c>
      <c r="U2961">
        <v>-3.2000000000000002E-3</v>
      </c>
      <c r="V2961">
        <v>0</v>
      </c>
      <c r="W2961">
        <v>-0.22289999999999999</v>
      </c>
      <c r="X2961">
        <v>0.1255</v>
      </c>
      <c r="Y2961">
        <v>-6.8999999999999999E-3</v>
      </c>
      <c r="Z2961">
        <v>190</v>
      </c>
      <c r="AA2961">
        <v>0.45</v>
      </c>
      <c r="AB2961">
        <v>262</v>
      </c>
      <c r="AC2961">
        <v>0.65</v>
      </c>
      <c r="AD2961">
        <v>0</v>
      </c>
      <c r="AE2961">
        <v>0</v>
      </c>
      <c r="AF2961">
        <v>0.64</v>
      </c>
      <c r="AG2961">
        <v>51</v>
      </c>
      <c r="AH2961">
        <v>0</v>
      </c>
    </row>
    <row r="2962" spans="1:34" x14ac:dyDescent="0.35">
      <c r="A2962" t="s">
        <v>34</v>
      </c>
      <c r="B2962" s="1">
        <v>46146.65625</v>
      </c>
      <c r="C2962" t="s">
        <v>34</v>
      </c>
      <c r="D2962" s="1">
        <v>46157.625</v>
      </c>
      <c r="E2962">
        <v>5740</v>
      </c>
      <c r="F2962" t="s">
        <v>36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345</v>
      </c>
      <c r="M2962">
        <v>0.5</v>
      </c>
      <c r="N2962">
        <v>400</v>
      </c>
      <c r="O2962">
        <v>0.65</v>
      </c>
      <c r="P2962">
        <v>0</v>
      </c>
      <c r="Q2962">
        <v>0</v>
      </c>
      <c r="R2962">
        <v>0</v>
      </c>
      <c r="S2962">
        <v>0</v>
      </c>
      <c r="T2962">
        <v>0.4874</v>
      </c>
      <c r="U2962">
        <v>-3.2000000000000002E-3</v>
      </c>
      <c r="V2962">
        <v>0</v>
      </c>
      <c r="W2962">
        <v>-0.22270000000000001</v>
      </c>
      <c r="X2962">
        <v>0.1263</v>
      </c>
      <c r="Y2962">
        <v>-6.8999999999999999E-3</v>
      </c>
      <c r="Z2962">
        <v>14</v>
      </c>
      <c r="AA2962">
        <v>0.5</v>
      </c>
      <c r="AB2962">
        <v>426</v>
      </c>
      <c r="AC2962">
        <v>0.65</v>
      </c>
      <c r="AD2962">
        <v>0</v>
      </c>
      <c r="AE2962">
        <v>0</v>
      </c>
      <c r="AF2962">
        <v>0</v>
      </c>
      <c r="AG2962">
        <v>48</v>
      </c>
      <c r="AH2962">
        <v>0</v>
      </c>
    </row>
    <row r="2963" spans="1:34" x14ac:dyDescent="0.35">
      <c r="A2963" t="s">
        <v>34</v>
      </c>
      <c r="B2963" s="1">
        <v>46146.65625</v>
      </c>
      <c r="C2963" t="s">
        <v>34</v>
      </c>
      <c r="D2963" s="1">
        <v>46157.625</v>
      </c>
      <c r="E2963">
        <v>5750</v>
      </c>
      <c r="F2963" t="s">
        <v>36</v>
      </c>
      <c r="G2963">
        <v>0.5</v>
      </c>
      <c r="H2963">
        <v>0.72</v>
      </c>
      <c r="I2963">
        <v>0.5</v>
      </c>
      <c r="J2963">
        <v>0.7</v>
      </c>
      <c r="K2963">
        <v>30</v>
      </c>
      <c r="L2963">
        <v>387</v>
      </c>
      <c r="M2963">
        <v>0.5</v>
      </c>
      <c r="N2963">
        <v>303</v>
      </c>
      <c r="O2963">
        <v>0.65</v>
      </c>
      <c r="P2963">
        <v>0</v>
      </c>
      <c r="Q2963">
        <v>0</v>
      </c>
      <c r="R2963">
        <v>0</v>
      </c>
      <c r="S2963">
        <v>0</v>
      </c>
      <c r="T2963">
        <v>0.4839</v>
      </c>
      <c r="U2963">
        <v>-3.3E-3</v>
      </c>
      <c r="V2963">
        <v>0</v>
      </c>
      <c r="W2963">
        <v>-0.2225</v>
      </c>
      <c r="X2963">
        <v>0.12709999999999999</v>
      </c>
      <c r="Y2963">
        <v>-6.8999999999999999E-3</v>
      </c>
      <c r="Z2963">
        <v>181</v>
      </c>
      <c r="AA2963">
        <v>0.5</v>
      </c>
      <c r="AB2963">
        <v>234</v>
      </c>
      <c r="AC2963">
        <v>0.65</v>
      </c>
      <c r="AD2963">
        <v>0</v>
      </c>
      <c r="AE2963">
        <v>0</v>
      </c>
      <c r="AF2963">
        <v>0.69730000000000003</v>
      </c>
      <c r="AG2963">
        <v>1254</v>
      </c>
      <c r="AH2963">
        <v>0</v>
      </c>
    </row>
    <row r="2964" spans="1:34" x14ac:dyDescent="0.35">
      <c r="A2964" t="s">
        <v>34</v>
      </c>
      <c r="B2964" s="1">
        <v>46146.65625</v>
      </c>
      <c r="C2964" t="s">
        <v>34</v>
      </c>
      <c r="D2964" s="1">
        <v>46157.625</v>
      </c>
      <c r="E2964">
        <v>5760</v>
      </c>
      <c r="F2964" t="s">
        <v>36</v>
      </c>
      <c r="G2964">
        <v>0.67</v>
      </c>
      <c r="H2964">
        <v>0.67</v>
      </c>
      <c r="I2964">
        <v>0.67</v>
      </c>
      <c r="J2964">
        <v>0.67</v>
      </c>
      <c r="K2964">
        <v>3</v>
      </c>
      <c r="L2964">
        <v>657</v>
      </c>
      <c r="M2964">
        <v>0.5</v>
      </c>
      <c r="N2964">
        <v>440</v>
      </c>
      <c r="O2964">
        <v>0.65</v>
      </c>
      <c r="P2964">
        <v>0</v>
      </c>
      <c r="Q2964">
        <v>0</v>
      </c>
      <c r="R2964">
        <v>0</v>
      </c>
      <c r="S2964">
        <v>0</v>
      </c>
      <c r="T2964">
        <v>0.4803</v>
      </c>
      <c r="U2964">
        <v>-3.3E-3</v>
      </c>
      <c r="V2964">
        <v>0</v>
      </c>
      <c r="W2964">
        <v>-0.2223</v>
      </c>
      <c r="X2964">
        <v>0.12790000000000001</v>
      </c>
      <c r="Y2964">
        <v>-7.0000000000000001E-3</v>
      </c>
      <c r="Z2964">
        <v>174</v>
      </c>
      <c r="AA2964">
        <v>0.5</v>
      </c>
      <c r="AB2964">
        <v>163</v>
      </c>
      <c r="AC2964">
        <v>0.65</v>
      </c>
      <c r="AD2964">
        <v>0</v>
      </c>
      <c r="AE2964">
        <v>0</v>
      </c>
      <c r="AF2964">
        <v>0.67</v>
      </c>
      <c r="AG2964">
        <v>107</v>
      </c>
      <c r="AH2964">
        <v>0</v>
      </c>
    </row>
    <row r="2965" spans="1:34" x14ac:dyDescent="0.35">
      <c r="A2965" t="s">
        <v>34</v>
      </c>
      <c r="B2965" s="1">
        <v>46146.65625</v>
      </c>
      <c r="C2965" t="s">
        <v>34</v>
      </c>
      <c r="D2965" s="1">
        <v>46157.625</v>
      </c>
      <c r="E2965">
        <v>5770</v>
      </c>
      <c r="F2965" t="s">
        <v>36</v>
      </c>
      <c r="G2965">
        <v>0.67</v>
      </c>
      <c r="H2965">
        <v>0.7</v>
      </c>
      <c r="I2965">
        <v>0.67</v>
      </c>
      <c r="J2965">
        <v>0.7</v>
      </c>
      <c r="K2965">
        <v>22</v>
      </c>
      <c r="L2965">
        <v>147</v>
      </c>
      <c r="M2965">
        <v>0.55000000000000004</v>
      </c>
      <c r="N2965">
        <v>349</v>
      </c>
      <c r="O2965">
        <v>0.65</v>
      </c>
      <c r="P2965">
        <v>0</v>
      </c>
      <c r="Q2965">
        <v>0</v>
      </c>
      <c r="R2965">
        <v>0</v>
      </c>
      <c r="S2965">
        <v>0</v>
      </c>
      <c r="T2965">
        <v>0.47920000000000001</v>
      </c>
      <c r="U2965">
        <v>-3.3999999999999998E-3</v>
      </c>
      <c r="V2965">
        <v>0</v>
      </c>
      <c r="W2965">
        <v>-0.23050000000000001</v>
      </c>
      <c r="X2965">
        <v>0.13270000000000001</v>
      </c>
      <c r="Y2965">
        <v>-7.3000000000000001E-3</v>
      </c>
      <c r="Z2965">
        <v>184</v>
      </c>
      <c r="AA2965">
        <v>0.5</v>
      </c>
      <c r="AB2965">
        <v>261</v>
      </c>
      <c r="AC2965">
        <v>0.7</v>
      </c>
      <c r="AD2965">
        <v>0</v>
      </c>
      <c r="AE2965">
        <v>0</v>
      </c>
      <c r="AF2965">
        <v>0.69730000000000003</v>
      </c>
      <c r="AG2965">
        <v>120</v>
      </c>
      <c r="AH2965">
        <v>0</v>
      </c>
    </row>
    <row r="2966" spans="1:34" x14ac:dyDescent="0.35">
      <c r="A2966" t="s">
        <v>34</v>
      </c>
      <c r="B2966" s="1">
        <v>46146.65625</v>
      </c>
      <c r="C2966" t="s">
        <v>34</v>
      </c>
      <c r="D2966" s="1">
        <v>46157.625</v>
      </c>
      <c r="E2966">
        <v>5775</v>
      </c>
      <c r="F2966" t="s">
        <v>36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155</v>
      </c>
      <c r="M2966">
        <v>0.55000000000000004</v>
      </c>
      <c r="N2966">
        <v>272</v>
      </c>
      <c r="O2966">
        <v>0.65</v>
      </c>
      <c r="P2966">
        <v>0</v>
      </c>
      <c r="Q2966">
        <v>0</v>
      </c>
      <c r="R2966">
        <v>0</v>
      </c>
      <c r="S2966">
        <v>0</v>
      </c>
      <c r="T2966">
        <v>0.47760000000000002</v>
      </c>
      <c r="U2966">
        <v>-3.3999999999999998E-3</v>
      </c>
      <c r="V2966">
        <v>0</v>
      </c>
      <c r="W2966">
        <v>-0.23039999999999999</v>
      </c>
      <c r="X2966">
        <v>0.1331</v>
      </c>
      <c r="Y2966">
        <v>-7.3000000000000001E-3</v>
      </c>
      <c r="Z2966">
        <v>191</v>
      </c>
      <c r="AA2966">
        <v>0.5</v>
      </c>
      <c r="AB2966">
        <v>264</v>
      </c>
      <c r="AC2966">
        <v>0.7</v>
      </c>
      <c r="AD2966">
        <v>0</v>
      </c>
      <c r="AE2966">
        <v>0</v>
      </c>
      <c r="AF2966">
        <v>0</v>
      </c>
      <c r="AG2966">
        <v>625</v>
      </c>
      <c r="AH2966">
        <v>0</v>
      </c>
    </row>
    <row r="2967" spans="1:34" x14ac:dyDescent="0.35">
      <c r="A2967" t="s">
        <v>34</v>
      </c>
      <c r="B2967" s="1">
        <v>46146.65625</v>
      </c>
      <c r="C2967" t="s">
        <v>34</v>
      </c>
      <c r="D2967" s="1">
        <v>46157.625</v>
      </c>
      <c r="E2967">
        <v>5780</v>
      </c>
      <c r="F2967" t="s">
        <v>36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230</v>
      </c>
      <c r="M2967">
        <v>0.55000000000000004</v>
      </c>
      <c r="N2967">
        <v>24</v>
      </c>
      <c r="O2967">
        <v>0.65</v>
      </c>
      <c r="P2967">
        <v>0</v>
      </c>
      <c r="Q2967">
        <v>0</v>
      </c>
      <c r="R2967">
        <v>0</v>
      </c>
      <c r="S2967">
        <v>0</v>
      </c>
      <c r="T2967">
        <v>0.47570000000000001</v>
      </c>
      <c r="U2967">
        <v>-3.3999999999999998E-3</v>
      </c>
      <c r="V2967">
        <v>0</v>
      </c>
      <c r="W2967">
        <v>-0.2303</v>
      </c>
      <c r="X2967">
        <v>0.13350000000000001</v>
      </c>
      <c r="Y2967">
        <v>-7.3000000000000001E-3</v>
      </c>
      <c r="Z2967">
        <v>182</v>
      </c>
      <c r="AA2967">
        <v>0.5</v>
      </c>
      <c r="AB2967">
        <v>435</v>
      </c>
      <c r="AC2967">
        <v>0.7</v>
      </c>
      <c r="AD2967">
        <v>0</v>
      </c>
      <c r="AE2967">
        <v>0</v>
      </c>
      <c r="AF2967">
        <v>0</v>
      </c>
      <c r="AG2967">
        <v>107</v>
      </c>
      <c r="AH2967">
        <v>0</v>
      </c>
    </row>
    <row r="2968" spans="1:34" x14ac:dyDescent="0.35">
      <c r="A2968" t="s">
        <v>34</v>
      </c>
      <c r="B2968" s="1">
        <v>46146.65625</v>
      </c>
      <c r="C2968" t="s">
        <v>34</v>
      </c>
      <c r="D2968" s="1">
        <v>46157.625</v>
      </c>
      <c r="E2968">
        <v>5790</v>
      </c>
      <c r="F2968" t="s">
        <v>36</v>
      </c>
      <c r="G2968">
        <v>0.74</v>
      </c>
      <c r="H2968">
        <v>0.74</v>
      </c>
      <c r="I2968">
        <v>0.74</v>
      </c>
      <c r="J2968">
        <v>0.74</v>
      </c>
      <c r="K2968">
        <v>2</v>
      </c>
      <c r="L2968">
        <v>238</v>
      </c>
      <c r="M2968">
        <v>0.55000000000000004</v>
      </c>
      <c r="N2968">
        <v>297</v>
      </c>
      <c r="O2968">
        <v>0.7</v>
      </c>
      <c r="P2968">
        <v>0</v>
      </c>
      <c r="Q2968">
        <v>0</v>
      </c>
      <c r="R2968">
        <v>0</v>
      </c>
      <c r="S2968">
        <v>0</v>
      </c>
      <c r="T2968">
        <v>0.4743</v>
      </c>
      <c r="U2968">
        <v>-3.5999999999999999E-3</v>
      </c>
      <c r="V2968">
        <v>0</v>
      </c>
      <c r="W2968">
        <v>-0.23849999999999999</v>
      </c>
      <c r="X2968">
        <v>0.13830000000000001</v>
      </c>
      <c r="Y2968">
        <v>-7.6E-3</v>
      </c>
      <c r="Z2968">
        <v>159</v>
      </c>
      <c r="AA2968">
        <v>0.55000000000000004</v>
      </c>
      <c r="AB2968">
        <v>356</v>
      </c>
      <c r="AC2968">
        <v>0.7</v>
      </c>
      <c r="AD2968">
        <v>0</v>
      </c>
      <c r="AE2968">
        <v>0</v>
      </c>
      <c r="AF2968">
        <v>0.74</v>
      </c>
      <c r="AG2968">
        <v>90</v>
      </c>
      <c r="AH2968">
        <v>0</v>
      </c>
    </row>
    <row r="2969" spans="1:34" x14ac:dyDescent="0.35">
      <c r="A2969" t="s">
        <v>34</v>
      </c>
      <c r="B2969" s="1">
        <v>46146.65625</v>
      </c>
      <c r="C2969" t="s">
        <v>34</v>
      </c>
      <c r="D2969" s="1">
        <v>46157.625</v>
      </c>
      <c r="E2969">
        <v>5800</v>
      </c>
      <c r="F2969" t="s">
        <v>36</v>
      </c>
      <c r="G2969">
        <v>0.7</v>
      </c>
      <c r="H2969">
        <v>0.8</v>
      </c>
      <c r="I2969">
        <v>0.6</v>
      </c>
      <c r="J2969">
        <v>0.6</v>
      </c>
      <c r="K2969">
        <v>88</v>
      </c>
      <c r="L2969">
        <v>373</v>
      </c>
      <c r="M2969">
        <v>0.55000000000000004</v>
      </c>
      <c r="N2969">
        <v>282</v>
      </c>
      <c r="O2969">
        <v>0.7</v>
      </c>
      <c r="P2969">
        <v>0</v>
      </c>
      <c r="Q2969">
        <v>0</v>
      </c>
      <c r="R2969">
        <v>0</v>
      </c>
      <c r="S2969">
        <v>0</v>
      </c>
      <c r="T2969">
        <v>0.47099999999999997</v>
      </c>
      <c r="U2969">
        <v>-3.5999999999999999E-3</v>
      </c>
      <c r="V2969">
        <v>0</v>
      </c>
      <c r="W2969">
        <v>-0.23830000000000001</v>
      </c>
      <c r="X2969">
        <v>0.13919999999999999</v>
      </c>
      <c r="Y2969">
        <v>-7.7000000000000002E-3</v>
      </c>
      <c r="Z2969">
        <v>192</v>
      </c>
      <c r="AA2969">
        <v>0.55000000000000004</v>
      </c>
      <c r="AB2969">
        <v>129</v>
      </c>
      <c r="AC2969">
        <v>0.7</v>
      </c>
      <c r="AD2969">
        <v>0</v>
      </c>
      <c r="AE2969">
        <v>0</v>
      </c>
      <c r="AF2969">
        <v>0.7</v>
      </c>
      <c r="AG2969">
        <v>1676</v>
      </c>
      <c r="AH2969">
        <v>0</v>
      </c>
    </row>
    <row r="2970" spans="1:34" x14ac:dyDescent="0.35">
      <c r="A2970" t="s">
        <v>34</v>
      </c>
      <c r="B2970" s="1">
        <v>46146.65625</v>
      </c>
      <c r="C2970" t="s">
        <v>34</v>
      </c>
      <c r="D2970" s="1">
        <v>46157.625</v>
      </c>
      <c r="E2970">
        <v>5810</v>
      </c>
      <c r="F2970" t="s">
        <v>36</v>
      </c>
      <c r="G2970">
        <v>0.55000000000000004</v>
      </c>
      <c r="H2970">
        <v>0.7</v>
      </c>
      <c r="I2970">
        <v>0.55000000000000004</v>
      </c>
      <c r="J2970">
        <v>0.7</v>
      </c>
      <c r="K2970">
        <v>56</v>
      </c>
      <c r="L2970">
        <v>141</v>
      </c>
      <c r="M2970">
        <v>0.6</v>
      </c>
      <c r="N2970">
        <v>441</v>
      </c>
      <c r="O2970">
        <v>0.7</v>
      </c>
      <c r="P2970">
        <v>0</v>
      </c>
      <c r="Q2970">
        <v>0</v>
      </c>
      <c r="R2970">
        <v>0</v>
      </c>
      <c r="S2970">
        <v>0</v>
      </c>
      <c r="T2970">
        <v>0.46949999999999997</v>
      </c>
      <c r="U2970">
        <v>-3.7000000000000002E-3</v>
      </c>
      <c r="V2970">
        <v>0</v>
      </c>
      <c r="W2970">
        <v>-0.24629999999999999</v>
      </c>
      <c r="X2970">
        <v>0.14399999999999999</v>
      </c>
      <c r="Y2970">
        <v>-8.0000000000000002E-3</v>
      </c>
      <c r="Z2970">
        <v>192</v>
      </c>
      <c r="AA2970">
        <v>0.55000000000000004</v>
      </c>
      <c r="AB2970">
        <v>68</v>
      </c>
      <c r="AC2970">
        <v>0.7</v>
      </c>
      <c r="AD2970">
        <v>0</v>
      </c>
      <c r="AE2970">
        <v>0</v>
      </c>
      <c r="AF2970">
        <v>0.69730000000000003</v>
      </c>
      <c r="AG2970">
        <v>159</v>
      </c>
      <c r="AH2970">
        <v>0</v>
      </c>
    </row>
    <row r="2971" spans="1:34" x14ac:dyDescent="0.35">
      <c r="A2971" t="s">
        <v>34</v>
      </c>
      <c r="B2971" s="1">
        <v>46146.65625</v>
      </c>
      <c r="C2971" t="s">
        <v>34</v>
      </c>
      <c r="D2971" s="1">
        <v>46157.625</v>
      </c>
      <c r="E2971">
        <v>5820</v>
      </c>
      <c r="F2971" t="s">
        <v>36</v>
      </c>
      <c r="G2971">
        <v>0.77</v>
      </c>
      <c r="H2971">
        <v>0.77</v>
      </c>
      <c r="I2971">
        <v>0.77</v>
      </c>
      <c r="J2971">
        <v>0.77</v>
      </c>
      <c r="K2971">
        <v>3</v>
      </c>
      <c r="L2971">
        <v>182</v>
      </c>
      <c r="M2971">
        <v>0.6</v>
      </c>
      <c r="N2971">
        <v>231</v>
      </c>
      <c r="O2971">
        <v>0.7</v>
      </c>
      <c r="P2971">
        <v>0</v>
      </c>
      <c r="Q2971">
        <v>0</v>
      </c>
      <c r="R2971">
        <v>0</v>
      </c>
      <c r="S2971">
        <v>0</v>
      </c>
      <c r="T2971">
        <v>0.46579999999999999</v>
      </c>
      <c r="U2971">
        <v>-3.8E-3</v>
      </c>
      <c r="V2971">
        <v>0</v>
      </c>
      <c r="W2971">
        <v>-0.24610000000000001</v>
      </c>
      <c r="X2971">
        <v>0.14499999999999999</v>
      </c>
      <c r="Y2971">
        <v>-8.0000000000000002E-3</v>
      </c>
      <c r="Z2971">
        <v>176</v>
      </c>
      <c r="AA2971">
        <v>0.55000000000000004</v>
      </c>
      <c r="AB2971">
        <v>248</v>
      </c>
      <c r="AC2971">
        <v>0.75</v>
      </c>
      <c r="AD2971">
        <v>0</v>
      </c>
      <c r="AE2971">
        <v>0</v>
      </c>
      <c r="AF2971">
        <v>0.77</v>
      </c>
      <c r="AG2971">
        <v>180</v>
      </c>
      <c r="AH2971">
        <v>0</v>
      </c>
    </row>
    <row r="2972" spans="1:34" x14ac:dyDescent="0.35">
      <c r="A2972" t="s">
        <v>34</v>
      </c>
      <c r="B2972" s="1">
        <v>46146.65625</v>
      </c>
      <c r="C2972" t="s">
        <v>34</v>
      </c>
      <c r="D2972" s="1">
        <v>46157.625</v>
      </c>
      <c r="E2972">
        <v>5825</v>
      </c>
      <c r="F2972" t="s">
        <v>36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233</v>
      </c>
      <c r="M2972">
        <v>0.6</v>
      </c>
      <c r="N2972">
        <v>351</v>
      </c>
      <c r="O2972">
        <v>0.75</v>
      </c>
      <c r="P2972">
        <v>0</v>
      </c>
      <c r="Q2972">
        <v>0</v>
      </c>
      <c r="R2972">
        <v>0</v>
      </c>
      <c r="S2972">
        <v>0</v>
      </c>
      <c r="T2972">
        <v>0.4662</v>
      </c>
      <c r="U2972">
        <v>-3.8999999999999998E-3</v>
      </c>
      <c r="V2972">
        <v>0</v>
      </c>
      <c r="W2972">
        <v>-0.25419999999999998</v>
      </c>
      <c r="X2972">
        <v>0.14929999999999999</v>
      </c>
      <c r="Y2972">
        <v>-8.3000000000000001E-3</v>
      </c>
      <c r="Z2972">
        <v>184</v>
      </c>
      <c r="AA2972">
        <v>0.55000000000000004</v>
      </c>
      <c r="AB2972">
        <v>425</v>
      </c>
      <c r="AC2972">
        <v>0.75</v>
      </c>
      <c r="AD2972">
        <v>0</v>
      </c>
      <c r="AE2972">
        <v>0</v>
      </c>
      <c r="AF2972">
        <v>0</v>
      </c>
      <c r="AG2972">
        <v>507</v>
      </c>
      <c r="AH2972">
        <v>0</v>
      </c>
    </row>
    <row r="2973" spans="1:34" x14ac:dyDescent="0.35">
      <c r="A2973" t="s">
        <v>34</v>
      </c>
      <c r="B2973" s="1">
        <v>46146.65625</v>
      </c>
      <c r="C2973" t="s">
        <v>34</v>
      </c>
      <c r="D2973" s="1">
        <v>46157.625</v>
      </c>
      <c r="E2973">
        <v>5830</v>
      </c>
      <c r="F2973" t="s">
        <v>36</v>
      </c>
      <c r="G2973">
        <v>0.77</v>
      </c>
      <c r="H2973">
        <v>0.77</v>
      </c>
      <c r="I2973">
        <v>0.7</v>
      </c>
      <c r="J2973">
        <v>0.7</v>
      </c>
      <c r="K2973">
        <v>32</v>
      </c>
      <c r="L2973">
        <v>233</v>
      </c>
      <c r="M2973">
        <v>0.6</v>
      </c>
      <c r="N2973">
        <v>311</v>
      </c>
      <c r="O2973">
        <v>0.75</v>
      </c>
      <c r="P2973">
        <v>0</v>
      </c>
      <c r="Q2973">
        <v>0</v>
      </c>
      <c r="R2973">
        <v>0</v>
      </c>
      <c r="S2973">
        <v>0</v>
      </c>
      <c r="T2973">
        <v>0.46429999999999999</v>
      </c>
      <c r="U2973">
        <v>-3.8999999999999998E-3</v>
      </c>
      <c r="V2973">
        <v>0</v>
      </c>
      <c r="W2973">
        <v>-0.25409999999999999</v>
      </c>
      <c r="X2973">
        <v>0.14979999999999999</v>
      </c>
      <c r="Y2973">
        <v>-8.3000000000000001E-3</v>
      </c>
      <c r="Z2973">
        <v>94</v>
      </c>
      <c r="AA2973">
        <v>0.6</v>
      </c>
      <c r="AB2973">
        <v>437</v>
      </c>
      <c r="AC2973">
        <v>0.75</v>
      </c>
      <c r="AD2973">
        <v>0</v>
      </c>
      <c r="AE2973">
        <v>0</v>
      </c>
      <c r="AF2973">
        <v>0.70440000000000003</v>
      </c>
      <c r="AG2973">
        <v>359</v>
      </c>
      <c r="AH2973">
        <v>0</v>
      </c>
    </row>
    <row r="2974" spans="1:34" x14ac:dyDescent="0.35">
      <c r="A2974" t="s">
        <v>34</v>
      </c>
      <c r="B2974" s="1">
        <v>46146.65625</v>
      </c>
      <c r="C2974" t="s">
        <v>34</v>
      </c>
      <c r="D2974" s="1">
        <v>46157.625</v>
      </c>
      <c r="E2974">
        <v>5840</v>
      </c>
      <c r="F2974" t="s">
        <v>36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332</v>
      </c>
      <c r="M2974">
        <v>0.6</v>
      </c>
      <c r="N2974">
        <v>244</v>
      </c>
      <c r="O2974">
        <v>0.75</v>
      </c>
      <c r="P2974">
        <v>0</v>
      </c>
      <c r="Q2974">
        <v>0</v>
      </c>
      <c r="R2974">
        <v>0</v>
      </c>
      <c r="S2974">
        <v>0</v>
      </c>
      <c r="T2974">
        <v>0.46110000000000001</v>
      </c>
      <c r="U2974">
        <v>-3.8999999999999998E-3</v>
      </c>
      <c r="V2974">
        <v>0</v>
      </c>
      <c r="W2974">
        <v>-0.25390000000000001</v>
      </c>
      <c r="X2974">
        <v>0.1507</v>
      </c>
      <c r="Y2974">
        <v>-8.3999999999999995E-3</v>
      </c>
      <c r="Z2974">
        <v>152</v>
      </c>
      <c r="AA2974">
        <v>0.6</v>
      </c>
      <c r="AB2974">
        <v>104</v>
      </c>
      <c r="AC2974">
        <v>0.75</v>
      </c>
      <c r="AD2974">
        <v>0</v>
      </c>
      <c r="AE2974">
        <v>0</v>
      </c>
      <c r="AF2974">
        <v>0</v>
      </c>
      <c r="AG2974">
        <v>79</v>
      </c>
      <c r="AH2974">
        <v>0</v>
      </c>
    </row>
    <row r="2975" spans="1:34" x14ac:dyDescent="0.35">
      <c r="A2975" t="s">
        <v>34</v>
      </c>
      <c r="B2975" s="1">
        <v>46146.65625</v>
      </c>
      <c r="C2975" t="s">
        <v>34</v>
      </c>
      <c r="D2975" s="1">
        <v>46157.625</v>
      </c>
      <c r="E2975">
        <v>5850</v>
      </c>
      <c r="F2975" t="s">
        <v>36</v>
      </c>
      <c r="G2975">
        <v>0.6</v>
      </c>
      <c r="H2975">
        <v>1.05</v>
      </c>
      <c r="I2975">
        <v>0.6</v>
      </c>
      <c r="J2975">
        <v>0.71</v>
      </c>
      <c r="K2975">
        <v>125</v>
      </c>
      <c r="L2975">
        <v>175</v>
      </c>
      <c r="M2975">
        <v>0.65</v>
      </c>
      <c r="N2975">
        <v>463</v>
      </c>
      <c r="O2975">
        <v>0.75</v>
      </c>
      <c r="P2975">
        <v>0</v>
      </c>
      <c r="Q2975">
        <v>0</v>
      </c>
      <c r="R2975">
        <v>0</v>
      </c>
      <c r="S2975">
        <v>0</v>
      </c>
      <c r="T2975">
        <v>0.45950000000000002</v>
      </c>
      <c r="U2975">
        <v>-4.1000000000000003E-3</v>
      </c>
      <c r="V2975">
        <v>0</v>
      </c>
      <c r="W2975">
        <v>-0.26179999999999998</v>
      </c>
      <c r="X2975">
        <v>0.15570000000000001</v>
      </c>
      <c r="Y2975">
        <v>-8.6999999999999994E-3</v>
      </c>
      <c r="Z2975">
        <v>196</v>
      </c>
      <c r="AA2975">
        <v>0.6</v>
      </c>
      <c r="AB2975">
        <v>115</v>
      </c>
      <c r="AC2975">
        <v>0.75</v>
      </c>
      <c r="AD2975">
        <v>0</v>
      </c>
      <c r="AE2975">
        <v>0</v>
      </c>
      <c r="AF2975">
        <v>0.75060000000000004</v>
      </c>
      <c r="AG2975">
        <v>2316</v>
      </c>
      <c r="AH2975">
        <v>0</v>
      </c>
    </row>
    <row r="2976" spans="1:34" x14ac:dyDescent="0.35">
      <c r="A2976" t="s">
        <v>34</v>
      </c>
      <c r="B2976" s="1">
        <v>46146.65625</v>
      </c>
      <c r="C2976" t="s">
        <v>34</v>
      </c>
      <c r="D2976" s="1">
        <v>46157.625</v>
      </c>
      <c r="E2976">
        <v>5860</v>
      </c>
      <c r="F2976" t="s">
        <v>36</v>
      </c>
      <c r="G2976">
        <v>0.59</v>
      </c>
      <c r="H2976">
        <v>0.72</v>
      </c>
      <c r="I2976">
        <v>0.59</v>
      </c>
      <c r="J2976">
        <v>0.72</v>
      </c>
      <c r="K2976">
        <v>3</v>
      </c>
      <c r="L2976">
        <v>178</v>
      </c>
      <c r="M2976">
        <v>0.65</v>
      </c>
      <c r="N2976">
        <v>233</v>
      </c>
      <c r="O2976">
        <v>0.75</v>
      </c>
      <c r="P2976">
        <v>0</v>
      </c>
      <c r="Q2976">
        <v>0</v>
      </c>
      <c r="R2976">
        <v>0</v>
      </c>
      <c r="S2976">
        <v>0</v>
      </c>
      <c r="T2976">
        <v>0.45569999999999999</v>
      </c>
      <c r="U2976">
        <v>-4.1000000000000003E-3</v>
      </c>
      <c r="V2976">
        <v>0</v>
      </c>
      <c r="W2976">
        <v>-0.26150000000000001</v>
      </c>
      <c r="X2976">
        <v>0.15679999999999999</v>
      </c>
      <c r="Y2976">
        <v>-8.8000000000000005E-3</v>
      </c>
      <c r="Z2976">
        <v>172</v>
      </c>
      <c r="AA2976">
        <v>0.6</v>
      </c>
      <c r="AB2976">
        <v>242</v>
      </c>
      <c r="AC2976">
        <v>0.8</v>
      </c>
      <c r="AD2976">
        <v>0</v>
      </c>
      <c r="AE2976">
        <v>0</v>
      </c>
      <c r="AF2976">
        <v>0.67</v>
      </c>
      <c r="AG2976">
        <v>143</v>
      </c>
      <c r="AH2976">
        <v>0</v>
      </c>
    </row>
    <row r="2977" spans="1:34" x14ac:dyDescent="0.35">
      <c r="A2977" t="s">
        <v>34</v>
      </c>
      <c r="B2977" s="1">
        <v>46146.65625</v>
      </c>
      <c r="C2977" t="s">
        <v>34</v>
      </c>
      <c r="D2977" s="1">
        <v>46157.625</v>
      </c>
      <c r="E2977">
        <v>5870</v>
      </c>
      <c r="F2977" t="s">
        <v>36</v>
      </c>
      <c r="G2977">
        <v>0.8</v>
      </c>
      <c r="H2977">
        <v>0.8</v>
      </c>
      <c r="I2977">
        <v>0.75</v>
      </c>
      <c r="J2977">
        <v>0.77</v>
      </c>
      <c r="K2977">
        <v>62</v>
      </c>
      <c r="L2977">
        <v>228</v>
      </c>
      <c r="M2977">
        <v>0.65</v>
      </c>
      <c r="N2977">
        <v>345</v>
      </c>
      <c r="O2977">
        <v>0.8</v>
      </c>
      <c r="P2977">
        <v>0</v>
      </c>
      <c r="Q2977">
        <v>0</v>
      </c>
      <c r="R2977">
        <v>0</v>
      </c>
      <c r="S2977">
        <v>0</v>
      </c>
      <c r="T2977">
        <v>0.45400000000000001</v>
      </c>
      <c r="U2977">
        <v>-4.3E-3</v>
      </c>
      <c r="V2977">
        <v>0</v>
      </c>
      <c r="W2977">
        <v>-0.26939999999999997</v>
      </c>
      <c r="X2977">
        <v>0.1618</v>
      </c>
      <c r="Y2977">
        <v>-9.1000000000000004E-3</v>
      </c>
      <c r="Z2977">
        <v>106</v>
      </c>
      <c r="AA2977">
        <v>0.65</v>
      </c>
      <c r="AB2977">
        <v>335</v>
      </c>
      <c r="AC2977">
        <v>0.8</v>
      </c>
      <c r="AD2977">
        <v>0</v>
      </c>
      <c r="AE2977">
        <v>0</v>
      </c>
      <c r="AF2977">
        <v>0.79390000000000005</v>
      </c>
      <c r="AG2977">
        <v>238</v>
      </c>
      <c r="AH2977">
        <v>0</v>
      </c>
    </row>
    <row r="2978" spans="1:34" x14ac:dyDescent="0.35">
      <c r="A2978" t="s">
        <v>34</v>
      </c>
      <c r="B2978" s="1">
        <v>46146.65625</v>
      </c>
      <c r="C2978" t="s">
        <v>34</v>
      </c>
      <c r="D2978" s="1">
        <v>46157.625</v>
      </c>
      <c r="E2978">
        <v>5875</v>
      </c>
      <c r="F2978" t="s">
        <v>36</v>
      </c>
      <c r="G2978">
        <v>0.6</v>
      </c>
      <c r="H2978">
        <v>1.2</v>
      </c>
      <c r="I2978">
        <v>0.6</v>
      </c>
      <c r="J2978">
        <v>0.7</v>
      </c>
      <c r="K2978">
        <v>112</v>
      </c>
      <c r="L2978">
        <v>237</v>
      </c>
      <c r="M2978">
        <v>0.65</v>
      </c>
      <c r="N2978">
        <v>323</v>
      </c>
      <c r="O2978">
        <v>0.8</v>
      </c>
      <c r="P2978">
        <v>0</v>
      </c>
      <c r="Q2978">
        <v>0</v>
      </c>
      <c r="R2978">
        <v>0</v>
      </c>
      <c r="S2978">
        <v>0</v>
      </c>
      <c r="T2978">
        <v>0.4526</v>
      </c>
      <c r="U2978">
        <v>-4.3E-3</v>
      </c>
      <c r="V2978">
        <v>0</v>
      </c>
      <c r="W2978">
        <v>-0.26929999999999998</v>
      </c>
      <c r="X2978">
        <v>0.1623</v>
      </c>
      <c r="Y2978">
        <v>-9.1000000000000004E-3</v>
      </c>
      <c r="Z2978">
        <v>172</v>
      </c>
      <c r="AA2978">
        <v>0.65</v>
      </c>
      <c r="AB2978">
        <v>282</v>
      </c>
      <c r="AC2978">
        <v>0.8</v>
      </c>
      <c r="AD2978">
        <v>0</v>
      </c>
      <c r="AE2978">
        <v>0</v>
      </c>
      <c r="AF2978">
        <v>1.0349999999999999</v>
      </c>
      <c r="AG2978">
        <v>237</v>
      </c>
      <c r="AH2978">
        <v>0</v>
      </c>
    </row>
    <row r="2979" spans="1:34" x14ac:dyDescent="0.35">
      <c r="A2979" t="s">
        <v>34</v>
      </c>
      <c r="B2979" s="1">
        <v>46146.65625</v>
      </c>
      <c r="C2979" t="s">
        <v>34</v>
      </c>
      <c r="D2979" s="1">
        <v>46157.625</v>
      </c>
      <c r="E2979">
        <v>5880</v>
      </c>
      <c r="F2979" t="s">
        <v>36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228</v>
      </c>
      <c r="M2979">
        <v>0.65</v>
      </c>
      <c r="N2979">
        <v>242</v>
      </c>
      <c r="O2979">
        <v>0.8</v>
      </c>
      <c r="P2979">
        <v>0</v>
      </c>
      <c r="Q2979">
        <v>0</v>
      </c>
      <c r="R2979">
        <v>0</v>
      </c>
      <c r="S2979">
        <v>0</v>
      </c>
      <c r="T2979">
        <v>0.45090000000000002</v>
      </c>
      <c r="U2979">
        <v>-4.3E-3</v>
      </c>
      <c r="V2979">
        <v>0</v>
      </c>
      <c r="W2979">
        <v>-0.26910000000000001</v>
      </c>
      <c r="X2979">
        <v>0.1628</v>
      </c>
      <c r="Y2979">
        <v>-9.1000000000000004E-3</v>
      </c>
      <c r="Z2979">
        <v>119</v>
      </c>
      <c r="AA2979">
        <v>0.65</v>
      </c>
      <c r="AB2979">
        <v>92</v>
      </c>
      <c r="AC2979">
        <v>0.8</v>
      </c>
      <c r="AD2979">
        <v>0</v>
      </c>
      <c r="AE2979">
        <v>0</v>
      </c>
      <c r="AF2979">
        <v>0</v>
      </c>
      <c r="AG2979">
        <v>84</v>
      </c>
      <c r="AH2979">
        <v>0</v>
      </c>
    </row>
    <row r="2980" spans="1:34" x14ac:dyDescent="0.35">
      <c r="A2980" t="s">
        <v>34</v>
      </c>
      <c r="B2980" s="1">
        <v>46146.65625</v>
      </c>
      <c r="C2980" t="s">
        <v>34</v>
      </c>
      <c r="D2980" s="1">
        <v>46157.625</v>
      </c>
      <c r="E2980">
        <v>5885</v>
      </c>
      <c r="F2980" t="s">
        <v>36</v>
      </c>
      <c r="G2980">
        <v>0.8</v>
      </c>
      <c r="H2980">
        <v>0.8</v>
      </c>
      <c r="I2980">
        <v>0.75</v>
      </c>
      <c r="J2980">
        <v>0.75</v>
      </c>
      <c r="K2980">
        <v>20</v>
      </c>
      <c r="L2980">
        <v>497</v>
      </c>
      <c r="M2980">
        <v>0.65</v>
      </c>
      <c r="N2980">
        <v>390</v>
      </c>
      <c r="O2980">
        <v>0.8</v>
      </c>
      <c r="P2980">
        <v>0</v>
      </c>
      <c r="Q2980">
        <v>0</v>
      </c>
      <c r="R2980">
        <v>0</v>
      </c>
      <c r="S2980">
        <v>0</v>
      </c>
      <c r="T2980">
        <v>0.4491</v>
      </c>
      <c r="U2980">
        <v>-4.3E-3</v>
      </c>
      <c r="V2980">
        <v>0</v>
      </c>
      <c r="W2980">
        <v>-0.26900000000000002</v>
      </c>
      <c r="X2980">
        <v>0.16339999999999999</v>
      </c>
      <c r="Y2980">
        <v>-9.1999999999999998E-3</v>
      </c>
      <c r="Z2980">
        <v>71</v>
      </c>
      <c r="AA2980">
        <v>0.65</v>
      </c>
      <c r="AB2980">
        <v>97</v>
      </c>
      <c r="AC2980">
        <v>0.8</v>
      </c>
      <c r="AD2980">
        <v>0</v>
      </c>
      <c r="AE2980">
        <v>0</v>
      </c>
      <c r="AF2980">
        <v>0.77500000000000002</v>
      </c>
      <c r="AG2980">
        <v>172</v>
      </c>
      <c r="AH2980">
        <v>0</v>
      </c>
    </row>
    <row r="2981" spans="1:34" x14ac:dyDescent="0.35">
      <c r="A2981" t="s">
        <v>34</v>
      </c>
      <c r="B2981" s="1">
        <v>46146.65625</v>
      </c>
      <c r="C2981" t="s">
        <v>34</v>
      </c>
      <c r="D2981" s="1">
        <v>46157.625</v>
      </c>
      <c r="E2981">
        <v>5890</v>
      </c>
      <c r="F2981" t="s">
        <v>36</v>
      </c>
      <c r="G2981">
        <v>0.6</v>
      </c>
      <c r="H2981">
        <v>0.65</v>
      </c>
      <c r="I2981">
        <v>0.6</v>
      </c>
      <c r="J2981">
        <v>0.65</v>
      </c>
      <c r="K2981">
        <v>3</v>
      </c>
      <c r="L2981">
        <v>98</v>
      </c>
      <c r="M2981">
        <v>0.7</v>
      </c>
      <c r="N2981">
        <v>421</v>
      </c>
      <c r="O2981">
        <v>0.8</v>
      </c>
      <c r="P2981">
        <v>0</v>
      </c>
      <c r="Q2981">
        <v>0</v>
      </c>
      <c r="R2981">
        <v>0</v>
      </c>
      <c r="S2981">
        <v>0</v>
      </c>
      <c r="T2981">
        <v>0.44919999999999999</v>
      </c>
      <c r="U2981">
        <v>-4.4000000000000003E-3</v>
      </c>
      <c r="V2981">
        <v>0</v>
      </c>
      <c r="W2981">
        <v>-0.27700000000000002</v>
      </c>
      <c r="X2981">
        <v>0.16789999999999999</v>
      </c>
      <c r="Y2981">
        <v>-9.4999999999999998E-3</v>
      </c>
      <c r="Z2981">
        <v>169</v>
      </c>
      <c r="AA2981">
        <v>0.65</v>
      </c>
      <c r="AB2981">
        <v>53</v>
      </c>
      <c r="AC2981">
        <v>0.8</v>
      </c>
      <c r="AD2981">
        <v>0</v>
      </c>
      <c r="AE2981">
        <v>0</v>
      </c>
      <c r="AF2981">
        <v>0.63</v>
      </c>
      <c r="AG2981">
        <v>160</v>
      </c>
      <c r="AH2981">
        <v>0</v>
      </c>
    </row>
    <row r="2982" spans="1:34" x14ac:dyDescent="0.35">
      <c r="A2982" t="s">
        <v>34</v>
      </c>
      <c r="B2982" s="1">
        <v>46146.65625</v>
      </c>
      <c r="C2982" t="s">
        <v>34</v>
      </c>
      <c r="D2982" s="1">
        <v>46157.625</v>
      </c>
      <c r="E2982">
        <v>5895</v>
      </c>
      <c r="F2982" t="s">
        <v>36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60</v>
      </c>
      <c r="M2982">
        <v>0.7</v>
      </c>
      <c r="N2982">
        <v>358</v>
      </c>
      <c r="O2982">
        <v>0.8</v>
      </c>
      <c r="P2982">
        <v>0</v>
      </c>
      <c r="Q2982">
        <v>0</v>
      </c>
      <c r="R2982">
        <v>0</v>
      </c>
      <c r="S2982">
        <v>0</v>
      </c>
      <c r="T2982">
        <v>0.44729999999999998</v>
      </c>
      <c r="U2982">
        <v>-4.4000000000000003E-3</v>
      </c>
      <c r="V2982">
        <v>0</v>
      </c>
      <c r="W2982">
        <v>-0.27679999999999999</v>
      </c>
      <c r="X2982">
        <v>0.16850000000000001</v>
      </c>
      <c r="Y2982">
        <v>-9.4999999999999998E-3</v>
      </c>
      <c r="Z2982">
        <v>84</v>
      </c>
      <c r="AA2982">
        <v>0.65</v>
      </c>
      <c r="AB2982">
        <v>165</v>
      </c>
      <c r="AC2982">
        <v>0.85</v>
      </c>
      <c r="AD2982">
        <v>0</v>
      </c>
      <c r="AE2982">
        <v>0</v>
      </c>
      <c r="AF2982">
        <v>0</v>
      </c>
      <c r="AG2982">
        <v>48</v>
      </c>
      <c r="AH2982">
        <v>0</v>
      </c>
    </row>
    <row r="2983" spans="1:34" x14ac:dyDescent="0.35">
      <c r="A2983" t="s">
        <v>34</v>
      </c>
      <c r="B2983" s="1">
        <v>46146.65625</v>
      </c>
      <c r="C2983" t="s">
        <v>34</v>
      </c>
      <c r="D2983" s="1">
        <v>46157.625</v>
      </c>
      <c r="E2983">
        <v>5900</v>
      </c>
      <c r="F2983" t="s">
        <v>36</v>
      </c>
      <c r="G2983">
        <v>0.64</v>
      </c>
      <c r="H2983">
        <v>1.1499999999999999</v>
      </c>
      <c r="I2983">
        <v>0.63</v>
      </c>
      <c r="J2983">
        <v>0.82</v>
      </c>
      <c r="K2983">
        <v>1248</v>
      </c>
      <c r="L2983">
        <v>184</v>
      </c>
      <c r="M2983">
        <v>0.7</v>
      </c>
      <c r="N2983">
        <v>297</v>
      </c>
      <c r="O2983">
        <v>0.8</v>
      </c>
      <c r="P2983">
        <v>0</v>
      </c>
      <c r="Q2983">
        <v>0</v>
      </c>
      <c r="R2983">
        <v>0</v>
      </c>
      <c r="S2983">
        <v>0</v>
      </c>
      <c r="T2983">
        <v>0.4456</v>
      </c>
      <c r="U2983">
        <v>-4.4999999999999997E-3</v>
      </c>
      <c r="V2983">
        <v>0</v>
      </c>
      <c r="W2983">
        <v>-0.2767</v>
      </c>
      <c r="X2983">
        <v>0.1691</v>
      </c>
      <c r="Y2983">
        <v>-9.4999999999999998E-3</v>
      </c>
      <c r="Z2983">
        <v>89</v>
      </c>
      <c r="AA2983">
        <v>0.7</v>
      </c>
      <c r="AB2983">
        <v>286</v>
      </c>
      <c r="AC2983">
        <v>0.85</v>
      </c>
      <c r="AD2983">
        <v>0</v>
      </c>
      <c r="AE2983">
        <v>0</v>
      </c>
      <c r="AF2983">
        <v>0.73060000000000003</v>
      </c>
      <c r="AG2983">
        <v>10792</v>
      </c>
      <c r="AH2983">
        <v>0</v>
      </c>
    </row>
    <row r="2984" spans="1:34" x14ac:dyDescent="0.35">
      <c r="A2984" t="s">
        <v>34</v>
      </c>
      <c r="B2984" s="1">
        <v>46146.65625</v>
      </c>
      <c r="C2984" t="s">
        <v>34</v>
      </c>
      <c r="D2984" s="1">
        <v>46157.625</v>
      </c>
      <c r="E2984">
        <v>5905</v>
      </c>
      <c r="F2984" t="s">
        <v>36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153</v>
      </c>
      <c r="M2984">
        <v>0.7</v>
      </c>
      <c r="N2984">
        <v>327</v>
      </c>
      <c r="O2984">
        <v>0.85</v>
      </c>
      <c r="P2984">
        <v>0</v>
      </c>
      <c r="Q2984">
        <v>0</v>
      </c>
      <c r="R2984">
        <v>0</v>
      </c>
      <c r="S2984">
        <v>0</v>
      </c>
      <c r="T2984">
        <v>0.4456</v>
      </c>
      <c r="U2984">
        <v>-4.5999999999999999E-3</v>
      </c>
      <c r="V2984">
        <v>0</v>
      </c>
      <c r="W2984">
        <v>-0.28449999999999998</v>
      </c>
      <c r="X2984">
        <v>0.1736</v>
      </c>
      <c r="Y2984">
        <v>-9.7999999999999997E-3</v>
      </c>
      <c r="Z2984">
        <v>14</v>
      </c>
      <c r="AA2984">
        <v>0.7</v>
      </c>
      <c r="AB2984">
        <v>328</v>
      </c>
      <c r="AC2984">
        <v>0.85</v>
      </c>
      <c r="AD2984">
        <v>0</v>
      </c>
      <c r="AE2984">
        <v>0</v>
      </c>
      <c r="AF2984">
        <v>0</v>
      </c>
      <c r="AG2984">
        <v>73</v>
      </c>
      <c r="AH2984">
        <v>0</v>
      </c>
    </row>
    <row r="2985" spans="1:34" x14ac:dyDescent="0.35">
      <c r="A2985" t="s">
        <v>34</v>
      </c>
      <c r="B2985" s="1">
        <v>46146.65625</v>
      </c>
      <c r="C2985" t="s">
        <v>34</v>
      </c>
      <c r="D2985" s="1">
        <v>46157.625</v>
      </c>
      <c r="E2985">
        <v>5910</v>
      </c>
      <c r="F2985" t="s">
        <v>36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225</v>
      </c>
      <c r="M2985">
        <v>0.7</v>
      </c>
      <c r="N2985">
        <v>297</v>
      </c>
      <c r="O2985">
        <v>0.85</v>
      </c>
      <c r="P2985">
        <v>0</v>
      </c>
      <c r="Q2985">
        <v>0</v>
      </c>
      <c r="R2985">
        <v>0</v>
      </c>
      <c r="S2985">
        <v>0</v>
      </c>
      <c r="T2985">
        <v>0.44379999999999997</v>
      </c>
      <c r="U2985">
        <v>-4.5999999999999999E-3</v>
      </c>
      <c r="V2985">
        <v>0</v>
      </c>
      <c r="W2985">
        <v>-0.2843</v>
      </c>
      <c r="X2985">
        <v>0.17430000000000001</v>
      </c>
      <c r="Y2985">
        <v>-9.7999999999999997E-3</v>
      </c>
      <c r="Z2985">
        <v>87</v>
      </c>
      <c r="AA2985">
        <v>0.7</v>
      </c>
      <c r="AB2985">
        <v>264</v>
      </c>
      <c r="AC2985">
        <v>0.85</v>
      </c>
      <c r="AD2985">
        <v>0</v>
      </c>
      <c r="AE2985">
        <v>0</v>
      </c>
      <c r="AF2985">
        <v>0</v>
      </c>
      <c r="AG2985">
        <v>180</v>
      </c>
      <c r="AH2985">
        <v>0</v>
      </c>
    </row>
    <row r="2986" spans="1:34" x14ac:dyDescent="0.35">
      <c r="A2986" t="s">
        <v>34</v>
      </c>
      <c r="B2986" s="1">
        <v>46146.65625</v>
      </c>
      <c r="C2986" t="s">
        <v>34</v>
      </c>
      <c r="D2986" s="1">
        <v>46157.625</v>
      </c>
      <c r="E2986">
        <v>5915</v>
      </c>
      <c r="F2986" t="s">
        <v>36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154</v>
      </c>
      <c r="M2986">
        <v>0.7</v>
      </c>
      <c r="N2986">
        <v>256</v>
      </c>
      <c r="O2986">
        <v>0.85</v>
      </c>
      <c r="P2986">
        <v>0</v>
      </c>
      <c r="Q2986">
        <v>0</v>
      </c>
      <c r="R2986">
        <v>0</v>
      </c>
      <c r="S2986">
        <v>0</v>
      </c>
      <c r="T2986">
        <v>0.44209999999999999</v>
      </c>
      <c r="U2986">
        <v>-4.5999999999999999E-3</v>
      </c>
      <c r="V2986">
        <v>0</v>
      </c>
      <c r="W2986">
        <v>-0.28420000000000001</v>
      </c>
      <c r="X2986">
        <v>0.1749</v>
      </c>
      <c r="Y2986">
        <v>-9.9000000000000008E-3</v>
      </c>
      <c r="Z2986">
        <v>34</v>
      </c>
      <c r="AA2986">
        <v>0.7</v>
      </c>
      <c r="AB2986">
        <v>315</v>
      </c>
      <c r="AC2986">
        <v>0.85</v>
      </c>
      <c r="AD2986">
        <v>0</v>
      </c>
      <c r="AE2986">
        <v>0</v>
      </c>
      <c r="AF2986">
        <v>0</v>
      </c>
      <c r="AG2986">
        <v>50</v>
      </c>
      <c r="AH2986">
        <v>0</v>
      </c>
    </row>
    <row r="2987" spans="1:34" x14ac:dyDescent="0.35">
      <c r="A2987" t="s">
        <v>34</v>
      </c>
      <c r="B2987" s="1">
        <v>46146.65625</v>
      </c>
      <c r="C2987" t="s">
        <v>34</v>
      </c>
      <c r="D2987" s="1">
        <v>46157.625</v>
      </c>
      <c r="E2987">
        <v>5920</v>
      </c>
      <c r="F2987" t="s">
        <v>36</v>
      </c>
      <c r="G2987">
        <v>1.1000000000000001</v>
      </c>
      <c r="H2987">
        <v>1.1000000000000001</v>
      </c>
      <c r="I2987">
        <v>1.1000000000000001</v>
      </c>
      <c r="J2987">
        <v>1.1000000000000001</v>
      </c>
      <c r="K2987">
        <v>60</v>
      </c>
      <c r="L2987">
        <v>256</v>
      </c>
      <c r="M2987">
        <v>0.7</v>
      </c>
      <c r="N2987">
        <v>265</v>
      </c>
      <c r="O2987">
        <v>0.85</v>
      </c>
      <c r="P2987">
        <v>0</v>
      </c>
      <c r="Q2987">
        <v>0</v>
      </c>
      <c r="R2987">
        <v>0</v>
      </c>
      <c r="S2987">
        <v>0</v>
      </c>
      <c r="T2987">
        <v>0.4405</v>
      </c>
      <c r="U2987">
        <v>-4.5999999999999999E-3</v>
      </c>
      <c r="V2987">
        <v>0</v>
      </c>
      <c r="W2987">
        <v>-0.28410000000000002</v>
      </c>
      <c r="X2987">
        <v>0.1754</v>
      </c>
      <c r="Y2987">
        <v>-9.9000000000000008E-3</v>
      </c>
      <c r="Z2987">
        <v>131</v>
      </c>
      <c r="AA2987">
        <v>0.7</v>
      </c>
      <c r="AB2987">
        <v>97</v>
      </c>
      <c r="AC2987">
        <v>0.85</v>
      </c>
      <c r="AD2987">
        <v>0</v>
      </c>
      <c r="AE2987">
        <v>0</v>
      </c>
      <c r="AF2987">
        <v>1.1000000000000001</v>
      </c>
      <c r="AG2987">
        <v>146</v>
      </c>
      <c r="AH2987">
        <v>0</v>
      </c>
    </row>
    <row r="2988" spans="1:34" x14ac:dyDescent="0.35">
      <c r="A2988" t="s">
        <v>34</v>
      </c>
      <c r="B2988" s="1">
        <v>46146.65625</v>
      </c>
      <c r="C2988" t="s">
        <v>34</v>
      </c>
      <c r="D2988" s="1">
        <v>46157.625</v>
      </c>
      <c r="E2988">
        <v>5925</v>
      </c>
      <c r="F2988" t="s">
        <v>36</v>
      </c>
      <c r="G2988">
        <v>0.75</v>
      </c>
      <c r="H2988">
        <v>0.75</v>
      </c>
      <c r="I2988">
        <v>0.75</v>
      </c>
      <c r="J2988">
        <v>0.75</v>
      </c>
      <c r="K2988">
        <v>11</v>
      </c>
      <c r="L2988">
        <v>129</v>
      </c>
      <c r="M2988">
        <v>0.75</v>
      </c>
      <c r="N2988">
        <v>364</v>
      </c>
      <c r="O2988">
        <v>0.85</v>
      </c>
      <c r="P2988">
        <v>0</v>
      </c>
      <c r="Q2988">
        <v>0</v>
      </c>
      <c r="R2988">
        <v>0</v>
      </c>
      <c r="S2988">
        <v>0</v>
      </c>
      <c r="T2988">
        <v>0.44030000000000002</v>
      </c>
      <c r="U2988">
        <v>-4.7999999999999996E-3</v>
      </c>
      <c r="V2988">
        <v>0</v>
      </c>
      <c r="W2988">
        <v>-0.29189999999999999</v>
      </c>
      <c r="X2988">
        <v>0.18010000000000001</v>
      </c>
      <c r="Y2988">
        <v>-1.0200000000000001E-2</v>
      </c>
      <c r="Z2988">
        <v>174</v>
      </c>
      <c r="AA2988">
        <v>0.7</v>
      </c>
      <c r="AB2988">
        <v>90</v>
      </c>
      <c r="AC2988">
        <v>0.85</v>
      </c>
      <c r="AD2988">
        <v>0</v>
      </c>
      <c r="AE2988">
        <v>0</v>
      </c>
      <c r="AF2988">
        <v>0.75</v>
      </c>
      <c r="AG2988">
        <v>494</v>
      </c>
      <c r="AH2988">
        <v>0</v>
      </c>
    </row>
    <row r="2989" spans="1:34" x14ac:dyDescent="0.35">
      <c r="A2989" t="s">
        <v>34</v>
      </c>
      <c r="B2989" s="1">
        <v>46146.65625</v>
      </c>
      <c r="C2989" t="s">
        <v>34</v>
      </c>
      <c r="D2989" s="1">
        <v>46157.625</v>
      </c>
      <c r="E2989">
        <v>5930</v>
      </c>
      <c r="F2989" t="s">
        <v>36</v>
      </c>
      <c r="G2989">
        <v>1.05</v>
      </c>
      <c r="H2989">
        <v>1.05</v>
      </c>
      <c r="I2989">
        <v>1.05</v>
      </c>
      <c r="J2989">
        <v>1.05</v>
      </c>
      <c r="K2989">
        <v>48</v>
      </c>
      <c r="L2989">
        <v>130</v>
      </c>
      <c r="M2989">
        <v>0.75</v>
      </c>
      <c r="N2989">
        <v>435</v>
      </c>
      <c r="O2989">
        <v>0.85</v>
      </c>
      <c r="P2989">
        <v>0</v>
      </c>
      <c r="Q2989">
        <v>0</v>
      </c>
      <c r="R2989">
        <v>0</v>
      </c>
      <c r="S2989">
        <v>0</v>
      </c>
      <c r="T2989">
        <v>0.4385</v>
      </c>
      <c r="U2989">
        <v>-4.7999999999999996E-3</v>
      </c>
      <c r="V2989">
        <v>0</v>
      </c>
      <c r="W2989">
        <v>-0.29170000000000001</v>
      </c>
      <c r="X2989">
        <v>0.1807</v>
      </c>
      <c r="Y2989">
        <v>-1.0200000000000001E-2</v>
      </c>
      <c r="Z2989">
        <v>86</v>
      </c>
      <c r="AA2989">
        <v>0.75</v>
      </c>
      <c r="AB2989">
        <v>250</v>
      </c>
      <c r="AC2989">
        <v>0.9</v>
      </c>
      <c r="AD2989">
        <v>0</v>
      </c>
      <c r="AE2989">
        <v>0</v>
      </c>
      <c r="AF2989">
        <v>1.05</v>
      </c>
      <c r="AG2989">
        <v>92</v>
      </c>
      <c r="AH2989">
        <v>0</v>
      </c>
    </row>
    <row r="2990" spans="1:34" x14ac:dyDescent="0.35">
      <c r="A2990" t="s">
        <v>34</v>
      </c>
      <c r="B2990" s="1">
        <v>46146.65625</v>
      </c>
      <c r="C2990" t="s">
        <v>34</v>
      </c>
      <c r="D2990" s="1">
        <v>46157.625</v>
      </c>
      <c r="E2990">
        <v>5935</v>
      </c>
      <c r="F2990" t="s">
        <v>36</v>
      </c>
      <c r="G2990">
        <v>0.85</v>
      </c>
      <c r="H2990">
        <v>0.9</v>
      </c>
      <c r="I2990">
        <v>0.8</v>
      </c>
      <c r="J2990">
        <v>0.8</v>
      </c>
      <c r="K2990">
        <v>56</v>
      </c>
      <c r="L2990">
        <v>102</v>
      </c>
      <c r="M2990">
        <v>0.75</v>
      </c>
      <c r="N2990">
        <v>136</v>
      </c>
      <c r="O2990">
        <v>0.85</v>
      </c>
      <c r="P2990">
        <v>0</v>
      </c>
      <c r="Q2990">
        <v>0</v>
      </c>
      <c r="R2990">
        <v>0</v>
      </c>
      <c r="S2990">
        <v>0</v>
      </c>
      <c r="T2990">
        <v>0.43680000000000002</v>
      </c>
      <c r="U2990">
        <v>-4.7999999999999996E-3</v>
      </c>
      <c r="V2990">
        <v>0</v>
      </c>
      <c r="W2990">
        <v>-0.29149999999999998</v>
      </c>
      <c r="X2990">
        <v>0.18129999999999999</v>
      </c>
      <c r="Y2990">
        <v>-1.03E-2</v>
      </c>
      <c r="Z2990">
        <v>102</v>
      </c>
      <c r="AA2990">
        <v>0.7</v>
      </c>
      <c r="AB2990">
        <v>177</v>
      </c>
      <c r="AC2990">
        <v>0.9</v>
      </c>
      <c r="AD2990">
        <v>0</v>
      </c>
      <c r="AE2990">
        <v>0</v>
      </c>
      <c r="AF2990">
        <v>0.86339999999999995</v>
      </c>
      <c r="AG2990">
        <v>104</v>
      </c>
      <c r="AH2990">
        <v>0</v>
      </c>
    </row>
    <row r="2991" spans="1:34" x14ac:dyDescent="0.35">
      <c r="A2991" t="s">
        <v>34</v>
      </c>
      <c r="B2991" s="1">
        <v>46146.65625</v>
      </c>
      <c r="C2991" t="s">
        <v>34</v>
      </c>
      <c r="D2991" s="1">
        <v>46157.625</v>
      </c>
      <c r="E2991">
        <v>5940</v>
      </c>
      <c r="F2991" t="s">
        <v>36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222</v>
      </c>
      <c r="M2991">
        <v>0.75</v>
      </c>
      <c r="N2991">
        <v>326</v>
      </c>
      <c r="O2991">
        <v>0.9</v>
      </c>
      <c r="P2991">
        <v>0</v>
      </c>
      <c r="Q2991">
        <v>0</v>
      </c>
      <c r="R2991">
        <v>0</v>
      </c>
      <c r="S2991">
        <v>0</v>
      </c>
      <c r="T2991">
        <v>0.4365</v>
      </c>
      <c r="U2991">
        <v>-5.0000000000000001E-3</v>
      </c>
      <c r="V2991">
        <v>0</v>
      </c>
      <c r="W2991">
        <v>-0.29920000000000002</v>
      </c>
      <c r="X2991">
        <v>0.186</v>
      </c>
      <c r="Y2991">
        <v>-1.06E-2</v>
      </c>
      <c r="Z2991">
        <v>84</v>
      </c>
      <c r="AA2991">
        <v>0.75</v>
      </c>
      <c r="AB2991">
        <v>327</v>
      </c>
      <c r="AC2991">
        <v>0.9</v>
      </c>
      <c r="AD2991">
        <v>0</v>
      </c>
      <c r="AE2991">
        <v>0</v>
      </c>
      <c r="AF2991">
        <v>0</v>
      </c>
      <c r="AG2991">
        <v>85</v>
      </c>
      <c r="AH2991">
        <v>0</v>
      </c>
    </row>
    <row r="2992" spans="1:34" x14ac:dyDescent="0.35">
      <c r="A2992" t="s">
        <v>34</v>
      </c>
      <c r="B2992" s="1">
        <v>46146.65625</v>
      </c>
      <c r="C2992" t="s">
        <v>34</v>
      </c>
      <c r="D2992" s="1">
        <v>46157.625</v>
      </c>
      <c r="E2992">
        <v>5945</v>
      </c>
      <c r="F2992" t="s">
        <v>36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152</v>
      </c>
      <c r="M2992">
        <v>0.75</v>
      </c>
      <c r="N2992">
        <v>297</v>
      </c>
      <c r="O2992">
        <v>0.9</v>
      </c>
      <c r="P2992">
        <v>0</v>
      </c>
      <c r="Q2992">
        <v>0</v>
      </c>
      <c r="R2992">
        <v>0</v>
      </c>
      <c r="S2992">
        <v>0</v>
      </c>
      <c r="T2992">
        <v>0.43490000000000001</v>
      </c>
      <c r="U2992">
        <v>-5.0000000000000001E-3</v>
      </c>
      <c r="V2992">
        <v>0</v>
      </c>
      <c r="W2992">
        <v>-0.29909999999999998</v>
      </c>
      <c r="X2992">
        <v>0.18659999999999999</v>
      </c>
      <c r="Y2992">
        <v>-1.06E-2</v>
      </c>
      <c r="Z2992">
        <v>14</v>
      </c>
      <c r="AA2992">
        <v>0.75</v>
      </c>
      <c r="AB2992">
        <v>337</v>
      </c>
      <c r="AC2992">
        <v>0.9</v>
      </c>
      <c r="AD2992">
        <v>0</v>
      </c>
      <c r="AE2992">
        <v>0</v>
      </c>
      <c r="AF2992">
        <v>0</v>
      </c>
      <c r="AG2992">
        <v>43</v>
      </c>
      <c r="AH2992">
        <v>0</v>
      </c>
    </row>
    <row r="2993" spans="1:34" x14ac:dyDescent="0.35">
      <c r="A2993" t="s">
        <v>34</v>
      </c>
      <c r="B2993" s="1">
        <v>46146.65625</v>
      </c>
      <c r="C2993" t="s">
        <v>34</v>
      </c>
      <c r="D2993" s="1">
        <v>46157.625</v>
      </c>
      <c r="E2993">
        <v>5950</v>
      </c>
      <c r="F2993" t="s">
        <v>36</v>
      </c>
      <c r="G2993">
        <v>0.65</v>
      </c>
      <c r="H2993">
        <v>1.25</v>
      </c>
      <c r="I2993">
        <v>0.65</v>
      </c>
      <c r="J2993">
        <v>0.85</v>
      </c>
      <c r="K2993">
        <v>24</v>
      </c>
      <c r="L2993">
        <v>229</v>
      </c>
      <c r="M2993">
        <v>0.75</v>
      </c>
      <c r="N2993">
        <v>321</v>
      </c>
      <c r="O2993">
        <v>0.9</v>
      </c>
      <c r="P2993">
        <v>0</v>
      </c>
      <c r="Q2993">
        <v>0</v>
      </c>
      <c r="R2993">
        <v>0</v>
      </c>
      <c r="S2993">
        <v>0</v>
      </c>
      <c r="T2993">
        <v>0.43309999999999998</v>
      </c>
      <c r="U2993">
        <v>-5.0000000000000001E-3</v>
      </c>
      <c r="V2993">
        <v>0</v>
      </c>
      <c r="W2993">
        <v>-0.2989</v>
      </c>
      <c r="X2993">
        <v>0.18729999999999999</v>
      </c>
      <c r="Y2993">
        <v>-1.0699999999999999E-2</v>
      </c>
      <c r="Z2993">
        <v>163</v>
      </c>
      <c r="AA2993">
        <v>0.75</v>
      </c>
      <c r="AB2993">
        <v>356</v>
      </c>
      <c r="AC2993">
        <v>0.9</v>
      </c>
      <c r="AD2993">
        <v>0</v>
      </c>
      <c r="AE2993">
        <v>0</v>
      </c>
      <c r="AF2993">
        <v>1.0125</v>
      </c>
      <c r="AG2993">
        <v>21245</v>
      </c>
      <c r="AH2993">
        <v>0</v>
      </c>
    </row>
    <row r="2994" spans="1:34" x14ac:dyDescent="0.35">
      <c r="A2994" t="s">
        <v>34</v>
      </c>
      <c r="B2994" s="1">
        <v>46146.65625</v>
      </c>
      <c r="C2994" t="s">
        <v>34</v>
      </c>
      <c r="D2994" s="1">
        <v>46157.625</v>
      </c>
      <c r="E2994">
        <v>5955</v>
      </c>
      <c r="F2994" t="s">
        <v>36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154</v>
      </c>
      <c r="M2994">
        <v>0.75</v>
      </c>
      <c r="N2994">
        <v>230</v>
      </c>
      <c r="O2994">
        <v>0.9</v>
      </c>
      <c r="P2994">
        <v>0</v>
      </c>
      <c r="Q2994">
        <v>0</v>
      </c>
      <c r="R2994">
        <v>0</v>
      </c>
      <c r="S2994">
        <v>0</v>
      </c>
      <c r="T2994">
        <v>0.43140000000000001</v>
      </c>
      <c r="U2994">
        <v>-5.0000000000000001E-3</v>
      </c>
      <c r="V2994">
        <v>0</v>
      </c>
      <c r="W2994">
        <v>-0.29880000000000001</v>
      </c>
      <c r="X2994">
        <v>0.188</v>
      </c>
      <c r="Y2994">
        <v>-1.0699999999999999E-2</v>
      </c>
      <c r="Z2994">
        <v>44</v>
      </c>
      <c r="AA2994">
        <v>0.75</v>
      </c>
      <c r="AB2994">
        <v>82</v>
      </c>
      <c r="AC2994">
        <v>0.9</v>
      </c>
      <c r="AD2994">
        <v>0</v>
      </c>
      <c r="AE2994">
        <v>0</v>
      </c>
      <c r="AF2994">
        <v>0</v>
      </c>
      <c r="AG2994">
        <v>55</v>
      </c>
      <c r="AH2994">
        <v>0</v>
      </c>
    </row>
    <row r="2995" spans="1:34" x14ac:dyDescent="0.35">
      <c r="A2995" t="s">
        <v>34</v>
      </c>
      <c r="B2995" s="1">
        <v>46146.65625</v>
      </c>
      <c r="C2995" t="s">
        <v>34</v>
      </c>
      <c r="D2995" s="1">
        <v>46157.625</v>
      </c>
      <c r="E2995">
        <v>5960</v>
      </c>
      <c r="F2995" t="s">
        <v>36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79</v>
      </c>
      <c r="M2995">
        <v>0.8</v>
      </c>
      <c r="N2995">
        <v>345</v>
      </c>
      <c r="O2995">
        <v>0.9</v>
      </c>
      <c r="P2995">
        <v>0</v>
      </c>
      <c r="Q2995">
        <v>0</v>
      </c>
      <c r="R2995">
        <v>0</v>
      </c>
      <c r="S2995">
        <v>0</v>
      </c>
      <c r="T2995">
        <v>0.43080000000000002</v>
      </c>
      <c r="U2995">
        <v>-5.1999999999999998E-3</v>
      </c>
      <c r="V2995">
        <v>0</v>
      </c>
      <c r="W2995">
        <v>-0.30640000000000001</v>
      </c>
      <c r="X2995">
        <v>0.1928</v>
      </c>
      <c r="Y2995">
        <v>-1.0999999999999999E-2</v>
      </c>
      <c r="Z2995">
        <v>164</v>
      </c>
      <c r="AA2995">
        <v>0.75</v>
      </c>
      <c r="AB2995">
        <v>53</v>
      </c>
      <c r="AC2995">
        <v>0.9</v>
      </c>
      <c r="AD2995">
        <v>0</v>
      </c>
      <c r="AE2995">
        <v>0</v>
      </c>
      <c r="AF2995">
        <v>0</v>
      </c>
      <c r="AG2995">
        <v>127</v>
      </c>
      <c r="AH2995">
        <v>0</v>
      </c>
    </row>
    <row r="2996" spans="1:34" x14ac:dyDescent="0.35">
      <c r="A2996" t="s">
        <v>34</v>
      </c>
      <c r="B2996" s="1">
        <v>46146.65625</v>
      </c>
      <c r="C2996" t="s">
        <v>34</v>
      </c>
      <c r="D2996" s="1">
        <v>46157.625</v>
      </c>
      <c r="E2996">
        <v>5965</v>
      </c>
      <c r="F2996" t="s">
        <v>36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102</v>
      </c>
      <c r="M2996">
        <v>0.8</v>
      </c>
      <c r="N2996">
        <v>267</v>
      </c>
      <c r="O2996">
        <v>0.9</v>
      </c>
      <c r="P2996">
        <v>0</v>
      </c>
      <c r="Q2996">
        <v>0</v>
      </c>
      <c r="R2996">
        <v>0</v>
      </c>
      <c r="S2996">
        <v>0</v>
      </c>
      <c r="T2996">
        <v>0.42909999999999998</v>
      </c>
      <c r="U2996">
        <v>-5.1999999999999998E-3</v>
      </c>
      <c r="V2996">
        <v>0</v>
      </c>
      <c r="W2996">
        <v>-0.30620000000000003</v>
      </c>
      <c r="X2996">
        <v>0.19350000000000001</v>
      </c>
      <c r="Y2996">
        <v>-1.11E-2</v>
      </c>
      <c r="Z2996">
        <v>86</v>
      </c>
      <c r="AA2996">
        <v>0.75</v>
      </c>
      <c r="AB2996">
        <v>155</v>
      </c>
      <c r="AC2996">
        <v>0.95</v>
      </c>
      <c r="AD2996">
        <v>0</v>
      </c>
      <c r="AE2996">
        <v>0</v>
      </c>
      <c r="AF2996">
        <v>0</v>
      </c>
      <c r="AG2996">
        <v>134</v>
      </c>
      <c r="AH2996">
        <v>0</v>
      </c>
    </row>
    <row r="2997" spans="1:34" x14ac:dyDescent="0.35">
      <c r="A2997" t="s">
        <v>34</v>
      </c>
      <c r="B2997" s="1">
        <v>46146.65625</v>
      </c>
      <c r="C2997" t="s">
        <v>34</v>
      </c>
      <c r="D2997" s="1">
        <v>46157.625</v>
      </c>
      <c r="E2997">
        <v>5970</v>
      </c>
      <c r="F2997" t="s">
        <v>36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168</v>
      </c>
      <c r="M2997">
        <v>0.8</v>
      </c>
      <c r="N2997">
        <v>275</v>
      </c>
      <c r="O2997">
        <v>0.9</v>
      </c>
      <c r="P2997">
        <v>0</v>
      </c>
      <c r="Q2997">
        <v>0</v>
      </c>
      <c r="R2997">
        <v>0</v>
      </c>
      <c r="S2997">
        <v>0</v>
      </c>
      <c r="T2997">
        <v>0.42770000000000002</v>
      </c>
      <c r="U2997">
        <v>-5.1999999999999998E-3</v>
      </c>
      <c r="V2997">
        <v>0</v>
      </c>
      <c r="W2997">
        <v>-0.30609999999999998</v>
      </c>
      <c r="X2997">
        <v>0.19400000000000001</v>
      </c>
      <c r="Y2997">
        <v>-1.11E-2</v>
      </c>
      <c r="Z2997">
        <v>96</v>
      </c>
      <c r="AA2997">
        <v>0.8</v>
      </c>
      <c r="AB2997">
        <v>266</v>
      </c>
      <c r="AC2997">
        <v>0.95</v>
      </c>
      <c r="AD2997">
        <v>0</v>
      </c>
      <c r="AE2997">
        <v>0</v>
      </c>
      <c r="AF2997">
        <v>0</v>
      </c>
      <c r="AG2997">
        <v>1233</v>
      </c>
      <c r="AH2997">
        <v>0</v>
      </c>
    </row>
    <row r="2998" spans="1:34" x14ac:dyDescent="0.35">
      <c r="A2998" t="s">
        <v>34</v>
      </c>
      <c r="B2998" s="1">
        <v>46146.65625</v>
      </c>
      <c r="C2998" t="s">
        <v>34</v>
      </c>
      <c r="D2998" s="1">
        <v>46157.625</v>
      </c>
      <c r="E2998">
        <v>5975</v>
      </c>
      <c r="F2998" t="s">
        <v>36</v>
      </c>
      <c r="G2998">
        <v>0.92</v>
      </c>
      <c r="H2998">
        <v>0.92</v>
      </c>
      <c r="I2998">
        <v>0.85</v>
      </c>
      <c r="J2998">
        <v>0.85</v>
      </c>
      <c r="K2998">
        <v>5</v>
      </c>
      <c r="L2998">
        <v>228</v>
      </c>
      <c r="M2998">
        <v>0.8</v>
      </c>
      <c r="N2998">
        <v>325</v>
      </c>
      <c r="O2998">
        <v>0.95</v>
      </c>
      <c r="P2998">
        <v>0</v>
      </c>
      <c r="Q2998">
        <v>0</v>
      </c>
      <c r="R2998">
        <v>0</v>
      </c>
      <c r="S2998">
        <v>0</v>
      </c>
      <c r="T2998">
        <v>0.42730000000000001</v>
      </c>
      <c r="U2998">
        <v>-5.3E-3</v>
      </c>
      <c r="V2998">
        <v>0</v>
      </c>
      <c r="W2998">
        <v>-0.31359999999999999</v>
      </c>
      <c r="X2998">
        <v>0.19869999999999999</v>
      </c>
      <c r="Y2998">
        <v>-1.14E-2</v>
      </c>
      <c r="Z2998">
        <v>81</v>
      </c>
      <c r="AA2998">
        <v>0.8</v>
      </c>
      <c r="AB2998">
        <v>364</v>
      </c>
      <c r="AC2998">
        <v>0.95</v>
      </c>
      <c r="AD2998">
        <v>0</v>
      </c>
      <c r="AE2998">
        <v>0</v>
      </c>
      <c r="AF2998">
        <v>0.878</v>
      </c>
      <c r="AG2998">
        <v>448</v>
      </c>
      <c r="AH2998">
        <v>0</v>
      </c>
    </row>
    <row r="2999" spans="1:34" x14ac:dyDescent="0.35">
      <c r="A2999" t="s">
        <v>34</v>
      </c>
      <c r="B2999" s="1">
        <v>46146.65625</v>
      </c>
      <c r="C2999" t="s">
        <v>34</v>
      </c>
      <c r="D2999" s="1">
        <v>46157.625</v>
      </c>
      <c r="E2999">
        <v>5980</v>
      </c>
      <c r="F2999" t="s">
        <v>36</v>
      </c>
      <c r="G2999">
        <v>1.2</v>
      </c>
      <c r="H2999">
        <v>1.2</v>
      </c>
      <c r="I2999">
        <v>1.2</v>
      </c>
      <c r="J2999">
        <v>1.2</v>
      </c>
      <c r="K2999">
        <v>50</v>
      </c>
      <c r="L2999">
        <v>217</v>
      </c>
      <c r="M2999">
        <v>0.8</v>
      </c>
      <c r="N2999">
        <v>315</v>
      </c>
      <c r="O2999">
        <v>0.95</v>
      </c>
      <c r="P2999">
        <v>0</v>
      </c>
      <c r="Q2999">
        <v>0</v>
      </c>
      <c r="R2999">
        <v>0</v>
      </c>
      <c r="S2999">
        <v>0</v>
      </c>
      <c r="T2999">
        <v>0.42570000000000002</v>
      </c>
      <c r="U2999">
        <v>-5.4000000000000003E-3</v>
      </c>
      <c r="V2999">
        <v>0</v>
      </c>
      <c r="W2999">
        <v>-0.3135</v>
      </c>
      <c r="X2999">
        <v>0.19939999999999999</v>
      </c>
      <c r="Y2999">
        <v>-1.14E-2</v>
      </c>
      <c r="Z2999">
        <v>95</v>
      </c>
      <c r="AA2999">
        <v>0.8</v>
      </c>
      <c r="AB2999">
        <v>266</v>
      </c>
      <c r="AC2999">
        <v>0.95</v>
      </c>
      <c r="AD2999">
        <v>0</v>
      </c>
      <c r="AE2999">
        <v>0</v>
      </c>
      <c r="AF2999">
        <v>1.2</v>
      </c>
      <c r="AG2999">
        <v>141</v>
      </c>
      <c r="AH2999">
        <v>0</v>
      </c>
    </row>
    <row r="3000" spans="1:34" x14ac:dyDescent="0.35">
      <c r="A3000" t="s">
        <v>34</v>
      </c>
      <c r="B3000" s="1">
        <v>46146.65625</v>
      </c>
      <c r="C3000" t="s">
        <v>34</v>
      </c>
      <c r="D3000" s="1">
        <v>46157.625</v>
      </c>
      <c r="E3000">
        <v>5985</v>
      </c>
      <c r="F3000" t="s">
        <v>36</v>
      </c>
      <c r="G3000">
        <v>1.2</v>
      </c>
      <c r="H3000">
        <v>1.2</v>
      </c>
      <c r="I3000">
        <v>1.2</v>
      </c>
      <c r="J3000">
        <v>1.2</v>
      </c>
      <c r="K3000">
        <v>40</v>
      </c>
      <c r="L3000">
        <v>152</v>
      </c>
      <c r="M3000">
        <v>0.8</v>
      </c>
      <c r="N3000">
        <v>240</v>
      </c>
      <c r="O3000">
        <v>0.95</v>
      </c>
      <c r="P3000">
        <v>0</v>
      </c>
      <c r="Q3000">
        <v>0</v>
      </c>
      <c r="R3000">
        <v>0</v>
      </c>
      <c r="S3000">
        <v>0</v>
      </c>
      <c r="T3000">
        <v>0.4239</v>
      </c>
      <c r="U3000">
        <v>-5.4000000000000003E-3</v>
      </c>
      <c r="V3000">
        <v>0</v>
      </c>
      <c r="W3000">
        <v>-0.31330000000000002</v>
      </c>
      <c r="X3000">
        <v>0.2001</v>
      </c>
      <c r="Y3000">
        <v>-1.15E-2</v>
      </c>
      <c r="Z3000">
        <v>34</v>
      </c>
      <c r="AA3000">
        <v>0.8</v>
      </c>
      <c r="AB3000">
        <v>100</v>
      </c>
      <c r="AC3000">
        <v>0.95</v>
      </c>
      <c r="AD3000">
        <v>0</v>
      </c>
      <c r="AE3000">
        <v>0</v>
      </c>
      <c r="AF3000">
        <v>1.2</v>
      </c>
      <c r="AG3000">
        <v>216</v>
      </c>
      <c r="AH3000">
        <v>0</v>
      </c>
    </row>
    <row r="3001" spans="1:34" x14ac:dyDescent="0.35">
      <c r="A3001" t="s">
        <v>34</v>
      </c>
      <c r="B3001" s="1">
        <v>46146.65625</v>
      </c>
      <c r="C3001" t="s">
        <v>34</v>
      </c>
      <c r="D3001" s="1">
        <v>46157.625</v>
      </c>
      <c r="E3001">
        <v>5990</v>
      </c>
      <c r="F3001" t="s">
        <v>36</v>
      </c>
      <c r="G3001">
        <v>1.1000000000000001</v>
      </c>
      <c r="H3001">
        <v>1.1200000000000001</v>
      </c>
      <c r="I3001">
        <v>1.1000000000000001</v>
      </c>
      <c r="J3001">
        <v>1.1200000000000001</v>
      </c>
      <c r="K3001">
        <v>2</v>
      </c>
      <c r="L3001">
        <v>217</v>
      </c>
      <c r="M3001">
        <v>0.8</v>
      </c>
      <c r="N3001">
        <v>340</v>
      </c>
      <c r="O3001">
        <v>0.95</v>
      </c>
      <c r="P3001">
        <v>0</v>
      </c>
      <c r="Q3001">
        <v>0</v>
      </c>
      <c r="R3001">
        <v>0</v>
      </c>
      <c r="S3001">
        <v>0</v>
      </c>
      <c r="T3001">
        <v>0.42209999999999998</v>
      </c>
      <c r="U3001">
        <v>-5.4000000000000003E-3</v>
      </c>
      <c r="V3001">
        <v>0</v>
      </c>
      <c r="W3001">
        <v>-0.31309999999999999</v>
      </c>
      <c r="X3001">
        <v>0.2009</v>
      </c>
      <c r="Y3001">
        <v>-1.15E-2</v>
      </c>
      <c r="Z3001">
        <v>159</v>
      </c>
      <c r="AA3001">
        <v>0.8</v>
      </c>
      <c r="AB3001">
        <v>81</v>
      </c>
      <c r="AC3001">
        <v>0.95</v>
      </c>
      <c r="AD3001">
        <v>0</v>
      </c>
      <c r="AE3001">
        <v>0</v>
      </c>
      <c r="AF3001">
        <v>1.1100000000000001</v>
      </c>
      <c r="AG3001">
        <v>236</v>
      </c>
      <c r="AH3001">
        <v>0</v>
      </c>
    </row>
    <row r="3002" spans="1:34" x14ac:dyDescent="0.35">
      <c r="A3002" t="s">
        <v>34</v>
      </c>
      <c r="B3002" s="1">
        <v>46146.65625</v>
      </c>
      <c r="C3002" t="s">
        <v>34</v>
      </c>
      <c r="D3002" s="1">
        <v>46157.625</v>
      </c>
      <c r="E3002">
        <v>5995</v>
      </c>
      <c r="F3002" t="s">
        <v>36</v>
      </c>
      <c r="G3002">
        <v>0.97</v>
      </c>
      <c r="H3002">
        <v>0.97</v>
      </c>
      <c r="I3002">
        <v>0.97</v>
      </c>
      <c r="J3002">
        <v>0.97</v>
      </c>
      <c r="K3002">
        <v>2</v>
      </c>
      <c r="L3002">
        <v>242</v>
      </c>
      <c r="M3002">
        <v>0.8</v>
      </c>
      <c r="N3002">
        <v>344</v>
      </c>
      <c r="O3002">
        <v>0.95</v>
      </c>
      <c r="P3002">
        <v>0</v>
      </c>
      <c r="Q3002">
        <v>0</v>
      </c>
      <c r="R3002">
        <v>0</v>
      </c>
      <c r="S3002">
        <v>0</v>
      </c>
      <c r="T3002">
        <v>0.42030000000000001</v>
      </c>
      <c r="U3002">
        <v>-5.4000000000000003E-3</v>
      </c>
      <c r="V3002">
        <v>0</v>
      </c>
      <c r="W3002">
        <v>-0.313</v>
      </c>
      <c r="X3002">
        <v>0.20169999999999999</v>
      </c>
      <c r="Y3002">
        <v>-1.1599999999999999E-2</v>
      </c>
      <c r="Z3002">
        <v>84</v>
      </c>
      <c r="AA3002">
        <v>0.8</v>
      </c>
      <c r="AB3002">
        <v>156</v>
      </c>
      <c r="AC3002">
        <v>1</v>
      </c>
      <c r="AD3002">
        <v>0</v>
      </c>
      <c r="AE3002">
        <v>0</v>
      </c>
      <c r="AF3002">
        <v>0.97</v>
      </c>
      <c r="AG3002">
        <v>21</v>
      </c>
      <c r="AH3002">
        <v>0</v>
      </c>
    </row>
    <row r="3003" spans="1:34" x14ac:dyDescent="0.35">
      <c r="A3003" t="s">
        <v>34</v>
      </c>
      <c r="B3003" s="1">
        <v>46146.65625</v>
      </c>
      <c r="C3003" t="s">
        <v>34</v>
      </c>
      <c r="D3003" s="1">
        <v>46157.625</v>
      </c>
      <c r="E3003">
        <v>6000</v>
      </c>
      <c r="F3003" t="s">
        <v>36</v>
      </c>
      <c r="G3003">
        <v>0.82</v>
      </c>
      <c r="H3003">
        <v>1.37</v>
      </c>
      <c r="I3003">
        <v>0.8</v>
      </c>
      <c r="J3003">
        <v>0.97</v>
      </c>
      <c r="K3003">
        <v>137</v>
      </c>
      <c r="L3003">
        <v>182</v>
      </c>
      <c r="M3003">
        <v>0.85</v>
      </c>
      <c r="N3003">
        <v>177</v>
      </c>
      <c r="O3003">
        <v>0.95</v>
      </c>
      <c r="P3003">
        <v>0</v>
      </c>
      <c r="Q3003">
        <v>0</v>
      </c>
      <c r="R3003">
        <v>0</v>
      </c>
      <c r="S3003">
        <v>0</v>
      </c>
      <c r="T3003">
        <v>0.41980000000000001</v>
      </c>
      <c r="U3003">
        <v>-5.5999999999999999E-3</v>
      </c>
      <c r="V3003">
        <v>0</v>
      </c>
      <c r="W3003">
        <v>-0.32050000000000001</v>
      </c>
      <c r="X3003">
        <v>0.2064</v>
      </c>
      <c r="Y3003">
        <v>-1.1900000000000001E-2</v>
      </c>
      <c r="Z3003">
        <v>80</v>
      </c>
      <c r="AA3003">
        <v>0.85</v>
      </c>
      <c r="AB3003">
        <v>177</v>
      </c>
      <c r="AC3003">
        <v>1</v>
      </c>
      <c r="AD3003">
        <v>0</v>
      </c>
      <c r="AE3003">
        <v>0</v>
      </c>
      <c r="AF3003">
        <v>0.95479999999999998</v>
      </c>
      <c r="AG3003">
        <v>3348</v>
      </c>
      <c r="AH3003">
        <v>0</v>
      </c>
    </row>
    <row r="3004" spans="1:34" x14ac:dyDescent="0.35">
      <c r="A3004" t="s">
        <v>34</v>
      </c>
      <c r="B3004" s="1">
        <v>46146.65625</v>
      </c>
      <c r="C3004" t="s">
        <v>34</v>
      </c>
      <c r="D3004" s="1">
        <v>46157.625</v>
      </c>
      <c r="E3004">
        <v>6005</v>
      </c>
      <c r="F3004" t="s">
        <v>36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151</v>
      </c>
      <c r="M3004">
        <v>0.85</v>
      </c>
      <c r="N3004">
        <v>321</v>
      </c>
      <c r="O3004">
        <v>1</v>
      </c>
      <c r="P3004">
        <v>0</v>
      </c>
      <c r="Q3004">
        <v>0</v>
      </c>
      <c r="R3004">
        <v>0</v>
      </c>
      <c r="S3004">
        <v>0</v>
      </c>
      <c r="T3004">
        <v>0.41959999999999997</v>
      </c>
      <c r="U3004">
        <v>-5.7000000000000002E-3</v>
      </c>
      <c r="V3004">
        <v>0</v>
      </c>
      <c r="W3004">
        <v>-0.32790000000000002</v>
      </c>
      <c r="X3004">
        <v>0.21099999999999999</v>
      </c>
      <c r="Y3004">
        <v>-1.2200000000000001E-2</v>
      </c>
      <c r="Z3004">
        <v>15</v>
      </c>
      <c r="AA3004">
        <v>0.85</v>
      </c>
      <c r="AB3004">
        <v>311</v>
      </c>
      <c r="AC3004">
        <v>1</v>
      </c>
      <c r="AD3004">
        <v>0</v>
      </c>
      <c r="AE3004">
        <v>0</v>
      </c>
      <c r="AF3004">
        <v>0</v>
      </c>
      <c r="AG3004">
        <v>79</v>
      </c>
      <c r="AH3004">
        <v>0</v>
      </c>
    </row>
    <row r="3005" spans="1:34" x14ac:dyDescent="0.35">
      <c r="A3005" t="s">
        <v>34</v>
      </c>
      <c r="B3005" s="1">
        <v>46146.65625</v>
      </c>
      <c r="C3005" t="s">
        <v>34</v>
      </c>
      <c r="D3005" s="1">
        <v>46157.625</v>
      </c>
      <c r="E3005">
        <v>6010</v>
      </c>
      <c r="F3005" t="s">
        <v>36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214</v>
      </c>
      <c r="M3005">
        <v>0.85</v>
      </c>
      <c r="N3005">
        <v>289</v>
      </c>
      <c r="O3005">
        <v>1</v>
      </c>
      <c r="P3005">
        <v>0</v>
      </c>
      <c r="Q3005">
        <v>0</v>
      </c>
      <c r="R3005">
        <v>0</v>
      </c>
      <c r="S3005">
        <v>0</v>
      </c>
      <c r="T3005">
        <v>0.41789999999999999</v>
      </c>
      <c r="U3005">
        <v>-5.7000000000000002E-3</v>
      </c>
      <c r="V3005">
        <v>0</v>
      </c>
      <c r="W3005">
        <v>-0.32769999999999999</v>
      </c>
      <c r="X3005">
        <v>0.21179999999999999</v>
      </c>
      <c r="Y3005">
        <v>-1.2200000000000001E-2</v>
      </c>
      <c r="Z3005">
        <v>79</v>
      </c>
      <c r="AA3005">
        <v>0.85</v>
      </c>
      <c r="AB3005">
        <v>252</v>
      </c>
      <c r="AC3005">
        <v>1</v>
      </c>
      <c r="AD3005">
        <v>0</v>
      </c>
      <c r="AE3005">
        <v>0</v>
      </c>
      <c r="AF3005">
        <v>0</v>
      </c>
      <c r="AG3005">
        <v>161</v>
      </c>
      <c r="AH3005">
        <v>0</v>
      </c>
    </row>
    <row r="3006" spans="1:34" x14ac:dyDescent="0.35">
      <c r="A3006" t="s">
        <v>34</v>
      </c>
      <c r="B3006" s="1">
        <v>46146.65625</v>
      </c>
      <c r="C3006" t="s">
        <v>34</v>
      </c>
      <c r="D3006" s="1">
        <v>46157.625</v>
      </c>
      <c r="E3006">
        <v>6015</v>
      </c>
      <c r="F3006" t="s">
        <v>36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152</v>
      </c>
      <c r="M3006">
        <v>0.85</v>
      </c>
      <c r="N3006">
        <v>243</v>
      </c>
      <c r="O3006">
        <v>1</v>
      </c>
      <c r="P3006">
        <v>0</v>
      </c>
      <c r="Q3006">
        <v>0</v>
      </c>
      <c r="R3006">
        <v>0</v>
      </c>
      <c r="S3006">
        <v>0</v>
      </c>
      <c r="T3006">
        <v>0.41620000000000001</v>
      </c>
      <c r="U3006">
        <v>-5.7000000000000002E-3</v>
      </c>
      <c r="V3006">
        <v>0</v>
      </c>
      <c r="W3006">
        <v>-0.3276</v>
      </c>
      <c r="X3006">
        <v>0.21249999999999999</v>
      </c>
      <c r="Y3006">
        <v>-1.23E-2</v>
      </c>
      <c r="Z3006">
        <v>45</v>
      </c>
      <c r="AA3006">
        <v>0.85</v>
      </c>
      <c r="AB3006">
        <v>291</v>
      </c>
      <c r="AC3006">
        <v>1</v>
      </c>
      <c r="AD3006">
        <v>0</v>
      </c>
      <c r="AE3006">
        <v>0</v>
      </c>
      <c r="AF3006">
        <v>0</v>
      </c>
      <c r="AG3006">
        <v>53</v>
      </c>
      <c r="AH3006">
        <v>0</v>
      </c>
    </row>
    <row r="3007" spans="1:34" x14ac:dyDescent="0.35">
      <c r="A3007" t="s">
        <v>34</v>
      </c>
      <c r="B3007" s="1">
        <v>46146.65625</v>
      </c>
      <c r="C3007" t="s">
        <v>34</v>
      </c>
      <c r="D3007" s="1">
        <v>46157.625</v>
      </c>
      <c r="E3007">
        <v>6020</v>
      </c>
      <c r="F3007" t="s">
        <v>36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214</v>
      </c>
      <c r="M3007">
        <v>0.85</v>
      </c>
      <c r="N3007">
        <v>224</v>
      </c>
      <c r="O3007">
        <v>1</v>
      </c>
      <c r="P3007">
        <v>0</v>
      </c>
      <c r="Q3007">
        <v>0</v>
      </c>
      <c r="R3007">
        <v>0</v>
      </c>
      <c r="S3007">
        <v>0</v>
      </c>
      <c r="T3007">
        <v>0.41439999999999999</v>
      </c>
      <c r="U3007">
        <v>-5.7999999999999996E-3</v>
      </c>
      <c r="V3007">
        <v>0</v>
      </c>
      <c r="W3007">
        <v>-0.32740000000000002</v>
      </c>
      <c r="X3007">
        <v>0.21329999999999999</v>
      </c>
      <c r="Y3007">
        <v>-1.23E-2</v>
      </c>
      <c r="Z3007">
        <v>146</v>
      </c>
      <c r="AA3007">
        <v>0.85</v>
      </c>
      <c r="AB3007">
        <v>81</v>
      </c>
      <c r="AC3007">
        <v>1</v>
      </c>
      <c r="AD3007">
        <v>0</v>
      </c>
      <c r="AE3007">
        <v>0</v>
      </c>
      <c r="AF3007">
        <v>0</v>
      </c>
      <c r="AG3007">
        <v>130</v>
      </c>
      <c r="AH3007">
        <v>0</v>
      </c>
    </row>
    <row r="3008" spans="1:34" x14ac:dyDescent="0.35">
      <c r="A3008" t="s">
        <v>34</v>
      </c>
      <c r="B3008" s="1">
        <v>46146.65625</v>
      </c>
      <c r="C3008" t="s">
        <v>34</v>
      </c>
      <c r="D3008" s="1">
        <v>46157.625</v>
      </c>
      <c r="E3008">
        <v>6025</v>
      </c>
      <c r="F3008" t="s">
        <v>36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130</v>
      </c>
      <c r="M3008">
        <v>0.9</v>
      </c>
      <c r="N3008">
        <v>342</v>
      </c>
      <c r="O3008">
        <v>1</v>
      </c>
      <c r="P3008">
        <v>0</v>
      </c>
      <c r="Q3008">
        <v>0</v>
      </c>
      <c r="R3008">
        <v>0</v>
      </c>
      <c r="S3008">
        <v>0</v>
      </c>
      <c r="T3008">
        <v>0.41370000000000001</v>
      </c>
      <c r="U3008">
        <v>-5.8999999999999999E-3</v>
      </c>
      <c r="V3008">
        <v>0</v>
      </c>
      <c r="W3008">
        <v>-0.33479999999999999</v>
      </c>
      <c r="X3008">
        <v>0.21809999999999999</v>
      </c>
      <c r="Y3008">
        <v>-1.2699999999999999E-2</v>
      </c>
      <c r="Z3008">
        <v>164</v>
      </c>
      <c r="AA3008">
        <v>0.85</v>
      </c>
      <c r="AB3008">
        <v>93</v>
      </c>
      <c r="AC3008">
        <v>1</v>
      </c>
      <c r="AD3008">
        <v>0</v>
      </c>
      <c r="AE3008">
        <v>0</v>
      </c>
      <c r="AF3008">
        <v>0</v>
      </c>
      <c r="AG3008">
        <v>114</v>
      </c>
      <c r="AH3008">
        <v>0</v>
      </c>
    </row>
    <row r="3009" spans="1:34" x14ac:dyDescent="0.35">
      <c r="A3009" t="s">
        <v>34</v>
      </c>
      <c r="B3009" s="1">
        <v>46146.65625</v>
      </c>
      <c r="C3009" t="s">
        <v>34</v>
      </c>
      <c r="D3009" s="1">
        <v>46157.625</v>
      </c>
      <c r="E3009">
        <v>6030</v>
      </c>
      <c r="F3009" t="s">
        <v>36</v>
      </c>
      <c r="G3009">
        <v>0.92</v>
      </c>
      <c r="H3009">
        <v>0.92</v>
      </c>
      <c r="I3009">
        <v>0.92</v>
      </c>
      <c r="J3009">
        <v>0.92</v>
      </c>
      <c r="K3009">
        <v>2</v>
      </c>
      <c r="L3009">
        <v>170</v>
      </c>
      <c r="M3009">
        <v>0.9</v>
      </c>
      <c r="N3009">
        <v>254</v>
      </c>
      <c r="O3009">
        <v>1</v>
      </c>
      <c r="P3009">
        <v>0</v>
      </c>
      <c r="Q3009">
        <v>0</v>
      </c>
      <c r="R3009">
        <v>0</v>
      </c>
      <c r="S3009">
        <v>0</v>
      </c>
      <c r="T3009">
        <v>0.41199999999999998</v>
      </c>
      <c r="U3009">
        <v>-5.8999999999999999E-3</v>
      </c>
      <c r="V3009">
        <v>0</v>
      </c>
      <c r="W3009">
        <v>-0.33450000000000002</v>
      </c>
      <c r="X3009">
        <v>0.21890000000000001</v>
      </c>
      <c r="Y3009">
        <v>-1.2699999999999999E-2</v>
      </c>
      <c r="Z3009">
        <v>157</v>
      </c>
      <c r="AA3009">
        <v>0.85</v>
      </c>
      <c r="AB3009">
        <v>153</v>
      </c>
      <c r="AC3009">
        <v>1.05</v>
      </c>
      <c r="AD3009">
        <v>0</v>
      </c>
      <c r="AE3009">
        <v>0</v>
      </c>
      <c r="AF3009">
        <v>0.92</v>
      </c>
      <c r="AG3009">
        <v>151</v>
      </c>
      <c r="AH3009">
        <v>0</v>
      </c>
    </row>
    <row r="3010" spans="1:34" x14ac:dyDescent="0.35">
      <c r="A3010" t="s">
        <v>34</v>
      </c>
      <c r="B3010" s="1">
        <v>46146.65625</v>
      </c>
      <c r="C3010" t="s">
        <v>34</v>
      </c>
      <c r="D3010" s="1">
        <v>46157.625</v>
      </c>
      <c r="E3010">
        <v>6035</v>
      </c>
      <c r="F3010" t="s">
        <v>36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149</v>
      </c>
      <c r="M3010">
        <v>0.9</v>
      </c>
      <c r="N3010">
        <v>314</v>
      </c>
      <c r="O3010">
        <v>1.05</v>
      </c>
      <c r="P3010">
        <v>0</v>
      </c>
      <c r="Q3010">
        <v>0</v>
      </c>
      <c r="R3010">
        <v>0</v>
      </c>
      <c r="S3010">
        <v>0</v>
      </c>
      <c r="T3010">
        <v>0.41189999999999999</v>
      </c>
      <c r="U3010">
        <v>-6.1000000000000004E-3</v>
      </c>
      <c r="V3010">
        <v>0</v>
      </c>
      <c r="W3010">
        <v>-0.34200000000000003</v>
      </c>
      <c r="X3010">
        <v>0.2235</v>
      </c>
      <c r="Y3010">
        <v>-1.2999999999999999E-2</v>
      </c>
      <c r="Z3010">
        <v>21</v>
      </c>
      <c r="AA3010">
        <v>0.9</v>
      </c>
      <c r="AB3010">
        <v>343</v>
      </c>
      <c r="AC3010">
        <v>1.05</v>
      </c>
      <c r="AD3010">
        <v>0</v>
      </c>
      <c r="AE3010">
        <v>0</v>
      </c>
      <c r="AF3010">
        <v>0</v>
      </c>
      <c r="AG3010">
        <v>72</v>
      </c>
      <c r="AH3010">
        <v>0</v>
      </c>
    </row>
    <row r="3011" spans="1:34" x14ac:dyDescent="0.35">
      <c r="A3011" t="s">
        <v>34</v>
      </c>
      <c r="B3011" s="1">
        <v>46146.65625</v>
      </c>
      <c r="C3011" t="s">
        <v>34</v>
      </c>
      <c r="D3011" s="1">
        <v>46157.625</v>
      </c>
      <c r="E3011">
        <v>6040</v>
      </c>
      <c r="F3011" t="s">
        <v>36</v>
      </c>
      <c r="G3011">
        <v>0.97</v>
      </c>
      <c r="H3011">
        <v>0.97</v>
      </c>
      <c r="I3011">
        <v>0.97</v>
      </c>
      <c r="J3011">
        <v>0.97</v>
      </c>
      <c r="K3011">
        <v>2</v>
      </c>
      <c r="L3011">
        <v>210</v>
      </c>
      <c r="M3011">
        <v>0.9</v>
      </c>
      <c r="N3011">
        <v>281</v>
      </c>
      <c r="O3011">
        <v>1.05</v>
      </c>
      <c r="P3011">
        <v>0</v>
      </c>
      <c r="Q3011">
        <v>0</v>
      </c>
      <c r="R3011">
        <v>0</v>
      </c>
      <c r="S3011">
        <v>0</v>
      </c>
      <c r="T3011">
        <v>0.41010000000000002</v>
      </c>
      <c r="U3011">
        <v>-6.1000000000000004E-3</v>
      </c>
      <c r="V3011">
        <v>0</v>
      </c>
      <c r="W3011">
        <v>-0.34179999999999999</v>
      </c>
      <c r="X3011">
        <v>0.2243</v>
      </c>
      <c r="Y3011">
        <v>-1.3100000000000001E-2</v>
      </c>
      <c r="Z3011">
        <v>76</v>
      </c>
      <c r="AA3011">
        <v>0.9</v>
      </c>
      <c r="AB3011">
        <v>245</v>
      </c>
      <c r="AC3011">
        <v>1.05</v>
      </c>
      <c r="AD3011">
        <v>0</v>
      </c>
      <c r="AE3011">
        <v>0</v>
      </c>
      <c r="AF3011">
        <v>0.97</v>
      </c>
      <c r="AG3011">
        <v>208</v>
      </c>
      <c r="AH3011">
        <v>0</v>
      </c>
    </row>
    <row r="3012" spans="1:34" x14ac:dyDescent="0.35">
      <c r="A3012" t="s">
        <v>34</v>
      </c>
      <c r="B3012" s="1">
        <v>46146.65625</v>
      </c>
      <c r="C3012" t="s">
        <v>34</v>
      </c>
      <c r="D3012" s="1">
        <v>46157.625</v>
      </c>
      <c r="E3012">
        <v>6045</v>
      </c>
      <c r="F3012" t="s">
        <v>36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151</v>
      </c>
      <c r="M3012">
        <v>0.9</v>
      </c>
      <c r="N3012">
        <v>235</v>
      </c>
      <c r="O3012">
        <v>1.05</v>
      </c>
      <c r="P3012">
        <v>0</v>
      </c>
      <c r="Q3012">
        <v>0</v>
      </c>
      <c r="R3012">
        <v>0</v>
      </c>
      <c r="S3012">
        <v>0</v>
      </c>
      <c r="T3012">
        <v>0.40839999999999999</v>
      </c>
      <c r="U3012">
        <v>-6.1000000000000004E-3</v>
      </c>
      <c r="V3012">
        <v>0</v>
      </c>
      <c r="W3012">
        <v>-0.34160000000000001</v>
      </c>
      <c r="X3012">
        <v>0.22509999999999999</v>
      </c>
      <c r="Y3012">
        <v>-1.3100000000000001E-2</v>
      </c>
      <c r="Z3012">
        <v>42</v>
      </c>
      <c r="AA3012">
        <v>0.9</v>
      </c>
      <c r="AB3012">
        <v>298</v>
      </c>
      <c r="AC3012">
        <v>1.05</v>
      </c>
      <c r="AD3012">
        <v>0</v>
      </c>
      <c r="AE3012">
        <v>0</v>
      </c>
      <c r="AF3012">
        <v>0</v>
      </c>
      <c r="AG3012">
        <v>26</v>
      </c>
      <c r="AH3012">
        <v>0</v>
      </c>
    </row>
    <row r="3013" spans="1:34" x14ac:dyDescent="0.35">
      <c r="A3013" t="s">
        <v>34</v>
      </c>
      <c r="B3013" s="1">
        <v>46146.65625</v>
      </c>
      <c r="C3013" t="s">
        <v>34</v>
      </c>
      <c r="D3013" s="1">
        <v>46157.625</v>
      </c>
      <c r="E3013">
        <v>6050</v>
      </c>
      <c r="F3013" t="s">
        <v>36</v>
      </c>
      <c r="G3013">
        <v>1.06</v>
      </c>
      <c r="H3013">
        <v>1.3</v>
      </c>
      <c r="I3013">
        <v>1</v>
      </c>
      <c r="J3013">
        <v>1</v>
      </c>
      <c r="K3013">
        <v>189</v>
      </c>
      <c r="L3013">
        <v>138</v>
      </c>
      <c r="M3013">
        <v>0.95</v>
      </c>
      <c r="N3013">
        <v>328</v>
      </c>
      <c r="O3013">
        <v>1.05</v>
      </c>
      <c r="P3013">
        <v>0</v>
      </c>
      <c r="Q3013">
        <v>0</v>
      </c>
      <c r="R3013">
        <v>0</v>
      </c>
      <c r="S3013">
        <v>0</v>
      </c>
      <c r="T3013">
        <v>0.40789999999999998</v>
      </c>
      <c r="U3013">
        <v>-6.3E-3</v>
      </c>
      <c r="V3013">
        <v>0</v>
      </c>
      <c r="W3013">
        <v>-0.3488</v>
      </c>
      <c r="X3013">
        <v>0.2298</v>
      </c>
      <c r="Y3013">
        <v>-1.34E-2</v>
      </c>
      <c r="Z3013">
        <v>163</v>
      </c>
      <c r="AA3013">
        <v>0.9</v>
      </c>
      <c r="AB3013">
        <v>103</v>
      </c>
      <c r="AC3013">
        <v>1.05</v>
      </c>
      <c r="AD3013">
        <v>0</v>
      </c>
      <c r="AE3013">
        <v>0</v>
      </c>
      <c r="AF3013">
        <v>1.0659000000000001</v>
      </c>
      <c r="AG3013">
        <v>2802</v>
      </c>
      <c r="AH3013">
        <v>0</v>
      </c>
    </row>
    <row r="3014" spans="1:34" x14ac:dyDescent="0.35">
      <c r="A3014" t="s">
        <v>34</v>
      </c>
      <c r="B3014" s="1">
        <v>46146.65625</v>
      </c>
      <c r="C3014" t="s">
        <v>34</v>
      </c>
      <c r="D3014" s="1">
        <v>46157.625</v>
      </c>
      <c r="E3014">
        <v>6055</v>
      </c>
      <c r="F3014" t="s">
        <v>36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364</v>
      </c>
      <c r="M3014">
        <v>0.9</v>
      </c>
      <c r="N3014">
        <v>278</v>
      </c>
      <c r="O3014">
        <v>1.05</v>
      </c>
      <c r="P3014">
        <v>0</v>
      </c>
      <c r="Q3014">
        <v>0</v>
      </c>
      <c r="R3014">
        <v>0</v>
      </c>
      <c r="S3014">
        <v>0</v>
      </c>
      <c r="T3014">
        <v>0.4047</v>
      </c>
      <c r="U3014">
        <v>-6.1999999999999998E-3</v>
      </c>
      <c r="V3014">
        <v>0</v>
      </c>
      <c r="W3014">
        <v>-0.34110000000000001</v>
      </c>
      <c r="X3014">
        <v>0.22689999999999999</v>
      </c>
      <c r="Y3014">
        <v>-1.32E-2</v>
      </c>
      <c r="Z3014">
        <v>83</v>
      </c>
      <c r="AA3014">
        <v>0.9</v>
      </c>
      <c r="AB3014">
        <v>148</v>
      </c>
      <c r="AC3014">
        <v>1.1000000000000001</v>
      </c>
      <c r="AD3014">
        <v>0</v>
      </c>
      <c r="AE3014">
        <v>0</v>
      </c>
      <c r="AF3014">
        <v>0</v>
      </c>
      <c r="AG3014">
        <v>141</v>
      </c>
      <c r="AH3014">
        <v>0</v>
      </c>
    </row>
    <row r="3015" spans="1:34" x14ac:dyDescent="0.35">
      <c r="A3015" t="s">
        <v>34</v>
      </c>
      <c r="B3015" s="1">
        <v>46146.65625</v>
      </c>
      <c r="C3015" t="s">
        <v>34</v>
      </c>
      <c r="D3015" s="1">
        <v>46157.625</v>
      </c>
      <c r="E3015">
        <v>6060</v>
      </c>
      <c r="F3015" t="s">
        <v>36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167</v>
      </c>
      <c r="M3015">
        <v>0.95</v>
      </c>
      <c r="N3015">
        <v>88</v>
      </c>
      <c r="O3015">
        <v>1.05</v>
      </c>
      <c r="P3015">
        <v>0</v>
      </c>
      <c r="Q3015">
        <v>0</v>
      </c>
      <c r="R3015">
        <v>0</v>
      </c>
      <c r="S3015">
        <v>0</v>
      </c>
      <c r="T3015">
        <v>0.40400000000000003</v>
      </c>
      <c r="U3015">
        <v>-6.3E-3</v>
      </c>
      <c r="V3015">
        <v>0</v>
      </c>
      <c r="W3015">
        <v>-0.34839999999999999</v>
      </c>
      <c r="X3015">
        <v>0.23169999999999999</v>
      </c>
      <c r="Y3015">
        <v>-1.3599999999999999E-2</v>
      </c>
      <c r="Z3015">
        <v>153</v>
      </c>
      <c r="AA3015">
        <v>0.9</v>
      </c>
      <c r="AB3015">
        <v>240</v>
      </c>
      <c r="AC3015">
        <v>1.1000000000000001</v>
      </c>
      <c r="AD3015">
        <v>0</v>
      </c>
      <c r="AE3015">
        <v>0</v>
      </c>
      <c r="AF3015">
        <v>0</v>
      </c>
      <c r="AG3015">
        <v>206</v>
      </c>
      <c r="AH3015">
        <v>0</v>
      </c>
    </row>
    <row r="3016" spans="1:34" x14ac:dyDescent="0.35">
      <c r="A3016" t="s">
        <v>34</v>
      </c>
      <c r="B3016" s="1">
        <v>46146.65625</v>
      </c>
      <c r="C3016" t="s">
        <v>34</v>
      </c>
      <c r="D3016" s="1">
        <v>46157.625</v>
      </c>
      <c r="E3016">
        <v>6065</v>
      </c>
      <c r="F3016" t="s">
        <v>36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149</v>
      </c>
      <c r="M3016">
        <v>0.95</v>
      </c>
      <c r="N3016">
        <v>297</v>
      </c>
      <c r="O3016">
        <v>1.1000000000000001</v>
      </c>
      <c r="P3016">
        <v>0</v>
      </c>
      <c r="Q3016">
        <v>0</v>
      </c>
      <c r="R3016">
        <v>0</v>
      </c>
      <c r="S3016">
        <v>0</v>
      </c>
      <c r="T3016">
        <v>0.40379999999999999</v>
      </c>
      <c r="U3016">
        <v>-6.4999999999999997E-3</v>
      </c>
      <c r="V3016">
        <v>0</v>
      </c>
      <c r="W3016">
        <v>-0.35560000000000003</v>
      </c>
      <c r="X3016">
        <v>0.23630000000000001</v>
      </c>
      <c r="Y3016">
        <v>-1.3899999999999999E-2</v>
      </c>
      <c r="Z3016">
        <v>15</v>
      </c>
      <c r="AA3016">
        <v>0.95</v>
      </c>
      <c r="AB3016">
        <v>335</v>
      </c>
      <c r="AC3016">
        <v>1.1000000000000001</v>
      </c>
      <c r="AD3016">
        <v>0</v>
      </c>
      <c r="AE3016">
        <v>0</v>
      </c>
      <c r="AF3016">
        <v>0</v>
      </c>
      <c r="AG3016">
        <v>11</v>
      </c>
      <c r="AH3016">
        <v>0</v>
      </c>
    </row>
    <row r="3017" spans="1:34" x14ac:dyDescent="0.35">
      <c r="A3017" t="s">
        <v>34</v>
      </c>
      <c r="B3017" s="1">
        <v>46146.65625</v>
      </c>
      <c r="C3017" t="s">
        <v>34</v>
      </c>
      <c r="D3017" s="1">
        <v>46157.625</v>
      </c>
      <c r="E3017">
        <v>6070</v>
      </c>
      <c r="F3017" t="s">
        <v>36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208</v>
      </c>
      <c r="M3017">
        <v>0.95</v>
      </c>
      <c r="N3017">
        <v>251</v>
      </c>
      <c r="O3017">
        <v>1.1000000000000001</v>
      </c>
      <c r="P3017">
        <v>0</v>
      </c>
      <c r="Q3017">
        <v>0</v>
      </c>
      <c r="R3017">
        <v>0</v>
      </c>
      <c r="S3017">
        <v>0</v>
      </c>
      <c r="T3017">
        <v>0.40210000000000001</v>
      </c>
      <c r="U3017">
        <v>-6.4999999999999997E-3</v>
      </c>
      <c r="V3017">
        <v>0</v>
      </c>
      <c r="W3017">
        <v>-0.35539999999999999</v>
      </c>
      <c r="X3017">
        <v>0.23719999999999999</v>
      </c>
      <c r="Y3017">
        <v>-1.3899999999999999E-2</v>
      </c>
      <c r="Z3017">
        <v>113</v>
      </c>
      <c r="AA3017">
        <v>0.95</v>
      </c>
      <c r="AB3017">
        <v>297</v>
      </c>
      <c r="AC3017">
        <v>1.1000000000000001</v>
      </c>
      <c r="AD3017">
        <v>0</v>
      </c>
      <c r="AE3017">
        <v>0</v>
      </c>
      <c r="AF3017">
        <v>0</v>
      </c>
      <c r="AG3017">
        <v>82</v>
      </c>
      <c r="AH3017">
        <v>0</v>
      </c>
    </row>
    <row r="3018" spans="1:34" x14ac:dyDescent="0.35">
      <c r="A3018" t="s">
        <v>34</v>
      </c>
      <c r="B3018" s="1">
        <v>46146.65625</v>
      </c>
      <c r="C3018" t="s">
        <v>34</v>
      </c>
      <c r="D3018" s="1">
        <v>46157.625</v>
      </c>
      <c r="E3018">
        <v>6075</v>
      </c>
      <c r="F3018" t="s">
        <v>36</v>
      </c>
      <c r="G3018">
        <v>0.92</v>
      </c>
      <c r="H3018">
        <v>1.22</v>
      </c>
      <c r="I3018">
        <v>0.9</v>
      </c>
      <c r="J3018">
        <v>1.22</v>
      </c>
      <c r="K3018">
        <v>12</v>
      </c>
      <c r="L3018">
        <v>217</v>
      </c>
      <c r="M3018">
        <v>0.95</v>
      </c>
      <c r="N3018">
        <v>228</v>
      </c>
      <c r="O3018">
        <v>1.1000000000000001</v>
      </c>
      <c r="P3018">
        <v>0</v>
      </c>
      <c r="Q3018">
        <v>0</v>
      </c>
      <c r="R3018">
        <v>0</v>
      </c>
      <c r="S3018">
        <v>0</v>
      </c>
      <c r="T3018">
        <v>0.4</v>
      </c>
      <c r="U3018">
        <v>-6.4999999999999997E-3</v>
      </c>
      <c r="V3018">
        <v>0</v>
      </c>
      <c r="W3018">
        <v>-0.35520000000000002</v>
      </c>
      <c r="X3018">
        <v>0.2382</v>
      </c>
      <c r="Y3018">
        <v>-1.4E-2</v>
      </c>
      <c r="Z3018">
        <v>146</v>
      </c>
      <c r="AA3018">
        <v>0.95</v>
      </c>
      <c r="AB3018">
        <v>90</v>
      </c>
      <c r="AC3018">
        <v>1.1000000000000001</v>
      </c>
      <c r="AD3018">
        <v>0</v>
      </c>
      <c r="AE3018">
        <v>0</v>
      </c>
      <c r="AF3018">
        <v>0.92830000000000001</v>
      </c>
      <c r="AG3018">
        <v>363</v>
      </c>
      <c r="AH3018">
        <v>0</v>
      </c>
    </row>
    <row r="3019" spans="1:34" x14ac:dyDescent="0.35">
      <c r="A3019" t="s">
        <v>34</v>
      </c>
      <c r="B3019" s="1">
        <v>46146.65625</v>
      </c>
      <c r="C3019" t="s">
        <v>34</v>
      </c>
      <c r="D3019" s="1">
        <v>46157.625</v>
      </c>
      <c r="E3019">
        <v>6080</v>
      </c>
      <c r="F3019" t="s">
        <v>36</v>
      </c>
      <c r="G3019">
        <v>1.05</v>
      </c>
      <c r="H3019">
        <v>1.05</v>
      </c>
      <c r="I3019">
        <v>1.05</v>
      </c>
      <c r="J3019">
        <v>1.05</v>
      </c>
      <c r="K3019">
        <v>1</v>
      </c>
      <c r="L3019">
        <v>67</v>
      </c>
      <c r="M3019">
        <v>1</v>
      </c>
      <c r="N3019">
        <v>304</v>
      </c>
      <c r="O3019">
        <v>1.1000000000000001</v>
      </c>
      <c r="P3019">
        <v>0</v>
      </c>
      <c r="Q3019">
        <v>0</v>
      </c>
      <c r="R3019">
        <v>0</v>
      </c>
      <c r="S3019">
        <v>0</v>
      </c>
      <c r="T3019">
        <v>0.39979999999999999</v>
      </c>
      <c r="U3019">
        <v>-6.7000000000000002E-3</v>
      </c>
      <c r="V3019">
        <v>0</v>
      </c>
      <c r="W3019">
        <v>-0.3624</v>
      </c>
      <c r="X3019">
        <v>0.2429</v>
      </c>
      <c r="Y3019">
        <v>-1.43E-2</v>
      </c>
      <c r="Z3019">
        <v>152</v>
      </c>
      <c r="AA3019">
        <v>0.95</v>
      </c>
      <c r="AB3019">
        <v>52</v>
      </c>
      <c r="AC3019">
        <v>1.1000000000000001</v>
      </c>
      <c r="AD3019">
        <v>0</v>
      </c>
      <c r="AE3019">
        <v>0</v>
      </c>
      <c r="AF3019">
        <v>1.05</v>
      </c>
      <c r="AG3019">
        <v>74</v>
      </c>
      <c r="AH3019">
        <v>0</v>
      </c>
    </row>
    <row r="3020" spans="1:34" x14ac:dyDescent="0.35">
      <c r="A3020" t="s">
        <v>34</v>
      </c>
      <c r="B3020" s="1">
        <v>46146.65625</v>
      </c>
      <c r="C3020" t="s">
        <v>34</v>
      </c>
      <c r="D3020" s="1">
        <v>46157.625</v>
      </c>
      <c r="E3020">
        <v>6085</v>
      </c>
      <c r="F3020" t="s">
        <v>36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108</v>
      </c>
      <c r="M3020">
        <v>1</v>
      </c>
      <c r="N3020">
        <v>99</v>
      </c>
      <c r="O3020">
        <v>1.1000000000000001</v>
      </c>
      <c r="P3020">
        <v>0</v>
      </c>
      <c r="Q3020">
        <v>0</v>
      </c>
      <c r="R3020">
        <v>0</v>
      </c>
      <c r="S3020">
        <v>0</v>
      </c>
      <c r="T3020">
        <v>0.39810000000000001</v>
      </c>
      <c r="U3020">
        <v>-6.7000000000000002E-3</v>
      </c>
      <c r="V3020">
        <v>0</v>
      </c>
      <c r="W3020">
        <v>-0.36220000000000002</v>
      </c>
      <c r="X3020">
        <v>0.24379999999999999</v>
      </c>
      <c r="Y3020">
        <v>-1.44E-2</v>
      </c>
      <c r="Z3020">
        <v>80</v>
      </c>
      <c r="AA3020">
        <v>0.95</v>
      </c>
      <c r="AB3020">
        <v>136</v>
      </c>
      <c r="AC3020">
        <v>1.1499999999999999</v>
      </c>
      <c r="AD3020">
        <v>0</v>
      </c>
      <c r="AE3020">
        <v>0</v>
      </c>
      <c r="AF3020">
        <v>0</v>
      </c>
      <c r="AG3020">
        <v>45</v>
      </c>
      <c r="AH3020">
        <v>0</v>
      </c>
    </row>
    <row r="3021" spans="1:34" x14ac:dyDescent="0.35">
      <c r="A3021" t="s">
        <v>34</v>
      </c>
      <c r="B3021" s="1">
        <v>46146.65625</v>
      </c>
      <c r="C3021" t="s">
        <v>34</v>
      </c>
      <c r="D3021" s="1">
        <v>46157.625</v>
      </c>
      <c r="E3021">
        <v>6090</v>
      </c>
      <c r="F3021" t="s">
        <v>36</v>
      </c>
      <c r="G3021">
        <v>0.92</v>
      </c>
      <c r="H3021">
        <v>1.72</v>
      </c>
      <c r="I3021">
        <v>0.92</v>
      </c>
      <c r="J3021">
        <v>1.72</v>
      </c>
      <c r="K3021">
        <v>2</v>
      </c>
      <c r="L3021">
        <v>205</v>
      </c>
      <c r="M3021">
        <v>1</v>
      </c>
      <c r="N3021">
        <v>303</v>
      </c>
      <c r="O3021">
        <v>1.1499999999999999</v>
      </c>
      <c r="P3021">
        <v>0</v>
      </c>
      <c r="Q3021">
        <v>0</v>
      </c>
      <c r="R3021">
        <v>0</v>
      </c>
      <c r="S3021">
        <v>0</v>
      </c>
      <c r="T3021">
        <v>0.39739999999999998</v>
      </c>
      <c r="U3021">
        <v>-6.8999999999999999E-3</v>
      </c>
      <c r="V3021">
        <v>0</v>
      </c>
      <c r="W3021">
        <v>-0.36930000000000002</v>
      </c>
      <c r="X3021">
        <v>0.24859999999999999</v>
      </c>
      <c r="Y3021">
        <v>-1.47E-2</v>
      </c>
      <c r="Z3021">
        <v>81</v>
      </c>
      <c r="AA3021">
        <v>1</v>
      </c>
      <c r="AB3021">
        <v>337</v>
      </c>
      <c r="AC3021">
        <v>1.1499999999999999</v>
      </c>
      <c r="AD3021">
        <v>0</v>
      </c>
      <c r="AE3021">
        <v>0</v>
      </c>
      <c r="AF3021">
        <v>1.32</v>
      </c>
      <c r="AG3021">
        <v>103</v>
      </c>
      <c r="AH3021">
        <v>0</v>
      </c>
    </row>
    <row r="3022" spans="1:34" x14ac:dyDescent="0.35">
      <c r="A3022" t="s">
        <v>34</v>
      </c>
      <c r="B3022" s="1">
        <v>46146.65625</v>
      </c>
      <c r="C3022" t="s">
        <v>34</v>
      </c>
      <c r="D3022" s="1">
        <v>46157.625</v>
      </c>
      <c r="E3022">
        <v>6095</v>
      </c>
      <c r="F3022" t="s">
        <v>36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150</v>
      </c>
      <c r="M3022">
        <v>1</v>
      </c>
      <c r="N3022">
        <v>254</v>
      </c>
      <c r="O3022">
        <v>1.1499999999999999</v>
      </c>
      <c r="P3022">
        <v>0</v>
      </c>
      <c r="Q3022">
        <v>0</v>
      </c>
      <c r="R3022">
        <v>0</v>
      </c>
      <c r="S3022">
        <v>0</v>
      </c>
      <c r="T3022">
        <v>0.3957</v>
      </c>
      <c r="U3022">
        <v>-6.8999999999999999E-3</v>
      </c>
      <c r="V3022">
        <v>0</v>
      </c>
      <c r="W3022">
        <v>-0.36909999999999998</v>
      </c>
      <c r="X3022">
        <v>0.24959999999999999</v>
      </c>
      <c r="Y3022">
        <v>-1.47E-2</v>
      </c>
      <c r="Z3022">
        <v>45</v>
      </c>
      <c r="AA3022">
        <v>1</v>
      </c>
      <c r="AB3022">
        <v>228</v>
      </c>
      <c r="AC3022">
        <v>1.1499999999999999</v>
      </c>
      <c r="AD3022">
        <v>0</v>
      </c>
      <c r="AE3022">
        <v>0</v>
      </c>
      <c r="AF3022">
        <v>0</v>
      </c>
      <c r="AG3022">
        <v>69</v>
      </c>
      <c r="AH3022">
        <v>0</v>
      </c>
    </row>
    <row r="3023" spans="1:34" x14ac:dyDescent="0.35">
      <c r="A3023" t="s">
        <v>34</v>
      </c>
      <c r="B3023" s="1">
        <v>46146.65625</v>
      </c>
      <c r="C3023" t="s">
        <v>34</v>
      </c>
      <c r="D3023" s="1">
        <v>46157.625</v>
      </c>
      <c r="E3023">
        <v>6100</v>
      </c>
      <c r="F3023" t="s">
        <v>36</v>
      </c>
      <c r="G3023">
        <v>0.95</v>
      </c>
      <c r="H3023">
        <v>1.75</v>
      </c>
      <c r="I3023">
        <v>0.9</v>
      </c>
      <c r="J3023">
        <v>1.7</v>
      </c>
      <c r="K3023">
        <v>1101</v>
      </c>
      <c r="L3023">
        <v>215</v>
      </c>
      <c r="M3023">
        <v>1</v>
      </c>
      <c r="N3023">
        <v>259</v>
      </c>
      <c r="O3023">
        <v>1.1499999999999999</v>
      </c>
      <c r="P3023">
        <v>0</v>
      </c>
      <c r="Q3023">
        <v>0</v>
      </c>
      <c r="R3023">
        <v>0</v>
      </c>
      <c r="S3023">
        <v>0</v>
      </c>
      <c r="T3023">
        <v>0.39379999999999998</v>
      </c>
      <c r="U3023">
        <v>-6.8999999999999999E-3</v>
      </c>
      <c r="V3023">
        <v>0</v>
      </c>
      <c r="W3023">
        <v>-0.36880000000000002</v>
      </c>
      <c r="X3023">
        <v>0.25059999999999999</v>
      </c>
      <c r="Y3023">
        <v>-1.4800000000000001E-2</v>
      </c>
      <c r="Z3023">
        <v>160</v>
      </c>
      <c r="AA3023">
        <v>1</v>
      </c>
      <c r="AB3023">
        <v>194</v>
      </c>
      <c r="AC3023">
        <v>1.1499999999999999</v>
      </c>
      <c r="AD3023">
        <v>0</v>
      </c>
      <c r="AE3023">
        <v>0</v>
      </c>
      <c r="AF3023">
        <v>0.94989999999999997</v>
      </c>
      <c r="AG3023">
        <v>1193</v>
      </c>
      <c r="AH3023">
        <v>0</v>
      </c>
    </row>
    <row r="3024" spans="1:34" x14ac:dyDescent="0.35">
      <c r="A3024" t="s">
        <v>34</v>
      </c>
      <c r="B3024" s="1">
        <v>46146.65625</v>
      </c>
      <c r="C3024" t="s">
        <v>34</v>
      </c>
      <c r="D3024" s="1">
        <v>46157.625</v>
      </c>
      <c r="E3024">
        <v>6105</v>
      </c>
      <c r="F3024" t="s">
        <v>36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345</v>
      </c>
      <c r="M3024">
        <v>1</v>
      </c>
      <c r="N3024">
        <v>297</v>
      </c>
      <c r="O3024">
        <v>1.1499999999999999</v>
      </c>
      <c r="P3024">
        <v>0</v>
      </c>
      <c r="Q3024">
        <v>0</v>
      </c>
      <c r="R3024">
        <v>0</v>
      </c>
      <c r="S3024">
        <v>0</v>
      </c>
      <c r="T3024">
        <v>0.39200000000000002</v>
      </c>
      <c r="U3024">
        <v>-6.8999999999999999E-3</v>
      </c>
      <c r="V3024">
        <v>0</v>
      </c>
      <c r="W3024">
        <v>-0.36859999999999998</v>
      </c>
      <c r="X3024">
        <v>0.25159999999999999</v>
      </c>
      <c r="Y3024">
        <v>-1.49E-2</v>
      </c>
      <c r="Z3024">
        <v>84</v>
      </c>
      <c r="AA3024">
        <v>1</v>
      </c>
      <c r="AB3024">
        <v>53</v>
      </c>
      <c r="AC3024">
        <v>1.1499999999999999</v>
      </c>
      <c r="AD3024">
        <v>0</v>
      </c>
      <c r="AE3024">
        <v>0</v>
      </c>
      <c r="AF3024">
        <v>0</v>
      </c>
      <c r="AG3024">
        <v>130</v>
      </c>
      <c r="AH3024">
        <v>0</v>
      </c>
    </row>
    <row r="3025" spans="1:34" x14ac:dyDescent="0.35">
      <c r="A3025" t="s">
        <v>34</v>
      </c>
      <c r="B3025" s="1">
        <v>46146.65625</v>
      </c>
      <c r="C3025" t="s">
        <v>34</v>
      </c>
      <c r="D3025" s="1">
        <v>46157.625</v>
      </c>
      <c r="E3025">
        <v>6110</v>
      </c>
      <c r="F3025" t="s">
        <v>36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161</v>
      </c>
      <c r="M3025">
        <v>1.05</v>
      </c>
      <c r="N3025">
        <v>86</v>
      </c>
      <c r="O3025">
        <v>1.1499999999999999</v>
      </c>
      <c r="P3025">
        <v>0</v>
      </c>
      <c r="Q3025">
        <v>0</v>
      </c>
      <c r="R3025">
        <v>0</v>
      </c>
      <c r="S3025">
        <v>0</v>
      </c>
      <c r="T3025">
        <v>0.39119999999999999</v>
      </c>
      <c r="U3025">
        <v>-7.1000000000000004E-3</v>
      </c>
      <c r="V3025">
        <v>0</v>
      </c>
      <c r="W3025">
        <v>-0.37559999999999999</v>
      </c>
      <c r="X3025">
        <v>0.25659999999999999</v>
      </c>
      <c r="Y3025">
        <v>-1.52E-2</v>
      </c>
      <c r="Z3025">
        <v>150</v>
      </c>
      <c r="AA3025">
        <v>1</v>
      </c>
      <c r="AB3025">
        <v>239</v>
      </c>
      <c r="AC3025">
        <v>1.2</v>
      </c>
      <c r="AD3025">
        <v>0</v>
      </c>
      <c r="AE3025">
        <v>0</v>
      </c>
      <c r="AF3025">
        <v>0</v>
      </c>
      <c r="AG3025">
        <v>97</v>
      </c>
      <c r="AH3025">
        <v>0</v>
      </c>
    </row>
    <row r="3026" spans="1:34" x14ac:dyDescent="0.35">
      <c r="A3026" t="s">
        <v>34</v>
      </c>
      <c r="B3026" s="1">
        <v>46146.65625</v>
      </c>
      <c r="C3026" t="s">
        <v>34</v>
      </c>
      <c r="D3026" s="1">
        <v>46157.625</v>
      </c>
      <c r="E3026">
        <v>6115</v>
      </c>
      <c r="F3026" t="s">
        <v>36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149</v>
      </c>
      <c r="M3026">
        <v>1.05</v>
      </c>
      <c r="N3026">
        <v>296</v>
      </c>
      <c r="O3026">
        <v>1.2</v>
      </c>
      <c r="P3026">
        <v>0</v>
      </c>
      <c r="Q3026">
        <v>0</v>
      </c>
      <c r="R3026">
        <v>0</v>
      </c>
      <c r="S3026">
        <v>0</v>
      </c>
      <c r="T3026">
        <v>0.39069999999999999</v>
      </c>
      <c r="U3026">
        <v>-7.3000000000000001E-3</v>
      </c>
      <c r="V3026">
        <v>0</v>
      </c>
      <c r="W3026">
        <v>-0.38269999999999998</v>
      </c>
      <c r="X3026">
        <v>0.26140000000000002</v>
      </c>
      <c r="Y3026">
        <v>-1.55E-2</v>
      </c>
      <c r="Z3026">
        <v>24</v>
      </c>
      <c r="AA3026">
        <v>1.05</v>
      </c>
      <c r="AB3026">
        <v>332</v>
      </c>
      <c r="AC3026">
        <v>1.2</v>
      </c>
      <c r="AD3026">
        <v>0</v>
      </c>
      <c r="AE3026">
        <v>0</v>
      </c>
      <c r="AF3026">
        <v>0</v>
      </c>
      <c r="AG3026">
        <v>45</v>
      </c>
      <c r="AH3026">
        <v>0</v>
      </c>
    </row>
    <row r="3027" spans="1:34" x14ac:dyDescent="0.35">
      <c r="A3027" t="s">
        <v>34</v>
      </c>
      <c r="B3027" s="1">
        <v>46146.65625</v>
      </c>
      <c r="C3027" t="s">
        <v>34</v>
      </c>
      <c r="D3027" s="1">
        <v>46157.625</v>
      </c>
      <c r="E3027">
        <v>6120</v>
      </c>
      <c r="F3027" t="s">
        <v>36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204</v>
      </c>
      <c r="M3027">
        <v>1.05</v>
      </c>
      <c r="N3027">
        <v>247</v>
      </c>
      <c r="O3027">
        <v>1.2</v>
      </c>
      <c r="P3027">
        <v>0</v>
      </c>
      <c r="Q3027">
        <v>0</v>
      </c>
      <c r="R3027">
        <v>0</v>
      </c>
      <c r="S3027">
        <v>0</v>
      </c>
      <c r="T3027">
        <v>0.3891</v>
      </c>
      <c r="U3027">
        <v>-7.3000000000000001E-3</v>
      </c>
      <c r="V3027">
        <v>0</v>
      </c>
      <c r="W3027">
        <v>-0.38250000000000001</v>
      </c>
      <c r="X3027">
        <v>0.26229999999999998</v>
      </c>
      <c r="Y3027">
        <v>-1.5599999999999999E-2</v>
      </c>
      <c r="Z3027">
        <v>109</v>
      </c>
      <c r="AA3027">
        <v>1.05</v>
      </c>
      <c r="AB3027">
        <v>291</v>
      </c>
      <c r="AC3027">
        <v>1.2</v>
      </c>
      <c r="AD3027">
        <v>0</v>
      </c>
      <c r="AE3027">
        <v>0</v>
      </c>
      <c r="AF3027">
        <v>0</v>
      </c>
      <c r="AG3027">
        <v>210</v>
      </c>
      <c r="AH3027">
        <v>0</v>
      </c>
    </row>
    <row r="3028" spans="1:34" x14ac:dyDescent="0.35">
      <c r="A3028" t="s">
        <v>34</v>
      </c>
      <c r="B3028" s="1">
        <v>46146.65625</v>
      </c>
      <c r="C3028" t="s">
        <v>34</v>
      </c>
      <c r="D3028" s="1">
        <v>46157.625</v>
      </c>
      <c r="E3028">
        <v>6125</v>
      </c>
      <c r="F3028" t="s">
        <v>36</v>
      </c>
      <c r="G3028">
        <v>1.1499999999999999</v>
      </c>
      <c r="H3028">
        <v>1.1499999999999999</v>
      </c>
      <c r="I3028">
        <v>1.1499999999999999</v>
      </c>
      <c r="J3028">
        <v>1.1499999999999999</v>
      </c>
      <c r="K3028">
        <v>10</v>
      </c>
      <c r="L3028">
        <v>211</v>
      </c>
      <c r="M3028">
        <v>1.05</v>
      </c>
      <c r="N3028">
        <v>226</v>
      </c>
      <c r="O3028">
        <v>1.2</v>
      </c>
      <c r="P3028">
        <v>0</v>
      </c>
      <c r="Q3028">
        <v>0</v>
      </c>
      <c r="R3028">
        <v>0</v>
      </c>
      <c r="S3028">
        <v>0</v>
      </c>
      <c r="T3028">
        <v>0.38700000000000001</v>
      </c>
      <c r="U3028">
        <v>-7.3000000000000001E-3</v>
      </c>
      <c r="V3028">
        <v>0</v>
      </c>
      <c r="W3028">
        <v>-0.3821</v>
      </c>
      <c r="X3028">
        <v>0.2636</v>
      </c>
      <c r="Y3028">
        <v>-1.5699999999999999E-2</v>
      </c>
      <c r="Z3028">
        <v>141</v>
      </c>
      <c r="AA3028">
        <v>1.05</v>
      </c>
      <c r="AB3028">
        <v>96</v>
      </c>
      <c r="AC3028">
        <v>1.2</v>
      </c>
      <c r="AD3028">
        <v>0</v>
      </c>
      <c r="AE3028">
        <v>0</v>
      </c>
      <c r="AF3028">
        <v>1.1499999999999999</v>
      </c>
      <c r="AG3028">
        <v>202</v>
      </c>
      <c r="AH3028">
        <v>0</v>
      </c>
    </row>
    <row r="3029" spans="1:34" x14ac:dyDescent="0.35">
      <c r="A3029" t="s">
        <v>34</v>
      </c>
      <c r="B3029" s="1">
        <v>46146.65625</v>
      </c>
      <c r="C3029" t="s">
        <v>34</v>
      </c>
      <c r="D3029" s="1">
        <v>46157.625</v>
      </c>
      <c r="E3029">
        <v>6130</v>
      </c>
      <c r="F3029" t="s">
        <v>36</v>
      </c>
      <c r="G3029">
        <v>1.77</v>
      </c>
      <c r="H3029">
        <v>1.77</v>
      </c>
      <c r="I3029">
        <v>1.77</v>
      </c>
      <c r="J3029">
        <v>1.77</v>
      </c>
      <c r="K3029">
        <v>1</v>
      </c>
      <c r="L3029">
        <v>118</v>
      </c>
      <c r="M3029">
        <v>1.1000000000000001</v>
      </c>
      <c r="N3029">
        <v>254</v>
      </c>
      <c r="O3029">
        <v>1.2</v>
      </c>
      <c r="P3029">
        <v>0</v>
      </c>
      <c r="Q3029">
        <v>0</v>
      </c>
      <c r="R3029">
        <v>0</v>
      </c>
      <c r="S3029">
        <v>0</v>
      </c>
      <c r="T3029">
        <v>0.38650000000000001</v>
      </c>
      <c r="U3029">
        <v>-7.4999999999999997E-3</v>
      </c>
      <c r="V3029">
        <v>0</v>
      </c>
      <c r="W3029">
        <v>-0.38919999999999999</v>
      </c>
      <c r="X3029">
        <v>0.26850000000000002</v>
      </c>
      <c r="Y3029">
        <v>-1.6E-2</v>
      </c>
      <c r="Z3029">
        <v>147</v>
      </c>
      <c r="AA3029">
        <v>1.05</v>
      </c>
      <c r="AB3029">
        <v>153</v>
      </c>
      <c r="AC3029">
        <v>1.25</v>
      </c>
      <c r="AD3029">
        <v>0</v>
      </c>
      <c r="AE3029">
        <v>0</v>
      </c>
      <c r="AF3029">
        <v>1.77</v>
      </c>
      <c r="AG3029">
        <v>120</v>
      </c>
      <c r="AH3029">
        <v>0</v>
      </c>
    </row>
    <row r="3030" spans="1:34" x14ac:dyDescent="0.35">
      <c r="A3030" t="s">
        <v>34</v>
      </c>
      <c r="B3030" s="1">
        <v>46146.65625</v>
      </c>
      <c r="C3030" t="s">
        <v>34</v>
      </c>
      <c r="D3030" s="1">
        <v>46157.625</v>
      </c>
      <c r="E3030">
        <v>6135</v>
      </c>
      <c r="F3030" t="s">
        <v>36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119</v>
      </c>
      <c r="M3030">
        <v>1.1000000000000001</v>
      </c>
      <c r="N3030">
        <v>308</v>
      </c>
      <c r="O3030">
        <v>1.25</v>
      </c>
      <c r="P3030">
        <v>0</v>
      </c>
      <c r="Q3030">
        <v>0</v>
      </c>
      <c r="R3030">
        <v>0</v>
      </c>
      <c r="S3030">
        <v>0</v>
      </c>
      <c r="T3030">
        <v>0.38590000000000002</v>
      </c>
      <c r="U3030">
        <v>-7.6E-3</v>
      </c>
      <c r="V3030">
        <v>0</v>
      </c>
      <c r="W3030">
        <v>-0.3962</v>
      </c>
      <c r="X3030">
        <v>0.27339999999999998</v>
      </c>
      <c r="Y3030">
        <v>-1.6299999999999999E-2</v>
      </c>
      <c r="Z3030">
        <v>80</v>
      </c>
      <c r="AA3030">
        <v>1.05</v>
      </c>
      <c r="AB3030">
        <v>227</v>
      </c>
      <c r="AC3030">
        <v>1.25</v>
      </c>
      <c r="AD3030">
        <v>0</v>
      </c>
      <c r="AE3030">
        <v>0</v>
      </c>
      <c r="AF3030">
        <v>0</v>
      </c>
      <c r="AG3030">
        <v>77</v>
      </c>
      <c r="AH3030">
        <v>0</v>
      </c>
    </row>
    <row r="3031" spans="1:34" x14ac:dyDescent="0.35">
      <c r="A3031" t="s">
        <v>34</v>
      </c>
      <c r="B3031" s="1">
        <v>46146.65625</v>
      </c>
      <c r="C3031" t="s">
        <v>34</v>
      </c>
      <c r="D3031" s="1">
        <v>46157.625</v>
      </c>
      <c r="E3031">
        <v>6140</v>
      </c>
      <c r="F3031" t="s">
        <v>36</v>
      </c>
      <c r="G3031">
        <v>1.82</v>
      </c>
      <c r="H3031">
        <v>1.82</v>
      </c>
      <c r="I3031">
        <v>1.82</v>
      </c>
      <c r="J3031">
        <v>1.82</v>
      </c>
      <c r="K3031">
        <v>1</v>
      </c>
      <c r="L3031">
        <v>200</v>
      </c>
      <c r="M3031">
        <v>1.1000000000000001</v>
      </c>
      <c r="N3031">
        <v>258</v>
      </c>
      <c r="O3031">
        <v>1.25</v>
      </c>
      <c r="P3031">
        <v>0</v>
      </c>
      <c r="Q3031">
        <v>0</v>
      </c>
      <c r="R3031">
        <v>0</v>
      </c>
      <c r="S3031">
        <v>0</v>
      </c>
      <c r="T3031">
        <v>0.38419999999999999</v>
      </c>
      <c r="U3031">
        <v>-7.7000000000000002E-3</v>
      </c>
      <c r="V3031">
        <v>0</v>
      </c>
      <c r="W3031">
        <v>-0.39589999999999997</v>
      </c>
      <c r="X3031">
        <v>0.27450000000000002</v>
      </c>
      <c r="Y3031">
        <v>-1.6400000000000001E-2</v>
      </c>
      <c r="Z3031">
        <v>77</v>
      </c>
      <c r="AA3031">
        <v>1.1000000000000001</v>
      </c>
      <c r="AB3031">
        <v>316</v>
      </c>
      <c r="AC3031">
        <v>1.25</v>
      </c>
      <c r="AD3031">
        <v>0</v>
      </c>
      <c r="AE3031">
        <v>0</v>
      </c>
      <c r="AF3031">
        <v>1.82</v>
      </c>
      <c r="AG3031">
        <v>83</v>
      </c>
      <c r="AH3031">
        <v>0</v>
      </c>
    </row>
    <row r="3032" spans="1:34" x14ac:dyDescent="0.35">
      <c r="A3032" t="s">
        <v>34</v>
      </c>
      <c r="B3032" s="1">
        <v>46146.65625</v>
      </c>
      <c r="C3032" t="s">
        <v>34</v>
      </c>
      <c r="D3032" s="1">
        <v>46157.625</v>
      </c>
      <c r="E3032">
        <v>6145</v>
      </c>
      <c r="F3032" t="s">
        <v>36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148</v>
      </c>
      <c r="M3032">
        <v>1.1000000000000001</v>
      </c>
      <c r="N3032">
        <v>220</v>
      </c>
      <c r="O3032">
        <v>1.25</v>
      </c>
      <c r="P3032">
        <v>0</v>
      </c>
      <c r="Q3032">
        <v>0</v>
      </c>
      <c r="R3032">
        <v>0</v>
      </c>
      <c r="S3032">
        <v>0</v>
      </c>
      <c r="T3032">
        <v>0.38240000000000002</v>
      </c>
      <c r="U3032">
        <v>-7.7000000000000002E-3</v>
      </c>
      <c r="V3032">
        <v>0</v>
      </c>
      <c r="W3032">
        <v>-0.39560000000000001</v>
      </c>
      <c r="X3032">
        <v>0.27560000000000001</v>
      </c>
      <c r="Y3032">
        <v>-1.6500000000000001E-2</v>
      </c>
      <c r="Z3032">
        <v>44</v>
      </c>
      <c r="AA3032">
        <v>1.1000000000000001</v>
      </c>
      <c r="AB3032">
        <v>208</v>
      </c>
      <c r="AC3032">
        <v>1.25</v>
      </c>
      <c r="AD3032">
        <v>0</v>
      </c>
      <c r="AE3032">
        <v>0</v>
      </c>
      <c r="AF3032">
        <v>0</v>
      </c>
      <c r="AG3032">
        <v>34</v>
      </c>
      <c r="AH3032">
        <v>0</v>
      </c>
    </row>
    <row r="3033" spans="1:34" x14ac:dyDescent="0.35">
      <c r="A3033" t="s">
        <v>34</v>
      </c>
      <c r="B3033" s="1">
        <v>46146.65625</v>
      </c>
      <c r="C3033" t="s">
        <v>34</v>
      </c>
      <c r="D3033" s="1">
        <v>46157.625</v>
      </c>
      <c r="E3033">
        <v>6150</v>
      </c>
      <c r="F3033" t="s">
        <v>36</v>
      </c>
      <c r="G3033">
        <v>1.05</v>
      </c>
      <c r="H3033">
        <v>1.4</v>
      </c>
      <c r="I3033">
        <v>1.01</v>
      </c>
      <c r="J3033">
        <v>1.2</v>
      </c>
      <c r="K3033">
        <v>29</v>
      </c>
      <c r="L3033">
        <v>133</v>
      </c>
      <c r="M3033">
        <v>1.1499999999999999</v>
      </c>
      <c r="N3033">
        <v>326</v>
      </c>
      <c r="O3033">
        <v>1.25</v>
      </c>
      <c r="P3033">
        <v>0</v>
      </c>
      <c r="Q3033">
        <v>0</v>
      </c>
      <c r="R3033">
        <v>0</v>
      </c>
      <c r="S3033">
        <v>0</v>
      </c>
      <c r="T3033">
        <v>0.38129999999999997</v>
      </c>
      <c r="U3033">
        <v>-7.9000000000000008E-3</v>
      </c>
      <c r="V3033">
        <v>0</v>
      </c>
      <c r="W3033">
        <v>-0.40239999999999998</v>
      </c>
      <c r="X3033">
        <v>0.28089999999999998</v>
      </c>
      <c r="Y3033">
        <v>-1.6799999999999999E-2</v>
      </c>
      <c r="Z3033">
        <v>167</v>
      </c>
      <c r="AA3033">
        <v>1.1000000000000001</v>
      </c>
      <c r="AB3033">
        <v>67</v>
      </c>
      <c r="AC3033">
        <v>1.25</v>
      </c>
      <c r="AD3033">
        <v>0</v>
      </c>
      <c r="AE3033">
        <v>0</v>
      </c>
      <c r="AF3033">
        <v>1.3003</v>
      </c>
      <c r="AG3033">
        <v>1578</v>
      </c>
      <c r="AH3033">
        <v>0</v>
      </c>
    </row>
    <row r="3034" spans="1:34" x14ac:dyDescent="0.35">
      <c r="A3034" t="s">
        <v>34</v>
      </c>
      <c r="B3034" s="1">
        <v>46146.65625</v>
      </c>
      <c r="C3034" t="s">
        <v>34</v>
      </c>
      <c r="D3034" s="1">
        <v>46157.625</v>
      </c>
      <c r="E3034">
        <v>6155</v>
      </c>
      <c r="F3034" t="s">
        <v>36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106</v>
      </c>
      <c r="M3034">
        <v>1.1499999999999999</v>
      </c>
      <c r="N3034">
        <v>84</v>
      </c>
      <c r="O3034">
        <v>1.25</v>
      </c>
      <c r="P3034">
        <v>0</v>
      </c>
      <c r="Q3034">
        <v>0</v>
      </c>
      <c r="R3034">
        <v>0</v>
      </c>
      <c r="S3034">
        <v>0</v>
      </c>
      <c r="T3034">
        <v>0.37980000000000003</v>
      </c>
      <c r="U3034">
        <v>-7.9000000000000008E-3</v>
      </c>
      <c r="V3034">
        <v>1E-4</v>
      </c>
      <c r="W3034">
        <v>-0.4022</v>
      </c>
      <c r="X3034">
        <v>0.28189999999999998</v>
      </c>
      <c r="Y3034">
        <v>-1.6899999999999998E-2</v>
      </c>
      <c r="Z3034">
        <v>83</v>
      </c>
      <c r="AA3034">
        <v>1.1000000000000001</v>
      </c>
      <c r="AB3034">
        <v>235</v>
      </c>
      <c r="AC3034">
        <v>1.3</v>
      </c>
      <c r="AD3034">
        <v>0</v>
      </c>
      <c r="AE3034">
        <v>0</v>
      </c>
      <c r="AF3034">
        <v>0</v>
      </c>
      <c r="AG3034">
        <v>102</v>
      </c>
      <c r="AH3034">
        <v>0</v>
      </c>
    </row>
    <row r="3035" spans="1:34" x14ac:dyDescent="0.35">
      <c r="A3035" t="s">
        <v>34</v>
      </c>
      <c r="B3035" s="1">
        <v>46146.65625</v>
      </c>
      <c r="C3035" t="s">
        <v>34</v>
      </c>
      <c r="D3035" s="1">
        <v>46157.625</v>
      </c>
      <c r="E3035">
        <v>6160</v>
      </c>
      <c r="F3035" t="s">
        <v>36</v>
      </c>
      <c r="G3035">
        <v>1.65</v>
      </c>
      <c r="H3035">
        <v>1.65</v>
      </c>
      <c r="I3035">
        <v>1.65</v>
      </c>
      <c r="J3035">
        <v>1.65</v>
      </c>
      <c r="K3035">
        <v>7</v>
      </c>
      <c r="L3035">
        <v>199</v>
      </c>
      <c r="M3035">
        <v>1.1499999999999999</v>
      </c>
      <c r="N3035">
        <v>280</v>
      </c>
      <c r="O3035">
        <v>1.3</v>
      </c>
      <c r="P3035">
        <v>0</v>
      </c>
      <c r="Q3035">
        <v>0</v>
      </c>
      <c r="R3035">
        <v>0</v>
      </c>
      <c r="S3035">
        <v>0</v>
      </c>
      <c r="T3035">
        <v>0.37919999999999998</v>
      </c>
      <c r="U3035">
        <v>-8.0000000000000002E-3</v>
      </c>
      <c r="V3035">
        <v>1E-4</v>
      </c>
      <c r="W3035">
        <v>-0.40910000000000002</v>
      </c>
      <c r="X3035">
        <v>0.28689999999999999</v>
      </c>
      <c r="Y3035">
        <v>-1.72E-2</v>
      </c>
      <c r="Z3035">
        <v>77</v>
      </c>
      <c r="AA3035">
        <v>1.1499999999999999</v>
      </c>
      <c r="AB3035">
        <v>325</v>
      </c>
      <c r="AC3035">
        <v>1.3</v>
      </c>
      <c r="AD3035">
        <v>0</v>
      </c>
      <c r="AE3035">
        <v>0</v>
      </c>
      <c r="AF3035">
        <v>1.65</v>
      </c>
      <c r="AG3035">
        <v>91</v>
      </c>
      <c r="AH3035">
        <v>0</v>
      </c>
    </row>
    <row r="3036" spans="1:34" x14ac:dyDescent="0.35">
      <c r="A3036" t="s">
        <v>34</v>
      </c>
      <c r="B3036" s="1">
        <v>46146.65625</v>
      </c>
      <c r="C3036" t="s">
        <v>34</v>
      </c>
      <c r="D3036" s="1">
        <v>46157.625</v>
      </c>
      <c r="E3036">
        <v>6165</v>
      </c>
      <c r="F3036" t="s">
        <v>36</v>
      </c>
      <c r="G3036">
        <v>1.4</v>
      </c>
      <c r="H3036">
        <v>1.4</v>
      </c>
      <c r="I3036">
        <v>1.25</v>
      </c>
      <c r="J3036">
        <v>1.25</v>
      </c>
      <c r="K3036">
        <v>42</v>
      </c>
      <c r="L3036">
        <v>159</v>
      </c>
      <c r="M3036">
        <v>1.1499999999999999</v>
      </c>
      <c r="N3036">
        <v>259</v>
      </c>
      <c r="O3036">
        <v>1.3</v>
      </c>
      <c r="P3036">
        <v>0</v>
      </c>
      <c r="Q3036">
        <v>0</v>
      </c>
      <c r="R3036">
        <v>0</v>
      </c>
      <c r="S3036">
        <v>0</v>
      </c>
      <c r="T3036">
        <v>0.37740000000000001</v>
      </c>
      <c r="U3036">
        <v>-8.0999999999999996E-3</v>
      </c>
      <c r="V3036">
        <v>1E-4</v>
      </c>
      <c r="W3036">
        <v>-0.4088</v>
      </c>
      <c r="X3036">
        <v>0.28810000000000002</v>
      </c>
      <c r="Y3036">
        <v>-1.7299999999999999E-2</v>
      </c>
      <c r="Z3036">
        <v>63</v>
      </c>
      <c r="AA3036">
        <v>1.1499999999999999</v>
      </c>
      <c r="AB3036">
        <v>297</v>
      </c>
      <c r="AC3036">
        <v>1.3</v>
      </c>
      <c r="AD3036">
        <v>0</v>
      </c>
      <c r="AE3036">
        <v>0</v>
      </c>
      <c r="AF3036">
        <v>1.2857000000000001</v>
      </c>
      <c r="AG3036">
        <v>45</v>
      </c>
      <c r="AH3036">
        <v>0</v>
      </c>
    </row>
    <row r="3037" spans="1:34" x14ac:dyDescent="0.35">
      <c r="A3037" t="s">
        <v>34</v>
      </c>
      <c r="B3037" s="1">
        <v>46146.65625</v>
      </c>
      <c r="C3037" t="s">
        <v>34</v>
      </c>
      <c r="D3037" s="1">
        <v>46157.625</v>
      </c>
      <c r="E3037">
        <v>6170</v>
      </c>
      <c r="F3037" t="s">
        <v>36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90</v>
      </c>
      <c r="M3037">
        <v>1.2</v>
      </c>
      <c r="N3037">
        <v>252</v>
      </c>
      <c r="O3037">
        <v>1.3</v>
      </c>
      <c r="P3037">
        <v>0</v>
      </c>
      <c r="Q3037">
        <v>0</v>
      </c>
      <c r="R3037">
        <v>0</v>
      </c>
      <c r="S3037">
        <v>0</v>
      </c>
      <c r="T3037">
        <v>0.37619999999999998</v>
      </c>
      <c r="U3037">
        <v>-8.3000000000000001E-3</v>
      </c>
      <c r="V3037">
        <v>1E-4</v>
      </c>
      <c r="W3037">
        <v>-0.41549999999999998</v>
      </c>
      <c r="X3037">
        <v>0.29349999999999998</v>
      </c>
      <c r="Y3037">
        <v>-1.77E-2</v>
      </c>
      <c r="Z3037">
        <v>145</v>
      </c>
      <c r="AA3037">
        <v>1.1499999999999999</v>
      </c>
      <c r="AB3037">
        <v>52</v>
      </c>
      <c r="AC3037">
        <v>1.3</v>
      </c>
      <c r="AD3037">
        <v>0</v>
      </c>
      <c r="AE3037">
        <v>0</v>
      </c>
      <c r="AF3037">
        <v>0</v>
      </c>
      <c r="AG3037">
        <v>86</v>
      </c>
      <c r="AH3037">
        <v>0</v>
      </c>
    </row>
    <row r="3038" spans="1:34" x14ac:dyDescent="0.35">
      <c r="A3038" t="s">
        <v>34</v>
      </c>
      <c r="B3038" s="1">
        <v>46146.65625</v>
      </c>
      <c r="C3038" t="s">
        <v>34</v>
      </c>
      <c r="D3038" s="1">
        <v>46157.625</v>
      </c>
      <c r="E3038">
        <v>6175</v>
      </c>
      <c r="F3038" t="s">
        <v>36</v>
      </c>
      <c r="G3038">
        <v>1.1000000000000001</v>
      </c>
      <c r="H3038">
        <v>1.1000000000000001</v>
      </c>
      <c r="I3038">
        <v>1.1000000000000001</v>
      </c>
      <c r="J3038">
        <v>1.1000000000000001</v>
      </c>
      <c r="K3038">
        <v>1</v>
      </c>
      <c r="L3038">
        <v>124</v>
      </c>
      <c r="M3038">
        <v>1.2</v>
      </c>
      <c r="N3038">
        <v>142</v>
      </c>
      <c r="O3038">
        <v>1.3</v>
      </c>
      <c r="P3038">
        <v>0</v>
      </c>
      <c r="Q3038">
        <v>0</v>
      </c>
      <c r="R3038">
        <v>0</v>
      </c>
      <c r="S3038">
        <v>0</v>
      </c>
      <c r="T3038">
        <v>0.37469999999999998</v>
      </c>
      <c r="U3038">
        <v>-8.3000000000000001E-3</v>
      </c>
      <c r="V3038">
        <v>1E-4</v>
      </c>
      <c r="W3038">
        <v>-0.4153</v>
      </c>
      <c r="X3038">
        <v>0.29449999999999998</v>
      </c>
      <c r="Y3038">
        <v>-1.77E-2</v>
      </c>
      <c r="Z3038">
        <v>151</v>
      </c>
      <c r="AA3038">
        <v>1.1499999999999999</v>
      </c>
      <c r="AB3038">
        <v>243</v>
      </c>
      <c r="AC3038">
        <v>1.35</v>
      </c>
      <c r="AD3038">
        <v>0</v>
      </c>
      <c r="AE3038">
        <v>0</v>
      </c>
      <c r="AF3038">
        <v>1.1000000000000001</v>
      </c>
      <c r="AG3038">
        <v>254</v>
      </c>
      <c r="AH3038">
        <v>0</v>
      </c>
    </row>
    <row r="3039" spans="1:34" x14ac:dyDescent="0.35">
      <c r="A3039" t="s">
        <v>34</v>
      </c>
      <c r="B3039" s="1">
        <v>46146.65625</v>
      </c>
      <c r="C3039" t="s">
        <v>34</v>
      </c>
      <c r="D3039" s="1">
        <v>46157.625</v>
      </c>
      <c r="E3039">
        <v>6180</v>
      </c>
      <c r="F3039" t="s">
        <v>36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197</v>
      </c>
      <c r="M3039">
        <v>1.2</v>
      </c>
      <c r="N3039">
        <v>280</v>
      </c>
      <c r="O3039">
        <v>1.35</v>
      </c>
      <c r="P3039">
        <v>0</v>
      </c>
      <c r="Q3039">
        <v>0</v>
      </c>
      <c r="R3039">
        <v>0</v>
      </c>
      <c r="S3039">
        <v>0</v>
      </c>
      <c r="T3039">
        <v>0.37409999999999999</v>
      </c>
      <c r="U3039">
        <v>-8.3999999999999995E-3</v>
      </c>
      <c r="V3039">
        <v>1E-4</v>
      </c>
      <c r="W3039">
        <v>-0.42199999999999999</v>
      </c>
      <c r="X3039">
        <v>0.29959999999999998</v>
      </c>
      <c r="Y3039">
        <v>-1.8100000000000002E-2</v>
      </c>
      <c r="Z3039">
        <v>75</v>
      </c>
      <c r="AA3039">
        <v>1.2</v>
      </c>
      <c r="AB3039">
        <v>299</v>
      </c>
      <c r="AC3039">
        <v>1.35</v>
      </c>
      <c r="AD3039">
        <v>0</v>
      </c>
      <c r="AE3039">
        <v>0</v>
      </c>
      <c r="AF3039">
        <v>0</v>
      </c>
      <c r="AG3039">
        <v>113</v>
      </c>
      <c r="AH3039">
        <v>0</v>
      </c>
    </row>
    <row r="3040" spans="1:34" x14ac:dyDescent="0.35">
      <c r="A3040" t="s">
        <v>34</v>
      </c>
      <c r="B3040" s="1">
        <v>46146.65625</v>
      </c>
      <c r="C3040" t="s">
        <v>34</v>
      </c>
      <c r="D3040" s="1">
        <v>46157.625</v>
      </c>
      <c r="E3040">
        <v>6185</v>
      </c>
      <c r="F3040" t="s">
        <v>36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148</v>
      </c>
      <c r="M3040">
        <v>1.2</v>
      </c>
      <c r="N3040">
        <v>226</v>
      </c>
      <c r="O3040">
        <v>1.35</v>
      </c>
      <c r="P3040">
        <v>0</v>
      </c>
      <c r="Q3040">
        <v>0</v>
      </c>
      <c r="R3040">
        <v>0</v>
      </c>
      <c r="S3040">
        <v>0</v>
      </c>
      <c r="T3040">
        <v>0.37230000000000002</v>
      </c>
      <c r="U3040">
        <v>-8.5000000000000006E-3</v>
      </c>
      <c r="V3040">
        <v>1E-4</v>
      </c>
      <c r="W3040">
        <v>-0.42170000000000002</v>
      </c>
      <c r="X3040">
        <v>0.30080000000000001</v>
      </c>
      <c r="Y3040">
        <v>-1.8200000000000001E-2</v>
      </c>
      <c r="Z3040">
        <v>45</v>
      </c>
      <c r="AA3040">
        <v>1.2</v>
      </c>
      <c r="AB3040">
        <v>265</v>
      </c>
      <c r="AC3040">
        <v>1.35</v>
      </c>
      <c r="AD3040">
        <v>0</v>
      </c>
      <c r="AE3040">
        <v>0</v>
      </c>
      <c r="AF3040">
        <v>0</v>
      </c>
      <c r="AG3040">
        <v>55</v>
      </c>
      <c r="AH3040">
        <v>0</v>
      </c>
    </row>
    <row r="3041" spans="1:34" x14ac:dyDescent="0.35">
      <c r="A3041" t="s">
        <v>34</v>
      </c>
      <c r="B3041" s="1">
        <v>46146.65625</v>
      </c>
      <c r="C3041" t="s">
        <v>34</v>
      </c>
      <c r="D3041" s="1">
        <v>46157.625</v>
      </c>
      <c r="E3041">
        <v>6190</v>
      </c>
      <c r="F3041" t="s">
        <v>36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6</v>
      </c>
      <c r="M3041">
        <v>1.25</v>
      </c>
      <c r="N3041">
        <v>217</v>
      </c>
      <c r="O3041">
        <v>1.35</v>
      </c>
      <c r="P3041">
        <v>0</v>
      </c>
      <c r="Q3041">
        <v>0</v>
      </c>
      <c r="R3041">
        <v>0</v>
      </c>
      <c r="S3041">
        <v>0</v>
      </c>
      <c r="T3041">
        <v>0.37130000000000002</v>
      </c>
      <c r="U3041">
        <v>-8.6E-3</v>
      </c>
      <c r="V3041">
        <v>1E-4</v>
      </c>
      <c r="W3041">
        <v>-0.4284</v>
      </c>
      <c r="X3041">
        <v>0.30609999999999998</v>
      </c>
      <c r="Y3041">
        <v>-1.8499999999999999E-2</v>
      </c>
      <c r="Z3041">
        <v>143</v>
      </c>
      <c r="AA3041">
        <v>1.2</v>
      </c>
      <c r="AB3041">
        <v>137</v>
      </c>
      <c r="AC3041">
        <v>1.35</v>
      </c>
      <c r="AD3041">
        <v>0</v>
      </c>
      <c r="AE3041">
        <v>0</v>
      </c>
      <c r="AF3041">
        <v>0</v>
      </c>
      <c r="AG3041">
        <v>197</v>
      </c>
      <c r="AH3041">
        <v>0</v>
      </c>
    </row>
    <row r="3042" spans="1:34" x14ac:dyDescent="0.35">
      <c r="A3042" t="s">
        <v>34</v>
      </c>
      <c r="B3042" s="1">
        <v>46146.65625</v>
      </c>
      <c r="C3042" t="s">
        <v>34</v>
      </c>
      <c r="D3042" s="1">
        <v>46157.625</v>
      </c>
      <c r="E3042">
        <v>6195</v>
      </c>
      <c r="F3042" t="s">
        <v>36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64</v>
      </c>
      <c r="M3042">
        <v>1.25</v>
      </c>
      <c r="N3042">
        <v>311</v>
      </c>
      <c r="O3042">
        <v>1.4</v>
      </c>
      <c r="P3042">
        <v>0</v>
      </c>
      <c r="Q3042">
        <v>0</v>
      </c>
      <c r="R3042">
        <v>0</v>
      </c>
      <c r="S3042">
        <v>0</v>
      </c>
      <c r="T3042">
        <v>0.36969999999999997</v>
      </c>
      <c r="U3042">
        <v>-8.6999999999999994E-3</v>
      </c>
      <c r="V3042">
        <v>1E-4</v>
      </c>
      <c r="W3042">
        <v>-0.42809999999999998</v>
      </c>
      <c r="X3042">
        <v>0.30730000000000002</v>
      </c>
      <c r="Y3042">
        <v>-1.8599999999999998E-2</v>
      </c>
      <c r="Z3042">
        <v>79</v>
      </c>
      <c r="AA3042">
        <v>1.2</v>
      </c>
      <c r="AB3042">
        <v>231</v>
      </c>
      <c r="AC3042">
        <v>1.4</v>
      </c>
      <c r="AD3042">
        <v>0</v>
      </c>
      <c r="AE3042">
        <v>0</v>
      </c>
      <c r="AF3042">
        <v>0</v>
      </c>
      <c r="AG3042">
        <v>356</v>
      </c>
      <c r="AH3042">
        <v>0</v>
      </c>
    </row>
    <row r="3043" spans="1:34" x14ac:dyDescent="0.35">
      <c r="A3043" t="s">
        <v>34</v>
      </c>
      <c r="B3043" s="1">
        <v>46146.65625</v>
      </c>
      <c r="C3043" t="s">
        <v>34</v>
      </c>
      <c r="D3043" s="1">
        <v>46157.625</v>
      </c>
      <c r="E3043">
        <v>6200</v>
      </c>
      <c r="F3043" t="s">
        <v>36</v>
      </c>
      <c r="G3043">
        <v>1.1499999999999999</v>
      </c>
      <c r="H3043">
        <v>1.97</v>
      </c>
      <c r="I3043">
        <v>1.1499999999999999</v>
      </c>
      <c r="J3043">
        <v>1.32</v>
      </c>
      <c r="K3043">
        <v>91</v>
      </c>
      <c r="L3043">
        <v>235</v>
      </c>
      <c r="M3043">
        <v>1.25</v>
      </c>
      <c r="N3043">
        <v>310</v>
      </c>
      <c r="O3043">
        <v>1.4</v>
      </c>
      <c r="P3043">
        <v>0</v>
      </c>
      <c r="Q3043">
        <v>0</v>
      </c>
      <c r="R3043">
        <v>0</v>
      </c>
      <c r="S3043">
        <v>0</v>
      </c>
      <c r="T3043">
        <v>0.36890000000000001</v>
      </c>
      <c r="U3043">
        <v>-8.8999999999999999E-3</v>
      </c>
      <c r="V3043">
        <v>1E-4</v>
      </c>
      <c r="W3043">
        <v>-0.43469999999999998</v>
      </c>
      <c r="X3043">
        <v>0.3125</v>
      </c>
      <c r="Y3043">
        <v>-1.9E-2</v>
      </c>
      <c r="Z3043">
        <v>72</v>
      </c>
      <c r="AA3043">
        <v>1.25</v>
      </c>
      <c r="AB3043">
        <v>312</v>
      </c>
      <c r="AC3043">
        <v>1.4</v>
      </c>
      <c r="AD3043">
        <v>0</v>
      </c>
      <c r="AE3043">
        <v>0</v>
      </c>
      <c r="AF3043">
        <v>1.5086999999999999</v>
      </c>
      <c r="AG3043">
        <v>5726</v>
      </c>
      <c r="AH3043">
        <v>0</v>
      </c>
    </row>
    <row r="3044" spans="1:34" x14ac:dyDescent="0.35">
      <c r="A3044" t="s">
        <v>34</v>
      </c>
      <c r="B3044" s="1">
        <v>46146.65625</v>
      </c>
      <c r="C3044" t="s">
        <v>34</v>
      </c>
      <c r="D3044" s="1">
        <v>46157.625</v>
      </c>
      <c r="E3044">
        <v>6205</v>
      </c>
      <c r="F3044" t="s">
        <v>36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146</v>
      </c>
      <c r="M3044">
        <v>1.25</v>
      </c>
      <c r="N3044">
        <v>214</v>
      </c>
      <c r="O3044">
        <v>1.4</v>
      </c>
      <c r="P3044">
        <v>0</v>
      </c>
      <c r="Q3044">
        <v>0</v>
      </c>
      <c r="R3044">
        <v>0</v>
      </c>
      <c r="S3044">
        <v>0</v>
      </c>
      <c r="T3044">
        <v>0.36699999999999999</v>
      </c>
      <c r="U3044">
        <v>-8.8999999999999999E-3</v>
      </c>
      <c r="V3044">
        <v>1E-4</v>
      </c>
      <c r="W3044">
        <v>-0.43440000000000001</v>
      </c>
      <c r="X3044">
        <v>0.31380000000000002</v>
      </c>
      <c r="Y3044">
        <v>-1.9099999999999999E-2</v>
      </c>
      <c r="Z3044">
        <v>41</v>
      </c>
      <c r="AA3044">
        <v>1.25</v>
      </c>
      <c r="AB3044">
        <v>255</v>
      </c>
      <c r="AC3044">
        <v>1.4</v>
      </c>
      <c r="AD3044">
        <v>0</v>
      </c>
      <c r="AE3044">
        <v>0</v>
      </c>
      <c r="AF3044">
        <v>0</v>
      </c>
      <c r="AG3044">
        <v>61</v>
      </c>
      <c r="AH3044">
        <v>0</v>
      </c>
    </row>
    <row r="3045" spans="1:34" x14ac:dyDescent="0.35">
      <c r="A3045" t="s">
        <v>34</v>
      </c>
      <c r="B3045" s="1">
        <v>46146.65625</v>
      </c>
      <c r="C3045" t="s">
        <v>34</v>
      </c>
      <c r="D3045" s="1">
        <v>46157.625</v>
      </c>
      <c r="E3045">
        <v>6210</v>
      </c>
      <c r="F3045" t="s">
        <v>36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53</v>
      </c>
      <c r="M3045">
        <v>1.3</v>
      </c>
      <c r="N3045">
        <v>272</v>
      </c>
      <c r="O3045">
        <v>1.4</v>
      </c>
      <c r="P3045">
        <v>0</v>
      </c>
      <c r="Q3045">
        <v>0</v>
      </c>
      <c r="R3045">
        <v>0</v>
      </c>
      <c r="S3045">
        <v>0</v>
      </c>
      <c r="T3045">
        <v>0.36609999999999998</v>
      </c>
      <c r="U3045">
        <v>-9.1000000000000004E-3</v>
      </c>
      <c r="V3045">
        <v>1E-4</v>
      </c>
      <c r="W3045">
        <v>-0.441</v>
      </c>
      <c r="X3045">
        <v>0.31909999999999999</v>
      </c>
      <c r="Y3045">
        <v>-1.9400000000000001E-2</v>
      </c>
      <c r="Z3045">
        <v>142</v>
      </c>
      <c r="AA3045">
        <v>1.25</v>
      </c>
      <c r="AB3045">
        <v>46</v>
      </c>
      <c r="AC3045">
        <v>1.4</v>
      </c>
      <c r="AD3045">
        <v>0</v>
      </c>
      <c r="AE3045">
        <v>0</v>
      </c>
      <c r="AF3045">
        <v>0</v>
      </c>
      <c r="AG3045">
        <v>271</v>
      </c>
      <c r="AH3045">
        <v>0</v>
      </c>
    </row>
    <row r="3046" spans="1:34" x14ac:dyDescent="0.35">
      <c r="A3046" t="s">
        <v>34</v>
      </c>
      <c r="B3046" s="1">
        <v>46146.65625</v>
      </c>
      <c r="C3046" t="s">
        <v>34</v>
      </c>
      <c r="D3046" s="1">
        <v>46157.625</v>
      </c>
      <c r="E3046">
        <v>6215</v>
      </c>
      <c r="F3046" t="s">
        <v>36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116</v>
      </c>
      <c r="M3046">
        <v>1.3</v>
      </c>
      <c r="N3046">
        <v>293</v>
      </c>
      <c r="O3046">
        <v>1.45</v>
      </c>
      <c r="P3046">
        <v>0</v>
      </c>
      <c r="Q3046">
        <v>0</v>
      </c>
      <c r="R3046">
        <v>0</v>
      </c>
      <c r="S3046">
        <v>0</v>
      </c>
      <c r="T3046">
        <v>0.36520000000000002</v>
      </c>
      <c r="U3046">
        <v>-9.1999999999999998E-3</v>
      </c>
      <c r="V3046">
        <v>1E-4</v>
      </c>
      <c r="W3046">
        <v>-0.4476</v>
      </c>
      <c r="X3046">
        <v>0.32429999999999998</v>
      </c>
      <c r="Y3046">
        <v>-1.9800000000000002E-2</v>
      </c>
      <c r="Z3046">
        <v>84</v>
      </c>
      <c r="AA3046">
        <v>1.25</v>
      </c>
      <c r="AB3046">
        <v>225</v>
      </c>
      <c r="AC3046">
        <v>1.45</v>
      </c>
      <c r="AD3046">
        <v>0</v>
      </c>
      <c r="AE3046">
        <v>0</v>
      </c>
      <c r="AF3046">
        <v>0</v>
      </c>
      <c r="AG3046">
        <v>19</v>
      </c>
      <c r="AH3046">
        <v>0</v>
      </c>
    </row>
    <row r="3047" spans="1:34" x14ac:dyDescent="0.35">
      <c r="A3047" t="s">
        <v>34</v>
      </c>
      <c r="B3047" s="1">
        <v>46146.65625</v>
      </c>
      <c r="C3047" t="s">
        <v>34</v>
      </c>
      <c r="D3047" s="1">
        <v>46157.625</v>
      </c>
      <c r="E3047">
        <v>6220</v>
      </c>
      <c r="F3047" t="s">
        <v>36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193</v>
      </c>
      <c r="M3047">
        <v>1.3</v>
      </c>
      <c r="N3047">
        <v>236</v>
      </c>
      <c r="O3047">
        <v>1.45</v>
      </c>
      <c r="P3047">
        <v>0</v>
      </c>
      <c r="Q3047">
        <v>0</v>
      </c>
      <c r="R3047">
        <v>0</v>
      </c>
      <c r="S3047">
        <v>0</v>
      </c>
      <c r="T3047">
        <v>0.36330000000000001</v>
      </c>
      <c r="U3047">
        <v>-9.2999999999999992E-3</v>
      </c>
      <c r="V3047">
        <v>1E-4</v>
      </c>
      <c r="W3047">
        <v>-0.44719999999999999</v>
      </c>
      <c r="X3047">
        <v>0.32569999999999999</v>
      </c>
      <c r="Y3047">
        <v>-1.9900000000000001E-2</v>
      </c>
      <c r="Z3047">
        <v>72</v>
      </c>
      <c r="AA3047">
        <v>1.3</v>
      </c>
      <c r="AB3047">
        <v>279</v>
      </c>
      <c r="AC3047">
        <v>1.45</v>
      </c>
      <c r="AD3047">
        <v>0</v>
      </c>
      <c r="AE3047">
        <v>0</v>
      </c>
      <c r="AF3047">
        <v>0</v>
      </c>
      <c r="AG3047">
        <v>159</v>
      </c>
      <c r="AH3047">
        <v>0</v>
      </c>
    </row>
    <row r="3048" spans="1:34" x14ac:dyDescent="0.35">
      <c r="A3048" t="s">
        <v>34</v>
      </c>
      <c r="B3048" s="1">
        <v>46146.65625</v>
      </c>
      <c r="C3048" t="s">
        <v>34</v>
      </c>
      <c r="D3048" s="1">
        <v>46157.625</v>
      </c>
      <c r="E3048">
        <v>6225</v>
      </c>
      <c r="F3048" t="s">
        <v>36</v>
      </c>
      <c r="G3048">
        <v>1.4</v>
      </c>
      <c r="H3048">
        <v>1.4</v>
      </c>
      <c r="I3048">
        <v>1.4</v>
      </c>
      <c r="J3048">
        <v>1.4</v>
      </c>
      <c r="K3048">
        <v>1</v>
      </c>
      <c r="L3048">
        <v>6</v>
      </c>
      <c r="M3048">
        <v>1.35</v>
      </c>
      <c r="N3048">
        <v>209</v>
      </c>
      <c r="O3048">
        <v>1.45</v>
      </c>
      <c r="P3048">
        <v>0</v>
      </c>
      <c r="Q3048">
        <v>0</v>
      </c>
      <c r="R3048">
        <v>0</v>
      </c>
      <c r="S3048">
        <v>0</v>
      </c>
      <c r="T3048">
        <v>0.3624</v>
      </c>
      <c r="U3048">
        <v>-9.4000000000000004E-3</v>
      </c>
      <c r="V3048">
        <v>1E-4</v>
      </c>
      <c r="W3048">
        <v>-0.45379999999999998</v>
      </c>
      <c r="X3048">
        <v>0.33090000000000003</v>
      </c>
      <c r="Y3048">
        <v>-2.0299999999999999E-2</v>
      </c>
      <c r="Z3048">
        <v>148</v>
      </c>
      <c r="AA3048">
        <v>1.3</v>
      </c>
      <c r="AB3048">
        <v>222</v>
      </c>
      <c r="AC3048">
        <v>1.45</v>
      </c>
      <c r="AD3048">
        <v>0</v>
      </c>
      <c r="AE3048">
        <v>0</v>
      </c>
      <c r="AF3048">
        <v>1.4</v>
      </c>
      <c r="AG3048">
        <v>114</v>
      </c>
      <c r="AH3048">
        <v>0</v>
      </c>
    </row>
    <row r="3049" spans="1:34" x14ac:dyDescent="0.35">
      <c r="A3049" t="s">
        <v>34</v>
      </c>
      <c r="B3049" s="1">
        <v>46146.65625</v>
      </c>
      <c r="C3049" t="s">
        <v>34</v>
      </c>
      <c r="D3049" s="1">
        <v>46157.625</v>
      </c>
      <c r="E3049">
        <v>6230</v>
      </c>
      <c r="F3049" t="s">
        <v>36</v>
      </c>
      <c r="G3049">
        <v>1.8</v>
      </c>
      <c r="H3049">
        <v>1.85</v>
      </c>
      <c r="I3049">
        <v>1.8</v>
      </c>
      <c r="J3049">
        <v>1.85</v>
      </c>
      <c r="K3049">
        <v>55</v>
      </c>
      <c r="L3049">
        <v>119</v>
      </c>
      <c r="M3049">
        <v>1.35</v>
      </c>
      <c r="N3049">
        <v>277</v>
      </c>
      <c r="O3049">
        <v>1.45</v>
      </c>
      <c r="P3049">
        <v>0</v>
      </c>
      <c r="Q3049">
        <v>0</v>
      </c>
      <c r="R3049">
        <v>0</v>
      </c>
      <c r="S3049">
        <v>0</v>
      </c>
      <c r="T3049">
        <v>0.36070000000000002</v>
      </c>
      <c r="U3049">
        <v>-9.4999999999999998E-3</v>
      </c>
      <c r="V3049">
        <v>1E-4</v>
      </c>
      <c r="W3049">
        <v>-0.45340000000000003</v>
      </c>
      <c r="X3049">
        <v>0.33229999999999998</v>
      </c>
      <c r="Y3049">
        <v>-2.0400000000000001E-2</v>
      </c>
      <c r="Z3049">
        <v>156</v>
      </c>
      <c r="AA3049">
        <v>1.3</v>
      </c>
      <c r="AB3049">
        <v>61</v>
      </c>
      <c r="AC3049">
        <v>1.45</v>
      </c>
      <c r="AD3049">
        <v>0</v>
      </c>
      <c r="AE3049">
        <v>0</v>
      </c>
      <c r="AF3049">
        <v>1.8445</v>
      </c>
      <c r="AG3049">
        <v>107</v>
      </c>
      <c r="AH3049">
        <v>0</v>
      </c>
    </row>
    <row r="3050" spans="1:34" x14ac:dyDescent="0.35">
      <c r="A3050" t="s">
        <v>34</v>
      </c>
      <c r="B3050" s="1">
        <v>46146.65625</v>
      </c>
      <c r="C3050" t="s">
        <v>34</v>
      </c>
      <c r="D3050" s="1">
        <v>46157.625</v>
      </c>
      <c r="E3050">
        <v>6235</v>
      </c>
      <c r="F3050" t="s">
        <v>36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146</v>
      </c>
      <c r="M3050">
        <v>1.35</v>
      </c>
      <c r="N3050">
        <v>265</v>
      </c>
      <c r="O3050">
        <v>1.5</v>
      </c>
      <c r="P3050">
        <v>0</v>
      </c>
      <c r="Q3050">
        <v>0</v>
      </c>
      <c r="R3050">
        <v>0</v>
      </c>
      <c r="S3050">
        <v>0</v>
      </c>
      <c r="T3050">
        <v>0.35980000000000001</v>
      </c>
      <c r="U3050">
        <v>-9.7000000000000003E-3</v>
      </c>
      <c r="V3050">
        <v>1E-4</v>
      </c>
      <c r="W3050">
        <v>-0.45989999999999998</v>
      </c>
      <c r="X3050">
        <v>0.33750000000000002</v>
      </c>
      <c r="Y3050">
        <v>-2.07E-2</v>
      </c>
      <c r="Z3050">
        <v>80</v>
      </c>
      <c r="AA3050">
        <v>1.3</v>
      </c>
      <c r="AB3050">
        <v>281</v>
      </c>
      <c r="AC3050">
        <v>1.5</v>
      </c>
      <c r="AD3050">
        <v>0</v>
      </c>
      <c r="AE3050">
        <v>0</v>
      </c>
      <c r="AF3050">
        <v>0</v>
      </c>
      <c r="AG3050">
        <v>52</v>
      </c>
      <c r="AH3050">
        <v>0</v>
      </c>
    </row>
    <row r="3051" spans="1:34" x14ac:dyDescent="0.35">
      <c r="A3051" t="s">
        <v>34</v>
      </c>
      <c r="B3051" s="1">
        <v>46146.65625</v>
      </c>
      <c r="C3051" t="s">
        <v>34</v>
      </c>
      <c r="D3051" s="1">
        <v>46157.625</v>
      </c>
      <c r="E3051">
        <v>6240</v>
      </c>
      <c r="F3051" t="s">
        <v>36</v>
      </c>
      <c r="G3051">
        <v>1.5</v>
      </c>
      <c r="H3051">
        <v>1.5</v>
      </c>
      <c r="I3051">
        <v>1.5</v>
      </c>
      <c r="J3051">
        <v>1.5</v>
      </c>
      <c r="K3051">
        <v>1</v>
      </c>
      <c r="L3051">
        <v>6</v>
      </c>
      <c r="M3051">
        <v>1.4</v>
      </c>
      <c r="N3051">
        <v>207</v>
      </c>
      <c r="O3051">
        <v>1.5</v>
      </c>
      <c r="P3051">
        <v>0</v>
      </c>
      <c r="Q3051">
        <v>0</v>
      </c>
      <c r="R3051">
        <v>0</v>
      </c>
      <c r="S3051">
        <v>0</v>
      </c>
      <c r="T3051">
        <v>0.35880000000000001</v>
      </c>
      <c r="U3051">
        <v>-9.7999999999999997E-3</v>
      </c>
      <c r="V3051">
        <v>1E-4</v>
      </c>
      <c r="W3051">
        <v>-0.46629999999999999</v>
      </c>
      <c r="X3051">
        <v>0.34289999999999998</v>
      </c>
      <c r="Y3051">
        <v>-2.1100000000000001E-2</v>
      </c>
      <c r="Z3051">
        <v>102</v>
      </c>
      <c r="AA3051">
        <v>1.35</v>
      </c>
      <c r="AB3051">
        <v>242</v>
      </c>
      <c r="AC3051">
        <v>1.5</v>
      </c>
      <c r="AD3051">
        <v>0</v>
      </c>
      <c r="AE3051">
        <v>0</v>
      </c>
      <c r="AF3051">
        <v>1.5</v>
      </c>
      <c r="AG3051">
        <v>147</v>
      </c>
      <c r="AH3051">
        <v>0</v>
      </c>
    </row>
    <row r="3052" spans="1:34" x14ac:dyDescent="0.35">
      <c r="A3052" t="s">
        <v>34</v>
      </c>
      <c r="B3052" s="1">
        <v>46146.65625</v>
      </c>
      <c r="C3052" t="s">
        <v>34</v>
      </c>
      <c r="D3052" s="1">
        <v>46157.625</v>
      </c>
      <c r="E3052">
        <v>6245</v>
      </c>
      <c r="F3052" t="s">
        <v>36</v>
      </c>
      <c r="G3052">
        <v>2.15</v>
      </c>
      <c r="H3052">
        <v>2.15</v>
      </c>
      <c r="I3052">
        <v>2.15</v>
      </c>
      <c r="J3052">
        <v>2.15</v>
      </c>
      <c r="K3052">
        <v>55</v>
      </c>
      <c r="L3052">
        <v>146</v>
      </c>
      <c r="M3052">
        <v>1.35</v>
      </c>
      <c r="N3052">
        <v>307</v>
      </c>
      <c r="O3052">
        <v>1.5</v>
      </c>
      <c r="P3052">
        <v>0</v>
      </c>
      <c r="Q3052">
        <v>0</v>
      </c>
      <c r="R3052">
        <v>0</v>
      </c>
      <c r="S3052">
        <v>0</v>
      </c>
      <c r="T3052">
        <v>0.35630000000000001</v>
      </c>
      <c r="U3052">
        <v>-9.7000000000000003E-3</v>
      </c>
      <c r="V3052">
        <v>1E-4</v>
      </c>
      <c r="W3052">
        <v>-0.4592</v>
      </c>
      <c r="X3052">
        <v>0.34039999999999998</v>
      </c>
      <c r="Y3052">
        <v>-2.0899999999999998E-2</v>
      </c>
      <c r="Z3052">
        <v>105</v>
      </c>
      <c r="AA3052">
        <v>1.35</v>
      </c>
      <c r="AB3052">
        <v>62</v>
      </c>
      <c r="AC3052">
        <v>1.5</v>
      </c>
      <c r="AD3052">
        <v>0</v>
      </c>
      <c r="AE3052">
        <v>0</v>
      </c>
      <c r="AF3052">
        <v>2.15</v>
      </c>
      <c r="AG3052">
        <v>45</v>
      </c>
      <c r="AH3052">
        <v>0</v>
      </c>
    </row>
    <row r="3053" spans="1:34" x14ac:dyDescent="0.35">
      <c r="A3053" t="s">
        <v>34</v>
      </c>
      <c r="B3053" s="1">
        <v>46146.65625</v>
      </c>
      <c r="C3053" t="s">
        <v>34</v>
      </c>
      <c r="D3053" s="1">
        <v>46157.625</v>
      </c>
      <c r="E3053">
        <v>6250</v>
      </c>
      <c r="F3053" t="s">
        <v>36</v>
      </c>
      <c r="G3053">
        <v>1.2</v>
      </c>
      <c r="H3053">
        <v>2.2200000000000002</v>
      </c>
      <c r="I3053">
        <v>1.2</v>
      </c>
      <c r="J3053">
        <v>1.41</v>
      </c>
      <c r="K3053">
        <v>162</v>
      </c>
      <c r="L3053">
        <v>149</v>
      </c>
      <c r="M3053">
        <v>1.4</v>
      </c>
      <c r="N3053">
        <v>42</v>
      </c>
      <c r="O3053">
        <v>1.5</v>
      </c>
      <c r="P3053">
        <v>0</v>
      </c>
      <c r="Q3053">
        <v>0</v>
      </c>
      <c r="R3053">
        <v>0</v>
      </c>
      <c r="S3053">
        <v>0</v>
      </c>
      <c r="T3053">
        <v>0.35520000000000002</v>
      </c>
      <c r="U3053">
        <v>-9.9000000000000008E-3</v>
      </c>
      <c r="V3053">
        <v>1E-4</v>
      </c>
      <c r="W3053">
        <v>-0.46550000000000002</v>
      </c>
      <c r="X3053">
        <v>0.3458</v>
      </c>
      <c r="Y3053">
        <v>-2.1299999999999999E-2</v>
      </c>
      <c r="Z3053">
        <v>60</v>
      </c>
      <c r="AA3053">
        <v>1.4</v>
      </c>
      <c r="AB3053">
        <v>319</v>
      </c>
      <c r="AC3053">
        <v>1.55</v>
      </c>
      <c r="AD3053">
        <v>0</v>
      </c>
      <c r="AE3053">
        <v>0</v>
      </c>
      <c r="AF3053">
        <v>1.6444000000000001</v>
      </c>
      <c r="AG3053">
        <v>996</v>
      </c>
      <c r="AH3053">
        <v>0</v>
      </c>
    </row>
    <row r="3054" spans="1:34" x14ac:dyDescent="0.35">
      <c r="A3054" t="s">
        <v>34</v>
      </c>
      <c r="B3054" s="1">
        <v>46146.65625</v>
      </c>
      <c r="C3054" t="s">
        <v>34</v>
      </c>
      <c r="D3054" s="1">
        <v>46157.625</v>
      </c>
      <c r="E3054">
        <v>6255</v>
      </c>
      <c r="F3054" t="s">
        <v>36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145</v>
      </c>
      <c r="M3054">
        <v>1.4</v>
      </c>
      <c r="N3054">
        <v>213</v>
      </c>
      <c r="O3054">
        <v>1.55</v>
      </c>
      <c r="P3054">
        <v>0</v>
      </c>
      <c r="Q3054">
        <v>0</v>
      </c>
      <c r="R3054">
        <v>0</v>
      </c>
      <c r="S3054">
        <v>0</v>
      </c>
      <c r="T3054">
        <v>0.35420000000000001</v>
      </c>
      <c r="U3054">
        <v>-1.01E-2</v>
      </c>
      <c r="V3054">
        <v>1E-4</v>
      </c>
      <c r="W3054">
        <v>-0.47189999999999999</v>
      </c>
      <c r="X3054">
        <v>0.35110000000000002</v>
      </c>
      <c r="Y3054">
        <v>-2.1700000000000001E-2</v>
      </c>
      <c r="Z3054">
        <v>81</v>
      </c>
      <c r="AA3054">
        <v>1.35</v>
      </c>
      <c r="AB3054">
        <v>200</v>
      </c>
      <c r="AC3054">
        <v>1.55</v>
      </c>
      <c r="AD3054">
        <v>0</v>
      </c>
      <c r="AE3054">
        <v>0</v>
      </c>
      <c r="AF3054">
        <v>0</v>
      </c>
      <c r="AG3054">
        <v>33</v>
      </c>
      <c r="AH3054">
        <v>0</v>
      </c>
    </row>
    <row r="3055" spans="1:34" x14ac:dyDescent="0.35">
      <c r="A3055" t="s">
        <v>34</v>
      </c>
      <c r="B3055" s="1">
        <v>46146.65625</v>
      </c>
      <c r="C3055" t="s">
        <v>34</v>
      </c>
      <c r="D3055" s="1">
        <v>46157.625</v>
      </c>
      <c r="E3055">
        <v>6260</v>
      </c>
      <c r="F3055" t="s">
        <v>36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6</v>
      </c>
      <c r="M3055">
        <v>1.45</v>
      </c>
      <c r="N3055">
        <v>204</v>
      </c>
      <c r="O3055">
        <v>1.55</v>
      </c>
      <c r="P3055">
        <v>0</v>
      </c>
      <c r="Q3055">
        <v>0</v>
      </c>
      <c r="R3055">
        <v>0</v>
      </c>
      <c r="S3055">
        <v>0</v>
      </c>
      <c r="T3055">
        <v>0.35320000000000001</v>
      </c>
      <c r="U3055">
        <v>-1.03E-2</v>
      </c>
      <c r="V3055">
        <v>1E-4</v>
      </c>
      <c r="W3055">
        <v>-0.4783</v>
      </c>
      <c r="X3055">
        <v>0.35639999999999999</v>
      </c>
      <c r="Y3055">
        <v>-2.2100000000000002E-2</v>
      </c>
      <c r="Z3055">
        <v>136</v>
      </c>
      <c r="AA3055">
        <v>1.4</v>
      </c>
      <c r="AB3055">
        <v>135</v>
      </c>
      <c r="AC3055">
        <v>1.55</v>
      </c>
      <c r="AD3055">
        <v>0</v>
      </c>
      <c r="AE3055">
        <v>0</v>
      </c>
      <c r="AF3055">
        <v>0</v>
      </c>
      <c r="AG3055">
        <v>146</v>
      </c>
      <c r="AH3055">
        <v>0</v>
      </c>
    </row>
    <row r="3056" spans="1:34" x14ac:dyDescent="0.35">
      <c r="A3056" t="s">
        <v>34</v>
      </c>
      <c r="B3056" s="1">
        <v>46146.65625</v>
      </c>
      <c r="C3056" t="s">
        <v>34</v>
      </c>
      <c r="D3056" s="1">
        <v>46157.625</v>
      </c>
      <c r="E3056">
        <v>6265</v>
      </c>
      <c r="F3056" t="s">
        <v>36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75</v>
      </c>
      <c r="M3056">
        <v>1.45</v>
      </c>
      <c r="N3056">
        <v>273</v>
      </c>
      <c r="O3056">
        <v>1.6</v>
      </c>
      <c r="P3056">
        <v>0</v>
      </c>
      <c r="Q3056">
        <v>0</v>
      </c>
      <c r="R3056">
        <v>0</v>
      </c>
      <c r="S3056">
        <v>0</v>
      </c>
      <c r="T3056">
        <v>0.35220000000000001</v>
      </c>
      <c r="U3056">
        <v>-1.0500000000000001E-2</v>
      </c>
      <c r="V3056">
        <v>1E-4</v>
      </c>
      <c r="W3056">
        <v>-0.48459999999999998</v>
      </c>
      <c r="X3056">
        <v>0.36170000000000002</v>
      </c>
      <c r="Y3056">
        <v>-2.2499999999999999E-2</v>
      </c>
      <c r="Z3056">
        <v>77</v>
      </c>
      <c r="AA3056">
        <v>1.4</v>
      </c>
      <c r="AB3056">
        <v>218</v>
      </c>
      <c r="AC3056">
        <v>1.6</v>
      </c>
      <c r="AD3056">
        <v>0</v>
      </c>
      <c r="AE3056">
        <v>0</v>
      </c>
      <c r="AF3056">
        <v>0</v>
      </c>
      <c r="AG3056">
        <v>57</v>
      </c>
      <c r="AH3056">
        <v>0</v>
      </c>
    </row>
    <row r="3057" spans="1:34" x14ac:dyDescent="0.35">
      <c r="A3057" t="s">
        <v>34</v>
      </c>
      <c r="B3057" s="1">
        <v>46146.65625</v>
      </c>
      <c r="C3057" t="s">
        <v>34</v>
      </c>
      <c r="D3057" s="1">
        <v>46157.625</v>
      </c>
      <c r="E3057">
        <v>6270</v>
      </c>
      <c r="F3057" t="s">
        <v>36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191</v>
      </c>
      <c r="M3057">
        <v>1.45</v>
      </c>
      <c r="N3057">
        <v>213</v>
      </c>
      <c r="O3057">
        <v>1.6</v>
      </c>
      <c r="P3057">
        <v>0</v>
      </c>
      <c r="Q3057">
        <v>0</v>
      </c>
      <c r="R3057">
        <v>0</v>
      </c>
      <c r="S3057">
        <v>0</v>
      </c>
      <c r="T3057">
        <v>0.35039999999999999</v>
      </c>
      <c r="U3057">
        <v>-1.0500000000000001E-2</v>
      </c>
      <c r="V3057">
        <v>1E-4</v>
      </c>
      <c r="W3057">
        <v>-0.48409999999999997</v>
      </c>
      <c r="X3057">
        <v>0.36330000000000001</v>
      </c>
      <c r="Y3057">
        <v>-2.2599999999999999E-2</v>
      </c>
      <c r="Z3057">
        <v>50</v>
      </c>
      <c r="AA3057">
        <v>1.45</v>
      </c>
      <c r="AB3057">
        <v>199</v>
      </c>
      <c r="AC3057">
        <v>1.6</v>
      </c>
      <c r="AD3057">
        <v>0</v>
      </c>
      <c r="AE3057">
        <v>0</v>
      </c>
      <c r="AF3057">
        <v>0</v>
      </c>
      <c r="AG3057">
        <v>100</v>
      </c>
      <c r="AH3057">
        <v>0</v>
      </c>
    </row>
    <row r="3058" spans="1:34" x14ac:dyDescent="0.35">
      <c r="A3058" t="s">
        <v>34</v>
      </c>
      <c r="B3058" s="1">
        <v>46146.65625</v>
      </c>
      <c r="C3058" t="s">
        <v>34</v>
      </c>
      <c r="D3058" s="1">
        <v>46157.625</v>
      </c>
      <c r="E3058">
        <v>6275</v>
      </c>
      <c r="F3058" t="s">
        <v>36</v>
      </c>
      <c r="G3058">
        <v>1.42</v>
      </c>
      <c r="H3058">
        <v>1.55</v>
      </c>
      <c r="I3058">
        <v>1.42</v>
      </c>
      <c r="J3058">
        <v>1.55</v>
      </c>
      <c r="K3058">
        <v>4</v>
      </c>
      <c r="L3058">
        <v>5</v>
      </c>
      <c r="M3058">
        <v>1.5</v>
      </c>
      <c r="N3058">
        <v>210</v>
      </c>
      <c r="O3058">
        <v>1.6</v>
      </c>
      <c r="P3058">
        <v>0</v>
      </c>
      <c r="Q3058">
        <v>0</v>
      </c>
      <c r="R3058">
        <v>0</v>
      </c>
      <c r="S3058">
        <v>0</v>
      </c>
      <c r="T3058">
        <v>0.34949999999999998</v>
      </c>
      <c r="U3058">
        <v>-1.0699999999999999E-2</v>
      </c>
      <c r="V3058">
        <v>1E-4</v>
      </c>
      <c r="W3058">
        <v>-0.49049999999999999</v>
      </c>
      <c r="X3058">
        <v>0.36859999999999998</v>
      </c>
      <c r="Y3058">
        <v>-2.3E-2</v>
      </c>
      <c r="Z3058">
        <v>132</v>
      </c>
      <c r="AA3058">
        <v>1.45</v>
      </c>
      <c r="AB3058">
        <v>134</v>
      </c>
      <c r="AC3058">
        <v>1.6</v>
      </c>
      <c r="AD3058">
        <v>0</v>
      </c>
      <c r="AE3058">
        <v>0</v>
      </c>
      <c r="AF3058">
        <v>1.5024999999999999</v>
      </c>
      <c r="AG3058">
        <v>292</v>
      </c>
      <c r="AH3058">
        <v>0</v>
      </c>
    </row>
    <row r="3059" spans="1:34" x14ac:dyDescent="0.35">
      <c r="A3059" t="s">
        <v>34</v>
      </c>
      <c r="B3059" s="1">
        <v>46146.65625</v>
      </c>
      <c r="C3059" t="s">
        <v>34</v>
      </c>
      <c r="D3059" s="1">
        <v>46157.625</v>
      </c>
      <c r="E3059">
        <v>6280</v>
      </c>
      <c r="F3059" t="s">
        <v>36</v>
      </c>
      <c r="G3059">
        <v>1.4</v>
      </c>
      <c r="H3059">
        <v>1.4</v>
      </c>
      <c r="I3059">
        <v>1.35</v>
      </c>
      <c r="J3059">
        <v>1.35</v>
      </c>
      <c r="K3059">
        <v>404</v>
      </c>
      <c r="L3059">
        <v>130</v>
      </c>
      <c r="M3059">
        <v>1.5</v>
      </c>
      <c r="N3059">
        <v>33</v>
      </c>
      <c r="O3059">
        <v>1.6</v>
      </c>
      <c r="P3059">
        <v>0</v>
      </c>
      <c r="Q3059">
        <v>0</v>
      </c>
      <c r="R3059">
        <v>0</v>
      </c>
      <c r="S3059">
        <v>0</v>
      </c>
      <c r="T3059">
        <v>0.3478</v>
      </c>
      <c r="U3059">
        <v>-1.0699999999999999E-2</v>
      </c>
      <c r="V3059">
        <v>1E-4</v>
      </c>
      <c r="W3059">
        <v>-0.49009999999999998</v>
      </c>
      <c r="X3059">
        <v>0.37009999999999998</v>
      </c>
      <c r="Y3059">
        <v>-2.3099999999999999E-2</v>
      </c>
      <c r="Z3059">
        <v>152</v>
      </c>
      <c r="AA3059">
        <v>1.45</v>
      </c>
      <c r="AB3059">
        <v>232</v>
      </c>
      <c r="AC3059">
        <v>1.65</v>
      </c>
      <c r="AD3059">
        <v>0</v>
      </c>
      <c r="AE3059">
        <v>0</v>
      </c>
      <c r="AF3059">
        <v>1.395</v>
      </c>
      <c r="AG3059">
        <v>472</v>
      </c>
      <c r="AH3059">
        <v>0</v>
      </c>
    </row>
    <row r="3060" spans="1:34" x14ac:dyDescent="0.35">
      <c r="A3060" t="s">
        <v>34</v>
      </c>
      <c r="B3060" s="1">
        <v>46146.65625</v>
      </c>
      <c r="C3060" t="s">
        <v>34</v>
      </c>
      <c r="D3060" s="1">
        <v>46157.625</v>
      </c>
      <c r="E3060">
        <v>6285</v>
      </c>
      <c r="F3060" t="s">
        <v>36</v>
      </c>
      <c r="G3060">
        <v>1.57</v>
      </c>
      <c r="H3060">
        <v>1.57</v>
      </c>
      <c r="I3060">
        <v>1.57</v>
      </c>
      <c r="J3060">
        <v>1.57</v>
      </c>
      <c r="K3060">
        <v>2</v>
      </c>
      <c r="L3060">
        <v>146</v>
      </c>
      <c r="M3060">
        <v>1.5</v>
      </c>
      <c r="N3060">
        <v>205</v>
      </c>
      <c r="O3060">
        <v>1.65</v>
      </c>
      <c r="P3060">
        <v>0</v>
      </c>
      <c r="Q3060">
        <v>0</v>
      </c>
      <c r="R3060">
        <v>0</v>
      </c>
      <c r="S3060">
        <v>0</v>
      </c>
      <c r="T3060">
        <v>0.34670000000000001</v>
      </c>
      <c r="U3060">
        <v>-1.09E-2</v>
      </c>
      <c r="V3060">
        <v>1E-4</v>
      </c>
      <c r="W3060">
        <v>-0.49630000000000002</v>
      </c>
      <c r="X3060">
        <v>0.37559999999999999</v>
      </c>
      <c r="Y3060">
        <v>-2.3400000000000001E-2</v>
      </c>
      <c r="Z3060">
        <v>80</v>
      </c>
      <c r="AA3060">
        <v>1.45</v>
      </c>
      <c r="AB3060">
        <v>197</v>
      </c>
      <c r="AC3060">
        <v>1.65</v>
      </c>
      <c r="AD3060">
        <v>0</v>
      </c>
      <c r="AE3060">
        <v>0</v>
      </c>
      <c r="AF3060">
        <v>1.57</v>
      </c>
      <c r="AG3060">
        <v>75</v>
      </c>
      <c r="AH3060">
        <v>0</v>
      </c>
    </row>
    <row r="3061" spans="1:34" x14ac:dyDescent="0.35">
      <c r="A3061" t="s">
        <v>34</v>
      </c>
      <c r="B3061" s="1">
        <v>46146.65625</v>
      </c>
      <c r="C3061" t="s">
        <v>34</v>
      </c>
      <c r="D3061" s="1">
        <v>46157.625</v>
      </c>
      <c r="E3061">
        <v>6290</v>
      </c>
      <c r="F3061" t="s">
        <v>36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5</v>
      </c>
      <c r="M3061">
        <v>1.55</v>
      </c>
      <c r="N3061">
        <v>267</v>
      </c>
      <c r="O3061">
        <v>1.65</v>
      </c>
      <c r="P3061">
        <v>0</v>
      </c>
      <c r="Q3061">
        <v>0</v>
      </c>
      <c r="R3061">
        <v>0</v>
      </c>
      <c r="S3061">
        <v>0</v>
      </c>
      <c r="T3061">
        <v>0.34549999999999997</v>
      </c>
      <c r="U3061">
        <v>-1.11E-2</v>
      </c>
      <c r="V3061">
        <v>1E-4</v>
      </c>
      <c r="W3061">
        <v>-0.50249999999999995</v>
      </c>
      <c r="X3061">
        <v>0.38119999999999998</v>
      </c>
      <c r="Y3061">
        <v>-2.3800000000000002E-2</v>
      </c>
      <c r="Z3061">
        <v>130</v>
      </c>
      <c r="AA3061">
        <v>1.5</v>
      </c>
      <c r="AB3061">
        <v>132</v>
      </c>
      <c r="AC3061">
        <v>1.65</v>
      </c>
      <c r="AD3061">
        <v>0</v>
      </c>
      <c r="AE3061">
        <v>0</v>
      </c>
      <c r="AF3061">
        <v>0</v>
      </c>
      <c r="AG3061">
        <v>86</v>
      </c>
      <c r="AH3061">
        <v>0</v>
      </c>
    </row>
    <row r="3062" spans="1:34" x14ac:dyDescent="0.35">
      <c r="A3062" t="s">
        <v>34</v>
      </c>
      <c r="B3062" s="1">
        <v>46146.65625</v>
      </c>
      <c r="C3062" t="s">
        <v>34</v>
      </c>
      <c r="D3062" s="1">
        <v>46157.625</v>
      </c>
      <c r="E3062">
        <v>6295</v>
      </c>
      <c r="F3062" t="s">
        <v>36</v>
      </c>
      <c r="G3062">
        <v>1.4</v>
      </c>
      <c r="H3062">
        <v>1.4</v>
      </c>
      <c r="I3062">
        <v>1.37</v>
      </c>
      <c r="J3062">
        <v>1.37</v>
      </c>
      <c r="K3062">
        <v>8</v>
      </c>
      <c r="L3062">
        <v>74</v>
      </c>
      <c r="M3062">
        <v>1.55</v>
      </c>
      <c r="N3062">
        <v>254</v>
      </c>
      <c r="O3062">
        <v>1.7</v>
      </c>
      <c r="P3062">
        <v>0</v>
      </c>
      <c r="Q3062">
        <v>0</v>
      </c>
      <c r="R3062">
        <v>0</v>
      </c>
      <c r="S3062">
        <v>0</v>
      </c>
      <c r="T3062">
        <v>0.34449999999999997</v>
      </c>
      <c r="U3062">
        <v>-1.1299999999999999E-2</v>
      </c>
      <c r="V3062">
        <v>1E-4</v>
      </c>
      <c r="W3062">
        <v>-0.50870000000000004</v>
      </c>
      <c r="X3062">
        <v>0.3866</v>
      </c>
      <c r="Y3062">
        <v>-2.4199999999999999E-2</v>
      </c>
      <c r="Z3062">
        <v>85</v>
      </c>
      <c r="AA3062">
        <v>1.5</v>
      </c>
      <c r="AB3062">
        <v>284</v>
      </c>
      <c r="AC3062">
        <v>1.7</v>
      </c>
      <c r="AD3062">
        <v>0</v>
      </c>
      <c r="AE3062">
        <v>0</v>
      </c>
      <c r="AF3062">
        <v>1.385</v>
      </c>
      <c r="AG3062">
        <v>154</v>
      </c>
      <c r="AH3062">
        <v>0</v>
      </c>
    </row>
    <row r="3063" spans="1:34" x14ac:dyDescent="0.35">
      <c r="A3063" t="s">
        <v>34</v>
      </c>
      <c r="B3063" s="1">
        <v>46146.65625</v>
      </c>
      <c r="C3063" t="s">
        <v>34</v>
      </c>
      <c r="D3063" s="1">
        <v>46157.625</v>
      </c>
      <c r="E3063">
        <v>6300</v>
      </c>
      <c r="F3063" t="s">
        <v>36</v>
      </c>
      <c r="G3063">
        <v>1.47</v>
      </c>
      <c r="H3063">
        <v>2.42</v>
      </c>
      <c r="I3063">
        <v>1.4</v>
      </c>
      <c r="J3063">
        <v>1.58</v>
      </c>
      <c r="K3063">
        <v>210</v>
      </c>
      <c r="L3063">
        <v>5</v>
      </c>
      <c r="M3063">
        <v>1.6</v>
      </c>
      <c r="N3063">
        <v>235</v>
      </c>
      <c r="O3063">
        <v>1.7</v>
      </c>
      <c r="P3063">
        <v>0</v>
      </c>
      <c r="Q3063">
        <v>0</v>
      </c>
      <c r="R3063">
        <v>0</v>
      </c>
      <c r="S3063">
        <v>0</v>
      </c>
      <c r="T3063">
        <v>0.34229999999999999</v>
      </c>
      <c r="U3063">
        <v>-1.14E-2</v>
      </c>
      <c r="V3063">
        <v>1E-4</v>
      </c>
      <c r="W3063">
        <v>-0.5081</v>
      </c>
      <c r="X3063">
        <v>0.38869999999999999</v>
      </c>
      <c r="Y3063">
        <v>-2.4400000000000002E-2</v>
      </c>
      <c r="Z3063">
        <v>96</v>
      </c>
      <c r="AA3063">
        <v>1.55</v>
      </c>
      <c r="AB3063">
        <v>240</v>
      </c>
      <c r="AC3063">
        <v>1.7</v>
      </c>
      <c r="AD3063">
        <v>0</v>
      </c>
      <c r="AE3063">
        <v>0</v>
      </c>
      <c r="AF3063">
        <v>1.7202999999999999</v>
      </c>
      <c r="AG3063">
        <v>1545</v>
      </c>
      <c r="AH3063">
        <v>0</v>
      </c>
    </row>
    <row r="3064" spans="1:34" x14ac:dyDescent="0.35">
      <c r="A3064" t="s">
        <v>34</v>
      </c>
      <c r="B3064" s="1">
        <v>46146.65625</v>
      </c>
      <c r="C3064" t="s">
        <v>34</v>
      </c>
      <c r="D3064" s="1">
        <v>46157.625</v>
      </c>
      <c r="E3064">
        <v>6305</v>
      </c>
      <c r="F3064" t="s">
        <v>36</v>
      </c>
      <c r="G3064">
        <v>1.65</v>
      </c>
      <c r="H3064">
        <v>1.65</v>
      </c>
      <c r="I3064">
        <v>1.62</v>
      </c>
      <c r="J3064">
        <v>1.62</v>
      </c>
      <c r="K3064">
        <v>57</v>
      </c>
      <c r="L3064">
        <v>5</v>
      </c>
      <c r="M3064">
        <v>1.6</v>
      </c>
      <c r="N3064">
        <v>96</v>
      </c>
      <c r="O3064">
        <v>1.7</v>
      </c>
      <c r="P3064">
        <v>0</v>
      </c>
      <c r="Q3064">
        <v>0</v>
      </c>
      <c r="R3064">
        <v>0</v>
      </c>
      <c r="S3064">
        <v>0</v>
      </c>
      <c r="T3064">
        <v>0.34160000000000001</v>
      </c>
      <c r="U3064">
        <v>-1.15E-2</v>
      </c>
      <c r="V3064">
        <v>1E-4</v>
      </c>
      <c r="W3064">
        <v>-0.51429999999999998</v>
      </c>
      <c r="X3064">
        <v>0.39389999999999997</v>
      </c>
      <c r="Y3064">
        <v>-2.4799999999999999E-2</v>
      </c>
      <c r="Z3064">
        <v>95</v>
      </c>
      <c r="AA3064">
        <v>1.55</v>
      </c>
      <c r="AB3064">
        <v>60</v>
      </c>
      <c r="AC3064">
        <v>1.7</v>
      </c>
      <c r="AD3064">
        <v>0</v>
      </c>
      <c r="AE3064">
        <v>0</v>
      </c>
      <c r="AF3064">
        <v>1.6489</v>
      </c>
      <c r="AG3064">
        <v>53</v>
      </c>
      <c r="AH3064">
        <v>0</v>
      </c>
    </row>
    <row r="3065" spans="1:34" x14ac:dyDescent="0.35">
      <c r="A3065" t="s">
        <v>34</v>
      </c>
      <c r="B3065" s="1">
        <v>46146.65625</v>
      </c>
      <c r="C3065" t="s">
        <v>34</v>
      </c>
      <c r="D3065" s="1">
        <v>46157.625</v>
      </c>
      <c r="E3065">
        <v>6310</v>
      </c>
      <c r="F3065" t="s">
        <v>36</v>
      </c>
      <c r="G3065">
        <v>1.35</v>
      </c>
      <c r="H3065">
        <v>1.35</v>
      </c>
      <c r="I3065">
        <v>1.35</v>
      </c>
      <c r="J3065">
        <v>1.35</v>
      </c>
      <c r="K3065">
        <v>1</v>
      </c>
      <c r="L3065">
        <v>186</v>
      </c>
      <c r="M3065">
        <v>1.6</v>
      </c>
      <c r="N3065">
        <v>220</v>
      </c>
      <c r="O3065">
        <v>1.75</v>
      </c>
      <c r="P3065">
        <v>0</v>
      </c>
      <c r="Q3065">
        <v>0</v>
      </c>
      <c r="R3065">
        <v>0</v>
      </c>
      <c r="S3065">
        <v>0</v>
      </c>
      <c r="T3065">
        <v>0.34060000000000001</v>
      </c>
      <c r="U3065">
        <v>-1.17E-2</v>
      </c>
      <c r="V3065">
        <v>1E-4</v>
      </c>
      <c r="W3065">
        <v>-0.52039999999999997</v>
      </c>
      <c r="X3065">
        <v>0.39939999999999998</v>
      </c>
      <c r="Y3065">
        <v>-2.52E-2</v>
      </c>
      <c r="Z3065">
        <v>135</v>
      </c>
      <c r="AA3065">
        <v>1.55</v>
      </c>
      <c r="AB3065">
        <v>270</v>
      </c>
      <c r="AC3065">
        <v>1.75</v>
      </c>
      <c r="AD3065">
        <v>0</v>
      </c>
      <c r="AE3065">
        <v>0</v>
      </c>
      <c r="AF3065">
        <v>1.35</v>
      </c>
      <c r="AG3065">
        <v>107</v>
      </c>
      <c r="AH3065">
        <v>0</v>
      </c>
    </row>
    <row r="3066" spans="1:34" x14ac:dyDescent="0.35">
      <c r="A3066" t="s">
        <v>34</v>
      </c>
      <c r="B3066" s="1">
        <v>46146.65625</v>
      </c>
      <c r="C3066" t="s">
        <v>34</v>
      </c>
      <c r="D3066" s="1">
        <v>46157.625</v>
      </c>
      <c r="E3066">
        <v>6315</v>
      </c>
      <c r="F3066" t="s">
        <v>36</v>
      </c>
      <c r="G3066">
        <v>1.35</v>
      </c>
      <c r="H3066">
        <v>1.35</v>
      </c>
      <c r="I3066">
        <v>1.35</v>
      </c>
      <c r="J3066">
        <v>1.35</v>
      </c>
      <c r="K3066">
        <v>1</v>
      </c>
      <c r="L3066">
        <v>5</v>
      </c>
      <c r="M3066">
        <v>1.65</v>
      </c>
      <c r="N3066">
        <v>226</v>
      </c>
      <c r="O3066">
        <v>1.75</v>
      </c>
      <c r="P3066">
        <v>0</v>
      </c>
      <c r="Q3066">
        <v>0</v>
      </c>
      <c r="R3066">
        <v>0</v>
      </c>
      <c r="S3066">
        <v>0</v>
      </c>
      <c r="T3066">
        <v>0.33939999999999998</v>
      </c>
      <c r="U3066">
        <v>-1.1900000000000001E-2</v>
      </c>
      <c r="V3066">
        <v>1E-4</v>
      </c>
      <c r="W3066">
        <v>-0.52639999999999998</v>
      </c>
      <c r="X3066">
        <v>0.4052</v>
      </c>
      <c r="Y3066">
        <v>-2.5600000000000001E-2</v>
      </c>
      <c r="Z3066">
        <v>25</v>
      </c>
      <c r="AA3066">
        <v>1.6</v>
      </c>
      <c r="AB3066">
        <v>177</v>
      </c>
      <c r="AC3066">
        <v>1.75</v>
      </c>
      <c r="AD3066">
        <v>0</v>
      </c>
      <c r="AE3066">
        <v>0</v>
      </c>
      <c r="AF3066">
        <v>1.35</v>
      </c>
      <c r="AG3066">
        <v>91</v>
      </c>
      <c r="AH3066">
        <v>0</v>
      </c>
    </row>
    <row r="3067" spans="1:34" x14ac:dyDescent="0.35">
      <c r="A3067" t="s">
        <v>34</v>
      </c>
      <c r="B3067" s="1">
        <v>46146.65625</v>
      </c>
      <c r="C3067" t="s">
        <v>34</v>
      </c>
      <c r="D3067" s="1">
        <v>46157.625</v>
      </c>
      <c r="E3067">
        <v>6320</v>
      </c>
      <c r="F3067" t="s">
        <v>36</v>
      </c>
      <c r="G3067">
        <v>1.35</v>
      </c>
      <c r="H3067">
        <v>1.93</v>
      </c>
      <c r="I3067">
        <v>1.35</v>
      </c>
      <c r="J3067">
        <v>1.93</v>
      </c>
      <c r="K3067">
        <v>3</v>
      </c>
      <c r="L3067">
        <v>82</v>
      </c>
      <c r="M3067">
        <v>1.65</v>
      </c>
      <c r="N3067">
        <v>52</v>
      </c>
      <c r="O3067">
        <v>1.75</v>
      </c>
      <c r="P3067">
        <v>0</v>
      </c>
      <c r="Q3067">
        <v>0</v>
      </c>
      <c r="R3067">
        <v>0</v>
      </c>
      <c r="S3067">
        <v>0</v>
      </c>
      <c r="T3067">
        <v>0.33750000000000002</v>
      </c>
      <c r="U3067">
        <v>-1.2E-2</v>
      </c>
      <c r="V3067">
        <v>1E-4</v>
      </c>
      <c r="W3067">
        <v>-0.52590000000000003</v>
      </c>
      <c r="X3067">
        <v>0.40699999999999997</v>
      </c>
      <c r="Y3067">
        <v>-2.5700000000000001E-2</v>
      </c>
      <c r="Z3067">
        <v>136</v>
      </c>
      <c r="AA3067">
        <v>1.6</v>
      </c>
      <c r="AB3067">
        <v>45</v>
      </c>
      <c r="AC3067">
        <v>1.75</v>
      </c>
      <c r="AD3067">
        <v>0</v>
      </c>
      <c r="AE3067">
        <v>0</v>
      </c>
      <c r="AF3067">
        <v>1.7366999999999999</v>
      </c>
      <c r="AG3067">
        <v>353</v>
      </c>
      <c r="AH3067">
        <v>0</v>
      </c>
    </row>
    <row r="3068" spans="1:34" x14ac:dyDescent="0.35">
      <c r="A3068" t="s">
        <v>34</v>
      </c>
      <c r="B3068" s="1">
        <v>46146.65625</v>
      </c>
      <c r="C3068" t="s">
        <v>34</v>
      </c>
      <c r="D3068" s="1">
        <v>46157.625</v>
      </c>
      <c r="E3068">
        <v>6325</v>
      </c>
      <c r="F3068" t="s">
        <v>36</v>
      </c>
      <c r="G3068">
        <v>1.4</v>
      </c>
      <c r="H3068">
        <v>2.1</v>
      </c>
      <c r="I3068">
        <v>1.4</v>
      </c>
      <c r="J3068">
        <v>2.1</v>
      </c>
      <c r="K3068">
        <v>9</v>
      </c>
      <c r="L3068">
        <v>193</v>
      </c>
      <c r="M3068">
        <v>1.65</v>
      </c>
      <c r="N3068">
        <v>202</v>
      </c>
      <c r="O3068">
        <v>1.8</v>
      </c>
      <c r="P3068">
        <v>0</v>
      </c>
      <c r="Q3068">
        <v>0</v>
      </c>
      <c r="R3068">
        <v>0</v>
      </c>
      <c r="S3068">
        <v>0</v>
      </c>
      <c r="T3068">
        <v>0.33650000000000002</v>
      </c>
      <c r="U3068">
        <v>-1.2200000000000001E-2</v>
      </c>
      <c r="V3068">
        <v>1E-4</v>
      </c>
      <c r="W3068">
        <v>-0.53200000000000003</v>
      </c>
      <c r="X3068">
        <v>0.41260000000000002</v>
      </c>
      <c r="Y3068">
        <v>-2.6100000000000002E-2</v>
      </c>
      <c r="Z3068">
        <v>48</v>
      </c>
      <c r="AA3068">
        <v>1.65</v>
      </c>
      <c r="AB3068">
        <v>220</v>
      </c>
      <c r="AC3068">
        <v>1.8</v>
      </c>
      <c r="AD3068">
        <v>0</v>
      </c>
      <c r="AE3068">
        <v>0</v>
      </c>
      <c r="AF3068">
        <v>1.54</v>
      </c>
      <c r="AG3068">
        <v>205</v>
      </c>
      <c r="AH3068">
        <v>0</v>
      </c>
    </row>
    <row r="3069" spans="1:34" x14ac:dyDescent="0.35">
      <c r="A3069" t="s">
        <v>34</v>
      </c>
      <c r="B3069" s="1">
        <v>46146.65625</v>
      </c>
      <c r="C3069" t="s">
        <v>34</v>
      </c>
      <c r="D3069" s="1">
        <v>46157.625</v>
      </c>
      <c r="E3069">
        <v>6330</v>
      </c>
      <c r="F3069" t="s">
        <v>36</v>
      </c>
      <c r="G3069">
        <v>1.4</v>
      </c>
      <c r="H3069">
        <v>1.4</v>
      </c>
      <c r="I3069">
        <v>1.4</v>
      </c>
      <c r="J3069">
        <v>1.4</v>
      </c>
      <c r="K3069">
        <v>1</v>
      </c>
      <c r="L3069">
        <v>5</v>
      </c>
      <c r="M3069">
        <v>1.7</v>
      </c>
      <c r="N3069">
        <v>96</v>
      </c>
      <c r="O3069">
        <v>1.8</v>
      </c>
      <c r="P3069">
        <v>0</v>
      </c>
      <c r="Q3069">
        <v>0</v>
      </c>
      <c r="R3069">
        <v>0</v>
      </c>
      <c r="S3069">
        <v>0</v>
      </c>
      <c r="T3069">
        <v>0.33539999999999998</v>
      </c>
      <c r="U3069">
        <v>-1.24E-2</v>
      </c>
      <c r="V3069">
        <v>1E-4</v>
      </c>
      <c r="W3069">
        <v>-0.53790000000000004</v>
      </c>
      <c r="X3069">
        <v>0.41830000000000001</v>
      </c>
      <c r="Y3069">
        <v>-2.6499999999999999E-2</v>
      </c>
      <c r="Z3069">
        <v>125</v>
      </c>
      <c r="AA3069">
        <v>1.65</v>
      </c>
      <c r="AB3069">
        <v>45</v>
      </c>
      <c r="AC3069">
        <v>1.8</v>
      </c>
      <c r="AD3069">
        <v>0</v>
      </c>
      <c r="AE3069">
        <v>0</v>
      </c>
      <c r="AF3069">
        <v>1.4</v>
      </c>
      <c r="AG3069">
        <v>91</v>
      </c>
      <c r="AH3069">
        <v>0</v>
      </c>
    </row>
    <row r="3070" spans="1:34" x14ac:dyDescent="0.35">
      <c r="A3070" t="s">
        <v>34</v>
      </c>
      <c r="B3070" s="1">
        <v>46146.65625</v>
      </c>
      <c r="C3070" t="s">
        <v>34</v>
      </c>
      <c r="D3070" s="1">
        <v>46157.625</v>
      </c>
      <c r="E3070">
        <v>6335</v>
      </c>
      <c r="F3070" t="s">
        <v>36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72</v>
      </c>
      <c r="M3070">
        <v>1.7</v>
      </c>
      <c r="N3070">
        <v>222</v>
      </c>
      <c r="O3070">
        <v>1.85</v>
      </c>
      <c r="P3070">
        <v>0</v>
      </c>
      <c r="Q3070">
        <v>0</v>
      </c>
      <c r="R3070">
        <v>0</v>
      </c>
      <c r="S3070">
        <v>0</v>
      </c>
      <c r="T3070">
        <v>0.33429999999999999</v>
      </c>
      <c r="U3070">
        <v>-1.26E-2</v>
      </c>
      <c r="V3070">
        <v>1E-4</v>
      </c>
      <c r="W3070">
        <v>-0.54379999999999995</v>
      </c>
      <c r="X3070">
        <v>0.42409999999999998</v>
      </c>
      <c r="Y3070">
        <v>-2.69E-2</v>
      </c>
      <c r="Z3070">
        <v>84</v>
      </c>
      <c r="AA3070">
        <v>1.65</v>
      </c>
      <c r="AB3070">
        <v>266</v>
      </c>
      <c r="AC3070">
        <v>1.85</v>
      </c>
      <c r="AD3070">
        <v>0</v>
      </c>
      <c r="AE3070">
        <v>0</v>
      </c>
      <c r="AF3070">
        <v>0</v>
      </c>
      <c r="AG3070">
        <v>39</v>
      </c>
      <c r="AH3070">
        <v>0</v>
      </c>
    </row>
    <row r="3071" spans="1:34" x14ac:dyDescent="0.35">
      <c r="A3071" t="s">
        <v>34</v>
      </c>
      <c r="B3071" s="1">
        <v>46146.65625</v>
      </c>
      <c r="C3071" t="s">
        <v>34</v>
      </c>
      <c r="D3071" s="1">
        <v>46157.625</v>
      </c>
      <c r="E3071">
        <v>6340</v>
      </c>
      <c r="F3071" t="s">
        <v>36</v>
      </c>
      <c r="G3071">
        <v>1.9</v>
      </c>
      <c r="H3071">
        <v>1.9</v>
      </c>
      <c r="I3071">
        <v>1.9</v>
      </c>
      <c r="J3071">
        <v>1.9</v>
      </c>
      <c r="K3071">
        <v>2</v>
      </c>
      <c r="L3071">
        <v>5</v>
      </c>
      <c r="M3071">
        <v>1.75</v>
      </c>
      <c r="N3071">
        <v>287</v>
      </c>
      <c r="O3071">
        <v>1.85</v>
      </c>
      <c r="P3071">
        <v>0</v>
      </c>
      <c r="Q3071">
        <v>0</v>
      </c>
      <c r="R3071">
        <v>0</v>
      </c>
      <c r="S3071">
        <v>0</v>
      </c>
      <c r="T3071">
        <v>0.33229999999999998</v>
      </c>
      <c r="U3071">
        <v>-1.26E-2</v>
      </c>
      <c r="V3071">
        <v>1E-4</v>
      </c>
      <c r="W3071">
        <v>-0.54320000000000002</v>
      </c>
      <c r="X3071">
        <v>0.42620000000000002</v>
      </c>
      <c r="Y3071">
        <v>-2.7099999999999999E-2</v>
      </c>
      <c r="Z3071">
        <v>76</v>
      </c>
      <c r="AA3071">
        <v>1.7</v>
      </c>
      <c r="AB3071">
        <v>171</v>
      </c>
      <c r="AC3071">
        <v>1.85</v>
      </c>
      <c r="AD3071">
        <v>0</v>
      </c>
      <c r="AE3071">
        <v>0</v>
      </c>
      <c r="AF3071">
        <v>1.9</v>
      </c>
      <c r="AG3071">
        <v>133</v>
      </c>
      <c r="AH3071">
        <v>0</v>
      </c>
    </row>
    <row r="3072" spans="1:34" x14ac:dyDescent="0.35">
      <c r="A3072" t="s">
        <v>34</v>
      </c>
      <c r="B3072" s="1">
        <v>46146.65625</v>
      </c>
      <c r="C3072" t="s">
        <v>34</v>
      </c>
      <c r="D3072" s="1">
        <v>46157.625</v>
      </c>
      <c r="E3072">
        <v>6345</v>
      </c>
      <c r="F3072" t="s">
        <v>36</v>
      </c>
      <c r="G3072">
        <v>1.9</v>
      </c>
      <c r="H3072">
        <v>1.9</v>
      </c>
      <c r="I3072">
        <v>1.9</v>
      </c>
      <c r="J3072">
        <v>1.9</v>
      </c>
      <c r="K3072">
        <v>1</v>
      </c>
      <c r="L3072">
        <v>53</v>
      </c>
      <c r="M3072">
        <v>1.75</v>
      </c>
      <c r="N3072">
        <v>236</v>
      </c>
      <c r="O3072">
        <v>1.9</v>
      </c>
      <c r="P3072">
        <v>0</v>
      </c>
      <c r="Q3072">
        <v>0</v>
      </c>
      <c r="R3072">
        <v>0</v>
      </c>
      <c r="S3072">
        <v>0</v>
      </c>
      <c r="T3072">
        <v>0.33119999999999999</v>
      </c>
      <c r="U3072">
        <v>-1.2800000000000001E-2</v>
      </c>
      <c r="V3072">
        <v>1E-4</v>
      </c>
      <c r="W3072">
        <v>-0.54920000000000002</v>
      </c>
      <c r="X3072">
        <v>0.432</v>
      </c>
      <c r="Y3072">
        <v>-2.75E-2</v>
      </c>
      <c r="Z3072">
        <v>82</v>
      </c>
      <c r="AA3072">
        <v>1.7</v>
      </c>
      <c r="AB3072">
        <v>44</v>
      </c>
      <c r="AC3072">
        <v>1.85</v>
      </c>
      <c r="AD3072">
        <v>0</v>
      </c>
      <c r="AE3072">
        <v>0</v>
      </c>
      <c r="AF3072">
        <v>1.9</v>
      </c>
      <c r="AG3072">
        <v>93</v>
      </c>
      <c r="AH3072">
        <v>0</v>
      </c>
    </row>
    <row r="3073" spans="1:34" x14ac:dyDescent="0.35">
      <c r="A3073" t="s">
        <v>34</v>
      </c>
      <c r="B3073" s="1">
        <v>46146.65625</v>
      </c>
      <c r="C3073" t="s">
        <v>34</v>
      </c>
      <c r="D3073" s="1">
        <v>46157.625</v>
      </c>
      <c r="E3073">
        <v>6350</v>
      </c>
      <c r="F3073" t="s">
        <v>36</v>
      </c>
      <c r="G3073">
        <v>1.58</v>
      </c>
      <c r="H3073">
        <v>2.65</v>
      </c>
      <c r="I3073">
        <v>1.58</v>
      </c>
      <c r="J3073">
        <v>1.95</v>
      </c>
      <c r="K3073">
        <v>12</v>
      </c>
      <c r="L3073">
        <v>194</v>
      </c>
      <c r="M3073">
        <v>1.75</v>
      </c>
      <c r="N3073">
        <v>235</v>
      </c>
      <c r="O3073">
        <v>1.9</v>
      </c>
      <c r="P3073">
        <v>0</v>
      </c>
      <c r="Q3073">
        <v>0</v>
      </c>
      <c r="R3073">
        <v>0</v>
      </c>
      <c r="S3073">
        <v>0</v>
      </c>
      <c r="T3073">
        <v>0.32969999999999999</v>
      </c>
      <c r="U3073">
        <v>-1.2999999999999999E-2</v>
      </c>
      <c r="V3073">
        <v>1E-4</v>
      </c>
      <c r="W3073">
        <v>-0.55489999999999995</v>
      </c>
      <c r="X3073">
        <v>0.43819999999999998</v>
      </c>
      <c r="Y3073">
        <v>-2.7900000000000001E-2</v>
      </c>
      <c r="Z3073">
        <v>47</v>
      </c>
      <c r="AA3073">
        <v>1.75</v>
      </c>
      <c r="AB3073">
        <v>217</v>
      </c>
      <c r="AC3073">
        <v>1.9</v>
      </c>
      <c r="AD3073">
        <v>0</v>
      </c>
      <c r="AE3073">
        <v>0</v>
      </c>
      <c r="AF3073">
        <v>1.7</v>
      </c>
      <c r="AG3073">
        <v>666</v>
      </c>
      <c r="AH3073">
        <v>0</v>
      </c>
    </row>
    <row r="3074" spans="1:34" x14ac:dyDescent="0.35">
      <c r="A3074" t="s">
        <v>34</v>
      </c>
      <c r="B3074" s="1">
        <v>46146.65625</v>
      </c>
      <c r="C3074" t="s">
        <v>34</v>
      </c>
      <c r="D3074" s="1">
        <v>46157.625</v>
      </c>
      <c r="E3074">
        <v>6355</v>
      </c>
      <c r="F3074" t="s">
        <v>36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5</v>
      </c>
      <c r="M3074">
        <v>1.8</v>
      </c>
      <c r="N3074">
        <v>64</v>
      </c>
      <c r="O3074">
        <v>1.9</v>
      </c>
      <c r="P3074">
        <v>0</v>
      </c>
      <c r="Q3074">
        <v>0</v>
      </c>
      <c r="R3074">
        <v>0</v>
      </c>
      <c r="S3074">
        <v>0</v>
      </c>
      <c r="T3074">
        <v>0.32890000000000003</v>
      </c>
      <c r="U3074">
        <v>-1.32E-2</v>
      </c>
      <c r="V3074">
        <v>1E-4</v>
      </c>
      <c r="W3074">
        <v>-0.56079999999999997</v>
      </c>
      <c r="X3074">
        <v>0.44369999999999998</v>
      </c>
      <c r="Y3074">
        <v>-2.8400000000000002E-2</v>
      </c>
      <c r="Z3074">
        <v>78</v>
      </c>
      <c r="AA3074">
        <v>1.75</v>
      </c>
      <c r="AB3074">
        <v>44</v>
      </c>
      <c r="AC3074">
        <v>1.9</v>
      </c>
      <c r="AD3074">
        <v>0</v>
      </c>
      <c r="AE3074">
        <v>0</v>
      </c>
      <c r="AF3074">
        <v>0</v>
      </c>
      <c r="AG3074">
        <v>71</v>
      </c>
      <c r="AH3074">
        <v>0</v>
      </c>
    </row>
    <row r="3075" spans="1:34" x14ac:dyDescent="0.35">
      <c r="A3075" t="s">
        <v>34</v>
      </c>
      <c r="B3075" s="1">
        <v>46146.65625</v>
      </c>
      <c r="C3075" t="s">
        <v>34</v>
      </c>
      <c r="D3075" s="1">
        <v>46157.625</v>
      </c>
      <c r="E3075">
        <v>6360</v>
      </c>
      <c r="F3075" t="s">
        <v>36</v>
      </c>
      <c r="G3075">
        <v>2.5</v>
      </c>
      <c r="H3075">
        <v>2.5</v>
      </c>
      <c r="I3075">
        <v>2.5</v>
      </c>
      <c r="J3075">
        <v>2.5</v>
      </c>
      <c r="K3075">
        <v>21</v>
      </c>
      <c r="L3075">
        <v>214</v>
      </c>
      <c r="M3075">
        <v>1.8</v>
      </c>
      <c r="N3075">
        <v>267</v>
      </c>
      <c r="O3075">
        <v>1.95</v>
      </c>
      <c r="P3075">
        <v>0</v>
      </c>
      <c r="Q3075">
        <v>0</v>
      </c>
      <c r="R3075">
        <v>0</v>
      </c>
      <c r="S3075">
        <v>0</v>
      </c>
      <c r="T3075">
        <v>0.32769999999999999</v>
      </c>
      <c r="U3075">
        <v>-1.34E-2</v>
      </c>
      <c r="V3075">
        <v>1E-4</v>
      </c>
      <c r="W3075">
        <v>-0.56659999999999999</v>
      </c>
      <c r="X3075">
        <v>0.4496</v>
      </c>
      <c r="Y3075">
        <v>-2.8799999999999999E-2</v>
      </c>
      <c r="Z3075">
        <v>150</v>
      </c>
      <c r="AA3075">
        <v>1.75</v>
      </c>
      <c r="AB3075">
        <v>236</v>
      </c>
      <c r="AC3075">
        <v>1.95</v>
      </c>
      <c r="AD3075">
        <v>0</v>
      </c>
      <c r="AE3075">
        <v>0</v>
      </c>
      <c r="AF3075">
        <v>2.5</v>
      </c>
      <c r="AG3075">
        <v>158</v>
      </c>
      <c r="AH3075">
        <v>0</v>
      </c>
    </row>
    <row r="3076" spans="1:34" x14ac:dyDescent="0.35">
      <c r="A3076" t="s">
        <v>34</v>
      </c>
      <c r="B3076" s="1">
        <v>46146.65625</v>
      </c>
      <c r="C3076" t="s">
        <v>34</v>
      </c>
      <c r="D3076" s="1">
        <v>46157.625</v>
      </c>
      <c r="E3076">
        <v>6365</v>
      </c>
      <c r="F3076" t="s">
        <v>36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5</v>
      </c>
      <c r="M3076">
        <v>1.85</v>
      </c>
      <c r="N3076">
        <v>94</v>
      </c>
      <c r="O3076">
        <v>1.95</v>
      </c>
      <c r="P3076">
        <v>0</v>
      </c>
      <c r="Q3076">
        <v>0</v>
      </c>
      <c r="R3076">
        <v>0</v>
      </c>
      <c r="S3076">
        <v>0</v>
      </c>
      <c r="T3076">
        <v>0.32650000000000001</v>
      </c>
      <c r="U3076">
        <v>-1.3599999999999999E-2</v>
      </c>
      <c r="V3076">
        <v>1E-4</v>
      </c>
      <c r="W3076">
        <v>-0.57230000000000003</v>
      </c>
      <c r="X3076">
        <v>0.4556</v>
      </c>
      <c r="Y3076">
        <v>-2.92E-2</v>
      </c>
      <c r="Z3076">
        <v>47</v>
      </c>
      <c r="AA3076">
        <v>1.8</v>
      </c>
      <c r="AB3076">
        <v>44</v>
      </c>
      <c r="AC3076">
        <v>1.95</v>
      </c>
      <c r="AD3076">
        <v>0</v>
      </c>
      <c r="AE3076">
        <v>0</v>
      </c>
      <c r="AF3076">
        <v>0</v>
      </c>
      <c r="AG3076">
        <v>38</v>
      </c>
      <c r="AH3076">
        <v>0</v>
      </c>
    </row>
    <row r="3077" spans="1:34" x14ac:dyDescent="0.35">
      <c r="A3077" t="s">
        <v>34</v>
      </c>
      <c r="B3077" s="1">
        <v>46146.65625</v>
      </c>
      <c r="C3077" t="s">
        <v>34</v>
      </c>
      <c r="D3077" s="1">
        <v>46157.625</v>
      </c>
      <c r="E3077">
        <v>6370</v>
      </c>
      <c r="F3077" t="s">
        <v>36</v>
      </c>
      <c r="G3077">
        <v>1.79</v>
      </c>
      <c r="H3077">
        <v>2.16</v>
      </c>
      <c r="I3077">
        <v>1.79</v>
      </c>
      <c r="J3077">
        <v>2.16</v>
      </c>
      <c r="K3077">
        <v>4</v>
      </c>
      <c r="L3077">
        <v>182</v>
      </c>
      <c r="M3077">
        <v>1.85</v>
      </c>
      <c r="N3077">
        <v>193</v>
      </c>
      <c r="O3077">
        <v>2</v>
      </c>
      <c r="P3077">
        <v>0</v>
      </c>
      <c r="Q3077">
        <v>0</v>
      </c>
      <c r="R3077">
        <v>0</v>
      </c>
      <c r="S3077">
        <v>0</v>
      </c>
      <c r="T3077">
        <v>0.32529999999999998</v>
      </c>
      <c r="U3077">
        <v>-1.38E-2</v>
      </c>
      <c r="V3077">
        <v>1E-4</v>
      </c>
      <c r="W3077">
        <v>-0.57809999999999995</v>
      </c>
      <c r="X3077">
        <v>0.46150000000000002</v>
      </c>
      <c r="Y3077">
        <v>-2.9700000000000001E-2</v>
      </c>
      <c r="Z3077">
        <v>134</v>
      </c>
      <c r="AA3077">
        <v>1.8</v>
      </c>
      <c r="AB3077">
        <v>243</v>
      </c>
      <c r="AC3077">
        <v>2</v>
      </c>
      <c r="AD3077">
        <v>0</v>
      </c>
      <c r="AE3077">
        <v>0</v>
      </c>
      <c r="AF3077">
        <v>1.9750000000000001</v>
      </c>
      <c r="AG3077">
        <v>138</v>
      </c>
      <c r="AH3077">
        <v>0</v>
      </c>
    </row>
    <row r="3078" spans="1:34" x14ac:dyDescent="0.35">
      <c r="A3078" t="s">
        <v>34</v>
      </c>
      <c r="B3078" s="1">
        <v>46146.65625</v>
      </c>
      <c r="C3078" t="s">
        <v>34</v>
      </c>
      <c r="D3078" s="1">
        <v>46157.625</v>
      </c>
      <c r="E3078">
        <v>6375</v>
      </c>
      <c r="F3078" t="s">
        <v>36</v>
      </c>
      <c r="G3078">
        <v>1.59</v>
      </c>
      <c r="H3078">
        <v>2.2200000000000002</v>
      </c>
      <c r="I3078">
        <v>1.59</v>
      </c>
      <c r="J3078">
        <v>2.2200000000000002</v>
      </c>
      <c r="K3078">
        <v>3</v>
      </c>
      <c r="L3078">
        <v>4</v>
      </c>
      <c r="M3078">
        <v>1.9</v>
      </c>
      <c r="N3078">
        <v>102</v>
      </c>
      <c r="O3078">
        <v>2</v>
      </c>
      <c r="P3078">
        <v>0</v>
      </c>
      <c r="Q3078">
        <v>0</v>
      </c>
      <c r="R3078">
        <v>0</v>
      </c>
      <c r="S3078">
        <v>0</v>
      </c>
      <c r="T3078">
        <v>0.32400000000000001</v>
      </c>
      <c r="U3078">
        <v>-1.4E-2</v>
      </c>
      <c r="V3078">
        <v>1E-4</v>
      </c>
      <c r="W3078">
        <v>-0.5837</v>
      </c>
      <c r="X3078">
        <v>0.46760000000000002</v>
      </c>
      <c r="Y3078">
        <v>-3.0099999999999998E-2</v>
      </c>
      <c r="Z3078">
        <v>117</v>
      </c>
      <c r="AA3078">
        <v>1.85</v>
      </c>
      <c r="AB3078">
        <v>127</v>
      </c>
      <c r="AC3078">
        <v>2</v>
      </c>
      <c r="AD3078">
        <v>0</v>
      </c>
      <c r="AE3078">
        <v>0</v>
      </c>
      <c r="AF3078">
        <v>1.8633</v>
      </c>
      <c r="AG3078">
        <v>408</v>
      </c>
      <c r="AH3078">
        <v>0</v>
      </c>
    </row>
    <row r="3079" spans="1:34" x14ac:dyDescent="0.35">
      <c r="A3079" t="s">
        <v>34</v>
      </c>
      <c r="B3079" s="1">
        <v>46146.65625</v>
      </c>
      <c r="C3079" t="s">
        <v>34</v>
      </c>
      <c r="D3079" s="1">
        <v>46157.625</v>
      </c>
      <c r="E3079">
        <v>6380</v>
      </c>
      <c r="F3079" t="s">
        <v>36</v>
      </c>
      <c r="G3079">
        <v>1.64</v>
      </c>
      <c r="H3079">
        <v>2.84</v>
      </c>
      <c r="I3079">
        <v>1.64</v>
      </c>
      <c r="J3079">
        <v>2.84</v>
      </c>
      <c r="K3079">
        <v>33</v>
      </c>
      <c r="L3079">
        <v>161</v>
      </c>
      <c r="M3079">
        <v>1.9</v>
      </c>
      <c r="N3079">
        <v>41</v>
      </c>
      <c r="O3079">
        <v>2</v>
      </c>
      <c r="P3079">
        <v>0</v>
      </c>
      <c r="Q3079">
        <v>0</v>
      </c>
      <c r="R3079">
        <v>0</v>
      </c>
      <c r="S3079">
        <v>0</v>
      </c>
      <c r="T3079">
        <v>0.3221</v>
      </c>
      <c r="U3079">
        <v>-1.41E-2</v>
      </c>
      <c r="V3079">
        <v>1E-4</v>
      </c>
      <c r="W3079">
        <v>-0.58299999999999996</v>
      </c>
      <c r="X3079">
        <v>0.47</v>
      </c>
      <c r="Y3079">
        <v>-3.0300000000000001E-2</v>
      </c>
      <c r="Z3079">
        <v>54</v>
      </c>
      <c r="AA3079">
        <v>1.9</v>
      </c>
      <c r="AB3079">
        <v>295</v>
      </c>
      <c r="AC3079">
        <v>2.0499999999999998</v>
      </c>
      <c r="AD3079">
        <v>0</v>
      </c>
      <c r="AE3079">
        <v>0</v>
      </c>
      <c r="AF3079">
        <v>2.7218</v>
      </c>
      <c r="AG3079">
        <v>328</v>
      </c>
      <c r="AH3079">
        <v>0</v>
      </c>
    </row>
    <row r="3080" spans="1:34" x14ac:dyDescent="0.35">
      <c r="A3080" t="s">
        <v>34</v>
      </c>
      <c r="B3080" s="1">
        <v>46146.65625</v>
      </c>
      <c r="C3080" t="s">
        <v>34</v>
      </c>
      <c r="D3080" s="1">
        <v>46157.625</v>
      </c>
      <c r="E3080">
        <v>6385</v>
      </c>
      <c r="F3080" t="s">
        <v>36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4</v>
      </c>
      <c r="M3080">
        <v>1.95</v>
      </c>
      <c r="N3080">
        <v>93</v>
      </c>
      <c r="O3080">
        <v>2.0499999999999998</v>
      </c>
      <c r="P3080">
        <v>0</v>
      </c>
      <c r="Q3080">
        <v>0</v>
      </c>
      <c r="R3080">
        <v>0</v>
      </c>
      <c r="S3080">
        <v>0</v>
      </c>
      <c r="T3080">
        <v>0.32090000000000002</v>
      </c>
      <c r="U3080">
        <v>-1.43E-2</v>
      </c>
      <c r="V3080">
        <v>1E-4</v>
      </c>
      <c r="W3080">
        <v>-0.5887</v>
      </c>
      <c r="X3080">
        <v>0.47599999999999998</v>
      </c>
      <c r="Y3080">
        <v>-3.0800000000000001E-2</v>
      </c>
      <c r="Z3080">
        <v>45</v>
      </c>
      <c r="AA3080">
        <v>1.9</v>
      </c>
      <c r="AB3080">
        <v>121</v>
      </c>
      <c r="AC3080">
        <v>2.0499999999999998</v>
      </c>
      <c r="AD3080">
        <v>0</v>
      </c>
      <c r="AE3080">
        <v>0</v>
      </c>
      <c r="AF3080">
        <v>0</v>
      </c>
      <c r="AG3080">
        <v>68</v>
      </c>
      <c r="AH3080">
        <v>0</v>
      </c>
    </row>
    <row r="3081" spans="1:34" x14ac:dyDescent="0.35">
      <c r="A3081" t="s">
        <v>34</v>
      </c>
      <c r="B3081" s="1">
        <v>46146.65625</v>
      </c>
      <c r="C3081" t="s">
        <v>34</v>
      </c>
      <c r="D3081" s="1">
        <v>46157.625</v>
      </c>
      <c r="E3081">
        <v>6390</v>
      </c>
      <c r="F3081" t="s">
        <v>36</v>
      </c>
      <c r="G3081">
        <v>1.69</v>
      </c>
      <c r="H3081">
        <v>3.1</v>
      </c>
      <c r="I3081">
        <v>1.69</v>
      </c>
      <c r="J3081">
        <v>3.1</v>
      </c>
      <c r="K3081">
        <v>56</v>
      </c>
      <c r="L3081">
        <v>154</v>
      </c>
      <c r="M3081">
        <v>1.95</v>
      </c>
      <c r="N3081">
        <v>34</v>
      </c>
      <c r="O3081">
        <v>2.0499999999999998</v>
      </c>
      <c r="P3081">
        <v>0</v>
      </c>
      <c r="Q3081">
        <v>0</v>
      </c>
      <c r="R3081">
        <v>0</v>
      </c>
      <c r="S3081">
        <v>0</v>
      </c>
      <c r="T3081">
        <v>0.3196</v>
      </c>
      <c r="U3081">
        <v>-1.4500000000000001E-2</v>
      </c>
      <c r="V3081">
        <v>1E-4</v>
      </c>
      <c r="W3081">
        <v>-0.59419999999999995</v>
      </c>
      <c r="X3081">
        <v>0.48220000000000002</v>
      </c>
      <c r="Y3081">
        <v>-3.1199999999999999E-2</v>
      </c>
      <c r="Z3081">
        <v>137</v>
      </c>
      <c r="AA3081">
        <v>1.9</v>
      </c>
      <c r="AB3081">
        <v>267</v>
      </c>
      <c r="AC3081">
        <v>2.1</v>
      </c>
      <c r="AD3081">
        <v>0</v>
      </c>
      <c r="AE3081">
        <v>0</v>
      </c>
      <c r="AF3081">
        <v>3.0245000000000002</v>
      </c>
      <c r="AG3081">
        <v>150</v>
      </c>
      <c r="AH3081">
        <v>0</v>
      </c>
    </row>
    <row r="3082" spans="1:34" x14ac:dyDescent="0.35">
      <c r="A3082" t="s">
        <v>34</v>
      </c>
      <c r="B3082" s="1">
        <v>46146.65625</v>
      </c>
      <c r="C3082" t="s">
        <v>34</v>
      </c>
      <c r="D3082" s="1">
        <v>46157.625</v>
      </c>
      <c r="E3082">
        <v>6395</v>
      </c>
      <c r="F3082" t="s">
        <v>36</v>
      </c>
      <c r="G3082">
        <v>1.95</v>
      </c>
      <c r="H3082">
        <v>2.9</v>
      </c>
      <c r="I3082">
        <v>1.95</v>
      </c>
      <c r="J3082">
        <v>2.9</v>
      </c>
      <c r="K3082">
        <v>2</v>
      </c>
      <c r="L3082">
        <v>4</v>
      </c>
      <c r="M3082">
        <v>2</v>
      </c>
      <c r="N3082">
        <v>93</v>
      </c>
      <c r="O3082">
        <v>2.1</v>
      </c>
      <c r="P3082">
        <v>0</v>
      </c>
      <c r="Q3082">
        <v>0</v>
      </c>
      <c r="R3082">
        <v>0</v>
      </c>
      <c r="S3082">
        <v>0</v>
      </c>
      <c r="T3082">
        <v>0.31809999999999999</v>
      </c>
      <c r="U3082">
        <v>-1.4800000000000001E-2</v>
      </c>
      <c r="V3082">
        <v>1E-4</v>
      </c>
      <c r="W3082">
        <v>-0.59970000000000001</v>
      </c>
      <c r="X3082">
        <v>0.48849999999999999</v>
      </c>
      <c r="Y3082">
        <v>-3.1699999999999999E-2</v>
      </c>
      <c r="Z3082">
        <v>45</v>
      </c>
      <c r="AA3082">
        <v>1.95</v>
      </c>
      <c r="AB3082">
        <v>120</v>
      </c>
      <c r="AC3082">
        <v>2.1</v>
      </c>
      <c r="AD3082">
        <v>0</v>
      </c>
      <c r="AE3082">
        <v>0</v>
      </c>
      <c r="AF3082">
        <v>2.4249999999999998</v>
      </c>
      <c r="AG3082">
        <v>138</v>
      </c>
      <c r="AH3082">
        <v>0</v>
      </c>
    </row>
    <row r="3083" spans="1:34" x14ac:dyDescent="0.35">
      <c r="A3083" t="s">
        <v>34</v>
      </c>
      <c r="B3083" s="1">
        <v>46146.65625</v>
      </c>
      <c r="C3083" t="s">
        <v>34</v>
      </c>
      <c r="D3083" s="1">
        <v>46157.625</v>
      </c>
      <c r="E3083">
        <v>6400</v>
      </c>
      <c r="F3083" t="s">
        <v>36</v>
      </c>
      <c r="G3083">
        <v>1.75</v>
      </c>
      <c r="H3083">
        <v>2.78</v>
      </c>
      <c r="I3083">
        <v>1.69</v>
      </c>
      <c r="J3083">
        <v>2.0299999999999998</v>
      </c>
      <c r="K3083">
        <v>59</v>
      </c>
      <c r="L3083">
        <v>162</v>
      </c>
      <c r="M3083">
        <v>2</v>
      </c>
      <c r="N3083">
        <v>37</v>
      </c>
      <c r="O3083">
        <v>2.1</v>
      </c>
      <c r="P3083">
        <v>0</v>
      </c>
      <c r="Q3083">
        <v>0</v>
      </c>
      <c r="R3083">
        <v>0</v>
      </c>
      <c r="S3083">
        <v>0</v>
      </c>
      <c r="T3083">
        <v>0.317</v>
      </c>
      <c r="U3083">
        <v>-1.4999999999999999E-2</v>
      </c>
      <c r="V3083">
        <v>1E-4</v>
      </c>
      <c r="W3083">
        <v>-0.60519999999999996</v>
      </c>
      <c r="X3083">
        <v>0.49440000000000001</v>
      </c>
      <c r="Y3083">
        <v>-3.2199999999999999E-2</v>
      </c>
      <c r="Z3083">
        <v>144</v>
      </c>
      <c r="AA3083">
        <v>1.95</v>
      </c>
      <c r="AB3083">
        <v>261</v>
      </c>
      <c r="AC3083">
        <v>2.15</v>
      </c>
      <c r="AD3083">
        <v>0</v>
      </c>
      <c r="AE3083">
        <v>0</v>
      </c>
      <c r="AF3083">
        <v>2.6271</v>
      </c>
      <c r="AG3083">
        <v>2889</v>
      </c>
      <c r="AH3083">
        <v>0</v>
      </c>
    </row>
    <row r="3084" spans="1:34" x14ac:dyDescent="0.35">
      <c r="A3084" t="s">
        <v>34</v>
      </c>
      <c r="B3084" s="1">
        <v>46146.65625</v>
      </c>
      <c r="C3084" t="s">
        <v>34</v>
      </c>
      <c r="D3084" s="1">
        <v>46157.625</v>
      </c>
      <c r="E3084">
        <v>6405</v>
      </c>
      <c r="F3084" t="s">
        <v>36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4</v>
      </c>
      <c r="M3084">
        <v>2.0499999999999998</v>
      </c>
      <c r="N3084">
        <v>54</v>
      </c>
      <c r="O3084">
        <v>2.15</v>
      </c>
      <c r="P3084">
        <v>0</v>
      </c>
      <c r="Q3084">
        <v>0</v>
      </c>
      <c r="R3084">
        <v>0</v>
      </c>
      <c r="S3084">
        <v>0</v>
      </c>
      <c r="T3084">
        <v>0.31580000000000003</v>
      </c>
      <c r="U3084">
        <v>-1.52E-2</v>
      </c>
      <c r="V3084">
        <v>1E-4</v>
      </c>
      <c r="W3084">
        <v>-0.61070000000000002</v>
      </c>
      <c r="X3084">
        <v>0.50060000000000004</v>
      </c>
      <c r="Y3084">
        <v>-3.2599999999999997E-2</v>
      </c>
      <c r="Z3084">
        <v>45</v>
      </c>
      <c r="AA3084">
        <v>2</v>
      </c>
      <c r="AB3084">
        <v>43</v>
      </c>
      <c r="AC3084">
        <v>2.15</v>
      </c>
      <c r="AD3084">
        <v>0</v>
      </c>
      <c r="AE3084">
        <v>0</v>
      </c>
      <c r="AF3084">
        <v>0</v>
      </c>
      <c r="AG3084">
        <v>100</v>
      </c>
      <c r="AH3084">
        <v>0</v>
      </c>
    </row>
    <row r="3085" spans="1:34" x14ac:dyDescent="0.35">
      <c r="A3085" t="s">
        <v>34</v>
      </c>
      <c r="B3085" s="1">
        <v>46146.65625</v>
      </c>
      <c r="C3085" t="s">
        <v>34</v>
      </c>
      <c r="D3085" s="1">
        <v>46157.625</v>
      </c>
      <c r="E3085">
        <v>6410</v>
      </c>
      <c r="F3085" t="s">
        <v>36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177</v>
      </c>
      <c r="M3085">
        <v>2.0499999999999998</v>
      </c>
      <c r="N3085">
        <v>221</v>
      </c>
      <c r="O3085">
        <v>2.2000000000000002</v>
      </c>
      <c r="P3085">
        <v>0</v>
      </c>
      <c r="Q3085">
        <v>0</v>
      </c>
      <c r="R3085">
        <v>0</v>
      </c>
      <c r="S3085">
        <v>0</v>
      </c>
      <c r="T3085">
        <v>0.31519999999999998</v>
      </c>
      <c r="U3085">
        <v>-1.55E-2</v>
      </c>
      <c r="V3085">
        <v>1E-4</v>
      </c>
      <c r="W3085">
        <v>-0.62229999999999996</v>
      </c>
      <c r="X3085">
        <v>0.5101</v>
      </c>
      <c r="Y3085">
        <v>-3.3399999999999999E-2</v>
      </c>
      <c r="Z3085">
        <v>124</v>
      </c>
      <c r="AA3085">
        <v>2</v>
      </c>
      <c r="AB3085">
        <v>232</v>
      </c>
      <c r="AC3085">
        <v>2.2000000000000002</v>
      </c>
      <c r="AD3085">
        <v>0</v>
      </c>
      <c r="AE3085">
        <v>0</v>
      </c>
      <c r="AF3085">
        <v>0</v>
      </c>
      <c r="AG3085">
        <v>150</v>
      </c>
      <c r="AH3085">
        <v>0</v>
      </c>
    </row>
    <row r="3086" spans="1:34" x14ac:dyDescent="0.35">
      <c r="A3086" t="s">
        <v>34</v>
      </c>
      <c r="B3086" s="1">
        <v>46146.65625</v>
      </c>
      <c r="C3086" t="s">
        <v>34</v>
      </c>
      <c r="D3086" s="1">
        <v>46157.625</v>
      </c>
      <c r="E3086">
        <v>6415</v>
      </c>
      <c r="F3086" t="s">
        <v>36</v>
      </c>
      <c r="G3086">
        <v>1.89</v>
      </c>
      <c r="H3086">
        <v>1.89</v>
      </c>
      <c r="I3086">
        <v>1.89</v>
      </c>
      <c r="J3086">
        <v>1.89</v>
      </c>
      <c r="K3086">
        <v>1</v>
      </c>
      <c r="L3086">
        <v>4</v>
      </c>
      <c r="M3086">
        <v>2.1</v>
      </c>
      <c r="N3086">
        <v>54</v>
      </c>
      <c r="O3086">
        <v>2.2000000000000002</v>
      </c>
      <c r="P3086">
        <v>0</v>
      </c>
      <c r="Q3086">
        <v>0</v>
      </c>
      <c r="R3086">
        <v>0</v>
      </c>
      <c r="S3086">
        <v>0</v>
      </c>
      <c r="T3086">
        <v>0.31390000000000001</v>
      </c>
      <c r="U3086">
        <v>-1.5699999999999999E-2</v>
      </c>
      <c r="V3086">
        <v>1E-4</v>
      </c>
      <c r="W3086">
        <v>-0.62770000000000004</v>
      </c>
      <c r="X3086">
        <v>0.51639999999999997</v>
      </c>
      <c r="Y3086">
        <v>-3.39E-2</v>
      </c>
      <c r="Z3086">
        <v>50</v>
      </c>
      <c r="AA3086">
        <v>2.0499999999999998</v>
      </c>
      <c r="AB3086">
        <v>43</v>
      </c>
      <c r="AC3086">
        <v>2.2000000000000002</v>
      </c>
      <c r="AD3086">
        <v>0</v>
      </c>
      <c r="AE3086">
        <v>0</v>
      </c>
      <c r="AF3086">
        <v>1.89</v>
      </c>
      <c r="AG3086">
        <v>73</v>
      </c>
      <c r="AH3086">
        <v>0</v>
      </c>
    </row>
    <row r="3087" spans="1:34" x14ac:dyDescent="0.35">
      <c r="A3087" t="s">
        <v>34</v>
      </c>
      <c r="B3087" s="1">
        <v>46146.65625</v>
      </c>
      <c r="C3087" t="s">
        <v>34</v>
      </c>
      <c r="D3087" s="1">
        <v>46157.625</v>
      </c>
      <c r="E3087">
        <v>6420</v>
      </c>
      <c r="F3087" t="s">
        <v>36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179</v>
      </c>
      <c r="M3087">
        <v>2.1</v>
      </c>
      <c r="N3087">
        <v>122</v>
      </c>
      <c r="O3087">
        <v>2.25</v>
      </c>
      <c r="P3087">
        <v>0</v>
      </c>
      <c r="Q3087">
        <v>0</v>
      </c>
      <c r="R3087">
        <v>0</v>
      </c>
      <c r="S3087">
        <v>0</v>
      </c>
      <c r="T3087">
        <v>0.3125</v>
      </c>
      <c r="U3087">
        <v>-1.6E-2</v>
      </c>
      <c r="V3087">
        <v>1E-4</v>
      </c>
      <c r="W3087">
        <v>-0.63300000000000001</v>
      </c>
      <c r="X3087">
        <v>0.52259999999999995</v>
      </c>
      <c r="Y3087">
        <v>-3.44E-2</v>
      </c>
      <c r="Z3087">
        <v>126</v>
      </c>
      <c r="AA3087">
        <v>2.0499999999999998</v>
      </c>
      <c r="AB3087">
        <v>197</v>
      </c>
      <c r="AC3087">
        <v>2.25</v>
      </c>
      <c r="AD3087">
        <v>0</v>
      </c>
      <c r="AE3087">
        <v>0</v>
      </c>
      <c r="AF3087">
        <v>0</v>
      </c>
      <c r="AG3087">
        <v>127</v>
      </c>
      <c r="AH3087">
        <v>0</v>
      </c>
    </row>
    <row r="3088" spans="1:34" x14ac:dyDescent="0.35">
      <c r="A3088" t="s">
        <v>34</v>
      </c>
      <c r="B3088" s="1">
        <v>46146.65625</v>
      </c>
      <c r="C3088" t="s">
        <v>34</v>
      </c>
      <c r="D3088" s="1">
        <v>46157.625</v>
      </c>
      <c r="E3088">
        <v>6425</v>
      </c>
      <c r="F3088" t="s">
        <v>36</v>
      </c>
      <c r="G3088">
        <v>1.99</v>
      </c>
      <c r="H3088">
        <v>2.44</v>
      </c>
      <c r="I3088">
        <v>1.8</v>
      </c>
      <c r="J3088">
        <v>2.17</v>
      </c>
      <c r="K3088">
        <v>24</v>
      </c>
      <c r="L3088">
        <v>73</v>
      </c>
      <c r="M3088">
        <v>2.15</v>
      </c>
      <c r="N3088">
        <v>94</v>
      </c>
      <c r="O3088">
        <v>2.25</v>
      </c>
      <c r="P3088">
        <v>0</v>
      </c>
      <c r="Q3088">
        <v>0</v>
      </c>
      <c r="R3088">
        <v>0</v>
      </c>
      <c r="S3088">
        <v>0</v>
      </c>
      <c r="T3088">
        <v>0.31119999999999998</v>
      </c>
      <c r="U3088">
        <v>-1.6199999999999999E-2</v>
      </c>
      <c r="V3088">
        <v>1E-4</v>
      </c>
      <c r="W3088">
        <v>-0.63839999999999997</v>
      </c>
      <c r="X3088">
        <v>0.52880000000000005</v>
      </c>
      <c r="Y3088">
        <v>-3.4799999999999998E-2</v>
      </c>
      <c r="Z3088">
        <v>150</v>
      </c>
      <c r="AA3088">
        <v>2.1</v>
      </c>
      <c r="AB3088">
        <v>257</v>
      </c>
      <c r="AC3088">
        <v>2.2999999999999998</v>
      </c>
      <c r="AD3088">
        <v>0</v>
      </c>
      <c r="AE3088">
        <v>0</v>
      </c>
      <c r="AF3088">
        <v>1.925</v>
      </c>
      <c r="AG3088">
        <v>187</v>
      </c>
      <c r="AH3088">
        <v>0</v>
      </c>
    </row>
    <row r="3089" spans="1:34" x14ac:dyDescent="0.35">
      <c r="A3089" t="s">
        <v>34</v>
      </c>
      <c r="B3089" s="1">
        <v>46146.65625</v>
      </c>
      <c r="C3089" t="s">
        <v>34</v>
      </c>
      <c r="D3089" s="1">
        <v>46157.625</v>
      </c>
      <c r="E3089">
        <v>6430</v>
      </c>
      <c r="F3089" t="s">
        <v>36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178</v>
      </c>
      <c r="M3089">
        <v>2.15</v>
      </c>
      <c r="N3089">
        <v>122</v>
      </c>
      <c r="O3089">
        <v>2.2999999999999998</v>
      </c>
      <c r="P3089">
        <v>0</v>
      </c>
      <c r="Q3089">
        <v>0</v>
      </c>
      <c r="R3089">
        <v>0</v>
      </c>
      <c r="S3089">
        <v>0</v>
      </c>
      <c r="T3089">
        <v>0.30959999999999999</v>
      </c>
      <c r="U3089">
        <v>-1.6400000000000001E-2</v>
      </c>
      <c r="V3089">
        <v>1E-4</v>
      </c>
      <c r="W3089">
        <v>-0.64349999999999996</v>
      </c>
      <c r="X3089">
        <v>0.53539999999999999</v>
      </c>
      <c r="Y3089">
        <v>-3.5400000000000001E-2</v>
      </c>
      <c r="Z3089">
        <v>132</v>
      </c>
      <c r="AA3089">
        <v>2.1</v>
      </c>
      <c r="AB3089">
        <v>171</v>
      </c>
      <c r="AC3089">
        <v>2.2999999999999998</v>
      </c>
      <c r="AD3089">
        <v>0</v>
      </c>
      <c r="AE3089">
        <v>0</v>
      </c>
      <c r="AF3089">
        <v>0</v>
      </c>
      <c r="AG3089">
        <v>101</v>
      </c>
      <c r="AH3089">
        <v>0</v>
      </c>
    </row>
    <row r="3090" spans="1:34" x14ac:dyDescent="0.35">
      <c r="A3090" t="s">
        <v>34</v>
      </c>
      <c r="B3090" s="1">
        <v>46146.65625</v>
      </c>
      <c r="C3090" t="s">
        <v>34</v>
      </c>
      <c r="D3090" s="1">
        <v>46157.625</v>
      </c>
      <c r="E3090">
        <v>6435</v>
      </c>
      <c r="F3090" t="s">
        <v>36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57</v>
      </c>
      <c r="M3090">
        <v>2.2000000000000002</v>
      </c>
      <c r="N3090">
        <v>237</v>
      </c>
      <c r="O3090">
        <v>2.35</v>
      </c>
      <c r="P3090">
        <v>0</v>
      </c>
      <c r="Q3090">
        <v>0</v>
      </c>
      <c r="R3090">
        <v>0</v>
      </c>
      <c r="S3090">
        <v>0</v>
      </c>
      <c r="T3090">
        <v>0.30919999999999997</v>
      </c>
      <c r="U3090">
        <v>-1.6799999999999999E-2</v>
      </c>
      <c r="V3090">
        <v>1E-4</v>
      </c>
      <c r="W3090">
        <v>-0.65490000000000004</v>
      </c>
      <c r="X3090">
        <v>0.54479999999999995</v>
      </c>
      <c r="Y3090">
        <v>-3.61E-2</v>
      </c>
      <c r="Z3090">
        <v>83</v>
      </c>
      <c r="AA3090">
        <v>2.15</v>
      </c>
      <c r="AB3090">
        <v>267</v>
      </c>
      <c r="AC3090">
        <v>2.35</v>
      </c>
      <c r="AD3090">
        <v>0</v>
      </c>
      <c r="AE3090">
        <v>0</v>
      </c>
      <c r="AF3090">
        <v>0</v>
      </c>
      <c r="AG3090">
        <v>69</v>
      </c>
      <c r="AH3090">
        <v>0</v>
      </c>
    </row>
    <row r="3091" spans="1:34" x14ac:dyDescent="0.35">
      <c r="A3091" t="s">
        <v>34</v>
      </c>
      <c r="B3091" s="1">
        <v>46146.65625</v>
      </c>
      <c r="C3091" t="s">
        <v>34</v>
      </c>
      <c r="D3091" s="1">
        <v>46157.625</v>
      </c>
      <c r="E3091">
        <v>6440</v>
      </c>
      <c r="F3091" t="s">
        <v>36</v>
      </c>
      <c r="G3091">
        <v>1.85</v>
      </c>
      <c r="H3091">
        <v>3.5</v>
      </c>
      <c r="I3091">
        <v>1.85</v>
      </c>
      <c r="J3091">
        <v>2.4500000000000002</v>
      </c>
      <c r="K3091">
        <v>76</v>
      </c>
      <c r="L3091">
        <v>363</v>
      </c>
      <c r="M3091">
        <v>2.2000000000000002</v>
      </c>
      <c r="N3091">
        <v>86</v>
      </c>
      <c r="O3091">
        <v>2.35</v>
      </c>
      <c r="P3091">
        <v>0</v>
      </c>
      <c r="Q3091">
        <v>0</v>
      </c>
      <c r="R3091">
        <v>0</v>
      </c>
      <c r="S3091">
        <v>0</v>
      </c>
      <c r="T3091">
        <v>0.30690000000000001</v>
      </c>
      <c r="U3091">
        <v>-1.6899999999999998E-2</v>
      </c>
      <c r="V3091">
        <v>1E-4</v>
      </c>
      <c r="W3091">
        <v>-0.65390000000000004</v>
      </c>
      <c r="X3091">
        <v>0.54800000000000004</v>
      </c>
      <c r="Y3091">
        <v>-3.6299999999999999E-2</v>
      </c>
      <c r="Z3091">
        <v>101</v>
      </c>
      <c r="AA3091">
        <v>2.2000000000000002</v>
      </c>
      <c r="AB3091">
        <v>57</v>
      </c>
      <c r="AC3091">
        <v>2.35</v>
      </c>
      <c r="AD3091">
        <v>0</v>
      </c>
      <c r="AE3091">
        <v>0</v>
      </c>
      <c r="AF3091">
        <v>3.2896000000000001</v>
      </c>
      <c r="AG3091">
        <v>204</v>
      </c>
      <c r="AH3091">
        <v>0</v>
      </c>
    </row>
    <row r="3092" spans="1:34" x14ac:dyDescent="0.35">
      <c r="A3092" t="s">
        <v>34</v>
      </c>
      <c r="B3092" s="1">
        <v>46146.65625</v>
      </c>
      <c r="C3092" t="s">
        <v>34</v>
      </c>
      <c r="D3092" s="1">
        <v>46157.625</v>
      </c>
      <c r="E3092">
        <v>6445</v>
      </c>
      <c r="F3092" t="s">
        <v>36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138</v>
      </c>
      <c r="M3092">
        <v>2.25</v>
      </c>
      <c r="N3092">
        <v>122</v>
      </c>
      <c r="O3092">
        <v>2.4</v>
      </c>
      <c r="P3092">
        <v>0</v>
      </c>
      <c r="Q3092">
        <v>0</v>
      </c>
      <c r="R3092">
        <v>0</v>
      </c>
      <c r="S3092">
        <v>0</v>
      </c>
      <c r="T3092">
        <v>0.30649999999999999</v>
      </c>
      <c r="U3092">
        <v>-1.72E-2</v>
      </c>
      <c r="V3092">
        <v>1E-4</v>
      </c>
      <c r="W3092">
        <v>-0.66520000000000001</v>
      </c>
      <c r="X3092">
        <v>0.55740000000000001</v>
      </c>
      <c r="Y3092">
        <v>-3.7100000000000001E-2</v>
      </c>
      <c r="Z3092">
        <v>84</v>
      </c>
      <c r="AA3092">
        <v>2.2000000000000002</v>
      </c>
      <c r="AB3092">
        <v>204</v>
      </c>
      <c r="AC3092">
        <v>2.4</v>
      </c>
      <c r="AD3092">
        <v>0</v>
      </c>
      <c r="AE3092">
        <v>0</v>
      </c>
      <c r="AF3092">
        <v>0</v>
      </c>
      <c r="AG3092">
        <v>53</v>
      </c>
      <c r="AH3092">
        <v>0</v>
      </c>
    </row>
    <row r="3093" spans="1:34" x14ac:dyDescent="0.35">
      <c r="A3093" t="s">
        <v>34</v>
      </c>
      <c r="B3093" s="1">
        <v>46146.65625</v>
      </c>
      <c r="C3093" t="s">
        <v>34</v>
      </c>
      <c r="D3093" s="1">
        <v>46157.625</v>
      </c>
      <c r="E3093">
        <v>6450</v>
      </c>
      <c r="F3093" t="s">
        <v>36</v>
      </c>
      <c r="G3093">
        <v>1.9</v>
      </c>
      <c r="H3093">
        <v>3.47</v>
      </c>
      <c r="I3093">
        <v>1.9</v>
      </c>
      <c r="J3093">
        <v>3.47</v>
      </c>
      <c r="K3093">
        <v>1289</v>
      </c>
      <c r="L3093">
        <v>334</v>
      </c>
      <c r="M3093">
        <v>2.25</v>
      </c>
      <c r="N3093">
        <v>88</v>
      </c>
      <c r="O3093">
        <v>2.4</v>
      </c>
      <c r="P3093">
        <v>0</v>
      </c>
      <c r="Q3093">
        <v>0</v>
      </c>
      <c r="R3093">
        <v>0</v>
      </c>
      <c r="S3093">
        <v>0</v>
      </c>
      <c r="T3093">
        <v>0.30449999999999999</v>
      </c>
      <c r="U3093">
        <v>-1.7299999999999999E-2</v>
      </c>
      <c r="V3093">
        <v>1E-4</v>
      </c>
      <c r="W3093">
        <v>-0.6643</v>
      </c>
      <c r="X3093">
        <v>0.5605</v>
      </c>
      <c r="Y3093">
        <v>-3.73E-2</v>
      </c>
      <c r="Z3093">
        <v>150</v>
      </c>
      <c r="AA3093">
        <v>2.25</v>
      </c>
      <c r="AB3093">
        <v>252</v>
      </c>
      <c r="AC3093">
        <v>2.4500000000000002</v>
      </c>
      <c r="AD3093">
        <v>0</v>
      </c>
      <c r="AE3093">
        <v>0</v>
      </c>
      <c r="AF3093">
        <v>3.4497</v>
      </c>
      <c r="AG3093">
        <v>5325</v>
      </c>
      <c r="AH3093">
        <v>0</v>
      </c>
    </row>
    <row r="3094" spans="1:34" x14ac:dyDescent="0.35">
      <c r="A3094" t="s">
        <v>34</v>
      </c>
      <c r="B3094" s="1">
        <v>46146.65625</v>
      </c>
      <c r="C3094" t="s">
        <v>34</v>
      </c>
      <c r="D3094" s="1">
        <v>46157.625</v>
      </c>
      <c r="E3094">
        <v>6455</v>
      </c>
      <c r="F3094" t="s">
        <v>36</v>
      </c>
      <c r="G3094">
        <v>3</v>
      </c>
      <c r="H3094">
        <v>3</v>
      </c>
      <c r="I3094">
        <v>3</v>
      </c>
      <c r="J3094">
        <v>3</v>
      </c>
      <c r="K3094">
        <v>3</v>
      </c>
      <c r="L3094">
        <v>129</v>
      </c>
      <c r="M3094">
        <v>2.2999999999999998</v>
      </c>
      <c r="N3094">
        <v>43</v>
      </c>
      <c r="O3094">
        <v>2.4500000000000002</v>
      </c>
      <c r="P3094">
        <v>0</v>
      </c>
      <c r="Q3094">
        <v>0</v>
      </c>
      <c r="R3094">
        <v>0</v>
      </c>
      <c r="S3094">
        <v>0</v>
      </c>
      <c r="T3094">
        <v>0.30330000000000001</v>
      </c>
      <c r="U3094">
        <v>-1.77E-2</v>
      </c>
      <c r="V3094">
        <v>1E-4</v>
      </c>
      <c r="W3094">
        <v>-0.67520000000000002</v>
      </c>
      <c r="X3094">
        <v>0.57089999999999996</v>
      </c>
      <c r="Y3094">
        <v>-3.8100000000000002E-2</v>
      </c>
      <c r="Z3094">
        <v>84</v>
      </c>
      <c r="AA3094">
        <v>2.25</v>
      </c>
      <c r="AB3094">
        <v>159</v>
      </c>
      <c r="AC3094">
        <v>2.4500000000000002</v>
      </c>
      <c r="AD3094">
        <v>0</v>
      </c>
      <c r="AE3094">
        <v>0</v>
      </c>
      <c r="AF3094">
        <v>3</v>
      </c>
      <c r="AG3094">
        <v>65</v>
      </c>
      <c r="AH3094">
        <v>0</v>
      </c>
    </row>
    <row r="3095" spans="1:34" x14ac:dyDescent="0.35">
      <c r="A3095" t="s">
        <v>34</v>
      </c>
      <c r="B3095" s="1">
        <v>46146.65625</v>
      </c>
      <c r="C3095" t="s">
        <v>34</v>
      </c>
      <c r="D3095" s="1">
        <v>46157.625</v>
      </c>
      <c r="E3095">
        <v>6460</v>
      </c>
      <c r="F3095" t="s">
        <v>36</v>
      </c>
      <c r="G3095">
        <v>2.57</v>
      </c>
      <c r="H3095">
        <v>2.57</v>
      </c>
      <c r="I3095">
        <v>2.57</v>
      </c>
      <c r="J3095">
        <v>2.57</v>
      </c>
      <c r="K3095">
        <v>1</v>
      </c>
      <c r="L3095">
        <v>132</v>
      </c>
      <c r="M3095">
        <v>2.35</v>
      </c>
      <c r="N3095">
        <v>110</v>
      </c>
      <c r="O3095">
        <v>2.5</v>
      </c>
      <c r="P3095">
        <v>0</v>
      </c>
      <c r="Q3095">
        <v>0</v>
      </c>
      <c r="R3095">
        <v>0</v>
      </c>
      <c r="S3095">
        <v>0</v>
      </c>
      <c r="T3095">
        <v>0.30280000000000001</v>
      </c>
      <c r="U3095">
        <v>-1.8100000000000002E-2</v>
      </c>
      <c r="V3095">
        <v>1E-4</v>
      </c>
      <c r="W3095">
        <v>-0.68630000000000002</v>
      </c>
      <c r="X3095">
        <v>0.58050000000000002</v>
      </c>
      <c r="Y3095">
        <v>-3.8899999999999997E-2</v>
      </c>
      <c r="Z3095">
        <v>124</v>
      </c>
      <c r="AA3095">
        <v>2.2999999999999998</v>
      </c>
      <c r="AB3095">
        <v>288</v>
      </c>
      <c r="AC3095">
        <v>2.5</v>
      </c>
      <c r="AD3095">
        <v>0</v>
      </c>
      <c r="AE3095">
        <v>0</v>
      </c>
      <c r="AF3095">
        <v>2.57</v>
      </c>
      <c r="AG3095">
        <v>135</v>
      </c>
      <c r="AH3095">
        <v>0</v>
      </c>
    </row>
    <row r="3096" spans="1:34" x14ac:dyDescent="0.35">
      <c r="A3096" t="s">
        <v>34</v>
      </c>
      <c r="B3096" s="1">
        <v>46146.65625</v>
      </c>
      <c r="C3096" t="s">
        <v>34</v>
      </c>
      <c r="D3096" s="1">
        <v>46157.625</v>
      </c>
      <c r="E3096">
        <v>6465</v>
      </c>
      <c r="F3096" t="s">
        <v>36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4</v>
      </c>
      <c r="M3096">
        <v>2.4</v>
      </c>
      <c r="N3096">
        <v>15</v>
      </c>
      <c r="O3096">
        <v>2.5</v>
      </c>
      <c r="P3096">
        <v>0</v>
      </c>
      <c r="Q3096">
        <v>0</v>
      </c>
      <c r="R3096">
        <v>0</v>
      </c>
      <c r="S3096">
        <v>0</v>
      </c>
      <c r="T3096">
        <v>0.30059999999999998</v>
      </c>
      <c r="U3096">
        <v>-1.8200000000000001E-2</v>
      </c>
      <c r="V3096">
        <v>1E-4</v>
      </c>
      <c r="W3096">
        <v>-0.68530000000000002</v>
      </c>
      <c r="X3096">
        <v>0.58389999999999997</v>
      </c>
      <c r="Y3096">
        <v>-3.9100000000000003E-2</v>
      </c>
      <c r="Z3096">
        <v>53</v>
      </c>
      <c r="AA3096">
        <v>2.35</v>
      </c>
      <c r="AB3096">
        <v>192</v>
      </c>
      <c r="AC3096">
        <v>2.5499999999999998</v>
      </c>
      <c r="AD3096">
        <v>0</v>
      </c>
      <c r="AE3096">
        <v>0</v>
      </c>
      <c r="AF3096">
        <v>0</v>
      </c>
      <c r="AG3096">
        <v>61</v>
      </c>
      <c r="AH3096">
        <v>0</v>
      </c>
    </row>
    <row r="3097" spans="1:34" x14ac:dyDescent="0.35">
      <c r="A3097" t="s">
        <v>34</v>
      </c>
      <c r="B3097" s="1">
        <v>46146.65625</v>
      </c>
      <c r="C3097" t="s">
        <v>34</v>
      </c>
      <c r="D3097" s="1">
        <v>46157.625</v>
      </c>
      <c r="E3097">
        <v>6470</v>
      </c>
      <c r="F3097" t="s">
        <v>36</v>
      </c>
      <c r="G3097">
        <v>2.1</v>
      </c>
      <c r="H3097">
        <v>2.1</v>
      </c>
      <c r="I3097">
        <v>2.1</v>
      </c>
      <c r="J3097">
        <v>2.1</v>
      </c>
      <c r="K3097">
        <v>4</v>
      </c>
      <c r="L3097">
        <v>165</v>
      </c>
      <c r="M3097">
        <v>2.4</v>
      </c>
      <c r="N3097">
        <v>43</v>
      </c>
      <c r="O3097">
        <v>2.5499999999999998</v>
      </c>
      <c r="P3097">
        <v>0</v>
      </c>
      <c r="Q3097">
        <v>0</v>
      </c>
      <c r="R3097">
        <v>0</v>
      </c>
      <c r="S3097">
        <v>0</v>
      </c>
      <c r="T3097">
        <v>0.29959999999999998</v>
      </c>
      <c r="U3097">
        <v>-1.8599999999999998E-2</v>
      </c>
      <c r="V3097">
        <v>1E-4</v>
      </c>
      <c r="W3097">
        <v>-0.69599999999999995</v>
      </c>
      <c r="X3097">
        <v>0.59430000000000005</v>
      </c>
      <c r="Y3097">
        <v>-0.04</v>
      </c>
      <c r="Z3097">
        <v>124</v>
      </c>
      <c r="AA3097">
        <v>2.35</v>
      </c>
      <c r="AB3097">
        <v>159</v>
      </c>
      <c r="AC3097">
        <v>2.5499999999999998</v>
      </c>
      <c r="AD3097">
        <v>0</v>
      </c>
      <c r="AE3097">
        <v>0</v>
      </c>
      <c r="AF3097">
        <v>2.1</v>
      </c>
      <c r="AG3097">
        <v>184</v>
      </c>
      <c r="AH3097">
        <v>0</v>
      </c>
    </row>
    <row r="3098" spans="1:34" x14ac:dyDescent="0.35">
      <c r="A3098" t="s">
        <v>34</v>
      </c>
      <c r="B3098" s="1">
        <v>46146.65625</v>
      </c>
      <c r="C3098" t="s">
        <v>34</v>
      </c>
      <c r="D3098" s="1">
        <v>46157.625</v>
      </c>
      <c r="E3098">
        <v>6475</v>
      </c>
      <c r="F3098" t="s">
        <v>36</v>
      </c>
      <c r="G3098">
        <v>2.0499999999999998</v>
      </c>
      <c r="H3098">
        <v>3.1</v>
      </c>
      <c r="I3098">
        <v>2.0499999999999998</v>
      </c>
      <c r="J3098">
        <v>3.1</v>
      </c>
      <c r="K3098">
        <v>12</v>
      </c>
      <c r="L3098">
        <v>162</v>
      </c>
      <c r="M3098">
        <v>2.4500000000000002</v>
      </c>
      <c r="N3098">
        <v>116</v>
      </c>
      <c r="O3098">
        <v>2.6</v>
      </c>
      <c r="P3098">
        <v>0</v>
      </c>
      <c r="Q3098">
        <v>0</v>
      </c>
      <c r="R3098">
        <v>0</v>
      </c>
      <c r="S3098">
        <v>0</v>
      </c>
      <c r="T3098">
        <v>0.29870000000000002</v>
      </c>
      <c r="U3098">
        <v>-1.9E-2</v>
      </c>
      <c r="V3098">
        <v>1E-4</v>
      </c>
      <c r="W3098">
        <v>-0.70669999999999999</v>
      </c>
      <c r="X3098">
        <v>0.60460000000000003</v>
      </c>
      <c r="Y3098">
        <v>-4.0800000000000003E-2</v>
      </c>
      <c r="Z3098">
        <v>123</v>
      </c>
      <c r="AA3098">
        <v>2.4</v>
      </c>
      <c r="AB3098">
        <v>252</v>
      </c>
      <c r="AC3098">
        <v>2.6</v>
      </c>
      <c r="AD3098">
        <v>0</v>
      </c>
      <c r="AE3098">
        <v>0</v>
      </c>
      <c r="AF3098">
        <v>2.1392000000000002</v>
      </c>
      <c r="AG3098">
        <v>227</v>
      </c>
      <c r="AH3098">
        <v>0</v>
      </c>
    </row>
    <row r="3099" spans="1:34" x14ac:dyDescent="0.35">
      <c r="A3099" t="s">
        <v>34</v>
      </c>
      <c r="B3099" s="1">
        <v>46146.65625</v>
      </c>
      <c r="C3099" t="s">
        <v>34</v>
      </c>
      <c r="D3099" s="1">
        <v>46157.625</v>
      </c>
      <c r="E3099">
        <v>6480</v>
      </c>
      <c r="F3099" t="s">
        <v>36</v>
      </c>
      <c r="G3099">
        <v>2.2999999999999998</v>
      </c>
      <c r="H3099">
        <v>3.56</v>
      </c>
      <c r="I3099">
        <v>2</v>
      </c>
      <c r="J3099">
        <v>2.52</v>
      </c>
      <c r="K3099">
        <v>25</v>
      </c>
      <c r="L3099">
        <v>73</v>
      </c>
      <c r="M3099">
        <v>2.5</v>
      </c>
      <c r="N3099">
        <v>45</v>
      </c>
      <c r="O3099">
        <v>2.6</v>
      </c>
      <c r="P3099">
        <v>0</v>
      </c>
      <c r="Q3099">
        <v>0</v>
      </c>
      <c r="R3099">
        <v>0</v>
      </c>
      <c r="S3099">
        <v>0</v>
      </c>
      <c r="T3099">
        <v>0.29770000000000002</v>
      </c>
      <c r="U3099">
        <v>-1.9199999999999998E-2</v>
      </c>
      <c r="V3099">
        <v>1E-4</v>
      </c>
      <c r="W3099">
        <v>-0.71179999999999999</v>
      </c>
      <c r="X3099">
        <v>0.61070000000000002</v>
      </c>
      <c r="Y3099">
        <v>-4.1300000000000003E-2</v>
      </c>
      <c r="Z3099">
        <v>104</v>
      </c>
      <c r="AA3099">
        <v>2.4500000000000002</v>
      </c>
      <c r="AB3099">
        <v>288</v>
      </c>
      <c r="AC3099">
        <v>2.65</v>
      </c>
      <c r="AD3099">
        <v>0</v>
      </c>
      <c r="AE3099">
        <v>0</v>
      </c>
      <c r="AF3099">
        <v>2.8048000000000002</v>
      </c>
      <c r="AG3099">
        <v>92</v>
      </c>
      <c r="AH3099">
        <v>0</v>
      </c>
    </row>
    <row r="3100" spans="1:34" x14ac:dyDescent="0.35">
      <c r="A3100" t="s">
        <v>34</v>
      </c>
      <c r="B3100" s="1">
        <v>46146.65625</v>
      </c>
      <c r="C3100" t="s">
        <v>34</v>
      </c>
      <c r="D3100" s="1">
        <v>46157.625</v>
      </c>
      <c r="E3100">
        <v>6485</v>
      </c>
      <c r="F3100" t="s">
        <v>36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277</v>
      </c>
      <c r="M3100">
        <v>2.5</v>
      </c>
      <c r="N3100">
        <v>42</v>
      </c>
      <c r="O3100">
        <v>2.65</v>
      </c>
      <c r="P3100">
        <v>0</v>
      </c>
      <c r="Q3100">
        <v>0</v>
      </c>
      <c r="R3100">
        <v>0</v>
      </c>
      <c r="S3100">
        <v>0</v>
      </c>
      <c r="T3100">
        <v>0.29609999999999997</v>
      </c>
      <c r="U3100">
        <v>-1.9400000000000001E-2</v>
      </c>
      <c r="V3100">
        <v>1E-4</v>
      </c>
      <c r="W3100">
        <v>-0.71660000000000001</v>
      </c>
      <c r="X3100">
        <v>0.61770000000000003</v>
      </c>
      <c r="Y3100">
        <v>-4.1799999999999997E-2</v>
      </c>
      <c r="Z3100">
        <v>78</v>
      </c>
      <c r="AA3100">
        <v>2.4500000000000002</v>
      </c>
      <c r="AB3100">
        <v>41</v>
      </c>
      <c r="AC3100">
        <v>2.65</v>
      </c>
      <c r="AD3100">
        <v>0</v>
      </c>
      <c r="AE3100">
        <v>0</v>
      </c>
      <c r="AF3100">
        <v>0</v>
      </c>
      <c r="AG3100">
        <v>99</v>
      </c>
      <c r="AH3100">
        <v>0</v>
      </c>
    </row>
    <row r="3101" spans="1:34" x14ac:dyDescent="0.35">
      <c r="A3101" t="s">
        <v>34</v>
      </c>
      <c r="B3101" s="1">
        <v>46146.65625</v>
      </c>
      <c r="C3101" t="s">
        <v>34</v>
      </c>
      <c r="D3101" s="1">
        <v>46157.625</v>
      </c>
      <c r="E3101">
        <v>6490</v>
      </c>
      <c r="F3101" t="s">
        <v>36</v>
      </c>
      <c r="G3101">
        <v>2.25</v>
      </c>
      <c r="H3101">
        <v>2.57</v>
      </c>
      <c r="I3101">
        <v>2.25</v>
      </c>
      <c r="J3101">
        <v>2.57</v>
      </c>
      <c r="K3101">
        <v>5</v>
      </c>
      <c r="L3101">
        <v>162</v>
      </c>
      <c r="M3101">
        <v>2.5499999999999998</v>
      </c>
      <c r="N3101">
        <v>70</v>
      </c>
      <c r="O3101">
        <v>2.7</v>
      </c>
      <c r="P3101">
        <v>0</v>
      </c>
      <c r="Q3101">
        <v>0</v>
      </c>
      <c r="R3101">
        <v>0</v>
      </c>
      <c r="S3101">
        <v>0</v>
      </c>
      <c r="T3101">
        <v>0.29509999999999997</v>
      </c>
      <c r="U3101">
        <v>-1.9800000000000002E-2</v>
      </c>
      <c r="V3101">
        <v>1E-4</v>
      </c>
      <c r="W3101">
        <v>-0.72699999999999998</v>
      </c>
      <c r="X3101">
        <v>0.62819999999999998</v>
      </c>
      <c r="Y3101">
        <v>-4.2700000000000002E-2</v>
      </c>
      <c r="Z3101">
        <v>124</v>
      </c>
      <c r="AA3101">
        <v>2.5</v>
      </c>
      <c r="AB3101">
        <v>233</v>
      </c>
      <c r="AC3101">
        <v>2.7</v>
      </c>
      <c r="AD3101">
        <v>0</v>
      </c>
      <c r="AE3101">
        <v>0</v>
      </c>
      <c r="AF3101">
        <v>2.3140000000000001</v>
      </c>
      <c r="AG3101">
        <v>279</v>
      </c>
      <c r="AH3101">
        <v>0</v>
      </c>
    </row>
    <row r="3102" spans="1:34" x14ac:dyDescent="0.35">
      <c r="A3102" t="s">
        <v>34</v>
      </c>
      <c r="B3102" s="1">
        <v>46146.65625</v>
      </c>
      <c r="C3102" t="s">
        <v>34</v>
      </c>
      <c r="D3102" s="1">
        <v>46157.625</v>
      </c>
      <c r="E3102">
        <v>6495</v>
      </c>
      <c r="F3102" t="s">
        <v>36</v>
      </c>
      <c r="G3102">
        <v>4</v>
      </c>
      <c r="H3102">
        <v>4</v>
      </c>
      <c r="I3102">
        <v>3.72</v>
      </c>
      <c r="J3102">
        <v>3.72</v>
      </c>
      <c r="K3102">
        <v>12</v>
      </c>
      <c r="L3102">
        <v>120</v>
      </c>
      <c r="M3102">
        <v>2.6</v>
      </c>
      <c r="N3102">
        <v>141</v>
      </c>
      <c r="O3102">
        <v>2.75</v>
      </c>
      <c r="P3102">
        <v>0</v>
      </c>
      <c r="Q3102">
        <v>0</v>
      </c>
      <c r="R3102">
        <v>0</v>
      </c>
      <c r="S3102">
        <v>0</v>
      </c>
      <c r="T3102">
        <v>0.29420000000000002</v>
      </c>
      <c r="U3102">
        <v>-2.0199999999999999E-2</v>
      </c>
      <c r="V3102">
        <v>1E-4</v>
      </c>
      <c r="W3102">
        <v>-0.73750000000000004</v>
      </c>
      <c r="X3102">
        <v>0.63859999999999995</v>
      </c>
      <c r="Y3102">
        <v>-4.3499999999999997E-2</v>
      </c>
      <c r="Z3102">
        <v>107</v>
      </c>
      <c r="AA3102">
        <v>2.5499999999999998</v>
      </c>
      <c r="AB3102">
        <v>249</v>
      </c>
      <c r="AC3102">
        <v>2.75</v>
      </c>
      <c r="AD3102">
        <v>0</v>
      </c>
      <c r="AE3102">
        <v>0</v>
      </c>
      <c r="AF3102">
        <v>3.9767000000000001</v>
      </c>
      <c r="AG3102">
        <v>163</v>
      </c>
      <c r="AH3102">
        <v>0</v>
      </c>
    </row>
    <row r="3103" spans="1:34" x14ac:dyDescent="0.35">
      <c r="A3103" t="s">
        <v>34</v>
      </c>
      <c r="B3103" s="1">
        <v>46146.65625</v>
      </c>
      <c r="C3103" t="s">
        <v>34</v>
      </c>
      <c r="D3103" s="1">
        <v>46157.625</v>
      </c>
      <c r="E3103">
        <v>6500</v>
      </c>
      <c r="F3103" t="s">
        <v>36</v>
      </c>
      <c r="G3103">
        <v>2.4700000000000002</v>
      </c>
      <c r="H3103">
        <v>3.97</v>
      </c>
      <c r="I3103">
        <v>2.15</v>
      </c>
      <c r="J3103">
        <v>2.66</v>
      </c>
      <c r="K3103">
        <v>268</v>
      </c>
      <c r="L3103">
        <v>72</v>
      </c>
      <c r="M3103">
        <v>2.65</v>
      </c>
      <c r="N3103">
        <v>3</v>
      </c>
      <c r="O3103">
        <v>2.75</v>
      </c>
      <c r="P3103">
        <v>0</v>
      </c>
      <c r="Q3103">
        <v>0</v>
      </c>
      <c r="R3103">
        <v>0</v>
      </c>
      <c r="S3103">
        <v>0</v>
      </c>
      <c r="T3103">
        <v>0.2928</v>
      </c>
      <c r="U3103">
        <v>-2.0500000000000001E-2</v>
      </c>
      <c r="V3103">
        <v>1E-4</v>
      </c>
      <c r="W3103">
        <v>-0.74219999999999997</v>
      </c>
      <c r="X3103">
        <v>0.64559999999999995</v>
      </c>
      <c r="Y3103">
        <v>-4.3999999999999997E-2</v>
      </c>
      <c r="Z3103">
        <v>140</v>
      </c>
      <c r="AA3103">
        <v>2.6</v>
      </c>
      <c r="AB3103">
        <v>288</v>
      </c>
      <c r="AC3103">
        <v>2.8</v>
      </c>
      <c r="AD3103">
        <v>0</v>
      </c>
      <c r="AE3103">
        <v>0</v>
      </c>
      <c r="AF3103">
        <v>3.2477</v>
      </c>
      <c r="AG3103">
        <v>3166</v>
      </c>
      <c r="AH3103">
        <v>0</v>
      </c>
    </row>
    <row r="3104" spans="1:34" x14ac:dyDescent="0.35">
      <c r="A3104" t="s">
        <v>34</v>
      </c>
      <c r="B3104" s="1">
        <v>46146.65625</v>
      </c>
      <c r="C3104" t="s">
        <v>34</v>
      </c>
      <c r="D3104" s="1">
        <v>46157.625</v>
      </c>
      <c r="E3104">
        <v>6505</v>
      </c>
      <c r="F3104" t="s">
        <v>36</v>
      </c>
      <c r="G3104">
        <v>4.3499999999999996</v>
      </c>
      <c r="H3104">
        <v>4.3499999999999996</v>
      </c>
      <c r="I3104">
        <v>4.3499999999999996</v>
      </c>
      <c r="J3104">
        <v>4.3499999999999996</v>
      </c>
      <c r="K3104">
        <v>1</v>
      </c>
      <c r="L3104">
        <v>237</v>
      </c>
      <c r="M3104">
        <v>2.65</v>
      </c>
      <c r="N3104">
        <v>15</v>
      </c>
      <c r="O3104">
        <v>2.8</v>
      </c>
      <c r="P3104">
        <v>0</v>
      </c>
      <c r="Q3104">
        <v>0</v>
      </c>
      <c r="R3104">
        <v>0</v>
      </c>
      <c r="S3104">
        <v>0</v>
      </c>
      <c r="T3104">
        <v>0.29099999999999998</v>
      </c>
      <c r="U3104">
        <v>-2.07E-2</v>
      </c>
      <c r="V3104">
        <v>1E-4</v>
      </c>
      <c r="W3104">
        <v>-0.74660000000000004</v>
      </c>
      <c r="X3104">
        <v>0.6532</v>
      </c>
      <c r="Y3104">
        <v>-4.4600000000000001E-2</v>
      </c>
      <c r="Z3104">
        <v>41</v>
      </c>
      <c r="AA3104">
        <v>2.65</v>
      </c>
      <c r="AB3104">
        <v>40</v>
      </c>
      <c r="AC3104">
        <v>2.8</v>
      </c>
      <c r="AD3104">
        <v>0</v>
      </c>
      <c r="AE3104">
        <v>0</v>
      </c>
      <c r="AF3104">
        <v>4.3499999999999996</v>
      </c>
      <c r="AG3104">
        <v>136</v>
      </c>
      <c r="AH3104">
        <v>0</v>
      </c>
    </row>
    <row r="3105" spans="1:34" x14ac:dyDescent="0.35">
      <c r="A3105" t="s">
        <v>34</v>
      </c>
      <c r="B3105" s="1">
        <v>46146.65625</v>
      </c>
      <c r="C3105" t="s">
        <v>34</v>
      </c>
      <c r="D3105" s="1">
        <v>46157.625</v>
      </c>
      <c r="E3105">
        <v>6510</v>
      </c>
      <c r="F3105" t="s">
        <v>36</v>
      </c>
      <c r="G3105">
        <v>2.5299999999999998</v>
      </c>
      <c r="H3105">
        <v>2.5299999999999998</v>
      </c>
      <c r="I3105">
        <v>2.25</v>
      </c>
      <c r="J3105">
        <v>2.2999999999999998</v>
      </c>
      <c r="K3105">
        <v>12</v>
      </c>
      <c r="L3105">
        <v>161</v>
      </c>
      <c r="M3105">
        <v>2.7</v>
      </c>
      <c r="N3105">
        <v>42</v>
      </c>
      <c r="O3105">
        <v>2.85</v>
      </c>
      <c r="P3105">
        <v>0</v>
      </c>
      <c r="Q3105">
        <v>0</v>
      </c>
      <c r="R3105">
        <v>0</v>
      </c>
      <c r="S3105">
        <v>0</v>
      </c>
      <c r="T3105">
        <v>0.29020000000000001</v>
      </c>
      <c r="U3105">
        <v>-2.1100000000000001E-2</v>
      </c>
      <c r="V3105">
        <v>1E-4</v>
      </c>
      <c r="W3105">
        <v>-0.75700000000000001</v>
      </c>
      <c r="X3105">
        <v>0.66359999999999997</v>
      </c>
      <c r="Y3105">
        <v>-4.5499999999999999E-2</v>
      </c>
      <c r="Z3105">
        <v>122</v>
      </c>
      <c r="AA3105">
        <v>2.65</v>
      </c>
      <c r="AB3105">
        <v>169</v>
      </c>
      <c r="AC3105">
        <v>2.85</v>
      </c>
      <c r="AD3105">
        <v>0</v>
      </c>
      <c r="AE3105">
        <v>0</v>
      </c>
      <c r="AF3105">
        <v>2.4874999999999998</v>
      </c>
      <c r="AG3105">
        <v>199</v>
      </c>
      <c r="AH3105">
        <v>0</v>
      </c>
    </row>
    <row r="3106" spans="1:34" x14ac:dyDescent="0.35">
      <c r="A3106" t="s">
        <v>34</v>
      </c>
      <c r="B3106" s="1">
        <v>46146.65625</v>
      </c>
      <c r="C3106" t="s">
        <v>34</v>
      </c>
      <c r="D3106" s="1">
        <v>46157.625</v>
      </c>
      <c r="E3106">
        <v>6515</v>
      </c>
      <c r="F3106" t="s">
        <v>36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107</v>
      </c>
      <c r="M3106">
        <v>2.75</v>
      </c>
      <c r="N3106">
        <v>57</v>
      </c>
      <c r="O3106">
        <v>2.9</v>
      </c>
      <c r="P3106">
        <v>0</v>
      </c>
      <c r="Q3106">
        <v>0</v>
      </c>
      <c r="R3106">
        <v>0</v>
      </c>
      <c r="S3106">
        <v>0</v>
      </c>
      <c r="T3106">
        <v>0.28910000000000002</v>
      </c>
      <c r="U3106">
        <v>-2.1499999999999998E-2</v>
      </c>
      <c r="V3106">
        <v>1E-4</v>
      </c>
      <c r="W3106">
        <v>-0.7671</v>
      </c>
      <c r="X3106">
        <v>0.67430000000000001</v>
      </c>
      <c r="Y3106">
        <v>-4.6399999999999997E-2</v>
      </c>
      <c r="Z3106">
        <v>86</v>
      </c>
      <c r="AA3106">
        <v>2.7</v>
      </c>
      <c r="AB3106">
        <v>186</v>
      </c>
      <c r="AC3106">
        <v>2.9</v>
      </c>
      <c r="AD3106">
        <v>0</v>
      </c>
      <c r="AE3106">
        <v>0</v>
      </c>
      <c r="AF3106">
        <v>0</v>
      </c>
      <c r="AG3106">
        <v>60</v>
      </c>
      <c r="AH3106">
        <v>0</v>
      </c>
    </row>
    <row r="3107" spans="1:34" x14ac:dyDescent="0.35">
      <c r="A3107" t="s">
        <v>34</v>
      </c>
      <c r="B3107" s="1">
        <v>46146.65625</v>
      </c>
      <c r="C3107" t="s">
        <v>34</v>
      </c>
      <c r="D3107" s="1">
        <v>46157.625</v>
      </c>
      <c r="E3107">
        <v>6520</v>
      </c>
      <c r="F3107" t="s">
        <v>36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90</v>
      </c>
      <c r="M3107">
        <v>2.8</v>
      </c>
      <c r="N3107">
        <v>93</v>
      </c>
      <c r="O3107">
        <v>2.95</v>
      </c>
      <c r="P3107">
        <v>0</v>
      </c>
      <c r="Q3107">
        <v>0</v>
      </c>
      <c r="R3107">
        <v>0</v>
      </c>
      <c r="S3107">
        <v>0</v>
      </c>
      <c r="T3107">
        <v>0.28810000000000002</v>
      </c>
      <c r="U3107">
        <v>-2.1899999999999999E-2</v>
      </c>
      <c r="V3107">
        <v>1E-4</v>
      </c>
      <c r="W3107">
        <v>-0.7772</v>
      </c>
      <c r="X3107">
        <v>0.68489999999999995</v>
      </c>
      <c r="Y3107">
        <v>-4.7300000000000002E-2</v>
      </c>
      <c r="Z3107">
        <v>96</v>
      </c>
      <c r="AA3107">
        <v>2.75</v>
      </c>
      <c r="AB3107">
        <v>257</v>
      </c>
      <c r="AC3107">
        <v>2.95</v>
      </c>
      <c r="AD3107">
        <v>0</v>
      </c>
      <c r="AE3107">
        <v>0</v>
      </c>
      <c r="AF3107">
        <v>0</v>
      </c>
      <c r="AG3107">
        <v>260</v>
      </c>
      <c r="AH3107">
        <v>0</v>
      </c>
    </row>
    <row r="3108" spans="1:34" x14ac:dyDescent="0.35">
      <c r="A3108" t="s">
        <v>34</v>
      </c>
      <c r="B3108" s="1">
        <v>46146.65625</v>
      </c>
      <c r="C3108" t="s">
        <v>34</v>
      </c>
      <c r="D3108" s="1">
        <v>46157.625</v>
      </c>
      <c r="E3108">
        <v>6525</v>
      </c>
      <c r="F3108" t="s">
        <v>36</v>
      </c>
      <c r="G3108">
        <v>3.8</v>
      </c>
      <c r="H3108">
        <v>3.8</v>
      </c>
      <c r="I3108">
        <v>3.6</v>
      </c>
      <c r="J3108">
        <v>3.8</v>
      </c>
      <c r="K3108">
        <v>4</v>
      </c>
      <c r="L3108">
        <v>84</v>
      </c>
      <c r="M3108">
        <v>2.85</v>
      </c>
      <c r="N3108">
        <v>99</v>
      </c>
      <c r="O3108">
        <v>3</v>
      </c>
      <c r="P3108">
        <v>0</v>
      </c>
      <c r="Q3108">
        <v>0</v>
      </c>
      <c r="R3108">
        <v>0</v>
      </c>
      <c r="S3108">
        <v>0</v>
      </c>
      <c r="T3108">
        <v>0.28699999999999998</v>
      </c>
      <c r="U3108">
        <v>-2.23E-2</v>
      </c>
      <c r="V3108">
        <v>2.0000000000000001E-4</v>
      </c>
      <c r="W3108">
        <v>-0.78710000000000002</v>
      </c>
      <c r="X3108">
        <v>0.69569999999999999</v>
      </c>
      <c r="Y3108">
        <v>-4.82E-2</v>
      </c>
      <c r="Z3108">
        <v>112</v>
      </c>
      <c r="AA3108">
        <v>2.8</v>
      </c>
      <c r="AB3108">
        <v>254</v>
      </c>
      <c r="AC3108">
        <v>3</v>
      </c>
      <c r="AD3108">
        <v>0</v>
      </c>
      <c r="AE3108">
        <v>0</v>
      </c>
      <c r="AF3108">
        <v>3.7</v>
      </c>
      <c r="AG3108">
        <v>266</v>
      </c>
      <c r="AH3108">
        <v>0</v>
      </c>
    </row>
    <row r="3109" spans="1:34" x14ac:dyDescent="0.35">
      <c r="A3109" t="s">
        <v>34</v>
      </c>
      <c r="B3109" s="1">
        <v>46146.65625</v>
      </c>
      <c r="C3109" t="s">
        <v>34</v>
      </c>
      <c r="D3109" s="1">
        <v>46157.625</v>
      </c>
      <c r="E3109">
        <v>6530</v>
      </c>
      <c r="F3109" t="s">
        <v>36</v>
      </c>
      <c r="G3109">
        <v>4.6500000000000004</v>
      </c>
      <c r="H3109">
        <v>4.6500000000000004</v>
      </c>
      <c r="I3109">
        <v>4.6500000000000004</v>
      </c>
      <c r="J3109">
        <v>4.6500000000000004</v>
      </c>
      <c r="K3109">
        <v>1</v>
      </c>
      <c r="L3109">
        <v>36</v>
      </c>
      <c r="M3109">
        <v>2.9</v>
      </c>
      <c r="N3109">
        <v>232</v>
      </c>
      <c r="O3109">
        <v>3.1</v>
      </c>
      <c r="P3109">
        <v>0</v>
      </c>
      <c r="Q3109">
        <v>0</v>
      </c>
      <c r="R3109">
        <v>0</v>
      </c>
      <c r="S3109">
        <v>0</v>
      </c>
      <c r="T3109">
        <v>0.28549999999999998</v>
      </c>
      <c r="U3109">
        <v>-2.2599999999999999E-2</v>
      </c>
      <c r="V3109">
        <v>2.0000000000000001E-4</v>
      </c>
      <c r="W3109">
        <v>-0.79149999999999998</v>
      </c>
      <c r="X3109">
        <v>0.70299999999999996</v>
      </c>
      <c r="Y3109">
        <v>-4.8800000000000003E-2</v>
      </c>
      <c r="Z3109">
        <v>53</v>
      </c>
      <c r="AA3109">
        <v>2.85</v>
      </c>
      <c r="AB3109">
        <v>259</v>
      </c>
      <c r="AC3109">
        <v>3.1</v>
      </c>
      <c r="AD3109">
        <v>0</v>
      </c>
      <c r="AE3109">
        <v>0</v>
      </c>
      <c r="AF3109">
        <v>4.6500000000000004</v>
      </c>
      <c r="AG3109">
        <v>195</v>
      </c>
      <c r="AH3109">
        <v>0</v>
      </c>
    </row>
    <row r="3110" spans="1:34" x14ac:dyDescent="0.35">
      <c r="A3110" t="s">
        <v>34</v>
      </c>
      <c r="B3110" s="1">
        <v>46146.65625</v>
      </c>
      <c r="C3110" t="s">
        <v>34</v>
      </c>
      <c r="D3110" s="1">
        <v>46157.625</v>
      </c>
      <c r="E3110">
        <v>6535</v>
      </c>
      <c r="F3110" t="s">
        <v>36</v>
      </c>
      <c r="G3110">
        <v>2.42</v>
      </c>
      <c r="H3110">
        <v>3.4</v>
      </c>
      <c r="I3110">
        <v>2.42</v>
      </c>
      <c r="J3110">
        <v>3.4</v>
      </c>
      <c r="K3110">
        <v>51</v>
      </c>
      <c r="L3110">
        <v>36</v>
      </c>
      <c r="M3110">
        <v>2.95</v>
      </c>
      <c r="N3110">
        <v>140</v>
      </c>
      <c r="O3110">
        <v>3.1</v>
      </c>
      <c r="P3110">
        <v>0</v>
      </c>
      <c r="Q3110">
        <v>0</v>
      </c>
      <c r="R3110">
        <v>0</v>
      </c>
      <c r="S3110">
        <v>0</v>
      </c>
      <c r="T3110">
        <v>0.28420000000000001</v>
      </c>
      <c r="U3110">
        <v>-2.3E-2</v>
      </c>
      <c r="V3110">
        <v>2.0000000000000001E-4</v>
      </c>
      <c r="W3110">
        <v>-0.80110000000000003</v>
      </c>
      <c r="X3110">
        <v>0.71419999999999995</v>
      </c>
      <c r="Y3110">
        <v>-4.9700000000000001E-2</v>
      </c>
      <c r="Z3110">
        <v>56</v>
      </c>
      <c r="AA3110">
        <v>2.9</v>
      </c>
      <c r="AB3110">
        <v>190</v>
      </c>
      <c r="AC3110">
        <v>3.1</v>
      </c>
      <c r="AD3110">
        <v>0</v>
      </c>
      <c r="AE3110">
        <v>0</v>
      </c>
      <c r="AF3110">
        <v>3.3807999999999998</v>
      </c>
      <c r="AG3110">
        <v>35</v>
      </c>
      <c r="AH3110">
        <v>0</v>
      </c>
    </row>
    <row r="3111" spans="1:34" x14ac:dyDescent="0.35">
      <c r="A3111" t="s">
        <v>34</v>
      </c>
      <c r="B3111" s="1">
        <v>46146.65625</v>
      </c>
      <c r="C3111" t="s">
        <v>34</v>
      </c>
      <c r="D3111" s="1">
        <v>46157.625</v>
      </c>
      <c r="E3111">
        <v>6540</v>
      </c>
      <c r="F3111" t="s">
        <v>36</v>
      </c>
      <c r="G3111">
        <v>4.32</v>
      </c>
      <c r="H3111">
        <v>4.32</v>
      </c>
      <c r="I3111">
        <v>4.32</v>
      </c>
      <c r="J3111">
        <v>4.32</v>
      </c>
      <c r="K3111">
        <v>10</v>
      </c>
      <c r="L3111">
        <v>296</v>
      </c>
      <c r="M3111">
        <v>2.95</v>
      </c>
      <c r="N3111">
        <v>15</v>
      </c>
      <c r="O3111">
        <v>3.1</v>
      </c>
      <c r="P3111">
        <v>0</v>
      </c>
      <c r="Q3111">
        <v>0</v>
      </c>
      <c r="R3111">
        <v>0</v>
      </c>
      <c r="S3111">
        <v>0</v>
      </c>
      <c r="T3111">
        <v>0.28270000000000001</v>
      </c>
      <c r="U3111">
        <v>-2.3300000000000001E-2</v>
      </c>
      <c r="V3111">
        <v>2.0000000000000001E-4</v>
      </c>
      <c r="W3111">
        <v>-0.8054</v>
      </c>
      <c r="X3111">
        <v>0.72150000000000003</v>
      </c>
      <c r="Y3111">
        <v>-5.0299999999999997E-2</v>
      </c>
      <c r="Z3111">
        <v>56</v>
      </c>
      <c r="AA3111">
        <v>2.95</v>
      </c>
      <c r="AB3111">
        <v>182</v>
      </c>
      <c r="AC3111">
        <v>3.2</v>
      </c>
      <c r="AD3111">
        <v>0</v>
      </c>
      <c r="AE3111">
        <v>0</v>
      </c>
      <c r="AF3111">
        <v>4.32</v>
      </c>
      <c r="AG3111">
        <v>191</v>
      </c>
      <c r="AH3111">
        <v>0</v>
      </c>
    </row>
    <row r="3112" spans="1:34" x14ac:dyDescent="0.35">
      <c r="A3112" t="s">
        <v>34</v>
      </c>
      <c r="B3112" s="1">
        <v>46146.65625</v>
      </c>
      <c r="C3112" t="s">
        <v>34</v>
      </c>
      <c r="D3112" s="1">
        <v>46157.625</v>
      </c>
      <c r="E3112">
        <v>6545</v>
      </c>
      <c r="F3112" t="s">
        <v>36</v>
      </c>
      <c r="G3112">
        <v>3.5</v>
      </c>
      <c r="H3112">
        <v>3.5</v>
      </c>
      <c r="I3112">
        <v>3.5</v>
      </c>
      <c r="J3112">
        <v>3.5</v>
      </c>
      <c r="K3112">
        <v>49</v>
      </c>
      <c r="L3112">
        <v>291</v>
      </c>
      <c r="M3112">
        <v>3</v>
      </c>
      <c r="N3112">
        <v>139</v>
      </c>
      <c r="O3112">
        <v>3.2</v>
      </c>
      <c r="P3112">
        <v>0</v>
      </c>
      <c r="Q3112">
        <v>0</v>
      </c>
      <c r="R3112">
        <v>0</v>
      </c>
      <c r="S3112">
        <v>0</v>
      </c>
      <c r="T3112">
        <v>0.28189999999999998</v>
      </c>
      <c r="U3112">
        <v>-2.3900000000000001E-2</v>
      </c>
      <c r="V3112">
        <v>2.0000000000000001E-4</v>
      </c>
      <c r="W3112">
        <v>-0.82050000000000001</v>
      </c>
      <c r="X3112">
        <v>0.73580000000000001</v>
      </c>
      <c r="Y3112">
        <v>-5.1499999999999997E-2</v>
      </c>
      <c r="Z3112">
        <v>95</v>
      </c>
      <c r="AA3112">
        <v>2.95</v>
      </c>
      <c r="AB3112">
        <v>204</v>
      </c>
      <c r="AC3112">
        <v>3.2</v>
      </c>
      <c r="AD3112">
        <v>0</v>
      </c>
      <c r="AE3112">
        <v>0</v>
      </c>
      <c r="AF3112">
        <v>3.5</v>
      </c>
      <c r="AG3112">
        <v>98</v>
      </c>
      <c r="AH3112">
        <v>0</v>
      </c>
    </row>
    <row r="3113" spans="1:34" x14ac:dyDescent="0.35">
      <c r="A3113" t="s">
        <v>34</v>
      </c>
      <c r="B3113" s="1">
        <v>46146.65625</v>
      </c>
      <c r="C3113" t="s">
        <v>34</v>
      </c>
      <c r="D3113" s="1">
        <v>46157.625</v>
      </c>
      <c r="E3113">
        <v>6550</v>
      </c>
      <c r="F3113" t="s">
        <v>36</v>
      </c>
      <c r="G3113">
        <v>2.5</v>
      </c>
      <c r="H3113">
        <v>4.62</v>
      </c>
      <c r="I3113">
        <v>2.5</v>
      </c>
      <c r="J3113">
        <v>3.1</v>
      </c>
      <c r="K3113">
        <v>20</v>
      </c>
      <c r="L3113">
        <v>332</v>
      </c>
      <c r="M3113">
        <v>3</v>
      </c>
      <c r="N3113">
        <v>79</v>
      </c>
      <c r="O3113">
        <v>3.2</v>
      </c>
      <c r="P3113">
        <v>0</v>
      </c>
      <c r="Q3113">
        <v>0</v>
      </c>
      <c r="R3113">
        <v>0</v>
      </c>
      <c r="S3113">
        <v>0</v>
      </c>
      <c r="T3113">
        <v>0.27979999999999999</v>
      </c>
      <c r="U3113">
        <v>-2.4E-2</v>
      </c>
      <c r="V3113">
        <v>2.0000000000000001E-4</v>
      </c>
      <c r="W3113">
        <v>-0.81910000000000005</v>
      </c>
      <c r="X3113">
        <v>0.74019999999999997</v>
      </c>
      <c r="Y3113">
        <v>-5.1900000000000002E-2</v>
      </c>
      <c r="Z3113">
        <v>147</v>
      </c>
      <c r="AA3113">
        <v>3</v>
      </c>
      <c r="AB3113">
        <v>82</v>
      </c>
      <c r="AC3113">
        <v>3.2</v>
      </c>
      <c r="AD3113">
        <v>0</v>
      </c>
      <c r="AE3113">
        <v>0</v>
      </c>
      <c r="AF3113">
        <v>3.1465000000000001</v>
      </c>
      <c r="AG3113">
        <v>938</v>
      </c>
      <c r="AH3113">
        <v>0</v>
      </c>
    </row>
    <row r="3114" spans="1:34" x14ac:dyDescent="0.35">
      <c r="A3114" t="s">
        <v>34</v>
      </c>
      <c r="B3114" s="1">
        <v>46146.65625</v>
      </c>
      <c r="C3114" t="s">
        <v>34</v>
      </c>
      <c r="D3114" s="1">
        <v>46157.625</v>
      </c>
      <c r="E3114">
        <v>6555</v>
      </c>
      <c r="F3114" t="s">
        <v>36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116</v>
      </c>
      <c r="M3114">
        <v>3.1</v>
      </c>
      <c r="N3114">
        <v>106</v>
      </c>
      <c r="O3114">
        <v>3.3</v>
      </c>
      <c r="P3114">
        <v>0</v>
      </c>
      <c r="Q3114">
        <v>0</v>
      </c>
      <c r="R3114">
        <v>0</v>
      </c>
      <c r="S3114">
        <v>0</v>
      </c>
      <c r="T3114">
        <v>0.27960000000000002</v>
      </c>
      <c r="U3114">
        <v>-2.47E-2</v>
      </c>
      <c r="V3114">
        <v>2.0000000000000001E-4</v>
      </c>
      <c r="W3114">
        <v>-0.83940000000000003</v>
      </c>
      <c r="X3114">
        <v>0.75760000000000005</v>
      </c>
      <c r="Y3114">
        <v>-5.3400000000000003E-2</v>
      </c>
      <c r="Z3114">
        <v>76</v>
      </c>
      <c r="AA3114">
        <v>3</v>
      </c>
      <c r="AB3114">
        <v>189</v>
      </c>
      <c r="AC3114">
        <v>3.3</v>
      </c>
      <c r="AD3114">
        <v>0</v>
      </c>
      <c r="AE3114">
        <v>0</v>
      </c>
      <c r="AF3114">
        <v>0</v>
      </c>
      <c r="AG3114">
        <v>54</v>
      </c>
      <c r="AH3114">
        <v>0</v>
      </c>
    </row>
    <row r="3115" spans="1:34" x14ac:dyDescent="0.35">
      <c r="A3115" t="s">
        <v>34</v>
      </c>
      <c r="B3115" s="1">
        <v>46146.65625</v>
      </c>
      <c r="C3115" t="s">
        <v>34</v>
      </c>
      <c r="D3115" s="1">
        <v>46157.625</v>
      </c>
      <c r="E3115">
        <v>6560</v>
      </c>
      <c r="F3115" t="s">
        <v>36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292</v>
      </c>
      <c r="M3115">
        <v>3.1</v>
      </c>
      <c r="N3115">
        <v>15</v>
      </c>
      <c r="O3115">
        <v>3.3</v>
      </c>
      <c r="P3115">
        <v>0</v>
      </c>
      <c r="Q3115">
        <v>0</v>
      </c>
      <c r="R3115">
        <v>0</v>
      </c>
      <c r="S3115">
        <v>0</v>
      </c>
      <c r="T3115">
        <v>0.2777</v>
      </c>
      <c r="U3115">
        <v>-2.4899999999999999E-2</v>
      </c>
      <c r="V3115">
        <v>2.0000000000000001E-4</v>
      </c>
      <c r="W3115">
        <v>-0.83819999999999995</v>
      </c>
      <c r="X3115">
        <v>0.76170000000000004</v>
      </c>
      <c r="Y3115">
        <v>-5.3699999999999998E-2</v>
      </c>
      <c r="Z3115">
        <v>115</v>
      </c>
      <c r="AA3115">
        <v>3.1</v>
      </c>
      <c r="AB3115">
        <v>39</v>
      </c>
      <c r="AC3115">
        <v>3.3</v>
      </c>
      <c r="AD3115">
        <v>0</v>
      </c>
      <c r="AE3115">
        <v>0</v>
      </c>
      <c r="AF3115">
        <v>0</v>
      </c>
      <c r="AG3115">
        <v>157</v>
      </c>
      <c r="AH3115">
        <v>0</v>
      </c>
    </row>
    <row r="3116" spans="1:34" x14ac:dyDescent="0.35">
      <c r="A3116" t="s">
        <v>34</v>
      </c>
      <c r="B3116" s="1">
        <v>46146.65625</v>
      </c>
      <c r="C3116" t="s">
        <v>34</v>
      </c>
      <c r="D3116" s="1">
        <v>46157.625</v>
      </c>
      <c r="E3116">
        <v>6565</v>
      </c>
      <c r="F3116" t="s">
        <v>36</v>
      </c>
      <c r="G3116">
        <v>2.52</v>
      </c>
      <c r="H3116">
        <v>2.52</v>
      </c>
      <c r="I3116">
        <v>2.52</v>
      </c>
      <c r="J3116">
        <v>2.52</v>
      </c>
      <c r="K3116">
        <v>1</v>
      </c>
      <c r="L3116">
        <v>226</v>
      </c>
      <c r="M3116">
        <v>3.2</v>
      </c>
      <c r="N3116">
        <v>116</v>
      </c>
      <c r="O3116">
        <v>3.4</v>
      </c>
      <c r="P3116">
        <v>0</v>
      </c>
      <c r="Q3116">
        <v>0</v>
      </c>
      <c r="R3116">
        <v>0</v>
      </c>
      <c r="S3116">
        <v>0</v>
      </c>
      <c r="T3116">
        <v>0.27710000000000001</v>
      </c>
      <c r="U3116">
        <v>-2.5600000000000001E-2</v>
      </c>
      <c r="V3116">
        <v>2.0000000000000001E-4</v>
      </c>
      <c r="W3116">
        <v>-0.85799999999999998</v>
      </c>
      <c r="X3116">
        <v>0.77949999999999997</v>
      </c>
      <c r="Y3116">
        <v>-5.5300000000000002E-2</v>
      </c>
      <c r="Z3116">
        <v>76</v>
      </c>
      <c r="AA3116">
        <v>3.1</v>
      </c>
      <c r="AB3116">
        <v>176</v>
      </c>
      <c r="AC3116">
        <v>3.4</v>
      </c>
      <c r="AD3116">
        <v>0</v>
      </c>
      <c r="AE3116">
        <v>0</v>
      </c>
      <c r="AF3116">
        <v>2.52</v>
      </c>
      <c r="AG3116">
        <v>51</v>
      </c>
      <c r="AH3116">
        <v>0</v>
      </c>
    </row>
    <row r="3117" spans="1:34" x14ac:dyDescent="0.35">
      <c r="A3117" t="s">
        <v>34</v>
      </c>
      <c r="B3117" s="1">
        <v>46146.65625</v>
      </c>
      <c r="C3117" t="s">
        <v>34</v>
      </c>
      <c r="D3117" s="1">
        <v>46157.625</v>
      </c>
      <c r="E3117">
        <v>6570</v>
      </c>
      <c r="F3117" t="s">
        <v>36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309</v>
      </c>
      <c r="M3117">
        <v>3.2</v>
      </c>
      <c r="N3117">
        <v>19</v>
      </c>
      <c r="O3117">
        <v>3.4</v>
      </c>
      <c r="P3117">
        <v>0</v>
      </c>
      <c r="Q3117">
        <v>0</v>
      </c>
      <c r="R3117">
        <v>0</v>
      </c>
      <c r="S3117">
        <v>0</v>
      </c>
      <c r="T3117">
        <v>0.2752</v>
      </c>
      <c r="U3117">
        <v>-2.58E-2</v>
      </c>
      <c r="V3117">
        <v>2.0000000000000001E-4</v>
      </c>
      <c r="W3117">
        <v>-0.85670000000000002</v>
      </c>
      <c r="X3117">
        <v>0.78390000000000004</v>
      </c>
      <c r="Y3117">
        <v>-5.5599999999999997E-2</v>
      </c>
      <c r="Z3117">
        <v>111</v>
      </c>
      <c r="AA3117">
        <v>3.2</v>
      </c>
      <c r="AB3117">
        <v>252</v>
      </c>
      <c r="AC3117">
        <v>3.5</v>
      </c>
      <c r="AD3117">
        <v>0</v>
      </c>
      <c r="AE3117">
        <v>0</v>
      </c>
      <c r="AF3117">
        <v>0</v>
      </c>
      <c r="AG3117">
        <v>154</v>
      </c>
      <c r="AH3117">
        <v>0</v>
      </c>
    </row>
    <row r="3118" spans="1:34" x14ac:dyDescent="0.35">
      <c r="A3118" t="s">
        <v>34</v>
      </c>
      <c r="B3118" s="1">
        <v>46146.65625</v>
      </c>
      <c r="C3118" t="s">
        <v>34</v>
      </c>
      <c r="D3118" s="1">
        <v>46157.625</v>
      </c>
      <c r="E3118">
        <v>6575</v>
      </c>
      <c r="F3118" t="s">
        <v>36</v>
      </c>
      <c r="G3118">
        <v>3.1</v>
      </c>
      <c r="H3118">
        <v>5.2</v>
      </c>
      <c r="I3118">
        <v>2.92</v>
      </c>
      <c r="J3118">
        <v>3.4</v>
      </c>
      <c r="K3118">
        <v>84</v>
      </c>
      <c r="L3118">
        <v>301</v>
      </c>
      <c r="M3118">
        <v>3.3</v>
      </c>
      <c r="N3118">
        <v>192</v>
      </c>
      <c r="O3118">
        <v>3.5</v>
      </c>
      <c r="P3118">
        <v>0</v>
      </c>
      <c r="Q3118">
        <v>0</v>
      </c>
      <c r="R3118">
        <v>0</v>
      </c>
      <c r="S3118">
        <v>0</v>
      </c>
      <c r="T3118">
        <v>0.27460000000000001</v>
      </c>
      <c r="U3118">
        <v>-2.6499999999999999E-2</v>
      </c>
      <c r="V3118">
        <v>2.0000000000000001E-4</v>
      </c>
      <c r="W3118">
        <v>-0.87629999999999997</v>
      </c>
      <c r="X3118">
        <v>0.80159999999999998</v>
      </c>
      <c r="Y3118">
        <v>-5.7200000000000001E-2</v>
      </c>
      <c r="Z3118">
        <v>146</v>
      </c>
      <c r="AA3118">
        <v>3.2</v>
      </c>
      <c r="AB3118">
        <v>222</v>
      </c>
      <c r="AC3118">
        <v>3.5</v>
      </c>
      <c r="AD3118">
        <v>0</v>
      </c>
      <c r="AE3118">
        <v>0</v>
      </c>
      <c r="AF3118">
        <v>3.6046</v>
      </c>
      <c r="AG3118">
        <v>643</v>
      </c>
      <c r="AH3118">
        <v>0</v>
      </c>
    </row>
    <row r="3119" spans="1:34" x14ac:dyDescent="0.35">
      <c r="A3119" t="s">
        <v>34</v>
      </c>
      <c r="B3119" s="1">
        <v>46146.65625</v>
      </c>
      <c r="C3119" t="s">
        <v>34</v>
      </c>
      <c r="D3119" s="1">
        <v>46157.625</v>
      </c>
      <c r="E3119">
        <v>6580</v>
      </c>
      <c r="F3119" t="s">
        <v>36</v>
      </c>
      <c r="G3119">
        <v>2.69</v>
      </c>
      <c r="H3119">
        <v>2.69</v>
      </c>
      <c r="I3119">
        <v>2.61</v>
      </c>
      <c r="J3119">
        <v>2.61</v>
      </c>
      <c r="K3119">
        <v>2</v>
      </c>
      <c r="L3119">
        <v>34</v>
      </c>
      <c r="M3119">
        <v>3.4</v>
      </c>
      <c r="N3119">
        <v>296</v>
      </c>
      <c r="O3119">
        <v>3.6</v>
      </c>
      <c r="P3119">
        <v>0</v>
      </c>
      <c r="Q3119">
        <v>0</v>
      </c>
      <c r="R3119">
        <v>0</v>
      </c>
      <c r="S3119">
        <v>0</v>
      </c>
      <c r="T3119">
        <v>0.27410000000000001</v>
      </c>
      <c r="U3119">
        <v>-2.7199999999999998E-2</v>
      </c>
      <c r="V3119">
        <v>2.0000000000000001E-4</v>
      </c>
      <c r="W3119">
        <v>-0.89570000000000005</v>
      </c>
      <c r="X3119">
        <v>0.81940000000000002</v>
      </c>
      <c r="Y3119">
        <v>-5.8799999999999998E-2</v>
      </c>
      <c r="Z3119">
        <v>125</v>
      </c>
      <c r="AA3119">
        <v>3.3</v>
      </c>
      <c r="AB3119">
        <v>246</v>
      </c>
      <c r="AC3119">
        <v>3.6</v>
      </c>
      <c r="AD3119">
        <v>0</v>
      </c>
      <c r="AE3119">
        <v>0</v>
      </c>
      <c r="AF3119">
        <v>2.65</v>
      </c>
      <c r="AG3119">
        <v>280</v>
      </c>
      <c r="AH3119">
        <v>0</v>
      </c>
    </row>
    <row r="3120" spans="1:34" x14ac:dyDescent="0.35">
      <c r="A3120" t="s">
        <v>34</v>
      </c>
      <c r="B3120" s="1">
        <v>46146.65625</v>
      </c>
      <c r="C3120" t="s">
        <v>34</v>
      </c>
      <c r="D3120" s="1">
        <v>46157.625</v>
      </c>
      <c r="E3120">
        <v>6585</v>
      </c>
      <c r="F3120" t="s">
        <v>36</v>
      </c>
      <c r="G3120">
        <v>2.74</v>
      </c>
      <c r="H3120">
        <v>2.74</v>
      </c>
      <c r="I3120">
        <v>2.74</v>
      </c>
      <c r="J3120">
        <v>2.74</v>
      </c>
      <c r="K3120">
        <v>1</v>
      </c>
      <c r="L3120">
        <v>243</v>
      </c>
      <c r="M3120">
        <v>3.4</v>
      </c>
      <c r="N3120">
        <v>48</v>
      </c>
      <c r="O3120">
        <v>3.6</v>
      </c>
      <c r="P3120">
        <v>0</v>
      </c>
      <c r="Q3120">
        <v>0</v>
      </c>
      <c r="R3120">
        <v>0</v>
      </c>
      <c r="S3120">
        <v>0</v>
      </c>
      <c r="T3120">
        <v>0.27210000000000001</v>
      </c>
      <c r="U3120">
        <v>-2.7400000000000001E-2</v>
      </c>
      <c r="V3120">
        <v>2.0000000000000001E-4</v>
      </c>
      <c r="W3120">
        <v>-0.89419999999999999</v>
      </c>
      <c r="X3120">
        <v>0.82399999999999995</v>
      </c>
      <c r="Y3120">
        <v>-5.91E-2</v>
      </c>
      <c r="Z3120">
        <v>40</v>
      </c>
      <c r="AA3120">
        <v>3.4</v>
      </c>
      <c r="AB3120">
        <v>211</v>
      </c>
      <c r="AC3120">
        <v>3.6</v>
      </c>
      <c r="AD3120">
        <v>0</v>
      </c>
      <c r="AE3120">
        <v>0</v>
      </c>
      <c r="AF3120">
        <v>2.74</v>
      </c>
      <c r="AG3120">
        <v>65</v>
      </c>
      <c r="AH3120">
        <v>0</v>
      </c>
    </row>
    <row r="3121" spans="1:34" x14ac:dyDescent="0.35">
      <c r="A3121" t="s">
        <v>34</v>
      </c>
      <c r="B3121" s="1">
        <v>46146.65625</v>
      </c>
      <c r="C3121" t="s">
        <v>34</v>
      </c>
      <c r="D3121" s="1">
        <v>46157.625</v>
      </c>
      <c r="E3121">
        <v>6590</v>
      </c>
      <c r="F3121" t="s">
        <v>36</v>
      </c>
      <c r="G3121">
        <v>4.5999999999999996</v>
      </c>
      <c r="H3121">
        <v>4.5999999999999996</v>
      </c>
      <c r="I3121">
        <v>3.4</v>
      </c>
      <c r="J3121">
        <v>3.6</v>
      </c>
      <c r="K3121">
        <v>26</v>
      </c>
      <c r="L3121">
        <v>136</v>
      </c>
      <c r="M3121">
        <v>3.5</v>
      </c>
      <c r="N3121">
        <v>203</v>
      </c>
      <c r="O3121">
        <v>3.7</v>
      </c>
      <c r="P3121">
        <v>0</v>
      </c>
      <c r="Q3121">
        <v>0</v>
      </c>
      <c r="R3121">
        <v>0</v>
      </c>
      <c r="S3121">
        <v>0</v>
      </c>
      <c r="T3121">
        <v>0.27160000000000001</v>
      </c>
      <c r="U3121">
        <v>-2.81E-2</v>
      </c>
      <c r="V3121">
        <v>2.0000000000000001E-4</v>
      </c>
      <c r="W3121">
        <v>-0.91339999999999999</v>
      </c>
      <c r="X3121">
        <v>0.84179999999999999</v>
      </c>
      <c r="Y3121">
        <v>-6.0699999999999997E-2</v>
      </c>
      <c r="Z3121">
        <v>128</v>
      </c>
      <c r="AA3121">
        <v>3.4</v>
      </c>
      <c r="AB3121">
        <v>263</v>
      </c>
      <c r="AC3121">
        <v>3.7</v>
      </c>
      <c r="AD3121">
        <v>0</v>
      </c>
      <c r="AE3121">
        <v>0</v>
      </c>
      <c r="AF3121">
        <v>4.5153999999999996</v>
      </c>
      <c r="AG3121">
        <v>313</v>
      </c>
      <c r="AH3121">
        <v>0</v>
      </c>
    </row>
    <row r="3122" spans="1:34" x14ac:dyDescent="0.35">
      <c r="A3122" t="s">
        <v>34</v>
      </c>
      <c r="B3122" s="1">
        <v>46146.65625</v>
      </c>
      <c r="C3122" t="s">
        <v>34</v>
      </c>
      <c r="D3122" s="1">
        <v>46157.625</v>
      </c>
      <c r="E3122">
        <v>6595</v>
      </c>
      <c r="F3122" t="s">
        <v>36</v>
      </c>
      <c r="G3122">
        <v>4.7</v>
      </c>
      <c r="H3122">
        <v>4.7</v>
      </c>
      <c r="I3122">
        <v>4.7</v>
      </c>
      <c r="J3122">
        <v>4.7</v>
      </c>
      <c r="K3122">
        <v>1</v>
      </c>
      <c r="L3122">
        <v>261</v>
      </c>
      <c r="M3122">
        <v>3.5</v>
      </c>
      <c r="N3122">
        <v>25</v>
      </c>
      <c r="O3122">
        <v>3.7</v>
      </c>
      <c r="P3122">
        <v>0</v>
      </c>
      <c r="Q3122">
        <v>0</v>
      </c>
      <c r="R3122">
        <v>0</v>
      </c>
      <c r="S3122">
        <v>0</v>
      </c>
      <c r="T3122">
        <v>0.26950000000000002</v>
      </c>
      <c r="U3122">
        <v>-2.8299999999999999E-2</v>
      </c>
      <c r="V3122">
        <v>2.0000000000000001E-4</v>
      </c>
      <c r="W3122">
        <v>-0.91180000000000005</v>
      </c>
      <c r="X3122">
        <v>0.8468</v>
      </c>
      <c r="Y3122">
        <v>-6.1100000000000002E-2</v>
      </c>
      <c r="Z3122">
        <v>57</v>
      </c>
      <c r="AA3122">
        <v>3.5</v>
      </c>
      <c r="AB3122">
        <v>46</v>
      </c>
      <c r="AC3122">
        <v>3.7</v>
      </c>
      <c r="AD3122">
        <v>0</v>
      </c>
      <c r="AE3122">
        <v>0</v>
      </c>
      <c r="AF3122">
        <v>4.7</v>
      </c>
      <c r="AG3122">
        <v>101</v>
      </c>
      <c r="AH3122">
        <v>0</v>
      </c>
    </row>
    <row r="3123" spans="1:34" x14ac:dyDescent="0.35">
      <c r="A3123" t="s">
        <v>34</v>
      </c>
      <c r="B3123" s="1">
        <v>46146.65625</v>
      </c>
      <c r="C3123" t="s">
        <v>34</v>
      </c>
      <c r="D3123" s="1">
        <v>46157.625</v>
      </c>
      <c r="E3123">
        <v>6600</v>
      </c>
      <c r="F3123" t="s">
        <v>36</v>
      </c>
      <c r="G3123">
        <v>3.3</v>
      </c>
      <c r="H3123">
        <v>5.43</v>
      </c>
      <c r="I3123">
        <v>2.82</v>
      </c>
      <c r="J3123">
        <v>3.59</v>
      </c>
      <c r="K3123">
        <v>97</v>
      </c>
      <c r="L3123">
        <v>298</v>
      </c>
      <c r="M3123">
        <v>3.6</v>
      </c>
      <c r="N3123">
        <v>150</v>
      </c>
      <c r="O3123">
        <v>3.8</v>
      </c>
      <c r="P3123">
        <v>0</v>
      </c>
      <c r="Q3123">
        <v>0</v>
      </c>
      <c r="R3123">
        <v>0</v>
      </c>
      <c r="S3123">
        <v>0</v>
      </c>
      <c r="T3123">
        <v>0.26879999999999998</v>
      </c>
      <c r="U3123">
        <v>-2.9100000000000001E-2</v>
      </c>
      <c r="V3123">
        <v>2.0000000000000001E-4</v>
      </c>
      <c r="W3123">
        <v>-0.93059999999999998</v>
      </c>
      <c r="X3123">
        <v>0.86499999999999999</v>
      </c>
      <c r="Y3123">
        <v>-6.2700000000000006E-2</v>
      </c>
      <c r="Z3123">
        <v>143</v>
      </c>
      <c r="AA3123">
        <v>3.5</v>
      </c>
      <c r="AB3123">
        <v>222</v>
      </c>
      <c r="AC3123">
        <v>3.8</v>
      </c>
      <c r="AD3123">
        <v>0</v>
      </c>
      <c r="AE3123">
        <v>0</v>
      </c>
      <c r="AF3123">
        <v>4.0269000000000004</v>
      </c>
      <c r="AG3123">
        <v>3189</v>
      </c>
      <c r="AH3123">
        <v>0</v>
      </c>
    </row>
    <row r="3124" spans="1:34" x14ac:dyDescent="0.35">
      <c r="A3124" t="s">
        <v>34</v>
      </c>
      <c r="B3124" s="1">
        <v>46146.65625</v>
      </c>
      <c r="C3124" t="s">
        <v>34</v>
      </c>
      <c r="D3124" s="1">
        <v>46157.625</v>
      </c>
      <c r="E3124">
        <v>6605</v>
      </c>
      <c r="F3124" t="s">
        <v>36</v>
      </c>
      <c r="G3124">
        <v>3.95</v>
      </c>
      <c r="H3124">
        <v>3.95</v>
      </c>
      <c r="I3124">
        <v>3.95</v>
      </c>
      <c r="J3124">
        <v>3.95</v>
      </c>
      <c r="K3124">
        <v>2</v>
      </c>
      <c r="L3124">
        <v>33</v>
      </c>
      <c r="M3124">
        <v>3.7</v>
      </c>
      <c r="N3124">
        <v>219</v>
      </c>
      <c r="O3124">
        <v>3.9</v>
      </c>
      <c r="P3124">
        <v>0</v>
      </c>
      <c r="Q3124">
        <v>0</v>
      </c>
      <c r="R3124">
        <v>0</v>
      </c>
      <c r="S3124">
        <v>0</v>
      </c>
      <c r="T3124">
        <v>0.26819999999999999</v>
      </c>
      <c r="U3124">
        <v>-2.98E-2</v>
      </c>
      <c r="V3124">
        <v>2.0000000000000001E-4</v>
      </c>
      <c r="W3124">
        <v>-0.94930000000000003</v>
      </c>
      <c r="X3124">
        <v>0.88300000000000001</v>
      </c>
      <c r="Y3124">
        <v>-6.4299999999999996E-2</v>
      </c>
      <c r="Z3124">
        <v>82</v>
      </c>
      <c r="AA3124">
        <v>3.6</v>
      </c>
      <c r="AB3124">
        <v>210</v>
      </c>
      <c r="AC3124">
        <v>3.9</v>
      </c>
      <c r="AD3124">
        <v>0</v>
      </c>
      <c r="AE3124">
        <v>0</v>
      </c>
      <c r="AF3124">
        <v>3.95</v>
      </c>
      <c r="AG3124">
        <v>107</v>
      </c>
      <c r="AH3124">
        <v>0</v>
      </c>
    </row>
    <row r="3125" spans="1:34" x14ac:dyDescent="0.35">
      <c r="A3125" t="s">
        <v>34</v>
      </c>
      <c r="B3125" s="1">
        <v>46146.65625</v>
      </c>
      <c r="C3125" t="s">
        <v>34</v>
      </c>
      <c r="D3125" s="1">
        <v>46157.625</v>
      </c>
      <c r="E3125">
        <v>6610</v>
      </c>
      <c r="F3125" t="s">
        <v>36</v>
      </c>
      <c r="G3125">
        <v>3.38</v>
      </c>
      <c r="H3125">
        <v>5.18</v>
      </c>
      <c r="I3125">
        <v>3.38</v>
      </c>
      <c r="J3125">
        <v>3.7</v>
      </c>
      <c r="K3125">
        <v>62</v>
      </c>
      <c r="L3125">
        <v>252</v>
      </c>
      <c r="M3125">
        <v>3.7</v>
      </c>
      <c r="N3125">
        <v>57</v>
      </c>
      <c r="O3125">
        <v>3.9</v>
      </c>
      <c r="P3125">
        <v>0</v>
      </c>
      <c r="Q3125">
        <v>0</v>
      </c>
      <c r="R3125">
        <v>0</v>
      </c>
      <c r="S3125">
        <v>0</v>
      </c>
      <c r="T3125">
        <v>0.2661</v>
      </c>
      <c r="U3125">
        <v>-0.03</v>
      </c>
      <c r="V3125">
        <v>2.0000000000000001E-4</v>
      </c>
      <c r="W3125">
        <v>-0.9476</v>
      </c>
      <c r="X3125">
        <v>0.88829999999999998</v>
      </c>
      <c r="Y3125">
        <v>-6.4699999999999994E-2</v>
      </c>
      <c r="Z3125">
        <v>87</v>
      </c>
      <c r="AA3125">
        <v>3.7</v>
      </c>
      <c r="AB3125">
        <v>149</v>
      </c>
      <c r="AC3125">
        <v>3.9</v>
      </c>
      <c r="AD3125">
        <v>0</v>
      </c>
      <c r="AE3125">
        <v>0</v>
      </c>
      <c r="AF3125">
        <v>3.6979000000000002</v>
      </c>
      <c r="AG3125">
        <v>138</v>
      </c>
      <c r="AH3125">
        <v>0</v>
      </c>
    </row>
    <row r="3126" spans="1:34" x14ac:dyDescent="0.35">
      <c r="A3126" t="s">
        <v>34</v>
      </c>
      <c r="B3126" s="1">
        <v>46146.65625</v>
      </c>
      <c r="C3126" t="s">
        <v>34</v>
      </c>
      <c r="D3126" s="1">
        <v>46157.625</v>
      </c>
      <c r="E3126">
        <v>6615</v>
      </c>
      <c r="F3126" t="s">
        <v>36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120</v>
      </c>
      <c r="M3126">
        <v>3.8</v>
      </c>
      <c r="N3126">
        <v>99</v>
      </c>
      <c r="O3126">
        <v>4</v>
      </c>
      <c r="P3126">
        <v>0</v>
      </c>
      <c r="Q3126">
        <v>0</v>
      </c>
      <c r="R3126">
        <v>0</v>
      </c>
      <c r="S3126">
        <v>0</v>
      </c>
      <c r="T3126">
        <v>0.26529999999999998</v>
      </c>
      <c r="U3126">
        <v>-3.0800000000000001E-2</v>
      </c>
      <c r="V3126">
        <v>2.0000000000000001E-4</v>
      </c>
      <c r="W3126">
        <v>-0.96579999999999999</v>
      </c>
      <c r="X3126">
        <v>0.90700000000000003</v>
      </c>
      <c r="Y3126">
        <v>-6.6400000000000001E-2</v>
      </c>
      <c r="Z3126">
        <v>79</v>
      </c>
      <c r="AA3126">
        <v>3.7</v>
      </c>
      <c r="AB3126">
        <v>168</v>
      </c>
      <c r="AC3126">
        <v>4</v>
      </c>
      <c r="AD3126">
        <v>0</v>
      </c>
      <c r="AE3126">
        <v>0</v>
      </c>
      <c r="AF3126">
        <v>0</v>
      </c>
      <c r="AG3126">
        <v>59</v>
      </c>
      <c r="AH3126">
        <v>0</v>
      </c>
    </row>
    <row r="3127" spans="1:34" x14ac:dyDescent="0.35">
      <c r="A3127" t="s">
        <v>34</v>
      </c>
      <c r="B3127" s="1">
        <v>46146.65625</v>
      </c>
      <c r="C3127" t="s">
        <v>34</v>
      </c>
      <c r="D3127" s="1">
        <v>46157.625</v>
      </c>
      <c r="E3127">
        <v>6620</v>
      </c>
      <c r="F3127" t="s">
        <v>36</v>
      </c>
      <c r="G3127">
        <v>4.0999999999999996</v>
      </c>
      <c r="H3127">
        <v>4.0999999999999996</v>
      </c>
      <c r="I3127">
        <v>4.0999999999999996</v>
      </c>
      <c r="J3127">
        <v>4.0999999999999996</v>
      </c>
      <c r="K3127">
        <v>26</v>
      </c>
      <c r="L3127">
        <v>81</v>
      </c>
      <c r="M3127">
        <v>3.9</v>
      </c>
      <c r="N3127">
        <v>209</v>
      </c>
      <c r="O3127">
        <v>4.0999999999999996</v>
      </c>
      <c r="P3127">
        <v>0</v>
      </c>
      <c r="Q3127">
        <v>0</v>
      </c>
      <c r="R3127">
        <v>0</v>
      </c>
      <c r="S3127">
        <v>0</v>
      </c>
      <c r="T3127">
        <v>0.2641</v>
      </c>
      <c r="U3127">
        <v>-3.1199999999999999E-2</v>
      </c>
      <c r="V3127">
        <v>2.0000000000000001E-4</v>
      </c>
      <c r="W3127">
        <v>-0.97419999999999995</v>
      </c>
      <c r="X3127">
        <v>0.91839999999999999</v>
      </c>
      <c r="Y3127">
        <v>-6.7400000000000002E-2</v>
      </c>
      <c r="Z3127">
        <v>122</v>
      </c>
      <c r="AA3127">
        <v>3.8</v>
      </c>
      <c r="AB3127">
        <v>192</v>
      </c>
      <c r="AC3127">
        <v>4.0999999999999996</v>
      </c>
      <c r="AD3127">
        <v>0</v>
      </c>
      <c r="AE3127">
        <v>0</v>
      </c>
      <c r="AF3127">
        <v>4.0999999999999996</v>
      </c>
      <c r="AG3127">
        <v>332</v>
      </c>
      <c r="AH3127">
        <v>0</v>
      </c>
    </row>
    <row r="3128" spans="1:34" x14ac:dyDescent="0.35">
      <c r="A3128" t="s">
        <v>34</v>
      </c>
      <c r="B3128" s="1">
        <v>46146.65625</v>
      </c>
      <c r="C3128" t="s">
        <v>34</v>
      </c>
      <c r="D3128" s="1">
        <v>46157.625</v>
      </c>
      <c r="E3128">
        <v>6625</v>
      </c>
      <c r="F3128" t="s">
        <v>36</v>
      </c>
      <c r="G3128">
        <v>3.5</v>
      </c>
      <c r="H3128">
        <v>4.5</v>
      </c>
      <c r="I3128">
        <v>3.5</v>
      </c>
      <c r="J3128">
        <v>4.5</v>
      </c>
      <c r="K3128">
        <v>45</v>
      </c>
      <c r="L3128">
        <v>277</v>
      </c>
      <c r="M3128">
        <v>3.9</v>
      </c>
      <c r="N3128">
        <v>84</v>
      </c>
      <c r="O3128">
        <v>4.0999999999999996</v>
      </c>
      <c r="P3128">
        <v>0</v>
      </c>
      <c r="Q3128">
        <v>0</v>
      </c>
      <c r="R3128">
        <v>0</v>
      </c>
      <c r="S3128">
        <v>0</v>
      </c>
      <c r="T3128">
        <v>0.2626</v>
      </c>
      <c r="U3128">
        <v>-3.1699999999999999E-2</v>
      </c>
      <c r="V3128">
        <v>2.0000000000000001E-4</v>
      </c>
      <c r="W3128">
        <v>-0.98219999999999996</v>
      </c>
      <c r="X3128">
        <v>0.93079999999999996</v>
      </c>
      <c r="Y3128">
        <v>-6.8500000000000005E-2</v>
      </c>
      <c r="Z3128">
        <v>118</v>
      </c>
      <c r="AA3128">
        <v>3.9</v>
      </c>
      <c r="AB3128">
        <v>82</v>
      </c>
      <c r="AC3128">
        <v>4.0999999999999996</v>
      </c>
      <c r="AD3128">
        <v>0</v>
      </c>
      <c r="AE3128">
        <v>0</v>
      </c>
      <c r="AF3128">
        <v>4.4778000000000002</v>
      </c>
      <c r="AG3128">
        <v>379</v>
      </c>
      <c r="AH3128">
        <v>0</v>
      </c>
    </row>
    <row r="3129" spans="1:34" x14ac:dyDescent="0.35">
      <c r="A3129" t="s">
        <v>34</v>
      </c>
      <c r="B3129" s="1">
        <v>46146.65625</v>
      </c>
      <c r="C3129" t="s">
        <v>34</v>
      </c>
      <c r="D3129" s="1">
        <v>46157.625</v>
      </c>
      <c r="E3129">
        <v>6630</v>
      </c>
      <c r="F3129" t="s">
        <v>36</v>
      </c>
      <c r="G3129">
        <v>4.3</v>
      </c>
      <c r="H3129">
        <v>4.3</v>
      </c>
      <c r="I3129">
        <v>4.3</v>
      </c>
      <c r="J3129">
        <v>4.3</v>
      </c>
      <c r="K3129">
        <v>2</v>
      </c>
      <c r="L3129">
        <v>160</v>
      </c>
      <c r="M3129">
        <v>4</v>
      </c>
      <c r="N3129">
        <v>81</v>
      </c>
      <c r="O3129">
        <v>4.2</v>
      </c>
      <c r="P3129">
        <v>0</v>
      </c>
      <c r="Q3129">
        <v>0</v>
      </c>
      <c r="R3129">
        <v>0</v>
      </c>
      <c r="S3129">
        <v>0</v>
      </c>
      <c r="T3129">
        <v>0.26179999999999998</v>
      </c>
      <c r="U3129">
        <v>-3.2500000000000001E-2</v>
      </c>
      <c r="V3129">
        <v>2.0000000000000001E-4</v>
      </c>
      <c r="W3129">
        <v>-1</v>
      </c>
      <c r="X3129">
        <v>0.94940000000000002</v>
      </c>
      <c r="Y3129">
        <v>-7.0199999999999999E-2</v>
      </c>
      <c r="Z3129">
        <v>114</v>
      </c>
      <c r="AA3129">
        <v>3.9</v>
      </c>
      <c r="AB3129">
        <v>108</v>
      </c>
      <c r="AC3129">
        <v>4.2</v>
      </c>
      <c r="AD3129">
        <v>0</v>
      </c>
      <c r="AE3129">
        <v>0</v>
      </c>
      <c r="AF3129">
        <v>4.3</v>
      </c>
      <c r="AG3129">
        <v>187</v>
      </c>
      <c r="AH3129">
        <v>0</v>
      </c>
    </row>
    <row r="3130" spans="1:34" x14ac:dyDescent="0.35">
      <c r="A3130" t="s">
        <v>34</v>
      </c>
      <c r="B3130" s="1">
        <v>46146.65625</v>
      </c>
      <c r="C3130" t="s">
        <v>34</v>
      </c>
      <c r="D3130" s="1">
        <v>46157.625</v>
      </c>
      <c r="E3130">
        <v>6635</v>
      </c>
      <c r="F3130" t="s">
        <v>36</v>
      </c>
      <c r="G3130">
        <v>4.47</v>
      </c>
      <c r="H3130">
        <v>4.47</v>
      </c>
      <c r="I3130">
        <v>4.47</v>
      </c>
      <c r="J3130">
        <v>4.47</v>
      </c>
      <c r="K3130">
        <v>54</v>
      </c>
      <c r="L3130">
        <v>132</v>
      </c>
      <c r="M3130">
        <v>4.0999999999999996</v>
      </c>
      <c r="N3130">
        <v>142</v>
      </c>
      <c r="O3130">
        <v>4.3</v>
      </c>
      <c r="P3130">
        <v>0</v>
      </c>
      <c r="Q3130">
        <v>0</v>
      </c>
      <c r="R3130">
        <v>0</v>
      </c>
      <c r="S3130">
        <v>0</v>
      </c>
      <c r="T3130">
        <v>0.26090000000000002</v>
      </c>
      <c r="U3130">
        <v>-3.3300000000000003E-2</v>
      </c>
      <c r="V3130">
        <v>2.0000000000000001E-4</v>
      </c>
      <c r="W3130">
        <v>-1.0175000000000001</v>
      </c>
      <c r="X3130">
        <v>0.96819999999999995</v>
      </c>
      <c r="Y3130">
        <v>-7.1900000000000006E-2</v>
      </c>
      <c r="Z3130">
        <v>88</v>
      </c>
      <c r="AA3130">
        <v>4</v>
      </c>
      <c r="AB3130">
        <v>150</v>
      </c>
      <c r="AC3130">
        <v>4.3</v>
      </c>
      <c r="AD3130">
        <v>0</v>
      </c>
      <c r="AE3130">
        <v>0</v>
      </c>
      <c r="AF3130">
        <v>4.47</v>
      </c>
      <c r="AG3130">
        <v>152</v>
      </c>
      <c r="AH3130">
        <v>0</v>
      </c>
    </row>
    <row r="3131" spans="1:34" x14ac:dyDescent="0.35">
      <c r="A3131" t="s">
        <v>34</v>
      </c>
      <c r="B3131" s="1">
        <v>46146.65625</v>
      </c>
      <c r="C3131" t="s">
        <v>34</v>
      </c>
      <c r="D3131" s="1">
        <v>46157.625</v>
      </c>
      <c r="E3131">
        <v>6640</v>
      </c>
      <c r="F3131" t="s">
        <v>36</v>
      </c>
      <c r="G3131">
        <v>3.76</v>
      </c>
      <c r="H3131">
        <v>6</v>
      </c>
      <c r="I3131">
        <v>3.37</v>
      </c>
      <c r="J3131">
        <v>5.59</v>
      </c>
      <c r="K3131">
        <v>30</v>
      </c>
      <c r="L3131">
        <v>263</v>
      </c>
      <c r="M3131">
        <v>4.0999999999999996</v>
      </c>
      <c r="N3131">
        <v>207</v>
      </c>
      <c r="O3131">
        <v>4.4000000000000004</v>
      </c>
      <c r="P3131">
        <v>0</v>
      </c>
      <c r="Q3131">
        <v>0</v>
      </c>
      <c r="R3131">
        <v>0</v>
      </c>
      <c r="S3131">
        <v>0</v>
      </c>
      <c r="T3131">
        <v>0.2596</v>
      </c>
      <c r="U3131">
        <v>-3.3799999999999997E-2</v>
      </c>
      <c r="V3131">
        <v>2.0000000000000001E-4</v>
      </c>
      <c r="W3131">
        <v>-1.0255000000000001</v>
      </c>
      <c r="X3131">
        <v>0.97989999999999999</v>
      </c>
      <c r="Y3131">
        <v>-7.2999999999999995E-2</v>
      </c>
      <c r="Z3131">
        <v>116</v>
      </c>
      <c r="AA3131">
        <v>4.0999999999999996</v>
      </c>
      <c r="AB3131">
        <v>189</v>
      </c>
      <c r="AC3131">
        <v>4.4000000000000004</v>
      </c>
      <c r="AD3131">
        <v>0</v>
      </c>
      <c r="AE3131">
        <v>0</v>
      </c>
      <c r="AF3131">
        <v>5.66</v>
      </c>
      <c r="AG3131">
        <v>172</v>
      </c>
      <c r="AH3131">
        <v>0</v>
      </c>
    </row>
    <row r="3132" spans="1:34" x14ac:dyDescent="0.35">
      <c r="A3132" t="s">
        <v>34</v>
      </c>
      <c r="B3132" s="1">
        <v>46146.65625</v>
      </c>
      <c r="C3132" t="s">
        <v>34</v>
      </c>
      <c r="D3132" s="1">
        <v>46157.625</v>
      </c>
      <c r="E3132">
        <v>6645</v>
      </c>
      <c r="F3132" t="s">
        <v>36</v>
      </c>
      <c r="G3132">
        <v>3.4</v>
      </c>
      <c r="H3132">
        <v>4.7</v>
      </c>
      <c r="I3132">
        <v>3.4</v>
      </c>
      <c r="J3132">
        <v>4.7</v>
      </c>
      <c r="K3132">
        <v>3</v>
      </c>
      <c r="L3132">
        <v>234</v>
      </c>
      <c r="M3132">
        <v>4.2</v>
      </c>
      <c r="N3132">
        <v>39</v>
      </c>
      <c r="O3132">
        <v>4.4000000000000004</v>
      </c>
      <c r="P3132">
        <v>0</v>
      </c>
      <c r="Q3132">
        <v>0</v>
      </c>
      <c r="R3132">
        <v>0</v>
      </c>
      <c r="S3132">
        <v>0</v>
      </c>
      <c r="T3132">
        <v>0.25800000000000001</v>
      </c>
      <c r="U3132">
        <v>-3.4299999999999997E-2</v>
      </c>
      <c r="V3132">
        <v>2.0000000000000001E-4</v>
      </c>
      <c r="W3132">
        <v>-1.0330999999999999</v>
      </c>
      <c r="X3132">
        <v>0.99260000000000004</v>
      </c>
      <c r="Y3132">
        <v>-7.4200000000000002E-2</v>
      </c>
      <c r="Z3132">
        <v>53</v>
      </c>
      <c r="AA3132">
        <v>4.2</v>
      </c>
      <c r="AB3132">
        <v>59</v>
      </c>
      <c r="AC3132">
        <v>4.4000000000000004</v>
      </c>
      <c r="AD3132">
        <v>0</v>
      </c>
      <c r="AE3132">
        <v>0</v>
      </c>
      <c r="AF3132">
        <v>3.8332999999999999</v>
      </c>
      <c r="AG3132">
        <v>2125</v>
      </c>
      <c r="AH3132">
        <v>0</v>
      </c>
    </row>
    <row r="3133" spans="1:34" x14ac:dyDescent="0.35">
      <c r="A3133" t="s">
        <v>34</v>
      </c>
      <c r="B3133" s="1">
        <v>46146.65625</v>
      </c>
      <c r="C3133" t="s">
        <v>34</v>
      </c>
      <c r="D3133" s="1">
        <v>46157.625</v>
      </c>
      <c r="E3133">
        <v>6650</v>
      </c>
      <c r="F3133" t="s">
        <v>36</v>
      </c>
      <c r="G3133">
        <v>3.71</v>
      </c>
      <c r="H3133">
        <v>6.5</v>
      </c>
      <c r="I3133">
        <v>3.33</v>
      </c>
      <c r="J3133">
        <v>4.25</v>
      </c>
      <c r="K3133">
        <v>82</v>
      </c>
      <c r="L3133">
        <v>267</v>
      </c>
      <c r="M3133">
        <v>4.3</v>
      </c>
      <c r="N3133">
        <v>82</v>
      </c>
      <c r="O3133">
        <v>4.5</v>
      </c>
      <c r="P3133">
        <v>0</v>
      </c>
      <c r="Q3133">
        <v>0</v>
      </c>
      <c r="R3133">
        <v>0</v>
      </c>
      <c r="S3133">
        <v>0</v>
      </c>
      <c r="T3133">
        <v>0.2571</v>
      </c>
      <c r="U3133">
        <v>-3.5099999999999999E-2</v>
      </c>
      <c r="V3133">
        <v>2.0000000000000001E-4</v>
      </c>
      <c r="W3133">
        <v>-1.0501</v>
      </c>
      <c r="X3133">
        <v>1.0112000000000001</v>
      </c>
      <c r="Y3133">
        <v>-7.5899999999999995E-2</v>
      </c>
      <c r="Z3133">
        <v>120</v>
      </c>
      <c r="AA3133">
        <v>4.2</v>
      </c>
      <c r="AB3133">
        <v>79</v>
      </c>
      <c r="AC3133">
        <v>4.5</v>
      </c>
      <c r="AD3133">
        <v>0</v>
      </c>
      <c r="AE3133">
        <v>0</v>
      </c>
      <c r="AF3133">
        <v>4.5101000000000004</v>
      </c>
      <c r="AG3133">
        <v>3559</v>
      </c>
      <c r="AH3133">
        <v>0</v>
      </c>
    </row>
    <row r="3134" spans="1:34" x14ac:dyDescent="0.35">
      <c r="A3134" t="s">
        <v>34</v>
      </c>
      <c r="B3134" s="1">
        <v>46146.65625</v>
      </c>
      <c r="C3134" t="s">
        <v>34</v>
      </c>
      <c r="D3134" s="1">
        <v>46157.625</v>
      </c>
      <c r="E3134">
        <v>6655</v>
      </c>
      <c r="F3134" t="s">
        <v>36</v>
      </c>
      <c r="G3134">
        <v>4.9000000000000004</v>
      </c>
      <c r="H3134">
        <v>4.9000000000000004</v>
      </c>
      <c r="I3134">
        <v>4.9000000000000004</v>
      </c>
      <c r="J3134">
        <v>4.9000000000000004</v>
      </c>
      <c r="K3134">
        <v>1</v>
      </c>
      <c r="L3134">
        <v>174</v>
      </c>
      <c r="M3134">
        <v>4.4000000000000004</v>
      </c>
      <c r="N3134">
        <v>78</v>
      </c>
      <c r="O3134">
        <v>4.5999999999999996</v>
      </c>
      <c r="P3134">
        <v>0</v>
      </c>
      <c r="Q3134">
        <v>0</v>
      </c>
      <c r="R3134">
        <v>0</v>
      </c>
      <c r="S3134">
        <v>0</v>
      </c>
      <c r="T3134">
        <v>0.25609999999999999</v>
      </c>
      <c r="U3134">
        <v>-3.5900000000000001E-2</v>
      </c>
      <c r="V3134">
        <v>2.0000000000000001E-4</v>
      </c>
      <c r="W3134">
        <v>-1.0669999999999999</v>
      </c>
      <c r="X3134">
        <v>1.0299</v>
      </c>
      <c r="Y3134">
        <v>-7.7700000000000005E-2</v>
      </c>
      <c r="Z3134">
        <v>69</v>
      </c>
      <c r="AA3134">
        <v>4.3</v>
      </c>
      <c r="AB3134">
        <v>65</v>
      </c>
      <c r="AC3134">
        <v>4.5999999999999996</v>
      </c>
      <c r="AD3134">
        <v>0</v>
      </c>
      <c r="AE3134">
        <v>0</v>
      </c>
      <c r="AF3134">
        <v>4.9000000000000004</v>
      </c>
      <c r="AG3134">
        <v>128</v>
      </c>
      <c r="AH3134">
        <v>0</v>
      </c>
    </row>
    <row r="3135" spans="1:34" x14ac:dyDescent="0.35">
      <c r="A3135" t="s">
        <v>34</v>
      </c>
      <c r="B3135" s="1">
        <v>46146.65625</v>
      </c>
      <c r="C3135" t="s">
        <v>34</v>
      </c>
      <c r="D3135" s="1">
        <v>46157.625</v>
      </c>
      <c r="E3135">
        <v>6660</v>
      </c>
      <c r="F3135" t="s">
        <v>36</v>
      </c>
      <c r="G3135">
        <v>3.77</v>
      </c>
      <c r="H3135">
        <v>5</v>
      </c>
      <c r="I3135">
        <v>3.4</v>
      </c>
      <c r="J3135">
        <v>4.5999999999999996</v>
      </c>
      <c r="K3135">
        <v>20</v>
      </c>
      <c r="L3135">
        <v>119</v>
      </c>
      <c r="M3135">
        <v>4.5</v>
      </c>
      <c r="N3135">
        <v>107</v>
      </c>
      <c r="O3135">
        <v>4.7</v>
      </c>
      <c r="P3135">
        <v>0</v>
      </c>
      <c r="Q3135">
        <v>0</v>
      </c>
      <c r="R3135">
        <v>0</v>
      </c>
      <c r="S3135">
        <v>0</v>
      </c>
      <c r="T3135">
        <v>0.25530000000000003</v>
      </c>
      <c r="U3135">
        <v>-3.6700000000000003E-2</v>
      </c>
      <c r="V3135">
        <v>2.9999999999999997E-4</v>
      </c>
      <c r="W3135">
        <v>-1.0838000000000001</v>
      </c>
      <c r="X3135">
        <v>1.0481</v>
      </c>
      <c r="Y3135">
        <v>-7.9500000000000001E-2</v>
      </c>
      <c r="Z3135">
        <v>99</v>
      </c>
      <c r="AA3135">
        <v>4.4000000000000004</v>
      </c>
      <c r="AB3135">
        <v>153</v>
      </c>
      <c r="AC3135">
        <v>4.7</v>
      </c>
      <c r="AD3135">
        <v>0</v>
      </c>
      <c r="AE3135">
        <v>0</v>
      </c>
      <c r="AF3135">
        <v>4.25</v>
      </c>
      <c r="AG3135">
        <v>156</v>
      </c>
      <c r="AH3135">
        <v>0</v>
      </c>
    </row>
    <row r="3136" spans="1:34" x14ac:dyDescent="0.35">
      <c r="A3136" t="s">
        <v>34</v>
      </c>
      <c r="B3136" s="1">
        <v>46146.65625</v>
      </c>
      <c r="C3136" t="s">
        <v>34</v>
      </c>
      <c r="D3136" s="1">
        <v>46157.625</v>
      </c>
      <c r="E3136">
        <v>6665</v>
      </c>
      <c r="F3136" t="s">
        <v>36</v>
      </c>
      <c r="G3136">
        <v>3.83</v>
      </c>
      <c r="H3136">
        <v>3.83</v>
      </c>
      <c r="I3136">
        <v>3.83</v>
      </c>
      <c r="J3136">
        <v>3.83</v>
      </c>
      <c r="K3136">
        <v>1</v>
      </c>
      <c r="L3136">
        <v>77</v>
      </c>
      <c r="M3136">
        <v>4.5999999999999996</v>
      </c>
      <c r="N3136">
        <v>106</v>
      </c>
      <c r="O3136">
        <v>4.8</v>
      </c>
      <c r="P3136">
        <v>0</v>
      </c>
      <c r="Q3136">
        <v>0</v>
      </c>
      <c r="R3136">
        <v>0</v>
      </c>
      <c r="S3136">
        <v>0</v>
      </c>
      <c r="T3136">
        <v>0.25430000000000003</v>
      </c>
      <c r="U3136">
        <v>-3.7499999999999999E-2</v>
      </c>
      <c r="V3136">
        <v>2.9999999999999997E-4</v>
      </c>
      <c r="W3136">
        <v>-1.1003000000000001</v>
      </c>
      <c r="X3136">
        <v>1.0666</v>
      </c>
      <c r="Y3136">
        <v>-8.1299999999999997E-2</v>
      </c>
      <c r="Z3136">
        <v>72</v>
      </c>
      <c r="AA3136">
        <v>4.5</v>
      </c>
      <c r="AB3136">
        <v>123</v>
      </c>
      <c r="AC3136">
        <v>4.8</v>
      </c>
      <c r="AD3136">
        <v>0</v>
      </c>
      <c r="AE3136">
        <v>0</v>
      </c>
      <c r="AF3136">
        <v>3.83</v>
      </c>
      <c r="AG3136">
        <v>58</v>
      </c>
      <c r="AH3136">
        <v>0</v>
      </c>
    </row>
    <row r="3137" spans="1:34" x14ac:dyDescent="0.35">
      <c r="A3137" t="s">
        <v>34</v>
      </c>
      <c r="B3137" s="1">
        <v>46146.65625</v>
      </c>
      <c r="C3137" t="s">
        <v>34</v>
      </c>
      <c r="D3137" s="1">
        <v>46157.625</v>
      </c>
      <c r="E3137">
        <v>6670</v>
      </c>
      <c r="F3137" t="s">
        <v>36</v>
      </c>
      <c r="G3137">
        <v>4.17</v>
      </c>
      <c r="H3137">
        <v>6.21</v>
      </c>
      <c r="I3137">
        <v>3.7</v>
      </c>
      <c r="J3137">
        <v>6.21</v>
      </c>
      <c r="K3137">
        <v>19</v>
      </c>
      <c r="L3137">
        <v>229</v>
      </c>
      <c r="M3137">
        <v>4.5999999999999996</v>
      </c>
      <c r="N3137">
        <v>107</v>
      </c>
      <c r="O3137">
        <v>4.9000000000000004</v>
      </c>
      <c r="P3137">
        <v>0</v>
      </c>
      <c r="Q3137">
        <v>0</v>
      </c>
      <c r="R3137">
        <v>0</v>
      </c>
      <c r="S3137">
        <v>0</v>
      </c>
      <c r="T3137">
        <v>0.25280000000000002</v>
      </c>
      <c r="U3137">
        <v>-3.8100000000000002E-2</v>
      </c>
      <c r="V3137">
        <v>2.9999999999999997E-4</v>
      </c>
      <c r="W3137">
        <v>-1.1073</v>
      </c>
      <c r="X3137">
        <v>1.0790999999999999</v>
      </c>
      <c r="Y3137">
        <v>-8.2400000000000001E-2</v>
      </c>
      <c r="Z3137">
        <v>95</v>
      </c>
      <c r="AA3137">
        <v>4.5999999999999996</v>
      </c>
      <c r="AB3137">
        <v>165</v>
      </c>
      <c r="AC3137">
        <v>4.9000000000000004</v>
      </c>
      <c r="AD3137">
        <v>0</v>
      </c>
      <c r="AE3137">
        <v>0</v>
      </c>
      <c r="AF3137">
        <v>5.5179</v>
      </c>
      <c r="AG3137">
        <v>342</v>
      </c>
      <c r="AH3137">
        <v>0</v>
      </c>
    </row>
    <row r="3138" spans="1:34" x14ac:dyDescent="0.35">
      <c r="A3138" t="s">
        <v>34</v>
      </c>
      <c r="B3138" s="1">
        <v>46146.65625</v>
      </c>
      <c r="C3138" t="s">
        <v>34</v>
      </c>
      <c r="D3138" s="1">
        <v>46157.625</v>
      </c>
      <c r="E3138">
        <v>6675</v>
      </c>
      <c r="F3138" t="s">
        <v>36</v>
      </c>
      <c r="G3138">
        <v>4.08</v>
      </c>
      <c r="H3138">
        <v>5.99</v>
      </c>
      <c r="I3138">
        <v>3.6</v>
      </c>
      <c r="J3138">
        <v>5.99</v>
      </c>
      <c r="K3138">
        <v>28</v>
      </c>
      <c r="L3138">
        <v>281</v>
      </c>
      <c r="M3138">
        <v>4.7</v>
      </c>
      <c r="N3138">
        <v>141</v>
      </c>
      <c r="O3138">
        <v>5</v>
      </c>
      <c r="P3138">
        <v>0</v>
      </c>
      <c r="Q3138">
        <v>0</v>
      </c>
      <c r="R3138">
        <v>0</v>
      </c>
      <c r="S3138">
        <v>0</v>
      </c>
      <c r="T3138">
        <v>0.25169999999999998</v>
      </c>
      <c r="U3138">
        <v>-3.8899999999999997E-2</v>
      </c>
      <c r="V3138">
        <v>2.9999999999999997E-4</v>
      </c>
      <c r="W3138">
        <v>-1.1234</v>
      </c>
      <c r="X3138">
        <v>1.0976999999999999</v>
      </c>
      <c r="Y3138">
        <v>-8.4199999999999997E-2</v>
      </c>
      <c r="Z3138">
        <v>110</v>
      </c>
      <c r="AA3138">
        <v>4.7</v>
      </c>
      <c r="AB3138">
        <v>183</v>
      </c>
      <c r="AC3138">
        <v>5</v>
      </c>
      <c r="AD3138">
        <v>0</v>
      </c>
      <c r="AE3138">
        <v>0</v>
      </c>
      <c r="AF3138">
        <v>5.3903999999999996</v>
      </c>
      <c r="AG3138">
        <v>485</v>
      </c>
      <c r="AH3138">
        <v>0</v>
      </c>
    </row>
    <row r="3139" spans="1:34" x14ac:dyDescent="0.35">
      <c r="A3139" t="s">
        <v>34</v>
      </c>
      <c r="B3139" s="1">
        <v>46146.65625</v>
      </c>
      <c r="C3139" t="s">
        <v>34</v>
      </c>
      <c r="D3139" s="1">
        <v>46157.625</v>
      </c>
      <c r="E3139">
        <v>6680</v>
      </c>
      <c r="F3139" t="s">
        <v>36</v>
      </c>
      <c r="G3139">
        <v>4.2</v>
      </c>
      <c r="H3139">
        <v>4.2</v>
      </c>
      <c r="I3139">
        <v>4.2</v>
      </c>
      <c r="J3139">
        <v>4.2</v>
      </c>
      <c r="K3139">
        <v>2</v>
      </c>
      <c r="L3139">
        <v>238</v>
      </c>
      <c r="M3139">
        <v>4.8</v>
      </c>
      <c r="N3139">
        <v>106</v>
      </c>
      <c r="O3139">
        <v>5.0999999999999996</v>
      </c>
      <c r="P3139">
        <v>0</v>
      </c>
      <c r="Q3139">
        <v>0</v>
      </c>
      <c r="R3139">
        <v>0</v>
      </c>
      <c r="S3139">
        <v>0</v>
      </c>
      <c r="T3139">
        <v>0.25059999999999999</v>
      </c>
      <c r="U3139">
        <v>-3.9699999999999999E-2</v>
      </c>
      <c r="V3139">
        <v>2.9999999999999997E-4</v>
      </c>
      <c r="W3139">
        <v>-1.1393</v>
      </c>
      <c r="X3139">
        <v>1.1164000000000001</v>
      </c>
      <c r="Y3139">
        <v>-8.5999999999999993E-2</v>
      </c>
      <c r="Z3139">
        <v>88</v>
      </c>
      <c r="AA3139">
        <v>4.8</v>
      </c>
      <c r="AB3139">
        <v>165</v>
      </c>
      <c r="AC3139">
        <v>5.0999999999999996</v>
      </c>
      <c r="AD3139">
        <v>0</v>
      </c>
      <c r="AE3139">
        <v>0</v>
      </c>
      <c r="AF3139">
        <v>4.2</v>
      </c>
      <c r="AG3139">
        <v>454</v>
      </c>
      <c r="AH3139">
        <v>0</v>
      </c>
    </row>
    <row r="3140" spans="1:34" x14ac:dyDescent="0.35">
      <c r="A3140" t="s">
        <v>34</v>
      </c>
      <c r="B3140" s="1">
        <v>46146.65625</v>
      </c>
      <c r="C3140" t="s">
        <v>34</v>
      </c>
      <c r="D3140" s="1">
        <v>46157.625</v>
      </c>
      <c r="E3140">
        <v>6685</v>
      </c>
      <c r="F3140" t="s">
        <v>36</v>
      </c>
      <c r="G3140">
        <v>5</v>
      </c>
      <c r="H3140">
        <v>5</v>
      </c>
      <c r="I3140">
        <v>5</v>
      </c>
      <c r="J3140">
        <v>5</v>
      </c>
      <c r="K3140">
        <v>2</v>
      </c>
      <c r="L3140">
        <v>179</v>
      </c>
      <c r="M3140">
        <v>4.9000000000000004</v>
      </c>
      <c r="N3140">
        <v>73</v>
      </c>
      <c r="O3140">
        <v>5.2</v>
      </c>
      <c r="P3140">
        <v>0</v>
      </c>
      <c r="Q3140">
        <v>0</v>
      </c>
      <c r="R3140">
        <v>0</v>
      </c>
      <c r="S3140">
        <v>0</v>
      </c>
      <c r="T3140">
        <v>0.24959999999999999</v>
      </c>
      <c r="U3140">
        <v>-4.0599999999999997E-2</v>
      </c>
      <c r="V3140">
        <v>2.9999999999999997E-4</v>
      </c>
      <c r="W3140">
        <v>-1.155</v>
      </c>
      <c r="X3140">
        <v>1.1351</v>
      </c>
      <c r="Y3140">
        <v>-8.7900000000000006E-2</v>
      </c>
      <c r="Z3140">
        <v>52</v>
      </c>
      <c r="AA3140">
        <v>4.9000000000000004</v>
      </c>
      <c r="AB3140">
        <v>129</v>
      </c>
      <c r="AC3140">
        <v>5.2</v>
      </c>
      <c r="AD3140">
        <v>0</v>
      </c>
      <c r="AE3140">
        <v>0</v>
      </c>
      <c r="AF3140">
        <v>5</v>
      </c>
      <c r="AG3140">
        <v>394</v>
      </c>
      <c r="AH3140">
        <v>0</v>
      </c>
    </row>
    <row r="3141" spans="1:34" x14ac:dyDescent="0.35">
      <c r="A3141" t="s">
        <v>34</v>
      </c>
      <c r="B3141" s="1">
        <v>46146.65625</v>
      </c>
      <c r="C3141" t="s">
        <v>34</v>
      </c>
      <c r="D3141" s="1">
        <v>46157.625</v>
      </c>
      <c r="E3141">
        <v>6690</v>
      </c>
      <c r="F3141" t="s">
        <v>36</v>
      </c>
      <c r="G3141">
        <v>4.24</v>
      </c>
      <c r="H3141">
        <v>5.0999999999999996</v>
      </c>
      <c r="I3141">
        <v>4.24</v>
      </c>
      <c r="J3141">
        <v>5.0999999999999996</v>
      </c>
      <c r="K3141">
        <v>3</v>
      </c>
      <c r="L3141">
        <v>208</v>
      </c>
      <c r="M3141">
        <v>5</v>
      </c>
      <c r="N3141">
        <v>74</v>
      </c>
      <c r="O3141">
        <v>5.3</v>
      </c>
      <c r="P3141">
        <v>0</v>
      </c>
      <c r="Q3141">
        <v>0</v>
      </c>
      <c r="R3141">
        <v>0</v>
      </c>
      <c r="S3141">
        <v>0</v>
      </c>
      <c r="T3141">
        <v>0.2485</v>
      </c>
      <c r="U3141">
        <v>-4.1399999999999999E-2</v>
      </c>
      <c r="V3141">
        <v>2.9999999999999997E-4</v>
      </c>
      <c r="W3141">
        <v>-1.1705000000000001</v>
      </c>
      <c r="X3141">
        <v>1.1538999999999999</v>
      </c>
      <c r="Y3141">
        <v>-8.9700000000000002E-2</v>
      </c>
      <c r="Z3141">
        <v>87</v>
      </c>
      <c r="AA3141">
        <v>5</v>
      </c>
      <c r="AB3141">
        <v>162</v>
      </c>
      <c r="AC3141">
        <v>5.3</v>
      </c>
      <c r="AD3141">
        <v>0</v>
      </c>
      <c r="AE3141">
        <v>0</v>
      </c>
      <c r="AF3141">
        <v>4.8132999999999999</v>
      </c>
      <c r="AG3141">
        <v>347</v>
      </c>
      <c r="AH3141">
        <v>0</v>
      </c>
    </row>
    <row r="3142" spans="1:34" x14ac:dyDescent="0.35">
      <c r="A3142" t="s">
        <v>34</v>
      </c>
      <c r="B3142" s="1">
        <v>46146.65625</v>
      </c>
      <c r="C3142" t="s">
        <v>34</v>
      </c>
      <c r="D3142" s="1">
        <v>46157.625</v>
      </c>
      <c r="E3142">
        <v>6695</v>
      </c>
      <c r="F3142" t="s">
        <v>36</v>
      </c>
      <c r="G3142">
        <v>7.22</v>
      </c>
      <c r="H3142">
        <v>7.22</v>
      </c>
      <c r="I3142">
        <v>7.22</v>
      </c>
      <c r="J3142">
        <v>7.22</v>
      </c>
      <c r="K3142">
        <v>1</v>
      </c>
      <c r="L3142">
        <v>142</v>
      </c>
      <c r="M3142">
        <v>5.0999999999999996</v>
      </c>
      <c r="N3142">
        <v>75</v>
      </c>
      <c r="O3142">
        <v>5.4</v>
      </c>
      <c r="P3142">
        <v>0</v>
      </c>
      <c r="Q3142">
        <v>0</v>
      </c>
      <c r="R3142">
        <v>0</v>
      </c>
      <c r="S3142">
        <v>0</v>
      </c>
      <c r="T3142">
        <v>0.24729999999999999</v>
      </c>
      <c r="U3142">
        <v>-4.2299999999999997E-2</v>
      </c>
      <c r="V3142">
        <v>2.9999999999999997E-4</v>
      </c>
      <c r="W3142">
        <v>-1.1858</v>
      </c>
      <c r="X3142">
        <v>1.1729000000000001</v>
      </c>
      <c r="Y3142">
        <v>-9.1499999999999998E-2</v>
      </c>
      <c r="Z3142">
        <v>61</v>
      </c>
      <c r="AA3142">
        <v>5.0999999999999996</v>
      </c>
      <c r="AB3142">
        <v>122</v>
      </c>
      <c r="AC3142">
        <v>5.4</v>
      </c>
      <c r="AD3142">
        <v>0</v>
      </c>
      <c r="AE3142">
        <v>0</v>
      </c>
      <c r="AF3142">
        <v>7.22</v>
      </c>
      <c r="AG3142">
        <v>170</v>
      </c>
      <c r="AH3142">
        <v>0</v>
      </c>
    </row>
    <row r="3143" spans="1:34" x14ac:dyDescent="0.35">
      <c r="A3143" t="s">
        <v>34</v>
      </c>
      <c r="B3143" s="1">
        <v>46146.65625</v>
      </c>
      <c r="C3143" t="s">
        <v>34</v>
      </c>
      <c r="D3143" s="1">
        <v>46157.625</v>
      </c>
      <c r="E3143">
        <v>6700</v>
      </c>
      <c r="F3143" t="s">
        <v>36</v>
      </c>
      <c r="G3143">
        <v>4.47</v>
      </c>
      <c r="H3143">
        <v>7.76</v>
      </c>
      <c r="I3143">
        <v>3.9</v>
      </c>
      <c r="J3143">
        <v>5.19</v>
      </c>
      <c r="K3143">
        <v>240</v>
      </c>
      <c r="L3143">
        <v>83</v>
      </c>
      <c r="M3143">
        <v>5.3</v>
      </c>
      <c r="N3143">
        <v>105</v>
      </c>
      <c r="O3143">
        <v>5.5</v>
      </c>
      <c r="P3143">
        <v>0</v>
      </c>
      <c r="Q3143">
        <v>0</v>
      </c>
      <c r="R3143">
        <v>0</v>
      </c>
      <c r="S3143">
        <v>0</v>
      </c>
      <c r="T3143">
        <v>0.24610000000000001</v>
      </c>
      <c r="U3143">
        <v>-4.3200000000000002E-2</v>
      </c>
      <c r="V3143">
        <v>2.9999999999999997E-4</v>
      </c>
      <c r="W3143">
        <v>-1.2008000000000001</v>
      </c>
      <c r="X3143">
        <v>1.1922999999999999</v>
      </c>
      <c r="Y3143">
        <v>-9.3399999999999997E-2</v>
      </c>
      <c r="Z3143">
        <v>102</v>
      </c>
      <c r="AA3143">
        <v>5.2</v>
      </c>
      <c r="AB3143">
        <v>165</v>
      </c>
      <c r="AC3143">
        <v>5.5</v>
      </c>
      <c r="AD3143">
        <v>0</v>
      </c>
      <c r="AE3143">
        <v>0</v>
      </c>
      <c r="AF3143">
        <v>6.7271000000000001</v>
      </c>
      <c r="AG3143">
        <v>4101</v>
      </c>
      <c r="AH3143">
        <v>0</v>
      </c>
    </row>
    <row r="3144" spans="1:34" x14ac:dyDescent="0.35">
      <c r="A3144" t="s">
        <v>34</v>
      </c>
      <c r="B3144" s="1">
        <v>46146.65625</v>
      </c>
      <c r="C3144" t="s">
        <v>34</v>
      </c>
      <c r="D3144" s="1">
        <v>46157.625</v>
      </c>
      <c r="E3144">
        <v>6705</v>
      </c>
      <c r="F3144" t="s">
        <v>36</v>
      </c>
      <c r="G3144">
        <v>3.96</v>
      </c>
      <c r="H3144">
        <v>5.9</v>
      </c>
      <c r="I3144">
        <v>3.96</v>
      </c>
      <c r="J3144">
        <v>5.3</v>
      </c>
      <c r="K3144">
        <v>4</v>
      </c>
      <c r="L3144">
        <v>60</v>
      </c>
      <c r="M3144">
        <v>5.4</v>
      </c>
      <c r="N3144">
        <v>49</v>
      </c>
      <c r="O3144">
        <v>5.6</v>
      </c>
      <c r="P3144">
        <v>0</v>
      </c>
      <c r="Q3144">
        <v>0</v>
      </c>
      <c r="R3144">
        <v>0</v>
      </c>
      <c r="S3144">
        <v>0</v>
      </c>
      <c r="T3144">
        <v>0.24540000000000001</v>
      </c>
      <c r="U3144">
        <v>-4.4299999999999999E-2</v>
      </c>
      <c r="V3144">
        <v>2.9999999999999997E-4</v>
      </c>
      <c r="W3144">
        <v>-1.2243999999999999</v>
      </c>
      <c r="X3144">
        <v>1.2171000000000001</v>
      </c>
      <c r="Y3144">
        <v>-9.5899999999999999E-2</v>
      </c>
      <c r="Z3144">
        <v>60</v>
      </c>
      <c r="AA3144">
        <v>5.3</v>
      </c>
      <c r="AB3144">
        <v>58</v>
      </c>
      <c r="AC3144">
        <v>5.6</v>
      </c>
      <c r="AD3144">
        <v>0</v>
      </c>
      <c r="AE3144">
        <v>0</v>
      </c>
      <c r="AF3144">
        <v>5.1150000000000002</v>
      </c>
      <c r="AG3144">
        <v>294</v>
      </c>
      <c r="AH3144">
        <v>0</v>
      </c>
    </row>
    <row r="3145" spans="1:34" x14ac:dyDescent="0.35">
      <c r="A3145" t="s">
        <v>34</v>
      </c>
      <c r="B3145" s="1">
        <v>46146.65625</v>
      </c>
      <c r="C3145" t="s">
        <v>34</v>
      </c>
      <c r="D3145" s="1">
        <v>46157.625</v>
      </c>
      <c r="E3145">
        <v>6710</v>
      </c>
      <c r="F3145" t="s">
        <v>36</v>
      </c>
      <c r="G3145">
        <v>4.5199999999999996</v>
      </c>
      <c r="H3145">
        <v>7.3</v>
      </c>
      <c r="I3145">
        <v>4.38</v>
      </c>
      <c r="J3145">
        <v>5.6</v>
      </c>
      <c r="K3145">
        <v>16</v>
      </c>
      <c r="L3145">
        <v>156</v>
      </c>
      <c r="M3145">
        <v>5.5</v>
      </c>
      <c r="N3145">
        <v>21</v>
      </c>
      <c r="O3145">
        <v>5.7</v>
      </c>
      <c r="P3145">
        <v>0</v>
      </c>
      <c r="Q3145">
        <v>0</v>
      </c>
      <c r="R3145">
        <v>0</v>
      </c>
      <c r="S3145">
        <v>0</v>
      </c>
      <c r="T3145">
        <v>0.24410000000000001</v>
      </c>
      <c r="U3145">
        <v>-4.5199999999999997E-2</v>
      </c>
      <c r="V3145">
        <v>2.9999999999999997E-4</v>
      </c>
      <c r="W3145">
        <v>-1.2388999999999999</v>
      </c>
      <c r="X3145">
        <v>1.2370000000000001</v>
      </c>
      <c r="Y3145">
        <v>-9.7799999999999998E-2</v>
      </c>
      <c r="Z3145">
        <v>68</v>
      </c>
      <c r="AA3145">
        <v>5.4</v>
      </c>
      <c r="AB3145">
        <v>69</v>
      </c>
      <c r="AC3145">
        <v>5.7</v>
      </c>
      <c r="AD3145">
        <v>0</v>
      </c>
      <c r="AE3145">
        <v>0</v>
      </c>
      <c r="AF3145">
        <v>5.4438000000000004</v>
      </c>
      <c r="AG3145">
        <v>501</v>
      </c>
      <c r="AH3145">
        <v>0</v>
      </c>
    </row>
    <row r="3146" spans="1:34" x14ac:dyDescent="0.35">
      <c r="A3146" t="s">
        <v>34</v>
      </c>
      <c r="B3146" s="1">
        <v>46146.65625</v>
      </c>
      <c r="C3146" t="s">
        <v>34</v>
      </c>
      <c r="D3146" s="1">
        <v>46157.625</v>
      </c>
      <c r="E3146">
        <v>6715</v>
      </c>
      <c r="F3146" t="s">
        <v>36</v>
      </c>
      <c r="G3146">
        <v>4.68</v>
      </c>
      <c r="H3146">
        <v>5.8</v>
      </c>
      <c r="I3146">
        <v>4.0999999999999996</v>
      </c>
      <c r="J3146">
        <v>5.8</v>
      </c>
      <c r="K3146">
        <v>14</v>
      </c>
      <c r="L3146">
        <v>128</v>
      </c>
      <c r="M3146">
        <v>5.6</v>
      </c>
      <c r="N3146">
        <v>2</v>
      </c>
      <c r="O3146">
        <v>5.8</v>
      </c>
      <c r="P3146">
        <v>0</v>
      </c>
      <c r="Q3146">
        <v>0</v>
      </c>
      <c r="R3146">
        <v>0</v>
      </c>
      <c r="S3146">
        <v>0</v>
      </c>
      <c r="T3146">
        <v>0.24299999999999999</v>
      </c>
      <c r="U3146">
        <v>-4.6100000000000002E-2</v>
      </c>
      <c r="V3146">
        <v>2.9999999999999997E-4</v>
      </c>
      <c r="W3146">
        <v>-1.2536</v>
      </c>
      <c r="X3146">
        <v>1.2559</v>
      </c>
      <c r="Y3146">
        <v>-9.9699999999999997E-2</v>
      </c>
      <c r="Z3146">
        <v>45</v>
      </c>
      <c r="AA3146">
        <v>5.5</v>
      </c>
      <c r="AB3146">
        <v>27</v>
      </c>
      <c r="AC3146">
        <v>5.8</v>
      </c>
      <c r="AD3146">
        <v>0</v>
      </c>
      <c r="AE3146">
        <v>0</v>
      </c>
      <c r="AF3146">
        <v>5.3129</v>
      </c>
      <c r="AG3146">
        <v>367</v>
      </c>
      <c r="AH3146">
        <v>0</v>
      </c>
    </row>
    <row r="3147" spans="1:34" x14ac:dyDescent="0.35">
      <c r="A3147" t="s">
        <v>34</v>
      </c>
      <c r="B3147" s="1">
        <v>46146.65625</v>
      </c>
      <c r="C3147" t="s">
        <v>34</v>
      </c>
      <c r="D3147" s="1">
        <v>46157.625</v>
      </c>
      <c r="E3147">
        <v>6720</v>
      </c>
      <c r="F3147" t="s">
        <v>36</v>
      </c>
      <c r="G3147">
        <v>4.5</v>
      </c>
      <c r="H3147">
        <v>5.8</v>
      </c>
      <c r="I3147">
        <v>4.2</v>
      </c>
      <c r="J3147">
        <v>5.8</v>
      </c>
      <c r="K3147">
        <v>15</v>
      </c>
      <c r="L3147">
        <v>156</v>
      </c>
      <c r="M3147">
        <v>5.7</v>
      </c>
      <c r="N3147">
        <v>96</v>
      </c>
      <c r="O3147">
        <v>6</v>
      </c>
      <c r="P3147">
        <v>0</v>
      </c>
      <c r="Q3147">
        <v>0</v>
      </c>
      <c r="R3147">
        <v>0</v>
      </c>
      <c r="S3147">
        <v>0</v>
      </c>
      <c r="T3147">
        <v>0.24179999999999999</v>
      </c>
      <c r="U3147">
        <v>-4.6899999999999997E-2</v>
      </c>
      <c r="V3147">
        <v>2.9999999999999997E-4</v>
      </c>
      <c r="W3147">
        <v>-1.2678</v>
      </c>
      <c r="X3147">
        <v>1.2755000000000001</v>
      </c>
      <c r="Y3147">
        <v>-0.1017</v>
      </c>
      <c r="Z3147">
        <v>73</v>
      </c>
      <c r="AA3147">
        <v>5.6</v>
      </c>
      <c r="AB3147">
        <v>26</v>
      </c>
      <c r="AC3147">
        <v>5.9</v>
      </c>
      <c r="AD3147">
        <v>0</v>
      </c>
      <c r="AE3147">
        <v>0</v>
      </c>
      <c r="AF3147">
        <v>4.91</v>
      </c>
      <c r="AG3147">
        <v>411</v>
      </c>
      <c r="AH3147">
        <v>0</v>
      </c>
    </row>
    <row r="3148" spans="1:34" x14ac:dyDescent="0.35">
      <c r="A3148" t="s">
        <v>34</v>
      </c>
      <c r="B3148" s="1">
        <v>46146.65625</v>
      </c>
      <c r="C3148" t="s">
        <v>34</v>
      </c>
      <c r="D3148" s="1">
        <v>46157.625</v>
      </c>
      <c r="E3148">
        <v>6725</v>
      </c>
      <c r="F3148" t="s">
        <v>36</v>
      </c>
      <c r="G3148">
        <v>4.3</v>
      </c>
      <c r="H3148">
        <v>8.6999999999999993</v>
      </c>
      <c r="I3148">
        <v>4.3</v>
      </c>
      <c r="J3148">
        <v>5.92</v>
      </c>
      <c r="K3148">
        <v>37</v>
      </c>
      <c r="L3148">
        <v>162</v>
      </c>
      <c r="M3148">
        <v>5.8</v>
      </c>
      <c r="N3148">
        <v>52</v>
      </c>
      <c r="O3148">
        <v>6.1</v>
      </c>
      <c r="P3148">
        <v>0</v>
      </c>
      <c r="Q3148">
        <v>0</v>
      </c>
      <c r="R3148">
        <v>0</v>
      </c>
      <c r="S3148">
        <v>0</v>
      </c>
      <c r="T3148">
        <v>0.2409</v>
      </c>
      <c r="U3148">
        <v>-4.8099999999999997E-2</v>
      </c>
      <c r="V3148">
        <v>2.9999999999999997E-4</v>
      </c>
      <c r="W3148">
        <v>-1.2902</v>
      </c>
      <c r="X3148">
        <v>1.3008999999999999</v>
      </c>
      <c r="Y3148">
        <v>-0.1043</v>
      </c>
      <c r="Z3148">
        <v>65</v>
      </c>
      <c r="AA3148">
        <v>5.8</v>
      </c>
      <c r="AB3148">
        <v>72</v>
      </c>
      <c r="AC3148">
        <v>6.1</v>
      </c>
      <c r="AD3148">
        <v>0</v>
      </c>
      <c r="AE3148">
        <v>0</v>
      </c>
      <c r="AF3148">
        <v>6.8677999999999999</v>
      </c>
      <c r="AG3148">
        <v>448</v>
      </c>
      <c r="AH3148">
        <v>0</v>
      </c>
    </row>
    <row r="3149" spans="1:34" x14ac:dyDescent="0.35">
      <c r="A3149" t="s">
        <v>34</v>
      </c>
      <c r="B3149" s="1">
        <v>46146.65625</v>
      </c>
      <c r="C3149" t="s">
        <v>34</v>
      </c>
      <c r="D3149" s="1">
        <v>46157.625</v>
      </c>
      <c r="E3149">
        <v>6730</v>
      </c>
      <c r="F3149" t="s">
        <v>36</v>
      </c>
      <c r="G3149">
        <v>4.7</v>
      </c>
      <c r="H3149">
        <v>6.5</v>
      </c>
      <c r="I3149">
        <v>4.7</v>
      </c>
      <c r="J3149">
        <v>6.5</v>
      </c>
      <c r="K3149">
        <v>6</v>
      </c>
      <c r="L3149">
        <v>84</v>
      </c>
      <c r="M3149">
        <v>6</v>
      </c>
      <c r="N3149">
        <v>21</v>
      </c>
      <c r="O3149">
        <v>6.2</v>
      </c>
      <c r="P3149">
        <v>0</v>
      </c>
      <c r="Q3149">
        <v>0</v>
      </c>
      <c r="R3149">
        <v>0</v>
      </c>
      <c r="S3149">
        <v>0</v>
      </c>
      <c r="T3149">
        <v>0.24</v>
      </c>
      <c r="U3149">
        <v>-4.9299999999999997E-2</v>
      </c>
      <c r="V3149">
        <v>2.9999999999999997E-4</v>
      </c>
      <c r="W3149">
        <v>-1.3123</v>
      </c>
      <c r="X3149">
        <v>1.3264</v>
      </c>
      <c r="Y3149">
        <v>-0.1069</v>
      </c>
      <c r="Z3149">
        <v>66</v>
      </c>
      <c r="AA3149">
        <v>5.9</v>
      </c>
      <c r="AB3149">
        <v>67</v>
      </c>
      <c r="AC3149">
        <v>6.2</v>
      </c>
      <c r="AD3149">
        <v>0</v>
      </c>
      <c r="AE3149">
        <v>0</v>
      </c>
      <c r="AF3149">
        <v>5</v>
      </c>
      <c r="AG3149">
        <v>147</v>
      </c>
      <c r="AH3149">
        <v>0</v>
      </c>
    </row>
    <row r="3150" spans="1:34" x14ac:dyDescent="0.35">
      <c r="A3150" t="s">
        <v>34</v>
      </c>
      <c r="B3150" s="1">
        <v>46146.65625</v>
      </c>
      <c r="C3150" t="s">
        <v>34</v>
      </c>
      <c r="D3150" s="1">
        <v>46157.625</v>
      </c>
      <c r="E3150">
        <v>6735</v>
      </c>
      <c r="F3150" t="s">
        <v>36</v>
      </c>
      <c r="G3150">
        <v>4.97</v>
      </c>
      <c r="H3150">
        <v>6.62</v>
      </c>
      <c r="I3150">
        <v>4.83</v>
      </c>
      <c r="J3150">
        <v>6.3</v>
      </c>
      <c r="K3150">
        <v>70</v>
      </c>
      <c r="L3150">
        <v>147</v>
      </c>
      <c r="M3150">
        <v>6.1</v>
      </c>
      <c r="N3150">
        <v>2</v>
      </c>
      <c r="O3150">
        <v>6.3</v>
      </c>
      <c r="P3150">
        <v>0</v>
      </c>
      <c r="Q3150">
        <v>0</v>
      </c>
      <c r="R3150">
        <v>0</v>
      </c>
      <c r="S3150">
        <v>0</v>
      </c>
      <c r="T3150">
        <v>0.23860000000000001</v>
      </c>
      <c r="U3150">
        <v>-5.0299999999999997E-2</v>
      </c>
      <c r="V3150">
        <v>4.0000000000000002E-4</v>
      </c>
      <c r="W3150">
        <v>-1.3254999999999999</v>
      </c>
      <c r="X3150">
        <v>1.3468</v>
      </c>
      <c r="Y3150">
        <v>-0.109</v>
      </c>
      <c r="Z3150">
        <v>53</v>
      </c>
      <c r="AA3150">
        <v>6</v>
      </c>
      <c r="AB3150">
        <v>37</v>
      </c>
      <c r="AC3150">
        <v>6.3</v>
      </c>
      <c r="AD3150">
        <v>0</v>
      </c>
      <c r="AE3150">
        <v>0</v>
      </c>
      <c r="AF3150">
        <v>6.4644000000000004</v>
      </c>
      <c r="AG3150">
        <v>136</v>
      </c>
      <c r="AH3150">
        <v>0</v>
      </c>
    </row>
    <row r="3151" spans="1:34" x14ac:dyDescent="0.35">
      <c r="A3151" t="s">
        <v>34</v>
      </c>
      <c r="B3151" s="1">
        <v>46146.65625</v>
      </c>
      <c r="C3151" t="s">
        <v>34</v>
      </c>
      <c r="D3151" s="1">
        <v>46157.625</v>
      </c>
      <c r="E3151">
        <v>6740</v>
      </c>
      <c r="F3151" t="s">
        <v>36</v>
      </c>
      <c r="G3151">
        <v>5.32</v>
      </c>
      <c r="H3151">
        <v>8.6999999999999993</v>
      </c>
      <c r="I3151">
        <v>4.5999999999999996</v>
      </c>
      <c r="J3151">
        <v>6.54</v>
      </c>
      <c r="K3151">
        <v>8</v>
      </c>
      <c r="L3151">
        <v>133</v>
      </c>
      <c r="M3151">
        <v>6.2</v>
      </c>
      <c r="N3151">
        <v>46</v>
      </c>
      <c r="O3151">
        <v>6.5</v>
      </c>
      <c r="P3151">
        <v>0</v>
      </c>
      <c r="Q3151">
        <v>0</v>
      </c>
      <c r="R3151">
        <v>0</v>
      </c>
      <c r="S3151">
        <v>0</v>
      </c>
      <c r="T3151">
        <v>0.23780000000000001</v>
      </c>
      <c r="U3151">
        <v>-5.1400000000000001E-2</v>
      </c>
      <c r="V3151">
        <v>4.0000000000000002E-4</v>
      </c>
      <c r="W3151">
        <v>-1.3472</v>
      </c>
      <c r="X3151">
        <v>1.3714999999999999</v>
      </c>
      <c r="Y3151">
        <v>-0.1116</v>
      </c>
      <c r="Z3151">
        <v>44</v>
      </c>
      <c r="AA3151">
        <v>6.2</v>
      </c>
      <c r="AB3151">
        <v>67</v>
      </c>
      <c r="AC3151">
        <v>6.5</v>
      </c>
      <c r="AD3151">
        <v>0</v>
      </c>
      <c r="AE3151">
        <v>0</v>
      </c>
      <c r="AF3151">
        <v>6.4313000000000002</v>
      </c>
      <c r="AG3151">
        <v>119</v>
      </c>
      <c r="AH3151">
        <v>0</v>
      </c>
    </row>
    <row r="3152" spans="1:34" x14ac:dyDescent="0.35">
      <c r="A3152" t="s">
        <v>34</v>
      </c>
      <c r="B3152" s="1">
        <v>46146.65625</v>
      </c>
      <c r="C3152" t="s">
        <v>34</v>
      </c>
      <c r="D3152" s="1">
        <v>46157.625</v>
      </c>
      <c r="E3152">
        <v>6745</v>
      </c>
      <c r="F3152" t="s">
        <v>36</v>
      </c>
      <c r="G3152">
        <v>4.9000000000000004</v>
      </c>
      <c r="H3152">
        <v>8.17</v>
      </c>
      <c r="I3152">
        <v>4.9000000000000004</v>
      </c>
      <c r="J3152">
        <v>6.9</v>
      </c>
      <c r="K3152">
        <v>7</v>
      </c>
      <c r="L3152">
        <v>53</v>
      </c>
      <c r="M3152">
        <v>6.4</v>
      </c>
      <c r="N3152">
        <v>2</v>
      </c>
      <c r="O3152">
        <v>6.6</v>
      </c>
      <c r="P3152">
        <v>0</v>
      </c>
      <c r="Q3152">
        <v>0</v>
      </c>
      <c r="R3152">
        <v>0</v>
      </c>
      <c r="S3152">
        <v>0</v>
      </c>
      <c r="T3152">
        <v>0.23680000000000001</v>
      </c>
      <c r="U3152">
        <v>-5.2699999999999997E-2</v>
      </c>
      <c r="V3152">
        <v>4.0000000000000002E-4</v>
      </c>
      <c r="W3152">
        <v>-1.3683000000000001</v>
      </c>
      <c r="X3152">
        <v>1.3968</v>
      </c>
      <c r="Y3152">
        <v>-0.1143</v>
      </c>
      <c r="Z3152">
        <v>42</v>
      </c>
      <c r="AA3152">
        <v>6.3</v>
      </c>
      <c r="AB3152">
        <v>26</v>
      </c>
      <c r="AC3152">
        <v>6.6</v>
      </c>
      <c r="AD3152">
        <v>0</v>
      </c>
      <c r="AE3152">
        <v>0</v>
      </c>
      <c r="AF3152">
        <v>7.4985999999999997</v>
      </c>
      <c r="AG3152">
        <v>113</v>
      </c>
      <c r="AH3152">
        <v>0</v>
      </c>
    </row>
    <row r="3153" spans="1:34" x14ac:dyDescent="0.35">
      <c r="A3153" t="s">
        <v>34</v>
      </c>
      <c r="B3153" s="1">
        <v>46146.65625</v>
      </c>
      <c r="C3153" t="s">
        <v>34</v>
      </c>
      <c r="D3153" s="1">
        <v>46157.625</v>
      </c>
      <c r="E3153">
        <v>6750</v>
      </c>
      <c r="F3153" t="s">
        <v>36</v>
      </c>
      <c r="G3153">
        <v>5.32</v>
      </c>
      <c r="H3153">
        <v>9.4</v>
      </c>
      <c r="I3153">
        <v>4.8</v>
      </c>
      <c r="J3153">
        <v>6.57</v>
      </c>
      <c r="K3153">
        <v>902</v>
      </c>
      <c r="L3153">
        <v>175</v>
      </c>
      <c r="M3153">
        <v>6.5</v>
      </c>
      <c r="N3153">
        <v>70</v>
      </c>
      <c r="O3153">
        <v>6.8</v>
      </c>
      <c r="P3153">
        <v>0</v>
      </c>
      <c r="Q3153">
        <v>0</v>
      </c>
      <c r="R3153">
        <v>0</v>
      </c>
      <c r="S3153">
        <v>0</v>
      </c>
      <c r="T3153">
        <v>0.23580000000000001</v>
      </c>
      <c r="U3153">
        <v>-5.3900000000000003E-2</v>
      </c>
      <c r="V3153">
        <v>4.0000000000000002E-4</v>
      </c>
      <c r="W3153">
        <v>-1.3891</v>
      </c>
      <c r="X3153">
        <v>1.4219999999999999</v>
      </c>
      <c r="Y3153">
        <v>-0.11700000000000001</v>
      </c>
      <c r="Z3153">
        <v>83</v>
      </c>
      <c r="AA3153">
        <v>6.4</v>
      </c>
      <c r="AB3153">
        <v>85</v>
      </c>
      <c r="AC3153">
        <v>6.8</v>
      </c>
      <c r="AD3153">
        <v>0</v>
      </c>
      <c r="AE3153">
        <v>0</v>
      </c>
      <c r="AF3153">
        <v>7.4576000000000002</v>
      </c>
      <c r="AG3153">
        <v>5667</v>
      </c>
      <c r="AH3153">
        <v>0</v>
      </c>
    </row>
    <row r="3154" spans="1:34" x14ac:dyDescent="0.35">
      <c r="A3154" t="s">
        <v>34</v>
      </c>
      <c r="B3154" s="1">
        <v>46146.65625</v>
      </c>
      <c r="C3154" t="s">
        <v>34</v>
      </c>
      <c r="D3154" s="1">
        <v>46157.625</v>
      </c>
      <c r="E3154">
        <v>6755</v>
      </c>
      <c r="F3154" t="s">
        <v>36</v>
      </c>
      <c r="G3154">
        <v>9.31</v>
      </c>
      <c r="H3154">
        <v>9.31</v>
      </c>
      <c r="I3154">
        <v>7.2</v>
      </c>
      <c r="J3154">
        <v>7.2</v>
      </c>
      <c r="K3154">
        <v>2</v>
      </c>
      <c r="L3154">
        <v>53</v>
      </c>
      <c r="M3154">
        <v>6.7</v>
      </c>
      <c r="N3154">
        <v>2</v>
      </c>
      <c r="O3154">
        <v>6.9</v>
      </c>
      <c r="P3154">
        <v>0</v>
      </c>
      <c r="Q3154">
        <v>0</v>
      </c>
      <c r="R3154">
        <v>0</v>
      </c>
      <c r="S3154">
        <v>0</v>
      </c>
      <c r="T3154">
        <v>0.23469999999999999</v>
      </c>
      <c r="U3154">
        <v>-5.5100000000000003E-2</v>
      </c>
      <c r="V3154">
        <v>4.0000000000000002E-4</v>
      </c>
      <c r="W3154">
        <v>-1.4095</v>
      </c>
      <c r="X3154">
        <v>1.4471000000000001</v>
      </c>
      <c r="Y3154">
        <v>-0.1198</v>
      </c>
      <c r="Z3154">
        <v>37</v>
      </c>
      <c r="AA3154">
        <v>6.6</v>
      </c>
      <c r="AB3154">
        <v>26</v>
      </c>
      <c r="AC3154">
        <v>6.9</v>
      </c>
      <c r="AD3154">
        <v>0</v>
      </c>
      <c r="AE3154">
        <v>0</v>
      </c>
      <c r="AF3154">
        <v>8.2550000000000008</v>
      </c>
      <c r="AG3154">
        <v>98</v>
      </c>
      <c r="AH3154">
        <v>0</v>
      </c>
    </row>
    <row r="3155" spans="1:34" x14ac:dyDescent="0.35">
      <c r="A3155" t="s">
        <v>34</v>
      </c>
      <c r="B3155" s="1">
        <v>46146.65625</v>
      </c>
      <c r="C3155" t="s">
        <v>34</v>
      </c>
      <c r="D3155" s="1">
        <v>46157.625</v>
      </c>
      <c r="E3155">
        <v>6760</v>
      </c>
      <c r="F3155" t="s">
        <v>36</v>
      </c>
      <c r="G3155">
        <v>9.35</v>
      </c>
      <c r="H3155">
        <v>9.35</v>
      </c>
      <c r="I3155">
        <v>9.35</v>
      </c>
      <c r="J3155">
        <v>9.35</v>
      </c>
      <c r="K3155">
        <v>5</v>
      </c>
      <c r="L3155">
        <v>152</v>
      </c>
      <c r="M3155">
        <v>6.8</v>
      </c>
      <c r="N3155">
        <v>45</v>
      </c>
      <c r="O3155">
        <v>7.1</v>
      </c>
      <c r="P3155">
        <v>0</v>
      </c>
      <c r="Q3155">
        <v>0</v>
      </c>
      <c r="R3155">
        <v>0</v>
      </c>
      <c r="S3155">
        <v>0</v>
      </c>
      <c r="T3155">
        <v>0.23369999999999999</v>
      </c>
      <c r="U3155">
        <v>-5.6399999999999999E-2</v>
      </c>
      <c r="V3155">
        <v>4.0000000000000002E-4</v>
      </c>
      <c r="W3155">
        <v>-1.4296</v>
      </c>
      <c r="X3155">
        <v>1.4721</v>
      </c>
      <c r="Y3155">
        <v>-0.1225</v>
      </c>
      <c r="Z3155">
        <v>67</v>
      </c>
      <c r="AA3155">
        <v>6.7</v>
      </c>
      <c r="AB3155">
        <v>70</v>
      </c>
      <c r="AC3155">
        <v>7.1</v>
      </c>
      <c r="AD3155">
        <v>0</v>
      </c>
      <c r="AE3155">
        <v>0</v>
      </c>
      <c r="AF3155">
        <v>9.35</v>
      </c>
      <c r="AG3155">
        <v>128</v>
      </c>
      <c r="AH3155">
        <v>0</v>
      </c>
    </row>
    <row r="3156" spans="1:34" x14ac:dyDescent="0.35">
      <c r="A3156" t="s">
        <v>34</v>
      </c>
      <c r="B3156" s="1">
        <v>46146.65625</v>
      </c>
      <c r="C3156" t="s">
        <v>34</v>
      </c>
      <c r="D3156" s="1">
        <v>46157.625</v>
      </c>
      <c r="E3156">
        <v>6765</v>
      </c>
      <c r="F3156" t="s">
        <v>36</v>
      </c>
      <c r="G3156">
        <v>5.55</v>
      </c>
      <c r="H3156">
        <v>9.65</v>
      </c>
      <c r="I3156">
        <v>5</v>
      </c>
      <c r="J3156">
        <v>7.7</v>
      </c>
      <c r="K3156">
        <v>29</v>
      </c>
      <c r="L3156">
        <v>115</v>
      </c>
      <c r="M3156">
        <v>7</v>
      </c>
      <c r="N3156">
        <v>2</v>
      </c>
      <c r="O3156">
        <v>7.2</v>
      </c>
      <c r="P3156">
        <v>0</v>
      </c>
      <c r="Q3156">
        <v>0</v>
      </c>
      <c r="R3156">
        <v>0</v>
      </c>
      <c r="S3156">
        <v>0</v>
      </c>
      <c r="T3156">
        <v>0.2326</v>
      </c>
      <c r="U3156">
        <v>-5.7599999999999998E-2</v>
      </c>
      <c r="V3156">
        <v>4.0000000000000002E-4</v>
      </c>
      <c r="W3156">
        <v>-1.4495</v>
      </c>
      <c r="X3156">
        <v>1.4971000000000001</v>
      </c>
      <c r="Y3156">
        <v>-0.12520000000000001</v>
      </c>
      <c r="Z3156">
        <v>37</v>
      </c>
      <c r="AA3156">
        <v>6.9</v>
      </c>
      <c r="AB3156">
        <v>26</v>
      </c>
      <c r="AC3156">
        <v>7.2</v>
      </c>
      <c r="AD3156">
        <v>0</v>
      </c>
      <c r="AE3156">
        <v>0</v>
      </c>
      <c r="AF3156">
        <v>6.1283000000000003</v>
      </c>
      <c r="AG3156">
        <v>582</v>
      </c>
      <c r="AH3156">
        <v>0</v>
      </c>
    </row>
    <row r="3157" spans="1:34" x14ac:dyDescent="0.35">
      <c r="A3157" t="s">
        <v>34</v>
      </c>
      <c r="B3157" s="1">
        <v>46146.65625</v>
      </c>
      <c r="C3157" t="s">
        <v>34</v>
      </c>
      <c r="D3157" s="1">
        <v>46157.625</v>
      </c>
      <c r="E3157">
        <v>6770</v>
      </c>
      <c r="F3157" t="s">
        <v>36</v>
      </c>
      <c r="G3157">
        <v>6.07</v>
      </c>
      <c r="H3157">
        <v>8.3000000000000007</v>
      </c>
      <c r="I3157">
        <v>5.45</v>
      </c>
      <c r="J3157">
        <v>6.9</v>
      </c>
      <c r="K3157">
        <v>17</v>
      </c>
      <c r="L3157">
        <v>46</v>
      </c>
      <c r="M3157">
        <v>7.2</v>
      </c>
      <c r="N3157">
        <v>44</v>
      </c>
      <c r="O3157">
        <v>7.4</v>
      </c>
      <c r="P3157">
        <v>0</v>
      </c>
      <c r="Q3157">
        <v>0</v>
      </c>
      <c r="R3157">
        <v>0</v>
      </c>
      <c r="S3157">
        <v>0</v>
      </c>
      <c r="T3157">
        <v>0.23139999999999999</v>
      </c>
      <c r="U3157">
        <v>-5.8900000000000001E-2</v>
      </c>
      <c r="V3157">
        <v>4.0000000000000002E-4</v>
      </c>
      <c r="W3157">
        <v>-1.4686999999999999</v>
      </c>
      <c r="X3157">
        <v>1.5226999999999999</v>
      </c>
      <c r="Y3157">
        <v>-0.128</v>
      </c>
      <c r="Z3157">
        <v>43</v>
      </c>
      <c r="AA3157">
        <v>7.1</v>
      </c>
      <c r="AB3157">
        <v>65</v>
      </c>
      <c r="AC3157">
        <v>7.4</v>
      </c>
      <c r="AD3157">
        <v>0</v>
      </c>
      <c r="AE3157">
        <v>0</v>
      </c>
      <c r="AF3157">
        <v>7.0876000000000001</v>
      </c>
      <c r="AG3157">
        <v>212</v>
      </c>
      <c r="AH3157">
        <v>0</v>
      </c>
    </row>
    <row r="3158" spans="1:34" x14ac:dyDescent="0.35">
      <c r="A3158" t="s">
        <v>34</v>
      </c>
      <c r="B3158" s="1">
        <v>46146.65625</v>
      </c>
      <c r="C3158" t="s">
        <v>34</v>
      </c>
      <c r="D3158" s="1">
        <v>46157.625</v>
      </c>
      <c r="E3158">
        <v>6775</v>
      </c>
      <c r="F3158" t="s">
        <v>36</v>
      </c>
      <c r="G3158">
        <v>6.28</v>
      </c>
      <c r="H3158">
        <v>10.78</v>
      </c>
      <c r="I3158">
        <v>5.09</v>
      </c>
      <c r="J3158">
        <v>9.43</v>
      </c>
      <c r="K3158">
        <v>35</v>
      </c>
      <c r="L3158">
        <v>151</v>
      </c>
      <c r="M3158">
        <v>7.3</v>
      </c>
      <c r="N3158">
        <v>67</v>
      </c>
      <c r="O3158">
        <v>7.6</v>
      </c>
      <c r="P3158">
        <v>0</v>
      </c>
      <c r="Q3158">
        <v>0</v>
      </c>
      <c r="R3158">
        <v>0</v>
      </c>
      <c r="S3158">
        <v>0</v>
      </c>
      <c r="T3158">
        <v>0.2303</v>
      </c>
      <c r="U3158">
        <v>-6.0199999999999997E-2</v>
      </c>
      <c r="V3158">
        <v>4.0000000000000002E-4</v>
      </c>
      <c r="W3158">
        <v>-1.488</v>
      </c>
      <c r="X3158">
        <v>1.5475000000000001</v>
      </c>
      <c r="Y3158">
        <v>-0.13070000000000001</v>
      </c>
      <c r="Z3158">
        <v>81</v>
      </c>
      <c r="AA3158">
        <v>7.2</v>
      </c>
      <c r="AB3158">
        <v>77</v>
      </c>
      <c r="AC3158">
        <v>7.6</v>
      </c>
      <c r="AD3158">
        <v>0</v>
      </c>
      <c r="AE3158">
        <v>0</v>
      </c>
      <c r="AF3158">
        <v>6.3977000000000004</v>
      </c>
      <c r="AG3158">
        <v>817</v>
      </c>
      <c r="AH3158">
        <v>0</v>
      </c>
    </row>
    <row r="3159" spans="1:34" x14ac:dyDescent="0.35">
      <c r="A3159" t="s">
        <v>34</v>
      </c>
      <c r="B3159" s="1">
        <v>46146.65625</v>
      </c>
      <c r="C3159" t="s">
        <v>34</v>
      </c>
      <c r="D3159" s="1">
        <v>46157.625</v>
      </c>
      <c r="E3159">
        <v>6780</v>
      </c>
      <c r="F3159" t="s">
        <v>36</v>
      </c>
      <c r="G3159">
        <v>5.6</v>
      </c>
      <c r="H3159">
        <v>10.15</v>
      </c>
      <c r="I3159">
        <v>5.6</v>
      </c>
      <c r="J3159">
        <v>7.25</v>
      </c>
      <c r="K3159">
        <v>12</v>
      </c>
      <c r="L3159">
        <v>138</v>
      </c>
      <c r="M3159">
        <v>7.5</v>
      </c>
      <c r="N3159">
        <v>1</v>
      </c>
      <c r="O3159">
        <v>7.7</v>
      </c>
      <c r="P3159">
        <v>0</v>
      </c>
      <c r="Q3159">
        <v>0</v>
      </c>
      <c r="R3159">
        <v>0</v>
      </c>
      <c r="S3159">
        <v>0</v>
      </c>
      <c r="T3159">
        <v>0.22950000000000001</v>
      </c>
      <c r="U3159">
        <v>-6.1800000000000001E-2</v>
      </c>
      <c r="V3159">
        <v>4.0000000000000002E-4</v>
      </c>
      <c r="W3159">
        <v>-1.5144</v>
      </c>
      <c r="X3159">
        <v>1.5779000000000001</v>
      </c>
      <c r="Y3159">
        <v>-0.1341</v>
      </c>
      <c r="Z3159">
        <v>66</v>
      </c>
      <c r="AA3159">
        <v>7.4</v>
      </c>
      <c r="AB3159">
        <v>25</v>
      </c>
      <c r="AC3159">
        <v>7.7</v>
      </c>
      <c r="AD3159">
        <v>0</v>
      </c>
      <c r="AE3159">
        <v>0</v>
      </c>
      <c r="AF3159">
        <v>8.3391999999999999</v>
      </c>
      <c r="AG3159">
        <v>244</v>
      </c>
      <c r="AH3159">
        <v>0</v>
      </c>
    </row>
    <row r="3160" spans="1:34" x14ac:dyDescent="0.35">
      <c r="A3160" t="s">
        <v>34</v>
      </c>
      <c r="B3160" s="1">
        <v>46146.65625</v>
      </c>
      <c r="C3160" t="s">
        <v>34</v>
      </c>
      <c r="D3160" s="1">
        <v>46157.625</v>
      </c>
      <c r="E3160">
        <v>6785</v>
      </c>
      <c r="F3160" t="s">
        <v>36</v>
      </c>
      <c r="G3160">
        <v>6.63</v>
      </c>
      <c r="H3160">
        <v>9</v>
      </c>
      <c r="I3160">
        <v>6.63</v>
      </c>
      <c r="J3160">
        <v>8.3000000000000007</v>
      </c>
      <c r="K3160">
        <v>16</v>
      </c>
      <c r="L3160">
        <v>52</v>
      </c>
      <c r="M3160">
        <v>7.7</v>
      </c>
      <c r="N3160">
        <v>1</v>
      </c>
      <c r="O3160">
        <v>7.9</v>
      </c>
      <c r="P3160">
        <v>0</v>
      </c>
      <c r="Q3160">
        <v>0</v>
      </c>
      <c r="R3160">
        <v>0</v>
      </c>
      <c r="S3160">
        <v>0</v>
      </c>
      <c r="T3160">
        <v>0.2286</v>
      </c>
      <c r="U3160">
        <v>-6.3299999999999995E-2</v>
      </c>
      <c r="V3160">
        <v>4.0000000000000002E-4</v>
      </c>
      <c r="W3160">
        <v>-1.5403</v>
      </c>
      <c r="X3160">
        <v>1.6086</v>
      </c>
      <c r="Y3160">
        <v>-0.13750000000000001</v>
      </c>
      <c r="Z3160">
        <v>35</v>
      </c>
      <c r="AA3160">
        <v>7.6</v>
      </c>
      <c r="AB3160">
        <v>25</v>
      </c>
      <c r="AC3160">
        <v>7.9</v>
      </c>
      <c r="AD3160">
        <v>0</v>
      </c>
      <c r="AE3160">
        <v>0</v>
      </c>
      <c r="AF3160">
        <v>8.2518999999999991</v>
      </c>
      <c r="AG3160">
        <v>116</v>
      </c>
      <c r="AH3160">
        <v>0</v>
      </c>
    </row>
    <row r="3161" spans="1:34" x14ac:dyDescent="0.35">
      <c r="A3161" t="s">
        <v>34</v>
      </c>
      <c r="B3161" s="1">
        <v>46146.65625</v>
      </c>
      <c r="C3161" t="s">
        <v>34</v>
      </c>
      <c r="D3161" s="1">
        <v>46157.625</v>
      </c>
      <c r="E3161">
        <v>6790</v>
      </c>
      <c r="F3161" t="s">
        <v>36</v>
      </c>
      <c r="G3161">
        <v>6.69</v>
      </c>
      <c r="H3161">
        <v>10.65</v>
      </c>
      <c r="I3161">
        <v>5.75</v>
      </c>
      <c r="J3161">
        <v>7.9</v>
      </c>
      <c r="K3161">
        <v>57</v>
      </c>
      <c r="L3161">
        <v>76</v>
      </c>
      <c r="M3161">
        <v>7.9</v>
      </c>
      <c r="N3161">
        <v>38</v>
      </c>
      <c r="O3161">
        <v>8.1</v>
      </c>
      <c r="P3161">
        <v>0</v>
      </c>
      <c r="Q3161">
        <v>0</v>
      </c>
      <c r="R3161">
        <v>0</v>
      </c>
      <c r="S3161">
        <v>0</v>
      </c>
      <c r="T3161">
        <v>0.2273</v>
      </c>
      <c r="U3161">
        <v>-6.4699999999999994E-2</v>
      </c>
      <c r="V3161">
        <v>4.0000000000000002E-4</v>
      </c>
      <c r="W3161">
        <v>-1.5581</v>
      </c>
      <c r="X3161">
        <v>1.6348</v>
      </c>
      <c r="Y3161">
        <v>-0.1404</v>
      </c>
      <c r="Z3161">
        <v>70</v>
      </c>
      <c r="AA3161">
        <v>7.8</v>
      </c>
      <c r="AB3161">
        <v>34</v>
      </c>
      <c r="AC3161">
        <v>8.1</v>
      </c>
      <c r="AD3161">
        <v>0</v>
      </c>
      <c r="AE3161">
        <v>0</v>
      </c>
      <c r="AF3161">
        <v>6.5492999999999997</v>
      </c>
      <c r="AG3161">
        <v>236</v>
      </c>
      <c r="AH3161">
        <v>0</v>
      </c>
    </row>
    <row r="3162" spans="1:34" x14ac:dyDescent="0.35">
      <c r="A3162" t="s">
        <v>34</v>
      </c>
      <c r="B3162" s="1">
        <v>46146.65625</v>
      </c>
      <c r="C3162" t="s">
        <v>34</v>
      </c>
      <c r="D3162" s="1">
        <v>46157.625</v>
      </c>
      <c r="E3162">
        <v>6795</v>
      </c>
      <c r="F3162" t="s">
        <v>36</v>
      </c>
      <c r="G3162">
        <v>6.53</v>
      </c>
      <c r="H3162">
        <v>10.28</v>
      </c>
      <c r="I3162">
        <v>6</v>
      </c>
      <c r="J3162">
        <v>7.92</v>
      </c>
      <c r="K3162">
        <v>55</v>
      </c>
      <c r="L3162">
        <v>45</v>
      </c>
      <c r="M3162">
        <v>8.1</v>
      </c>
      <c r="N3162">
        <v>19</v>
      </c>
      <c r="O3162">
        <v>8.3000000000000007</v>
      </c>
      <c r="P3162">
        <v>0</v>
      </c>
      <c r="Q3162">
        <v>0</v>
      </c>
      <c r="R3162">
        <v>0</v>
      </c>
      <c r="S3162">
        <v>0</v>
      </c>
      <c r="T3162">
        <v>0.22639999999999999</v>
      </c>
      <c r="U3162">
        <v>-6.6299999999999998E-2</v>
      </c>
      <c r="V3162">
        <v>5.0000000000000001E-4</v>
      </c>
      <c r="W3162">
        <v>-1.5831</v>
      </c>
      <c r="X3162">
        <v>1.6656</v>
      </c>
      <c r="Y3162">
        <v>-0.1439</v>
      </c>
      <c r="Z3162">
        <v>22</v>
      </c>
      <c r="AA3162">
        <v>8</v>
      </c>
      <c r="AB3162">
        <v>39</v>
      </c>
      <c r="AC3162">
        <v>8.3000000000000007</v>
      </c>
      <c r="AD3162">
        <v>0</v>
      </c>
      <c r="AE3162">
        <v>0</v>
      </c>
      <c r="AF3162">
        <v>8.3422000000000001</v>
      </c>
      <c r="AG3162">
        <v>98</v>
      </c>
      <c r="AH3162">
        <v>0</v>
      </c>
    </row>
    <row r="3163" spans="1:34" x14ac:dyDescent="0.35">
      <c r="A3163" t="s">
        <v>34</v>
      </c>
      <c r="B3163" s="1">
        <v>46146.65625</v>
      </c>
      <c r="C3163" t="s">
        <v>34</v>
      </c>
      <c r="D3163" s="1">
        <v>46157.625</v>
      </c>
      <c r="E3163">
        <v>6800</v>
      </c>
      <c r="F3163" t="s">
        <v>36</v>
      </c>
      <c r="G3163">
        <v>7.03</v>
      </c>
      <c r="H3163">
        <v>12.4</v>
      </c>
      <c r="I3163">
        <v>5.6</v>
      </c>
      <c r="J3163">
        <v>8.1999999999999993</v>
      </c>
      <c r="K3163">
        <v>600</v>
      </c>
      <c r="L3163">
        <v>69</v>
      </c>
      <c r="M3163">
        <v>8.3000000000000007</v>
      </c>
      <c r="N3163">
        <v>41</v>
      </c>
      <c r="O3163">
        <v>8.5</v>
      </c>
      <c r="P3163">
        <v>0</v>
      </c>
      <c r="Q3163">
        <v>0</v>
      </c>
      <c r="R3163">
        <v>0</v>
      </c>
      <c r="S3163">
        <v>0</v>
      </c>
      <c r="T3163">
        <v>0.22550000000000001</v>
      </c>
      <c r="U3163">
        <v>-6.7900000000000002E-2</v>
      </c>
      <c r="V3163">
        <v>5.0000000000000001E-4</v>
      </c>
      <c r="W3163">
        <v>-1.6079000000000001</v>
      </c>
      <c r="X3163">
        <v>1.6959</v>
      </c>
      <c r="Y3163">
        <v>-0.1474</v>
      </c>
      <c r="Z3163">
        <v>59</v>
      </c>
      <c r="AA3163">
        <v>8.1999999999999993</v>
      </c>
      <c r="AB3163">
        <v>52</v>
      </c>
      <c r="AC3163">
        <v>8.5</v>
      </c>
      <c r="AD3163">
        <v>0</v>
      </c>
      <c r="AE3163">
        <v>0</v>
      </c>
      <c r="AF3163">
        <v>9.1776999999999997</v>
      </c>
      <c r="AG3163">
        <v>16867</v>
      </c>
      <c r="AH3163">
        <v>0</v>
      </c>
    </row>
    <row r="3164" spans="1:34" x14ac:dyDescent="0.35">
      <c r="A3164" t="s">
        <v>34</v>
      </c>
      <c r="B3164" s="1">
        <v>46146.65625</v>
      </c>
      <c r="C3164" t="s">
        <v>34</v>
      </c>
      <c r="D3164" s="1">
        <v>46157.625</v>
      </c>
      <c r="E3164">
        <v>6805</v>
      </c>
      <c r="F3164" t="s">
        <v>36</v>
      </c>
      <c r="G3164">
        <v>6.73</v>
      </c>
      <c r="H3164">
        <v>9.5</v>
      </c>
      <c r="I3164">
        <v>6</v>
      </c>
      <c r="J3164">
        <v>9.5</v>
      </c>
      <c r="K3164">
        <v>7</v>
      </c>
      <c r="L3164">
        <v>44</v>
      </c>
      <c r="M3164">
        <v>8.5</v>
      </c>
      <c r="N3164">
        <v>19</v>
      </c>
      <c r="O3164">
        <v>8.6999999999999993</v>
      </c>
      <c r="P3164">
        <v>0</v>
      </c>
      <c r="Q3164">
        <v>0</v>
      </c>
      <c r="R3164">
        <v>0</v>
      </c>
      <c r="S3164">
        <v>0</v>
      </c>
      <c r="T3164">
        <v>0.22439999999999999</v>
      </c>
      <c r="U3164">
        <v>-6.9500000000000006E-2</v>
      </c>
      <c r="V3164">
        <v>5.0000000000000001E-4</v>
      </c>
      <c r="W3164">
        <v>-1.6316999999999999</v>
      </c>
      <c r="X3164">
        <v>1.7275</v>
      </c>
      <c r="Y3164">
        <v>-0.151</v>
      </c>
      <c r="Z3164">
        <v>21</v>
      </c>
      <c r="AA3164">
        <v>8.4</v>
      </c>
      <c r="AB3164">
        <v>39</v>
      </c>
      <c r="AC3164">
        <v>8.6999999999999993</v>
      </c>
      <c r="AD3164">
        <v>0</v>
      </c>
      <c r="AE3164">
        <v>0</v>
      </c>
      <c r="AF3164">
        <v>7.2328999999999999</v>
      </c>
      <c r="AG3164">
        <v>129</v>
      </c>
      <c r="AH3164">
        <v>0</v>
      </c>
    </row>
    <row r="3165" spans="1:34" x14ac:dyDescent="0.35">
      <c r="A3165" t="s">
        <v>34</v>
      </c>
      <c r="B3165" s="1">
        <v>46146.65625</v>
      </c>
      <c r="C3165" t="s">
        <v>34</v>
      </c>
      <c r="D3165" s="1">
        <v>46157.625</v>
      </c>
      <c r="E3165">
        <v>6810</v>
      </c>
      <c r="F3165" t="s">
        <v>36</v>
      </c>
      <c r="G3165">
        <v>10.83</v>
      </c>
      <c r="H3165">
        <v>10.83</v>
      </c>
      <c r="I3165">
        <v>8.6999999999999993</v>
      </c>
      <c r="J3165">
        <v>8.6999999999999993</v>
      </c>
      <c r="K3165">
        <v>9</v>
      </c>
      <c r="L3165">
        <v>50</v>
      </c>
      <c r="M3165">
        <v>8.6999999999999993</v>
      </c>
      <c r="N3165">
        <v>1</v>
      </c>
      <c r="O3165">
        <v>8.9</v>
      </c>
      <c r="P3165">
        <v>0</v>
      </c>
      <c r="Q3165">
        <v>0</v>
      </c>
      <c r="R3165">
        <v>0</v>
      </c>
      <c r="S3165">
        <v>0</v>
      </c>
      <c r="T3165">
        <v>0.22359999999999999</v>
      </c>
      <c r="U3165">
        <v>-7.1400000000000005E-2</v>
      </c>
      <c r="V3165">
        <v>5.0000000000000001E-4</v>
      </c>
      <c r="W3165">
        <v>-1.6624000000000001</v>
      </c>
      <c r="X3165">
        <v>1.7632000000000001</v>
      </c>
      <c r="Y3165">
        <v>-0.15529999999999999</v>
      </c>
      <c r="Z3165">
        <v>44</v>
      </c>
      <c r="AA3165">
        <v>8.6</v>
      </c>
      <c r="AB3165">
        <v>25</v>
      </c>
      <c r="AC3165">
        <v>8.9</v>
      </c>
      <c r="AD3165">
        <v>0</v>
      </c>
      <c r="AE3165">
        <v>0</v>
      </c>
      <c r="AF3165">
        <v>10.011100000000001</v>
      </c>
      <c r="AG3165">
        <v>386</v>
      </c>
      <c r="AH3165">
        <v>0</v>
      </c>
    </row>
    <row r="3166" spans="1:34" x14ac:dyDescent="0.35">
      <c r="A3166" t="s">
        <v>34</v>
      </c>
      <c r="B3166" s="1">
        <v>46146.65625</v>
      </c>
      <c r="C3166" t="s">
        <v>34</v>
      </c>
      <c r="D3166" s="1">
        <v>46157.625</v>
      </c>
      <c r="E3166">
        <v>6815</v>
      </c>
      <c r="F3166" t="s">
        <v>36</v>
      </c>
      <c r="G3166">
        <v>6.8</v>
      </c>
      <c r="H3166">
        <v>11.73</v>
      </c>
      <c r="I3166">
        <v>6.1</v>
      </c>
      <c r="J3166">
        <v>8.6</v>
      </c>
      <c r="K3166">
        <v>10</v>
      </c>
      <c r="L3166">
        <v>31</v>
      </c>
      <c r="M3166">
        <v>8.9</v>
      </c>
      <c r="N3166">
        <v>1</v>
      </c>
      <c r="O3166">
        <v>9.1</v>
      </c>
      <c r="P3166">
        <v>0</v>
      </c>
      <c r="Q3166">
        <v>0</v>
      </c>
      <c r="R3166">
        <v>0</v>
      </c>
      <c r="S3166">
        <v>0</v>
      </c>
      <c r="T3166">
        <v>0.22270000000000001</v>
      </c>
      <c r="U3166">
        <v>-7.2999999999999995E-2</v>
      </c>
      <c r="V3166">
        <v>5.0000000000000001E-4</v>
      </c>
      <c r="W3166">
        <v>-1.6857</v>
      </c>
      <c r="X3166">
        <v>1.7935000000000001</v>
      </c>
      <c r="Y3166">
        <v>-0.15890000000000001</v>
      </c>
      <c r="Z3166">
        <v>20</v>
      </c>
      <c r="AA3166">
        <v>8.8000000000000007</v>
      </c>
      <c r="AB3166">
        <v>25</v>
      </c>
      <c r="AC3166">
        <v>9.1</v>
      </c>
      <c r="AD3166">
        <v>0</v>
      </c>
      <c r="AE3166">
        <v>0</v>
      </c>
      <c r="AF3166">
        <v>8.016</v>
      </c>
      <c r="AG3166">
        <v>150</v>
      </c>
      <c r="AH3166">
        <v>0</v>
      </c>
    </row>
    <row r="3167" spans="1:34" x14ac:dyDescent="0.35">
      <c r="A3167" t="s">
        <v>34</v>
      </c>
      <c r="B3167" s="1">
        <v>46146.65625</v>
      </c>
      <c r="C3167" t="s">
        <v>34</v>
      </c>
      <c r="D3167" s="1">
        <v>46157.625</v>
      </c>
      <c r="E3167">
        <v>6820</v>
      </c>
      <c r="F3167" t="s">
        <v>36</v>
      </c>
      <c r="G3167">
        <v>7.45</v>
      </c>
      <c r="H3167">
        <v>13.4</v>
      </c>
      <c r="I3167">
        <v>6.3</v>
      </c>
      <c r="J3167">
        <v>9.85</v>
      </c>
      <c r="K3167">
        <v>10</v>
      </c>
      <c r="L3167">
        <v>56</v>
      </c>
      <c r="M3167">
        <v>9.1</v>
      </c>
      <c r="N3167">
        <v>1</v>
      </c>
      <c r="O3167">
        <v>9.3000000000000007</v>
      </c>
      <c r="P3167">
        <v>0</v>
      </c>
      <c r="Q3167">
        <v>0</v>
      </c>
      <c r="R3167">
        <v>0</v>
      </c>
      <c r="S3167">
        <v>0</v>
      </c>
      <c r="T3167">
        <v>0.22159999999999999</v>
      </c>
      <c r="U3167">
        <v>-7.4700000000000003E-2</v>
      </c>
      <c r="V3167">
        <v>5.0000000000000001E-4</v>
      </c>
      <c r="W3167">
        <v>-1.7082999999999999</v>
      </c>
      <c r="X3167">
        <v>1.8240000000000001</v>
      </c>
      <c r="Y3167">
        <v>-0.16259999999999999</v>
      </c>
      <c r="Z3167">
        <v>48</v>
      </c>
      <c r="AA3167">
        <v>9</v>
      </c>
      <c r="AB3167">
        <v>1</v>
      </c>
      <c r="AC3167">
        <v>9.3000000000000007</v>
      </c>
      <c r="AD3167">
        <v>0</v>
      </c>
      <c r="AE3167">
        <v>0</v>
      </c>
      <c r="AF3167">
        <v>9.61</v>
      </c>
      <c r="AG3167">
        <v>207</v>
      </c>
      <c r="AH3167">
        <v>0</v>
      </c>
    </row>
    <row r="3168" spans="1:34" x14ac:dyDescent="0.35">
      <c r="A3168" t="s">
        <v>34</v>
      </c>
      <c r="B3168" s="1">
        <v>46146.65625</v>
      </c>
      <c r="C3168" t="s">
        <v>34</v>
      </c>
      <c r="D3168" s="1">
        <v>46157.625</v>
      </c>
      <c r="E3168">
        <v>6825</v>
      </c>
      <c r="F3168" t="s">
        <v>36</v>
      </c>
      <c r="G3168">
        <v>7.84</v>
      </c>
      <c r="H3168">
        <v>13.16</v>
      </c>
      <c r="I3168">
        <v>6.9</v>
      </c>
      <c r="J3168">
        <v>9</v>
      </c>
      <c r="K3168">
        <v>123</v>
      </c>
      <c r="L3168">
        <v>12</v>
      </c>
      <c r="M3168">
        <v>9.4</v>
      </c>
      <c r="N3168">
        <v>30</v>
      </c>
      <c r="O3168">
        <v>9.6</v>
      </c>
      <c r="P3168">
        <v>0</v>
      </c>
      <c r="Q3168">
        <v>0</v>
      </c>
      <c r="R3168">
        <v>0</v>
      </c>
      <c r="S3168">
        <v>0</v>
      </c>
      <c r="T3168">
        <v>0.22090000000000001</v>
      </c>
      <c r="U3168">
        <v>-7.6899999999999996E-2</v>
      </c>
      <c r="V3168">
        <v>5.0000000000000001E-4</v>
      </c>
      <c r="W3168">
        <v>-1.7438</v>
      </c>
      <c r="X3168">
        <v>1.8642000000000001</v>
      </c>
      <c r="Y3168">
        <v>-0.16750000000000001</v>
      </c>
      <c r="Z3168">
        <v>27</v>
      </c>
      <c r="AA3168">
        <v>9.3000000000000007</v>
      </c>
      <c r="AB3168">
        <v>65</v>
      </c>
      <c r="AC3168">
        <v>9.6</v>
      </c>
      <c r="AD3168">
        <v>0</v>
      </c>
      <c r="AE3168">
        <v>0</v>
      </c>
      <c r="AF3168">
        <v>12.229900000000001</v>
      </c>
      <c r="AG3168">
        <v>339</v>
      </c>
      <c r="AH3168">
        <v>0</v>
      </c>
    </row>
    <row r="3169" spans="1:34" x14ac:dyDescent="0.35">
      <c r="A3169" t="s">
        <v>34</v>
      </c>
      <c r="B3169" s="1">
        <v>46146.65625</v>
      </c>
      <c r="C3169" t="s">
        <v>34</v>
      </c>
      <c r="D3169" s="1">
        <v>46157.625</v>
      </c>
      <c r="E3169">
        <v>6830</v>
      </c>
      <c r="F3169" t="s">
        <v>36</v>
      </c>
      <c r="G3169">
        <v>7.98</v>
      </c>
      <c r="H3169">
        <v>14</v>
      </c>
      <c r="I3169">
        <v>6.55</v>
      </c>
      <c r="J3169">
        <v>9.8000000000000007</v>
      </c>
      <c r="K3169">
        <v>22</v>
      </c>
      <c r="L3169">
        <v>54</v>
      </c>
      <c r="M3169">
        <v>9.6</v>
      </c>
      <c r="N3169">
        <v>18</v>
      </c>
      <c r="O3169">
        <v>9.8000000000000007</v>
      </c>
      <c r="P3169">
        <v>0</v>
      </c>
      <c r="Q3169">
        <v>0</v>
      </c>
      <c r="R3169">
        <v>0</v>
      </c>
      <c r="S3169">
        <v>0</v>
      </c>
      <c r="T3169">
        <v>0.21970000000000001</v>
      </c>
      <c r="U3169">
        <v>-7.8600000000000003E-2</v>
      </c>
      <c r="V3169">
        <v>5.0000000000000001E-4</v>
      </c>
      <c r="W3169">
        <v>-1.7653000000000001</v>
      </c>
      <c r="X3169">
        <v>1.8946000000000001</v>
      </c>
      <c r="Y3169">
        <v>-0.17130000000000001</v>
      </c>
      <c r="Z3169">
        <v>44</v>
      </c>
      <c r="AA3169">
        <v>9.5</v>
      </c>
      <c r="AB3169">
        <v>32</v>
      </c>
      <c r="AC3169">
        <v>9.8000000000000007</v>
      </c>
      <c r="AD3169">
        <v>0</v>
      </c>
      <c r="AE3169">
        <v>0</v>
      </c>
      <c r="AF3169">
        <v>8.4949999999999992</v>
      </c>
      <c r="AG3169">
        <v>363</v>
      </c>
      <c r="AH3169">
        <v>0</v>
      </c>
    </row>
    <row r="3170" spans="1:34" x14ac:dyDescent="0.35">
      <c r="A3170" t="s">
        <v>34</v>
      </c>
      <c r="B3170" s="1">
        <v>46146.65625</v>
      </c>
      <c r="C3170" t="s">
        <v>34</v>
      </c>
      <c r="D3170" s="1">
        <v>46157.625</v>
      </c>
      <c r="E3170">
        <v>6835</v>
      </c>
      <c r="F3170" t="s">
        <v>36</v>
      </c>
      <c r="G3170">
        <v>8.3800000000000008</v>
      </c>
      <c r="H3170">
        <v>8.3800000000000008</v>
      </c>
      <c r="I3170">
        <v>6.88</v>
      </c>
      <c r="J3170">
        <v>6.88</v>
      </c>
      <c r="K3170">
        <v>5</v>
      </c>
      <c r="L3170">
        <v>35</v>
      </c>
      <c r="M3170">
        <v>9.8000000000000007</v>
      </c>
      <c r="N3170">
        <v>23</v>
      </c>
      <c r="O3170">
        <v>10.1</v>
      </c>
      <c r="P3170">
        <v>0</v>
      </c>
      <c r="Q3170">
        <v>0</v>
      </c>
      <c r="R3170">
        <v>0</v>
      </c>
      <c r="S3170">
        <v>0</v>
      </c>
      <c r="T3170">
        <v>0.2185</v>
      </c>
      <c r="U3170">
        <v>-8.0299999999999996E-2</v>
      </c>
      <c r="V3170">
        <v>5.0000000000000001E-4</v>
      </c>
      <c r="W3170">
        <v>-1.7863</v>
      </c>
      <c r="X3170">
        <v>1.9248000000000001</v>
      </c>
      <c r="Y3170">
        <v>-0.17499999999999999</v>
      </c>
      <c r="Z3170">
        <v>24</v>
      </c>
      <c r="AA3170">
        <v>9.6999999999999993</v>
      </c>
      <c r="AB3170">
        <v>26</v>
      </c>
      <c r="AC3170">
        <v>10.1</v>
      </c>
      <c r="AD3170">
        <v>0</v>
      </c>
      <c r="AE3170">
        <v>0</v>
      </c>
      <c r="AF3170">
        <v>7.798</v>
      </c>
      <c r="AG3170">
        <v>110</v>
      </c>
      <c r="AH3170">
        <v>0</v>
      </c>
    </row>
    <row r="3171" spans="1:34" x14ac:dyDescent="0.35">
      <c r="A3171" t="s">
        <v>34</v>
      </c>
      <c r="B3171" s="1">
        <v>46146.65625</v>
      </c>
      <c r="C3171" t="s">
        <v>34</v>
      </c>
      <c r="D3171" s="1">
        <v>46157.625</v>
      </c>
      <c r="E3171">
        <v>6840</v>
      </c>
      <c r="F3171" t="s">
        <v>36</v>
      </c>
      <c r="G3171">
        <v>7.75</v>
      </c>
      <c r="H3171">
        <v>11.57</v>
      </c>
      <c r="I3171">
        <v>6.77</v>
      </c>
      <c r="J3171">
        <v>10.199999999999999</v>
      </c>
      <c r="K3171">
        <v>30</v>
      </c>
      <c r="L3171">
        <v>57</v>
      </c>
      <c r="M3171">
        <v>10.1</v>
      </c>
      <c r="N3171">
        <v>1</v>
      </c>
      <c r="O3171">
        <v>10.3</v>
      </c>
      <c r="P3171">
        <v>0</v>
      </c>
      <c r="Q3171">
        <v>0</v>
      </c>
      <c r="R3171">
        <v>0</v>
      </c>
      <c r="S3171">
        <v>0</v>
      </c>
      <c r="T3171">
        <v>0.21790000000000001</v>
      </c>
      <c r="U3171">
        <v>-8.2600000000000007E-2</v>
      </c>
      <c r="V3171">
        <v>5.9999999999999995E-4</v>
      </c>
      <c r="W3171">
        <v>-1.8204</v>
      </c>
      <c r="X3171">
        <v>1.9631000000000001</v>
      </c>
      <c r="Y3171">
        <v>-0.1799</v>
      </c>
      <c r="Z3171">
        <v>43</v>
      </c>
      <c r="AA3171">
        <v>10</v>
      </c>
      <c r="AB3171">
        <v>25</v>
      </c>
      <c r="AC3171">
        <v>10.3</v>
      </c>
      <c r="AD3171">
        <v>0</v>
      </c>
      <c r="AE3171">
        <v>0</v>
      </c>
      <c r="AF3171">
        <v>9.0957000000000008</v>
      </c>
      <c r="AG3171">
        <v>478</v>
      </c>
      <c r="AH3171">
        <v>0</v>
      </c>
    </row>
    <row r="3172" spans="1:34" x14ac:dyDescent="0.35">
      <c r="A3172" t="s">
        <v>34</v>
      </c>
      <c r="B3172" s="1">
        <v>46146.65625</v>
      </c>
      <c r="C3172" t="s">
        <v>34</v>
      </c>
      <c r="D3172" s="1">
        <v>46157.625</v>
      </c>
      <c r="E3172">
        <v>6845</v>
      </c>
      <c r="F3172" t="s">
        <v>36</v>
      </c>
      <c r="G3172">
        <v>8.18</v>
      </c>
      <c r="H3172">
        <v>13.2</v>
      </c>
      <c r="I3172">
        <v>7.23</v>
      </c>
      <c r="J3172">
        <v>10.45</v>
      </c>
      <c r="K3172">
        <v>13</v>
      </c>
      <c r="L3172">
        <v>36</v>
      </c>
      <c r="M3172">
        <v>10.3</v>
      </c>
      <c r="N3172">
        <v>25</v>
      </c>
      <c r="O3172">
        <v>10.6</v>
      </c>
      <c r="P3172">
        <v>0</v>
      </c>
      <c r="Q3172">
        <v>0</v>
      </c>
      <c r="R3172">
        <v>0</v>
      </c>
      <c r="S3172">
        <v>0</v>
      </c>
      <c r="T3172">
        <v>0.21690000000000001</v>
      </c>
      <c r="U3172">
        <v>-8.4599999999999995E-2</v>
      </c>
      <c r="V3172">
        <v>5.9999999999999995E-4</v>
      </c>
      <c r="W3172">
        <v>-1.847</v>
      </c>
      <c r="X3172">
        <v>1.9976</v>
      </c>
      <c r="Y3172">
        <v>-0.1842</v>
      </c>
      <c r="Z3172">
        <v>26</v>
      </c>
      <c r="AA3172">
        <v>10.199999999999999</v>
      </c>
      <c r="AB3172">
        <v>7</v>
      </c>
      <c r="AC3172">
        <v>10.5</v>
      </c>
      <c r="AD3172">
        <v>0</v>
      </c>
      <c r="AE3172">
        <v>0</v>
      </c>
      <c r="AF3172">
        <v>9.5838000000000001</v>
      </c>
      <c r="AG3172">
        <v>703</v>
      </c>
      <c r="AH3172">
        <v>0</v>
      </c>
    </row>
    <row r="3173" spans="1:34" x14ac:dyDescent="0.35">
      <c r="A3173" t="s">
        <v>34</v>
      </c>
      <c r="B3173" s="1">
        <v>46146.65625</v>
      </c>
      <c r="C3173" t="s">
        <v>34</v>
      </c>
      <c r="D3173" s="1">
        <v>46157.625</v>
      </c>
      <c r="E3173">
        <v>6850</v>
      </c>
      <c r="F3173" t="s">
        <v>36</v>
      </c>
      <c r="G3173">
        <v>8.7799999999999994</v>
      </c>
      <c r="H3173">
        <v>17</v>
      </c>
      <c r="I3173">
        <v>7</v>
      </c>
      <c r="J3173">
        <v>10.16</v>
      </c>
      <c r="K3173">
        <v>331</v>
      </c>
      <c r="L3173">
        <v>72</v>
      </c>
      <c r="M3173">
        <v>10.6</v>
      </c>
      <c r="N3173">
        <v>1</v>
      </c>
      <c r="O3173">
        <v>10.8</v>
      </c>
      <c r="P3173">
        <v>0</v>
      </c>
      <c r="Q3173">
        <v>0</v>
      </c>
      <c r="R3173">
        <v>0</v>
      </c>
      <c r="S3173">
        <v>0</v>
      </c>
      <c r="T3173">
        <v>0.2157</v>
      </c>
      <c r="U3173">
        <v>-8.6599999999999996E-2</v>
      </c>
      <c r="V3173">
        <v>5.9999999999999995E-4</v>
      </c>
      <c r="W3173">
        <v>-1.8724000000000001</v>
      </c>
      <c r="X3173">
        <v>2.0331999999999999</v>
      </c>
      <c r="Y3173">
        <v>-0.18870000000000001</v>
      </c>
      <c r="Z3173">
        <v>60</v>
      </c>
      <c r="AA3173">
        <v>10.5</v>
      </c>
      <c r="AB3173">
        <v>33</v>
      </c>
      <c r="AC3173">
        <v>10.8</v>
      </c>
      <c r="AD3173">
        <v>0</v>
      </c>
      <c r="AE3173">
        <v>0</v>
      </c>
      <c r="AF3173">
        <v>9.42</v>
      </c>
      <c r="AG3173">
        <v>1671</v>
      </c>
      <c r="AH3173">
        <v>0</v>
      </c>
    </row>
    <row r="3174" spans="1:34" x14ac:dyDescent="0.35">
      <c r="A3174" t="s">
        <v>34</v>
      </c>
      <c r="B3174" s="1">
        <v>46146.65625</v>
      </c>
      <c r="C3174" t="s">
        <v>34</v>
      </c>
      <c r="D3174" s="1">
        <v>46157.625</v>
      </c>
      <c r="E3174">
        <v>6855</v>
      </c>
      <c r="F3174" t="s">
        <v>36</v>
      </c>
      <c r="G3174">
        <v>7.27</v>
      </c>
      <c r="H3174">
        <v>14.03</v>
      </c>
      <c r="I3174">
        <v>7.27</v>
      </c>
      <c r="J3174">
        <v>11.6</v>
      </c>
      <c r="K3174">
        <v>13</v>
      </c>
      <c r="L3174">
        <v>33</v>
      </c>
      <c r="M3174">
        <v>10.9</v>
      </c>
      <c r="N3174">
        <v>1</v>
      </c>
      <c r="O3174">
        <v>11.1</v>
      </c>
      <c r="P3174">
        <v>0</v>
      </c>
      <c r="Q3174">
        <v>0</v>
      </c>
      <c r="R3174">
        <v>0</v>
      </c>
      <c r="S3174">
        <v>0</v>
      </c>
      <c r="T3174">
        <v>0.215</v>
      </c>
      <c r="U3174">
        <v>-8.8900000000000007E-2</v>
      </c>
      <c r="V3174">
        <v>5.9999999999999995E-4</v>
      </c>
      <c r="W3174">
        <v>-1.9046000000000001</v>
      </c>
      <c r="X3174">
        <v>2.0710999999999999</v>
      </c>
      <c r="Y3174">
        <v>-0.19359999999999999</v>
      </c>
      <c r="Z3174">
        <v>20</v>
      </c>
      <c r="AA3174">
        <v>10.8</v>
      </c>
      <c r="AB3174">
        <v>32</v>
      </c>
      <c r="AC3174">
        <v>11.1</v>
      </c>
      <c r="AD3174">
        <v>0</v>
      </c>
      <c r="AE3174">
        <v>0</v>
      </c>
      <c r="AF3174">
        <v>10.623100000000001</v>
      </c>
      <c r="AG3174">
        <v>36</v>
      </c>
      <c r="AH3174">
        <v>0</v>
      </c>
    </row>
    <row r="3175" spans="1:34" x14ac:dyDescent="0.35">
      <c r="A3175" t="s">
        <v>34</v>
      </c>
      <c r="B3175" s="1">
        <v>46146.65625</v>
      </c>
      <c r="C3175" t="s">
        <v>34</v>
      </c>
      <c r="D3175" s="1">
        <v>46157.625</v>
      </c>
      <c r="E3175">
        <v>6860</v>
      </c>
      <c r="F3175" t="s">
        <v>36</v>
      </c>
      <c r="G3175">
        <v>9.48</v>
      </c>
      <c r="H3175">
        <v>13.55</v>
      </c>
      <c r="I3175">
        <v>8.1999999999999993</v>
      </c>
      <c r="J3175">
        <v>12.1</v>
      </c>
      <c r="K3175">
        <v>27</v>
      </c>
      <c r="L3175">
        <v>33</v>
      </c>
      <c r="M3175">
        <v>11.2</v>
      </c>
      <c r="N3175">
        <v>1</v>
      </c>
      <c r="O3175">
        <v>11.4</v>
      </c>
      <c r="P3175">
        <v>0</v>
      </c>
      <c r="Q3175">
        <v>0</v>
      </c>
      <c r="R3175">
        <v>0</v>
      </c>
      <c r="S3175">
        <v>0</v>
      </c>
      <c r="T3175">
        <v>0.214</v>
      </c>
      <c r="U3175">
        <v>-9.1200000000000003E-2</v>
      </c>
      <c r="V3175">
        <v>5.9999999999999995E-4</v>
      </c>
      <c r="W3175">
        <v>-1.9353</v>
      </c>
      <c r="X3175">
        <v>2.1107</v>
      </c>
      <c r="Y3175">
        <v>-0.19869999999999999</v>
      </c>
      <c r="Z3175">
        <v>21</v>
      </c>
      <c r="AA3175">
        <v>11.1</v>
      </c>
      <c r="AB3175">
        <v>33</v>
      </c>
      <c r="AC3175">
        <v>11.4</v>
      </c>
      <c r="AD3175">
        <v>0</v>
      </c>
      <c r="AE3175">
        <v>0</v>
      </c>
      <c r="AF3175">
        <v>10.047800000000001</v>
      </c>
      <c r="AG3175">
        <v>274</v>
      </c>
      <c r="AH3175">
        <v>0</v>
      </c>
    </row>
    <row r="3176" spans="1:34" x14ac:dyDescent="0.35">
      <c r="A3176" t="s">
        <v>34</v>
      </c>
      <c r="B3176" s="1">
        <v>46146.65625</v>
      </c>
      <c r="C3176" t="s">
        <v>34</v>
      </c>
      <c r="D3176" s="1">
        <v>46157.625</v>
      </c>
      <c r="E3176">
        <v>6865</v>
      </c>
      <c r="F3176" t="s">
        <v>36</v>
      </c>
      <c r="G3176">
        <v>8.65</v>
      </c>
      <c r="H3176">
        <v>12.75</v>
      </c>
      <c r="I3176">
        <v>7.78</v>
      </c>
      <c r="J3176">
        <v>11.05</v>
      </c>
      <c r="K3176">
        <v>65</v>
      </c>
      <c r="L3176">
        <v>32</v>
      </c>
      <c r="M3176">
        <v>11.5</v>
      </c>
      <c r="N3176">
        <v>1</v>
      </c>
      <c r="O3176">
        <v>11.7</v>
      </c>
      <c r="P3176">
        <v>0</v>
      </c>
      <c r="Q3176">
        <v>0</v>
      </c>
      <c r="R3176">
        <v>0</v>
      </c>
      <c r="S3176">
        <v>0</v>
      </c>
      <c r="T3176">
        <v>0.21310000000000001</v>
      </c>
      <c r="U3176">
        <v>-9.35E-2</v>
      </c>
      <c r="V3176">
        <v>5.9999999999999995E-4</v>
      </c>
      <c r="W3176">
        <v>-1.9654</v>
      </c>
      <c r="X3176">
        <v>2.1497999999999999</v>
      </c>
      <c r="Y3176">
        <v>-0.20380000000000001</v>
      </c>
      <c r="Z3176">
        <v>20</v>
      </c>
      <c r="AA3176">
        <v>11.4</v>
      </c>
      <c r="AB3176">
        <v>33</v>
      </c>
      <c r="AC3176">
        <v>11.7</v>
      </c>
      <c r="AD3176">
        <v>0</v>
      </c>
      <c r="AE3176">
        <v>0</v>
      </c>
      <c r="AF3176">
        <v>8.7759999999999998</v>
      </c>
      <c r="AG3176">
        <v>84</v>
      </c>
      <c r="AH3176">
        <v>0</v>
      </c>
    </row>
    <row r="3177" spans="1:34" x14ac:dyDescent="0.35">
      <c r="A3177" t="s">
        <v>34</v>
      </c>
      <c r="B3177" s="1">
        <v>46146.65625</v>
      </c>
      <c r="C3177" t="s">
        <v>34</v>
      </c>
      <c r="D3177" s="1">
        <v>46157.625</v>
      </c>
      <c r="E3177">
        <v>6870</v>
      </c>
      <c r="F3177" t="s">
        <v>36</v>
      </c>
      <c r="G3177">
        <v>9.23</v>
      </c>
      <c r="H3177">
        <v>15.75</v>
      </c>
      <c r="I3177">
        <v>8.6</v>
      </c>
      <c r="J3177">
        <v>11.72</v>
      </c>
      <c r="K3177">
        <v>16</v>
      </c>
      <c r="L3177">
        <v>30</v>
      </c>
      <c r="M3177">
        <v>11.8</v>
      </c>
      <c r="N3177">
        <v>1</v>
      </c>
      <c r="O3177">
        <v>12</v>
      </c>
      <c r="P3177">
        <v>0</v>
      </c>
      <c r="Q3177">
        <v>0</v>
      </c>
      <c r="R3177">
        <v>0</v>
      </c>
      <c r="S3177">
        <v>0</v>
      </c>
      <c r="T3177">
        <v>0.2122</v>
      </c>
      <c r="U3177">
        <v>-9.5899999999999999E-2</v>
      </c>
      <c r="V3177">
        <v>5.9999999999999995E-4</v>
      </c>
      <c r="W3177">
        <v>-1.9948999999999999</v>
      </c>
      <c r="X3177">
        <v>2.1888999999999998</v>
      </c>
      <c r="Y3177">
        <v>-0.20899999999999999</v>
      </c>
      <c r="Z3177">
        <v>20</v>
      </c>
      <c r="AA3177">
        <v>11.7</v>
      </c>
      <c r="AB3177">
        <v>33</v>
      </c>
      <c r="AC3177">
        <v>12</v>
      </c>
      <c r="AD3177">
        <v>0</v>
      </c>
      <c r="AE3177">
        <v>0</v>
      </c>
      <c r="AF3177">
        <v>12.591900000000001</v>
      </c>
      <c r="AG3177">
        <v>327</v>
      </c>
      <c r="AH3177">
        <v>0</v>
      </c>
    </row>
    <row r="3178" spans="1:34" x14ac:dyDescent="0.35">
      <c r="A3178" t="s">
        <v>34</v>
      </c>
      <c r="B3178" s="1">
        <v>46146.65625</v>
      </c>
      <c r="C3178" t="s">
        <v>34</v>
      </c>
      <c r="D3178" s="1">
        <v>46157.625</v>
      </c>
      <c r="E3178">
        <v>6875</v>
      </c>
      <c r="F3178" t="s">
        <v>36</v>
      </c>
      <c r="G3178">
        <v>9.5</v>
      </c>
      <c r="H3178">
        <v>17.600000000000001</v>
      </c>
      <c r="I3178">
        <v>8.1</v>
      </c>
      <c r="J3178">
        <v>12.95</v>
      </c>
      <c r="K3178">
        <v>69</v>
      </c>
      <c r="L3178">
        <v>42</v>
      </c>
      <c r="M3178">
        <v>12.1</v>
      </c>
      <c r="N3178">
        <v>13</v>
      </c>
      <c r="O3178">
        <v>12.3</v>
      </c>
      <c r="P3178">
        <v>0</v>
      </c>
      <c r="Q3178">
        <v>0</v>
      </c>
      <c r="R3178">
        <v>0</v>
      </c>
      <c r="S3178">
        <v>0</v>
      </c>
      <c r="T3178">
        <v>0.21129999999999999</v>
      </c>
      <c r="U3178">
        <v>-9.8199999999999996E-2</v>
      </c>
      <c r="V3178">
        <v>6.9999999999999999E-4</v>
      </c>
      <c r="W3178">
        <v>-2.024</v>
      </c>
      <c r="X3178">
        <v>2.2271999999999998</v>
      </c>
      <c r="Y3178">
        <v>-0.21410000000000001</v>
      </c>
      <c r="Z3178">
        <v>38</v>
      </c>
      <c r="AA3178">
        <v>12</v>
      </c>
      <c r="AB3178">
        <v>48</v>
      </c>
      <c r="AC3178">
        <v>12.3</v>
      </c>
      <c r="AD3178">
        <v>0</v>
      </c>
      <c r="AE3178">
        <v>0</v>
      </c>
      <c r="AF3178">
        <v>13.468999999999999</v>
      </c>
      <c r="AG3178">
        <v>363</v>
      </c>
      <c r="AH3178">
        <v>0</v>
      </c>
    </row>
    <row r="3179" spans="1:34" x14ac:dyDescent="0.35">
      <c r="A3179" t="s">
        <v>34</v>
      </c>
      <c r="B3179" s="1">
        <v>46146.65625</v>
      </c>
      <c r="C3179" t="s">
        <v>34</v>
      </c>
      <c r="D3179" s="1">
        <v>46157.625</v>
      </c>
      <c r="E3179">
        <v>6880</v>
      </c>
      <c r="F3179" t="s">
        <v>36</v>
      </c>
      <c r="G3179">
        <v>9.6999999999999993</v>
      </c>
      <c r="H3179">
        <v>17.3</v>
      </c>
      <c r="I3179">
        <v>9.6999999999999993</v>
      </c>
      <c r="J3179">
        <v>12.26</v>
      </c>
      <c r="K3179">
        <v>10</v>
      </c>
      <c r="L3179">
        <v>56</v>
      </c>
      <c r="M3179">
        <v>12.4</v>
      </c>
      <c r="N3179">
        <v>1</v>
      </c>
      <c r="O3179">
        <v>12.6</v>
      </c>
      <c r="P3179">
        <v>0</v>
      </c>
      <c r="Q3179">
        <v>0</v>
      </c>
      <c r="R3179">
        <v>0</v>
      </c>
      <c r="S3179">
        <v>0</v>
      </c>
      <c r="T3179">
        <v>0.21029999999999999</v>
      </c>
      <c r="U3179">
        <v>-0.10059999999999999</v>
      </c>
      <c r="V3179">
        <v>6.9999999999999999E-4</v>
      </c>
      <c r="W3179">
        <v>-2.0518999999999998</v>
      </c>
      <c r="X3179">
        <v>2.2660999999999998</v>
      </c>
      <c r="Y3179">
        <v>-0.21940000000000001</v>
      </c>
      <c r="Z3179">
        <v>19</v>
      </c>
      <c r="AA3179">
        <v>12.3</v>
      </c>
      <c r="AB3179">
        <v>13</v>
      </c>
      <c r="AC3179">
        <v>12.6</v>
      </c>
      <c r="AD3179">
        <v>0</v>
      </c>
      <c r="AE3179">
        <v>0</v>
      </c>
      <c r="AF3179">
        <v>14.589</v>
      </c>
      <c r="AG3179">
        <v>391</v>
      </c>
      <c r="AH3179">
        <v>0</v>
      </c>
    </row>
    <row r="3180" spans="1:34" x14ac:dyDescent="0.35">
      <c r="A3180" t="s">
        <v>34</v>
      </c>
      <c r="B3180" s="1">
        <v>46146.65625</v>
      </c>
      <c r="C3180" t="s">
        <v>34</v>
      </c>
      <c r="D3180" s="1">
        <v>46157.625</v>
      </c>
      <c r="E3180">
        <v>6885</v>
      </c>
      <c r="F3180" t="s">
        <v>36</v>
      </c>
      <c r="G3180">
        <v>9.85</v>
      </c>
      <c r="H3180">
        <v>15</v>
      </c>
      <c r="I3180">
        <v>9.08</v>
      </c>
      <c r="J3180">
        <v>13.5</v>
      </c>
      <c r="K3180">
        <v>23</v>
      </c>
      <c r="L3180">
        <v>34</v>
      </c>
      <c r="M3180">
        <v>12.7</v>
      </c>
      <c r="N3180">
        <v>25</v>
      </c>
      <c r="O3180">
        <v>13</v>
      </c>
      <c r="P3180">
        <v>0</v>
      </c>
      <c r="Q3180">
        <v>0</v>
      </c>
      <c r="R3180">
        <v>0</v>
      </c>
      <c r="S3180">
        <v>0</v>
      </c>
      <c r="T3180">
        <v>0.20930000000000001</v>
      </c>
      <c r="U3180">
        <v>-0.1033</v>
      </c>
      <c r="V3180">
        <v>6.9999999999999999E-4</v>
      </c>
      <c r="W3180">
        <v>-2.0846</v>
      </c>
      <c r="X3180">
        <v>2.3090999999999999</v>
      </c>
      <c r="Y3180">
        <v>-0.22550000000000001</v>
      </c>
      <c r="Z3180">
        <v>20</v>
      </c>
      <c r="AA3180">
        <v>12.6</v>
      </c>
      <c r="AB3180">
        <v>6</v>
      </c>
      <c r="AC3180">
        <v>12.9</v>
      </c>
      <c r="AD3180">
        <v>0</v>
      </c>
      <c r="AE3180">
        <v>0</v>
      </c>
      <c r="AF3180">
        <v>9.8739000000000008</v>
      </c>
      <c r="AG3180">
        <v>89</v>
      </c>
      <c r="AH3180">
        <v>0</v>
      </c>
    </row>
    <row r="3181" spans="1:34" x14ac:dyDescent="0.35">
      <c r="A3181" t="s">
        <v>34</v>
      </c>
      <c r="B3181" s="1">
        <v>46146.65625</v>
      </c>
      <c r="C3181" t="s">
        <v>34</v>
      </c>
      <c r="D3181" s="1">
        <v>46157.625</v>
      </c>
      <c r="E3181">
        <v>6890</v>
      </c>
      <c r="F3181" t="s">
        <v>36</v>
      </c>
      <c r="G3181">
        <v>10.199999999999999</v>
      </c>
      <c r="H3181">
        <v>14.67</v>
      </c>
      <c r="I3181">
        <v>8.6999999999999993</v>
      </c>
      <c r="J3181">
        <v>13.51</v>
      </c>
      <c r="K3181">
        <v>26</v>
      </c>
      <c r="L3181">
        <v>28</v>
      </c>
      <c r="M3181">
        <v>13.1</v>
      </c>
      <c r="N3181">
        <v>4</v>
      </c>
      <c r="O3181">
        <v>13.3</v>
      </c>
      <c r="P3181">
        <v>0</v>
      </c>
      <c r="Q3181">
        <v>0</v>
      </c>
      <c r="R3181">
        <v>0</v>
      </c>
      <c r="S3181">
        <v>0</v>
      </c>
      <c r="T3181">
        <v>0.2084</v>
      </c>
      <c r="U3181">
        <v>-0.106</v>
      </c>
      <c r="V3181">
        <v>6.9999999999999999E-4</v>
      </c>
      <c r="W3181">
        <v>-2.1166999999999998</v>
      </c>
      <c r="X3181">
        <v>2.351</v>
      </c>
      <c r="Y3181">
        <v>-0.23139999999999999</v>
      </c>
      <c r="Z3181">
        <v>20</v>
      </c>
      <c r="AA3181">
        <v>13</v>
      </c>
      <c r="AB3181">
        <v>32</v>
      </c>
      <c r="AC3181">
        <v>13.3</v>
      </c>
      <c r="AD3181">
        <v>0</v>
      </c>
      <c r="AE3181">
        <v>0</v>
      </c>
      <c r="AF3181">
        <v>10.425000000000001</v>
      </c>
      <c r="AG3181">
        <v>200</v>
      </c>
      <c r="AH3181">
        <v>0</v>
      </c>
    </row>
    <row r="3182" spans="1:34" x14ac:dyDescent="0.35">
      <c r="A3182" t="s">
        <v>34</v>
      </c>
      <c r="B3182" s="1">
        <v>46146.65625</v>
      </c>
      <c r="C3182" t="s">
        <v>34</v>
      </c>
      <c r="D3182" s="1">
        <v>46157.625</v>
      </c>
      <c r="E3182">
        <v>6895</v>
      </c>
      <c r="F3182" t="s">
        <v>36</v>
      </c>
      <c r="G3182">
        <v>10.33</v>
      </c>
      <c r="H3182">
        <v>16.72</v>
      </c>
      <c r="I3182">
        <v>8.7799999999999994</v>
      </c>
      <c r="J3182">
        <v>14.15</v>
      </c>
      <c r="K3182">
        <v>59</v>
      </c>
      <c r="L3182">
        <v>47</v>
      </c>
      <c r="M3182">
        <v>13.4</v>
      </c>
      <c r="N3182">
        <v>25</v>
      </c>
      <c r="O3182">
        <v>13.7</v>
      </c>
      <c r="P3182">
        <v>0</v>
      </c>
      <c r="Q3182">
        <v>0</v>
      </c>
      <c r="R3182">
        <v>0</v>
      </c>
      <c r="S3182">
        <v>0</v>
      </c>
      <c r="T3182">
        <v>0.20730000000000001</v>
      </c>
      <c r="U3182">
        <v>-0.1084</v>
      </c>
      <c r="V3182">
        <v>6.9999999999999999E-4</v>
      </c>
      <c r="W3182">
        <v>-2.1421999999999999</v>
      </c>
      <c r="X3182">
        <v>2.3891</v>
      </c>
      <c r="Y3182">
        <v>-0.2369</v>
      </c>
      <c r="Z3182">
        <v>26</v>
      </c>
      <c r="AA3182">
        <v>13.3</v>
      </c>
      <c r="AB3182">
        <v>6</v>
      </c>
      <c r="AC3182">
        <v>13.6</v>
      </c>
      <c r="AD3182">
        <v>0</v>
      </c>
      <c r="AE3182">
        <v>0</v>
      </c>
      <c r="AF3182">
        <v>10.6875</v>
      </c>
      <c r="AG3182">
        <v>251</v>
      </c>
      <c r="AH3182">
        <v>0</v>
      </c>
    </row>
    <row r="3183" spans="1:34" x14ac:dyDescent="0.35">
      <c r="A3183" t="s">
        <v>34</v>
      </c>
      <c r="B3183" s="1">
        <v>46146.65625</v>
      </c>
      <c r="C3183" t="s">
        <v>34</v>
      </c>
      <c r="D3183" s="1">
        <v>46157.625</v>
      </c>
      <c r="E3183">
        <v>6900</v>
      </c>
      <c r="F3183" t="s">
        <v>36</v>
      </c>
      <c r="G3183">
        <v>11</v>
      </c>
      <c r="H3183">
        <v>20</v>
      </c>
      <c r="I3183">
        <v>9</v>
      </c>
      <c r="J3183">
        <v>13.31</v>
      </c>
      <c r="K3183">
        <v>492</v>
      </c>
      <c r="L3183">
        <v>41</v>
      </c>
      <c r="M3183">
        <v>13.8</v>
      </c>
      <c r="N3183">
        <v>15</v>
      </c>
      <c r="O3183">
        <v>14</v>
      </c>
      <c r="P3183">
        <v>0</v>
      </c>
      <c r="Q3183">
        <v>0</v>
      </c>
      <c r="R3183">
        <v>0</v>
      </c>
      <c r="S3183">
        <v>0</v>
      </c>
      <c r="T3183">
        <v>0.20660000000000001</v>
      </c>
      <c r="U3183">
        <v>-0.1113</v>
      </c>
      <c r="V3183">
        <v>6.9999999999999999E-4</v>
      </c>
      <c r="W3183">
        <v>-2.1787999999999998</v>
      </c>
      <c r="X3183">
        <v>2.4329000000000001</v>
      </c>
      <c r="Y3183">
        <v>-0.2432</v>
      </c>
      <c r="Z3183">
        <v>35</v>
      </c>
      <c r="AA3183">
        <v>13.7</v>
      </c>
      <c r="AB3183">
        <v>31</v>
      </c>
      <c r="AC3183">
        <v>14</v>
      </c>
      <c r="AD3183">
        <v>0</v>
      </c>
      <c r="AE3183">
        <v>0</v>
      </c>
      <c r="AF3183">
        <v>13.086600000000001</v>
      </c>
      <c r="AG3183">
        <v>5977</v>
      </c>
      <c r="AH3183">
        <v>0</v>
      </c>
    </row>
    <row r="3184" spans="1:34" x14ac:dyDescent="0.35">
      <c r="A3184" t="s">
        <v>34</v>
      </c>
      <c r="B3184" s="1">
        <v>46146.65625</v>
      </c>
      <c r="C3184" t="s">
        <v>34</v>
      </c>
      <c r="D3184" s="1">
        <v>46157.625</v>
      </c>
      <c r="E3184">
        <v>6905</v>
      </c>
      <c r="F3184" t="s">
        <v>36</v>
      </c>
      <c r="G3184">
        <v>17.62</v>
      </c>
      <c r="H3184">
        <v>18.47</v>
      </c>
      <c r="I3184">
        <v>14.15</v>
      </c>
      <c r="J3184">
        <v>14.15</v>
      </c>
      <c r="K3184">
        <v>29</v>
      </c>
      <c r="L3184">
        <v>26</v>
      </c>
      <c r="M3184">
        <v>14.2</v>
      </c>
      <c r="N3184">
        <v>4</v>
      </c>
      <c r="O3184">
        <v>14.4</v>
      </c>
      <c r="P3184">
        <v>0</v>
      </c>
      <c r="Q3184">
        <v>0</v>
      </c>
      <c r="R3184">
        <v>0</v>
      </c>
      <c r="S3184">
        <v>0</v>
      </c>
      <c r="T3184">
        <v>0.20549999999999999</v>
      </c>
      <c r="U3184">
        <v>-0.11409999999999999</v>
      </c>
      <c r="V3184">
        <v>8.0000000000000004E-4</v>
      </c>
      <c r="W3184">
        <v>-2.2079</v>
      </c>
      <c r="X3184">
        <v>2.4746999999999999</v>
      </c>
      <c r="Y3184">
        <v>-0.24929999999999999</v>
      </c>
      <c r="Z3184">
        <v>19</v>
      </c>
      <c r="AA3184">
        <v>14.1</v>
      </c>
      <c r="AB3184">
        <v>31</v>
      </c>
      <c r="AC3184">
        <v>14.4</v>
      </c>
      <c r="AD3184">
        <v>0</v>
      </c>
      <c r="AE3184">
        <v>0</v>
      </c>
      <c r="AF3184">
        <v>15.6859</v>
      </c>
      <c r="AG3184">
        <v>167</v>
      </c>
      <c r="AH3184">
        <v>0</v>
      </c>
    </row>
    <row r="3185" spans="1:34" x14ac:dyDescent="0.35">
      <c r="A3185" t="s">
        <v>34</v>
      </c>
      <c r="B3185" s="1">
        <v>46146.65625</v>
      </c>
      <c r="C3185" t="s">
        <v>34</v>
      </c>
      <c r="D3185" s="1">
        <v>46157.625</v>
      </c>
      <c r="E3185">
        <v>6910</v>
      </c>
      <c r="F3185" t="s">
        <v>36</v>
      </c>
      <c r="G3185">
        <v>10.73</v>
      </c>
      <c r="H3185">
        <v>18.93</v>
      </c>
      <c r="I3185">
        <v>10.73</v>
      </c>
      <c r="J3185">
        <v>14.62</v>
      </c>
      <c r="K3185">
        <v>18</v>
      </c>
      <c r="L3185">
        <v>53</v>
      </c>
      <c r="M3185">
        <v>14.5</v>
      </c>
      <c r="N3185">
        <v>4</v>
      </c>
      <c r="O3185">
        <v>14.8</v>
      </c>
      <c r="P3185">
        <v>0</v>
      </c>
      <c r="Q3185">
        <v>0</v>
      </c>
      <c r="R3185">
        <v>0</v>
      </c>
      <c r="S3185">
        <v>0</v>
      </c>
      <c r="T3185">
        <v>0.2046</v>
      </c>
      <c r="U3185">
        <v>-0.1171</v>
      </c>
      <c r="V3185">
        <v>8.0000000000000004E-4</v>
      </c>
      <c r="W3185">
        <v>-2.2421000000000002</v>
      </c>
      <c r="X3185">
        <v>2.5188999999999999</v>
      </c>
      <c r="Y3185">
        <v>-0.25590000000000002</v>
      </c>
      <c r="Z3185">
        <v>17</v>
      </c>
      <c r="AA3185">
        <v>14.5</v>
      </c>
      <c r="AB3185">
        <v>33</v>
      </c>
      <c r="AC3185">
        <v>14.8</v>
      </c>
      <c r="AD3185">
        <v>0</v>
      </c>
      <c r="AE3185">
        <v>0</v>
      </c>
      <c r="AF3185">
        <v>14.3239</v>
      </c>
      <c r="AG3185">
        <v>363</v>
      </c>
      <c r="AH3185">
        <v>0</v>
      </c>
    </row>
    <row r="3186" spans="1:34" x14ac:dyDescent="0.35">
      <c r="A3186" t="s">
        <v>34</v>
      </c>
      <c r="B3186" s="1">
        <v>46146.65625</v>
      </c>
      <c r="C3186" t="s">
        <v>34</v>
      </c>
      <c r="D3186" s="1">
        <v>46157.625</v>
      </c>
      <c r="E3186">
        <v>6915</v>
      </c>
      <c r="F3186" t="s">
        <v>36</v>
      </c>
      <c r="G3186">
        <v>11.97</v>
      </c>
      <c r="H3186">
        <v>18.46</v>
      </c>
      <c r="I3186">
        <v>9.7799999999999994</v>
      </c>
      <c r="J3186">
        <v>15.15</v>
      </c>
      <c r="K3186">
        <v>37</v>
      </c>
      <c r="L3186">
        <v>46</v>
      </c>
      <c r="M3186">
        <v>14.9</v>
      </c>
      <c r="N3186">
        <v>4</v>
      </c>
      <c r="O3186">
        <v>15.2</v>
      </c>
      <c r="P3186">
        <v>0</v>
      </c>
      <c r="Q3186">
        <v>0</v>
      </c>
      <c r="R3186">
        <v>0</v>
      </c>
      <c r="S3186">
        <v>0</v>
      </c>
      <c r="T3186">
        <v>0.20369999999999999</v>
      </c>
      <c r="U3186">
        <v>-0.1201</v>
      </c>
      <c r="V3186">
        <v>8.0000000000000004E-4</v>
      </c>
      <c r="W3186">
        <v>-2.2751999999999999</v>
      </c>
      <c r="X3186">
        <v>2.5630999999999999</v>
      </c>
      <c r="Y3186">
        <v>-0.26240000000000002</v>
      </c>
      <c r="Z3186">
        <v>17</v>
      </c>
      <c r="AA3186">
        <v>14.9</v>
      </c>
      <c r="AB3186">
        <v>40</v>
      </c>
      <c r="AC3186">
        <v>15.2</v>
      </c>
      <c r="AD3186">
        <v>0</v>
      </c>
      <c r="AE3186">
        <v>0</v>
      </c>
      <c r="AF3186">
        <v>14.8851</v>
      </c>
      <c r="AG3186">
        <v>178</v>
      </c>
      <c r="AH3186">
        <v>0</v>
      </c>
    </row>
    <row r="3187" spans="1:34" x14ac:dyDescent="0.35">
      <c r="A3187" t="s">
        <v>34</v>
      </c>
      <c r="B3187" s="1">
        <v>46146.65625</v>
      </c>
      <c r="C3187" t="s">
        <v>34</v>
      </c>
      <c r="D3187" s="1">
        <v>46157.625</v>
      </c>
      <c r="E3187">
        <v>6920</v>
      </c>
      <c r="F3187" t="s">
        <v>36</v>
      </c>
      <c r="G3187">
        <v>12.35</v>
      </c>
      <c r="H3187">
        <v>19.899999999999999</v>
      </c>
      <c r="I3187">
        <v>10.029999999999999</v>
      </c>
      <c r="J3187">
        <v>14.37</v>
      </c>
      <c r="K3187">
        <v>8</v>
      </c>
      <c r="L3187">
        <v>52</v>
      </c>
      <c r="M3187">
        <v>15.3</v>
      </c>
      <c r="N3187">
        <v>4</v>
      </c>
      <c r="O3187">
        <v>15.6</v>
      </c>
      <c r="P3187">
        <v>0</v>
      </c>
      <c r="Q3187">
        <v>0</v>
      </c>
      <c r="R3187">
        <v>0</v>
      </c>
      <c r="S3187">
        <v>0</v>
      </c>
      <c r="T3187">
        <v>0.20280000000000001</v>
      </c>
      <c r="U3187">
        <v>-0.1232</v>
      </c>
      <c r="V3187">
        <v>8.0000000000000004E-4</v>
      </c>
      <c r="W3187">
        <v>-2.3071999999999999</v>
      </c>
      <c r="X3187">
        <v>2.6074000000000002</v>
      </c>
      <c r="Y3187">
        <v>-0.26910000000000001</v>
      </c>
      <c r="Z3187">
        <v>16</v>
      </c>
      <c r="AA3187">
        <v>15.3</v>
      </c>
      <c r="AB3187">
        <v>30</v>
      </c>
      <c r="AC3187">
        <v>15.6</v>
      </c>
      <c r="AD3187">
        <v>0</v>
      </c>
      <c r="AE3187">
        <v>0</v>
      </c>
      <c r="AF3187">
        <v>14.022500000000001</v>
      </c>
      <c r="AG3187">
        <v>497</v>
      </c>
      <c r="AH3187">
        <v>0</v>
      </c>
    </row>
    <row r="3188" spans="1:34" x14ac:dyDescent="0.35">
      <c r="A3188" t="s">
        <v>34</v>
      </c>
      <c r="B3188" s="1">
        <v>46146.65625</v>
      </c>
      <c r="C3188" t="s">
        <v>34</v>
      </c>
      <c r="D3188" s="1">
        <v>46157.625</v>
      </c>
      <c r="E3188">
        <v>6925</v>
      </c>
      <c r="F3188" t="s">
        <v>36</v>
      </c>
      <c r="G3188">
        <v>13.04</v>
      </c>
      <c r="H3188">
        <v>21.94</v>
      </c>
      <c r="I3188">
        <v>10.4</v>
      </c>
      <c r="J3188">
        <v>15.85</v>
      </c>
      <c r="K3188">
        <v>1077</v>
      </c>
      <c r="L3188">
        <v>36</v>
      </c>
      <c r="M3188">
        <v>15.8</v>
      </c>
      <c r="N3188">
        <v>14</v>
      </c>
      <c r="O3188">
        <v>16</v>
      </c>
      <c r="P3188">
        <v>0</v>
      </c>
      <c r="Q3188">
        <v>0</v>
      </c>
      <c r="R3188">
        <v>0</v>
      </c>
      <c r="S3188">
        <v>0</v>
      </c>
      <c r="T3188">
        <v>0.20180000000000001</v>
      </c>
      <c r="U3188">
        <v>-0.1263</v>
      </c>
      <c r="V3188">
        <v>8.0000000000000004E-4</v>
      </c>
      <c r="W3188">
        <v>-2.3382999999999998</v>
      </c>
      <c r="X3188">
        <v>2.6516999999999999</v>
      </c>
      <c r="Y3188">
        <v>-0.27579999999999999</v>
      </c>
      <c r="Z3188">
        <v>33</v>
      </c>
      <c r="AA3188">
        <v>15.7</v>
      </c>
      <c r="AB3188">
        <v>30</v>
      </c>
      <c r="AC3188">
        <v>16</v>
      </c>
      <c r="AD3188">
        <v>0</v>
      </c>
      <c r="AE3188">
        <v>0</v>
      </c>
      <c r="AF3188">
        <v>17.125499999999999</v>
      </c>
      <c r="AG3188">
        <v>815</v>
      </c>
      <c r="AH3188">
        <v>0</v>
      </c>
    </row>
    <row r="3189" spans="1:34" x14ac:dyDescent="0.35">
      <c r="A3189" t="s">
        <v>34</v>
      </c>
      <c r="B3189" s="1">
        <v>46146.65625</v>
      </c>
      <c r="C3189" t="s">
        <v>34</v>
      </c>
      <c r="D3189" s="1">
        <v>46157.625</v>
      </c>
      <c r="E3189">
        <v>6930</v>
      </c>
      <c r="F3189" t="s">
        <v>36</v>
      </c>
      <c r="G3189">
        <v>15.94</v>
      </c>
      <c r="H3189">
        <v>21.22</v>
      </c>
      <c r="I3189">
        <v>15.94</v>
      </c>
      <c r="J3189">
        <v>17.3</v>
      </c>
      <c r="K3189">
        <v>20</v>
      </c>
      <c r="L3189">
        <v>27</v>
      </c>
      <c r="M3189">
        <v>16.2</v>
      </c>
      <c r="N3189">
        <v>23</v>
      </c>
      <c r="O3189">
        <v>16.5</v>
      </c>
      <c r="P3189">
        <v>0</v>
      </c>
      <c r="Q3189">
        <v>0</v>
      </c>
      <c r="R3189">
        <v>0</v>
      </c>
      <c r="S3189">
        <v>0</v>
      </c>
      <c r="T3189">
        <v>0.20100000000000001</v>
      </c>
      <c r="U3189">
        <v>-0.12959999999999999</v>
      </c>
      <c r="V3189">
        <v>8.0000000000000004E-4</v>
      </c>
      <c r="W3189">
        <v>-2.3734999999999999</v>
      </c>
      <c r="X3189">
        <v>2.6991999999999998</v>
      </c>
      <c r="Y3189">
        <v>-0.28320000000000001</v>
      </c>
      <c r="Z3189">
        <v>18</v>
      </c>
      <c r="AA3189">
        <v>16.100000000000001</v>
      </c>
      <c r="AB3189">
        <v>6</v>
      </c>
      <c r="AC3189">
        <v>16.399999999999999</v>
      </c>
      <c r="AD3189">
        <v>0</v>
      </c>
      <c r="AE3189">
        <v>0</v>
      </c>
      <c r="AF3189">
        <v>18.083500000000001</v>
      </c>
      <c r="AG3189">
        <v>480</v>
      </c>
      <c r="AH3189">
        <v>0</v>
      </c>
    </row>
    <row r="3190" spans="1:34" x14ac:dyDescent="0.35">
      <c r="A3190" t="s">
        <v>34</v>
      </c>
      <c r="B3190" s="1">
        <v>46146.65625</v>
      </c>
      <c r="C3190" t="s">
        <v>34</v>
      </c>
      <c r="D3190" s="1">
        <v>46157.625</v>
      </c>
      <c r="E3190">
        <v>6935</v>
      </c>
      <c r="F3190" t="s">
        <v>36</v>
      </c>
      <c r="G3190">
        <v>14.3</v>
      </c>
      <c r="H3190">
        <v>17.64</v>
      </c>
      <c r="I3190">
        <v>14.3</v>
      </c>
      <c r="J3190">
        <v>17.64</v>
      </c>
      <c r="K3190">
        <v>13</v>
      </c>
      <c r="L3190">
        <v>17</v>
      </c>
      <c r="M3190">
        <v>16.7</v>
      </c>
      <c r="N3190">
        <v>4</v>
      </c>
      <c r="O3190">
        <v>16.899999999999999</v>
      </c>
      <c r="P3190">
        <v>0</v>
      </c>
      <c r="Q3190">
        <v>0</v>
      </c>
      <c r="R3190">
        <v>0</v>
      </c>
      <c r="S3190">
        <v>0</v>
      </c>
      <c r="T3190">
        <v>0.2001</v>
      </c>
      <c r="U3190">
        <v>-0.13300000000000001</v>
      </c>
      <c r="V3190">
        <v>8.9999999999999998E-4</v>
      </c>
      <c r="W3190">
        <v>-2.4075000000000002</v>
      </c>
      <c r="X3190">
        <v>2.7465000000000002</v>
      </c>
      <c r="Y3190">
        <v>-0.29060000000000002</v>
      </c>
      <c r="Z3190">
        <v>16</v>
      </c>
      <c r="AA3190">
        <v>16.600000000000001</v>
      </c>
      <c r="AB3190">
        <v>29</v>
      </c>
      <c r="AC3190">
        <v>16.899999999999999</v>
      </c>
      <c r="AD3190">
        <v>0</v>
      </c>
      <c r="AE3190">
        <v>0</v>
      </c>
      <c r="AF3190">
        <v>17.203099999999999</v>
      </c>
      <c r="AG3190">
        <v>106</v>
      </c>
      <c r="AH3190">
        <v>0</v>
      </c>
    </row>
    <row r="3191" spans="1:34" x14ac:dyDescent="0.35">
      <c r="A3191" t="s">
        <v>34</v>
      </c>
      <c r="B3191" s="1">
        <v>46146.65625</v>
      </c>
      <c r="C3191" t="s">
        <v>34</v>
      </c>
      <c r="D3191" s="1">
        <v>46157.625</v>
      </c>
      <c r="E3191">
        <v>6940</v>
      </c>
      <c r="F3191" t="s">
        <v>36</v>
      </c>
      <c r="G3191">
        <v>13.78</v>
      </c>
      <c r="H3191">
        <v>19.62</v>
      </c>
      <c r="I3191">
        <v>11.22</v>
      </c>
      <c r="J3191">
        <v>17.3</v>
      </c>
      <c r="K3191">
        <v>41</v>
      </c>
      <c r="L3191">
        <v>24</v>
      </c>
      <c r="M3191">
        <v>17.100000000000001</v>
      </c>
      <c r="N3191">
        <v>23</v>
      </c>
      <c r="O3191">
        <v>17.399999999999999</v>
      </c>
      <c r="P3191">
        <v>0</v>
      </c>
      <c r="Q3191">
        <v>0</v>
      </c>
      <c r="R3191">
        <v>0</v>
      </c>
      <c r="S3191">
        <v>0</v>
      </c>
      <c r="T3191">
        <v>0.1991</v>
      </c>
      <c r="U3191">
        <v>-0.1363</v>
      </c>
      <c r="V3191">
        <v>8.9999999999999998E-4</v>
      </c>
      <c r="W3191">
        <v>-2.4403999999999999</v>
      </c>
      <c r="X3191">
        <v>2.7934000000000001</v>
      </c>
      <c r="Y3191">
        <v>-0.29820000000000002</v>
      </c>
      <c r="Z3191">
        <v>25</v>
      </c>
      <c r="AA3191">
        <v>17</v>
      </c>
      <c r="AB3191">
        <v>5</v>
      </c>
      <c r="AC3191">
        <v>17.3</v>
      </c>
      <c r="AD3191">
        <v>0</v>
      </c>
      <c r="AE3191">
        <v>0</v>
      </c>
      <c r="AF3191">
        <v>15.1366</v>
      </c>
      <c r="AG3191">
        <v>402</v>
      </c>
      <c r="AH3191">
        <v>0</v>
      </c>
    </row>
    <row r="3192" spans="1:34" x14ac:dyDescent="0.35">
      <c r="A3192" t="s">
        <v>34</v>
      </c>
      <c r="B3192" s="1">
        <v>46146.65625</v>
      </c>
      <c r="C3192" t="s">
        <v>34</v>
      </c>
      <c r="D3192" s="1">
        <v>46157.625</v>
      </c>
      <c r="E3192">
        <v>6945</v>
      </c>
      <c r="F3192" t="s">
        <v>36</v>
      </c>
      <c r="G3192">
        <v>11.5</v>
      </c>
      <c r="H3192">
        <v>22.42</v>
      </c>
      <c r="I3192">
        <v>11.5</v>
      </c>
      <c r="J3192">
        <v>18.8</v>
      </c>
      <c r="K3192">
        <v>21</v>
      </c>
      <c r="L3192">
        <v>24</v>
      </c>
      <c r="M3192">
        <v>17.600000000000001</v>
      </c>
      <c r="N3192">
        <v>28</v>
      </c>
      <c r="O3192">
        <v>17.899999999999999</v>
      </c>
      <c r="P3192">
        <v>0</v>
      </c>
      <c r="Q3192">
        <v>0</v>
      </c>
      <c r="R3192">
        <v>0</v>
      </c>
      <c r="S3192">
        <v>0</v>
      </c>
      <c r="T3192">
        <v>0.1981</v>
      </c>
      <c r="U3192">
        <v>-0.13980000000000001</v>
      </c>
      <c r="V3192">
        <v>8.9999999999999998E-4</v>
      </c>
      <c r="W3192">
        <v>-2.472</v>
      </c>
      <c r="X3192">
        <v>2.8399000000000001</v>
      </c>
      <c r="Y3192">
        <v>-0.30580000000000002</v>
      </c>
      <c r="Z3192">
        <v>17</v>
      </c>
      <c r="AA3192">
        <v>17.5</v>
      </c>
      <c r="AB3192">
        <v>5</v>
      </c>
      <c r="AC3192">
        <v>17.8</v>
      </c>
      <c r="AD3192">
        <v>0</v>
      </c>
      <c r="AE3192">
        <v>0</v>
      </c>
      <c r="AF3192">
        <v>19.809999999999999</v>
      </c>
      <c r="AG3192">
        <v>174</v>
      </c>
      <c r="AH3192">
        <v>0</v>
      </c>
    </row>
    <row r="3193" spans="1:34" x14ac:dyDescent="0.35">
      <c r="A3193" t="s">
        <v>34</v>
      </c>
      <c r="B3193" s="1">
        <v>46146.65625</v>
      </c>
      <c r="C3193" t="s">
        <v>34</v>
      </c>
      <c r="D3193" s="1">
        <v>46157.625</v>
      </c>
      <c r="E3193">
        <v>6950</v>
      </c>
      <c r="F3193" t="s">
        <v>36</v>
      </c>
      <c r="G3193">
        <v>14.6</v>
      </c>
      <c r="H3193">
        <v>23.63</v>
      </c>
      <c r="I3193">
        <v>11.9</v>
      </c>
      <c r="J3193">
        <v>17.420000000000002</v>
      </c>
      <c r="K3193">
        <v>2006</v>
      </c>
      <c r="L3193">
        <v>28</v>
      </c>
      <c r="M3193">
        <v>18.100000000000001</v>
      </c>
      <c r="N3193">
        <v>13</v>
      </c>
      <c r="O3193">
        <v>18.3</v>
      </c>
      <c r="P3193">
        <v>0</v>
      </c>
      <c r="Q3193">
        <v>0</v>
      </c>
      <c r="R3193">
        <v>0</v>
      </c>
      <c r="S3193">
        <v>0</v>
      </c>
      <c r="T3193">
        <v>0.1973</v>
      </c>
      <c r="U3193">
        <v>-0.1434</v>
      </c>
      <c r="V3193">
        <v>8.9999999999999998E-4</v>
      </c>
      <c r="W3193">
        <v>-2.5072999999999999</v>
      </c>
      <c r="X3193">
        <v>2.8885999999999998</v>
      </c>
      <c r="Y3193">
        <v>-0.314</v>
      </c>
      <c r="Z3193">
        <v>25</v>
      </c>
      <c r="AA3193">
        <v>18</v>
      </c>
      <c r="AB3193">
        <v>28</v>
      </c>
      <c r="AC3193">
        <v>18.3</v>
      </c>
      <c r="AD3193">
        <v>0</v>
      </c>
      <c r="AE3193">
        <v>0</v>
      </c>
      <c r="AF3193">
        <v>18.957699999999999</v>
      </c>
      <c r="AG3193">
        <v>1303</v>
      </c>
      <c r="AH3193">
        <v>0</v>
      </c>
    </row>
    <row r="3194" spans="1:34" x14ac:dyDescent="0.35">
      <c r="A3194" t="s">
        <v>34</v>
      </c>
      <c r="B3194" s="1">
        <v>46146.65625</v>
      </c>
      <c r="C3194" t="s">
        <v>34</v>
      </c>
      <c r="D3194" s="1">
        <v>46157.625</v>
      </c>
      <c r="E3194">
        <v>6955</v>
      </c>
      <c r="F3194" t="s">
        <v>36</v>
      </c>
      <c r="G3194">
        <v>14.7</v>
      </c>
      <c r="H3194">
        <v>21.6</v>
      </c>
      <c r="I3194">
        <v>13.18</v>
      </c>
      <c r="J3194">
        <v>18.920000000000002</v>
      </c>
      <c r="K3194">
        <v>44</v>
      </c>
      <c r="L3194">
        <v>16</v>
      </c>
      <c r="M3194">
        <v>18.600000000000001</v>
      </c>
      <c r="N3194">
        <v>3</v>
      </c>
      <c r="O3194">
        <v>18.8</v>
      </c>
      <c r="P3194">
        <v>0</v>
      </c>
      <c r="Q3194">
        <v>0</v>
      </c>
      <c r="R3194">
        <v>0</v>
      </c>
      <c r="S3194">
        <v>0</v>
      </c>
      <c r="T3194">
        <v>0.1963</v>
      </c>
      <c r="U3194">
        <v>-0.14710000000000001</v>
      </c>
      <c r="V3194">
        <v>8.9999999999999998E-4</v>
      </c>
      <c r="W3194">
        <v>-2.5413000000000001</v>
      </c>
      <c r="X3194">
        <v>2.9365000000000001</v>
      </c>
      <c r="Y3194">
        <v>-0.32219999999999999</v>
      </c>
      <c r="Z3194">
        <v>17</v>
      </c>
      <c r="AA3194">
        <v>18.5</v>
      </c>
      <c r="AB3194">
        <v>16</v>
      </c>
      <c r="AC3194">
        <v>18.8</v>
      </c>
      <c r="AD3194">
        <v>0</v>
      </c>
      <c r="AE3194">
        <v>0</v>
      </c>
      <c r="AF3194">
        <v>17.819500000000001</v>
      </c>
      <c r="AG3194">
        <v>100</v>
      </c>
      <c r="AH3194">
        <v>0</v>
      </c>
    </row>
    <row r="3195" spans="1:34" x14ac:dyDescent="0.35">
      <c r="A3195" t="s">
        <v>34</v>
      </c>
      <c r="B3195" s="1">
        <v>46146.65625</v>
      </c>
      <c r="C3195" t="s">
        <v>34</v>
      </c>
      <c r="D3195" s="1">
        <v>46157.625</v>
      </c>
      <c r="E3195">
        <v>6960</v>
      </c>
      <c r="F3195" t="s">
        <v>36</v>
      </c>
      <c r="G3195">
        <v>15.37</v>
      </c>
      <c r="H3195">
        <v>24.01</v>
      </c>
      <c r="I3195">
        <v>12.47</v>
      </c>
      <c r="J3195">
        <v>18.27</v>
      </c>
      <c r="K3195">
        <v>119</v>
      </c>
      <c r="L3195">
        <v>22</v>
      </c>
      <c r="M3195">
        <v>19.100000000000001</v>
      </c>
      <c r="N3195">
        <v>26</v>
      </c>
      <c r="O3195">
        <v>19.399999999999999</v>
      </c>
      <c r="P3195">
        <v>0</v>
      </c>
      <c r="Q3195">
        <v>0</v>
      </c>
      <c r="R3195">
        <v>0</v>
      </c>
      <c r="S3195">
        <v>0</v>
      </c>
      <c r="T3195">
        <v>0.19539999999999999</v>
      </c>
      <c r="U3195">
        <v>-0.15079999999999999</v>
      </c>
      <c r="V3195">
        <v>1E-3</v>
      </c>
      <c r="W3195">
        <v>-2.5739999999999998</v>
      </c>
      <c r="X3195">
        <v>2.984</v>
      </c>
      <c r="Y3195">
        <v>-0.33040000000000003</v>
      </c>
      <c r="Z3195">
        <v>23</v>
      </c>
      <c r="AA3195">
        <v>19</v>
      </c>
      <c r="AB3195">
        <v>10</v>
      </c>
      <c r="AC3195">
        <v>19.3</v>
      </c>
      <c r="AD3195">
        <v>0</v>
      </c>
      <c r="AE3195">
        <v>0</v>
      </c>
      <c r="AF3195">
        <v>17.538399999999999</v>
      </c>
      <c r="AG3195">
        <v>1654</v>
      </c>
      <c r="AH3195">
        <v>0</v>
      </c>
    </row>
    <row r="3196" spans="1:34" x14ac:dyDescent="0.35">
      <c r="A3196" t="s">
        <v>34</v>
      </c>
      <c r="B3196" s="1">
        <v>46146.65625</v>
      </c>
      <c r="C3196" t="s">
        <v>34</v>
      </c>
      <c r="D3196" s="1">
        <v>46157.625</v>
      </c>
      <c r="E3196">
        <v>6965</v>
      </c>
      <c r="F3196" t="s">
        <v>36</v>
      </c>
      <c r="G3196">
        <v>15.21</v>
      </c>
      <c r="H3196">
        <v>22.7</v>
      </c>
      <c r="I3196">
        <v>12.9</v>
      </c>
      <c r="J3196">
        <v>19.97</v>
      </c>
      <c r="K3196">
        <v>56</v>
      </c>
      <c r="L3196">
        <v>23</v>
      </c>
      <c r="M3196">
        <v>19.600000000000001</v>
      </c>
      <c r="N3196">
        <v>20</v>
      </c>
      <c r="O3196">
        <v>19.899999999999999</v>
      </c>
      <c r="P3196">
        <v>0</v>
      </c>
      <c r="Q3196">
        <v>0</v>
      </c>
      <c r="R3196">
        <v>0</v>
      </c>
      <c r="S3196">
        <v>0</v>
      </c>
      <c r="T3196">
        <v>0.1946</v>
      </c>
      <c r="U3196">
        <v>-0.15479999999999999</v>
      </c>
      <c r="V3196">
        <v>1E-3</v>
      </c>
      <c r="W3196">
        <v>-2.6101999999999999</v>
      </c>
      <c r="X3196">
        <v>3.0333999999999999</v>
      </c>
      <c r="Y3196">
        <v>-0.33910000000000001</v>
      </c>
      <c r="Z3196">
        <v>23</v>
      </c>
      <c r="AA3196">
        <v>19.5</v>
      </c>
      <c r="AB3196">
        <v>33</v>
      </c>
      <c r="AC3196">
        <v>19.899999999999999</v>
      </c>
      <c r="AD3196">
        <v>0</v>
      </c>
      <c r="AE3196">
        <v>0</v>
      </c>
      <c r="AF3196">
        <v>17.747299999999999</v>
      </c>
      <c r="AG3196">
        <v>127</v>
      </c>
      <c r="AH3196">
        <v>0</v>
      </c>
    </row>
    <row r="3197" spans="1:34" x14ac:dyDescent="0.35">
      <c r="A3197" t="s">
        <v>34</v>
      </c>
      <c r="B3197" s="1">
        <v>46146.65625</v>
      </c>
      <c r="C3197" t="s">
        <v>34</v>
      </c>
      <c r="D3197" s="1">
        <v>46157.625</v>
      </c>
      <c r="E3197">
        <v>6970</v>
      </c>
      <c r="F3197" t="s">
        <v>36</v>
      </c>
      <c r="G3197">
        <v>14.89</v>
      </c>
      <c r="H3197">
        <v>22.3</v>
      </c>
      <c r="I3197">
        <v>14.55</v>
      </c>
      <c r="J3197">
        <v>20.350000000000001</v>
      </c>
      <c r="K3197">
        <v>21</v>
      </c>
      <c r="L3197">
        <v>26</v>
      </c>
      <c r="M3197">
        <v>20.100000000000001</v>
      </c>
      <c r="N3197">
        <v>3</v>
      </c>
      <c r="O3197">
        <v>20.399999999999999</v>
      </c>
      <c r="P3197">
        <v>0</v>
      </c>
      <c r="Q3197">
        <v>0</v>
      </c>
      <c r="R3197">
        <v>0</v>
      </c>
      <c r="S3197">
        <v>0</v>
      </c>
      <c r="T3197">
        <v>0.19359999999999999</v>
      </c>
      <c r="U3197">
        <v>-0.1588</v>
      </c>
      <c r="V3197">
        <v>1E-3</v>
      </c>
      <c r="W3197">
        <v>-2.6446000000000001</v>
      </c>
      <c r="X3197">
        <v>3.0829</v>
      </c>
      <c r="Y3197">
        <v>-0.3478</v>
      </c>
      <c r="Z3197">
        <v>17</v>
      </c>
      <c r="AA3197">
        <v>20.100000000000001</v>
      </c>
      <c r="AB3197">
        <v>10</v>
      </c>
      <c r="AC3197">
        <v>20.399999999999999</v>
      </c>
      <c r="AD3197">
        <v>0</v>
      </c>
      <c r="AE3197">
        <v>0</v>
      </c>
      <c r="AF3197">
        <v>18.883800000000001</v>
      </c>
      <c r="AG3197">
        <v>274</v>
      </c>
      <c r="AH3197">
        <v>0</v>
      </c>
    </row>
    <row r="3198" spans="1:34" x14ac:dyDescent="0.35">
      <c r="A3198" t="s">
        <v>34</v>
      </c>
      <c r="B3198" s="1">
        <v>46146.65625</v>
      </c>
      <c r="C3198" t="s">
        <v>34</v>
      </c>
      <c r="D3198" s="1">
        <v>46157.625</v>
      </c>
      <c r="E3198">
        <v>6975</v>
      </c>
      <c r="F3198" t="s">
        <v>36</v>
      </c>
      <c r="G3198">
        <v>16.55</v>
      </c>
      <c r="H3198">
        <v>25.5</v>
      </c>
      <c r="I3198">
        <v>13.53</v>
      </c>
      <c r="J3198">
        <v>20.47</v>
      </c>
      <c r="K3198">
        <v>120</v>
      </c>
      <c r="L3198">
        <v>34</v>
      </c>
      <c r="M3198">
        <v>20.7</v>
      </c>
      <c r="N3198">
        <v>13</v>
      </c>
      <c r="O3198">
        <v>21</v>
      </c>
      <c r="P3198">
        <v>0</v>
      </c>
      <c r="Q3198">
        <v>0</v>
      </c>
      <c r="R3198">
        <v>0</v>
      </c>
      <c r="S3198">
        <v>0</v>
      </c>
      <c r="T3198">
        <v>0.1928</v>
      </c>
      <c r="U3198">
        <v>-0.16309999999999999</v>
      </c>
      <c r="V3198">
        <v>1E-3</v>
      </c>
      <c r="W3198">
        <v>-2.6823000000000001</v>
      </c>
      <c r="X3198">
        <v>3.1345999999999998</v>
      </c>
      <c r="Y3198">
        <v>-0.35709999999999997</v>
      </c>
      <c r="Z3198">
        <v>32</v>
      </c>
      <c r="AA3198">
        <v>20.6</v>
      </c>
      <c r="AB3198">
        <v>38</v>
      </c>
      <c r="AC3198">
        <v>21</v>
      </c>
      <c r="AD3198">
        <v>0</v>
      </c>
      <c r="AE3198">
        <v>0</v>
      </c>
      <c r="AF3198">
        <v>18.7378</v>
      </c>
      <c r="AG3198">
        <v>510</v>
      </c>
      <c r="AH3198">
        <v>0</v>
      </c>
    </row>
    <row r="3199" spans="1:34" x14ac:dyDescent="0.35">
      <c r="A3199" t="s">
        <v>34</v>
      </c>
      <c r="B3199" s="1">
        <v>46146.65625</v>
      </c>
      <c r="C3199" t="s">
        <v>34</v>
      </c>
      <c r="D3199" s="1">
        <v>46157.625</v>
      </c>
      <c r="E3199">
        <v>6980</v>
      </c>
      <c r="F3199" t="s">
        <v>36</v>
      </c>
      <c r="G3199">
        <v>14.43</v>
      </c>
      <c r="H3199">
        <v>28.1</v>
      </c>
      <c r="I3199">
        <v>14</v>
      </c>
      <c r="J3199">
        <v>22.45</v>
      </c>
      <c r="K3199">
        <v>103</v>
      </c>
      <c r="L3199">
        <v>21</v>
      </c>
      <c r="M3199">
        <v>21.3</v>
      </c>
      <c r="N3199">
        <v>19</v>
      </c>
      <c r="O3199">
        <v>21.6</v>
      </c>
      <c r="P3199">
        <v>0</v>
      </c>
      <c r="Q3199">
        <v>0</v>
      </c>
      <c r="R3199">
        <v>0</v>
      </c>
      <c r="S3199">
        <v>0</v>
      </c>
      <c r="T3199">
        <v>0.19170000000000001</v>
      </c>
      <c r="U3199">
        <v>-0.16689999999999999</v>
      </c>
      <c r="V3199">
        <v>1E-3</v>
      </c>
      <c r="W3199">
        <v>-2.7094</v>
      </c>
      <c r="X3199">
        <v>3.1812999999999998</v>
      </c>
      <c r="Y3199">
        <v>-0.36559999999999998</v>
      </c>
      <c r="Z3199">
        <v>22</v>
      </c>
      <c r="AA3199">
        <v>21.2</v>
      </c>
      <c r="AB3199">
        <v>31</v>
      </c>
      <c r="AC3199">
        <v>21.6</v>
      </c>
      <c r="AD3199">
        <v>0</v>
      </c>
      <c r="AE3199">
        <v>0</v>
      </c>
      <c r="AF3199">
        <v>15.8348</v>
      </c>
      <c r="AG3199">
        <v>391</v>
      </c>
      <c r="AH3199">
        <v>0</v>
      </c>
    </row>
    <row r="3200" spans="1:34" x14ac:dyDescent="0.35">
      <c r="A3200" t="s">
        <v>34</v>
      </c>
      <c r="B3200" s="1">
        <v>46146.65625</v>
      </c>
      <c r="C3200" t="s">
        <v>34</v>
      </c>
      <c r="D3200" s="1">
        <v>46157.625</v>
      </c>
      <c r="E3200">
        <v>6985</v>
      </c>
      <c r="F3200" t="s">
        <v>36</v>
      </c>
      <c r="G3200">
        <v>17.100000000000001</v>
      </c>
      <c r="H3200">
        <v>25.8</v>
      </c>
      <c r="I3200">
        <v>14.72</v>
      </c>
      <c r="J3200">
        <v>25.8</v>
      </c>
      <c r="K3200">
        <v>31</v>
      </c>
      <c r="L3200">
        <v>20</v>
      </c>
      <c r="M3200">
        <v>21.9</v>
      </c>
      <c r="N3200">
        <v>19</v>
      </c>
      <c r="O3200">
        <v>22.2</v>
      </c>
      <c r="P3200">
        <v>0</v>
      </c>
      <c r="Q3200">
        <v>0</v>
      </c>
      <c r="R3200">
        <v>0</v>
      </c>
      <c r="S3200">
        <v>0</v>
      </c>
      <c r="T3200">
        <v>0.1908</v>
      </c>
      <c r="U3200">
        <v>-0.17119999999999999</v>
      </c>
      <c r="V3200">
        <v>1.1000000000000001E-3</v>
      </c>
      <c r="W3200">
        <v>-2.7440000000000002</v>
      </c>
      <c r="X3200">
        <v>3.2326999999999999</v>
      </c>
      <c r="Y3200">
        <v>-0.37509999999999999</v>
      </c>
      <c r="Z3200">
        <v>22</v>
      </c>
      <c r="AA3200">
        <v>21.8</v>
      </c>
      <c r="AB3200">
        <v>31</v>
      </c>
      <c r="AC3200">
        <v>22.2</v>
      </c>
      <c r="AD3200">
        <v>0</v>
      </c>
      <c r="AE3200">
        <v>0</v>
      </c>
      <c r="AF3200">
        <v>17.467400000000001</v>
      </c>
      <c r="AG3200">
        <v>158</v>
      </c>
      <c r="AH3200">
        <v>0</v>
      </c>
    </row>
    <row r="3201" spans="1:34" x14ac:dyDescent="0.35">
      <c r="A3201" t="s">
        <v>34</v>
      </c>
      <c r="B3201" s="1">
        <v>46146.65625</v>
      </c>
      <c r="C3201" t="s">
        <v>34</v>
      </c>
      <c r="D3201" s="1">
        <v>46157.625</v>
      </c>
      <c r="E3201">
        <v>6990</v>
      </c>
      <c r="F3201" t="s">
        <v>36</v>
      </c>
      <c r="G3201">
        <v>17.86</v>
      </c>
      <c r="H3201">
        <v>29.3</v>
      </c>
      <c r="I3201">
        <v>15.12</v>
      </c>
      <c r="J3201">
        <v>22.71</v>
      </c>
      <c r="K3201">
        <v>56</v>
      </c>
      <c r="L3201">
        <v>21</v>
      </c>
      <c r="M3201">
        <v>22.5</v>
      </c>
      <c r="N3201">
        <v>19</v>
      </c>
      <c r="O3201">
        <v>22.8</v>
      </c>
      <c r="P3201">
        <v>0</v>
      </c>
      <c r="Q3201">
        <v>0</v>
      </c>
      <c r="R3201">
        <v>0</v>
      </c>
      <c r="S3201">
        <v>0</v>
      </c>
      <c r="T3201">
        <v>0.1898</v>
      </c>
      <c r="U3201">
        <v>-0.17560000000000001</v>
      </c>
      <c r="V3201">
        <v>1.1000000000000001E-3</v>
      </c>
      <c r="W3201">
        <v>-2.7770999999999999</v>
      </c>
      <c r="X3201">
        <v>3.2837999999999998</v>
      </c>
      <c r="Y3201">
        <v>-0.38490000000000002</v>
      </c>
      <c r="Z3201">
        <v>25</v>
      </c>
      <c r="AA3201">
        <v>22.4</v>
      </c>
      <c r="AB3201">
        <v>31</v>
      </c>
      <c r="AC3201">
        <v>22.8</v>
      </c>
      <c r="AD3201">
        <v>0</v>
      </c>
      <c r="AE3201">
        <v>0</v>
      </c>
      <c r="AF3201">
        <v>20.8355</v>
      </c>
      <c r="AG3201">
        <v>937</v>
      </c>
      <c r="AH3201">
        <v>0</v>
      </c>
    </row>
    <row r="3202" spans="1:34" x14ac:dyDescent="0.35">
      <c r="A3202" t="s">
        <v>34</v>
      </c>
      <c r="B3202" s="1">
        <v>46146.65625</v>
      </c>
      <c r="C3202" t="s">
        <v>34</v>
      </c>
      <c r="D3202" s="1">
        <v>46157.625</v>
      </c>
      <c r="E3202">
        <v>6995</v>
      </c>
      <c r="F3202" t="s">
        <v>36</v>
      </c>
      <c r="G3202">
        <v>17.100000000000001</v>
      </c>
      <c r="H3202">
        <v>25.61</v>
      </c>
      <c r="I3202">
        <v>15.4</v>
      </c>
      <c r="J3202">
        <v>23.16</v>
      </c>
      <c r="K3202">
        <v>19</v>
      </c>
      <c r="L3202">
        <v>24</v>
      </c>
      <c r="M3202">
        <v>23.1</v>
      </c>
      <c r="N3202">
        <v>3</v>
      </c>
      <c r="O3202">
        <v>23.4</v>
      </c>
      <c r="P3202">
        <v>0</v>
      </c>
      <c r="Q3202">
        <v>0</v>
      </c>
      <c r="R3202">
        <v>0</v>
      </c>
      <c r="S3202">
        <v>0</v>
      </c>
      <c r="T3202">
        <v>0.18909999999999999</v>
      </c>
      <c r="U3202">
        <v>-0.1804</v>
      </c>
      <c r="V3202">
        <v>1.1000000000000001E-3</v>
      </c>
      <c r="W3202">
        <v>-2.8169</v>
      </c>
      <c r="X3202">
        <v>3.3386</v>
      </c>
      <c r="Y3202">
        <v>-0.39560000000000001</v>
      </c>
      <c r="Z3202">
        <v>16</v>
      </c>
      <c r="AA3202">
        <v>23.1</v>
      </c>
      <c r="AB3202">
        <v>10</v>
      </c>
      <c r="AC3202">
        <v>23.4</v>
      </c>
      <c r="AD3202">
        <v>0</v>
      </c>
      <c r="AE3202">
        <v>0</v>
      </c>
      <c r="AF3202">
        <v>20.5505</v>
      </c>
      <c r="AG3202">
        <v>185</v>
      </c>
      <c r="AH3202">
        <v>0</v>
      </c>
    </row>
    <row r="3203" spans="1:34" x14ac:dyDescent="0.35">
      <c r="A3203" t="s">
        <v>34</v>
      </c>
      <c r="B3203" s="1">
        <v>46146.65625</v>
      </c>
      <c r="C3203" t="s">
        <v>34</v>
      </c>
      <c r="D3203" s="1">
        <v>46157.625</v>
      </c>
      <c r="E3203">
        <v>7000</v>
      </c>
      <c r="F3203" t="s">
        <v>36</v>
      </c>
      <c r="G3203">
        <v>19.399999999999999</v>
      </c>
      <c r="H3203">
        <v>31.38</v>
      </c>
      <c r="I3203">
        <v>15.4</v>
      </c>
      <c r="J3203">
        <v>22.95</v>
      </c>
      <c r="K3203">
        <v>817</v>
      </c>
      <c r="L3203">
        <v>25</v>
      </c>
      <c r="M3203">
        <v>23.8</v>
      </c>
      <c r="N3203">
        <v>28</v>
      </c>
      <c r="O3203">
        <v>24.1</v>
      </c>
      <c r="P3203">
        <v>0</v>
      </c>
      <c r="Q3203">
        <v>0</v>
      </c>
      <c r="R3203">
        <v>0</v>
      </c>
      <c r="S3203">
        <v>0</v>
      </c>
      <c r="T3203">
        <v>0.18820000000000001</v>
      </c>
      <c r="U3203">
        <v>-0.185</v>
      </c>
      <c r="V3203">
        <v>1.1000000000000001E-3</v>
      </c>
      <c r="W3203">
        <v>-2.8506</v>
      </c>
      <c r="X3203">
        <v>3.3904000000000001</v>
      </c>
      <c r="Y3203">
        <v>-0.40600000000000003</v>
      </c>
      <c r="Z3203">
        <v>29</v>
      </c>
      <c r="AA3203">
        <v>23.7</v>
      </c>
      <c r="AB3203">
        <v>37</v>
      </c>
      <c r="AC3203">
        <v>24.1</v>
      </c>
      <c r="AD3203">
        <v>0</v>
      </c>
      <c r="AE3203">
        <v>0</v>
      </c>
      <c r="AF3203">
        <v>21.767900000000001</v>
      </c>
      <c r="AG3203">
        <v>3951</v>
      </c>
      <c r="AH3203">
        <v>0</v>
      </c>
    </row>
    <row r="3204" spans="1:34" x14ac:dyDescent="0.35">
      <c r="A3204" t="s">
        <v>34</v>
      </c>
      <c r="B3204" s="1">
        <v>46146.65625</v>
      </c>
      <c r="C3204" t="s">
        <v>34</v>
      </c>
      <c r="D3204" s="1">
        <v>46157.625</v>
      </c>
      <c r="E3204">
        <v>7005</v>
      </c>
      <c r="F3204" t="s">
        <v>36</v>
      </c>
      <c r="G3204">
        <v>18.7</v>
      </c>
      <c r="H3204">
        <v>27.65</v>
      </c>
      <c r="I3204">
        <v>16</v>
      </c>
      <c r="J3204">
        <v>24.69</v>
      </c>
      <c r="K3204">
        <v>47</v>
      </c>
      <c r="L3204">
        <v>23</v>
      </c>
      <c r="M3204">
        <v>24.4</v>
      </c>
      <c r="N3204">
        <v>3</v>
      </c>
      <c r="O3204">
        <v>24.7</v>
      </c>
      <c r="P3204">
        <v>0</v>
      </c>
      <c r="Q3204">
        <v>0</v>
      </c>
      <c r="R3204">
        <v>0</v>
      </c>
      <c r="S3204">
        <v>0</v>
      </c>
      <c r="T3204">
        <v>0.18729999999999999</v>
      </c>
      <c r="U3204">
        <v>-0.18970000000000001</v>
      </c>
      <c r="V3204">
        <v>1.1999999999999999E-3</v>
      </c>
      <c r="W3204">
        <v>-2.8826000000000001</v>
      </c>
      <c r="X3204">
        <v>3.4413</v>
      </c>
      <c r="Y3204">
        <v>-0.41639999999999999</v>
      </c>
      <c r="Z3204">
        <v>22</v>
      </c>
      <c r="AA3204">
        <v>24.4</v>
      </c>
      <c r="AB3204">
        <v>27</v>
      </c>
      <c r="AC3204">
        <v>24.8</v>
      </c>
      <c r="AD3204">
        <v>0</v>
      </c>
      <c r="AE3204">
        <v>0</v>
      </c>
      <c r="AF3204">
        <v>21.148900000000001</v>
      </c>
      <c r="AG3204">
        <v>148</v>
      </c>
      <c r="AH3204">
        <v>0</v>
      </c>
    </row>
    <row r="3205" spans="1:34" x14ac:dyDescent="0.35">
      <c r="A3205" t="s">
        <v>34</v>
      </c>
      <c r="B3205" s="1">
        <v>46146.65625</v>
      </c>
      <c r="C3205" t="s">
        <v>34</v>
      </c>
      <c r="D3205" s="1">
        <v>46157.625</v>
      </c>
      <c r="E3205">
        <v>7010</v>
      </c>
      <c r="F3205" t="s">
        <v>36</v>
      </c>
      <c r="G3205">
        <v>16.45</v>
      </c>
      <c r="H3205">
        <v>30.1</v>
      </c>
      <c r="I3205">
        <v>16.45</v>
      </c>
      <c r="J3205">
        <v>24.8</v>
      </c>
      <c r="K3205">
        <v>24</v>
      </c>
      <c r="L3205">
        <v>23</v>
      </c>
      <c r="M3205">
        <v>25.1</v>
      </c>
      <c r="N3205">
        <v>3</v>
      </c>
      <c r="O3205">
        <v>25.4</v>
      </c>
      <c r="P3205">
        <v>0</v>
      </c>
      <c r="Q3205">
        <v>0</v>
      </c>
      <c r="R3205">
        <v>0</v>
      </c>
      <c r="S3205">
        <v>0</v>
      </c>
      <c r="T3205">
        <v>0.18640000000000001</v>
      </c>
      <c r="U3205">
        <v>-0.1946</v>
      </c>
      <c r="V3205">
        <v>1.1999999999999999E-3</v>
      </c>
      <c r="W3205">
        <v>-2.9169</v>
      </c>
      <c r="X3205">
        <v>3.4931000000000001</v>
      </c>
      <c r="Y3205">
        <v>-0.42730000000000001</v>
      </c>
      <c r="Z3205">
        <v>21</v>
      </c>
      <c r="AA3205">
        <v>25.1</v>
      </c>
      <c r="AB3205">
        <v>32</v>
      </c>
      <c r="AC3205">
        <v>25.5</v>
      </c>
      <c r="AD3205">
        <v>0</v>
      </c>
      <c r="AE3205">
        <v>0</v>
      </c>
      <c r="AF3205">
        <v>25.1587</v>
      </c>
      <c r="AG3205">
        <v>378</v>
      </c>
      <c r="AH3205">
        <v>0</v>
      </c>
    </row>
    <row r="3206" spans="1:34" x14ac:dyDescent="0.35">
      <c r="A3206" t="s">
        <v>34</v>
      </c>
      <c r="B3206" s="1">
        <v>46146.65625</v>
      </c>
      <c r="C3206" t="s">
        <v>34</v>
      </c>
      <c r="D3206" s="1">
        <v>46157.625</v>
      </c>
      <c r="E3206">
        <v>7015</v>
      </c>
      <c r="F3206" t="s">
        <v>36</v>
      </c>
      <c r="G3206">
        <v>22.1</v>
      </c>
      <c r="H3206">
        <v>29.2</v>
      </c>
      <c r="I3206">
        <v>22.1</v>
      </c>
      <c r="J3206">
        <v>27.3</v>
      </c>
      <c r="K3206">
        <v>40</v>
      </c>
      <c r="L3206">
        <v>22</v>
      </c>
      <c r="M3206">
        <v>25.8</v>
      </c>
      <c r="N3206">
        <v>3</v>
      </c>
      <c r="O3206">
        <v>26.1</v>
      </c>
      <c r="P3206">
        <v>0</v>
      </c>
      <c r="Q3206">
        <v>0</v>
      </c>
      <c r="R3206">
        <v>0</v>
      </c>
      <c r="S3206">
        <v>0</v>
      </c>
      <c r="T3206">
        <v>0.1855</v>
      </c>
      <c r="U3206">
        <v>-0.19950000000000001</v>
      </c>
      <c r="V3206">
        <v>1.1999999999999999E-3</v>
      </c>
      <c r="W3206">
        <v>-2.9491999999999998</v>
      </c>
      <c r="X3206">
        <v>3.5440999999999998</v>
      </c>
      <c r="Y3206">
        <v>-0.43809999999999999</v>
      </c>
      <c r="Z3206">
        <v>21</v>
      </c>
      <c r="AA3206">
        <v>25.8</v>
      </c>
      <c r="AB3206">
        <v>31</v>
      </c>
      <c r="AC3206">
        <v>26.2</v>
      </c>
      <c r="AD3206">
        <v>0</v>
      </c>
      <c r="AE3206">
        <v>0</v>
      </c>
      <c r="AF3206">
        <v>26.572500000000002</v>
      </c>
      <c r="AG3206">
        <v>438</v>
      </c>
      <c r="AH3206">
        <v>0</v>
      </c>
    </row>
    <row r="3207" spans="1:34" x14ac:dyDescent="0.35">
      <c r="A3207" t="s">
        <v>34</v>
      </c>
      <c r="B3207" s="1">
        <v>46146.65625</v>
      </c>
      <c r="C3207" t="s">
        <v>34</v>
      </c>
      <c r="D3207" s="1">
        <v>46157.625</v>
      </c>
      <c r="E3207">
        <v>7020</v>
      </c>
      <c r="F3207" t="s">
        <v>36</v>
      </c>
      <c r="G3207">
        <v>22.25</v>
      </c>
      <c r="H3207">
        <v>34.29</v>
      </c>
      <c r="I3207">
        <v>17.399999999999999</v>
      </c>
      <c r="J3207">
        <v>26.73</v>
      </c>
      <c r="K3207">
        <v>89</v>
      </c>
      <c r="L3207">
        <v>14</v>
      </c>
      <c r="M3207">
        <v>26.6</v>
      </c>
      <c r="N3207">
        <v>23</v>
      </c>
      <c r="O3207">
        <v>26.9</v>
      </c>
      <c r="P3207">
        <v>0</v>
      </c>
      <c r="Q3207">
        <v>0</v>
      </c>
      <c r="R3207">
        <v>0</v>
      </c>
      <c r="S3207">
        <v>0</v>
      </c>
      <c r="T3207">
        <v>0.1845</v>
      </c>
      <c r="U3207">
        <v>-0.20449999999999999</v>
      </c>
      <c r="V3207">
        <v>1.1999999999999999E-3</v>
      </c>
      <c r="W3207">
        <v>-2.9798</v>
      </c>
      <c r="X3207">
        <v>3.5945</v>
      </c>
      <c r="Y3207">
        <v>-0.4491</v>
      </c>
      <c r="Z3207">
        <v>21</v>
      </c>
      <c r="AA3207">
        <v>26.5</v>
      </c>
      <c r="AB3207">
        <v>29</v>
      </c>
      <c r="AC3207">
        <v>26.9</v>
      </c>
      <c r="AD3207">
        <v>0</v>
      </c>
      <c r="AE3207">
        <v>0</v>
      </c>
      <c r="AF3207">
        <v>22.706499999999998</v>
      </c>
      <c r="AG3207">
        <v>305</v>
      </c>
      <c r="AH3207">
        <v>0</v>
      </c>
    </row>
    <row r="3208" spans="1:34" x14ac:dyDescent="0.35">
      <c r="A3208" t="s">
        <v>34</v>
      </c>
      <c r="B3208" s="1">
        <v>46146.65625</v>
      </c>
      <c r="C3208" t="s">
        <v>34</v>
      </c>
      <c r="D3208" s="1">
        <v>46157.625</v>
      </c>
      <c r="E3208">
        <v>7025</v>
      </c>
      <c r="F3208" t="s">
        <v>36</v>
      </c>
      <c r="G3208">
        <v>21.5</v>
      </c>
      <c r="H3208">
        <v>35.51</v>
      </c>
      <c r="I3208">
        <v>17.98</v>
      </c>
      <c r="J3208">
        <v>26.97</v>
      </c>
      <c r="K3208">
        <v>161</v>
      </c>
      <c r="L3208">
        <v>28</v>
      </c>
      <c r="M3208">
        <v>27.3</v>
      </c>
      <c r="N3208">
        <v>11</v>
      </c>
      <c r="O3208">
        <v>27.6</v>
      </c>
      <c r="P3208">
        <v>0</v>
      </c>
      <c r="Q3208">
        <v>0</v>
      </c>
      <c r="R3208">
        <v>0</v>
      </c>
      <c r="S3208">
        <v>0</v>
      </c>
      <c r="T3208">
        <v>0.1837</v>
      </c>
      <c r="U3208">
        <v>-0.2099</v>
      </c>
      <c r="V3208">
        <v>1.2999999999999999E-3</v>
      </c>
      <c r="W3208">
        <v>-3.016</v>
      </c>
      <c r="X3208">
        <v>3.6478999999999999</v>
      </c>
      <c r="Y3208">
        <v>-0.46089999999999998</v>
      </c>
      <c r="Z3208">
        <v>20</v>
      </c>
      <c r="AA3208">
        <v>27.3</v>
      </c>
      <c r="AB3208">
        <v>39</v>
      </c>
      <c r="AC3208">
        <v>27.7</v>
      </c>
      <c r="AD3208">
        <v>0</v>
      </c>
      <c r="AE3208">
        <v>0</v>
      </c>
      <c r="AF3208">
        <v>22.9542</v>
      </c>
      <c r="AG3208">
        <v>667</v>
      </c>
      <c r="AH3208">
        <v>0</v>
      </c>
    </row>
    <row r="3209" spans="1:34" x14ac:dyDescent="0.35">
      <c r="A3209" t="s">
        <v>34</v>
      </c>
      <c r="B3209" s="1">
        <v>46146.65625</v>
      </c>
      <c r="C3209" t="s">
        <v>34</v>
      </c>
      <c r="D3209" s="1">
        <v>46157.625</v>
      </c>
      <c r="E3209">
        <v>7030</v>
      </c>
      <c r="F3209" t="s">
        <v>36</v>
      </c>
      <c r="G3209">
        <v>23.25</v>
      </c>
      <c r="H3209">
        <v>34</v>
      </c>
      <c r="I3209">
        <v>19.73</v>
      </c>
      <c r="J3209">
        <v>28.47</v>
      </c>
      <c r="K3209">
        <v>125</v>
      </c>
      <c r="L3209">
        <v>14</v>
      </c>
      <c r="M3209">
        <v>28.1</v>
      </c>
      <c r="N3209">
        <v>17</v>
      </c>
      <c r="O3209">
        <v>28.4</v>
      </c>
      <c r="P3209">
        <v>0</v>
      </c>
      <c r="Q3209">
        <v>0</v>
      </c>
      <c r="R3209">
        <v>0</v>
      </c>
      <c r="S3209">
        <v>0</v>
      </c>
      <c r="T3209">
        <v>0.18260000000000001</v>
      </c>
      <c r="U3209">
        <v>-0.215</v>
      </c>
      <c r="V3209">
        <v>1.2999999999999999E-3</v>
      </c>
      <c r="W3209">
        <v>-3.0427</v>
      </c>
      <c r="X3209">
        <v>3.6977000000000002</v>
      </c>
      <c r="Y3209">
        <v>-0.47210000000000002</v>
      </c>
      <c r="Z3209">
        <v>25</v>
      </c>
      <c r="AA3209">
        <v>28</v>
      </c>
      <c r="AB3209">
        <v>31</v>
      </c>
      <c r="AC3209">
        <v>28.5</v>
      </c>
      <c r="AD3209">
        <v>0</v>
      </c>
      <c r="AE3209">
        <v>0</v>
      </c>
      <c r="AF3209">
        <v>23.504300000000001</v>
      </c>
      <c r="AG3209">
        <v>524</v>
      </c>
      <c r="AH3209">
        <v>0</v>
      </c>
    </row>
    <row r="3210" spans="1:34" x14ac:dyDescent="0.35">
      <c r="A3210" t="s">
        <v>34</v>
      </c>
      <c r="B3210" s="1">
        <v>46146.65625</v>
      </c>
      <c r="C3210" t="s">
        <v>34</v>
      </c>
      <c r="D3210" s="1">
        <v>46157.625</v>
      </c>
      <c r="E3210">
        <v>7035</v>
      </c>
      <c r="F3210" t="s">
        <v>36</v>
      </c>
      <c r="G3210">
        <v>24.25</v>
      </c>
      <c r="H3210">
        <v>32.4</v>
      </c>
      <c r="I3210">
        <v>20.11</v>
      </c>
      <c r="J3210">
        <v>30.83</v>
      </c>
      <c r="K3210">
        <v>15</v>
      </c>
      <c r="L3210">
        <v>23</v>
      </c>
      <c r="M3210">
        <v>28.8</v>
      </c>
      <c r="N3210">
        <v>22</v>
      </c>
      <c r="O3210">
        <v>29.2</v>
      </c>
      <c r="P3210">
        <v>0</v>
      </c>
      <c r="Q3210">
        <v>0</v>
      </c>
      <c r="R3210">
        <v>0</v>
      </c>
      <c r="S3210">
        <v>0</v>
      </c>
      <c r="T3210">
        <v>0.1817</v>
      </c>
      <c r="U3210">
        <v>-0.2205</v>
      </c>
      <c r="V3210">
        <v>1.2999999999999999E-3</v>
      </c>
      <c r="W3210">
        <v>-3.0748000000000002</v>
      </c>
      <c r="X3210">
        <v>3.7504</v>
      </c>
      <c r="Y3210">
        <v>-0.48420000000000002</v>
      </c>
      <c r="Z3210">
        <v>19</v>
      </c>
      <c r="AA3210">
        <v>28.8</v>
      </c>
      <c r="AB3210">
        <v>20</v>
      </c>
      <c r="AC3210">
        <v>29.2</v>
      </c>
      <c r="AD3210">
        <v>0</v>
      </c>
      <c r="AE3210">
        <v>0</v>
      </c>
      <c r="AF3210">
        <v>26.391300000000001</v>
      </c>
      <c r="AG3210">
        <v>208</v>
      </c>
      <c r="AH3210">
        <v>0</v>
      </c>
    </row>
    <row r="3211" spans="1:34" x14ac:dyDescent="0.35">
      <c r="A3211" t="s">
        <v>34</v>
      </c>
      <c r="B3211" s="1">
        <v>46146.65625</v>
      </c>
      <c r="C3211" t="s">
        <v>34</v>
      </c>
      <c r="D3211" s="1">
        <v>46157.625</v>
      </c>
      <c r="E3211">
        <v>7040</v>
      </c>
      <c r="F3211" t="s">
        <v>36</v>
      </c>
      <c r="G3211">
        <v>20.57</v>
      </c>
      <c r="H3211">
        <v>35.799999999999997</v>
      </c>
      <c r="I3211">
        <v>20.57</v>
      </c>
      <c r="J3211">
        <v>30.07</v>
      </c>
      <c r="K3211">
        <v>32</v>
      </c>
      <c r="L3211">
        <v>14</v>
      </c>
      <c r="M3211">
        <v>29.7</v>
      </c>
      <c r="N3211">
        <v>17</v>
      </c>
      <c r="O3211">
        <v>30</v>
      </c>
      <c r="P3211">
        <v>0</v>
      </c>
      <c r="Q3211">
        <v>0</v>
      </c>
      <c r="R3211">
        <v>0</v>
      </c>
      <c r="S3211">
        <v>0</v>
      </c>
      <c r="T3211">
        <v>0.1807</v>
      </c>
      <c r="U3211">
        <v>-0.2261</v>
      </c>
      <c r="V3211">
        <v>1.2999999999999999E-3</v>
      </c>
      <c r="W3211">
        <v>-3.1046999999999998</v>
      </c>
      <c r="X3211">
        <v>3.8026</v>
      </c>
      <c r="Y3211">
        <v>-0.49659999999999999</v>
      </c>
      <c r="Z3211">
        <v>22</v>
      </c>
      <c r="AA3211">
        <v>29.6</v>
      </c>
      <c r="AB3211">
        <v>28</v>
      </c>
      <c r="AC3211">
        <v>30.1</v>
      </c>
      <c r="AD3211">
        <v>0</v>
      </c>
      <c r="AE3211">
        <v>0</v>
      </c>
      <c r="AF3211">
        <v>31.525600000000001</v>
      </c>
      <c r="AG3211">
        <v>349</v>
      </c>
      <c r="AH3211">
        <v>0</v>
      </c>
    </row>
    <row r="3212" spans="1:34" x14ac:dyDescent="0.35">
      <c r="A3212" t="s">
        <v>34</v>
      </c>
      <c r="B3212" s="1">
        <v>46146.65625</v>
      </c>
      <c r="C3212" t="s">
        <v>34</v>
      </c>
      <c r="D3212" s="1">
        <v>46157.625</v>
      </c>
      <c r="E3212">
        <v>7045</v>
      </c>
      <c r="F3212" t="s">
        <v>36</v>
      </c>
      <c r="G3212">
        <v>23.51</v>
      </c>
      <c r="H3212">
        <v>32.450000000000003</v>
      </c>
      <c r="I3212">
        <v>20.43</v>
      </c>
      <c r="J3212">
        <v>32.450000000000003</v>
      </c>
      <c r="K3212">
        <v>57</v>
      </c>
      <c r="L3212">
        <v>5</v>
      </c>
      <c r="M3212">
        <v>30.5</v>
      </c>
      <c r="N3212">
        <v>3</v>
      </c>
      <c r="O3212">
        <v>30.8</v>
      </c>
      <c r="P3212">
        <v>0</v>
      </c>
      <c r="Q3212">
        <v>0</v>
      </c>
      <c r="R3212">
        <v>0</v>
      </c>
      <c r="S3212">
        <v>0</v>
      </c>
      <c r="T3212">
        <v>0.17979999999999999</v>
      </c>
      <c r="U3212">
        <v>-0.23180000000000001</v>
      </c>
      <c r="V3212">
        <v>1.4E-3</v>
      </c>
      <c r="W3212">
        <v>-3.1360000000000001</v>
      </c>
      <c r="X3212">
        <v>3.8555000000000001</v>
      </c>
      <c r="Y3212">
        <v>-0.50960000000000005</v>
      </c>
      <c r="Z3212">
        <v>13</v>
      </c>
      <c r="AA3212">
        <v>30.5</v>
      </c>
      <c r="AB3212">
        <v>22</v>
      </c>
      <c r="AC3212">
        <v>30.9</v>
      </c>
      <c r="AD3212">
        <v>0</v>
      </c>
      <c r="AE3212">
        <v>0</v>
      </c>
      <c r="AF3212">
        <v>28.897500000000001</v>
      </c>
      <c r="AG3212">
        <v>85</v>
      </c>
      <c r="AH3212">
        <v>0</v>
      </c>
    </row>
    <row r="3213" spans="1:34" x14ac:dyDescent="0.35">
      <c r="A3213" t="s">
        <v>34</v>
      </c>
      <c r="B3213" s="1">
        <v>46146.65625</v>
      </c>
      <c r="C3213" t="s">
        <v>34</v>
      </c>
      <c r="D3213" s="1">
        <v>46157.625</v>
      </c>
      <c r="E3213">
        <v>7050</v>
      </c>
      <c r="F3213" t="s">
        <v>36</v>
      </c>
      <c r="G3213">
        <v>25.4</v>
      </c>
      <c r="H3213">
        <v>40.520000000000003</v>
      </c>
      <c r="I3213">
        <v>20.5</v>
      </c>
      <c r="J3213">
        <v>31.98</v>
      </c>
      <c r="K3213">
        <v>1411</v>
      </c>
      <c r="L3213">
        <v>8</v>
      </c>
      <c r="M3213">
        <v>31.4</v>
      </c>
      <c r="N3213">
        <v>31</v>
      </c>
      <c r="O3213">
        <v>31.7</v>
      </c>
      <c r="P3213">
        <v>0</v>
      </c>
      <c r="Q3213">
        <v>0</v>
      </c>
      <c r="R3213">
        <v>0</v>
      </c>
      <c r="S3213">
        <v>0</v>
      </c>
      <c r="T3213">
        <v>0.1789</v>
      </c>
      <c r="U3213">
        <v>-0.23769999999999999</v>
      </c>
      <c r="V3213">
        <v>1.4E-3</v>
      </c>
      <c r="W3213">
        <v>-3.1648999999999998</v>
      </c>
      <c r="X3213">
        <v>3.9070999999999998</v>
      </c>
      <c r="Y3213">
        <v>-0.52270000000000005</v>
      </c>
      <c r="Z3213">
        <v>6</v>
      </c>
      <c r="AA3213">
        <v>31.4</v>
      </c>
      <c r="AB3213">
        <v>34</v>
      </c>
      <c r="AC3213">
        <v>31.8</v>
      </c>
      <c r="AD3213">
        <v>0</v>
      </c>
      <c r="AE3213">
        <v>0</v>
      </c>
      <c r="AF3213">
        <v>30.7059</v>
      </c>
      <c r="AG3213">
        <v>1136</v>
      </c>
      <c r="AH3213">
        <v>0</v>
      </c>
    </row>
    <row r="3214" spans="1:34" x14ac:dyDescent="0.35">
      <c r="A3214" t="s">
        <v>34</v>
      </c>
      <c r="B3214" s="1">
        <v>46146.65625</v>
      </c>
      <c r="C3214" t="s">
        <v>34</v>
      </c>
      <c r="D3214" s="1">
        <v>46157.625</v>
      </c>
      <c r="E3214">
        <v>7055</v>
      </c>
      <c r="F3214" t="s">
        <v>36</v>
      </c>
      <c r="G3214">
        <v>24.38</v>
      </c>
      <c r="H3214">
        <v>34.25</v>
      </c>
      <c r="I3214">
        <v>21.71</v>
      </c>
      <c r="J3214">
        <v>31.5</v>
      </c>
      <c r="K3214">
        <v>34</v>
      </c>
      <c r="L3214">
        <v>23</v>
      </c>
      <c r="M3214">
        <v>32.200000000000003</v>
      </c>
      <c r="N3214">
        <v>22</v>
      </c>
      <c r="O3214">
        <v>32.6</v>
      </c>
      <c r="P3214">
        <v>0</v>
      </c>
      <c r="Q3214">
        <v>0</v>
      </c>
      <c r="R3214">
        <v>0</v>
      </c>
      <c r="S3214">
        <v>0</v>
      </c>
      <c r="T3214">
        <v>0.17799999999999999</v>
      </c>
      <c r="U3214">
        <v>-0.2437</v>
      </c>
      <c r="V3214">
        <v>1.4E-3</v>
      </c>
      <c r="W3214">
        <v>-3.1947999999999999</v>
      </c>
      <c r="X3214">
        <v>3.9590000000000001</v>
      </c>
      <c r="Y3214">
        <v>-0.53620000000000001</v>
      </c>
      <c r="Z3214">
        <v>17</v>
      </c>
      <c r="AA3214">
        <v>32.200000000000003</v>
      </c>
      <c r="AB3214">
        <v>23</v>
      </c>
      <c r="AC3214">
        <v>32.700000000000003</v>
      </c>
      <c r="AD3214">
        <v>0</v>
      </c>
      <c r="AE3214">
        <v>0</v>
      </c>
      <c r="AF3214">
        <v>30.007899999999999</v>
      </c>
      <c r="AG3214">
        <v>146</v>
      </c>
      <c r="AH3214">
        <v>0</v>
      </c>
    </row>
    <row r="3215" spans="1:34" x14ac:dyDescent="0.35">
      <c r="A3215" t="s">
        <v>34</v>
      </c>
      <c r="B3215" s="1">
        <v>46146.65625</v>
      </c>
      <c r="C3215" t="s">
        <v>34</v>
      </c>
      <c r="D3215" s="1">
        <v>46157.625</v>
      </c>
      <c r="E3215">
        <v>7060</v>
      </c>
      <c r="F3215" t="s">
        <v>36</v>
      </c>
      <c r="G3215">
        <v>27.12</v>
      </c>
      <c r="H3215">
        <v>42.77</v>
      </c>
      <c r="I3215">
        <v>22.02</v>
      </c>
      <c r="J3215">
        <v>33.450000000000003</v>
      </c>
      <c r="K3215">
        <v>209</v>
      </c>
      <c r="L3215">
        <v>23</v>
      </c>
      <c r="M3215">
        <v>33.1</v>
      </c>
      <c r="N3215">
        <v>8</v>
      </c>
      <c r="O3215">
        <v>33.5</v>
      </c>
      <c r="P3215">
        <v>0</v>
      </c>
      <c r="Q3215">
        <v>0</v>
      </c>
      <c r="R3215">
        <v>0</v>
      </c>
      <c r="S3215">
        <v>0</v>
      </c>
      <c r="T3215">
        <v>0.17699999999999999</v>
      </c>
      <c r="U3215">
        <v>-0.24979999999999999</v>
      </c>
      <c r="V3215">
        <v>1.4E-3</v>
      </c>
      <c r="W3215">
        <v>-3.2223000000000002</v>
      </c>
      <c r="X3215">
        <v>4.0092999999999996</v>
      </c>
      <c r="Y3215">
        <v>-0.54969999999999997</v>
      </c>
      <c r="Z3215">
        <v>22</v>
      </c>
      <c r="AA3215">
        <v>33.1</v>
      </c>
      <c r="AB3215">
        <v>27</v>
      </c>
      <c r="AC3215">
        <v>33.6</v>
      </c>
      <c r="AD3215">
        <v>0</v>
      </c>
      <c r="AE3215">
        <v>0</v>
      </c>
      <c r="AF3215">
        <v>26.363499999999998</v>
      </c>
      <c r="AG3215">
        <v>1039</v>
      </c>
      <c r="AH3215">
        <v>0</v>
      </c>
    </row>
    <row r="3216" spans="1:34" x14ac:dyDescent="0.35">
      <c r="A3216" t="s">
        <v>34</v>
      </c>
      <c r="B3216" s="1">
        <v>46146.65625</v>
      </c>
      <c r="C3216" t="s">
        <v>34</v>
      </c>
      <c r="D3216" s="1">
        <v>46157.625</v>
      </c>
      <c r="E3216">
        <v>7065</v>
      </c>
      <c r="F3216" t="s">
        <v>36</v>
      </c>
      <c r="G3216">
        <v>28.69</v>
      </c>
      <c r="H3216">
        <v>37.549999999999997</v>
      </c>
      <c r="I3216">
        <v>23.35</v>
      </c>
      <c r="J3216">
        <v>34.53</v>
      </c>
      <c r="K3216">
        <v>40</v>
      </c>
      <c r="L3216">
        <v>13</v>
      </c>
      <c r="M3216">
        <v>34.1</v>
      </c>
      <c r="N3216">
        <v>16</v>
      </c>
      <c r="O3216">
        <v>34.4</v>
      </c>
      <c r="P3216">
        <v>0</v>
      </c>
      <c r="Q3216">
        <v>0</v>
      </c>
      <c r="R3216">
        <v>0</v>
      </c>
      <c r="S3216">
        <v>0</v>
      </c>
      <c r="T3216">
        <v>0.17599999999999999</v>
      </c>
      <c r="U3216">
        <v>-0.25590000000000002</v>
      </c>
      <c r="V3216">
        <v>1.5E-3</v>
      </c>
      <c r="W3216">
        <v>-3.2477</v>
      </c>
      <c r="X3216">
        <v>4.0583</v>
      </c>
      <c r="Y3216">
        <v>-0.56320000000000003</v>
      </c>
      <c r="Z3216">
        <v>18</v>
      </c>
      <c r="AA3216">
        <v>34.1</v>
      </c>
      <c r="AB3216">
        <v>25</v>
      </c>
      <c r="AC3216">
        <v>34.5</v>
      </c>
      <c r="AD3216">
        <v>0</v>
      </c>
      <c r="AE3216">
        <v>0</v>
      </c>
      <c r="AF3216">
        <v>31.2515</v>
      </c>
      <c r="AG3216">
        <v>174</v>
      </c>
      <c r="AH3216">
        <v>0</v>
      </c>
    </row>
    <row r="3217" spans="1:34" x14ac:dyDescent="0.35">
      <c r="A3217" t="s">
        <v>34</v>
      </c>
      <c r="B3217" s="1">
        <v>46146.65625</v>
      </c>
      <c r="C3217" t="s">
        <v>34</v>
      </c>
      <c r="D3217" s="1">
        <v>46157.625</v>
      </c>
      <c r="E3217">
        <v>7070</v>
      </c>
      <c r="F3217" t="s">
        <v>36</v>
      </c>
      <c r="G3217">
        <v>29.1</v>
      </c>
      <c r="H3217">
        <v>44.82</v>
      </c>
      <c r="I3217">
        <v>23.5</v>
      </c>
      <c r="J3217">
        <v>35.659999999999997</v>
      </c>
      <c r="K3217">
        <v>495</v>
      </c>
      <c r="L3217">
        <v>14</v>
      </c>
      <c r="M3217">
        <v>35</v>
      </c>
      <c r="N3217">
        <v>21</v>
      </c>
      <c r="O3217">
        <v>35.4</v>
      </c>
      <c r="P3217">
        <v>0</v>
      </c>
      <c r="Q3217">
        <v>0</v>
      </c>
      <c r="R3217">
        <v>0</v>
      </c>
      <c r="S3217">
        <v>0</v>
      </c>
      <c r="T3217">
        <v>0.17499999999999999</v>
      </c>
      <c r="U3217">
        <v>-0.26229999999999998</v>
      </c>
      <c r="V3217">
        <v>1.5E-3</v>
      </c>
      <c r="W3217">
        <v>-3.2736999999999998</v>
      </c>
      <c r="X3217">
        <v>4.1077000000000004</v>
      </c>
      <c r="Y3217">
        <v>-0.57720000000000005</v>
      </c>
      <c r="Z3217">
        <v>21</v>
      </c>
      <c r="AA3217">
        <v>35</v>
      </c>
      <c r="AB3217">
        <v>26</v>
      </c>
      <c r="AC3217">
        <v>35.5</v>
      </c>
      <c r="AD3217">
        <v>0</v>
      </c>
      <c r="AE3217">
        <v>0</v>
      </c>
      <c r="AF3217">
        <v>33.444499999999998</v>
      </c>
      <c r="AG3217">
        <v>850</v>
      </c>
      <c r="AH3217">
        <v>0</v>
      </c>
    </row>
    <row r="3218" spans="1:34" x14ac:dyDescent="0.35">
      <c r="A3218" t="s">
        <v>34</v>
      </c>
      <c r="B3218" s="1">
        <v>46146.65625</v>
      </c>
      <c r="C3218" t="s">
        <v>34</v>
      </c>
      <c r="D3218" s="1">
        <v>46157.625</v>
      </c>
      <c r="E3218">
        <v>7075</v>
      </c>
      <c r="F3218" t="s">
        <v>36</v>
      </c>
      <c r="G3218">
        <v>30.3</v>
      </c>
      <c r="H3218">
        <v>46.26</v>
      </c>
      <c r="I3218">
        <v>24.57</v>
      </c>
      <c r="J3218">
        <v>34.700000000000003</v>
      </c>
      <c r="K3218">
        <v>306</v>
      </c>
      <c r="L3218">
        <v>21</v>
      </c>
      <c r="M3218">
        <v>36</v>
      </c>
      <c r="N3218">
        <v>7</v>
      </c>
      <c r="O3218">
        <v>36.299999999999997</v>
      </c>
      <c r="P3218">
        <v>0</v>
      </c>
      <c r="Q3218">
        <v>0</v>
      </c>
      <c r="R3218">
        <v>0</v>
      </c>
      <c r="S3218">
        <v>0</v>
      </c>
      <c r="T3218">
        <v>0.1741</v>
      </c>
      <c r="U3218">
        <v>-0.26889999999999997</v>
      </c>
      <c r="V3218">
        <v>1.5E-3</v>
      </c>
      <c r="W3218">
        <v>-3.3001</v>
      </c>
      <c r="X3218">
        <v>4.1576000000000004</v>
      </c>
      <c r="Y3218">
        <v>-0.5917</v>
      </c>
      <c r="Z3218">
        <v>27</v>
      </c>
      <c r="AA3218">
        <v>36</v>
      </c>
      <c r="AB3218">
        <v>32</v>
      </c>
      <c r="AC3218">
        <v>36.5</v>
      </c>
      <c r="AD3218">
        <v>0</v>
      </c>
      <c r="AE3218">
        <v>0</v>
      </c>
      <c r="AF3218">
        <v>34.945399999999999</v>
      </c>
      <c r="AG3218">
        <v>360</v>
      </c>
      <c r="AH3218">
        <v>0</v>
      </c>
    </row>
    <row r="3219" spans="1:34" x14ac:dyDescent="0.35">
      <c r="A3219" t="s">
        <v>34</v>
      </c>
      <c r="B3219" s="1">
        <v>46146.65625</v>
      </c>
      <c r="C3219" t="s">
        <v>34</v>
      </c>
      <c r="D3219" s="1">
        <v>46157.625</v>
      </c>
      <c r="E3219">
        <v>7080</v>
      </c>
      <c r="F3219" t="s">
        <v>36</v>
      </c>
      <c r="G3219">
        <v>30.58</v>
      </c>
      <c r="H3219">
        <v>44.58</v>
      </c>
      <c r="I3219">
        <v>24.92</v>
      </c>
      <c r="J3219">
        <v>36.99</v>
      </c>
      <c r="K3219">
        <v>63</v>
      </c>
      <c r="L3219">
        <v>13</v>
      </c>
      <c r="M3219">
        <v>37</v>
      </c>
      <c r="N3219">
        <v>21</v>
      </c>
      <c r="O3219">
        <v>37.4</v>
      </c>
      <c r="P3219">
        <v>0</v>
      </c>
      <c r="Q3219">
        <v>0</v>
      </c>
      <c r="R3219">
        <v>0</v>
      </c>
      <c r="S3219">
        <v>0</v>
      </c>
      <c r="T3219">
        <v>0.17319999999999999</v>
      </c>
      <c r="U3219">
        <v>-0.27560000000000001</v>
      </c>
      <c r="V3219">
        <v>1.5E-3</v>
      </c>
      <c r="W3219">
        <v>-3.3243</v>
      </c>
      <c r="X3219">
        <v>4.2065000000000001</v>
      </c>
      <c r="Y3219">
        <v>-0.60640000000000005</v>
      </c>
      <c r="Z3219">
        <v>21</v>
      </c>
      <c r="AA3219">
        <v>37</v>
      </c>
      <c r="AB3219">
        <v>24</v>
      </c>
      <c r="AC3219">
        <v>37.5</v>
      </c>
      <c r="AD3219">
        <v>0</v>
      </c>
      <c r="AE3219">
        <v>0</v>
      </c>
      <c r="AF3219">
        <v>36.4148</v>
      </c>
      <c r="AG3219">
        <v>244</v>
      </c>
      <c r="AH3219">
        <v>0</v>
      </c>
    </row>
    <row r="3220" spans="1:34" x14ac:dyDescent="0.35">
      <c r="A3220" t="s">
        <v>34</v>
      </c>
      <c r="B3220" s="1">
        <v>46146.65625</v>
      </c>
      <c r="C3220" t="s">
        <v>34</v>
      </c>
      <c r="D3220" s="1">
        <v>46157.625</v>
      </c>
      <c r="E3220">
        <v>7085</v>
      </c>
      <c r="F3220" t="s">
        <v>36</v>
      </c>
      <c r="G3220">
        <v>26.6</v>
      </c>
      <c r="H3220">
        <v>45.77</v>
      </c>
      <c r="I3220">
        <v>26.09</v>
      </c>
      <c r="J3220">
        <v>38.49</v>
      </c>
      <c r="K3220">
        <v>12</v>
      </c>
      <c r="L3220">
        <v>20</v>
      </c>
      <c r="M3220">
        <v>38</v>
      </c>
      <c r="N3220">
        <v>15</v>
      </c>
      <c r="O3220">
        <v>38.4</v>
      </c>
      <c r="P3220">
        <v>0</v>
      </c>
      <c r="Q3220">
        <v>0</v>
      </c>
      <c r="R3220">
        <v>0</v>
      </c>
      <c r="S3220">
        <v>0</v>
      </c>
      <c r="T3220">
        <v>0.1721</v>
      </c>
      <c r="U3220">
        <v>-0.2823</v>
      </c>
      <c r="V3220">
        <v>1.6000000000000001E-3</v>
      </c>
      <c r="W3220">
        <v>-3.3454999999999999</v>
      </c>
      <c r="X3220">
        <v>4.2548000000000004</v>
      </c>
      <c r="Y3220">
        <v>-0.62139999999999995</v>
      </c>
      <c r="Z3220">
        <v>12</v>
      </c>
      <c r="AA3220">
        <v>38.1</v>
      </c>
      <c r="AB3220">
        <v>10</v>
      </c>
      <c r="AC3220">
        <v>38.5</v>
      </c>
      <c r="AD3220">
        <v>0</v>
      </c>
      <c r="AE3220">
        <v>0</v>
      </c>
      <c r="AF3220">
        <v>35.947499999999998</v>
      </c>
      <c r="AG3220">
        <v>88</v>
      </c>
      <c r="AH3220">
        <v>0</v>
      </c>
    </row>
    <row r="3221" spans="1:34" x14ac:dyDescent="0.35">
      <c r="A3221" t="s">
        <v>34</v>
      </c>
      <c r="B3221" s="1">
        <v>46146.65625</v>
      </c>
      <c r="C3221" t="s">
        <v>34</v>
      </c>
      <c r="D3221" s="1">
        <v>46157.625</v>
      </c>
      <c r="E3221">
        <v>7090</v>
      </c>
      <c r="F3221" t="s">
        <v>36</v>
      </c>
      <c r="G3221">
        <v>32.619999999999997</v>
      </c>
      <c r="H3221">
        <v>49.77</v>
      </c>
      <c r="I3221">
        <v>26.86</v>
      </c>
      <c r="J3221">
        <v>37.9</v>
      </c>
      <c r="K3221">
        <v>111</v>
      </c>
      <c r="L3221">
        <v>12</v>
      </c>
      <c r="M3221">
        <v>39.1</v>
      </c>
      <c r="N3221">
        <v>20</v>
      </c>
      <c r="O3221">
        <v>39.5</v>
      </c>
      <c r="P3221">
        <v>0</v>
      </c>
      <c r="Q3221">
        <v>0</v>
      </c>
      <c r="R3221">
        <v>0</v>
      </c>
      <c r="S3221">
        <v>0</v>
      </c>
      <c r="T3221">
        <v>0.17119999999999999</v>
      </c>
      <c r="U3221">
        <v>-0.28939999999999999</v>
      </c>
      <c r="V3221">
        <v>1.6000000000000001E-3</v>
      </c>
      <c r="W3221">
        <v>-3.3696999999999999</v>
      </c>
      <c r="X3221">
        <v>4.3038999999999996</v>
      </c>
      <c r="Y3221">
        <v>-0.63729999999999998</v>
      </c>
      <c r="Z3221">
        <v>12</v>
      </c>
      <c r="AA3221">
        <v>39.200000000000003</v>
      </c>
      <c r="AB3221">
        <v>10</v>
      </c>
      <c r="AC3221">
        <v>39.6</v>
      </c>
      <c r="AD3221">
        <v>0</v>
      </c>
      <c r="AE3221">
        <v>0</v>
      </c>
      <c r="AF3221">
        <v>37.374099999999999</v>
      </c>
      <c r="AG3221">
        <v>265</v>
      </c>
      <c r="AH3221">
        <v>0</v>
      </c>
    </row>
    <row r="3222" spans="1:34" x14ac:dyDescent="0.35">
      <c r="A3222" t="s">
        <v>34</v>
      </c>
      <c r="B3222" s="1">
        <v>46146.65625</v>
      </c>
      <c r="C3222" t="s">
        <v>34</v>
      </c>
      <c r="D3222" s="1">
        <v>46157.625</v>
      </c>
      <c r="E3222">
        <v>7095</v>
      </c>
      <c r="F3222" t="s">
        <v>36</v>
      </c>
      <c r="G3222">
        <v>33.770000000000003</v>
      </c>
      <c r="H3222">
        <v>49.39</v>
      </c>
      <c r="I3222">
        <v>33.770000000000003</v>
      </c>
      <c r="J3222">
        <v>40.72</v>
      </c>
      <c r="K3222">
        <v>59</v>
      </c>
      <c r="L3222">
        <v>12</v>
      </c>
      <c r="M3222">
        <v>40.200000000000003</v>
      </c>
      <c r="N3222">
        <v>3</v>
      </c>
      <c r="O3222">
        <v>40.5</v>
      </c>
      <c r="P3222">
        <v>0</v>
      </c>
      <c r="Q3222">
        <v>0</v>
      </c>
      <c r="R3222">
        <v>0</v>
      </c>
      <c r="S3222">
        <v>0</v>
      </c>
      <c r="T3222">
        <v>0.17030000000000001</v>
      </c>
      <c r="U3222">
        <v>-0.29649999999999999</v>
      </c>
      <c r="V3222">
        <v>1.6000000000000001E-3</v>
      </c>
      <c r="W3222">
        <v>-3.3910999999999998</v>
      </c>
      <c r="X3222">
        <v>4.3513000000000002</v>
      </c>
      <c r="Y3222">
        <v>-0.65339999999999998</v>
      </c>
      <c r="Z3222">
        <v>12</v>
      </c>
      <c r="AA3222">
        <v>40.299999999999997</v>
      </c>
      <c r="AB3222">
        <v>10</v>
      </c>
      <c r="AC3222">
        <v>40.700000000000003</v>
      </c>
      <c r="AD3222">
        <v>0</v>
      </c>
      <c r="AE3222">
        <v>0</v>
      </c>
      <c r="AF3222">
        <v>43.372399999999999</v>
      </c>
      <c r="AG3222">
        <v>223</v>
      </c>
      <c r="AH3222">
        <v>0</v>
      </c>
    </row>
    <row r="3223" spans="1:34" x14ac:dyDescent="0.35">
      <c r="A3223" t="s">
        <v>34</v>
      </c>
      <c r="B3223" s="1">
        <v>46146.65625</v>
      </c>
      <c r="C3223" t="s">
        <v>34</v>
      </c>
      <c r="D3223" s="1">
        <v>46157.625</v>
      </c>
      <c r="E3223">
        <v>7100</v>
      </c>
      <c r="F3223" t="s">
        <v>36</v>
      </c>
      <c r="G3223">
        <v>34.82</v>
      </c>
      <c r="H3223">
        <v>52.94</v>
      </c>
      <c r="I3223">
        <v>27.5</v>
      </c>
      <c r="J3223">
        <v>40.4</v>
      </c>
      <c r="K3223">
        <v>2059</v>
      </c>
      <c r="L3223">
        <v>19</v>
      </c>
      <c r="M3223">
        <v>41.3</v>
      </c>
      <c r="N3223">
        <v>7</v>
      </c>
      <c r="O3223">
        <v>41.6</v>
      </c>
      <c r="P3223">
        <v>0</v>
      </c>
      <c r="Q3223">
        <v>0</v>
      </c>
      <c r="R3223">
        <v>0</v>
      </c>
      <c r="S3223">
        <v>0</v>
      </c>
      <c r="T3223">
        <v>0.16919999999999999</v>
      </c>
      <c r="U3223">
        <v>-0.30370000000000003</v>
      </c>
      <c r="V3223">
        <v>1.6999999999999999E-3</v>
      </c>
      <c r="W3223">
        <v>-3.4095</v>
      </c>
      <c r="X3223">
        <v>4.3970000000000002</v>
      </c>
      <c r="Y3223">
        <v>-0.66959999999999997</v>
      </c>
      <c r="Z3223">
        <v>27</v>
      </c>
      <c r="AA3223">
        <v>41.4</v>
      </c>
      <c r="AB3223">
        <v>19</v>
      </c>
      <c r="AC3223">
        <v>41.9</v>
      </c>
      <c r="AD3223">
        <v>0</v>
      </c>
      <c r="AE3223">
        <v>0</v>
      </c>
      <c r="AF3223">
        <v>33.676600000000001</v>
      </c>
      <c r="AG3223">
        <v>2259</v>
      </c>
      <c r="AH3223">
        <v>0</v>
      </c>
    </row>
    <row r="3224" spans="1:34" x14ac:dyDescent="0.35">
      <c r="A3224" t="s">
        <v>34</v>
      </c>
      <c r="B3224" s="1">
        <v>46146.65625</v>
      </c>
      <c r="C3224" t="s">
        <v>34</v>
      </c>
      <c r="D3224" s="1">
        <v>46157.625</v>
      </c>
      <c r="E3224">
        <v>7105</v>
      </c>
      <c r="F3224" t="s">
        <v>36</v>
      </c>
      <c r="G3224">
        <v>29.56</v>
      </c>
      <c r="H3224">
        <v>49.05</v>
      </c>
      <c r="I3224">
        <v>28.65</v>
      </c>
      <c r="J3224">
        <v>41.4</v>
      </c>
      <c r="K3224">
        <v>72</v>
      </c>
      <c r="L3224">
        <v>20</v>
      </c>
      <c r="M3224">
        <v>42.4</v>
      </c>
      <c r="N3224">
        <v>15</v>
      </c>
      <c r="O3224">
        <v>42.8</v>
      </c>
      <c r="P3224">
        <v>0</v>
      </c>
      <c r="Q3224">
        <v>0</v>
      </c>
      <c r="R3224">
        <v>0</v>
      </c>
      <c r="S3224">
        <v>0</v>
      </c>
      <c r="T3224">
        <v>0.1681</v>
      </c>
      <c r="U3224">
        <v>-0.311</v>
      </c>
      <c r="V3224">
        <v>1.6999999999999999E-3</v>
      </c>
      <c r="W3224">
        <v>-3.4249000000000001</v>
      </c>
      <c r="X3224">
        <v>4.4410999999999996</v>
      </c>
      <c r="Y3224">
        <v>-0.68579999999999997</v>
      </c>
      <c r="Z3224">
        <v>17</v>
      </c>
      <c r="AA3224">
        <v>42.6</v>
      </c>
      <c r="AB3224">
        <v>10</v>
      </c>
      <c r="AC3224">
        <v>43</v>
      </c>
      <c r="AD3224">
        <v>0</v>
      </c>
      <c r="AE3224">
        <v>0</v>
      </c>
      <c r="AF3224">
        <v>45.573099999999997</v>
      </c>
      <c r="AG3224">
        <v>188</v>
      </c>
      <c r="AH3224">
        <v>0</v>
      </c>
    </row>
    <row r="3225" spans="1:34" x14ac:dyDescent="0.35">
      <c r="A3225" t="s">
        <v>34</v>
      </c>
      <c r="B3225" s="1">
        <v>46146.65625</v>
      </c>
      <c r="C3225" t="s">
        <v>34</v>
      </c>
      <c r="D3225" s="1">
        <v>46157.625</v>
      </c>
      <c r="E3225">
        <v>7110</v>
      </c>
      <c r="F3225" t="s">
        <v>36</v>
      </c>
      <c r="G3225">
        <v>36.5</v>
      </c>
      <c r="H3225">
        <v>54.08</v>
      </c>
      <c r="I3225">
        <v>29.79</v>
      </c>
      <c r="J3225">
        <v>43.6</v>
      </c>
      <c r="K3225">
        <v>106</v>
      </c>
      <c r="L3225">
        <v>15</v>
      </c>
      <c r="M3225">
        <v>43.6</v>
      </c>
      <c r="N3225">
        <v>13</v>
      </c>
      <c r="O3225">
        <v>44</v>
      </c>
      <c r="P3225">
        <v>0</v>
      </c>
      <c r="Q3225">
        <v>0</v>
      </c>
      <c r="R3225">
        <v>0</v>
      </c>
      <c r="S3225">
        <v>0</v>
      </c>
      <c r="T3225">
        <v>0.16719999999999999</v>
      </c>
      <c r="U3225">
        <v>-0.31859999999999999</v>
      </c>
      <c r="V3225">
        <v>1.6999999999999999E-3</v>
      </c>
      <c r="W3225">
        <v>-3.4430000000000001</v>
      </c>
      <c r="X3225">
        <v>4.4847000000000001</v>
      </c>
      <c r="Y3225">
        <v>-0.7026</v>
      </c>
      <c r="Z3225">
        <v>12</v>
      </c>
      <c r="AA3225">
        <v>43.8</v>
      </c>
      <c r="AB3225">
        <v>10</v>
      </c>
      <c r="AC3225">
        <v>44.2</v>
      </c>
      <c r="AD3225">
        <v>0</v>
      </c>
      <c r="AE3225">
        <v>0</v>
      </c>
      <c r="AF3225">
        <v>37.488900000000001</v>
      </c>
      <c r="AG3225">
        <v>454</v>
      </c>
      <c r="AH3225">
        <v>0</v>
      </c>
    </row>
    <row r="3226" spans="1:34" x14ac:dyDescent="0.35">
      <c r="A3226" t="s">
        <v>34</v>
      </c>
      <c r="B3226" s="1">
        <v>46146.65625</v>
      </c>
      <c r="C3226" t="s">
        <v>34</v>
      </c>
      <c r="D3226" s="1">
        <v>46157.625</v>
      </c>
      <c r="E3226">
        <v>7115</v>
      </c>
      <c r="F3226" t="s">
        <v>36</v>
      </c>
      <c r="G3226">
        <v>36.200000000000003</v>
      </c>
      <c r="H3226">
        <v>50.05</v>
      </c>
      <c r="I3226">
        <v>33.380000000000003</v>
      </c>
      <c r="J3226">
        <v>45.24</v>
      </c>
      <c r="K3226">
        <v>39</v>
      </c>
      <c r="L3226">
        <v>15</v>
      </c>
      <c r="M3226">
        <v>44.8</v>
      </c>
      <c r="N3226">
        <v>13</v>
      </c>
      <c r="O3226">
        <v>45.2</v>
      </c>
      <c r="P3226">
        <v>0</v>
      </c>
      <c r="Q3226">
        <v>0</v>
      </c>
      <c r="R3226">
        <v>0</v>
      </c>
      <c r="S3226">
        <v>0</v>
      </c>
      <c r="T3226">
        <v>0.16619999999999999</v>
      </c>
      <c r="U3226">
        <v>-0.32629999999999998</v>
      </c>
      <c r="V3226">
        <v>1.6999999999999999E-3</v>
      </c>
      <c r="W3226">
        <v>-3.4579</v>
      </c>
      <c r="X3226">
        <v>4.5270000000000001</v>
      </c>
      <c r="Y3226">
        <v>-0.71950000000000003</v>
      </c>
      <c r="Z3226">
        <v>16</v>
      </c>
      <c r="AA3226">
        <v>45</v>
      </c>
      <c r="AB3226">
        <v>26</v>
      </c>
      <c r="AC3226">
        <v>45.6</v>
      </c>
      <c r="AD3226">
        <v>0</v>
      </c>
      <c r="AE3226">
        <v>0</v>
      </c>
      <c r="AF3226">
        <v>44.223300000000002</v>
      </c>
      <c r="AG3226">
        <v>282</v>
      </c>
      <c r="AH3226">
        <v>0</v>
      </c>
    </row>
    <row r="3227" spans="1:34" x14ac:dyDescent="0.35">
      <c r="A3227" t="s">
        <v>34</v>
      </c>
      <c r="B3227" s="1">
        <v>46146.65625</v>
      </c>
      <c r="C3227" t="s">
        <v>34</v>
      </c>
      <c r="D3227" s="1">
        <v>46157.625</v>
      </c>
      <c r="E3227">
        <v>7120</v>
      </c>
      <c r="F3227" t="s">
        <v>36</v>
      </c>
      <c r="G3227">
        <v>39.53</v>
      </c>
      <c r="H3227">
        <v>56</v>
      </c>
      <c r="I3227">
        <v>31.55</v>
      </c>
      <c r="J3227">
        <v>46.45</v>
      </c>
      <c r="K3227">
        <v>82</v>
      </c>
      <c r="L3227">
        <v>19</v>
      </c>
      <c r="M3227">
        <v>46</v>
      </c>
      <c r="N3227">
        <v>18</v>
      </c>
      <c r="O3227">
        <v>46.5</v>
      </c>
      <c r="P3227">
        <v>0</v>
      </c>
      <c r="Q3227">
        <v>0</v>
      </c>
      <c r="R3227">
        <v>0</v>
      </c>
      <c r="S3227">
        <v>0</v>
      </c>
      <c r="T3227">
        <v>0.1653</v>
      </c>
      <c r="U3227">
        <v>-0.33429999999999999</v>
      </c>
      <c r="V3227">
        <v>1.8E-3</v>
      </c>
      <c r="W3227">
        <v>-3.4750000000000001</v>
      </c>
      <c r="X3227">
        <v>4.569</v>
      </c>
      <c r="Y3227">
        <v>-0.73709999999999998</v>
      </c>
      <c r="Z3227">
        <v>18</v>
      </c>
      <c r="AA3227">
        <v>46.2</v>
      </c>
      <c r="AB3227">
        <v>9</v>
      </c>
      <c r="AC3227">
        <v>46.7</v>
      </c>
      <c r="AD3227">
        <v>0</v>
      </c>
      <c r="AE3227">
        <v>0</v>
      </c>
      <c r="AF3227">
        <v>44.4499</v>
      </c>
      <c r="AG3227">
        <v>351</v>
      </c>
      <c r="AH3227">
        <v>0</v>
      </c>
    </row>
    <row r="3228" spans="1:34" x14ac:dyDescent="0.35">
      <c r="A3228" t="s">
        <v>34</v>
      </c>
      <c r="B3228" s="1">
        <v>46146.65625</v>
      </c>
      <c r="C3228" t="s">
        <v>34</v>
      </c>
      <c r="D3228" s="1">
        <v>46157.625</v>
      </c>
      <c r="E3228">
        <v>7125</v>
      </c>
      <c r="F3228" t="s">
        <v>36</v>
      </c>
      <c r="G3228">
        <v>40.479999999999997</v>
      </c>
      <c r="H3228">
        <v>59.38</v>
      </c>
      <c r="I3228">
        <v>32.94</v>
      </c>
      <c r="J3228">
        <v>47.11</v>
      </c>
      <c r="K3228">
        <v>254</v>
      </c>
      <c r="L3228">
        <v>15</v>
      </c>
      <c r="M3228">
        <v>47.3</v>
      </c>
      <c r="N3228">
        <v>9</v>
      </c>
      <c r="O3228">
        <v>47.7</v>
      </c>
      <c r="P3228">
        <v>0</v>
      </c>
      <c r="Q3228">
        <v>0</v>
      </c>
      <c r="R3228">
        <v>0</v>
      </c>
      <c r="S3228">
        <v>0</v>
      </c>
      <c r="T3228">
        <v>0.1641</v>
      </c>
      <c r="U3228">
        <v>-0.3422</v>
      </c>
      <c r="V3228">
        <v>1.8E-3</v>
      </c>
      <c r="W3228">
        <v>-3.4832000000000001</v>
      </c>
      <c r="X3228">
        <v>4.6089000000000002</v>
      </c>
      <c r="Y3228">
        <v>-0.75470000000000004</v>
      </c>
      <c r="Z3228">
        <v>16</v>
      </c>
      <c r="AA3228">
        <v>47.6</v>
      </c>
      <c r="AB3228">
        <v>9</v>
      </c>
      <c r="AC3228">
        <v>48</v>
      </c>
      <c r="AD3228">
        <v>0</v>
      </c>
      <c r="AE3228">
        <v>0</v>
      </c>
      <c r="AF3228">
        <v>46.575200000000002</v>
      </c>
      <c r="AG3228">
        <v>353</v>
      </c>
      <c r="AH3228">
        <v>0</v>
      </c>
    </row>
    <row r="3229" spans="1:34" x14ac:dyDescent="0.35">
      <c r="A3229" t="s">
        <v>34</v>
      </c>
      <c r="B3229" s="1">
        <v>46146.65625</v>
      </c>
      <c r="C3229" t="s">
        <v>34</v>
      </c>
      <c r="D3229" s="1">
        <v>46157.625</v>
      </c>
      <c r="E3229">
        <v>7130</v>
      </c>
      <c r="F3229" t="s">
        <v>36</v>
      </c>
      <c r="G3229">
        <v>38.44</v>
      </c>
      <c r="H3229">
        <v>60.7</v>
      </c>
      <c r="I3229">
        <v>33.65</v>
      </c>
      <c r="J3229">
        <v>49.3</v>
      </c>
      <c r="K3229">
        <v>142</v>
      </c>
      <c r="L3229">
        <v>18</v>
      </c>
      <c r="M3229">
        <v>48.6</v>
      </c>
      <c r="N3229">
        <v>11</v>
      </c>
      <c r="O3229">
        <v>49</v>
      </c>
      <c r="P3229">
        <v>0</v>
      </c>
      <c r="Q3229">
        <v>0</v>
      </c>
      <c r="R3229">
        <v>0</v>
      </c>
      <c r="S3229">
        <v>0</v>
      </c>
      <c r="T3229">
        <v>0.16309999999999999</v>
      </c>
      <c r="U3229">
        <v>-0.35039999999999999</v>
      </c>
      <c r="V3229">
        <v>1.8E-3</v>
      </c>
      <c r="W3229">
        <v>-3.4933999999999998</v>
      </c>
      <c r="X3229">
        <v>4.6482999999999999</v>
      </c>
      <c r="Y3229">
        <v>-0.77310000000000001</v>
      </c>
      <c r="Z3229">
        <v>21</v>
      </c>
      <c r="AA3229">
        <v>48.9</v>
      </c>
      <c r="AB3229">
        <v>18</v>
      </c>
      <c r="AC3229">
        <v>49.4</v>
      </c>
      <c r="AD3229">
        <v>0</v>
      </c>
      <c r="AE3229">
        <v>0</v>
      </c>
      <c r="AF3229">
        <v>49.334400000000002</v>
      </c>
      <c r="AG3229">
        <v>331</v>
      </c>
      <c r="AH3229">
        <v>0</v>
      </c>
    </row>
    <row r="3230" spans="1:34" x14ac:dyDescent="0.35">
      <c r="A3230" t="s">
        <v>34</v>
      </c>
      <c r="B3230" s="1">
        <v>46146.65625</v>
      </c>
      <c r="C3230" t="s">
        <v>34</v>
      </c>
      <c r="D3230" s="1">
        <v>46157.625</v>
      </c>
      <c r="E3230">
        <v>7135</v>
      </c>
      <c r="F3230" t="s">
        <v>36</v>
      </c>
      <c r="G3230">
        <v>40.880000000000003</v>
      </c>
      <c r="H3230">
        <v>54.46</v>
      </c>
      <c r="I3230">
        <v>34.46</v>
      </c>
      <c r="J3230">
        <v>50.27</v>
      </c>
      <c r="K3230">
        <v>85</v>
      </c>
      <c r="L3230">
        <v>10</v>
      </c>
      <c r="M3230">
        <v>50</v>
      </c>
      <c r="N3230">
        <v>11</v>
      </c>
      <c r="O3230">
        <v>50.4</v>
      </c>
      <c r="P3230">
        <v>0</v>
      </c>
      <c r="Q3230">
        <v>0</v>
      </c>
      <c r="R3230">
        <v>0</v>
      </c>
      <c r="S3230">
        <v>0</v>
      </c>
      <c r="T3230">
        <v>0.16209999999999999</v>
      </c>
      <c r="U3230">
        <v>-0.35880000000000001</v>
      </c>
      <c r="V3230">
        <v>1.8E-3</v>
      </c>
      <c r="W3230">
        <v>-3.5024999999999999</v>
      </c>
      <c r="X3230">
        <v>4.6863000000000001</v>
      </c>
      <c r="Y3230">
        <v>-0.79200000000000004</v>
      </c>
      <c r="Z3230">
        <v>16</v>
      </c>
      <c r="AA3230">
        <v>50.3</v>
      </c>
      <c r="AB3230">
        <v>19</v>
      </c>
      <c r="AC3230">
        <v>50.8</v>
      </c>
      <c r="AD3230">
        <v>0</v>
      </c>
      <c r="AE3230">
        <v>0</v>
      </c>
      <c r="AF3230">
        <v>48.668900000000001</v>
      </c>
      <c r="AG3230">
        <v>168</v>
      </c>
      <c r="AH3230">
        <v>0</v>
      </c>
    </row>
    <row r="3231" spans="1:34" x14ac:dyDescent="0.35">
      <c r="A3231" t="s">
        <v>34</v>
      </c>
      <c r="B3231" s="1">
        <v>46146.65625</v>
      </c>
      <c r="C3231" t="s">
        <v>34</v>
      </c>
      <c r="D3231" s="1">
        <v>46157.625</v>
      </c>
      <c r="E3231">
        <v>7140</v>
      </c>
      <c r="F3231" t="s">
        <v>36</v>
      </c>
      <c r="G3231">
        <v>42.75</v>
      </c>
      <c r="H3231">
        <v>64.599999999999994</v>
      </c>
      <c r="I3231">
        <v>35.21</v>
      </c>
      <c r="J3231">
        <v>52.19</v>
      </c>
      <c r="K3231">
        <v>228</v>
      </c>
      <c r="L3231">
        <v>10</v>
      </c>
      <c r="M3231">
        <v>51.4</v>
      </c>
      <c r="N3231">
        <v>11</v>
      </c>
      <c r="O3231">
        <v>51.8</v>
      </c>
      <c r="P3231">
        <v>0</v>
      </c>
      <c r="Q3231">
        <v>0</v>
      </c>
      <c r="R3231">
        <v>0</v>
      </c>
      <c r="S3231">
        <v>0</v>
      </c>
      <c r="T3231">
        <v>0.16120000000000001</v>
      </c>
      <c r="U3231">
        <v>-0.36749999999999999</v>
      </c>
      <c r="V3231">
        <v>1.9E-3</v>
      </c>
      <c r="W3231">
        <v>-3.5131000000000001</v>
      </c>
      <c r="X3231">
        <v>4.7229000000000001</v>
      </c>
      <c r="Y3231">
        <v>-0.8115</v>
      </c>
      <c r="Z3231">
        <v>16</v>
      </c>
      <c r="AA3231">
        <v>51.7</v>
      </c>
      <c r="AB3231">
        <v>18</v>
      </c>
      <c r="AC3231">
        <v>52.2</v>
      </c>
      <c r="AD3231">
        <v>0</v>
      </c>
      <c r="AE3231">
        <v>0</v>
      </c>
      <c r="AF3231">
        <v>49.9129</v>
      </c>
      <c r="AG3231">
        <v>175</v>
      </c>
      <c r="AH3231">
        <v>0</v>
      </c>
    </row>
    <row r="3232" spans="1:34" x14ac:dyDescent="0.35">
      <c r="A3232" t="s">
        <v>34</v>
      </c>
      <c r="B3232" s="1">
        <v>46146.65625</v>
      </c>
      <c r="C3232" t="s">
        <v>34</v>
      </c>
      <c r="D3232" s="1">
        <v>46157.625</v>
      </c>
      <c r="E3232">
        <v>7145</v>
      </c>
      <c r="F3232" t="s">
        <v>36</v>
      </c>
      <c r="G3232">
        <v>47.35</v>
      </c>
      <c r="H3232">
        <v>64.680000000000007</v>
      </c>
      <c r="I3232">
        <v>37.700000000000003</v>
      </c>
      <c r="J3232">
        <v>51.71</v>
      </c>
      <c r="K3232">
        <v>39</v>
      </c>
      <c r="L3232">
        <v>10</v>
      </c>
      <c r="M3232">
        <v>52.8</v>
      </c>
      <c r="N3232">
        <v>11</v>
      </c>
      <c r="O3232">
        <v>53.2</v>
      </c>
      <c r="P3232">
        <v>0</v>
      </c>
      <c r="Q3232">
        <v>0</v>
      </c>
      <c r="R3232">
        <v>0</v>
      </c>
      <c r="S3232">
        <v>0</v>
      </c>
      <c r="T3232">
        <v>0.16009999999999999</v>
      </c>
      <c r="U3232">
        <v>-0.37609999999999999</v>
      </c>
      <c r="V3232">
        <v>1.9E-3</v>
      </c>
      <c r="W3232">
        <v>-3.5173000000000001</v>
      </c>
      <c r="X3232">
        <v>4.7567000000000004</v>
      </c>
      <c r="Y3232">
        <v>-0.83079999999999998</v>
      </c>
      <c r="Z3232">
        <v>18</v>
      </c>
      <c r="AA3232">
        <v>53.1</v>
      </c>
      <c r="AB3232">
        <v>8</v>
      </c>
      <c r="AC3232">
        <v>53.6</v>
      </c>
      <c r="AD3232">
        <v>0</v>
      </c>
      <c r="AE3232">
        <v>0</v>
      </c>
      <c r="AF3232">
        <v>50.817700000000002</v>
      </c>
      <c r="AG3232">
        <v>299</v>
      </c>
      <c r="AH3232">
        <v>0</v>
      </c>
    </row>
    <row r="3233" spans="1:34" x14ac:dyDescent="0.35">
      <c r="A3233" t="s">
        <v>34</v>
      </c>
      <c r="B3233" s="1">
        <v>46146.65625</v>
      </c>
      <c r="C3233" t="s">
        <v>34</v>
      </c>
      <c r="D3233" s="1">
        <v>46157.625</v>
      </c>
      <c r="E3233">
        <v>7150</v>
      </c>
      <c r="F3233" t="s">
        <v>36</v>
      </c>
      <c r="G3233">
        <v>46.13</v>
      </c>
      <c r="H3233">
        <v>67.3</v>
      </c>
      <c r="I3233">
        <v>37.51</v>
      </c>
      <c r="J3233">
        <v>54.81</v>
      </c>
      <c r="K3233">
        <v>704</v>
      </c>
      <c r="L3233">
        <v>16</v>
      </c>
      <c r="M3233">
        <v>54.3</v>
      </c>
      <c r="N3233">
        <v>21</v>
      </c>
      <c r="O3233">
        <v>54.7</v>
      </c>
      <c r="P3233">
        <v>0</v>
      </c>
      <c r="Q3233">
        <v>0</v>
      </c>
      <c r="R3233">
        <v>0</v>
      </c>
      <c r="S3233">
        <v>0</v>
      </c>
      <c r="T3233">
        <v>0.159</v>
      </c>
      <c r="U3233">
        <v>-0.38500000000000001</v>
      </c>
      <c r="V3233">
        <v>1.9E-3</v>
      </c>
      <c r="W3233">
        <v>-3.5203000000000002</v>
      </c>
      <c r="X3233">
        <v>4.7885999999999997</v>
      </c>
      <c r="Y3233">
        <v>-0.85029999999999994</v>
      </c>
      <c r="Z3233">
        <v>28</v>
      </c>
      <c r="AA3233">
        <v>54.6</v>
      </c>
      <c r="AB3233">
        <v>12</v>
      </c>
      <c r="AC3233">
        <v>55.1</v>
      </c>
      <c r="AD3233">
        <v>0</v>
      </c>
      <c r="AE3233">
        <v>0</v>
      </c>
      <c r="AF3233">
        <v>52.822000000000003</v>
      </c>
      <c r="AG3233">
        <v>1188</v>
      </c>
      <c r="AH3233">
        <v>0</v>
      </c>
    </row>
    <row r="3234" spans="1:34" x14ac:dyDescent="0.35">
      <c r="A3234" t="s">
        <v>34</v>
      </c>
      <c r="B3234" s="1">
        <v>46146.65625</v>
      </c>
      <c r="C3234" t="s">
        <v>34</v>
      </c>
      <c r="D3234" s="1">
        <v>46157.625</v>
      </c>
      <c r="E3234">
        <v>7155</v>
      </c>
      <c r="F3234" t="s">
        <v>36</v>
      </c>
      <c r="G3234">
        <v>48.67</v>
      </c>
      <c r="H3234">
        <v>69.61</v>
      </c>
      <c r="I3234">
        <v>38.520000000000003</v>
      </c>
      <c r="J3234">
        <v>54.39</v>
      </c>
      <c r="K3234">
        <v>3220</v>
      </c>
      <c r="L3234">
        <v>9</v>
      </c>
      <c r="M3234">
        <v>55.8</v>
      </c>
      <c r="N3234">
        <v>10</v>
      </c>
      <c r="O3234">
        <v>56.2</v>
      </c>
      <c r="P3234">
        <v>0</v>
      </c>
      <c r="Q3234">
        <v>0</v>
      </c>
      <c r="R3234">
        <v>0</v>
      </c>
      <c r="S3234">
        <v>0</v>
      </c>
      <c r="T3234">
        <v>0.15809999999999999</v>
      </c>
      <c r="U3234">
        <v>-0.39410000000000001</v>
      </c>
      <c r="V3234">
        <v>1.9E-3</v>
      </c>
      <c r="W3234">
        <v>-3.5243000000000002</v>
      </c>
      <c r="X3234">
        <v>4.8188000000000004</v>
      </c>
      <c r="Y3234">
        <v>-0.87039999999999995</v>
      </c>
      <c r="Z3234">
        <v>10</v>
      </c>
      <c r="AA3234">
        <v>56.2</v>
      </c>
      <c r="AB3234">
        <v>1</v>
      </c>
      <c r="AC3234">
        <v>56.7</v>
      </c>
      <c r="AD3234">
        <v>0</v>
      </c>
      <c r="AE3234">
        <v>0</v>
      </c>
      <c r="AF3234">
        <v>43.9099</v>
      </c>
      <c r="AG3234">
        <v>328</v>
      </c>
      <c r="AH3234">
        <v>0</v>
      </c>
    </row>
    <row r="3235" spans="1:34" x14ac:dyDescent="0.35">
      <c r="A3235" t="s">
        <v>34</v>
      </c>
      <c r="B3235" s="1">
        <v>46146.65625</v>
      </c>
      <c r="C3235" t="s">
        <v>34</v>
      </c>
      <c r="D3235" s="1">
        <v>46157.625</v>
      </c>
      <c r="E3235">
        <v>7160</v>
      </c>
      <c r="F3235" t="s">
        <v>36</v>
      </c>
      <c r="G3235">
        <v>49.42</v>
      </c>
      <c r="H3235">
        <v>71.349999999999994</v>
      </c>
      <c r="I3235">
        <v>40.39</v>
      </c>
      <c r="J3235">
        <v>57.4</v>
      </c>
      <c r="K3235">
        <v>554</v>
      </c>
      <c r="L3235">
        <v>4</v>
      </c>
      <c r="M3235">
        <v>57.3</v>
      </c>
      <c r="N3235">
        <v>1</v>
      </c>
      <c r="O3235">
        <v>57.7</v>
      </c>
      <c r="P3235">
        <v>0</v>
      </c>
      <c r="Q3235">
        <v>0</v>
      </c>
      <c r="R3235">
        <v>0</v>
      </c>
      <c r="S3235">
        <v>0</v>
      </c>
      <c r="T3235">
        <v>0.157</v>
      </c>
      <c r="U3235">
        <v>-0.4032</v>
      </c>
      <c r="V3235">
        <v>2E-3</v>
      </c>
      <c r="W3235">
        <v>-3.5217999999999998</v>
      </c>
      <c r="X3235">
        <v>4.8468</v>
      </c>
      <c r="Y3235">
        <v>-0.89059999999999995</v>
      </c>
      <c r="Z3235">
        <v>22</v>
      </c>
      <c r="AA3235">
        <v>57.7</v>
      </c>
      <c r="AB3235">
        <v>7</v>
      </c>
      <c r="AC3235">
        <v>58.2</v>
      </c>
      <c r="AD3235">
        <v>0</v>
      </c>
      <c r="AE3235">
        <v>0</v>
      </c>
      <c r="AF3235">
        <v>58.576700000000002</v>
      </c>
      <c r="AG3235">
        <v>431</v>
      </c>
      <c r="AH3235">
        <v>0</v>
      </c>
    </row>
    <row r="3236" spans="1:34" x14ac:dyDescent="0.35">
      <c r="A3236" t="s">
        <v>34</v>
      </c>
      <c r="B3236" s="1">
        <v>46146.65625</v>
      </c>
      <c r="C3236" t="s">
        <v>34</v>
      </c>
      <c r="D3236" s="1">
        <v>46157.625</v>
      </c>
      <c r="E3236">
        <v>7165</v>
      </c>
      <c r="F3236" t="s">
        <v>36</v>
      </c>
      <c r="G3236">
        <v>46.4</v>
      </c>
      <c r="H3236">
        <v>70.48</v>
      </c>
      <c r="I3236">
        <v>41.44</v>
      </c>
      <c r="J3236">
        <v>58.2</v>
      </c>
      <c r="K3236">
        <v>1279</v>
      </c>
      <c r="L3236">
        <v>28</v>
      </c>
      <c r="M3236">
        <v>58.8</v>
      </c>
      <c r="N3236">
        <v>1</v>
      </c>
      <c r="O3236">
        <v>59.3</v>
      </c>
      <c r="P3236">
        <v>0</v>
      </c>
      <c r="Q3236">
        <v>0</v>
      </c>
      <c r="R3236">
        <v>0</v>
      </c>
      <c r="S3236">
        <v>0</v>
      </c>
      <c r="T3236">
        <v>0.156</v>
      </c>
      <c r="U3236">
        <v>-0.41260000000000002</v>
      </c>
      <c r="V3236">
        <v>2E-3</v>
      </c>
      <c r="W3236">
        <v>-3.5204</v>
      </c>
      <c r="X3236">
        <v>4.8728999999999996</v>
      </c>
      <c r="Y3236">
        <v>-0.91149999999999998</v>
      </c>
      <c r="Z3236">
        <v>22</v>
      </c>
      <c r="AA3236">
        <v>59.3</v>
      </c>
      <c r="AB3236">
        <v>7</v>
      </c>
      <c r="AC3236">
        <v>59.8</v>
      </c>
      <c r="AD3236">
        <v>0</v>
      </c>
      <c r="AE3236">
        <v>0</v>
      </c>
      <c r="AF3236">
        <v>57.381</v>
      </c>
      <c r="AG3236">
        <v>2370</v>
      </c>
      <c r="AH3236">
        <v>0</v>
      </c>
    </row>
    <row r="3237" spans="1:34" x14ac:dyDescent="0.35">
      <c r="A3237" t="s">
        <v>34</v>
      </c>
      <c r="B3237" s="1">
        <v>46146.65625</v>
      </c>
      <c r="C3237" t="s">
        <v>34</v>
      </c>
      <c r="D3237" s="1">
        <v>46157.625</v>
      </c>
      <c r="E3237">
        <v>7170</v>
      </c>
      <c r="F3237" t="s">
        <v>36</v>
      </c>
      <c r="G3237">
        <v>52.12</v>
      </c>
      <c r="H3237">
        <v>73.91</v>
      </c>
      <c r="I3237">
        <v>42.47</v>
      </c>
      <c r="J3237">
        <v>61.93</v>
      </c>
      <c r="K3237">
        <v>306</v>
      </c>
      <c r="L3237">
        <v>4</v>
      </c>
      <c r="M3237">
        <v>60.5</v>
      </c>
      <c r="N3237">
        <v>1</v>
      </c>
      <c r="O3237">
        <v>60.9</v>
      </c>
      <c r="P3237">
        <v>0</v>
      </c>
      <c r="Q3237">
        <v>0</v>
      </c>
      <c r="R3237">
        <v>0</v>
      </c>
      <c r="S3237">
        <v>0</v>
      </c>
      <c r="T3237">
        <v>0.15490000000000001</v>
      </c>
      <c r="U3237">
        <v>-0.42220000000000002</v>
      </c>
      <c r="V3237">
        <v>2E-3</v>
      </c>
      <c r="W3237">
        <v>-3.5137999999999998</v>
      </c>
      <c r="X3237">
        <v>4.8971</v>
      </c>
      <c r="Y3237">
        <v>-0.93310000000000004</v>
      </c>
      <c r="Z3237">
        <v>17</v>
      </c>
      <c r="AA3237">
        <v>61</v>
      </c>
      <c r="AB3237">
        <v>7</v>
      </c>
      <c r="AC3237">
        <v>61.5</v>
      </c>
      <c r="AD3237">
        <v>0</v>
      </c>
      <c r="AE3237">
        <v>0</v>
      </c>
      <c r="AF3237">
        <v>55.179000000000002</v>
      </c>
      <c r="AG3237">
        <v>508</v>
      </c>
      <c r="AH3237">
        <v>0</v>
      </c>
    </row>
    <row r="3238" spans="1:34" x14ac:dyDescent="0.35">
      <c r="A3238" t="s">
        <v>34</v>
      </c>
      <c r="B3238" s="1">
        <v>46146.65625</v>
      </c>
      <c r="C3238" t="s">
        <v>34</v>
      </c>
      <c r="D3238" s="1">
        <v>46157.625</v>
      </c>
      <c r="E3238">
        <v>7175</v>
      </c>
      <c r="F3238" t="s">
        <v>36</v>
      </c>
      <c r="G3238">
        <v>53.71</v>
      </c>
      <c r="H3238">
        <v>76.599999999999994</v>
      </c>
      <c r="I3238">
        <v>43.42</v>
      </c>
      <c r="J3238">
        <v>63.32</v>
      </c>
      <c r="K3238">
        <v>203</v>
      </c>
      <c r="L3238">
        <v>13</v>
      </c>
      <c r="M3238">
        <v>62.2</v>
      </c>
      <c r="N3238">
        <v>14</v>
      </c>
      <c r="O3238">
        <v>62.6</v>
      </c>
      <c r="P3238">
        <v>0</v>
      </c>
      <c r="Q3238">
        <v>0</v>
      </c>
      <c r="R3238">
        <v>0</v>
      </c>
      <c r="S3238">
        <v>0</v>
      </c>
      <c r="T3238">
        <v>0.15390000000000001</v>
      </c>
      <c r="U3238">
        <v>-0.43190000000000001</v>
      </c>
      <c r="V3238">
        <v>2E-3</v>
      </c>
      <c r="W3238">
        <v>-3.5081000000000002</v>
      </c>
      <c r="X3238">
        <v>4.9187000000000003</v>
      </c>
      <c r="Y3238">
        <v>-0.95509999999999995</v>
      </c>
      <c r="Z3238">
        <v>27</v>
      </c>
      <c r="AA3238">
        <v>62.7</v>
      </c>
      <c r="AB3238">
        <v>7</v>
      </c>
      <c r="AC3238">
        <v>63.2</v>
      </c>
      <c r="AD3238">
        <v>0</v>
      </c>
      <c r="AE3238">
        <v>0</v>
      </c>
      <c r="AF3238">
        <v>57.520600000000002</v>
      </c>
      <c r="AG3238">
        <v>352</v>
      </c>
      <c r="AH3238">
        <v>0</v>
      </c>
    </row>
    <row r="3239" spans="1:34" x14ac:dyDescent="0.35">
      <c r="A3239" t="s">
        <v>34</v>
      </c>
      <c r="B3239" s="1">
        <v>46146.65625</v>
      </c>
      <c r="C3239" t="s">
        <v>34</v>
      </c>
      <c r="D3239" s="1">
        <v>46157.625</v>
      </c>
      <c r="E3239">
        <v>7180</v>
      </c>
      <c r="F3239" t="s">
        <v>36</v>
      </c>
      <c r="G3239">
        <v>54.2</v>
      </c>
      <c r="H3239">
        <v>78.849999999999994</v>
      </c>
      <c r="I3239">
        <v>44.95</v>
      </c>
      <c r="J3239">
        <v>64.45</v>
      </c>
      <c r="K3239">
        <v>317</v>
      </c>
      <c r="L3239">
        <v>16</v>
      </c>
      <c r="M3239">
        <v>63.9</v>
      </c>
      <c r="N3239">
        <v>1</v>
      </c>
      <c r="O3239">
        <v>64.3</v>
      </c>
      <c r="P3239">
        <v>0</v>
      </c>
      <c r="Q3239">
        <v>0</v>
      </c>
      <c r="R3239">
        <v>0</v>
      </c>
      <c r="S3239">
        <v>0</v>
      </c>
      <c r="T3239">
        <v>0.15279999999999999</v>
      </c>
      <c r="U3239">
        <v>-0.44180000000000003</v>
      </c>
      <c r="V3239">
        <v>2.0999999999999999E-3</v>
      </c>
      <c r="W3239">
        <v>-3.4977999999999998</v>
      </c>
      <c r="X3239">
        <v>4.9375</v>
      </c>
      <c r="Y3239">
        <v>-0.97719999999999996</v>
      </c>
      <c r="Z3239">
        <v>10</v>
      </c>
      <c r="AA3239">
        <v>64.5</v>
      </c>
      <c r="AB3239">
        <v>13</v>
      </c>
      <c r="AC3239">
        <v>65</v>
      </c>
      <c r="AD3239">
        <v>0</v>
      </c>
      <c r="AE3239">
        <v>0</v>
      </c>
      <c r="AF3239">
        <v>57.876800000000003</v>
      </c>
      <c r="AG3239">
        <v>208</v>
      </c>
      <c r="AH3239">
        <v>0</v>
      </c>
    </row>
    <row r="3240" spans="1:34" x14ac:dyDescent="0.35">
      <c r="A3240" t="s">
        <v>34</v>
      </c>
      <c r="B3240" s="1">
        <v>46146.65625</v>
      </c>
      <c r="C3240" t="s">
        <v>34</v>
      </c>
      <c r="D3240" s="1">
        <v>46157.625</v>
      </c>
      <c r="E3240">
        <v>7185</v>
      </c>
      <c r="F3240" t="s">
        <v>36</v>
      </c>
      <c r="G3240">
        <v>54.89</v>
      </c>
      <c r="H3240">
        <v>77.08</v>
      </c>
      <c r="I3240">
        <v>46.28</v>
      </c>
      <c r="J3240">
        <v>66.44</v>
      </c>
      <c r="K3240">
        <v>103</v>
      </c>
      <c r="L3240">
        <v>27</v>
      </c>
      <c r="M3240">
        <v>65.599999999999994</v>
      </c>
      <c r="N3240">
        <v>9</v>
      </c>
      <c r="O3240">
        <v>66.099999999999994</v>
      </c>
      <c r="P3240">
        <v>0</v>
      </c>
      <c r="Q3240">
        <v>0</v>
      </c>
      <c r="R3240">
        <v>0</v>
      </c>
      <c r="S3240">
        <v>0</v>
      </c>
      <c r="T3240">
        <v>0.15179999999999999</v>
      </c>
      <c r="U3240">
        <v>-0.45179999999999998</v>
      </c>
      <c r="V3240">
        <v>2.0999999999999999E-3</v>
      </c>
      <c r="W3240">
        <v>-3.4876999999999998</v>
      </c>
      <c r="X3240">
        <v>4.9535</v>
      </c>
      <c r="Y3240">
        <v>-0.99960000000000004</v>
      </c>
      <c r="Z3240">
        <v>10</v>
      </c>
      <c r="AA3240">
        <v>66.3</v>
      </c>
      <c r="AB3240">
        <v>13</v>
      </c>
      <c r="AC3240">
        <v>66.8</v>
      </c>
      <c r="AD3240">
        <v>0</v>
      </c>
      <c r="AE3240">
        <v>0</v>
      </c>
      <c r="AF3240">
        <v>61.071399999999997</v>
      </c>
      <c r="AG3240">
        <v>63</v>
      </c>
      <c r="AH3240">
        <v>0</v>
      </c>
    </row>
    <row r="3241" spans="1:34" x14ac:dyDescent="0.35">
      <c r="A3241" t="s">
        <v>34</v>
      </c>
      <c r="B3241" s="1">
        <v>46146.65625</v>
      </c>
      <c r="C3241" t="s">
        <v>34</v>
      </c>
      <c r="D3241" s="1">
        <v>46157.625</v>
      </c>
      <c r="E3241">
        <v>7190</v>
      </c>
      <c r="F3241" t="s">
        <v>36</v>
      </c>
      <c r="G3241">
        <v>58.18</v>
      </c>
      <c r="H3241">
        <v>81.81</v>
      </c>
      <c r="I3241">
        <v>47.47</v>
      </c>
      <c r="J3241">
        <v>68.8</v>
      </c>
      <c r="K3241">
        <v>134</v>
      </c>
      <c r="L3241">
        <v>27</v>
      </c>
      <c r="M3241">
        <v>67.400000000000006</v>
      </c>
      <c r="N3241">
        <v>1</v>
      </c>
      <c r="O3241">
        <v>67.900000000000006</v>
      </c>
      <c r="P3241">
        <v>0</v>
      </c>
      <c r="Q3241">
        <v>0</v>
      </c>
      <c r="R3241">
        <v>0</v>
      </c>
      <c r="S3241">
        <v>0</v>
      </c>
      <c r="T3241">
        <v>0.15079999999999999</v>
      </c>
      <c r="U3241">
        <v>-0.46200000000000002</v>
      </c>
      <c r="V3241">
        <v>2.0999999999999999E-3</v>
      </c>
      <c r="W3241">
        <v>-3.4729000000000001</v>
      </c>
      <c r="X3241">
        <v>4.9664999999999999</v>
      </c>
      <c r="Y3241">
        <v>-1.022</v>
      </c>
      <c r="Z3241">
        <v>21</v>
      </c>
      <c r="AA3241">
        <v>68.099999999999994</v>
      </c>
      <c r="AB3241">
        <v>7</v>
      </c>
      <c r="AC3241">
        <v>68.599999999999994</v>
      </c>
      <c r="AD3241">
        <v>0</v>
      </c>
      <c r="AE3241">
        <v>0</v>
      </c>
      <c r="AF3241">
        <v>64.649000000000001</v>
      </c>
      <c r="AG3241">
        <v>173</v>
      </c>
      <c r="AH3241">
        <v>0</v>
      </c>
    </row>
    <row r="3242" spans="1:34" x14ac:dyDescent="0.35">
      <c r="A3242" t="s">
        <v>34</v>
      </c>
      <c r="B3242" s="1">
        <v>46146.65625</v>
      </c>
      <c r="C3242" t="s">
        <v>34</v>
      </c>
      <c r="D3242" s="1">
        <v>46157.625</v>
      </c>
      <c r="E3242">
        <v>7195</v>
      </c>
      <c r="F3242" t="s">
        <v>36</v>
      </c>
      <c r="G3242">
        <v>56.1</v>
      </c>
      <c r="H3242">
        <v>85.32</v>
      </c>
      <c r="I3242">
        <v>49.34</v>
      </c>
      <c r="J3242">
        <v>70.599999999999994</v>
      </c>
      <c r="K3242">
        <v>58</v>
      </c>
      <c r="L3242">
        <v>8</v>
      </c>
      <c r="M3242">
        <v>69.400000000000006</v>
      </c>
      <c r="N3242">
        <v>9</v>
      </c>
      <c r="O3242">
        <v>69.8</v>
      </c>
      <c r="P3242">
        <v>0</v>
      </c>
      <c r="Q3242">
        <v>0</v>
      </c>
      <c r="R3242">
        <v>0</v>
      </c>
      <c r="S3242">
        <v>0</v>
      </c>
      <c r="T3242">
        <v>0.14960000000000001</v>
      </c>
      <c r="U3242">
        <v>-0.47239999999999999</v>
      </c>
      <c r="V3242">
        <v>2.0999999999999999E-3</v>
      </c>
      <c r="W3242">
        <v>-3.4533999999999998</v>
      </c>
      <c r="X3242">
        <v>4.9766000000000004</v>
      </c>
      <c r="Y3242">
        <v>-1.0448999999999999</v>
      </c>
      <c r="Z3242">
        <v>11</v>
      </c>
      <c r="AA3242">
        <v>70</v>
      </c>
      <c r="AB3242">
        <v>7</v>
      </c>
      <c r="AC3242">
        <v>70.5</v>
      </c>
      <c r="AD3242">
        <v>0</v>
      </c>
      <c r="AE3242">
        <v>0</v>
      </c>
      <c r="AF3242">
        <v>68.429000000000002</v>
      </c>
      <c r="AG3242">
        <v>188</v>
      </c>
      <c r="AH3242">
        <v>0</v>
      </c>
    </row>
    <row r="3243" spans="1:34" x14ac:dyDescent="0.35">
      <c r="A3243" t="s">
        <v>34</v>
      </c>
      <c r="B3243" s="1">
        <v>46146.65625</v>
      </c>
      <c r="C3243" t="s">
        <v>34</v>
      </c>
      <c r="D3243" s="1">
        <v>46157.625</v>
      </c>
      <c r="E3243">
        <v>7200</v>
      </c>
      <c r="F3243" t="s">
        <v>36</v>
      </c>
      <c r="G3243">
        <v>60.66</v>
      </c>
      <c r="H3243">
        <v>89</v>
      </c>
      <c r="I3243">
        <v>50.3</v>
      </c>
      <c r="J3243">
        <v>72</v>
      </c>
      <c r="K3243">
        <v>2271</v>
      </c>
      <c r="L3243">
        <v>32</v>
      </c>
      <c r="M3243">
        <v>71.2</v>
      </c>
      <c r="N3243">
        <v>6</v>
      </c>
      <c r="O3243">
        <v>71.7</v>
      </c>
      <c r="P3243">
        <v>0</v>
      </c>
      <c r="Q3243">
        <v>0</v>
      </c>
      <c r="R3243">
        <v>0</v>
      </c>
      <c r="S3243">
        <v>0</v>
      </c>
      <c r="T3243">
        <v>0.14860000000000001</v>
      </c>
      <c r="U3243">
        <v>-0.4829</v>
      </c>
      <c r="V3243">
        <v>2.0999999999999999E-3</v>
      </c>
      <c r="W3243">
        <v>-3.4359999999999999</v>
      </c>
      <c r="X3243">
        <v>4.9836999999999998</v>
      </c>
      <c r="Y3243">
        <v>-1.0685</v>
      </c>
      <c r="Z3243">
        <v>15</v>
      </c>
      <c r="AA3243">
        <v>72</v>
      </c>
      <c r="AB3243">
        <v>12</v>
      </c>
      <c r="AC3243">
        <v>72.5</v>
      </c>
      <c r="AD3243">
        <v>0</v>
      </c>
      <c r="AE3243">
        <v>0</v>
      </c>
      <c r="AF3243">
        <v>60.645299999999999</v>
      </c>
      <c r="AG3243">
        <v>847</v>
      </c>
      <c r="AH3243">
        <v>0</v>
      </c>
    </row>
    <row r="3244" spans="1:34" x14ac:dyDescent="0.35">
      <c r="A3244" t="s">
        <v>34</v>
      </c>
      <c r="B3244" s="1">
        <v>46146.65625</v>
      </c>
      <c r="C3244" t="s">
        <v>34</v>
      </c>
      <c r="D3244" s="1">
        <v>46157.625</v>
      </c>
      <c r="E3244">
        <v>7205</v>
      </c>
      <c r="F3244" t="s">
        <v>36</v>
      </c>
      <c r="G3244">
        <v>60.24</v>
      </c>
      <c r="H3244">
        <v>81</v>
      </c>
      <c r="I3244">
        <v>52.5</v>
      </c>
      <c r="J3244">
        <v>71.790000000000006</v>
      </c>
      <c r="K3244">
        <v>38</v>
      </c>
      <c r="L3244">
        <v>26</v>
      </c>
      <c r="M3244">
        <v>73.2</v>
      </c>
      <c r="N3244">
        <v>1</v>
      </c>
      <c r="O3244">
        <v>73.599999999999994</v>
      </c>
      <c r="P3244">
        <v>0</v>
      </c>
      <c r="Q3244">
        <v>0</v>
      </c>
      <c r="R3244">
        <v>0</v>
      </c>
      <c r="S3244">
        <v>0</v>
      </c>
      <c r="T3244">
        <v>0.14749999999999999</v>
      </c>
      <c r="U3244">
        <v>-0.49359999999999998</v>
      </c>
      <c r="V3244">
        <v>2.2000000000000001E-3</v>
      </c>
      <c r="W3244">
        <v>-3.4135</v>
      </c>
      <c r="X3244">
        <v>4.9874999999999998</v>
      </c>
      <c r="Y3244">
        <v>-1.0926</v>
      </c>
      <c r="Z3244">
        <v>11</v>
      </c>
      <c r="AA3244">
        <v>74</v>
      </c>
      <c r="AB3244">
        <v>7</v>
      </c>
      <c r="AC3244">
        <v>74.5</v>
      </c>
      <c r="AD3244">
        <v>0</v>
      </c>
      <c r="AE3244">
        <v>0</v>
      </c>
      <c r="AF3244">
        <v>69.195800000000006</v>
      </c>
      <c r="AG3244">
        <v>161</v>
      </c>
      <c r="AH3244">
        <v>0</v>
      </c>
    </row>
    <row r="3245" spans="1:34" x14ac:dyDescent="0.35">
      <c r="A3245" t="s">
        <v>34</v>
      </c>
      <c r="B3245" s="1">
        <v>46146.65625</v>
      </c>
      <c r="C3245" t="s">
        <v>34</v>
      </c>
      <c r="D3245" s="1">
        <v>46157.625</v>
      </c>
      <c r="E3245">
        <v>7210</v>
      </c>
      <c r="F3245" t="s">
        <v>36</v>
      </c>
      <c r="G3245">
        <v>61.24</v>
      </c>
      <c r="H3245">
        <v>85</v>
      </c>
      <c r="I3245">
        <v>53.85</v>
      </c>
      <c r="J3245">
        <v>75.75</v>
      </c>
      <c r="K3245">
        <v>193</v>
      </c>
      <c r="L3245">
        <v>22</v>
      </c>
      <c r="M3245">
        <v>75.2</v>
      </c>
      <c r="N3245">
        <v>1</v>
      </c>
      <c r="O3245">
        <v>75.7</v>
      </c>
      <c r="P3245">
        <v>0</v>
      </c>
      <c r="Q3245">
        <v>0</v>
      </c>
      <c r="R3245">
        <v>0</v>
      </c>
      <c r="S3245">
        <v>0</v>
      </c>
      <c r="T3245">
        <v>0.14660000000000001</v>
      </c>
      <c r="U3245">
        <v>-0.50439999999999996</v>
      </c>
      <c r="V3245">
        <v>2.2000000000000001E-3</v>
      </c>
      <c r="W3245">
        <v>-3.3904999999999998</v>
      </c>
      <c r="X3245">
        <v>4.9878999999999998</v>
      </c>
      <c r="Y3245">
        <v>-1.1172</v>
      </c>
      <c r="Z3245">
        <v>11</v>
      </c>
      <c r="AA3245">
        <v>76</v>
      </c>
      <c r="AB3245">
        <v>7</v>
      </c>
      <c r="AC3245">
        <v>76.5</v>
      </c>
      <c r="AD3245">
        <v>0</v>
      </c>
      <c r="AE3245">
        <v>0</v>
      </c>
      <c r="AF3245">
        <v>64.764399999999995</v>
      </c>
      <c r="AG3245">
        <v>309</v>
      </c>
      <c r="AH3245">
        <v>0</v>
      </c>
    </row>
    <row r="3246" spans="1:34" x14ac:dyDescent="0.35">
      <c r="A3246" t="s">
        <v>34</v>
      </c>
      <c r="B3246" s="1">
        <v>46146.65625</v>
      </c>
      <c r="C3246" t="s">
        <v>34</v>
      </c>
      <c r="D3246" s="1">
        <v>46157.625</v>
      </c>
      <c r="E3246">
        <v>7215</v>
      </c>
      <c r="F3246" t="s">
        <v>36</v>
      </c>
      <c r="G3246">
        <v>66.58</v>
      </c>
      <c r="H3246">
        <v>90.28</v>
      </c>
      <c r="I3246">
        <v>55.43</v>
      </c>
      <c r="J3246">
        <v>75.63</v>
      </c>
      <c r="K3246">
        <v>68</v>
      </c>
      <c r="L3246">
        <v>8</v>
      </c>
      <c r="M3246">
        <v>77.400000000000006</v>
      </c>
      <c r="N3246">
        <v>1</v>
      </c>
      <c r="O3246">
        <v>77.7</v>
      </c>
      <c r="P3246">
        <v>0</v>
      </c>
      <c r="Q3246">
        <v>0</v>
      </c>
      <c r="R3246">
        <v>0</v>
      </c>
      <c r="S3246">
        <v>0</v>
      </c>
      <c r="T3246">
        <v>0.14549999999999999</v>
      </c>
      <c r="U3246">
        <v>-0.51539999999999997</v>
      </c>
      <c r="V3246">
        <v>2.2000000000000001E-3</v>
      </c>
      <c r="W3246">
        <v>-3.3622000000000001</v>
      </c>
      <c r="X3246">
        <v>4.9847999999999999</v>
      </c>
      <c r="Y3246">
        <v>-1.1417999999999999</v>
      </c>
      <c r="Z3246">
        <v>11</v>
      </c>
      <c r="AA3246">
        <v>78.099999999999994</v>
      </c>
      <c r="AB3246">
        <v>13</v>
      </c>
      <c r="AC3246">
        <v>78.8</v>
      </c>
      <c r="AD3246">
        <v>0</v>
      </c>
      <c r="AE3246">
        <v>0</v>
      </c>
      <c r="AF3246">
        <v>64.832400000000007</v>
      </c>
      <c r="AG3246">
        <v>453</v>
      </c>
      <c r="AH3246">
        <v>0</v>
      </c>
    </row>
    <row r="3247" spans="1:34" x14ac:dyDescent="0.35">
      <c r="A3247" t="s">
        <v>34</v>
      </c>
      <c r="B3247" s="1">
        <v>46146.65625</v>
      </c>
      <c r="C3247" t="s">
        <v>34</v>
      </c>
      <c r="D3247" s="1">
        <v>46157.625</v>
      </c>
      <c r="E3247">
        <v>7220</v>
      </c>
      <c r="F3247" t="s">
        <v>36</v>
      </c>
      <c r="G3247">
        <v>69.040000000000006</v>
      </c>
      <c r="H3247">
        <v>91.24</v>
      </c>
      <c r="I3247">
        <v>57.12</v>
      </c>
      <c r="J3247">
        <v>78.900000000000006</v>
      </c>
      <c r="K3247">
        <v>129</v>
      </c>
      <c r="L3247">
        <v>11</v>
      </c>
      <c r="M3247">
        <v>79.400000000000006</v>
      </c>
      <c r="N3247">
        <v>1</v>
      </c>
      <c r="O3247">
        <v>79.900000000000006</v>
      </c>
      <c r="P3247">
        <v>0</v>
      </c>
      <c r="Q3247">
        <v>0</v>
      </c>
      <c r="R3247">
        <v>0</v>
      </c>
      <c r="S3247">
        <v>0</v>
      </c>
      <c r="T3247">
        <v>0.14449999999999999</v>
      </c>
      <c r="U3247">
        <v>-0.52649999999999997</v>
      </c>
      <c r="V3247">
        <v>2.2000000000000001E-3</v>
      </c>
      <c r="W3247">
        <v>-3.3355999999999999</v>
      </c>
      <c r="X3247">
        <v>4.9779999999999998</v>
      </c>
      <c r="Y3247">
        <v>-1.1664000000000001</v>
      </c>
      <c r="Z3247">
        <v>11</v>
      </c>
      <c r="AA3247">
        <v>80.3</v>
      </c>
      <c r="AB3247">
        <v>7</v>
      </c>
      <c r="AC3247">
        <v>80.8</v>
      </c>
      <c r="AD3247">
        <v>0</v>
      </c>
      <c r="AE3247">
        <v>0</v>
      </c>
      <c r="AF3247">
        <v>64.112799999999993</v>
      </c>
      <c r="AG3247">
        <v>582</v>
      </c>
      <c r="AH3247">
        <v>0</v>
      </c>
    </row>
    <row r="3248" spans="1:34" x14ac:dyDescent="0.35">
      <c r="A3248" t="s">
        <v>34</v>
      </c>
      <c r="B3248" s="1">
        <v>46146.65625</v>
      </c>
      <c r="C3248" t="s">
        <v>34</v>
      </c>
      <c r="D3248" s="1">
        <v>46157.625</v>
      </c>
      <c r="E3248">
        <v>7225</v>
      </c>
      <c r="F3248" t="s">
        <v>36</v>
      </c>
      <c r="G3248">
        <v>72.14</v>
      </c>
      <c r="H3248">
        <v>105.85</v>
      </c>
      <c r="I3248">
        <v>59</v>
      </c>
      <c r="J3248">
        <v>82.62</v>
      </c>
      <c r="K3248">
        <v>402</v>
      </c>
      <c r="L3248">
        <v>16</v>
      </c>
      <c r="M3248">
        <v>81.599999999999994</v>
      </c>
      <c r="N3248">
        <v>6</v>
      </c>
      <c r="O3248">
        <v>82.1</v>
      </c>
      <c r="P3248">
        <v>0</v>
      </c>
      <c r="Q3248">
        <v>0</v>
      </c>
      <c r="R3248">
        <v>0</v>
      </c>
      <c r="S3248">
        <v>0</v>
      </c>
      <c r="T3248">
        <v>0.14330000000000001</v>
      </c>
      <c r="U3248">
        <v>-0.53769999999999996</v>
      </c>
      <c r="V3248">
        <v>2.2000000000000001E-3</v>
      </c>
      <c r="W3248">
        <v>-3.2989999999999999</v>
      </c>
      <c r="X3248">
        <v>4.9675000000000002</v>
      </c>
      <c r="Y3248">
        <v>-1.1913</v>
      </c>
      <c r="Z3248">
        <v>15</v>
      </c>
      <c r="AA3248">
        <v>82.5</v>
      </c>
      <c r="AB3248">
        <v>7</v>
      </c>
      <c r="AC3248">
        <v>83</v>
      </c>
      <c r="AD3248">
        <v>0</v>
      </c>
      <c r="AE3248">
        <v>0</v>
      </c>
      <c r="AF3248">
        <v>73.519800000000004</v>
      </c>
      <c r="AG3248">
        <v>5440</v>
      </c>
      <c r="AH3248">
        <v>0</v>
      </c>
    </row>
    <row r="3249" spans="1:34" x14ac:dyDescent="0.35">
      <c r="A3249" t="s">
        <v>34</v>
      </c>
      <c r="B3249" s="1">
        <v>46146.65625</v>
      </c>
      <c r="C3249" t="s">
        <v>34</v>
      </c>
      <c r="D3249" s="1">
        <v>46157.625</v>
      </c>
      <c r="E3249">
        <v>7230</v>
      </c>
      <c r="F3249" t="s">
        <v>36</v>
      </c>
      <c r="G3249">
        <v>72.569999999999993</v>
      </c>
      <c r="H3249">
        <v>94.2</v>
      </c>
      <c r="I3249">
        <v>61.1</v>
      </c>
      <c r="J3249">
        <v>85.8</v>
      </c>
      <c r="K3249">
        <v>172</v>
      </c>
      <c r="L3249">
        <v>11</v>
      </c>
      <c r="M3249">
        <v>83.8</v>
      </c>
      <c r="N3249">
        <v>1</v>
      </c>
      <c r="O3249">
        <v>84.3</v>
      </c>
      <c r="P3249">
        <v>0</v>
      </c>
      <c r="Q3249">
        <v>0</v>
      </c>
      <c r="R3249">
        <v>0</v>
      </c>
      <c r="S3249">
        <v>0</v>
      </c>
      <c r="T3249">
        <v>0.1424</v>
      </c>
      <c r="U3249">
        <v>-0.54910000000000003</v>
      </c>
      <c r="V3249">
        <v>2.2000000000000001E-3</v>
      </c>
      <c r="W3249">
        <v>-3.2662</v>
      </c>
      <c r="X3249">
        <v>4.9531000000000001</v>
      </c>
      <c r="Y3249">
        <v>-1.2165999999999999</v>
      </c>
      <c r="Z3249">
        <v>9</v>
      </c>
      <c r="AA3249">
        <v>84.8</v>
      </c>
      <c r="AB3249">
        <v>6</v>
      </c>
      <c r="AC3249">
        <v>85.3</v>
      </c>
      <c r="AD3249">
        <v>0</v>
      </c>
      <c r="AE3249">
        <v>0</v>
      </c>
      <c r="AF3249">
        <v>69.688100000000006</v>
      </c>
      <c r="AG3249">
        <v>551</v>
      </c>
      <c r="AH3249">
        <v>0</v>
      </c>
    </row>
    <row r="3250" spans="1:34" x14ac:dyDescent="0.35">
      <c r="A3250" t="s">
        <v>34</v>
      </c>
      <c r="B3250" s="1">
        <v>46146.65625</v>
      </c>
      <c r="C3250" t="s">
        <v>34</v>
      </c>
      <c r="D3250" s="1">
        <v>46157.625</v>
      </c>
      <c r="E3250">
        <v>7235</v>
      </c>
      <c r="F3250" t="s">
        <v>36</v>
      </c>
      <c r="G3250">
        <v>76.599999999999994</v>
      </c>
      <c r="H3250">
        <v>90.2</v>
      </c>
      <c r="I3250">
        <v>63.1</v>
      </c>
      <c r="J3250">
        <v>90.2</v>
      </c>
      <c r="K3250">
        <v>58</v>
      </c>
      <c r="L3250">
        <v>7</v>
      </c>
      <c r="M3250">
        <v>86.2</v>
      </c>
      <c r="N3250">
        <v>1</v>
      </c>
      <c r="O3250">
        <v>86.6</v>
      </c>
      <c r="P3250">
        <v>0</v>
      </c>
      <c r="Q3250">
        <v>0</v>
      </c>
      <c r="R3250">
        <v>0</v>
      </c>
      <c r="S3250">
        <v>0</v>
      </c>
      <c r="T3250">
        <v>0.14130000000000001</v>
      </c>
      <c r="U3250">
        <v>-0.56059999999999999</v>
      </c>
      <c r="V3250">
        <v>2.2000000000000001E-3</v>
      </c>
      <c r="W3250">
        <v>-3.2279</v>
      </c>
      <c r="X3250">
        <v>4.9344000000000001</v>
      </c>
      <c r="Y3250">
        <v>-1.2424999999999999</v>
      </c>
      <c r="Z3250">
        <v>9</v>
      </c>
      <c r="AA3250">
        <v>87.2</v>
      </c>
      <c r="AB3250">
        <v>12</v>
      </c>
      <c r="AC3250">
        <v>87.8</v>
      </c>
      <c r="AD3250">
        <v>0</v>
      </c>
      <c r="AE3250">
        <v>0</v>
      </c>
      <c r="AF3250">
        <v>69.987099999999998</v>
      </c>
      <c r="AG3250">
        <v>181</v>
      </c>
      <c r="AH3250">
        <v>0</v>
      </c>
    </row>
    <row r="3251" spans="1:34" x14ac:dyDescent="0.35">
      <c r="A3251" t="s">
        <v>34</v>
      </c>
      <c r="B3251" s="1">
        <v>46146.65625</v>
      </c>
      <c r="C3251" t="s">
        <v>34</v>
      </c>
      <c r="D3251" s="1">
        <v>46157.625</v>
      </c>
      <c r="E3251">
        <v>7240</v>
      </c>
      <c r="F3251" t="s">
        <v>36</v>
      </c>
      <c r="G3251">
        <v>71.400000000000006</v>
      </c>
      <c r="H3251">
        <v>105.43</v>
      </c>
      <c r="I3251">
        <v>64.430000000000007</v>
      </c>
      <c r="J3251">
        <v>88.92</v>
      </c>
      <c r="K3251">
        <v>204</v>
      </c>
      <c r="L3251">
        <v>7</v>
      </c>
      <c r="M3251">
        <v>88.6</v>
      </c>
      <c r="N3251">
        <v>1</v>
      </c>
      <c r="O3251">
        <v>89</v>
      </c>
      <c r="P3251">
        <v>0</v>
      </c>
      <c r="Q3251">
        <v>0</v>
      </c>
      <c r="R3251">
        <v>0</v>
      </c>
      <c r="S3251">
        <v>0</v>
      </c>
      <c r="T3251">
        <v>0.14030000000000001</v>
      </c>
      <c r="U3251">
        <v>-0.57220000000000004</v>
      </c>
      <c r="V3251">
        <v>2.2000000000000001E-3</v>
      </c>
      <c r="W3251">
        <v>-3.1861000000000002</v>
      </c>
      <c r="X3251">
        <v>4.9112</v>
      </c>
      <c r="Y3251">
        <v>-1.2688999999999999</v>
      </c>
      <c r="Z3251">
        <v>9</v>
      </c>
      <c r="AA3251">
        <v>89.6</v>
      </c>
      <c r="AB3251">
        <v>7</v>
      </c>
      <c r="AC3251">
        <v>90.2</v>
      </c>
      <c r="AD3251">
        <v>0</v>
      </c>
      <c r="AE3251">
        <v>0</v>
      </c>
      <c r="AF3251">
        <v>83.866399999999999</v>
      </c>
      <c r="AG3251">
        <v>89</v>
      </c>
      <c r="AH3251">
        <v>0</v>
      </c>
    </row>
    <row r="3252" spans="1:34" x14ac:dyDescent="0.35">
      <c r="A3252" t="s">
        <v>34</v>
      </c>
      <c r="B3252" s="1">
        <v>46146.65625</v>
      </c>
      <c r="C3252" t="s">
        <v>34</v>
      </c>
      <c r="D3252" s="1">
        <v>46157.625</v>
      </c>
      <c r="E3252">
        <v>7245</v>
      </c>
      <c r="F3252" t="s">
        <v>36</v>
      </c>
      <c r="G3252">
        <v>79.650000000000006</v>
      </c>
      <c r="H3252">
        <v>105.03</v>
      </c>
      <c r="I3252">
        <v>67.02</v>
      </c>
      <c r="J3252">
        <v>90.9</v>
      </c>
      <c r="K3252">
        <v>201</v>
      </c>
      <c r="L3252">
        <v>7</v>
      </c>
      <c r="M3252">
        <v>91</v>
      </c>
      <c r="N3252">
        <v>1</v>
      </c>
      <c r="O3252">
        <v>91.4</v>
      </c>
      <c r="P3252">
        <v>0</v>
      </c>
      <c r="Q3252">
        <v>0</v>
      </c>
      <c r="R3252">
        <v>0</v>
      </c>
      <c r="S3252">
        <v>0</v>
      </c>
      <c r="T3252">
        <v>0.13930000000000001</v>
      </c>
      <c r="U3252">
        <v>-0.58389999999999997</v>
      </c>
      <c r="V3252">
        <v>2.2000000000000001E-3</v>
      </c>
      <c r="W3252">
        <v>-3.1433</v>
      </c>
      <c r="X3252">
        <v>4.8838999999999997</v>
      </c>
      <c r="Y3252">
        <v>-1.2952999999999999</v>
      </c>
      <c r="Z3252">
        <v>8</v>
      </c>
      <c r="AA3252">
        <v>92</v>
      </c>
      <c r="AB3252">
        <v>6</v>
      </c>
      <c r="AC3252">
        <v>92.5</v>
      </c>
      <c r="AD3252">
        <v>0</v>
      </c>
      <c r="AE3252">
        <v>0</v>
      </c>
      <c r="AF3252">
        <v>70.254499999999993</v>
      </c>
      <c r="AG3252">
        <v>83</v>
      </c>
      <c r="AH3252">
        <v>0</v>
      </c>
    </row>
    <row r="3253" spans="1:34" x14ac:dyDescent="0.35">
      <c r="A3253" t="s">
        <v>34</v>
      </c>
      <c r="B3253" s="1">
        <v>46146.65625</v>
      </c>
      <c r="C3253" t="s">
        <v>34</v>
      </c>
      <c r="D3253" s="1">
        <v>46157.625</v>
      </c>
      <c r="E3253">
        <v>7250</v>
      </c>
      <c r="F3253" t="s">
        <v>36</v>
      </c>
      <c r="G3253">
        <v>80.099999999999994</v>
      </c>
      <c r="H3253">
        <v>110.7</v>
      </c>
      <c r="I3253">
        <v>68.69</v>
      </c>
      <c r="J3253">
        <v>95.42</v>
      </c>
      <c r="K3253">
        <v>201</v>
      </c>
      <c r="L3253">
        <v>7</v>
      </c>
      <c r="M3253">
        <v>93.6</v>
      </c>
      <c r="N3253">
        <v>1</v>
      </c>
      <c r="O3253">
        <v>93.9</v>
      </c>
      <c r="P3253">
        <v>0</v>
      </c>
      <c r="Q3253">
        <v>0</v>
      </c>
      <c r="R3253">
        <v>0</v>
      </c>
      <c r="S3253">
        <v>0</v>
      </c>
      <c r="T3253">
        <v>0.13819999999999999</v>
      </c>
      <c r="U3253">
        <v>-0.59560000000000002</v>
      </c>
      <c r="V3253">
        <v>2.2000000000000001E-3</v>
      </c>
      <c r="W3253">
        <v>-3.0972</v>
      </c>
      <c r="X3253">
        <v>4.8525999999999998</v>
      </c>
      <c r="Y3253">
        <v>-1.3214999999999999</v>
      </c>
      <c r="Z3253">
        <v>7</v>
      </c>
      <c r="AA3253">
        <v>94.5</v>
      </c>
      <c r="AB3253">
        <v>6</v>
      </c>
      <c r="AC3253">
        <v>95.2</v>
      </c>
      <c r="AD3253">
        <v>0</v>
      </c>
      <c r="AE3253">
        <v>0</v>
      </c>
      <c r="AF3253">
        <v>91.414199999999994</v>
      </c>
      <c r="AG3253">
        <v>355</v>
      </c>
      <c r="AH3253">
        <v>0</v>
      </c>
    </row>
    <row r="3254" spans="1:34" x14ac:dyDescent="0.35">
      <c r="A3254" t="s">
        <v>34</v>
      </c>
      <c r="B3254" s="1">
        <v>46146.65625</v>
      </c>
      <c r="C3254" t="s">
        <v>34</v>
      </c>
      <c r="D3254" s="1">
        <v>46157.625</v>
      </c>
      <c r="E3254">
        <v>7255</v>
      </c>
      <c r="F3254" t="s">
        <v>36</v>
      </c>
      <c r="G3254">
        <v>99.03</v>
      </c>
      <c r="H3254">
        <v>99.06</v>
      </c>
      <c r="I3254">
        <v>96.02</v>
      </c>
      <c r="J3254">
        <v>96.02</v>
      </c>
      <c r="K3254">
        <v>5</v>
      </c>
      <c r="L3254">
        <v>6</v>
      </c>
      <c r="M3254">
        <v>96</v>
      </c>
      <c r="N3254">
        <v>6</v>
      </c>
      <c r="O3254">
        <v>96.6</v>
      </c>
      <c r="P3254">
        <v>0</v>
      </c>
      <c r="Q3254">
        <v>0</v>
      </c>
      <c r="R3254">
        <v>0</v>
      </c>
      <c r="S3254">
        <v>0</v>
      </c>
      <c r="T3254">
        <v>0.13730000000000001</v>
      </c>
      <c r="U3254">
        <v>-0.60740000000000005</v>
      </c>
      <c r="V3254">
        <v>2.2000000000000001E-3</v>
      </c>
      <c r="W3254">
        <v>-3.0501</v>
      </c>
      <c r="X3254">
        <v>4.8174000000000001</v>
      </c>
      <c r="Y3254">
        <v>-1.3475999999999999</v>
      </c>
      <c r="Z3254">
        <v>7</v>
      </c>
      <c r="AA3254">
        <v>97.1</v>
      </c>
      <c r="AB3254">
        <v>6</v>
      </c>
      <c r="AC3254">
        <v>97.6</v>
      </c>
      <c r="AD3254">
        <v>0</v>
      </c>
      <c r="AE3254">
        <v>0</v>
      </c>
      <c r="AF3254">
        <v>97.451999999999998</v>
      </c>
      <c r="AG3254">
        <v>79</v>
      </c>
      <c r="AH3254">
        <v>0</v>
      </c>
    </row>
    <row r="3255" spans="1:34" x14ac:dyDescent="0.35">
      <c r="A3255" t="s">
        <v>34</v>
      </c>
      <c r="B3255" s="1">
        <v>46146.65625</v>
      </c>
      <c r="C3255" t="s">
        <v>34</v>
      </c>
      <c r="D3255" s="1">
        <v>46157.625</v>
      </c>
      <c r="E3255">
        <v>7260</v>
      </c>
      <c r="F3255" t="s">
        <v>36</v>
      </c>
      <c r="G3255">
        <v>86.44</v>
      </c>
      <c r="H3255">
        <v>106.63</v>
      </c>
      <c r="I3255">
        <v>73.05</v>
      </c>
      <c r="J3255">
        <v>98.07</v>
      </c>
      <c r="K3255">
        <v>63</v>
      </c>
      <c r="L3255">
        <v>6</v>
      </c>
      <c r="M3255">
        <v>98.6</v>
      </c>
      <c r="N3255">
        <v>6</v>
      </c>
      <c r="O3255">
        <v>99.2</v>
      </c>
      <c r="P3255">
        <v>0</v>
      </c>
      <c r="Q3255">
        <v>0</v>
      </c>
      <c r="R3255">
        <v>0</v>
      </c>
      <c r="S3255">
        <v>0</v>
      </c>
      <c r="T3255">
        <v>0.13619999999999999</v>
      </c>
      <c r="U3255">
        <v>-0.61939999999999995</v>
      </c>
      <c r="V3255">
        <v>2.2000000000000001E-3</v>
      </c>
      <c r="W3255">
        <v>-2.9969999999999999</v>
      </c>
      <c r="X3255">
        <v>4.7773000000000003</v>
      </c>
      <c r="Y3255">
        <v>-1.3743000000000001</v>
      </c>
      <c r="Z3255">
        <v>7</v>
      </c>
      <c r="AA3255">
        <v>99.8</v>
      </c>
      <c r="AB3255">
        <v>6</v>
      </c>
      <c r="AC3255">
        <v>100.4</v>
      </c>
      <c r="AD3255">
        <v>0</v>
      </c>
      <c r="AE3255">
        <v>0</v>
      </c>
      <c r="AF3255">
        <v>91.941100000000006</v>
      </c>
      <c r="AG3255">
        <v>158</v>
      </c>
      <c r="AH3255">
        <v>0</v>
      </c>
    </row>
    <row r="3256" spans="1:34" x14ac:dyDescent="0.35">
      <c r="A3256" t="s">
        <v>34</v>
      </c>
      <c r="B3256" s="1">
        <v>46146.65625</v>
      </c>
      <c r="C3256" t="s">
        <v>34</v>
      </c>
      <c r="D3256" s="1">
        <v>46157.625</v>
      </c>
      <c r="E3256">
        <v>7265</v>
      </c>
      <c r="F3256" t="s">
        <v>36</v>
      </c>
      <c r="G3256">
        <v>81.8</v>
      </c>
      <c r="H3256">
        <v>81.8</v>
      </c>
      <c r="I3256">
        <v>81.8</v>
      </c>
      <c r="J3256">
        <v>81.8</v>
      </c>
      <c r="K3256">
        <v>7</v>
      </c>
      <c r="L3256">
        <v>6</v>
      </c>
      <c r="M3256">
        <v>101.4</v>
      </c>
      <c r="N3256">
        <v>6</v>
      </c>
      <c r="O3256">
        <v>102</v>
      </c>
      <c r="P3256">
        <v>0</v>
      </c>
      <c r="Q3256">
        <v>0</v>
      </c>
      <c r="R3256">
        <v>0</v>
      </c>
      <c r="S3256">
        <v>0</v>
      </c>
      <c r="T3256">
        <v>0.1353</v>
      </c>
      <c r="U3256">
        <v>-0.63119999999999998</v>
      </c>
      <c r="V3256">
        <v>2.2000000000000001E-3</v>
      </c>
      <c r="W3256">
        <v>-2.9456000000000002</v>
      </c>
      <c r="X3256">
        <v>4.7325999999999997</v>
      </c>
      <c r="Y3256">
        <v>-1.4011</v>
      </c>
      <c r="Z3256">
        <v>6</v>
      </c>
      <c r="AA3256">
        <v>102.5</v>
      </c>
      <c r="AB3256">
        <v>5</v>
      </c>
      <c r="AC3256">
        <v>103</v>
      </c>
      <c r="AD3256">
        <v>0</v>
      </c>
      <c r="AE3256">
        <v>0</v>
      </c>
      <c r="AF3256">
        <v>81.8</v>
      </c>
      <c r="AG3256">
        <v>183</v>
      </c>
      <c r="AH3256">
        <v>0</v>
      </c>
    </row>
    <row r="3257" spans="1:34" x14ac:dyDescent="0.35">
      <c r="A3257" t="s">
        <v>34</v>
      </c>
      <c r="B3257" s="1">
        <v>46146.65625</v>
      </c>
      <c r="C3257" t="s">
        <v>34</v>
      </c>
      <c r="D3257" s="1">
        <v>46157.625</v>
      </c>
      <c r="E3257">
        <v>7270</v>
      </c>
      <c r="F3257" t="s">
        <v>36</v>
      </c>
      <c r="G3257">
        <v>91.36</v>
      </c>
      <c r="H3257">
        <v>118.2</v>
      </c>
      <c r="I3257">
        <v>84</v>
      </c>
      <c r="J3257">
        <v>112.49</v>
      </c>
      <c r="K3257">
        <v>12</v>
      </c>
      <c r="L3257">
        <v>5</v>
      </c>
      <c r="M3257">
        <v>104.2</v>
      </c>
      <c r="N3257">
        <v>5</v>
      </c>
      <c r="O3257">
        <v>104.8</v>
      </c>
      <c r="P3257">
        <v>0</v>
      </c>
      <c r="Q3257">
        <v>0</v>
      </c>
      <c r="R3257">
        <v>0</v>
      </c>
      <c r="S3257">
        <v>0</v>
      </c>
      <c r="T3257">
        <v>0.1343</v>
      </c>
      <c r="U3257">
        <v>-0.64319999999999999</v>
      </c>
      <c r="V3257">
        <v>2.2000000000000001E-3</v>
      </c>
      <c r="W3257">
        <v>-2.8881000000000001</v>
      </c>
      <c r="X3257">
        <v>4.6822999999999997</v>
      </c>
      <c r="Y3257">
        <v>-1.4285000000000001</v>
      </c>
      <c r="Z3257">
        <v>6</v>
      </c>
      <c r="AA3257">
        <v>105.2</v>
      </c>
      <c r="AB3257">
        <v>5</v>
      </c>
      <c r="AC3257">
        <v>105.8</v>
      </c>
      <c r="AD3257">
        <v>0</v>
      </c>
      <c r="AE3257">
        <v>0</v>
      </c>
      <c r="AF3257">
        <v>92.323300000000003</v>
      </c>
      <c r="AG3257">
        <v>588</v>
      </c>
      <c r="AH3257">
        <v>0</v>
      </c>
    </row>
    <row r="3258" spans="1:34" x14ac:dyDescent="0.35">
      <c r="A3258" t="s">
        <v>34</v>
      </c>
      <c r="B3258" s="1">
        <v>46146.65625</v>
      </c>
      <c r="C3258" t="s">
        <v>34</v>
      </c>
      <c r="D3258" s="1">
        <v>46157.625</v>
      </c>
      <c r="E3258">
        <v>7275</v>
      </c>
      <c r="F3258" t="s">
        <v>36</v>
      </c>
      <c r="G3258">
        <v>89</v>
      </c>
      <c r="H3258">
        <v>114.3</v>
      </c>
      <c r="I3258">
        <v>79.95</v>
      </c>
      <c r="J3258">
        <v>110.64</v>
      </c>
      <c r="K3258">
        <v>159</v>
      </c>
      <c r="L3258">
        <v>5</v>
      </c>
      <c r="M3258">
        <v>107</v>
      </c>
      <c r="N3258">
        <v>5</v>
      </c>
      <c r="O3258">
        <v>107.6</v>
      </c>
      <c r="P3258">
        <v>0</v>
      </c>
      <c r="Q3258">
        <v>0</v>
      </c>
      <c r="R3258">
        <v>0</v>
      </c>
      <c r="S3258">
        <v>0</v>
      </c>
      <c r="T3258">
        <v>0.13339999999999999</v>
      </c>
      <c r="U3258">
        <v>-0.6552</v>
      </c>
      <c r="V3258">
        <v>2.2000000000000001E-3</v>
      </c>
      <c r="W3258">
        <v>-2.8296000000000001</v>
      </c>
      <c r="X3258">
        <v>4.6279000000000003</v>
      </c>
      <c r="Y3258">
        <v>-1.4556</v>
      </c>
      <c r="Z3258">
        <v>5</v>
      </c>
      <c r="AA3258">
        <v>108.1</v>
      </c>
      <c r="AB3258">
        <v>4</v>
      </c>
      <c r="AC3258">
        <v>108.8</v>
      </c>
      <c r="AD3258">
        <v>0</v>
      </c>
      <c r="AE3258">
        <v>0</v>
      </c>
      <c r="AF3258">
        <v>91.862499999999997</v>
      </c>
      <c r="AG3258">
        <v>2450</v>
      </c>
      <c r="AH3258">
        <v>0</v>
      </c>
    </row>
    <row r="3259" spans="1:34" x14ac:dyDescent="0.35">
      <c r="A3259" t="s">
        <v>34</v>
      </c>
      <c r="B3259" s="1">
        <v>46146.65625</v>
      </c>
      <c r="C3259" t="s">
        <v>34</v>
      </c>
      <c r="D3259" s="1">
        <v>46157.625</v>
      </c>
      <c r="E3259">
        <v>7280</v>
      </c>
      <c r="F3259" t="s">
        <v>36</v>
      </c>
      <c r="G3259">
        <v>86.45</v>
      </c>
      <c r="H3259">
        <v>112.27</v>
      </c>
      <c r="I3259">
        <v>83.58</v>
      </c>
      <c r="J3259">
        <v>110.06</v>
      </c>
      <c r="K3259">
        <v>63</v>
      </c>
      <c r="L3259">
        <v>5</v>
      </c>
      <c r="M3259">
        <v>109.8</v>
      </c>
      <c r="N3259">
        <v>5</v>
      </c>
      <c r="O3259">
        <v>110.4</v>
      </c>
      <c r="P3259">
        <v>0</v>
      </c>
      <c r="Q3259">
        <v>0</v>
      </c>
      <c r="R3259">
        <v>0</v>
      </c>
      <c r="S3259">
        <v>0</v>
      </c>
      <c r="T3259">
        <v>0.1321</v>
      </c>
      <c r="U3259">
        <v>-0.66759999999999997</v>
      </c>
      <c r="V3259">
        <v>2.2000000000000001E-3</v>
      </c>
      <c r="W3259">
        <v>-2.7593000000000001</v>
      </c>
      <c r="X3259">
        <v>4.5673000000000004</v>
      </c>
      <c r="Y3259">
        <v>-1.4832000000000001</v>
      </c>
      <c r="Z3259">
        <v>5</v>
      </c>
      <c r="AA3259">
        <v>111</v>
      </c>
      <c r="AB3259">
        <v>3</v>
      </c>
      <c r="AC3259">
        <v>111.6</v>
      </c>
      <c r="AD3259">
        <v>0</v>
      </c>
      <c r="AE3259">
        <v>0</v>
      </c>
      <c r="AF3259">
        <v>87.037000000000006</v>
      </c>
      <c r="AG3259">
        <v>197</v>
      </c>
      <c r="AH3259">
        <v>0</v>
      </c>
    </row>
    <row r="3260" spans="1:34" x14ac:dyDescent="0.35">
      <c r="A3260" t="s">
        <v>34</v>
      </c>
      <c r="B3260" s="1">
        <v>46146.65625</v>
      </c>
      <c r="C3260" t="s">
        <v>34</v>
      </c>
      <c r="D3260" s="1">
        <v>46157.625</v>
      </c>
      <c r="E3260">
        <v>7285</v>
      </c>
      <c r="F3260" t="s">
        <v>36</v>
      </c>
      <c r="G3260">
        <v>93.2</v>
      </c>
      <c r="H3260">
        <v>93.2</v>
      </c>
      <c r="I3260">
        <v>85.8</v>
      </c>
      <c r="J3260">
        <v>85.8</v>
      </c>
      <c r="K3260">
        <v>11</v>
      </c>
      <c r="L3260">
        <v>4</v>
      </c>
      <c r="M3260">
        <v>112.8</v>
      </c>
      <c r="N3260">
        <v>4</v>
      </c>
      <c r="O3260">
        <v>113.4</v>
      </c>
      <c r="P3260">
        <v>0</v>
      </c>
      <c r="Q3260">
        <v>0</v>
      </c>
      <c r="R3260">
        <v>0</v>
      </c>
      <c r="S3260">
        <v>0</v>
      </c>
      <c r="T3260">
        <v>0.13120000000000001</v>
      </c>
      <c r="U3260">
        <v>-0.67959999999999998</v>
      </c>
      <c r="V3260">
        <v>2.2000000000000001E-3</v>
      </c>
      <c r="W3260">
        <v>-2.6966000000000001</v>
      </c>
      <c r="X3260">
        <v>4.5049999999999999</v>
      </c>
      <c r="Y3260">
        <v>-1.5098</v>
      </c>
      <c r="Z3260">
        <v>4</v>
      </c>
      <c r="AA3260">
        <v>114</v>
      </c>
      <c r="AB3260">
        <v>3</v>
      </c>
      <c r="AC3260">
        <v>114.5</v>
      </c>
      <c r="AD3260">
        <v>0</v>
      </c>
      <c r="AE3260">
        <v>0</v>
      </c>
      <c r="AF3260">
        <v>92.527299999999997</v>
      </c>
      <c r="AG3260">
        <v>13</v>
      </c>
      <c r="AH3260">
        <v>0</v>
      </c>
    </row>
    <row r="3261" spans="1:34" x14ac:dyDescent="0.35">
      <c r="A3261" t="s">
        <v>34</v>
      </c>
      <c r="B3261" s="1">
        <v>46146.65625</v>
      </c>
      <c r="C3261" t="s">
        <v>34</v>
      </c>
      <c r="D3261" s="1">
        <v>46157.625</v>
      </c>
      <c r="E3261">
        <v>7290</v>
      </c>
      <c r="F3261" t="s">
        <v>36</v>
      </c>
      <c r="G3261">
        <v>116.97</v>
      </c>
      <c r="H3261">
        <v>116.97</v>
      </c>
      <c r="I3261">
        <v>116.13</v>
      </c>
      <c r="J3261">
        <v>116.13</v>
      </c>
      <c r="K3261">
        <v>3</v>
      </c>
      <c r="L3261">
        <v>3</v>
      </c>
      <c r="M3261">
        <v>115.8</v>
      </c>
      <c r="N3261">
        <v>3</v>
      </c>
      <c r="O3261">
        <v>116.4</v>
      </c>
      <c r="P3261">
        <v>0</v>
      </c>
      <c r="Q3261">
        <v>0</v>
      </c>
      <c r="R3261">
        <v>0</v>
      </c>
      <c r="S3261">
        <v>0</v>
      </c>
      <c r="T3261">
        <v>0.13009999999999999</v>
      </c>
      <c r="U3261">
        <v>-0.69169999999999998</v>
      </c>
      <c r="V3261">
        <v>2.2000000000000001E-3</v>
      </c>
      <c r="W3261">
        <v>-2.6278999999999999</v>
      </c>
      <c r="X3261">
        <v>4.4364999999999997</v>
      </c>
      <c r="Y3261">
        <v>-1.5370999999999999</v>
      </c>
      <c r="Z3261">
        <v>3</v>
      </c>
      <c r="AA3261">
        <v>117</v>
      </c>
      <c r="AB3261">
        <v>2</v>
      </c>
      <c r="AC3261">
        <v>117.6</v>
      </c>
      <c r="AD3261">
        <v>0</v>
      </c>
      <c r="AE3261">
        <v>0</v>
      </c>
      <c r="AF3261">
        <v>116.41</v>
      </c>
      <c r="AG3261">
        <v>27</v>
      </c>
      <c r="AH3261">
        <v>0</v>
      </c>
    </row>
    <row r="3262" spans="1:34" x14ac:dyDescent="0.35">
      <c r="A3262" t="s">
        <v>34</v>
      </c>
      <c r="B3262" s="1">
        <v>46146.65625</v>
      </c>
      <c r="C3262" t="s">
        <v>34</v>
      </c>
      <c r="D3262" s="1">
        <v>46157.625</v>
      </c>
      <c r="E3262">
        <v>7295</v>
      </c>
      <c r="F3262" t="s">
        <v>36</v>
      </c>
      <c r="G3262">
        <v>127</v>
      </c>
      <c r="H3262">
        <v>127</v>
      </c>
      <c r="I3262">
        <v>127</v>
      </c>
      <c r="J3262">
        <v>127</v>
      </c>
      <c r="K3262">
        <v>1</v>
      </c>
      <c r="L3262">
        <v>8</v>
      </c>
      <c r="M3262">
        <v>116.8</v>
      </c>
      <c r="N3262">
        <v>8</v>
      </c>
      <c r="O3262">
        <v>121.2</v>
      </c>
      <c r="P3262">
        <v>0</v>
      </c>
      <c r="Q3262">
        <v>0</v>
      </c>
      <c r="R3262">
        <v>0</v>
      </c>
      <c r="S3262">
        <v>0</v>
      </c>
      <c r="T3262">
        <v>0.12909999999999999</v>
      </c>
      <c r="U3262">
        <v>-0.70369999999999999</v>
      </c>
      <c r="V3262">
        <v>2.0999999999999999E-3</v>
      </c>
      <c r="W3262">
        <v>-2.5585</v>
      </c>
      <c r="X3262">
        <v>4.3628</v>
      </c>
      <c r="Y3262">
        <v>-1.5645</v>
      </c>
      <c r="Z3262">
        <v>8</v>
      </c>
      <c r="AA3262">
        <v>118.2</v>
      </c>
      <c r="AB3262">
        <v>8</v>
      </c>
      <c r="AC3262">
        <v>122.7</v>
      </c>
      <c r="AD3262">
        <v>0</v>
      </c>
      <c r="AE3262">
        <v>0</v>
      </c>
      <c r="AF3262">
        <v>127</v>
      </c>
      <c r="AG3262">
        <v>45</v>
      </c>
      <c r="AH3262">
        <v>0</v>
      </c>
    </row>
    <row r="3263" spans="1:34" x14ac:dyDescent="0.35">
      <c r="A3263" t="s">
        <v>34</v>
      </c>
      <c r="B3263" s="1">
        <v>46146.65625</v>
      </c>
      <c r="C3263" t="s">
        <v>34</v>
      </c>
      <c r="D3263" s="1">
        <v>46157.625</v>
      </c>
      <c r="E3263">
        <v>7300</v>
      </c>
      <c r="F3263" t="s">
        <v>36</v>
      </c>
      <c r="G3263">
        <v>101.8</v>
      </c>
      <c r="H3263">
        <v>137.05000000000001</v>
      </c>
      <c r="I3263">
        <v>94.17</v>
      </c>
      <c r="J3263">
        <v>122.9</v>
      </c>
      <c r="K3263">
        <v>32</v>
      </c>
      <c r="L3263">
        <v>15</v>
      </c>
      <c r="M3263">
        <v>119.9</v>
      </c>
      <c r="N3263">
        <v>8</v>
      </c>
      <c r="O3263">
        <v>124.1</v>
      </c>
      <c r="P3263">
        <v>0</v>
      </c>
      <c r="Q3263">
        <v>0</v>
      </c>
      <c r="R3263">
        <v>0</v>
      </c>
      <c r="S3263">
        <v>0</v>
      </c>
      <c r="T3263">
        <v>0.12770000000000001</v>
      </c>
      <c r="U3263">
        <v>-0.71619999999999995</v>
      </c>
      <c r="V3263">
        <v>2.0999999999999999E-3</v>
      </c>
      <c r="W3263">
        <v>-2.4763000000000002</v>
      </c>
      <c r="X3263">
        <v>4.2798999999999996</v>
      </c>
      <c r="Y3263">
        <v>-1.593</v>
      </c>
      <c r="Z3263">
        <v>14</v>
      </c>
      <c r="AA3263">
        <v>121.4</v>
      </c>
      <c r="AB3263">
        <v>8</v>
      </c>
      <c r="AC3263">
        <v>125.4</v>
      </c>
      <c r="AD3263">
        <v>0</v>
      </c>
      <c r="AE3263">
        <v>0</v>
      </c>
      <c r="AF3263">
        <v>122.6297</v>
      </c>
      <c r="AG3263">
        <v>81</v>
      </c>
      <c r="AH3263">
        <v>0</v>
      </c>
    </row>
    <row r="3264" spans="1:34" x14ac:dyDescent="0.35">
      <c r="A3264" t="s">
        <v>34</v>
      </c>
      <c r="B3264" s="1">
        <v>46146.65625</v>
      </c>
      <c r="C3264" t="s">
        <v>34</v>
      </c>
      <c r="D3264" s="1">
        <v>46157.625</v>
      </c>
      <c r="E3264">
        <v>7305</v>
      </c>
      <c r="F3264" t="s">
        <v>36</v>
      </c>
      <c r="G3264">
        <v>108.79</v>
      </c>
      <c r="H3264">
        <v>108.79</v>
      </c>
      <c r="I3264">
        <v>108.79</v>
      </c>
      <c r="J3264">
        <v>108.79</v>
      </c>
      <c r="K3264">
        <v>1</v>
      </c>
      <c r="L3264">
        <v>7</v>
      </c>
      <c r="M3264">
        <v>122.9</v>
      </c>
      <c r="N3264">
        <v>7</v>
      </c>
      <c r="O3264">
        <v>127.5</v>
      </c>
      <c r="P3264">
        <v>0</v>
      </c>
      <c r="Q3264">
        <v>0</v>
      </c>
      <c r="R3264">
        <v>0</v>
      </c>
      <c r="S3264">
        <v>0</v>
      </c>
      <c r="T3264">
        <v>0.12670000000000001</v>
      </c>
      <c r="U3264">
        <v>-0.72829999999999995</v>
      </c>
      <c r="V3264">
        <v>2.0999999999999999E-3</v>
      </c>
      <c r="W3264">
        <v>-2.4</v>
      </c>
      <c r="X3264">
        <v>4.1959999999999997</v>
      </c>
      <c r="Y3264">
        <v>-1.62</v>
      </c>
      <c r="Z3264">
        <v>7</v>
      </c>
      <c r="AA3264">
        <v>124.6</v>
      </c>
      <c r="AB3264">
        <v>7</v>
      </c>
      <c r="AC3264">
        <v>129.19999999999999</v>
      </c>
      <c r="AD3264">
        <v>0</v>
      </c>
      <c r="AE3264">
        <v>0</v>
      </c>
      <c r="AF3264">
        <v>108.79</v>
      </c>
      <c r="AG3264">
        <v>10</v>
      </c>
      <c r="AH3264">
        <v>0</v>
      </c>
    </row>
    <row r="3265" spans="1:34" x14ac:dyDescent="0.35">
      <c r="A3265" t="s">
        <v>34</v>
      </c>
      <c r="B3265" s="1">
        <v>46146.65625</v>
      </c>
      <c r="C3265" t="s">
        <v>34</v>
      </c>
      <c r="D3265" s="1">
        <v>46157.625</v>
      </c>
      <c r="E3265">
        <v>7310</v>
      </c>
      <c r="F3265" t="s">
        <v>36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13</v>
      </c>
      <c r="M3265">
        <v>126.3</v>
      </c>
      <c r="N3265">
        <v>13</v>
      </c>
      <c r="O3265">
        <v>130.9</v>
      </c>
      <c r="P3265">
        <v>0</v>
      </c>
      <c r="Q3265">
        <v>0</v>
      </c>
      <c r="R3265">
        <v>0</v>
      </c>
      <c r="S3265">
        <v>0</v>
      </c>
      <c r="T3265">
        <v>0.12590000000000001</v>
      </c>
      <c r="U3265">
        <v>-0.73970000000000002</v>
      </c>
      <c r="V3265">
        <v>2.0999999999999999E-3</v>
      </c>
      <c r="W3265">
        <v>-2.3304</v>
      </c>
      <c r="X3265">
        <v>4.1124999999999998</v>
      </c>
      <c r="Y3265">
        <v>-1.6456</v>
      </c>
      <c r="Z3265">
        <v>13</v>
      </c>
      <c r="AA3265">
        <v>127.9</v>
      </c>
      <c r="AB3265">
        <v>7</v>
      </c>
      <c r="AC3265">
        <v>132.1</v>
      </c>
      <c r="AD3265">
        <v>0</v>
      </c>
      <c r="AE3265">
        <v>0</v>
      </c>
      <c r="AF3265">
        <v>0</v>
      </c>
      <c r="AG3265">
        <v>14</v>
      </c>
      <c r="AH3265">
        <v>0</v>
      </c>
    </row>
    <row r="3266" spans="1:34" x14ac:dyDescent="0.35">
      <c r="A3266" t="s">
        <v>34</v>
      </c>
      <c r="B3266" s="1">
        <v>46146.65625</v>
      </c>
      <c r="C3266" t="s">
        <v>34</v>
      </c>
      <c r="D3266" s="1">
        <v>46157.625</v>
      </c>
      <c r="E3266">
        <v>7315</v>
      </c>
      <c r="F3266" t="s">
        <v>36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7</v>
      </c>
      <c r="M3266">
        <v>129.80000000000001</v>
      </c>
      <c r="N3266">
        <v>7</v>
      </c>
      <c r="O3266">
        <v>134.4</v>
      </c>
      <c r="P3266">
        <v>0</v>
      </c>
      <c r="Q3266">
        <v>0</v>
      </c>
      <c r="R3266">
        <v>0</v>
      </c>
      <c r="S3266">
        <v>0</v>
      </c>
      <c r="T3266">
        <v>0.12529999999999999</v>
      </c>
      <c r="U3266">
        <v>-0.75090000000000001</v>
      </c>
      <c r="V3266">
        <v>2E-3</v>
      </c>
      <c r="W3266">
        <v>-2.2616999999999998</v>
      </c>
      <c r="X3266">
        <v>4.0265000000000004</v>
      </c>
      <c r="Y3266">
        <v>-1.6708000000000001</v>
      </c>
      <c r="Z3266">
        <v>7</v>
      </c>
      <c r="AA3266">
        <v>131.19999999999999</v>
      </c>
      <c r="AB3266">
        <v>7</v>
      </c>
      <c r="AC3266">
        <v>136</v>
      </c>
      <c r="AD3266">
        <v>0</v>
      </c>
      <c r="AE3266">
        <v>0</v>
      </c>
      <c r="AF3266">
        <v>0</v>
      </c>
      <c r="AG3266">
        <v>1</v>
      </c>
      <c r="AH3266">
        <v>0</v>
      </c>
    </row>
    <row r="3267" spans="1:34" x14ac:dyDescent="0.35">
      <c r="A3267" t="s">
        <v>34</v>
      </c>
      <c r="B3267" s="1">
        <v>46146.65625</v>
      </c>
      <c r="C3267" t="s">
        <v>34</v>
      </c>
      <c r="D3267" s="1">
        <v>46157.625</v>
      </c>
      <c r="E3267">
        <v>7320</v>
      </c>
      <c r="F3267" t="s">
        <v>36</v>
      </c>
      <c r="G3267">
        <v>121.63</v>
      </c>
      <c r="H3267">
        <v>121.63</v>
      </c>
      <c r="I3267">
        <v>121.63</v>
      </c>
      <c r="J3267">
        <v>121.63</v>
      </c>
      <c r="K3267">
        <v>3</v>
      </c>
      <c r="L3267">
        <v>7</v>
      </c>
      <c r="M3267">
        <v>133.1</v>
      </c>
      <c r="N3267">
        <v>7</v>
      </c>
      <c r="O3267">
        <v>137.6</v>
      </c>
      <c r="P3267">
        <v>0</v>
      </c>
      <c r="Q3267">
        <v>0</v>
      </c>
      <c r="R3267">
        <v>0</v>
      </c>
      <c r="S3267">
        <v>0</v>
      </c>
      <c r="T3267">
        <v>0.12379999999999999</v>
      </c>
      <c r="U3267">
        <v>-0.76329999999999998</v>
      </c>
      <c r="V3267">
        <v>2E-3</v>
      </c>
      <c r="W3267">
        <v>-2.1694</v>
      </c>
      <c r="X3267">
        <v>3.9235000000000002</v>
      </c>
      <c r="Y3267">
        <v>-1.6993</v>
      </c>
      <c r="Z3267">
        <v>7</v>
      </c>
      <c r="AA3267">
        <v>134.69999999999999</v>
      </c>
      <c r="AB3267">
        <v>7</v>
      </c>
      <c r="AC3267">
        <v>139.4</v>
      </c>
      <c r="AD3267">
        <v>0</v>
      </c>
      <c r="AE3267">
        <v>0</v>
      </c>
      <c r="AF3267">
        <v>121.63</v>
      </c>
      <c r="AG3267">
        <v>9</v>
      </c>
      <c r="AH3267">
        <v>0</v>
      </c>
    </row>
    <row r="3268" spans="1:34" x14ac:dyDescent="0.35">
      <c r="A3268" t="s">
        <v>34</v>
      </c>
      <c r="B3268" s="1">
        <v>46146.65625</v>
      </c>
      <c r="C3268" t="s">
        <v>34</v>
      </c>
      <c r="D3268" s="1">
        <v>46157.625</v>
      </c>
      <c r="E3268">
        <v>7325</v>
      </c>
      <c r="F3268" t="s">
        <v>36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7</v>
      </c>
      <c r="M3268">
        <v>136.6</v>
      </c>
      <c r="N3268">
        <v>7</v>
      </c>
      <c r="O3268">
        <v>141.5</v>
      </c>
      <c r="P3268">
        <v>0</v>
      </c>
      <c r="Q3268">
        <v>0</v>
      </c>
      <c r="R3268">
        <v>0</v>
      </c>
      <c r="S3268">
        <v>0</v>
      </c>
      <c r="T3268">
        <v>0.1234</v>
      </c>
      <c r="U3268">
        <v>-0.77370000000000005</v>
      </c>
      <c r="V3268">
        <v>1.9E-3</v>
      </c>
      <c r="W3268">
        <v>-2.1051000000000002</v>
      </c>
      <c r="X3268">
        <v>3.8325</v>
      </c>
      <c r="Y3268">
        <v>-1.7231000000000001</v>
      </c>
      <c r="Z3268">
        <v>7</v>
      </c>
      <c r="AA3268">
        <v>138.19999999999999</v>
      </c>
      <c r="AB3268">
        <v>7</v>
      </c>
      <c r="AC3268">
        <v>143.1</v>
      </c>
      <c r="AD3268">
        <v>0</v>
      </c>
      <c r="AE3268">
        <v>0</v>
      </c>
      <c r="AF3268">
        <v>0</v>
      </c>
      <c r="AG3268">
        <v>27</v>
      </c>
      <c r="AH3268">
        <v>0</v>
      </c>
    </row>
    <row r="3269" spans="1:34" x14ac:dyDescent="0.35">
      <c r="A3269" t="s">
        <v>34</v>
      </c>
      <c r="B3269" s="1">
        <v>46146.65625</v>
      </c>
      <c r="C3269" t="s">
        <v>34</v>
      </c>
      <c r="D3269" s="1">
        <v>46157.625</v>
      </c>
      <c r="E3269">
        <v>7330</v>
      </c>
      <c r="F3269" t="s">
        <v>36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7</v>
      </c>
      <c r="M3269">
        <v>140.1</v>
      </c>
      <c r="N3269">
        <v>7</v>
      </c>
      <c r="O3269">
        <v>144.9</v>
      </c>
      <c r="P3269">
        <v>0</v>
      </c>
      <c r="Q3269">
        <v>0</v>
      </c>
      <c r="R3269">
        <v>0</v>
      </c>
      <c r="S3269">
        <v>0</v>
      </c>
      <c r="T3269">
        <v>0.122</v>
      </c>
      <c r="U3269">
        <v>-0.78580000000000005</v>
      </c>
      <c r="V3269">
        <v>1.9E-3</v>
      </c>
      <c r="W3269">
        <v>-2.012</v>
      </c>
      <c r="X3269">
        <v>3.7216999999999998</v>
      </c>
      <c r="Y3269">
        <v>-1.7502</v>
      </c>
      <c r="Z3269">
        <v>7</v>
      </c>
      <c r="AA3269">
        <v>141.5</v>
      </c>
      <c r="AB3269">
        <v>7</v>
      </c>
      <c r="AC3269">
        <v>146.6</v>
      </c>
      <c r="AD3269">
        <v>0</v>
      </c>
      <c r="AE3269">
        <v>0</v>
      </c>
      <c r="AF3269">
        <v>0</v>
      </c>
      <c r="AG3269">
        <v>22</v>
      </c>
      <c r="AH3269">
        <v>0</v>
      </c>
    </row>
    <row r="3270" spans="1:34" x14ac:dyDescent="0.35">
      <c r="A3270" t="s">
        <v>34</v>
      </c>
      <c r="B3270" s="1">
        <v>46146.65625</v>
      </c>
      <c r="C3270" t="s">
        <v>34</v>
      </c>
      <c r="D3270" s="1">
        <v>46157.625</v>
      </c>
      <c r="E3270">
        <v>7335</v>
      </c>
      <c r="F3270" t="s">
        <v>36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7</v>
      </c>
      <c r="M3270">
        <v>143.6</v>
      </c>
      <c r="N3270">
        <v>1</v>
      </c>
      <c r="O3270">
        <v>148.4</v>
      </c>
      <c r="P3270">
        <v>0</v>
      </c>
      <c r="Q3270">
        <v>0</v>
      </c>
      <c r="R3270">
        <v>0</v>
      </c>
      <c r="S3270">
        <v>0</v>
      </c>
      <c r="T3270">
        <v>0.1212</v>
      </c>
      <c r="U3270">
        <v>-0.79620000000000002</v>
      </c>
      <c r="V3270">
        <v>1.9E-3</v>
      </c>
      <c r="W3270">
        <v>-1.9361999999999999</v>
      </c>
      <c r="X3270">
        <v>3.6227999999999998</v>
      </c>
      <c r="Y3270">
        <v>-1.7737000000000001</v>
      </c>
      <c r="Z3270">
        <v>7</v>
      </c>
      <c r="AA3270">
        <v>145.30000000000001</v>
      </c>
      <c r="AB3270">
        <v>7</v>
      </c>
      <c r="AC3270">
        <v>150.30000000000001</v>
      </c>
      <c r="AD3270">
        <v>0</v>
      </c>
      <c r="AE3270">
        <v>0</v>
      </c>
      <c r="AF3270">
        <v>0</v>
      </c>
      <c r="AG3270">
        <v>5</v>
      </c>
      <c r="AH3270">
        <v>0</v>
      </c>
    </row>
    <row r="3271" spans="1:34" x14ac:dyDescent="0.35">
      <c r="A3271" t="s">
        <v>34</v>
      </c>
      <c r="B3271" s="1">
        <v>46146.65625</v>
      </c>
      <c r="C3271" t="s">
        <v>34</v>
      </c>
      <c r="D3271" s="1">
        <v>46157.625</v>
      </c>
      <c r="E3271">
        <v>7340</v>
      </c>
      <c r="F3271" t="s">
        <v>36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7</v>
      </c>
      <c r="M3271">
        <v>147.4</v>
      </c>
      <c r="N3271">
        <v>7</v>
      </c>
      <c r="O3271">
        <v>152.30000000000001</v>
      </c>
      <c r="P3271">
        <v>0</v>
      </c>
      <c r="Q3271">
        <v>0</v>
      </c>
      <c r="R3271">
        <v>0</v>
      </c>
      <c r="S3271">
        <v>0</v>
      </c>
      <c r="T3271">
        <v>0.1201</v>
      </c>
      <c r="U3271">
        <v>-0.80789999999999995</v>
      </c>
      <c r="V3271">
        <v>1.8E-3</v>
      </c>
      <c r="W3271">
        <v>-1.8462000000000001</v>
      </c>
      <c r="X3271">
        <v>3.5062000000000002</v>
      </c>
      <c r="Y3271">
        <v>-1.8002</v>
      </c>
      <c r="Z3271">
        <v>7</v>
      </c>
      <c r="AA3271">
        <v>149.1</v>
      </c>
      <c r="AB3271">
        <v>7</v>
      </c>
      <c r="AC3271">
        <v>154</v>
      </c>
      <c r="AD3271">
        <v>0</v>
      </c>
      <c r="AE3271">
        <v>0</v>
      </c>
      <c r="AF3271">
        <v>0</v>
      </c>
      <c r="AG3271">
        <v>17</v>
      </c>
      <c r="AH3271">
        <v>0</v>
      </c>
    </row>
    <row r="3272" spans="1:34" x14ac:dyDescent="0.35">
      <c r="A3272" t="s">
        <v>34</v>
      </c>
      <c r="B3272" s="1">
        <v>46146.65625</v>
      </c>
      <c r="C3272" t="s">
        <v>34</v>
      </c>
      <c r="D3272" s="1">
        <v>46157.625</v>
      </c>
      <c r="E3272">
        <v>7345</v>
      </c>
      <c r="F3272" t="s">
        <v>36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7</v>
      </c>
      <c r="M3272">
        <v>151</v>
      </c>
      <c r="N3272">
        <v>7</v>
      </c>
      <c r="O3272">
        <v>156.19999999999999</v>
      </c>
      <c r="P3272">
        <v>0</v>
      </c>
      <c r="Q3272">
        <v>0</v>
      </c>
      <c r="R3272">
        <v>0</v>
      </c>
      <c r="S3272">
        <v>0</v>
      </c>
      <c r="T3272">
        <v>0.1191</v>
      </c>
      <c r="U3272">
        <v>-0.81869999999999998</v>
      </c>
      <c r="V3272">
        <v>1.8E-3</v>
      </c>
      <c r="W3272">
        <v>-1.7604</v>
      </c>
      <c r="X3272">
        <v>3.3906000000000001</v>
      </c>
      <c r="Y3272">
        <v>-1.8252999999999999</v>
      </c>
      <c r="Z3272">
        <v>7</v>
      </c>
      <c r="AA3272">
        <v>152.69999999999999</v>
      </c>
      <c r="AB3272">
        <v>7</v>
      </c>
      <c r="AC3272">
        <v>157.9</v>
      </c>
      <c r="AD3272">
        <v>0</v>
      </c>
      <c r="AE3272">
        <v>0</v>
      </c>
      <c r="AF3272">
        <v>0</v>
      </c>
      <c r="AG3272">
        <v>6</v>
      </c>
      <c r="AH3272">
        <v>0</v>
      </c>
    </row>
    <row r="3273" spans="1:34" x14ac:dyDescent="0.35">
      <c r="A3273" t="s">
        <v>34</v>
      </c>
      <c r="B3273" s="1">
        <v>46146.65625</v>
      </c>
      <c r="C3273" t="s">
        <v>34</v>
      </c>
      <c r="D3273" s="1">
        <v>46157.625</v>
      </c>
      <c r="E3273">
        <v>7350</v>
      </c>
      <c r="F3273" t="s">
        <v>36</v>
      </c>
      <c r="G3273">
        <v>125.47</v>
      </c>
      <c r="H3273">
        <v>178.93</v>
      </c>
      <c r="I3273">
        <v>125.47</v>
      </c>
      <c r="J3273">
        <v>160.19999999999999</v>
      </c>
      <c r="K3273">
        <v>33</v>
      </c>
      <c r="L3273">
        <v>7</v>
      </c>
      <c r="M3273">
        <v>155.1</v>
      </c>
      <c r="N3273">
        <v>7</v>
      </c>
      <c r="O3273">
        <v>159.80000000000001</v>
      </c>
      <c r="P3273">
        <v>0</v>
      </c>
      <c r="Q3273">
        <v>0</v>
      </c>
      <c r="R3273">
        <v>0</v>
      </c>
      <c r="S3273">
        <v>0</v>
      </c>
      <c r="T3273">
        <v>0.1181</v>
      </c>
      <c r="U3273">
        <v>-0.82920000000000005</v>
      </c>
      <c r="V3273">
        <v>1.6999999999999999E-3</v>
      </c>
      <c r="W3273">
        <v>-1.6772</v>
      </c>
      <c r="X3273">
        <v>3.2738</v>
      </c>
      <c r="Y3273">
        <v>-1.8491</v>
      </c>
      <c r="Z3273">
        <v>7</v>
      </c>
      <c r="AA3273">
        <v>156.6</v>
      </c>
      <c r="AB3273">
        <v>7</v>
      </c>
      <c r="AC3273">
        <v>161.69999999999999</v>
      </c>
      <c r="AD3273">
        <v>0</v>
      </c>
      <c r="AE3273">
        <v>0</v>
      </c>
      <c r="AF3273">
        <v>176.04179999999999</v>
      </c>
      <c r="AG3273">
        <v>31</v>
      </c>
      <c r="AH3273">
        <v>0</v>
      </c>
    </row>
    <row r="3274" spans="1:34" x14ac:dyDescent="0.35">
      <c r="A3274" t="s">
        <v>34</v>
      </c>
      <c r="B3274" s="1">
        <v>46146.65625</v>
      </c>
      <c r="C3274" t="s">
        <v>34</v>
      </c>
      <c r="D3274" s="1">
        <v>46157.625</v>
      </c>
      <c r="E3274">
        <v>7355</v>
      </c>
      <c r="F3274" t="s">
        <v>36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7</v>
      </c>
      <c r="M3274">
        <v>158.9</v>
      </c>
      <c r="N3274">
        <v>7</v>
      </c>
      <c r="O3274">
        <v>164</v>
      </c>
      <c r="P3274">
        <v>0</v>
      </c>
      <c r="Q3274">
        <v>0</v>
      </c>
      <c r="R3274">
        <v>0</v>
      </c>
      <c r="S3274">
        <v>0</v>
      </c>
      <c r="T3274">
        <v>0.11749999999999999</v>
      </c>
      <c r="U3274">
        <v>-0.8387</v>
      </c>
      <c r="V3274">
        <v>1.6999999999999999E-3</v>
      </c>
      <c r="W3274">
        <v>-1.6023000000000001</v>
      </c>
      <c r="X3274">
        <v>3.1627999999999998</v>
      </c>
      <c r="Y3274">
        <v>-1.8708</v>
      </c>
      <c r="Z3274">
        <v>6</v>
      </c>
      <c r="AA3274">
        <v>160.4</v>
      </c>
      <c r="AB3274">
        <v>6</v>
      </c>
      <c r="AC3274">
        <v>165.7</v>
      </c>
      <c r="AD3274">
        <v>0</v>
      </c>
      <c r="AE3274">
        <v>0</v>
      </c>
      <c r="AF3274">
        <v>0</v>
      </c>
      <c r="AG3274">
        <v>9</v>
      </c>
      <c r="AH3274">
        <v>0</v>
      </c>
    </row>
    <row r="3275" spans="1:34" x14ac:dyDescent="0.35">
      <c r="A3275" t="s">
        <v>34</v>
      </c>
      <c r="B3275" s="1">
        <v>46146.65625</v>
      </c>
      <c r="C3275" t="s">
        <v>34</v>
      </c>
      <c r="D3275" s="1">
        <v>46157.625</v>
      </c>
      <c r="E3275">
        <v>7360</v>
      </c>
      <c r="F3275" t="s">
        <v>36</v>
      </c>
      <c r="G3275">
        <v>165.46</v>
      </c>
      <c r="H3275">
        <v>165.46</v>
      </c>
      <c r="I3275">
        <v>165.46</v>
      </c>
      <c r="J3275">
        <v>165.46</v>
      </c>
      <c r="K3275">
        <v>2</v>
      </c>
      <c r="L3275">
        <v>6</v>
      </c>
      <c r="M3275">
        <v>162.9</v>
      </c>
      <c r="N3275">
        <v>6</v>
      </c>
      <c r="O3275">
        <v>168.1</v>
      </c>
      <c r="P3275">
        <v>0</v>
      </c>
      <c r="Q3275">
        <v>0</v>
      </c>
      <c r="R3275">
        <v>0</v>
      </c>
      <c r="S3275">
        <v>0</v>
      </c>
      <c r="T3275">
        <v>0.1169</v>
      </c>
      <c r="U3275">
        <v>-0.8478</v>
      </c>
      <c r="V3275">
        <v>1.6000000000000001E-3</v>
      </c>
      <c r="W3275">
        <v>-1.53</v>
      </c>
      <c r="X3275">
        <v>3.0537999999999998</v>
      </c>
      <c r="Y3275">
        <v>-1.8915999999999999</v>
      </c>
      <c r="Z3275">
        <v>6</v>
      </c>
      <c r="AA3275">
        <v>164.4</v>
      </c>
      <c r="AB3275">
        <v>6</v>
      </c>
      <c r="AC3275">
        <v>169.6</v>
      </c>
      <c r="AD3275">
        <v>0</v>
      </c>
      <c r="AE3275">
        <v>0</v>
      </c>
      <c r="AF3275">
        <v>165.46</v>
      </c>
      <c r="AG3275">
        <v>8</v>
      </c>
      <c r="AH3275">
        <v>0</v>
      </c>
    </row>
    <row r="3276" spans="1:34" x14ac:dyDescent="0.35">
      <c r="A3276" t="s">
        <v>34</v>
      </c>
      <c r="B3276" s="1">
        <v>46146.65625</v>
      </c>
      <c r="C3276" t="s">
        <v>34</v>
      </c>
      <c r="D3276" s="1">
        <v>46157.625</v>
      </c>
      <c r="E3276">
        <v>7365</v>
      </c>
      <c r="F3276" t="s">
        <v>36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6</v>
      </c>
      <c r="M3276">
        <v>166.5</v>
      </c>
      <c r="N3276">
        <v>6</v>
      </c>
      <c r="O3276">
        <v>171.8</v>
      </c>
      <c r="P3276">
        <v>0</v>
      </c>
      <c r="Q3276">
        <v>0</v>
      </c>
      <c r="R3276">
        <v>0</v>
      </c>
      <c r="S3276">
        <v>0</v>
      </c>
      <c r="T3276">
        <v>0.1153</v>
      </c>
      <c r="U3276">
        <v>-0.85860000000000003</v>
      </c>
      <c r="V3276">
        <v>1.6000000000000001E-3</v>
      </c>
      <c r="W3276">
        <v>-1.4302999999999999</v>
      </c>
      <c r="X3276">
        <v>2.9190999999999998</v>
      </c>
      <c r="Y3276">
        <v>-1.9165000000000001</v>
      </c>
      <c r="Z3276">
        <v>6</v>
      </c>
      <c r="AA3276">
        <v>168.4</v>
      </c>
      <c r="AB3276">
        <v>6</v>
      </c>
      <c r="AC3276">
        <v>173.8</v>
      </c>
      <c r="AD3276">
        <v>0</v>
      </c>
      <c r="AE3276">
        <v>0</v>
      </c>
      <c r="AF3276">
        <v>0</v>
      </c>
      <c r="AG3276">
        <v>0</v>
      </c>
      <c r="AH3276">
        <v>0</v>
      </c>
    </row>
    <row r="3277" spans="1:34" x14ac:dyDescent="0.35">
      <c r="A3277" t="s">
        <v>34</v>
      </c>
      <c r="B3277" s="1">
        <v>46146.65625</v>
      </c>
      <c r="C3277" t="s">
        <v>34</v>
      </c>
      <c r="D3277" s="1">
        <v>46157.625</v>
      </c>
      <c r="E3277">
        <v>7370</v>
      </c>
      <c r="F3277" t="s">
        <v>36</v>
      </c>
      <c r="G3277">
        <v>194.01</v>
      </c>
      <c r="H3277">
        <v>194.01</v>
      </c>
      <c r="I3277">
        <v>181.72</v>
      </c>
      <c r="J3277">
        <v>186.7</v>
      </c>
      <c r="K3277">
        <v>32</v>
      </c>
      <c r="L3277">
        <v>6</v>
      </c>
      <c r="M3277">
        <v>170.8</v>
      </c>
      <c r="N3277">
        <v>6</v>
      </c>
      <c r="O3277">
        <v>176.1</v>
      </c>
      <c r="P3277">
        <v>0</v>
      </c>
      <c r="Q3277">
        <v>0</v>
      </c>
      <c r="R3277">
        <v>0</v>
      </c>
      <c r="S3277">
        <v>0</v>
      </c>
      <c r="T3277">
        <v>0.1152</v>
      </c>
      <c r="U3277">
        <v>-0.86629999999999996</v>
      </c>
      <c r="V3277">
        <v>1.5E-3</v>
      </c>
      <c r="W3277">
        <v>-1.3706</v>
      </c>
      <c r="X3277">
        <v>2.8167</v>
      </c>
      <c r="Y3277">
        <v>-1.9346000000000001</v>
      </c>
      <c r="Z3277">
        <v>6</v>
      </c>
      <c r="AA3277">
        <v>172.5</v>
      </c>
      <c r="AB3277">
        <v>6</v>
      </c>
      <c r="AC3277">
        <v>177.8</v>
      </c>
      <c r="AD3277">
        <v>0</v>
      </c>
      <c r="AE3277">
        <v>0</v>
      </c>
      <c r="AF3277">
        <v>193.39750000000001</v>
      </c>
      <c r="AG3277">
        <v>16</v>
      </c>
      <c r="AH3277">
        <v>0</v>
      </c>
    </row>
    <row r="3278" spans="1:34" x14ac:dyDescent="0.35">
      <c r="A3278" t="s">
        <v>34</v>
      </c>
      <c r="B3278" s="1">
        <v>46146.65625</v>
      </c>
      <c r="C3278" t="s">
        <v>34</v>
      </c>
      <c r="D3278" s="1">
        <v>46157.625</v>
      </c>
      <c r="E3278">
        <v>7375</v>
      </c>
      <c r="F3278" t="s">
        <v>36</v>
      </c>
      <c r="G3278">
        <v>180.15</v>
      </c>
      <c r="H3278">
        <v>180.15</v>
      </c>
      <c r="I3278">
        <v>180.15</v>
      </c>
      <c r="J3278">
        <v>180.15</v>
      </c>
      <c r="K3278">
        <v>1</v>
      </c>
      <c r="L3278">
        <v>6</v>
      </c>
      <c r="M3278">
        <v>174.7</v>
      </c>
      <c r="N3278">
        <v>6</v>
      </c>
      <c r="O3278">
        <v>180</v>
      </c>
      <c r="P3278">
        <v>0</v>
      </c>
      <c r="Q3278">
        <v>0</v>
      </c>
      <c r="R3278">
        <v>0</v>
      </c>
      <c r="S3278">
        <v>0</v>
      </c>
      <c r="T3278">
        <v>0.11260000000000001</v>
      </c>
      <c r="U3278">
        <v>-0.87919999999999998</v>
      </c>
      <c r="V3278">
        <v>1.4E-3</v>
      </c>
      <c r="W3278">
        <v>-1.2406999999999999</v>
      </c>
      <c r="X3278">
        <v>2.6398999999999999</v>
      </c>
      <c r="Y3278">
        <v>-1.9634</v>
      </c>
      <c r="Z3278">
        <v>6</v>
      </c>
      <c r="AA3278">
        <v>176.7</v>
      </c>
      <c r="AB3278">
        <v>6</v>
      </c>
      <c r="AC3278">
        <v>182</v>
      </c>
      <c r="AD3278">
        <v>0</v>
      </c>
      <c r="AE3278">
        <v>0</v>
      </c>
      <c r="AF3278">
        <v>180.15</v>
      </c>
      <c r="AG3278">
        <v>24</v>
      </c>
      <c r="AH3278">
        <v>0</v>
      </c>
    </row>
    <row r="3279" spans="1:34" x14ac:dyDescent="0.35">
      <c r="A3279" t="s">
        <v>34</v>
      </c>
      <c r="B3279" s="1">
        <v>46146.65625</v>
      </c>
      <c r="C3279" t="s">
        <v>34</v>
      </c>
      <c r="D3279" s="1">
        <v>46157.625</v>
      </c>
      <c r="E3279">
        <v>7380</v>
      </c>
      <c r="F3279" t="s">
        <v>36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6</v>
      </c>
      <c r="M3279">
        <v>179</v>
      </c>
      <c r="N3279">
        <v>6</v>
      </c>
      <c r="O3279">
        <v>184.5</v>
      </c>
      <c r="P3279">
        <v>0</v>
      </c>
      <c r="Q3279">
        <v>0</v>
      </c>
      <c r="R3279">
        <v>0</v>
      </c>
      <c r="S3279">
        <v>0</v>
      </c>
      <c r="T3279">
        <v>0.1124</v>
      </c>
      <c r="U3279">
        <v>-0.88660000000000005</v>
      </c>
      <c r="V3279">
        <v>1.4E-3</v>
      </c>
      <c r="W3279">
        <v>-1.1793</v>
      </c>
      <c r="X3279">
        <v>2.5341</v>
      </c>
      <c r="Y3279">
        <v>-1.9805999999999999</v>
      </c>
      <c r="Z3279">
        <v>6</v>
      </c>
      <c r="AA3279">
        <v>180.8</v>
      </c>
      <c r="AB3279">
        <v>6</v>
      </c>
      <c r="AC3279">
        <v>186.2</v>
      </c>
      <c r="AD3279">
        <v>0</v>
      </c>
      <c r="AE3279">
        <v>0</v>
      </c>
      <c r="AF3279">
        <v>0</v>
      </c>
      <c r="AG3279">
        <v>6</v>
      </c>
      <c r="AH3279">
        <v>0</v>
      </c>
    </row>
    <row r="3280" spans="1:34" x14ac:dyDescent="0.35">
      <c r="A3280" t="s">
        <v>34</v>
      </c>
      <c r="B3280" s="1">
        <v>46146.65625</v>
      </c>
      <c r="C3280" t="s">
        <v>34</v>
      </c>
      <c r="D3280" s="1">
        <v>46157.625</v>
      </c>
      <c r="E3280">
        <v>7385</v>
      </c>
      <c r="F3280" t="s">
        <v>36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6</v>
      </c>
      <c r="M3280">
        <v>183.4</v>
      </c>
      <c r="N3280">
        <v>6</v>
      </c>
      <c r="O3280">
        <v>188.8</v>
      </c>
      <c r="P3280">
        <v>0</v>
      </c>
      <c r="Q3280">
        <v>0</v>
      </c>
      <c r="R3280">
        <v>0</v>
      </c>
      <c r="S3280">
        <v>0</v>
      </c>
      <c r="T3280">
        <v>0.1118</v>
      </c>
      <c r="U3280">
        <v>-0.89419999999999999</v>
      </c>
      <c r="V3280">
        <v>1.2999999999999999E-3</v>
      </c>
      <c r="W3280">
        <v>-1.1117999999999999</v>
      </c>
      <c r="X3280">
        <v>2.4211999999999998</v>
      </c>
      <c r="Y3280">
        <v>-1.9984999999999999</v>
      </c>
      <c r="Z3280">
        <v>6</v>
      </c>
      <c r="AA3280">
        <v>184.9</v>
      </c>
      <c r="AB3280">
        <v>6</v>
      </c>
      <c r="AC3280">
        <v>190.6</v>
      </c>
      <c r="AD3280">
        <v>0</v>
      </c>
      <c r="AE3280">
        <v>0</v>
      </c>
      <c r="AF3280">
        <v>0</v>
      </c>
      <c r="AG3280">
        <v>0</v>
      </c>
      <c r="AH3280">
        <v>0</v>
      </c>
    </row>
    <row r="3281" spans="1:34" x14ac:dyDescent="0.35">
      <c r="A3281" t="s">
        <v>34</v>
      </c>
      <c r="B3281" s="1">
        <v>46146.65625</v>
      </c>
      <c r="C3281" t="s">
        <v>34</v>
      </c>
      <c r="D3281" s="1">
        <v>46157.625</v>
      </c>
      <c r="E3281">
        <v>7390</v>
      </c>
      <c r="F3281" t="s">
        <v>36</v>
      </c>
      <c r="G3281">
        <v>198.28</v>
      </c>
      <c r="H3281">
        <v>203.65</v>
      </c>
      <c r="I3281">
        <v>190.53</v>
      </c>
      <c r="J3281">
        <v>190.53</v>
      </c>
      <c r="K3281">
        <v>4</v>
      </c>
      <c r="L3281">
        <v>6</v>
      </c>
      <c r="M3281">
        <v>187.5</v>
      </c>
      <c r="N3281">
        <v>6</v>
      </c>
      <c r="O3281">
        <v>193.1</v>
      </c>
      <c r="P3281">
        <v>0</v>
      </c>
      <c r="Q3281">
        <v>0</v>
      </c>
      <c r="R3281">
        <v>0</v>
      </c>
      <c r="S3281">
        <v>0</v>
      </c>
      <c r="T3281">
        <v>0.1105</v>
      </c>
      <c r="U3281">
        <v>-0.90300000000000002</v>
      </c>
      <c r="V3281">
        <v>1.1999999999999999E-3</v>
      </c>
      <c r="W3281">
        <v>-1.0254000000000001</v>
      </c>
      <c r="X3281">
        <v>2.2843</v>
      </c>
      <c r="Y3281">
        <v>-2.0190000000000001</v>
      </c>
      <c r="Z3281">
        <v>5</v>
      </c>
      <c r="AA3281">
        <v>189.5</v>
      </c>
      <c r="AB3281">
        <v>6</v>
      </c>
      <c r="AC3281">
        <v>194.8</v>
      </c>
      <c r="AD3281">
        <v>0</v>
      </c>
      <c r="AE3281">
        <v>0</v>
      </c>
      <c r="AF3281">
        <v>195.7475</v>
      </c>
      <c r="AG3281">
        <v>4</v>
      </c>
      <c r="AH3281">
        <v>0</v>
      </c>
    </row>
    <row r="3282" spans="1:34" x14ac:dyDescent="0.35">
      <c r="A3282" t="s">
        <v>34</v>
      </c>
      <c r="B3282" s="1">
        <v>46146.65625</v>
      </c>
      <c r="C3282" t="s">
        <v>34</v>
      </c>
      <c r="D3282" s="1">
        <v>46157.625</v>
      </c>
      <c r="E3282">
        <v>7395</v>
      </c>
      <c r="F3282" t="s">
        <v>36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6</v>
      </c>
      <c r="M3282">
        <v>191.8</v>
      </c>
      <c r="N3282">
        <v>6</v>
      </c>
      <c r="O3282">
        <v>197.5</v>
      </c>
      <c r="P3282">
        <v>0</v>
      </c>
      <c r="Q3282">
        <v>0</v>
      </c>
      <c r="R3282">
        <v>0</v>
      </c>
      <c r="S3282">
        <v>0</v>
      </c>
      <c r="T3282">
        <v>0.1096</v>
      </c>
      <c r="U3282">
        <v>-0.91090000000000004</v>
      </c>
      <c r="V3282">
        <v>1.1999999999999999E-3</v>
      </c>
      <c r="W3282">
        <v>-0.94920000000000004</v>
      </c>
      <c r="X3282">
        <v>2.1568000000000001</v>
      </c>
      <c r="Y3282">
        <v>-2.0371000000000001</v>
      </c>
      <c r="Z3282">
        <v>6</v>
      </c>
      <c r="AA3282">
        <v>193.5</v>
      </c>
      <c r="AB3282">
        <v>6</v>
      </c>
      <c r="AC3282">
        <v>199.3</v>
      </c>
      <c r="AD3282">
        <v>0</v>
      </c>
      <c r="AE3282">
        <v>0</v>
      </c>
      <c r="AF3282">
        <v>0</v>
      </c>
      <c r="AG3282">
        <v>0</v>
      </c>
      <c r="AH3282">
        <v>0</v>
      </c>
    </row>
    <row r="3283" spans="1:34" x14ac:dyDescent="0.35">
      <c r="A3283" t="s">
        <v>34</v>
      </c>
      <c r="B3283" s="1">
        <v>46146.65625</v>
      </c>
      <c r="C3283" t="s">
        <v>34</v>
      </c>
      <c r="D3283" s="1">
        <v>46157.625</v>
      </c>
      <c r="E3283">
        <v>7400</v>
      </c>
      <c r="F3283" t="s">
        <v>36</v>
      </c>
      <c r="G3283">
        <v>165.21</v>
      </c>
      <c r="H3283">
        <v>209.94</v>
      </c>
      <c r="I3283">
        <v>165.21</v>
      </c>
      <c r="J3283">
        <v>209.94</v>
      </c>
      <c r="K3283">
        <v>3</v>
      </c>
      <c r="L3283">
        <v>6</v>
      </c>
      <c r="M3283">
        <v>196.5</v>
      </c>
      <c r="N3283">
        <v>6</v>
      </c>
      <c r="O3283">
        <v>201.6</v>
      </c>
      <c r="P3283">
        <v>0</v>
      </c>
      <c r="Q3283">
        <v>0</v>
      </c>
      <c r="R3283">
        <v>0</v>
      </c>
      <c r="S3283">
        <v>0</v>
      </c>
      <c r="T3283">
        <v>0.1086</v>
      </c>
      <c r="U3283">
        <v>-0.91839999999999999</v>
      </c>
      <c r="V3283">
        <v>1.1000000000000001E-3</v>
      </c>
      <c r="W3283">
        <v>-0.87529999999999997</v>
      </c>
      <c r="X3283">
        <v>2.0314999999999999</v>
      </c>
      <c r="Y3283">
        <v>-2.0545</v>
      </c>
      <c r="Z3283">
        <v>6</v>
      </c>
      <c r="AA3283">
        <v>198</v>
      </c>
      <c r="AB3283">
        <v>6</v>
      </c>
      <c r="AC3283">
        <v>203.6</v>
      </c>
      <c r="AD3283">
        <v>0</v>
      </c>
      <c r="AE3283">
        <v>0</v>
      </c>
      <c r="AF3283">
        <v>194.06</v>
      </c>
      <c r="AG3283">
        <v>59</v>
      </c>
      <c r="AH3283">
        <v>0</v>
      </c>
    </row>
    <row r="3284" spans="1:34" x14ac:dyDescent="0.35">
      <c r="A3284" t="s">
        <v>34</v>
      </c>
      <c r="B3284" s="1">
        <v>46146.65625</v>
      </c>
      <c r="C3284" t="s">
        <v>34</v>
      </c>
      <c r="D3284" s="1">
        <v>46157.625</v>
      </c>
      <c r="E3284">
        <v>7405</v>
      </c>
      <c r="F3284" t="s">
        <v>36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1</v>
      </c>
      <c r="M3284">
        <v>196.2</v>
      </c>
      <c r="N3284">
        <v>1</v>
      </c>
      <c r="O3284">
        <v>209.7</v>
      </c>
      <c r="P3284">
        <v>0</v>
      </c>
      <c r="Q3284">
        <v>0</v>
      </c>
      <c r="R3284">
        <v>0</v>
      </c>
      <c r="S3284">
        <v>0</v>
      </c>
      <c r="T3284">
        <v>0.10390000000000001</v>
      </c>
      <c r="U3284">
        <v>-0.93269999999999997</v>
      </c>
      <c r="V3284">
        <v>1E-3</v>
      </c>
      <c r="W3284">
        <v>-0.71179999999999999</v>
      </c>
      <c r="X3284">
        <v>1.7806999999999999</v>
      </c>
      <c r="Y3284">
        <v>-2.0867</v>
      </c>
      <c r="Z3284">
        <v>4</v>
      </c>
      <c r="AA3284">
        <v>198.2</v>
      </c>
      <c r="AB3284">
        <v>2</v>
      </c>
      <c r="AC3284">
        <v>213.8</v>
      </c>
      <c r="AD3284">
        <v>0</v>
      </c>
      <c r="AE3284">
        <v>0</v>
      </c>
      <c r="AF3284">
        <v>0</v>
      </c>
      <c r="AG3284">
        <v>1</v>
      </c>
      <c r="AH3284">
        <v>0</v>
      </c>
    </row>
    <row r="3285" spans="1:34" x14ac:dyDescent="0.35">
      <c r="A3285" t="s">
        <v>34</v>
      </c>
      <c r="B3285" s="1">
        <v>46146.65625</v>
      </c>
      <c r="C3285" t="s">
        <v>34</v>
      </c>
      <c r="D3285" s="1">
        <v>46157.625</v>
      </c>
      <c r="E3285">
        <v>7410</v>
      </c>
      <c r="F3285" t="s">
        <v>36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3</v>
      </c>
      <c r="M3285">
        <v>200.6</v>
      </c>
      <c r="N3285">
        <v>2</v>
      </c>
      <c r="O3285">
        <v>213.3</v>
      </c>
      <c r="P3285">
        <v>0</v>
      </c>
      <c r="Q3285">
        <v>0</v>
      </c>
      <c r="R3285">
        <v>0</v>
      </c>
      <c r="S3285">
        <v>0</v>
      </c>
      <c r="T3285">
        <v>9.9699999999999997E-2</v>
      </c>
      <c r="U3285">
        <v>-0.94510000000000005</v>
      </c>
      <c r="V3285">
        <v>8.9999999999999998E-4</v>
      </c>
      <c r="W3285">
        <v>-0.57220000000000004</v>
      </c>
      <c r="X3285">
        <v>1.5455000000000001</v>
      </c>
      <c r="Y3285">
        <v>-2.1145999999999998</v>
      </c>
      <c r="Z3285">
        <v>2</v>
      </c>
      <c r="AA3285">
        <v>201</v>
      </c>
      <c r="AB3285">
        <v>1</v>
      </c>
      <c r="AC3285">
        <v>219.4</v>
      </c>
      <c r="AD3285">
        <v>0</v>
      </c>
      <c r="AE3285">
        <v>0</v>
      </c>
      <c r="AF3285">
        <v>0</v>
      </c>
      <c r="AG3285">
        <v>3</v>
      </c>
      <c r="AH3285">
        <v>0</v>
      </c>
    </row>
    <row r="3286" spans="1:34" x14ac:dyDescent="0.35">
      <c r="A3286" t="s">
        <v>34</v>
      </c>
      <c r="B3286" s="1">
        <v>46146.65625</v>
      </c>
      <c r="C3286" t="s">
        <v>34</v>
      </c>
      <c r="D3286" s="1">
        <v>46157.625</v>
      </c>
      <c r="E3286">
        <v>7415</v>
      </c>
      <c r="F3286" t="s">
        <v>36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2</v>
      </c>
      <c r="M3286">
        <v>205.2</v>
      </c>
      <c r="N3286">
        <v>1</v>
      </c>
      <c r="O3286">
        <v>220.2</v>
      </c>
      <c r="P3286">
        <v>0</v>
      </c>
      <c r="Q3286">
        <v>0</v>
      </c>
      <c r="R3286">
        <v>0</v>
      </c>
      <c r="S3286">
        <v>0</v>
      </c>
      <c r="T3286">
        <v>0.1071</v>
      </c>
      <c r="U3286">
        <v>-0.93600000000000005</v>
      </c>
      <c r="V3286">
        <v>8.9999999999999998E-4</v>
      </c>
      <c r="W3286">
        <v>-0.70279999999999998</v>
      </c>
      <c r="X3286">
        <v>1.7124999999999999</v>
      </c>
      <c r="Y3286">
        <v>-2.0966999999999998</v>
      </c>
      <c r="Z3286">
        <v>4</v>
      </c>
      <c r="AA3286">
        <v>203.3</v>
      </c>
      <c r="AB3286">
        <v>1</v>
      </c>
      <c r="AC3286">
        <v>223.5</v>
      </c>
      <c r="AD3286">
        <v>0</v>
      </c>
      <c r="AE3286">
        <v>0</v>
      </c>
      <c r="AF3286">
        <v>0</v>
      </c>
      <c r="AG3286">
        <v>0</v>
      </c>
      <c r="AH3286">
        <v>0</v>
      </c>
    </row>
    <row r="3287" spans="1:34" x14ac:dyDescent="0.35">
      <c r="A3287" t="s">
        <v>34</v>
      </c>
      <c r="B3287" s="1">
        <v>46146.65625</v>
      </c>
      <c r="C3287" t="s">
        <v>34</v>
      </c>
      <c r="D3287" s="1">
        <v>46157.625</v>
      </c>
      <c r="E3287">
        <v>7420</v>
      </c>
      <c r="F3287" t="s">
        <v>36</v>
      </c>
      <c r="G3287">
        <v>182.15</v>
      </c>
      <c r="H3287">
        <v>227.8</v>
      </c>
      <c r="I3287">
        <v>182.15</v>
      </c>
      <c r="J3287">
        <v>227.8</v>
      </c>
      <c r="K3287">
        <v>3</v>
      </c>
      <c r="L3287">
        <v>1</v>
      </c>
      <c r="M3287">
        <v>209.5</v>
      </c>
      <c r="N3287">
        <v>1</v>
      </c>
      <c r="O3287">
        <v>224.8</v>
      </c>
      <c r="P3287">
        <v>0</v>
      </c>
      <c r="Q3287">
        <v>0</v>
      </c>
      <c r="R3287">
        <v>0</v>
      </c>
      <c r="S3287">
        <v>0</v>
      </c>
      <c r="T3287">
        <v>0.10539999999999999</v>
      </c>
      <c r="U3287">
        <v>-0.94340000000000002</v>
      </c>
      <c r="V3287">
        <v>8.9999999999999998E-4</v>
      </c>
      <c r="W3287">
        <v>-0.62039999999999995</v>
      </c>
      <c r="X3287">
        <v>1.5688</v>
      </c>
      <c r="Y3287">
        <v>-2.1141000000000001</v>
      </c>
      <c r="Z3287">
        <v>1</v>
      </c>
      <c r="AA3287">
        <v>209.3</v>
      </c>
      <c r="AB3287">
        <v>1</v>
      </c>
      <c r="AC3287">
        <v>227.4</v>
      </c>
      <c r="AD3287">
        <v>0</v>
      </c>
      <c r="AE3287">
        <v>0</v>
      </c>
      <c r="AF3287">
        <v>211.6233</v>
      </c>
      <c r="AG3287">
        <v>2</v>
      </c>
      <c r="AH3287">
        <v>0</v>
      </c>
    </row>
    <row r="3288" spans="1:34" x14ac:dyDescent="0.35">
      <c r="A3288" t="s">
        <v>34</v>
      </c>
      <c r="B3288" s="1">
        <v>46146.65625</v>
      </c>
      <c r="C3288" t="s">
        <v>34</v>
      </c>
      <c r="D3288" s="1">
        <v>46157.625</v>
      </c>
      <c r="E3288">
        <v>7425</v>
      </c>
      <c r="F3288" t="s">
        <v>36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1</v>
      </c>
      <c r="M3288">
        <v>214.1</v>
      </c>
      <c r="N3288">
        <v>1</v>
      </c>
      <c r="O3288">
        <v>229.4</v>
      </c>
      <c r="P3288">
        <v>0</v>
      </c>
      <c r="Q3288">
        <v>0</v>
      </c>
      <c r="R3288">
        <v>0</v>
      </c>
      <c r="S3288">
        <v>0</v>
      </c>
      <c r="T3288">
        <v>0.1043</v>
      </c>
      <c r="U3288">
        <v>-0.94930000000000003</v>
      </c>
      <c r="V3288">
        <v>8.0000000000000004E-4</v>
      </c>
      <c r="W3288">
        <v>-0.55800000000000005</v>
      </c>
      <c r="X3288">
        <v>1.4516</v>
      </c>
      <c r="Y3288">
        <v>-2.1280999999999999</v>
      </c>
      <c r="Z3288">
        <v>2</v>
      </c>
      <c r="AA3288">
        <v>212.9</v>
      </c>
      <c r="AB3288">
        <v>1</v>
      </c>
      <c r="AC3288">
        <v>232.9</v>
      </c>
      <c r="AD3288">
        <v>0</v>
      </c>
      <c r="AE3288">
        <v>0</v>
      </c>
      <c r="AF3288">
        <v>0</v>
      </c>
      <c r="AG3288">
        <v>1</v>
      </c>
      <c r="AH3288">
        <v>0</v>
      </c>
    </row>
    <row r="3289" spans="1:34" x14ac:dyDescent="0.35">
      <c r="A3289" t="s">
        <v>34</v>
      </c>
      <c r="B3289" s="1">
        <v>46146.65625</v>
      </c>
      <c r="C3289" t="s">
        <v>34</v>
      </c>
      <c r="D3289" s="1">
        <v>46157.625</v>
      </c>
      <c r="E3289">
        <v>7430</v>
      </c>
      <c r="F3289" t="s">
        <v>36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1</v>
      </c>
      <c r="M3289">
        <v>218.8</v>
      </c>
      <c r="N3289">
        <v>1</v>
      </c>
      <c r="O3289">
        <v>234</v>
      </c>
      <c r="P3289">
        <v>0</v>
      </c>
      <c r="Q3289">
        <v>0</v>
      </c>
      <c r="R3289">
        <v>0</v>
      </c>
      <c r="S3289">
        <v>0</v>
      </c>
      <c r="T3289">
        <v>0.10340000000000001</v>
      </c>
      <c r="U3289">
        <v>-0.95450000000000002</v>
      </c>
      <c r="V3289">
        <v>6.9999999999999999E-4</v>
      </c>
      <c r="W3289">
        <v>-0.50080000000000002</v>
      </c>
      <c r="X3289">
        <v>1.3403</v>
      </c>
      <c r="Y3289">
        <v>-2.1408</v>
      </c>
      <c r="Z3289">
        <v>2</v>
      </c>
      <c r="AA3289">
        <v>217.6</v>
      </c>
      <c r="AB3289">
        <v>1</v>
      </c>
      <c r="AC3289">
        <v>237.5</v>
      </c>
      <c r="AD3289">
        <v>0</v>
      </c>
      <c r="AE3289">
        <v>0</v>
      </c>
      <c r="AF3289">
        <v>0</v>
      </c>
      <c r="AG3289">
        <v>3</v>
      </c>
      <c r="AH3289">
        <v>0</v>
      </c>
    </row>
    <row r="3290" spans="1:34" x14ac:dyDescent="0.35">
      <c r="A3290" t="s">
        <v>34</v>
      </c>
      <c r="B3290" s="1">
        <v>46146.65625</v>
      </c>
      <c r="C3290" t="s">
        <v>34</v>
      </c>
      <c r="D3290" s="1">
        <v>46157.625</v>
      </c>
      <c r="E3290">
        <v>7435</v>
      </c>
      <c r="F3290" t="s">
        <v>36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1</v>
      </c>
      <c r="M3290">
        <v>223.5</v>
      </c>
      <c r="N3290">
        <v>1</v>
      </c>
      <c r="O3290">
        <v>238.7</v>
      </c>
      <c r="P3290">
        <v>0</v>
      </c>
      <c r="Q3290">
        <v>0</v>
      </c>
      <c r="R3290">
        <v>0</v>
      </c>
      <c r="S3290">
        <v>0</v>
      </c>
      <c r="T3290">
        <v>0.10249999999999999</v>
      </c>
      <c r="U3290">
        <v>-0.95920000000000005</v>
      </c>
      <c r="V3290">
        <v>6.9999999999999999E-4</v>
      </c>
      <c r="W3290">
        <v>-0.44969999999999999</v>
      </c>
      <c r="X3290">
        <v>1.2375</v>
      </c>
      <c r="Y3290">
        <v>-2.1522000000000001</v>
      </c>
      <c r="Z3290">
        <v>2</v>
      </c>
      <c r="AA3290">
        <v>222.2</v>
      </c>
      <c r="AB3290">
        <v>1</v>
      </c>
      <c r="AC3290">
        <v>241.9</v>
      </c>
      <c r="AD3290">
        <v>0</v>
      </c>
      <c r="AE3290">
        <v>0</v>
      </c>
      <c r="AF3290">
        <v>0</v>
      </c>
      <c r="AG3290">
        <v>0</v>
      </c>
      <c r="AH3290">
        <v>0</v>
      </c>
    </row>
    <row r="3291" spans="1:34" x14ac:dyDescent="0.35">
      <c r="A3291" t="s">
        <v>34</v>
      </c>
      <c r="B3291" s="1">
        <v>46146.65625</v>
      </c>
      <c r="C3291" t="s">
        <v>34</v>
      </c>
      <c r="D3291" s="1">
        <v>46157.625</v>
      </c>
      <c r="E3291">
        <v>7440</v>
      </c>
      <c r="F3291" t="s">
        <v>36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1</v>
      </c>
      <c r="M3291">
        <v>228.2</v>
      </c>
      <c r="N3291">
        <v>1</v>
      </c>
      <c r="O3291">
        <v>243.4</v>
      </c>
      <c r="P3291">
        <v>0</v>
      </c>
      <c r="Q3291">
        <v>0</v>
      </c>
      <c r="R3291">
        <v>0</v>
      </c>
      <c r="S3291">
        <v>0</v>
      </c>
      <c r="T3291">
        <v>0.1014</v>
      </c>
      <c r="U3291">
        <v>-0.96399999999999997</v>
      </c>
      <c r="V3291">
        <v>5.9999999999999995E-4</v>
      </c>
      <c r="W3291">
        <v>-0.39589999999999997</v>
      </c>
      <c r="X3291">
        <v>1.1291</v>
      </c>
      <c r="Y3291">
        <v>-2.1640000000000001</v>
      </c>
      <c r="Z3291">
        <v>1</v>
      </c>
      <c r="AA3291">
        <v>227</v>
      </c>
      <c r="AB3291">
        <v>1</v>
      </c>
      <c r="AC3291">
        <v>245.6</v>
      </c>
      <c r="AD3291">
        <v>0</v>
      </c>
      <c r="AE3291">
        <v>0</v>
      </c>
      <c r="AF3291">
        <v>0</v>
      </c>
      <c r="AG3291">
        <v>0</v>
      </c>
      <c r="AH3291">
        <v>0</v>
      </c>
    </row>
    <row r="3292" spans="1:34" x14ac:dyDescent="0.35">
      <c r="A3292" t="s">
        <v>34</v>
      </c>
      <c r="B3292" s="1">
        <v>46146.65625</v>
      </c>
      <c r="C3292" t="s">
        <v>34</v>
      </c>
      <c r="D3292" s="1">
        <v>46157.625</v>
      </c>
      <c r="E3292">
        <v>7445</v>
      </c>
      <c r="F3292" t="s">
        <v>36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1</v>
      </c>
      <c r="M3292">
        <v>233</v>
      </c>
      <c r="N3292">
        <v>1</v>
      </c>
      <c r="O3292">
        <v>248.1</v>
      </c>
      <c r="P3292">
        <v>0</v>
      </c>
      <c r="Q3292">
        <v>0</v>
      </c>
      <c r="R3292">
        <v>0</v>
      </c>
      <c r="S3292">
        <v>0</v>
      </c>
      <c r="T3292">
        <v>0.1</v>
      </c>
      <c r="U3292">
        <v>-0.96889999999999998</v>
      </c>
      <c r="V3292">
        <v>5.9999999999999995E-4</v>
      </c>
      <c r="W3292">
        <v>-0.33910000000000001</v>
      </c>
      <c r="X3292">
        <v>1.0128999999999999</v>
      </c>
      <c r="Y3292">
        <v>-2.1758999999999999</v>
      </c>
      <c r="Z3292">
        <v>1</v>
      </c>
      <c r="AA3292">
        <v>231.7</v>
      </c>
      <c r="AB3292">
        <v>1</v>
      </c>
      <c r="AC3292">
        <v>251.3</v>
      </c>
      <c r="AD3292">
        <v>0</v>
      </c>
      <c r="AE3292">
        <v>0</v>
      </c>
      <c r="AF3292">
        <v>0</v>
      </c>
      <c r="AG3292">
        <v>0</v>
      </c>
      <c r="AH3292">
        <v>0</v>
      </c>
    </row>
    <row r="3293" spans="1:34" x14ac:dyDescent="0.35">
      <c r="A3293" t="s">
        <v>34</v>
      </c>
      <c r="B3293" s="1">
        <v>46146.65625</v>
      </c>
      <c r="C3293" t="s">
        <v>34</v>
      </c>
      <c r="D3293" s="1">
        <v>46157.625</v>
      </c>
      <c r="E3293">
        <v>7450</v>
      </c>
      <c r="F3293" t="s">
        <v>36</v>
      </c>
      <c r="G3293">
        <v>247.28</v>
      </c>
      <c r="H3293">
        <v>247.28</v>
      </c>
      <c r="I3293">
        <v>247.28</v>
      </c>
      <c r="J3293">
        <v>247.28</v>
      </c>
      <c r="K3293">
        <v>1</v>
      </c>
      <c r="L3293">
        <v>1</v>
      </c>
      <c r="M3293">
        <v>234</v>
      </c>
      <c r="N3293">
        <v>1</v>
      </c>
      <c r="O3293">
        <v>253.8</v>
      </c>
      <c r="P3293">
        <v>0</v>
      </c>
      <c r="Q3293">
        <v>0</v>
      </c>
      <c r="R3293">
        <v>0</v>
      </c>
      <c r="S3293">
        <v>0</v>
      </c>
      <c r="T3293">
        <v>0.15379999999999999</v>
      </c>
      <c r="U3293">
        <v>-0.89</v>
      </c>
      <c r="V3293">
        <v>1E-3</v>
      </c>
      <c r="W3293">
        <v>-1.5761000000000001</v>
      </c>
      <c r="X3293">
        <v>2.4447000000000001</v>
      </c>
      <c r="Y3293">
        <v>-2.0097</v>
      </c>
      <c r="Z3293">
        <v>1</v>
      </c>
      <c r="AA3293">
        <v>237</v>
      </c>
      <c r="AB3293">
        <v>1</v>
      </c>
      <c r="AC3293">
        <v>259.60000000000002</v>
      </c>
      <c r="AD3293">
        <v>0</v>
      </c>
      <c r="AE3293">
        <v>0</v>
      </c>
      <c r="AF3293">
        <v>247.28</v>
      </c>
      <c r="AG3293">
        <v>9</v>
      </c>
      <c r="AH3293">
        <v>0</v>
      </c>
    </row>
    <row r="3294" spans="1:34" x14ac:dyDescent="0.35">
      <c r="A3294" t="s">
        <v>34</v>
      </c>
      <c r="B3294" s="1">
        <v>46146.65625</v>
      </c>
      <c r="C3294" t="s">
        <v>34</v>
      </c>
      <c r="D3294" s="1">
        <v>46157.625</v>
      </c>
      <c r="E3294">
        <v>7455</v>
      </c>
      <c r="F3294" t="s">
        <v>36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1</v>
      </c>
      <c r="M3294">
        <v>238.8</v>
      </c>
      <c r="N3294">
        <v>2</v>
      </c>
      <c r="O3294">
        <v>259.10000000000002</v>
      </c>
      <c r="P3294">
        <v>0</v>
      </c>
      <c r="Q3294">
        <v>0</v>
      </c>
      <c r="R3294">
        <v>0</v>
      </c>
      <c r="S3294">
        <v>0</v>
      </c>
      <c r="T3294">
        <v>0.15659999999999999</v>
      </c>
      <c r="U3294">
        <v>-0.89070000000000005</v>
      </c>
      <c r="V3294">
        <v>1E-3</v>
      </c>
      <c r="W3294">
        <v>-1.5961000000000001</v>
      </c>
      <c r="X3294">
        <v>2.4321999999999999</v>
      </c>
      <c r="Y3294">
        <v>-2.0127000000000002</v>
      </c>
      <c r="Z3294">
        <v>2</v>
      </c>
      <c r="AA3294">
        <v>241.1</v>
      </c>
      <c r="AB3294">
        <v>1</v>
      </c>
      <c r="AC3294">
        <v>260.10000000000002</v>
      </c>
      <c r="AD3294">
        <v>0</v>
      </c>
      <c r="AE3294">
        <v>0</v>
      </c>
      <c r="AF3294">
        <v>0</v>
      </c>
      <c r="AG3294">
        <v>0</v>
      </c>
      <c r="AH3294">
        <v>0</v>
      </c>
    </row>
    <row r="3295" spans="1:34" x14ac:dyDescent="0.35">
      <c r="A3295" t="s">
        <v>34</v>
      </c>
      <c r="B3295" s="1">
        <v>46146.65625</v>
      </c>
      <c r="C3295" t="s">
        <v>34</v>
      </c>
      <c r="D3295" s="1">
        <v>46157.625</v>
      </c>
      <c r="E3295">
        <v>7460</v>
      </c>
      <c r="F3295" t="s">
        <v>36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1</v>
      </c>
      <c r="M3295">
        <v>243.4</v>
      </c>
      <c r="N3295">
        <v>1</v>
      </c>
      <c r="O3295">
        <v>263.8</v>
      </c>
      <c r="P3295">
        <v>0</v>
      </c>
      <c r="Q3295">
        <v>0</v>
      </c>
      <c r="R3295">
        <v>0</v>
      </c>
      <c r="S3295">
        <v>0</v>
      </c>
      <c r="T3295">
        <v>0.15859999999999999</v>
      </c>
      <c r="U3295">
        <v>-0.89190000000000003</v>
      </c>
      <c r="V3295">
        <v>8.9999999999999998E-4</v>
      </c>
      <c r="W3295">
        <v>-1.6032999999999999</v>
      </c>
      <c r="X3295">
        <v>2.4127999999999998</v>
      </c>
      <c r="Y3295">
        <v>-2.0167999999999999</v>
      </c>
      <c r="Z3295">
        <v>1</v>
      </c>
      <c r="AA3295">
        <v>245.9</v>
      </c>
      <c r="AB3295">
        <v>1</v>
      </c>
      <c r="AC3295">
        <v>265.89999999999998</v>
      </c>
      <c r="AD3295">
        <v>0</v>
      </c>
      <c r="AE3295">
        <v>0</v>
      </c>
      <c r="AF3295">
        <v>0</v>
      </c>
      <c r="AG3295">
        <v>0</v>
      </c>
      <c r="AH3295">
        <v>0</v>
      </c>
    </row>
    <row r="3296" spans="1:34" x14ac:dyDescent="0.35">
      <c r="A3296" t="s">
        <v>34</v>
      </c>
      <c r="B3296" s="1">
        <v>46146.65625</v>
      </c>
      <c r="C3296" t="s">
        <v>34</v>
      </c>
      <c r="D3296" s="1">
        <v>46157.625</v>
      </c>
      <c r="E3296">
        <v>7465</v>
      </c>
      <c r="F3296" t="s">
        <v>36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1</v>
      </c>
      <c r="M3296">
        <v>248.4</v>
      </c>
      <c r="N3296">
        <v>1</v>
      </c>
      <c r="O3296">
        <v>268.60000000000002</v>
      </c>
      <c r="P3296">
        <v>0</v>
      </c>
      <c r="Q3296">
        <v>0</v>
      </c>
      <c r="R3296">
        <v>0</v>
      </c>
      <c r="S3296">
        <v>0</v>
      </c>
      <c r="T3296">
        <v>0.1588</v>
      </c>
      <c r="U3296">
        <v>-0.89629999999999999</v>
      </c>
      <c r="V3296">
        <v>8.9999999999999998E-4</v>
      </c>
      <c r="W3296">
        <v>-1.5533999999999999</v>
      </c>
      <c r="X3296">
        <v>2.3443000000000001</v>
      </c>
      <c r="Y3296">
        <v>-2.0278999999999998</v>
      </c>
      <c r="Z3296">
        <v>1</v>
      </c>
      <c r="AA3296">
        <v>250.7</v>
      </c>
      <c r="AB3296">
        <v>1</v>
      </c>
      <c r="AC3296">
        <v>269.39999999999998</v>
      </c>
      <c r="AD3296">
        <v>0</v>
      </c>
      <c r="AE3296">
        <v>0</v>
      </c>
      <c r="AF3296">
        <v>0</v>
      </c>
      <c r="AG3296">
        <v>0</v>
      </c>
      <c r="AH3296">
        <v>0</v>
      </c>
    </row>
    <row r="3297" spans="1:34" x14ac:dyDescent="0.35">
      <c r="A3297" t="s">
        <v>34</v>
      </c>
      <c r="B3297" s="1">
        <v>46146.65625</v>
      </c>
      <c r="C3297" t="s">
        <v>34</v>
      </c>
      <c r="D3297" s="1">
        <v>46157.625</v>
      </c>
      <c r="E3297">
        <v>7470</v>
      </c>
      <c r="F3297" t="s">
        <v>36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1</v>
      </c>
      <c r="M3297">
        <v>253.3</v>
      </c>
      <c r="N3297">
        <v>2</v>
      </c>
      <c r="O3297">
        <v>273.5</v>
      </c>
      <c r="P3297">
        <v>0</v>
      </c>
      <c r="Q3297">
        <v>0</v>
      </c>
      <c r="R3297">
        <v>0</v>
      </c>
      <c r="S3297">
        <v>0</v>
      </c>
      <c r="T3297">
        <v>0.16059999999999999</v>
      </c>
      <c r="U3297">
        <v>-0.89800000000000002</v>
      </c>
      <c r="V3297">
        <v>8.9999999999999998E-4</v>
      </c>
      <c r="W3297">
        <v>-1.5494000000000001</v>
      </c>
      <c r="X3297">
        <v>2.3153000000000001</v>
      </c>
      <c r="Y3297">
        <v>-2.0331999999999999</v>
      </c>
      <c r="Z3297">
        <v>2</v>
      </c>
      <c r="AA3297">
        <v>255.5</v>
      </c>
      <c r="AB3297">
        <v>1</v>
      </c>
      <c r="AC3297">
        <v>274.3</v>
      </c>
      <c r="AD3297">
        <v>0</v>
      </c>
      <c r="AE3297">
        <v>0</v>
      </c>
      <c r="AF3297">
        <v>0</v>
      </c>
      <c r="AG3297">
        <v>0</v>
      </c>
      <c r="AH3297">
        <v>0</v>
      </c>
    </row>
    <row r="3298" spans="1:34" x14ac:dyDescent="0.35">
      <c r="A3298" t="s">
        <v>34</v>
      </c>
      <c r="B3298" s="1">
        <v>46146.65625</v>
      </c>
      <c r="C3298" t="s">
        <v>34</v>
      </c>
      <c r="D3298" s="1">
        <v>46157.625</v>
      </c>
      <c r="E3298">
        <v>7475</v>
      </c>
      <c r="F3298" t="s">
        <v>36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1</v>
      </c>
      <c r="M3298">
        <v>258</v>
      </c>
      <c r="N3298">
        <v>2</v>
      </c>
      <c r="O3298">
        <v>278.3</v>
      </c>
      <c r="P3298">
        <v>0</v>
      </c>
      <c r="Q3298">
        <v>0</v>
      </c>
      <c r="R3298">
        <v>0</v>
      </c>
      <c r="S3298">
        <v>0</v>
      </c>
      <c r="T3298">
        <v>0.16300000000000001</v>
      </c>
      <c r="U3298">
        <v>-0.89849999999999997</v>
      </c>
      <c r="V3298">
        <v>8.9999999999999998E-4</v>
      </c>
      <c r="W3298">
        <v>-1.5681</v>
      </c>
      <c r="X3298">
        <v>2.3071000000000002</v>
      </c>
      <c r="Y3298">
        <v>-2.0356000000000001</v>
      </c>
      <c r="Z3298">
        <v>2</v>
      </c>
      <c r="AA3298">
        <v>260.3</v>
      </c>
      <c r="AB3298">
        <v>1</v>
      </c>
      <c r="AC3298">
        <v>279.2</v>
      </c>
      <c r="AD3298">
        <v>0</v>
      </c>
      <c r="AE3298">
        <v>0</v>
      </c>
      <c r="AF3298">
        <v>0</v>
      </c>
      <c r="AG3298">
        <v>5</v>
      </c>
      <c r="AH3298">
        <v>0</v>
      </c>
    </row>
    <row r="3299" spans="1:34" x14ac:dyDescent="0.35">
      <c r="A3299" t="s">
        <v>34</v>
      </c>
      <c r="B3299" s="1">
        <v>46146.65625</v>
      </c>
      <c r="C3299" t="s">
        <v>34</v>
      </c>
      <c r="D3299" s="1">
        <v>46157.625</v>
      </c>
      <c r="E3299">
        <v>7480</v>
      </c>
      <c r="F3299" t="s">
        <v>36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1</v>
      </c>
      <c r="M3299">
        <v>262.89999999999998</v>
      </c>
      <c r="N3299">
        <v>2</v>
      </c>
      <c r="O3299">
        <v>283.2</v>
      </c>
      <c r="P3299">
        <v>0</v>
      </c>
      <c r="Q3299">
        <v>0</v>
      </c>
      <c r="R3299">
        <v>0</v>
      </c>
      <c r="S3299">
        <v>0</v>
      </c>
      <c r="T3299">
        <v>0.1648</v>
      </c>
      <c r="U3299">
        <v>-0.9002</v>
      </c>
      <c r="V3299">
        <v>8.9999999999999998E-4</v>
      </c>
      <c r="W3299">
        <v>-1.5637000000000001</v>
      </c>
      <c r="X3299">
        <v>2.2789999999999999</v>
      </c>
      <c r="Y3299">
        <v>-2.0407000000000002</v>
      </c>
      <c r="Z3299">
        <v>2</v>
      </c>
      <c r="AA3299">
        <v>265.2</v>
      </c>
      <c r="AB3299">
        <v>1</v>
      </c>
      <c r="AC3299">
        <v>284.10000000000002</v>
      </c>
      <c r="AD3299">
        <v>0</v>
      </c>
      <c r="AE3299">
        <v>0</v>
      </c>
      <c r="AF3299">
        <v>0</v>
      </c>
      <c r="AG3299">
        <v>0</v>
      </c>
      <c r="AH3299">
        <v>0</v>
      </c>
    </row>
    <row r="3300" spans="1:34" x14ac:dyDescent="0.35">
      <c r="A3300" t="s">
        <v>34</v>
      </c>
      <c r="B3300" s="1">
        <v>46146.65625</v>
      </c>
      <c r="C3300" t="s">
        <v>34</v>
      </c>
      <c r="D3300" s="1">
        <v>46157.625</v>
      </c>
      <c r="E3300">
        <v>7485</v>
      </c>
      <c r="F3300" t="s">
        <v>36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1</v>
      </c>
      <c r="M3300">
        <v>267.89999999999998</v>
      </c>
      <c r="N3300">
        <v>1</v>
      </c>
      <c r="O3300">
        <v>288</v>
      </c>
      <c r="P3300">
        <v>0</v>
      </c>
      <c r="Q3300">
        <v>0</v>
      </c>
      <c r="R3300">
        <v>0</v>
      </c>
      <c r="S3300">
        <v>0</v>
      </c>
      <c r="T3300">
        <v>0.1648</v>
      </c>
      <c r="U3300">
        <v>-0.90439999999999998</v>
      </c>
      <c r="V3300">
        <v>8.0000000000000004E-4</v>
      </c>
      <c r="W3300">
        <v>-1.5101</v>
      </c>
      <c r="X3300">
        <v>2.2101000000000002</v>
      </c>
      <c r="Y3300">
        <v>-2.0512000000000001</v>
      </c>
      <c r="Z3300">
        <v>2</v>
      </c>
      <c r="AA3300">
        <v>270.10000000000002</v>
      </c>
      <c r="AB3300">
        <v>1</v>
      </c>
      <c r="AC3300">
        <v>289</v>
      </c>
      <c r="AD3300">
        <v>0</v>
      </c>
      <c r="AE3300">
        <v>0</v>
      </c>
      <c r="AF3300">
        <v>0</v>
      </c>
      <c r="AG3300">
        <v>0</v>
      </c>
      <c r="AH3300">
        <v>0</v>
      </c>
    </row>
    <row r="3301" spans="1:34" x14ac:dyDescent="0.35">
      <c r="A3301" t="s">
        <v>34</v>
      </c>
      <c r="B3301" s="1">
        <v>46146.65625</v>
      </c>
      <c r="C3301" t="s">
        <v>34</v>
      </c>
      <c r="D3301" s="1">
        <v>46157.625</v>
      </c>
      <c r="E3301">
        <v>7490</v>
      </c>
      <c r="F3301" t="s">
        <v>36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2</v>
      </c>
      <c r="M3301">
        <v>272.7</v>
      </c>
      <c r="N3301">
        <v>1</v>
      </c>
      <c r="O3301">
        <v>293.8</v>
      </c>
      <c r="P3301">
        <v>0</v>
      </c>
      <c r="Q3301">
        <v>0</v>
      </c>
      <c r="R3301">
        <v>0</v>
      </c>
      <c r="S3301">
        <v>0</v>
      </c>
      <c r="T3301">
        <v>0.1719</v>
      </c>
      <c r="U3301">
        <v>-0.89839999999999998</v>
      </c>
      <c r="V3301">
        <v>8.0000000000000004E-4</v>
      </c>
      <c r="W3301">
        <v>-1.6539999999999999</v>
      </c>
      <c r="X3301">
        <v>2.3026</v>
      </c>
      <c r="Y3301">
        <v>-2.0400999999999998</v>
      </c>
      <c r="Z3301">
        <v>3</v>
      </c>
      <c r="AA3301">
        <v>274.89999999999998</v>
      </c>
      <c r="AB3301">
        <v>1</v>
      </c>
      <c r="AC3301">
        <v>293.8</v>
      </c>
      <c r="AD3301">
        <v>0</v>
      </c>
      <c r="AE3301">
        <v>0</v>
      </c>
      <c r="AF3301">
        <v>0</v>
      </c>
      <c r="AG3301">
        <v>1</v>
      </c>
      <c r="AH3301">
        <v>0</v>
      </c>
    </row>
    <row r="3302" spans="1:34" x14ac:dyDescent="0.35">
      <c r="A3302" t="s">
        <v>34</v>
      </c>
      <c r="B3302" s="1">
        <v>46146.65625</v>
      </c>
      <c r="C3302" t="s">
        <v>34</v>
      </c>
      <c r="D3302" s="1">
        <v>46157.625</v>
      </c>
      <c r="E3302">
        <v>7495</v>
      </c>
      <c r="F3302" t="s">
        <v>36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2</v>
      </c>
      <c r="M3302">
        <v>277.60000000000002</v>
      </c>
      <c r="N3302">
        <v>1</v>
      </c>
      <c r="O3302">
        <v>298.8</v>
      </c>
      <c r="P3302">
        <v>0</v>
      </c>
      <c r="Q3302">
        <v>0</v>
      </c>
      <c r="R3302">
        <v>0</v>
      </c>
      <c r="S3302">
        <v>0</v>
      </c>
      <c r="T3302">
        <v>0.1741</v>
      </c>
      <c r="U3302">
        <v>-0.89939999999999998</v>
      </c>
      <c r="V3302">
        <v>8.0000000000000004E-4</v>
      </c>
      <c r="W3302">
        <v>-1.6619999999999999</v>
      </c>
      <c r="X3302">
        <v>2.2854999999999999</v>
      </c>
      <c r="Y3302">
        <v>-2.0436999999999999</v>
      </c>
      <c r="Z3302">
        <v>1</v>
      </c>
      <c r="AA3302">
        <v>280.2</v>
      </c>
      <c r="AB3302">
        <v>1</v>
      </c>
      <c r="AC3302">
        <v>298.8</v>
      </c>
      <c r="AD3302">
        <v>0</v>
      </c>
      <c r="AE3302">
        <v>0</v>
      </c>
      <c r="AF3302">
        <v>0</v>
      </c>
      <c r="AG3302">
        <v>1</v>
      </c>
      <c r="AH3302">
        <v>0</v>
      </c>
    </row>
    <row r="3303" spans="1:34" x14ac:dyDescent="0.35">
      <c r="A3303" t="s">
        <v>34</v>
      </c>
      <c r="B3303" s="1">
        <v>46146.65625</v>
      </c>
      <c r="C3303" t="s">
        <v>34</v>
      </c>
      <c r="D3303" s="1">
        <v>46157.625</v>
      </c>
      <c r="E3303">
        <v>7500</v>
      </c>
      <c r="F3303" t="s">
        <v>36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1</v>
      </c>
      <c r="M3303">
        <v>282.3</v>
      </c>
      <c r="N3303">
        <v>1</v>
      </c>
      <c r="O3303">
        <v>303.60000000000002</v>
      </c>
      <c r="P3303">
        <v>0</v>
      </c>
      <c r="Q3303">
        <v>0</v>
      </c>
      <c r="R3303">
        <v>0</v>
      </c>
      <c r="S3303">
        <v>0</v>
      </c>
      <c r="T3303">
        <v>0.17530000000000001</v>
      </c>
      <c r="U3303">
        <v>-0.90159999999999996</v>
      </c>
      <c r="V3303">
        <v>8.0000000000000004E-4</v>
      </c>
      <c r="W3303">
        <v>-1.6449</v>
      </c>
      <c r="X3303">
        <v>2.2496999999999998</v>
      </c>
      <c r="Y3303">
        <v>-2.0499000000000001</v>
      </c>
      <c r="Z3303">
        <v>1</v>
      </c>
      <c r="AA3303">
        <v>284.7</v>
      </c>
      <c r="AB3303">
        <v>1</v>
      </c>
      <c r="AC3303">
        <v>303.60000000000002</v>
      </c>
      <c r="AD3303">
        <v>0</v>
      </c>
      <c r="AE3303">
        <v>0</v>
      </c>
      <c r="AF3303">
        <v>0</v>
      </c>
      <c r="AG3303">
        <v>16</v>
      </c>
      <c r="AH3303">
        <v>0</v>
      </c>
    </row>
    <row r="3304" spans="1:34" x14ac:dyDescent="0.35">
      <c r="A3304" t="s">
        <v>34</v>
      </c>
      <c r="B3304" s="1">
        <v>46146.65625</v>
      </c>
      <c r="C3304" t="s">
        <v>34</v>
      </c>
      <c r="D3304" s="1">
        <v>46157.625</v>
      </c>
      <c r="E3304">
        <v>7505</v>
      </c>
      <c r="F3304" t="s">
        <v>36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1</v>
      </c>
      <c r="M3304">
        <v>287.39999999999998</v>
      </c>
      <c r="N3304">
        <v>1</v>
      </c>
      <c r="O3304">
        <v>308.60000000000002</v>
      </c>
      <c r="P3304">
        <v>0</v>
      </c>
      <c r="Q3304">
        <v>0</v>
      </c>
      <c r="R3304">
        <v>0</v>
      </c>
      <c r="S3304">
        <v>0</v>
      </c>
      <c r="T3304">
        <v>0.17749999999999999</v>
      </c>
      <c r="U3304">
        <v>-0.90249999999999997</v>
      </c>
      <c r="V3304">
        <v>8.0000000000000004E-4</v>
      </c>
      <c r="W3304">
        <v>-1.6525000000000001</v>
      </c>
      <c r="X3304">
        <v>2.2334999999999998</v>
      </c>
      <c r="Y3304">
        <v>-2.0533999999999999</v>
      </c>
      <c r="Z3304">
        <v>1</v>
      </c>
      <c r="AA3304">
        <v>289.60000000000002</v>
      </c>
      <c r="AB3304">
        <v>1</v>
      </c>
      <c r="AC3304">
        <v>308.60000000000002</v>
      </c>
      <c r="AD3304">
        <v>0</v>
      </c>
      <c r="AE3304">
        <v>0</v>
      </c>
      <c r="AF3304">
        <v>0</v>
      </c>
      <c r="AG3304">
        <v>0</v>
      </c>
      <c r="AH3304">
        <v>0</v>
      </c>
    </row>
    <row r="3305" spans="1:34" x14ac:dyDescent="0.35">
      <c r="A3305" t="s">
        <v>34</v>
      </c>
      <c r="B3305" s="1">
        <v>46146.65625</v>
      </c>
      <c r="C3305" t="s">
        <v>34</v>
      </c>
      <c r="D3305" s="1">
        <v>46157.625</v>
      </c>
      <c r="E3305">
        <v>7510</v>
      </c>
      <c r="F3305" t="s">
        <v>36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1</v>
      </c>
      <c r="M3305">
        <v>292.3</v>
      </c>
      <c r="N3305">
        <v>1</v>
      </c>
      <c r="O3305">
        <v>313.39999999999998</v>
      </c>
      <c r="P3305">
        <v>0</v>
      </c>
      <c r="Q3305">
        <v>0</v>
      </c>
      <c r="R3305">
        <v>0</v>
      </c>
      <c r="S3305">
        <v>0</v>
      </c>
      <c r="T3305">
        <v>0.1787</v>
      </c>
      <c r="U3305">
        <v>-0.90459999999999996</v>
      </c>
      <c r="V3305">
        <v>8.0000000000000004E-4</v>
      </c>
      <c r="W3305">
        <v>-1.6347</v>
      </c>
      <c r="X3305">
        <v>2.1983999999999999</v>
      </c>
      <c r="Y3305">
        <v>-2.0592999999999999</v>
      </c>
      <c r="Z3305">
        <v>1</v>
      </c>
      <c r="AA3305">
        <v>294.89999999999998</v>
      </c>
      <c r="AB3305">
        <v>1</v>
      </c>
      <c r="AC3305">
        <v>313.39999999999998</v>
      </c>
      <c r="AD3305">
        <v>0</v>
      </c>
      <c r="AE3305">
        <v>0</v>
      </c>
      <c r="AF3305">
        <v>0</v>
      </c>
      <c r="AG3305">
        <v>0</v>
      </c>
      <c r="AH3305">
        <v>0</v>
      </c>
    </row>
    <row r="3306" spans="1:34" x14ac:dyDescent="0.35">
      <c r="A3306" t="s">
        <v>34</v>
      </c>
      <c r="B3306" s="1">
        <v>46146.65625</v>
      </c>
      <c r="C3306" t="s">
        <v>34</v>
      </c>
      <c r="D3306" s="1">
        <v>46157.625</v>
      </c>
      <c r="E3306">
        <v>7515</v>
      </c>
      <c r="F3306" t="s">
        <v>36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1</v>
      </c>
      <c r="M3306">
        <v>297.10000000000002</v>
      </c>
      <c r="N3306">
        <v>1</v>
      </c>
      <c r="O3306">
        <v>316.7</v>
      </c>
      <c r="P3306">
        <v>0</v>
      </c>
      <c r="Q3306">
        <v>0</v>
      </c>
      <c r="R3306">
        <v>0</v>
      </c>
      <c r="S3306">
        <v>0</v>
      </c>
      <c r="T3306">
        <v>0.16930000000000001</v>
      </c>
      <c r="U3306">
        <v>-0.92049999999999998</v>
      </c>
      <c r="V3306">
        <v>6.9999999999999999E-4</v>
      </c>
      <c r="W3306">
        <v>-1.333</v>
      </c>
      <c r="X3306">
        <v>1.9366000000000001</v>
      </c>
      <c r="Y3306">
        <v>-2.0943999999999998</v>
      </c>
      <c r="Z3306">
        <v>1</v>
      </c>
      <c r="AA3306">
        <v>300</v>
      </c>
      <c r="AB3306">
        <v>1</v>
      </c>
      <c r="AC3306">
        <v>323</v>
      </c>
      <c r="AD3306">
        <v>0</v>
      </c>
      <c r="AE3306">
        <v>0</v>
      </c>
      <c r="AF3306">
        <v>0</v>
      </c>
      <c r="AG3306">
        <v>0</v>
      </c>
      <c r="AH3306">
        <v>0</v>
      </c>
    </row>
    <row r="3307" spans="1:34" x14ac:dyDescent="0.35">
      <c r="A3307" t="s">
        <v>34</v>
      </c>
      <c r="B3307" s="1">
        <v>46146.65625</v>
      </c>
      <c r="C3307" t="s">
        <v>34</v>
      </c>
      <c r="D3307" s="1">
        <v>46157.625</v>
      </c>
      <c r="E3307">
        <v>7520</v>
      </c>
      <c r="F3307" t="s">
        <v>36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1</v>
      </c>
      <c r="M3307">
        <v>302.2</v>
      </c>
      <c r="N3307">
        <v>1</v>
      </c>
      <c r="O3307">
        <v>323.3</v>
      </c>
      <c r="P3307">
        <v>0</v>
      </c>
      <c r="Q3307">
        <v>0</v>
      </c>
      <c r="R3307">
        <v>0</v>
      </c>
      <c r="S3307">
        <v>0</v>
      </c>
      <c r="T3307">
        <v>0.1812</v>
      </c>
      <c r="U3307">
        <v>-0.90869999999999995</v>
      </c>
      <c r="V3307">
        <v>6.9999999999999999E-4</v>
      </c>
      <c r="W3307">
        <v>-1.5991</v>
      </c>
      <c r="X3307">
        <v>2.1291000000000002</v>
      </c>
      <c r="Y3307">
        <v>-2.0710000000000002</v>
      </c>
      <c r="Z3307">
        <v>1</v>
      </c>
      <c r="AA3307">
        <v>304.39999999999998</v>
      </c>
      <c r="AB3307">
        <v>1</v>
      </c>
      <c r="AC3307">
        <v>323.3</v>
      </c>
      <c r="AD3307">
        <v>0</v>
      </c>
      <c r="AE3307">
        <v>0</v>
      </c>
      <c r="AF3307">
        <v>0</v>
      </c>
      <c r="AG3307">
        <v>1</v>
      </c>
      <c r="AH3307">
        <v>0</v>
      </c>
    </row>
    <row r="3308" spans="1:34" x14ac:dyDescent="0.35">
      <c r="A3308" t="s">
        <v>34</v>
      </c>
      <c r="B3308" s="1">
        <v>46146.65625</v>
      </c>
      <c r="C3308" t="s">
        <v>34</v>
      </c>
      <c r="D3308" s="1">
        <v>46157.625</v>
      </c>
      <c r="E3308">
        <v>7525</v>
      </c>
      <c r="F3308" t="s">
        <v>36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1</v>
      </c>
      <c r="M3308">
        <v>307.2</v>
      </c>
      <c r="N3308">
        <v>2</v>
      </c>
      <c r="O3308">
        <v>328.3</v>
      </c>
      <c r="P3308">
        <v>0</v>
      </c>
      <c r="Q3308">
        <v>0</v>
      </c>
      <c r="R3308">
        <v>0</v>
      </c>
      <c r="S3308">
        <v>0</v>
      </c>
      <c r="T3308">
        <v>0.18340000000000001</v>
      </c>
      <c r="U3308">
        <v>-0.90959999999999996</v>
      </c>
      <c r="V3308">
        <v>6.9999999999999999E-4</v>
      </c>
      <c r="W3308">
        <v>-1.6060000000000001</v>
      </c>
      <c r="X3308">
        <v>2.1145</v>
      </c>
      <c r="Y3308">
        <v>-2.0743</v>
      </c>
      <c r="Z3308">
        <v>3</v>
      </c>
      <c r="AA3308">
        <v>309.3</v>
      </c>
      <c r="AB3308">
        <v>1</v>
      </c>
      <c r="AC3308">
        <v>328.3</v>
      </c>
      <c r="AD3308">
        <v>0</v>
      </c>
      <c r="AE3308">
        <v>0</v>
      </c>
      <c r="AF3308">
        <v>0</v>
      </c>
      <c r="AG3308">
        <v>1</v>
      </c>
      <c r="AH3308">
        <v>0</v>
      </c>
    </row>
    <row r="3309" spans="1:34" x14ac:dyDescent="0.35">
      <c r="A3309" t="s">
        <v>34</v>
      </c>
      <c r="B3309" s="1">
        <v>46146.65625</v>
      </c>
      <c r="C3309" t="s">
        <v>34</v>
      </c>
      <c r="D3309" s="1">
        <v>46157.625</v>
      </c>
      <c r="E3309">
        <v>7530</v>
      </c>
      <c r="F3309" t="s">
        <v>36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1</v>
      </c>
      <c r="M3309">
        <v>312.2</v>
      </c>
      <c r="N3309">
        <v>1</v>
      </c>
      <c r="O3309">
        <v>333.1</v>
      </c>
      <c r="P3309">
        <v>0</v>
      </c>
      <c r="Q3309">
        <v>0</v>
      </c>
      <c r="R3309">
        <v>0</v>
      </c>
      <c r="S3309">
        <v>0</v>
      </c>
      <c r="T3309">
        <v>0.1845</v>
      </c>
      <c r="U3309">
        <v>-0.91159999999999997</v>
      </c>
      <c r="V3309">
        <v>6.9999999999999999E-4</v>
      </c>
      <c r="W3309">
        <v>-1.5864</v>
      </c>
      <c r="X3309">
        <v>2.0808</v>
      </c>
      <c r="Y3309">
        <v>-2.08</v>
      </c>
      <c r="Z3309">
        <v>1</v>
      </c>
      <c r="AA3309">
        <v>314.60000000000002</v>
      </c>
      <c r="AB3309">
        <v>1</v>
      </c>
      <c r="AC3309">
        <v>333.1</v>
      </c>
      <c r="AD3309">
        <v>0</v>
      </c>
      <c r="AE3309">
        <v>0</v>
      </c>
      <c r="AF3309">
        <v>0</v>
      </c>
      <c r="AG3309">
        <v>0</v>
      </c>
      <c r="AH3309">
        <v>0</v>
      </c>
    </row>
    <row r="3310" spans="1:34" x14ac:dyDescent="0.35">
      <c r="A3310" t="s">
        <v>34</v>
      </c>
      <c r="B3310" s="1">
        <v>46146.65625</v>
      </c>
      <c r="C3310" t="s">
        <v>34</v>
      </c>
      <c r="D3310" s="1">
        <v>46157.625</v>
      </c>
      <c r="E3310">
        <v>7535</v>
      </c>
      <c r="F3310" t="s">
        <v>36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2</v>
      </c>
      <c r="M3310">
        <v>316.8</v>
      </c>
      <c r="N3310">
        <v>1</v>
      </c>
      <c r="O3310">
        <v>338.2</v>
      </c>
      <c r="P3310">
        <v>0</v>
      </c>
      <c r="Q3310">
        <v>0</v>
      </c>
      <c r="R3310">
        <v>0</v>
      </c>
      <c r="S3310">
        <v>0</v>
      </c>
      <c r="T3310">
        <v>0.1855</v>
      </c>
      <c r="U3310">
        <v>-0.91379999999999995</v>
      </c>
      <c r="V3310">
        <v>6.9999999999999999E-4</v>
      </c>
      <c r="W3310">
        <v>-1.5626</v>
      </c>
      <c r="X3310">
        <v>2.0430999999999999</v>
      </c>
      <c r="Y3310">
        <v>-2.0861999999999998</v>
      </c>
      <c r="Z3310">
        <v>2</v>
      </c>
      <c r="AA3310">
        <v>319.2</v>
      </c>
      <c r="AB3310">
        <v>1</v>
      </c>
      <c r="AC3310">
        <v>338.2</v>
      </c>
      <c r="AD3310">
        <v>0</v>
      </c>
      <c r="AE3310">
        <v>0</v>
      </c>
      <c r="AF3310">
        <v>0</v>
      </c>
      <c r="AG3310">
        <v>0</v>
      </c>
      <c r="AH3310">
        <v>0</v>
      </c>
    </row>
    <row r="3311" spans="1:34" x14ac:dyDescent="0.35">
      <c r="A3311" t="s">
        <v>34</v>
      </c>
      <c r="B3311" s="1">
        <v>46146.65625</v>
      </c>
      <c r="C3311" t="s">
        <v>34</v>
      </c>
      <c r="D3311" s="1">
        <v>46157.625</v>
      </c>
      <c r="E3311">
        <v>7540</v>
      </c>
      <c r="F3311" t="s">
        <v>36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1</v>
      </c>
      <c r="M3311">
        <v>322.10000000000002</v>
      </c>
      <c r="N3311">
        <v>1</v>
      </c>
      <c r="O3311">
        <v>342.6</v>
      </c>
      <c r="P3311">
        <v>0</v>
      </c>
      <c r="Q3311">
        <v>0</v>
      </c>
      <c r="R3311">
        <v>0</v>
      </c>
      <c r="S3311">
        <v>0</v>
      </c>
      <c r="T3311">
        <v>0.18609999999999999</v>
      </c>
      <c r="U3311">
        <v>-0.91610000000000003</v>
      </c>
      <c r="V3311">
        <v>6.9999999999999999E-4</v>
      </c>
      <c r="W3311">
        <v>-1.5322</v>
      </c>
      <c r="X3311">
        <v>2.0034000000000001</v>
      </c>
      <c r="Y3311">
        <v>-2.0926</v>
      </c>
      <c r="Z3311">
        <v>1</v>
      </c>
      <c r="AA3311">
        <v>324.5</v>
      </c>
      <c r="AB3311">
        <v>1</v>
      </c>
      <c r="AC3311">
        <v>342.6</v>
      </c>
      <c r="AD3311">
        <v>0</v>
      </c>
      <c r="AE3311">
        <v>0</v>
      </c>
      <c r="AF3311">
        <v>0</v>
      </c>
      <c r="AG3311">
        <v>0</v>
      </c>
      <c r="AH3311">
        <v>0</v>
      </c>
    </row>
    <row r="3312" spans="1:34" x14ac:dyDescent="0.35">
      <c r="A3312" t="s">
        <v>34</v>
      </c>
      <c r="B3312" s="1">
        <v>46146.65625</v>
      </c>
      <c r="C3312" t="s">
        <v>34</v>
      </c>
      <c r="D3312" s="1">
        <v>46157.625</v>
      </c>
      <c r="E3312">
        <v>7545</v>
      </c>
      <c r="F3312" t="s">
        <v>36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2</v>
      </c>
      <c r="M3312">
        <v>326.7</v>
      </c>
      <c r="N3312">
        <v>1</v>
      </c>
      <c r="O3312">
        <v>348</v>
      </c>
      <c r="P3312">
        <v>0</v>
      </c>
      <c r="Q3312">
        <v>0</v>
      </c>
      <c r="R3312">
        <v>0</v>
      </c>
      <c r="S3312">
        <v>0</v>
      </c>
      <c r="T3312">
        <v>0.18870000000000001</v>
      </c>
      <c r="U3312">
        <v>-0.91649999999999998</v>
      </c>
      <c r="V3312">
        <v>6.9999999999999999E-4</v>
      </c>
      <c r="W3312">
        <v>-1.5482</v>
      </c>
      <c r="X3312">
        <v>1.9964</v>
      </c>
      <c r="Y3312">
        <v>-2.0949</v>
      </c>
      <c r="Z3312">
        <v>2</v>
      </c>
      <c r="AA3312">
        <v>329.1</v>
      </c>
      <c r="AB3312">
        <v>1</v>
      </c>
      <c r="AC3312">
        <v>348</v>
      </c>
      <c r="AD3312">
        <v>0</v>
      </c>
      <c r="AE3312">
        <v>0</v>
      </c>
      <c r="AF3312">
        <v>0</v>
      </c>
      <c r="AG3312">
        <v>0</v>
      </c>
      <c r="AH3312">
        <v>0</v>
      </c>
    </row>
    <row r="3313" spans="1:34" x14ac:dyDescent="0.35">
      <c r="A3313" t="s">
        <v>34</v>
      </c>
      <c r="B3313" s="1">
        <v>46146.65625</v>
      </c>
      <c r="C3313" t="s">
        <v>34</v>
      </c>
      <c r="D3313" s="1">
        <v>46157.625</v>
      </c>
      <c r="E3313">
        <v>7550</v>
      </c>
      <c r="F3313" t="s">
        <v>36</v>
      </c>
      <c r="G3313">
        <v>321.57</v>
      </c>
      <c r="H3313">
        <v>321.57</v>
      </c>
      <c r="I3313">
        <v>321.57</v>
      </c>
      <c r="J3313">
        <v>321.57</v>
      </c>
      <c r="K3313">
        <v>2</v>
      </c>
      <c r="L3313">
        <v>1</v>
      </c>
      <c r="M3313">
        <v>332.1</v>
      </c>
      <c r="N3313">
        <v>1</v>
      </c>
      <c r="O3313">
        <v>353.1</v>
      </c>
      <c r="P3313">
        <v>0</v>
      </c>
      <c r="Q3313">
        <v>0</v>
      </c>
      <c r="R3313">
        <v>0</v>
      </c>
      <c r="S3313">
        <v>0</v>
      </c>
      <c r="T3313">
        <v>0.1928</v>
      </c>
      <c r="U3313">
        <v>-0.91449999999999998</v>
      </c>
      <c r="V3313">
        <v>5.9999999999999995E-4</v>
      </c>
      <c r="W3313">
        <v>-1.6124000000000001</v>
      </c>
      <c r="X3313">
        <v>2.0270000000000001</v>
      </c>
      <c r="Y3313">
        <v>-2.0922999999999998</v>
      </c>
      <c r="Z3313">
        <v>3</v>
      </c>
      <c r="AA3313">
        <v>334.1</v>
      </c>
      <c r="AB3313">
        <v>1</v>
      </c>
      <c r="AC3313">
        <v>353.1</v>
      </c>
      <c r="AD3313">
        <v>0</v>
      </c>
      <c r="AE3313">
        <v>0</v>
      </c>
      <c r="AF3313">
        <v>321.57</v>
      </c>
      <c r="AG3313">
        <v>1</v>
      </c>
      <c r="AH3313">
        <v>0</v>
      </c>
    </row>
    <row r="3314" spans="1:34" x14ac:dyDescent="0.35">
      <c r="A3314" t="s">
        <v>34</v>
      </c>
      <c r="B3314" s="1">
        <v>46146.65625</v>
      </c>
      <c r="C3314" t="s">
        <v>34</v>
      </c>
      <c r="D3314" s="1">
        <v>46157.625</v>
      </c>
      <c r="E3314">
        <v>7555</v>
      </c>
      <c r="F3314" t="s">
        <v>36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1</v>
      </c>
      <c r="M3314">
        <v>337</v>
      </c>
      <c r="N3314">
        <v>1</v>
      </c>
      <c r="O3314">
        <v>358</v>
      </c>
      <c r="P3314">
        <v>0</v>
      </c>
      <c r="Q3314">
        <v>0</v>
      </c>
      <c r="R3314">
        <v>0</v>
      </c>
      <c r="S3314">
        <v>0</v>
      </c>
      <c r="T3314">
        <v>0.19439999999999999</v>
      </c>
      <c r="U3314">
        <v>-0.91579999999999995</v>
      </c>
      <c r="V3314">
        <v>5.9999999999999995E-4</v>
      </c>
      <c r="W3314">
        <v>-1.6051</v>
      </c>
      <c r="X3314">
        <v>2.0044</v>
      </c>
      <c r="Y3314">
        <v>-2.0964999999999998</v>
      </c>
      <c r="Z3314">
        <v>2</v>
      </c>
      <c r="AA3314">
        <v>339</v>
      </c>
      <c r="AB3314">
        <v>1</v>
      </c>
      <c r="AC3314">
        <v>358</v>
      </c>
      <c r="AD3314">
        <v>0</v>
      </c>
      <c r="AE3314">
        <v>0</v>
      </c>
      <c r="AF3314">
        <v>0</v>
      </c>
      <c r="AG3314">
        <v>0</v>
      </c>
      <c r="AH3314">
        <v>0</v>
      </c>
    </row>
    <row r="3315" spans="1:34" x14ac:dyDescent="0.35">
      <c r="A3315" t="s">
        <v>34</v>
      </c>
      <c r="B3315" s="1">
        <v>46146.65625</v>
      </c>
      <c r="C3315" t="s">
        <v>34</v>
      </c>
      <c r="D3315" s="1">
        <v>46157.625</v>
      </c>
      <c r="E3315">
        <v>7560</v>
      </c>
      <c r="F3315" t="s">
        <v>36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2</v>
      </c>
      <c r="M3315">
        <v>341.6</v>
      </c>
      <c r="N3315">
        <v>1</v>
      </c>
      <c r="O3315">
        <v>362.8</v>
      </c>
      <c r="P3315">
        <v>0</v>
      </c>
      <c r="Q3315">
        <v>0</v>
      </c>
      <c r="R3315">
        <v>0</v>
      </c>
      <c r="S3315">
        <v>0</v>
      </c>
      <c r="T3315">
        <v>0.1968</v>
      </c>
      <c r="U3315">
        <v>-0.91590000000000005</v>
      </c>
      <c r="V3315">
        <v>5.9999999999999995E-4</v>
      </c>
      <c r="W3315">
        <v>-1.6233</v>
      </c>
      <c r="X3315">
        <v>2.0015000000000001</v>
      </c>
      <c r="Y3315">
        <v>-2.0983000000000001</v>
      </c>
      <c r="Z3315">
        <v>1</v>
      </c>
      <c r="AA3315">
        <v>344.5</v>
      </c>
      <c r="AB3315">
        <v>1</v>
      </c>
      <c r="AC3315">
        <v>362.8</v>
      </c>
      <c r="AD3315">
        <v>0</v>
      </c>
      <c r="AE3315">
        <v>0</v>
      </c>
      <c r="AF3315">
        <v>0</v>
      </c>
      <c r="AG3315">
        <v>0</v>
      </c>
      <c r="AH3315">
        <v>0</v>
      </c>
    </row>
    <row r="3316" spans="1:34" x14ac:dyDescent="0.35">
      <c r="A3316" t="s">
        <v>34</v>
      </c>
      <c r="B3316" s="1">
        <v>46146.65625</v>
      </c>
      <c r="C3316" t="s">
        <v>34</v>
      </c>
      <c r="D3316" s="1">
        <v>46157.625</v>
      </c>
      <c r="E3316">
        <v>7565</v>
      </c>
      <c r="F3316" t="s">
        <v>36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1</v>
      </c>
      <c r="M3316">
        <v>347</v>
      </c>
      <c r="N3316">
        <v>1</v>
      </c>
      <c r="O3316">
        <v>368</v>
      </c>
      <c r="P3316">
        <v>0</v>
      </c>
      <c r="Q3316">
        <v>0</v>
      </c>
      <c r="R3316">
        <v>0</v>
      </c>
      <c r="S3316">
        <v>0</v>
      </c>
      <c r="T3316">
        <v>0.19850000000000001</v>
      </c>
      <c r="U3316">
        <v>-0.91720000000000002</v>
      </c>
      <c r="V3316">
        <v>5.9999999999999995E-4</v>
      </c>
      <c r="W3316">
        <v>-1.6174999999999999</v>
      </c>
      <c r="X3316">
        <v>1.9796</v>
      </c>
      <c r="Y3316">
        <v>-2.1025</v>
      </c>
      <c r="Z3316">
        <v>1</v>
      </c>
      <c r="AA3316">
        <v>349.3</v>
      </c>
      <c r="AB3316">
        <v>1</v>
      </c>
      <c r="AC3316">
        <v>368</v>
      </c>
      <c r="AD3316">
        <v>0</v>
      </c>
      <c r="AE3316">
        <v>0</v>
      </c>
      <c r="AF3316">
        <v>0</v>
      </c>
      <c r="AG3316">
        <v>0</v>
      </c>
      <c r="AH3316">
        <v>0</v>
      </c>
    </row>
    <row r="3317" spans="1:34" x14ac:dyDescent="0.35">
      <c r="A3317" t="s">
        <v>34</v>
      </c>
      <c r="B3317" s="1">
        <v>46146.65625</v>
      </c>
      <c r="C3317" t="s">
        <v>34</v>
      </c>
      <c r="D3317" s="1">
        <v>46157.625</v>
      </c>
      <c r="E3317">
        <v>7570</v>
      </c>
      <c r="F3317" t="s">
        <v>36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1</v>
      </c>
      <c r="M3317">
        <v>351.9</v>
      </c>
      <c r="N3317">
        <v>1</v>
      </c>
      <c r="O3317">
        <v>372.9</v>
      </c>
      <c r="P3317">
        <v>0</v>
      </c>
      <c r="Q3317">
        <v>0</v>
      </c>
      <c r="R3317">
        <v>0</v>
      </c>
      <c r="S3317">
        <v>0</v>
      </c>
      <c r="T3317">
        <v>0.2</v>
      </c>
      <c r="U3317">
        <v>-0.91839999999999999</v>
      </c>
      <c r="V3317">
        <v>5.9999999999999995E-4</v>
      </c>
      <c r="W3317">
        <v>-1.6096999999999999</v>
      </c>
      <c r="X3317">
        <v>1.9577</v>
      </c>
      <c r="Y3317">
        <v>-2.1065999999999998</v>
      </c>
      <c r="Z3317">
        <v>1</v>
      </c>
      <c r="AA3317">
        <v>354.4</v>
      </c>
      <c r="AB3317">
        <v>1</v>
      </c>
      <c r="AC3317">
        <v>372.9</v>
      </c>
      <c r="AD3317">
        <v>0</v>
      </c>
      <c r="AE3317">
        <v>0</v>
      </c>
      <c r="AF3317">
        <v>0</v>
      </c>
      <c r="AG3317">
        <v>0</v>
      </c>
      <c r="AH3317">
        <v>0</v>
      </c>
    </row>
    <row r="3318" spans="1:34" x14ac:dyDescent="0.35">
      <c r="A3318" t="s">
        <v>34</v>
      </c>
      <c r="B3318" s="1">
        <v>46146.65625</v>
      </c>
      <c r="C3318" t="s">
        <v>34</v>
      </c>
      <c r="D3318" s="1">
        <v>46157.625</v>
      </c>
      <c r="E3318">
        <v>7575</v>
      </c>
      <c r="F3318" t="s">
        <v>36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1</v>
      </c>
      <c r="M3318">
        <v>356.5</v>
      </c>
      <c r="N3318">
        <v>1</v>
      </c>
      <c r="O3318">
        <v>377.7</v>
      </c>
      <c r="P3318">
        <v>0</v>
      </c>
      <c r="Q3318">
        <v>0</v>
      </c>
      <c r="R3318">
        <v>0</v>
      </c>
      <c r="S3318">
        <v>0</v>
      </c>
      <c r="T3318">
        <v>0.20250000000000001</v>
      </c>
      <c r="U3318">
        <v>-0.91849999999999998</v>
      </c>
      <c r="V3318">
        <v>5.9999999999999995E-4</v>
      </c>
      <c r="W3318">
        <v>-1.6277999999999999</v>
      </c>
      <c r="X3318">
        <v>1.9553</v>
      </c>
      <c r="Y3318">
        <v>-2.1082999999999998</v>
      </c>
      <c r="Z3318">
        <v>1</v>
      </c>
      <c r="AA3318">
        <v>359.4</v>
      </c>
      <c r="AB3318">
        <v>1</v>
      </c>
      <c r="AC3318">
        <v>377.7</v>
      </c>
      <c r="AD3318">
        <v>0</v>
      </c>
      <c r="AE3318">
        <v>0</v>
      </c>
      <c r="AF3318">
        <v>0</v>
      </c>
      <c r="AG3318">
        <v>0</v>
      </c>
      <c r="AH3318">
        <v>0</v>
      </c>
    </row>
    <row r="3319" spans="1:34" x14ac:dyDescent="0.35">
      <c r="A3319" t="s">
        <v>34</v>
      </c>
      <c r="B3319" s="1">
        <v>46146.65625</v>
      </c>
      <c r="C3319" t="s">
        <v>34</v>
      </c>
      <c r="D3319" s="1">
        <v>46157.625</v>
      </c>
      <c r="E3319">
        <v>7580</v>
      </c>
      <c r="F3319" t="s">
        <v>36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2</v>
      </c>
      <c r="M3319">
        <v>361.8</v>
      </c>
      <c r="N3319">
        <v>1</v>
      </c>
      <c r="O3319">
        <v>382.9</v>
      </c>
      <c r="P3319">
        <v>0</v>
      </c>
      <c r="Q3319">
        <v>0</v>
      </c>
      <c r="R3319">
        <v>0</v>
      </c>
      <c r="S3319">
        <v>0</v>
      </c>
      <c r="T3319">
        <v>0.20519999999999999</v>
      </c>
      <c r="U3319">
        <v>-0.91839999999999999</v>
      </c>
      <c r="V3319">
        <v>5.9999999999999995E-4</v>
      </c>
      <c r="W3319">
        <v>-1.6504000000000001</v>
      </c>
      <c r="X3319">
        <v>1.9549000000000001</v>
      </c>
      <c r="Y3319">
        <v>-2.1097000000000001</v>
      </c>
      <c r="Z3319">
        <v>3</v>
      </c>
      <c r="AA3319">
        <v>363.9</v>
      </c>
      <c r="AB3319">
        <v>1</v>
      </c>
      <c r="AC3319">
        <v>382.9</v>
      </c>
      <c r="AD3319">
        <v>0</v>
      </c>
      <c r="AE3319">
        <v>0</v>
      </c>
      <c r="AF3319">
        <v>0</v>
      </c>
      <c r="AG3319">
        <v>0</v>
      </c>
      <c r="AH3319">
        <v>0</v>
      </c>
    </row>
    <row r="3320" spans="1:34" x14ac:dyDescent="0.35">
      <c r="A3320" t="s">
        <v>34</v>
      </c>
      <c r="B3320" s="1">
        <v>46146.65625</v>
      </c>
      <c r="C3320" t="s">
        <v>34</v>
      </c>
      <c r="D3320" s="1">
        <v>46157.625</v>
      </c>
      <c r="E3320">
        <v>7585</v>
      </c>
      <c r="F3320" t="s">
        <v>36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1</v>
      </c>
      <c r="M3320">
        <v>366.7</v>
      </c>
      <c r="N3320">
        <v>1</v>
      </c>
      <c r="O3320">
        <v>387.8</v>
      </c>
      <c r="P3320">
        <v>0</v>
      </c>
      <c r="Q3320">
        <v>0</v>
      </c>
      <c r="R3320">
        <v>0</v>
      </c>
      <c r="S3320">
        <v>0</v>
      </c>
      <c r="T3320">
        <v>0.20419999999999999</v>
      </c>
      <c r="U3320">
        <v>-0.92249999999999999</v>
      </c>
      <c r="V3320">
        <v>5.9999999999999995E-4</v>
      </c>
      <c r="W3320">
        <v>-1.5729</v>
      </c>
      <c r="X3320">
        <v>1.883</v>
      </c>
      <c r="Y3320">
        <v>-2.1200999999999999</v>
      </c>
      <c r="Z3320">
        <v>1</v>
      </c>
      <c r="AA3320">
        <v>369.3</v>
      </c>
      <c r="AB3320">
        <v>1</v>
      </c>
      <c r="AC3320">
        <v>387.8</v>
      </c>
      <c r="AD3320">
        <v>0</v>
      </c>
      <c r="AE3320">
        <v>0</v>
      </c>
      <c r="AF3320">
        <v>0</v>
      </c>
      <c r="AG3320">
        <v>0</v>
      </c>
      <c r="AH3320">
        <v>0</v>
      </c>
    </row>
    <row r="3321" spans="1:34" x14ac:dyDescent="0.35">
      <c r="A3321" t="s">
        <v>34</v>
      </c>
      <c r="B3321" s="1">
        <v>46146.65625</v>
      </c>
      <c r="C3321" t="s">
        <v>34</v>
      </c>
      <c r="D3321" s="1">
        <v>46157.625</v>
      </c>
      <c r="E3321">
        <v>7590</v>
      </c>
      <c r="F3321" t="s">
        <v>36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1</v>
      </c>
      <c r="M3321">
        <v>371.5</v>
      </c>
      <c r="N3321">
        <v>1</v>
      </c>
      <c r="O3321">
        <v>390.9</v>
      </c>
      <c r="P3321">
        <v>0</v>
      </c>
      <c r="Q3321">
        <v>0</v>
      </c>
      <c r="R3321">
        <v>0</v>
      </c>
      <c r="S3321">
        <v>0</v>
      </c>
      <c r="T3321">
        <v>0.1948</v>
      </c>
      <c r="U3321">
        <v>-0.93469999999999998</v>
      </c>
      <c r="V3321">
        <v>5.0000000000000001E-4</v>
      </c>
      <c r="W3321">
        <v>-1.2984</v>
      </c>
      <c r="X3321">
        <v>1.6623000000000001</v>
      </c>
      <c r="Y3321">
        <v>-2.1472000000000002</v>
      </c>
      <c r="Z3321">
        <v>1</v>
      </c>
      <c r="AA3321">
        <v>374.2</v>
      </c>
      <c r="AB3321">
        <v>1</v>
      </c>
      <c r="AC3321">
        <v>397.2</v>
      </c>
      <c r="AD3321">
        <v>0</v>
      </c>
      <c r="AE3321">
        <v>0</v>
      </c>
      <c r="AF3321">
        <v>0</v>
      </c>
      <c r="AG3321">
        <v>0</v>
      </c>
      <c r="AH3321">
        <v>0</v>
      </c>
    </row>
    <row r="3322" spans="1:34" x14ac:dyDescent="0.35">
      <c r="A3322" t="s">
        <v>34</v>
      </c>
      <c r="B3322" s="1">
        <v>46146.65625</v>
      </c>
      <c r="C3322" t="s">
        <v>34</v>
      </c>
      <c r="D3322" s="1">
        <v>46157.625</v>
      </c>
      <c r="E3322">
        <v>7595</v>
      </c>
      <c r="F3322" t="s">
        <v>36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1</v>
      </c>
      <c r="M3322">
        <v>376.8</v>
      </c>
      <c r="N3322">
        <v>1</v>
      </c>
      <c r="O3322">
        <v>397.6</v>
      </c>
      <c r="P3322">
        <v>0</v>
      </c>
      <c r="Q3322">
        <v>0</v>
      </c>
      <c r="R3322">
        <v>0</v>
      </c>
      <c r="S3322">
        <v>0</v>
      </c>
      <c r="T3322">
        <v>0.20860000000000001</v>
      </c>
      <c r="U3322">
        <v>-0.92310000000000003</v>
      </c>
      <c r="V3322">
        <v>5.9999999999999995E-4</v>
      </c>
      <c r="W3322">
        <v>-1.5964</v>
      </c>
      <c r="X3322">
        <v>1.8704000000000001</v>
      </c>
      <c r="Y3322">
        <v>-2.1242999999999999</v>
      </c>
      <c r="Z3322">
        <v>1</v>
      </c>
      <c r="AA3322">
        <v>379.2</v>
      </c>
      <c r="AB3322">
        <v>1</v>
      </c>
      <c r="AC3322">
        <v>397.6</v>
      </c>
      <c r="AD3322">
        <v>0</v>
      </c>
      <c r="AE3322">
        <v>0</v>
      </c>
      <c r="AF3322">
        <v>0</v>
      </c>
      <c r="AG3322">
        <v>0</v>
      </c>
      <c r="AH3322">
        <v>0</v>
      </c>
    </row>
    <row r="3323" spans="1:34" x14ac:dyDescent="0.35">
      <c r="A3323" t="s">
        <v>34</v>
      </c>
      <c r="B3323" s="1">
        <v>46146.65625</v>
      </c>
      <c r="C3323" t="s">
        <v>34</v>
      </c>
      <c r="D3323" s="1">
        <v>46157.625</v>
      </c>
      <c r="E3323">
        <v>7600</v>
      </c>
      <c r="F3323" t="s">
        <v>36</v>
      </c>
      <c r="G3323">
        <v>370.76</v>
      </c>
      <c r="H3323">
        <v>370.76</v>
      </c>
      <c r="I3323">
        <v>370.76</v>
      </c>
      <c r="J3323">
        <v>370.76</v>
      </c>
      <c r="K3323">
        <v>2</v>
      </c>
      <c r="L3323">
        <v>2</v>
      </c>
      <c r="M3323">
        <v>381.7</v>
      </c>
      <c r="N3323">
        <v>1</v>
      </c>
      <c r="O3323">
        <v>402.6</v>
      </c>
      <c r="P3323">
        <v>0</v>
      </c>
      <c r="Q3323">
        <v>0</v>
      </c>
      <c r="R3323">
        <v>0</v>
      </c>
      <c r="S3323">
        <v>0</v>
      </c>
      <c r="T3323">
        <v>0.2117</v>
      </c>
      <c r="U3323">
        <v>-0.92249999999999999</v>
      </c>
      <c r="V3323">
        <v>5.9999999999999995E-4</v>
      </c>
      <c r="W3323">
        <v>-1.6315999999999999</v>
      </c>
      <c r="X3323">
        <v>1.8807</v>
      </c>
      <c r="Y3323">
        <v>-2.1244999999999998</v>
      </c>
      <c r="Z3323">
        <v>3</v>
      </c>
      <c r="AA3323">
        <v>383.8</v>
      </c>
      <c r="AB3323">
        <v>1</v>
      </c>
      <c r="AC3323">
        <v>402.6</v>
      </c>
      <c r="AD3323">
        <v>0</v>
      </c>
      <c r="AE3323">
        <v>0</v>
      </c>
      <c r="AF3323">
        <v>370.76</v>
      </c>
      <c r="AG3323">
        <v>1</v>
      </c>
      <c r="AH3323">
        <v>0</v>
      </c>
    </row>
    <row r="3324" spans="1:34" x14ac:dyDescent="0.35">
      <c r="A3324" t="s">
        <v>34</v>
      </c>
      <c r="B3324" s="1">
        <v>46146.65625</v>
      </c>
      <c r="C3324" t="s">
        <v>34</v>
      </c>
      <c r="D3324" s="1">
        <v>46157.625</v>
      </c>
      <c r="E3324">
        <v>7605</v>
      </c>
      <c r="F3324" t="s">
        <v>36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1</v>
      </c>
      <c r="M3324">
        <v>386.8</v>
      </c>
      <c r="N3324">
        <v>1</v>
      </c>
      <c r="O3324">
        <v>406.6</v>
      </c>
      <c r="P3324">
        <v>0</v>
      </c>
      <c r="Q3324">
        <v>0</v>
      </c>
      <c r="R3324">
        <v>0</v>
      </c>
      <c r="S3324">
        <v>0</v>
      </c>
      <c r="T3324">
        <v>0.20669999999999999</v>
      </c>
      <c r="U3324">
        <v>-0.93</v>
      </c>
      <c r="V3324">
        <v>5.0000000000000001E-4</v>
      </c>
      <c r="W3324">
        <v>-1.4615</v>
      </c>
      <c r="X3324">
        <v>1.7444999999999999</v>
      </c>
      <c r="Y3324">
        <v>-2.1419999999999999</v>
      </c>
      <c r="Z3324">
        <v>1</v>
      </c>
      <c r="AA3324">
        <v>390.2</v>
      </c>
      <c r="AB3324">
        <v>1</v>
      </c>
      <c r="AC3324">
        <v>412.5</v>
      </c>
      <c r="AD3324">
        <v>0</v>
      </c>
      <c r="AE3324">
        <v>0</v>
      </c>
      <c r="AF3324">
        <v>0</v>
      </c>
      <c r="AG3324">
        <v>0</v>
      </c>
      <c r="AH3324">
        <v>0</v>
      </c>
    </row>
    <row r="3325" spans="1:34" x14ac:dyDescent="0.35">
      <c r="A3325" t="s">
        <v>34</v>
      </c>
      <c r="B3325" s="1">
        <v>46146.65625</v>
      </c>
      <c r="C3325" t="s">
        <v>34</v>
      </c>
      <c r="D3325" s="1">
        <v>46157.625</v>
      </c>
      <c r="E3325">
        <v>7610</v>
      </c>
      <c r="F3325" t="s">
        <v>36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1</v>
      </c>
      <c r="M3325">
        <v>391.6</v>
      </c>
      <c r="N3325">
        <v>1</v>
      </c>
      <c r="O3325">
        <v>412.6</v>
      </c>
      <c r="P3325">
        <v>0</v>
      </c>
      <c r="Q3325">
        <v>0</v>
      </c>
      <c r="R3325">
        <v>0</v>
      </c>
      <c r="S3325">
        <v>0</v>
      </c>
      <c r="T3325">
        <v>0.21609999999999999</v>
      </c>
      <c r="U3325">
        <v>-0.92320000000000002</v>
      </c>
      <c r="V3325">
        <v>5.0000000000000001E-4</v>
      </c>
      <c r="W3325">
        <v>-1.6538999999999999</v>
      </c>
      <c r="X3325">
        <v>1.8672</v>
      </c>
      <c r="Y3325">
        <v>-2.1288999999999998</v>
      </c>
      <c r="Z3325">
        <v>3</v>
      </c>
      <c r="AA3325">
        <v>393.8</v>
      </c>
      <c r="AB3325">
        <v>1</v>
      </c>
      <c r="AC3325">
        <v>412.6</v>
      </c>
      <c r="AD3325">
        <v>0</v>
      </c>
      <c r="AE3325">
        <v>0</v>
      </c>
      <c r="AF3325">
        <v>0</v>
      </c>
      <c r="AG3325">
        <v>0</v>
      </c>
      <c r="AH3325">
        <v>0</v>
      </c>
    </row>
    <row r="3326" spans="1:34" x14ac:dyDescent="0.35">
      <c r="A3326" t="s">
        <v>34</v>
      </c>
      <c r="B3326" s="1">
        <v>46146.65625</v>
      </c>
      <c r="C3326" t="s">
        <v>34</v>
      </c>
      <c r="D3326" s="1">
        <v>46157.625</v>
      </c>
      <c r="E3326">
        <v>7620</v>
      </c>
      <c r="F3326" t="s">
        <v>36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2</v>
      </c>
      <c r="M3326">
        <v>401.6</v>
      </c>
      <c r="N3326">
        <v>2</v>
      </c>
      <c r="O3326">
        <v>422.9</v>
      </c>
      <c r="P3326">
        <v>0</v>
      </c>
      <c r="Q3326">
        <v>0</v>
      </c>
      <c r="R3326">
        <v>0</v>
      </c>
      <c r="S3326">
        <v>0</v>
      </c>
      <c r="T3326">
        <v>0.22140000000000001</v>
      </c>
      <c r="U3326">
        <v>-0.92300000000000004</v>
      </c>
      <c r="V3326">
        <v>5.0000000000000001E-4</v>
      </c>
      <c r="W3326">
        <v>-1.6962999999999999</v>
      </c>
      <c r="X3326">
        <v>1.8672</v>
      </c>
      <c r="Y3326">
        <v>-2.1318000000000001</v>
      </c>
      <c r="Z3326">
        <v>3</v>
      </c>
      <c r="AA3326">
        <v>403.7</v>
      </c>
      <c r="AB3326">
        <v>1</v>
      </c>
      <c r="AC3326">
        <v>423</v>
      </c>
      <c r="AD3326">
        <v>0</v>
      </c>
      <c r="AE3326">
        <v>0</v>
      </c>
      <c r="AF3326">
        <v>0</v>
      </c>
      <c r="AG3326">
        <v>0</v>
      </c>
      <c r="AH3326">
        <v>0</v>
      </c>
    </row>
    <row r="3327" spans="1:34" x14ac:dyDescent="0.35">
      <c r="A3327" t="s">
        <v>34</v>
      </c>
      <c r="B3327" s="1">
        <v>46146.65625</v>
      </c>
      <c r="C3327" t="s">
        <v>34</v>
      </c>
      <c r="D3327" s="1">
        <v>46157.625</v>
      </c>
      <c r="E3327">
        <v>7625</v>
      </c>
      <c r="F3327" t="s">
        <v>36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1</v>
      </c>
      <c r="M3327">
        <v>406.5</v>
      </c>
      <c r="N3327">
        <v>1</v>
      </c>
      <c r="O3327">
        <v>427.6</v>
      </c>
      <c r="P3327">
        <v>0</v>
      </c>
      <c r="Q3327">
        <v>0</v>
      </c>
      <c r="R3327">
        <v>0</v>
      </c>
      <c r="S3327">
        <v>0</v>
      </c>
      <c r="T3327">
        <v>0.22209999999999999</v>
      </c>
      <c r="U3327">
        <v>-0.92469999999999997</v>
      </c>
      <c r="V3327">
        <v>5.0000000000000001E-4</v>
      </c>
      <c r="W3327">
        <v>-1.6701999999999999</v>
      </c>
      <c r="X3327">
        <v>1.8361000000000001</v>
      </c>
      <c r="Y3327">
        <v>-2.1368999999999998</v>
      </c>
      <c r="Z3327">
        <v>1</v>
      </c>
      <c r="AA3327">
        <v>409.1</v>
      </c>
      <c r="AB3327">
        <v>1</v>
      </c>
      <c r="AC3327">
        <v>427.6</v>
      </c>
      <c r="AD3327">
        <v>0</v>
      </c>
      <c r="AE3327">
        <v>0</v>
      </c>
      <c r="AF3327">
        <v>0</v>
      </c>
      <c r="AG3327">
        <v>0</v>
      </c>
      <c r="AH3327">
        <v>0</v>
      </c>
    </row>
    <row r="3328" spans="1:34" x14ac:dyDescent="0.35">
      <c r="A3328" t="s">
        <v>34</v>
      </c>
      <c r="B3328" s="1">
        <v>46146.65625</v>
      </c>
      <c r="C3328" t="s">
        <v>34</v>
      </c>
      <c r="D3328" s="1">
        <v>46157.625</v>
      </c>
      <c r="E3328">
        <v>7630</v>
      </c>
      <c r="F3328" t="s">
        <v>36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1</v>
      </c>
      <c r="M3328">
        <v>411.5</v>
      </c>
      <c r="N3328">
        <v>1</v>
      </c>
      <c r="O3328">
        <v>432.7</v>
      </c>
      <c r="P3328">
        <v>0</v>
      </c>
      <c r="Q3328">
        <v>0</v>
      </c>
      <c r="R3328">
        <v>0</v>
      </c>
      <c r="S3328">
        <v>0</v>
      </c>
      <c r="T3328">
        <v>0.22470000000000001</v>
      </c>
      <c r="U3328">
        <v>-0.92469999999999997</v>
      </c>
      <c r="V3328">
        <v>5.0000000000000001E-4</v>
      </c>
      <c r="W3328">
        <v>-1.6899</v>
      </c>
      <c r="X3328">
        <v>1.8355999999999999</v>
      </c>
      <c r="Y3328">
        <v>-2.1383999999999999</v>
      </c>
      <c r="Z3328">
        <v>3</v>
      </c>
      <c r="AA3328">
        <v>413.7</v>
      </c>
      <c r="AB3328">
        <v>1</v>
      </c>
      <c r="AC3328">
        <v>432.7</v>
      </c>
      <c r="AD3328">
        <v>0</v>
      </c>
      <c r="AE3328">
        <v>0</v>
      </c>
      <c r="AF3328">
        <v>0</v>
      </c>
      <c r="AG3328">
        <v>0</v>
      </c>
      <c r="AH3328">
        <v>0</v>
      </c>
    </row>
    <row r="3329" spans="1:34" x14ac:dyDescent="0.35">
      <c r="A3329" t="s">
        <v>34</v>
      </c>
      <c r="B3329" s="1">
        <v>46146.65625</v>
      </c>
      <c r="C3329" t="s">
        <v>34</v>
      </c>
      <c r="D3329" s="1">
        <v>46157.625</v>
      </c>
      <c r="E3329">
        <v>7640</v>
      </c>
      <c r="F3329" t="s">
        <v>36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1</v>
      </c>
      <c r="M3329">
        <v>421.5</v>
      </c>
      <c r="N3329">
        <v>1</v>
      </c>
      <c r="O3329">
        <v>442.5</v>
      </c>
      <c r="P3329">
        <v>0</v>
      </c>
      <c r="Q3329">
        <v>0</v>
      </c>
      <c r="R3329">
        <v>0</v>
      </c>
      <c r="S3329">
        <v>0</v>
      </c>
      <c r="T3329">
        <v>0.22750000000000001</v>
      </c>
      <c r="U3329">
        <v>-0.92679999999999996</v>
      </c>
      <c r="V3329">
        <v>5.0000000000000001E-4</v>
      </c>
      <c r="W3329">
        <v>-1.6715</v>
      </c>
      <c r="X3329">
        <v>1.7968999999999999</v>
      </c>
      <c r="Y3329">
        <v>-2.1457999999999999</v>
      </c>
      <c r="Z3329">
        <v>1</v>
      </c>
      <c r="AA3329">
        <v>424</v>
      </c>
      <c r="AB3329">
        <v>1</v>
      </c>
      <c r="AC3329">
        <v>442.5</v>
      </c>
      <c r="AD3329">
        <v>0</v>
      </c>
      <c r="AE3329">
        <v>0</v>
      </c>
      <c r="AF3329">
        <v>0</v>
      </c>
      <c r="AG3329">
        <v>0</v>
      </c>
      <c r="AH3329">
        <v>0</v>
      </c>
    </row>
    <row r="3330" spans="1:34" x14ac:dyDescent="0.35">
      <c r="A3330" t="s">
        <v>34</v>
      </c>
      <c r="B3330" s="1">
        <v>46146.65625</v>
      </c>
      <c r="C3330" t="s">
        <v>34</v>
      </c>
      <c r="D3330" s="1">
        <v>46157.625</v>
      </c>
      <c r="E3330">
        <v>7650</v>
      </c>
      <c r="F3330" t="s">
        <v>36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1</v>
      </c>
      <c r="M3330">
        <v>431.6</v>
      </c>
      <c r="N3330">
        <v>1</v>
      </c>
      <c r="O3330">
        <v>452.6</v>
      </c>
      <c r="P3330">
        <v>0</v>
      </c>
      <c r="Q3330">
        <v>0</v>
      </c>
      <c r="R3330">
        <v>0</v>
      </c>
      <c r="S3330">
        <v>0</v>
      </c>
      <c r="T3330">
        <v>0.23050000000000001</v>
      </c>
      <c r="U3330">
        <v>-0.92879999999999996</v>
      </c>
      <c r="V3330">
        <v>5.0000000000000001E-4</v>
      </c>
      <c r="W3330">
        <v>-1.6538999999999999</v>
      </c>
      <c r="X3330">
        <v>1.7589999999999999</v>
      </c>
      <c r="Y3330">
        <v>-2.153</v>
      </c>
      <c r="Z3330">
        <v>3</v>
      </c>
      <c r="AA3330">
        <v>433.6</v>
      </c>
      <c r="AB3330">
        <v>1</v>
      </c>
      <c r="AC3330">
        <v>452.6</v>
      </c>
      <c r="AD3330">
        <v>0</v>
      </c>
      <c r="AE3330">
        <v>0</v>
      </c>
      <c r="AF3330">
        <v>0</v>
      </c>
      <c r="AG3330">
        <v>1</v>
      </c>
      <c r="AH3330">
        <v>0</v>
      </c>
    </row>
    <row r="3331" spans="1:34" x14ac:dyDescent="0.35">
      <c r="A3331" t="s">
        <v>34</v>
      </c>
      <c r="B3331" s="1">
        <v>46146.65625</v>
      </c>
      <c r="C3331" t="s">
        <v>34</v>
      </c>
      <c r="D3331" s="1">
        <v>46157.625</v>
      </c>
      <c r="E3331">
        <v>7660</v>
      </c>
      <c r="F3331" t="s">
        <v>36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1</v>
      </c>
      <c r="M3331">
        <v>441.4</v>
      </c>
      <c r="N3331">
        <v>1</v>
      </c>
      <c r="O3331">
        <v>462.5</v>
      </c>
      <c r="P3331">
        <v>0</v>
      </c>
      <c r="Q3331">
        <v>0</v>
      </c>
      <c r="R3331">
        <v>0</v>
      </c>
      <c r="S3331">
        <v>0</v>
      </c>
      <c r="T3331">
        <v>0.2354</v>
      </c>
      <c r="U3331">
        <v>-0.92859999999999998</v>
      </c>
      <c r="V3331">
        <v>5.0000000000000001E-4</v>
      </c>
      <c r="W3331">
        <v>-1.6918</v>
      </c>
      <c r="X3331">
        <v>1.7596000000000001</v>
      </c>
      <c r="Y3331">
        <v>-2.1558000000000002</v>
      </c>
      <c r="Z3331">
        <v>1</v>
      </c>
      <c r="AA3331">
        <v>444</v>
      </c>
      <c r="AB3331">
        <v>1</v>
      </c>
      <c r="AC3331">
        <v>462.5</v>
      </c>
      <c r="AD3331">
        <v>0</v>
      </c>
      <c r="AE3331">
        <v>0</v>
      </c>
      <c r="AF3331">
        <v>0</v>
      </c>
      <c r="AG3331">
        <v>0</v>
      </c>
      <c r="AH3331">
        <v>0</v>
      </c>
    </row>
    <row r="3332" spans="1:34" x14ac:dyDescent="0.35">
      <c r="A3332" t="s">
        <v>34</v>
      </c>
      <c r="B3332" s="1">
        <v>46146.65625</v>
      </c>
      <c r="C3332" t="s">
        <v>34</v>
      </c>
      <c r="D3332" s="1">
        <v>46157.625</v>
      </c>
      <c r="E3332">
        <v>7670</v>
      </c>
      <c r="F3332" t="s">
        <v>36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1</v>
      </c>
      <c r="M3332">
        <v>451.6</v>
      </c>
      <c r="N3332">
        <v>1</v>
      </c>
      <c r="O3332">
        <v>472.6</v>
      </c>
      <c r="P3332">
        <v>0</v>
      </c>
      <c r="Q3332">
        <v>0</v>
      </c>
      <c r="R3332">
        <v>0</v>
      </c>
      <c r="S3332">
        <v>0</v>
      </c>
      <c r="T3332">
        <v>0.23830000000000001</v>
      </c>
      <c r="U3332">
        <v>-0.93049999999999999</v>
      </c>
      <c r="V3332">
        <v>5.0000000000000001E-4</v>
      </c>
      <c r="W3332">
        <v>-1.6735</v>
      </c>
      <c r="X3332">
        <v>1.7233000000000001</v>
      </c>
      <c r="Y3332">
        <v>-2.1627999999999998</v>
      </c>
      <c r="Z3332">
        <v>3</v>
      </c>
      <c r="AA3332">
        <v>453.6</v>
      </c>
      <c r="AB3332">
        <v>1</v>
      </c>
      <c r="AC3332">
        <v>472.6</v>
      </c>
      <c r="AD3332">
        <v>0</v>
      </c>
      <c r="AE3332">
        <v>0</v>
      </c>
      <c r="AF3332">
        <v>0</v>
      </c>
      <c r="AG3332">
        <v>0</v>
      </c>
      <c r="AH3332">
        <v>0</v>
      </c>
    </row>
    <row r="3333" spans="1:34" x14ac:dyDescent="0.35">
      <c r="A3333" t="s">
        <v>34</v>
      </c>
      <c r="B3333" s="1">
        <v>46146.65625</v>
      </c>
      <c r="C3333" t="s">
        <v>34</v>
      </c>
      <c r="D3333" s="1">
        <v>46157.625</v>
      </c>
      <c r="E3333">
        <v>7675</v>
      </c>
      <c r="F3333" t="s">
        <v>36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1</v>
      </c>
      <c r="M3333">
        <v>456.6</v>
      </c>
      <c r="N3333">
        <v>1</v>
      </c>
      <c r="O3333">
        <v>477.5</v>
      </c>
      <c r="P3333">
        <v>0</v>
      </c>
      <c r="Q3333">
        <v>0</v>
      </c>
      <c r="R3333">
        <v>0</v>
      </c>
      <c r="S3333">
        <v>0</v>
      </c>
      <c r="T3333">
        <v>0.23960000000000001</v>
      </c>
      <c r="U3333">
        <v>-0.93149999999999999</v>
      </c>
      <c r="V3333">
        <v>4.0000000000000002E-4</v>
      </c>
      <c r="W3333">
        <v>-1.6633</v>
      </c>
      <c r="X3333">
        <v>1.7053</v>
      </c>
      <c r="Y3333">
        <v>-2.1661999999999999</v>
      </c>
      <c r="Z3333">
        <v>1</v>
      </c>
      <c r="AA3333">
        <v>458.8</v>
      </c>
      <c r="AB3333">
        <v>1</v>
      </c>
      <c r="AC3333">
        <v>477.5</v>
      </c>
      <c r="AD3333">
        <v>0</v>
      </c>
      <c r="AE3333">
        <v>0</v>
      </c>
      <c r="AF3333">
        <v>0</v>
      </c>
      <c r="AG3333">
        <v>0</v>
      </c>
      <c r="AH3333">
        <v>0</v>
      </c>
    </row>
    <row r="3334" spans="1:34" x14ac:dyDescent="0.35">
      <c r="A3334" t="s">
        <v>34</v>
      </c>
      <c r="B3334" s="1">
        <v>46146.65625</v>
      </c>
      <c r="C3334" t="s">
        <v>34</v>
      </c>
      <c r="D3334" s="1">
        <v>46157.625</v>
      </c>
      <c r="E3334">
        <v>7680</v>
      </c>
      <c r="F3334" t="s">
        <v>36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1</v>
      </c>
      <c r="M3334">
        <v>461.3</v>
      </c>
      <c r="N3334">
        <v>1</v>
      </c>
      <c r="O3334">
        <v>482.6</v>
      </c>
      <c r="P3334">
        <v>0</v>
      </c>
      <c r="Q3334">
        <v>0</v>
      </c>
      <c r="R3334">
        <v>0</v>
      </c>
      <c r="S3334">
        <v>0</v>
      </c>
      <c r="T3334">
        <v>0.24379999999999999</v>
      </c>
      <c r="U3334">
        <v>-0.92989999999999995</v>
      </c>
      <c r="V3334">
        <v>4.0000000000000002E-4</v>
      </c>
      <c r="W3334">
        <v>-1.7262</v>
      </c>
      <c r="X3334">
        <v>1.7339</v>
      </c>
      <c r="Y3334">
        <v>-2.1644000000000001</v>
      </c>
      <c r="Z3334">
        <v>3</v>
      </c>
      <c r="AA3334">
        <v>463.5</v>
      </c>
      <c r="AB3334">
        <v>1</v>
      </c>
      <c r="AC3334">
        <v>482.6</v>
      </c>
      <c r="AD3334">
        <v>0</v>
      </c>
      <c r="AE3334">
        <v>0</v>
      </c>
      <c r="AF3334">
        <v>0</v>
      </c>
      <c r="AG3334">
        <v>0</v>
      </c>
      <c r="AH3334">
        <v>0</v>
      </c>
    </row>
    <row r="3335" spans="1:34" x14ac:dyDescent="0.35">
      <c r="A3335" t="s">
        <v>34</v>
      </c>
      <c r="B3335" s="1">
        <v>46146.65625</v>
      </c>
      <c r="C3335" t="s">
        <v>34</v>
      </c>
      <c r="D3335" s="1">
        <v>46157.625</v>
      </c>
      <c r="E3335">
        <v>7690</v>
      </c>
      <c r="F3335" t="s">
        <v>36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1</v>
      </c>
      <c r="M3335">
        <v>471.5</v>
      </c>
      <c r="N3335">
        <v>1</v>
      </c>
      <c r="O3335">
        <v>491.6</v>
      </c>
      <c r="P3335">
        <v>0</v>
      </c>
      <c r="Q3335">
        <v>0</v>
      </c>
      <c r="R3335">
        <v>0</v>
      </c>
      <c r="S3335">
        <v>0</v>
      </c>
      <c r="T3335">
        <v>0.2397</v>
      </c>
      <c r="U3335">
        <v>-0.93740000000000001</v>
      </c>
      <c r="V3335">
        <v>4.0000000000000002E-4</v>
      </c>
      <c r="W3335">
        <v>-1.5387999999999999</v>
      </c>
      <c r="X3335">
        <v>1.5938000000000001</v>
      </c>
      <c r="Y3335">
        <v>-2.1829999999999998</v>
      </c>
      <c r="Z3335">
        <v>1</v>
      </c>
      <c r="AA3335">
        <v>474.9</v>
      </c>
      <c r="AB3335">
        <v>1</v>
      </c>
      <c r="AC3335">
        <v>496.9</v>
      </c>
      <c r="AD3335">
        <v>0</v>
      </c>
      <c r="AE3335">
        <v>0</v>
      </c>
      <c r="AF3335">
        <v>0</v>
      </c>
      <c r="AG3335">
        <v>0</v>
      </c>
      <c r="AH3335">
        <v>0</v>
      </c>
    </row>
    <row r="3336" spans="1:34" x14ac:dyDescent="0.35">
      <c r="A3336" t="s">
        <v>34</v>
      </c>
      <c r="B3336" s="1">
        <v>46146.65625</v>
      </c>
      <c r="C3336" t="s">
        <v>34</v>
      </c>
      <c r="D3336" s="1">
        <v>46157.625</v>
      </c>
      <c r="E3336">
        <v>7700</v>
      </c>
      <c r="F3336" t="s">
        <v>36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1</v>
      </c>
      <c r="M3336">
        <v>481.3</v>
      </c>
      <c r="N3336">
        <v>1</v>
      </c>
      <c r="O3336">
        <v>502.1</v>
      </c>
      <c r="P3336">
        <v>0</v>
      </c>
      <c r="Q3336">
        <v>0</v>
      </c>
      <c r="R3336">
        <v>0</v>
      </c>
      <c r="S3336">
        <v>0</v>
      </c>
      <c r="T3336">
        <v>0.2485</v>
      </c>
      <c r="U3336">
        <v>-0.93400000000000005</v>
      </c>
      <c r="V3336">
        <v>4.0000000000000002E-4</v>
      </c>
      <c r="W3336">
        <v>-1.6695</v>
      </c>
      <c r="X3336">
        <v>1.6551</v>
      </c>
      <c r="Y3336">
        <v>-2.1791</v>
      </c>
      <c r="Z3336">
        <v>3</v>
      </c>
      <c r="AA3336">
        <v>483.5</v>
      </c>
      <c r="AB3336">
        <v>1</v>
      </c>
      <c r="AC3336">
        <v>502.1</v>
      </c>
      <c r="AD3336">
        <v>0</v>
      </c>
      <c r="AE3336">
        <v>0</v>
      </c>
      <c r="AF3336">
        <v>0</v>
      </c>
      <c r="AG3336">
        <v>0</v>
      </c>
      <c r="AH3336">
        <v>0</v>
      </c>
    </row>
    <row r="3337" spans="1:34" x14ac:dyDescent="0.35">
      <c r="A3337" t="s">
        <v>34</v>
      </c>
      <c r="B3337" s="1">
        <v>46146.65625</v>
      </c>
      <c r="C3337" t="s">
        <v>34</v>
      </c>
      <c r="D3337" s="1">
        <v>46157.625</v>
      </c>
      <c r="E3337">
        <v>7710</v>
      </c>
      <c r="F3337" t="s">
        <v>36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2</v>
      </c>
      <c r="M3337">
        <v>491.4</v>
      </c>
      <c r="N3337">
        <v>2</v>
      </c>
      <c r="O3337">
        <v>512.6</v>
      </c>
      <c r="P3337">
        <v>0</v>
      </c>
      <c r="Q3337">
        <v>0</v>
      </c>
      <c r="R3337">
        <v>0</v>
      </c>
      <c r="S3337">
        <v>0</v>
      </c>
      <c r="T3337">
        <v>0.255</v>
      </c>
      <c r="U3337">
        <v>-0.93269999999999997</v>
      </c>
      <c r="V3337">
        <v>4.0000000000000002E-4</v>
      </c>
      <c r="W3337">
        <v>-1.7425999999999999</v>
      </c>
      <c r="X3337">
        <v>1.6779999999999999</v>
      </c>
      <c r="Y3337">
        <v>-2.1793999999999998</v>
      </c>
      <c r="Z3337">
        <v>2</v>
      </c>
      <c r="AA3337">
        <v>493.5</v>
      </c>
      <c r="AB3337">
        <v>1</v>
      </c>
      <c r="AC3337">
        <v>513.20000000000005</v>
      </c>
      <c r="AD3337">
        <v>0</v>
      </c>
      <c r="AE3337">
        <v>0</v>
      </c>
      <c r="AF3337">
        <v>0</v>
      </c>
      <c r="AG3337">
        <v>0</v>
      </c>
      <c r="AH3337">
        <v>0</v>
      </c>
    </row>
    <row r="3338" spans="1:34" x14ac:dyDescent="0.35">
      <c r="A3338" t="s">
        <v>34</v>
      </c>
      <c r="B3338" s="1">
        <v>46146.65625</v>
      </c>
      <c r="C3338" t="s">
        <v>34</v>
      </c>
      <c r="D3338" s="1">
        <v>46157.625</v>
      </c>
      <c r="E3338">
        <v>7720</v>
      </c>
      <c r="F3338" t="s">
        <v>36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1</v>
      </c>
      <c r="M3338">
        <v>501.3</v>
      </c>
      <c r="N3338">
        <v>1</v>
      </c>
      <c r="O3338">
        <v>522.5</v>
      </c>
      <c r="P3338">
        <v>0</v>
      </c>
      <c r="Q3338">
        <v>0</v>
      </c>
      <c r="R3338">
        <v>0</v>
      </c>
      <c r="S3338">
        <v>0</v>
      </c>
      <c r="T3338">
        <v>0.25869999999999999</v>
      </c>
      <c r="U3338">
        <v>-0.9335</v>
      </c>
      <c r="V3338">
        <v>4.0000000000000002E-4</v>
      </c>
      <c r="W3338">
        <v>-1.7486999999999999</v>
      </c>
      <c r="X3338">
        <v>1.6613</v>
      </c>
      <c r="Y3338">
        <v>-2.1840999999999999</v>
      </c>
      <c r="Z3338">
        <v>3</v>
      </c>
      <c r="AA3338">
        <v>503.4</v>
      </c>
      <c r="AB3338">
        <v>1</v>
      </c>
      <c r="AC3338">
        <v>522.5</v>
      </c>
      <c r="AD3338">
        <v>0</v>
      </c>
      <c r="AE3338">
        <v>0</v>
      </c>
      <c r="AF3338">
        <v>0</v>
      </c>
      <c r="AG3338">
        <v>0</v>
      </c>
      <c r="AH3338">
        <v>0</v>
      </c>
    </row>
    <row r="3339" spans="1:34" x14ac:dyDescent="0.35">
      <c r="A3339" t="s">
        <v>34</v>
      </c>
      <c r="B3339" s="1">
        <v>46146.65625</v>
      </c>
      <c r="C3339" t="s">
        <v>34</v>
      </c>
      <c r="D3339" s="1">
        <v>46157.625</v>
      </c>
      <c r="E3339">
        <v>7725</v>
      </c>
      <c r="F3339" t="s">
        <v>36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1</v>
      </c>
      <c r="M3339">
        <v>506.4</v>
      </c>
      <c r="N3339">
        <v>1</v>
      </c>
      <c r="O3339">
        <v>525</v>
      </c>
      <c r="P3339">
        <v>0</v>
      </c>
      <c r="Q3339">
        <v>0</v>
      </c>
      <c r="R3339">
        <v>0</v>
      </c>
      <c r="S3339">
        <v>0</v>
      </c>
      <c r="T3339">
        <v>0.2414</v>
      </c>
      <c r="U3339">
        <v>-0.94850000000000001</v>
      </c>
      <c r="V3339">
        <v>4.0000000000000002E-4</v>
      </c>
      <c r="W3339">
        <v>-1.3049999999999999</v>
      </c>
      <c r="X3339">
        <v>1.3727</v>
      </c>
      <c r="Y3339">
        <v>-2.2170999999999998</v>
      </c>
      <c r="Z3339">
        <v>3</v>
      </c>
      <c r="AA3339">
        <v>508.4</v>
      </c>
      <c r="AB3339">
        <v>1</v>
      </c>
      <c r="AC3339">
        <v>531.79999999999995</v>
      </c>
      <c r="AD3339">
        <v>0</v>
      </c>
      <c r="AE3339">
        <v>0</v>
      </c>
      <c r="AF3339">
        <v>0</v>
      </c>
      <c r="AG3339">
        <v>0</v>
      </c>
      <c r="AH3339">
        <v>0</v>
      </c>
    </row>
    <row r="3340" spans="1:34" x14ac:dyDescent="0.35">
      <c r="A3340" t="s">
        <v>34</v>
      </c>
      <c r="B3340" s="1">
        <v>46146.65625</v>
      </c>
      <c r="C3340" t="s">
        <v>34</v>
      </c>
      <c r="D3340" s="1">
        <v>46157.625</v>
      </c>
      <c r="E3340">
        <v>7730</v>
      </c>
      <c r="F3340" t="s">
        <v>36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2</v>
      </c>
      <c r="M3340">
        <v>511.1</v>
      </c>
      <c r="N3340">
        <v>1</v>
      </c>
      <c r="O3340">
        <v>532.5</v>
      </c>
      <c r="P3340">
        <v>0</v>
      </c>
      <c r="Q3340">
        <v>0</v>
      </c>
      <c r="R3340">
        <v>0</v>
      </c>
      <c r="S3340">
        <v>0</v>
      </c>
      <c r="T3340">
        <v>0.26250000000000001</v>
      </c>
      <c r="U3340">
        <v>-0.93430000000000002</v>
      </c>
      <c r="V3340">
        <v>4.0000000000000002E-4</v>
      </c>
      <c r="W3340">
        <v>-1.7577</v>
      </c>
      <c r="X3340">
        <v>1.6467000000000001</v>
      </c>
      <c r="Y3340">
        <v>-2.1886999999999999</v>
      </c>
      <c r="Z3340">
        <v>1</v>
      </c>
      <c r="AA3340">
        <v>513.79999999999995</v>
      </c>
      <c r="AB3340">
        <v>1</v>
      </c>
      <c r="AC3340">
        <v>532.5</v>
      </c>
      <c r="AD3340">
        <v>0</v>
      </c>
      <c r="AE3340">
        <v>0</v>
      </c>
      <c r="AF3340">
        <v>0</v>
      </c>
      <c r="AG3340">
        <v>4</v>
      </c>
      <c r="AH3340">
        <v>0</v>
      </c>
    </row>
    <row r="3341" spans="1:34" x14ac:dyDescent="0.35">
      <c r="A3341" t="s">
        <v>34</v>
      </c>
      <c r="B3341" s="1">
        <v>46146.65625</v>
      </c>
      <c r="C3341" t="s">
        <v>34</v>
      </c>
      <c r="D3341" s="1">
        <v>46157.625</v>
      </c>
      <c r="E3341">
        <v>7740</v>
      </c>
      <c r="F3341" t="s">
        <v>36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2</v>
      </c>
      <c r="M3341">
        <v>521.29999999999995</v>
      </c>
      <c r="N3341">
        <v>3</v>
      </c>
      <c r="O3341">
        <v>542.5</v>
      </c>
      <c r="P3341">
        <v>0</v>
      </c>
      <c r="Q3341">
        <v>0</v>
      </c>
      <c r="R3341">
        <v>0</v>
      </c>
      <c r="S3341">
        <v>0</v>
      </c>
      <c r="T3341">
        <v>0.26590000000000003</v>
      </c>
      <c r="U3341">
        <v>-0.93540000000000001</v>
      </c>
      <c r="V3341">
        <v>4.0000000000000002E-4</v>
      </c>
      <c r="W3341">
        <v>-1.7543</v>
      </c>
      <c r="X3341">
        <v>1.6252</v>
      </c>
      <c r="Y3341">
        <v>-2.1939000000000002</v>
      </c>
      <c r="Z3341">
        <v>3</v>
      </c>
      <c r="AA3341">
        <v>523.4</v>
      </c>
      <c r="AB3341">
        <v>1</v>
      </c>
      <c r="AC3341">
        <v>542.5</v>
      </c>
      <c r="AD3341">
        <v>0</v>
      </c>
      <c r="AE3341">
        <v>0</v>
      </c>
      <c r="AF3341">
        <v>0</v>
      </c>
      <c r="AG3341">
        <v>0</v>
      </c>
      <c r="AH3341">
        <v>0</v>
      </c>
    </row>
    <row r="3342" spans="1:34" x14ac:dyDescent="0.35">
      <c r="A3342" t="s">
        <v>34</v>
      </c>
      <c r="B3342" s="1">
        <v>46146.65625</v>
      </c>
      <c r="C3342" t="s">
        <v>34</v>
      </c>
      <c r="D3342" s="1">
        <v>46157.625</v>
      </c>
      <c r="E3342">
        <v>7750</v>
      </c>
      <c r="F3342" t="s">
        <v>36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1</v>
      </c>
      <c r="M3342">
        <v>531.1</v>
      </c>
      <c r="N3342">
        <v>1</v>
      </c>
      <c r="O3342">
        <v>552.29999999999995</v>
      </c>
      <c r="P3342">
        <v>0</v>
      </c>
      <c r="Q3342">
        <v>0</v>
      </c>
      <c r="R3342">
        <v>0</v>
      </c>
      <c r="S3342">
        <v>0</v>
      </c>
      <c r="T3342">
        <v>0.26889999999999997</v>
      </c>
      <c r="U3342">
        <v>-0.93659999999999999</v>
      </c>
      <c r="V3342">
        <v>4.0000000000000002E-4</v>
      </c>
      <c r="W3342">
        <v>-1.7443</v>
      </c>
      <c r="X3342">
        <v>1.601</v>
      </c>
      <c r="Y3342">
        <v>-2.1995</v>
      </c>
      <c r="Z3342">
        <v>3</v>
      </c>
      <c r="AA3342">
        <v>533.4</v>
      </c>
      <c r="AB3342">
        <v>1</v>
      </c>
      <c r="AC3342">
        <v>552.29999999999995</v>
      </c>
      <c r="AD3342">
        <v>0</v>
      </c>
      <c r="AE3342">
        <v>0</v>
      </c>
      <c r="AF3342">
        <v>0</v>
      </c>
      <c r="AG3342">
        <v>1</v>
      </c>
      <c r="AH3342">
        <v>0</v>
      </c>
    </row>
    <row r="3343" spans="1:34" x14ac:dyDescent="0.35">
      <c r="A3343" t="s">
        <v>34</v>
      </c>
      <c r="B3343" s="1">
        <v>46146.65625</v>
      </c>
      <c r="C3343" t="s">
        <v>34</v>
      </c>
      <c r="D3343" s="1">
        <v>46157.625</v>
      </c>
      <c r="E3343">
        <v>7760</v>
      </c>
      <c r="F3343" t="s">
        <v>36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2</v>
      </c>
      <c r="M3343">
        <v>541.29999999999995</v>
      </c>
      <c r="N3343">
        <v>1</v>
      </c>
      <c r="O3343">
        <v>562.4</v>
      </c>
      <c r="P3343">
        <v>0</v>
      </c>
      <c r="Q3343">
        <v>0</v>
      </c>
      <c r="R3343">
        <v>0</v>
      </c>
      <c r="S3343">
        <v>0</v>
      </c>
      <c r="T3343">
        <v>0.27279999999999999</v>
      </c>
      <c r="U3343">
        <v>-0.93720000000000003</v>
      </c>
      <c r="V3343">
        <v>4.0000000000000002E-4</v>
      </c>
      <c r="W3343">
        <v>-1.756</v>
      </c>
      <c r="X3343">
        <v>1.5892999999999999</v>
      </c>
      <c r="Y3343">
        <v>-2.2037</v>
      </c>
      <c r="Z3343">
        <v>3</v>
      </c>
      <c r="AA3343">
        <v>543.29999999999995</v>
      </c>
      <c r="AB3343">
        <v>1</v>
      </c>
      <c r="AC3343">
        <v>562.4</v>
      </c>
      <c r="AD3343">
        <v>0</v>
      </c>
      <c r="AE3343">
        <v>0</v>
      </c>
      <c r="AF3343">
        <v>0</v>
      </c>
      <c r="AG3343">
        <v>0</v>
      </c>
      <c r="AH3343">
        <v>0</v>
      </c>
    </row>
    <row r="3344" spans="1:34" x14ac:dyDescent="0.35">
      <c r="A3344" t="s">
        <v>34</v>
      </c>
      <c r="B3344" s="1">
        <v>46146.65625</v>
      </c>
      <c r="C3344" t="s">
        <v>34</v>
      </c>
      <c r="D3344" s="1">
        <v>46157.625</v>
      </c>
      <c r="E3344">
        <v>7770</v>
      </c>
      <c r="F3344" t="s">
        <v>36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1</v>
      </c>
      <c r="M3344">
        <v>551.20000000000005</v>
      </c>
      <c r="N3344">
        <v>1</v>
      </c>
      <c r="O3344">
        <v>572.4</v>
      </c>
      <c r="P3344">
        <v>0</v>
      </c>
      <c r="Q3344">
        <v>0</v>
      </c>
      <c r="R3344">
        <v>0</v>
      </c>
      <c r="S3344">
        <v>0</v>
      </c>
      <c r="T3344">
        <v>0.27710000000000001</v>
      </c>
      <c r="U3344">
        <v>-0.93740000000000001</v>
      </c>
      <c r="V3344">
        <v>4.0000000000000002E-4</v>
      </c>
      <c r="W3344">
        <v>-1.7768999999999999</v>
      </c>
      <c r="X3344">
        <v>1.5833999999999999</v>
      </c>
      <c r="Y3344">
        <v>-2.2073</v>
      </c>
      <c r="Z3344">
        <v>3</v>
      </c>
      <c r="AA3344">
        <v>553.29999999999995</v>
      </c>
      <c r="AB3344">
        <v>1</v>
      </c>
      <c r="AC3344">
        <v>572.4</v>
      </c>
      <c r="AD3344">
        <v>0</v>
      </c>
      <c r="AE3344">
        <v>0</v>
      </c>
      <c r="AF3344">
        <v>0</v>
      </c>
      <c r="AG3344">
        <v>0</v>
      </c>
      <c r="AH3344">
        <v>0</v>
      </c>
    </row>
    <row r="3345" spans="1:34" x14ac:dyDescent="0.35">
      <c r="A3345" t="s">
        <v>34</v>
      </c>
      <c r="B3345" s="1">
        <v>46146.65625</v>
      </c>
      <c r="C3345" t="s">
        <v>34</v>
      </c>
      <c r="D3345" s="1">
        <v>46157.625</v>
      </c>
      <c r="E3345">
        <v>7775</v>
      </c>
      <c r="F3345" t="s">
        <v>36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1</v>
      </c>
      <c r="M3345">
        <v>556.29999999999995</v>
      </c>
      <c r="N3345">
        <v>1</v>
      </c>
      <c r="O3345">
        <v>577.20000000000005</v>
      </c>
      <c r="P3345">
        <v>0</v>
      </c>
      <c r="Q3345">
        <v>0</v>
      </c>
      <c r="R3345">
        <v>0</v>
      </c>
      <c r="S3345">
        <v>0</v>
      </c>
      <c r="T3345">
        <v>0.27579999999999999</v>
      </c>
      <c r="U3345">
        <v>-0.94010000000000005</v>
      </c>
      <c r="V3345">
        <v>2.9999999999999997E-4</v>
      </c>
      <c r="W3345">
        <v>-1.7036</v>
      </c>
      <c r="X3345">
        <v>1.5333000000000001</v>
      </c>
      <c r="Y3345">
        <v>-2.2143000000000002</v>
      </c>
      <c r="Z3345">
        <v>3</v>
      </c>
      <c r="AA3345">
        <v>558.29999999999995</v>
      </c>
      <c r="AB3345">
        <v>1</v>
      </c>
      <c r="AC3345">
        <v>577.20000000000005</v>
      </c>
      <c r="AD3345">
        <v>0</v>
      </c>
      <c r="AE3345">
        <v>0</v>
      </c>
      <c r="AF3345">
        <v>0</v>
      </c>
      <c r="AG3345">
        <v>4</v>
      </c>
      <c r="AH3345">
        <v>0</v>
      </c>
    </row>
    <row r="3346" spans="1:34" x14ac:dyDescent="0.35">
      <c r="A3346" t="s">
        <v>34</v>
      </c>
      <c r="B3346" s="1">
        <v>46146.65625</v>
      </c>
      <c r="C3346" t="s">
        <v>34</v>
      </c>
      <c r="D3346" s="1">
        <v>46157.625</v>
      </c>
      <c r="E3346">
        <v>7780</v>
      </c>
      <c r="F3346" t="s">
        <v>36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1</v>
      </c>
      <c r="M3346">
        <v>561.29999999999995</v>
      </c>
      <c r="N3346">
        <v>1</v>
      </c>
      <c r="O3346">
        <v>581.4</v>
      </c>
      <c r="P3346">
        <v>0</v>
      </c>
      <c r="Q3346">
        <v>0</v>
      </c>
      <c r="R3346">
        <v>0</v>
      </c>
      <c r="S3346">
        <v>0</v>
      </c>
      <c r="T3346">
        <v>0.27200000000000002</v>
      </c>
      <c r="U3346">
        <v>-0.94420000000000004</v>
      </c>
      <c r="V3346">
        <v>2.9999999999999997E-4</v>
      </c>
      <c r="W3346">
        <v>-1.5778000000000001</v>
      </c>
      <c r="X3346">
        <v>1.4521999999999999</v>
      </c>
      <c r="Y3346">
        <v>-2.2246000000000001</v>
      </c>
      <c r="Z3346">
        <v>1</v>
      </c>
      <c r="AA3346">
        <v>564.70000000000005</v>
      </c>
      <c r="AB3346">
        <v>1</v>
      </c>
      <c r="AC3346">
        <v>586.70000000000005</v>
      </c>
      <c r="AD3346">
        <v>0</v>
      </c>
      <c r="AE3346">
        <v>0</v>
      </c>
      <c r="AF3346">
        <v>0</v>
      </c>
      <c r="AG3346">
        <v>0</v>
      </c>
      <c r="AH3346">
        <v>0</v>
      </c>
    </row>
    <row r="3347" spans="1:34" x14ac:dyDescent="0.35">
      <c r="A3347" t="s">
        <v>34</v>
      </c>
      <c r="B3347" s="1">
        <v>46146.65625</v>
      </c>
      <c r="C3347" t="s">
        <v>34</v>
      </c>
      <c r="D3347" s="1">
        <v>46157.625</v>
      </c>
      <c r="E3347">
        <v>7790</v>
      </c>
      <c r="F3347" t="s">
        <v>36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1</v>
      </c>
      <c r="M3347">
        <v>571.9</v>
      </c>
      <c r="N3347">
        <v>2</v>
      </c>
      <c r="O3347">
        <v>592.4</v>
      </c>
      <c r="P3347">
        <v>0</v>
      </c>
      <c r="Q3347">
        <v>0</v>
      </c>
      <c r="R3347">
        <v>0</v>
      </c>
      <c r="S3347">
        <v>0</v>
      </c>
      <c r="T3347">
        <v>0.28460000000000002</v>
      </c>
      <c r="U3347">
        <v>-0.93869999999999998</v>
      </c>
      <c r="V3347">
        <v>2.9999999999999997E-4</v>
      </c>
      <c r="W3347">
        <v>-1.7935000000000001</v>
      </c>
      <c r="X3347">
        <v>1.5583</v>
      </c>
      <c r="Y3347">
        <v>-2.2159</v>
      </c>
      <c r="Z3347">
        <v>3</v>
      </c>
      <c r="AA3347">
        <v>573.29999999999995</v>
      </c>
      <c r="AB3347">
        <v>1</v>
      </c>
      <c r="AC3347">
        <v>595.9</v>
      </c>
      <c r="AD3347">
        <v>0</v>
      </c>
      <c r="AE3347">
        <v>0</v>
      </c>
      <c r="AF3347">
        <v>0</v>
      </c>
      <c r="AG3347">
        <v>0</v>
      </c>
      <c r="AH3347">
        <v>0</v>
      </c>
    </row>
    <row r="3348" spans="1:34" x14ac:dyDescent="0.35">
      <c r="A3348" t="s">
        <v>34</v>
      </c>
      <c r="B3348" s="1">
        <v>46146.65625</v>
      </c>
      <c r="C3348" t="s">
        <v>34</v>
      </c>
      <c r="D3348" s="1">
        <v>46157.625</v>
      </c>
      <c r="E3348">
        <v>7800</v>
      </c>
      <c r="F3348" t="s">
        <v>36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1</v>
      </c>
      <c r="M3348">
        <v>581.1</v>
      </c>
      <c r="N3348">
        <v>1</v>
      </c>
      <c r="O3348">
        <v>600.5</v>
      </c>
      <c r="P3348">
        <v>0</v>
      </c>
      <c r="Q3348">
        <v>0</v>
      </c>
      <c r="R3348">
        <v>0</v>
      </c>
      <c r="S3348">
        <v>0</v>
      </c>
      <c r="T3348">
        <v>0.27229999999999999</v>
      </c>
      <c r="U3348">
        <v>-0.94989999999999997</v>
      </c>
      <c r="V3348">
        <v>2.9999999999999997E-4</v>
      </c>
      <c r="W3348">
        <v>-1.4353</v>
      </c>
      <c r="X3348">
        <v>1.3351999999999999</v>
      </c>
      <c r="Y3348">
        <v>-2.2425999999999999</v>
      </c>
      <c r="Z3348">
        <v>1</v>
      </c>
      <c r="AA3348">
        <v>583.79999999999995</v>
      </c>
      <c r="AB3348">
        <v>1</v>
      </c>
      <c r="AC3348">
        <v>606.9</v>
      </c>
      <c r="AD3348">
        <v>0</v>
      </c>
      <c r="AE3348">
        <v>0</v>
      </c>
      <c r="AF3348">
        <v>0</v>
      </c>
      <c r="AG3348">
        <v>0</v>
      </c>
      <c r="AH3348">
        <v>0</v>
      </c>
    </row>
    <row r="3349" spans="1:34" x14ac:dyDescent="0.35">
      <c r="A3349" t="s">
        <v>34</v>
      </c>
      <c r="B3349" s="1">
        <v>46146.65625</v>
      </c>
      <c r="C3349" t="s">
        <v>34</v>
      </c>
      <c r="D3349" s="1">
        <v>46157.625</v>
      </c>
      <c r="E3349">
        <v>7810</v>
      </c>
      <c r="F3349" t="s">
        <v>36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2</v>
      </c>
      <c r="M3349">
        <v>591.20000000000005</v>
      </c>
      <c r="N3349">
        <v>1</v>
      </c>
      <c r="O3349">
        <v>612.29999999999995</v>
      </c>
      <c r="P3349">
        <v>0</v>
      </c>
      <c r="Q3349">
        <v>0</v>
      </c>
      <c r="R3349">
        <v>0</v>
      </c>
      <c r="S3349">
        <v>0</v>
      </c>
      <c r="T3349">
        <v>0.28920000000000001</v>
      </c>
      <c r="U3349">
        <v>-0.94179999999999997</v>
      </c>
      <c r="V3349">
        <v>2.9999999999999997E-4</v>
      </c>
      <c r="W3349">
        <v>-1.7424999999999999</v>
      </c>
      <c r="X3349">
        <v>1.4974000000000001</v>
      </c>
      <c r="Y3349">
        <v>-2.2284000000000002</v>
      </c>
      <c r="Z3349">
        <v>3</v>
      </c>
      <c r="AA3349">
        <v>593.20000000000005</v>
      </c>
      <c r="AB3349">
        <v>1</v>
      </c>
      <c r="AC3349">
        <v>612.29999999999995</v>
      </c>
      <c r="AD3349">
        <v>0</v>
      </c>
      <c r="AE3349">
        <v>0</v>
      </c>
      <c r="AF3349">
        <v>0</v>
      </c>
      <c r="AG3349">
        <v>0</v>
      </c>
      <c r="AH3349">
        <v>0</v>
      </c>
    </row>
    <row r="3350" spans="1:34" x14ac:dyDescent="0.35">
      <c r="A3350" t="s">
        <v>34</v>
      </c>
      <c r="B3350" s="1">
        <v>46146.65625</v>
      </c>
      <c r="C3350" t="s">
        <v>34</v>
      </c>
      <c r="D3350" s="1">
        <v>46157.625</v>
      </c>
      <c r="E3350">
        <v>7820</v>
      </c>
      <c r="F3350" t="s">
        <v>36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1</v>
      </c>
      <c r="M3350">
        <v>601.29999999999995</v>
      </c>
      <c r="N3350">
        <v>1</v>
      </c>
      <c r="O3350">
        <v>622.29999999999995</v>
      </c>
      <c r="P3350">
        <v>0</v>
      </c>
      <c r="Q3350">
        <v>0</v>
      </c>
      <c r="R3350">
        <v>0</v>
      </c>
      <c r="S3350">
        <v>0</v>
      </c>
      <c r="T3350">
        <v>0.29310000000000003</v>
      </c>
      <c r="U3350">
        <v>-0.94220000000000004</v>
      </c>
      <c r="V3350">
        <v>2.9999999999999997E-4</v>
      </c>
      <c r="W3350">
        <v>-1.7548999999999999</v>
      </c>
      <c r="X3350">
        <v>1.4885999999999999</v>
      </c>
      <c r="Y3350">
        <v>-2.2323</v>
      </c>
      <c r="Z3350">
        <v>4</v>
      </c>
      <c r="AA3350">
        <v>603.20000000000005</v>
      </c>
      <c r="AB3350">
        <v>1</v>
      </c>
      <c r="AC3350">
        <v>622.29999999999995</v>
      </c>
      <c r="AD3350">
        <v>0</v>
      </c>
      <c r="AE3350">
        <v>0</v>
      </c>
      <c r="AF3350">
        <v>0</v>
      </c>
      <c r="AG3350">
        <v>0</v>
      </c>
      <c r="AH3350">
        <v>0</v>
      </c>
    </row>
    <row r="3351" spans="1:34" x14ac:dyDescent="0.35">
      <c r="A3351" t="s">
        <v>34</v>
      </c>
      <c r="B3351" s="1">
        <v>46146.65625</v>
      </c>
      <c r="C3351" t="s">
        <v>34</v>
      </c>
      <c r="D3351" s="1">
        <v>46157.625</v>
      </c>
      <c r="E3351">
        <v>7825</v>
      </c>
      <c r="F3351" t="s">
        <v>36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1</v>
      </c>
      <c r="M3351">
        <v>606.1</v>
      </c>
      <c r="N3351">
        <v>1</v>
      </c>
      <c r="O3351">
        <v>627.1</v>
      </c>
      <c r="P3351">
        <v>0</v>
      </c>
      <c r="Q3351">
        <v>0</v>
      </c>
      <c r="R3351">
        <v>0</v>
      </c>
      <c r="S3351">
        <v>0</v>
      </c>
      <c r="T3351">
        <v>0.29549999999999998</v>
      </c>
      <c r="U3351">
        <v>-0.94199999999999995</v>
      </c>
      <c r="V3351">
        <v>2.9999999999999997E-4</v>
      </c>
      <c r="W3351">
        <v>-1.7732000000000001</v>
      </c>
      <c r="X3351">
        <v>1.4912000000000001</v>
      </c>
      <c r="Y3351">
        <v>-2.2334999999999998</v>
      </c>
      <c r="Z3351">
        <v>3</v>
      </c>
      <c r="AA3351">
        <v>608.20000000000005</v>
      </c>
      <c r="AB3351">
        <v>1</v>
      </c>
      <c r="AC3351">
        <v>627.1</v>
      </c>
      <c r="AD3351">
        <v>0</v>
      </c>
      <c r="AE3351">
        <v>0</v>
      </c>
      <c r="AF3351">
        <v>0</v>
      </c>
      <c r="AG3351">
        <v>0</v>
      </c>
      <c r="AH3351">
        <v>0</v>
      </c>
    </row>
    <row r="3352" spans="1:34" x14ac:dyDescent="0.35">
      <c r="A3352" t="s">
        <v>34</v>
      </c>
      <c r="B3352" s="1">
        <v>46146.65625</v>
      </c>
      <c r="C3352" t="s">
        <v>34</v>
      </c>
      <c r="D3352" s="1">
        <v>46157.625</v>
      </c>
      <c r="E3352">
        <v>7830</v>
      </c>
      <c r="F3352" t="s">
        <v>36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1</v>
      </c>
      <c r="M3352">
        <v>610.9</v>
      </c>
      <c r="N3352">
        <v>1</v>
      </c>
      <c r="O3352">
        <v>632.20000000000005</v>
      </c>
      <c r="P3352">
        <v>0</v>
      </c>
      <c r="Q3352">
        <v>0</v>
      </c>
      <c r="R3352">
        <v>0</v>
      </c>
      <c r="S3352">
        <v>0</v>
      </c>
      <c r="T3352">
        <v>0.29799999999999999</v>
      </c>
      <c r="U3352">
        <v>-0.94179999999999997</v>
      </c>
      <c r="V3352">
        <v>2.9999999999999997E-4</v>
      </c>
      <c r="W3352">
        <v>-1.7932999999999999</v>
      </c>
      <c r="X3352">
        <v>1.4943</v>
      </c>
      <c r="Y3352">
        <v>-2.2345999999999999</v>
      </c>
      <c r="Z3352">
        <v>3</v>
      </c>
      <c r="AA3352">
        <v>613.20000000000005</v>
      </c>
      <c r="AB3352">
        <v>1</v>
      </c>
      <c r="AC3352">
        <v>632.20000000000005</v>
      </c>
      <c r="AD3352">
        <v>0</v>
      </c>
      <c r="AE3352">
        <v>0</v>
      </c>
      <c r="AF3352">
        <v>0</v>
      </c>
      <c r="AG3352">
        <v>0</v>
      </c>
      <c r="AH3352">
        <v>0</v>
      </c>
    </row>
    <row r="3353" spans="1:34" x14ac:dyDescent="0.35">
      <c r="A3353" t="s">
        <v>34</v>
      </c>
      <c r="B3353" s="1">
        <v>46146.65625</v>
      </c>
      <c r="C3353" t="s">
        <v>34</v>
      </c>
      <c r="D3353" s="1">
        <v>46157.625</v>
      </c>
      <c r="E3353">
        <v>7840</v>
      </c>
      <c r="F3353" t="s">
        <v>36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1</v>
      </c>
      <c r="M3353">
        <v>621.20000000000005</v>
      </c>
      <c r="N3353">
        <v>1</v>
      </c>
      <c r="O3353">
        <v>642.20000000000005</v>
      </c>
      <c r="P3353">
        <v>0</v>
      </c>
      <c r="Q3353">
        <v>0</v>
      </c>
      <c r="R3353">
        <v>0</v>
      </c>
      <c r="S3353">
        <v>0</v>
      </c>
      <c r="T3353">
        <v>0.29970000000000002</v>
      </c>
      <c r="U3353">
        <v>-0.94359999999999999</v>
      </c>
      <c r="V3353">
        <v>2.9999999999999997E-4</v>
      </c>
      <c r="W3353">
        <v>-1.7537</v>
      </c>
      <c r="X3353">
        <v>1.4576</v>
      </c>
      <c r="Y3353">
        <v>-2.2414999999999998</v>
      </c>
      <c r="Z3353">
        <v>4</v>
      </c>
      <c r="AA3353">
        <v>623.20000000000005</v>
      </c>
      <c r="AB3353">
        <v>1</v>
      </c>
      <c r="AC3353">
        <v>642.20000000000005</v>
      </c>
      <c r="AD3353">
        <v>0</v>
      </c>
      <c r="AE3353">
        <v>0</v>
      </c>
      <c r="AF3353">
        <v>0</v>
      </c>
      <c r="AG3353">
        <v>0</v>
      </c>
      <c r="AH3353">
        <v>0</v>
      </c>
    </row>
    <row r="3354" spans="1:34" x14ac:dyDescent="0.35">
      <c r="A3354" t="s">
        <v>34</v>
      </c>
      <c r="B3354" s="1">
        <v>46146.65625</v>
      </c>
      <c r="C3354" t="s">
        <v>34</v>
      </c>
      <c r="D3354" s="1">
        <v>46157.625</v>
      </c>
      <c r="E3354">
        <v>7850</v>
      </c>
      <c r="F3354" t="s">
        <v>36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1</v>
      </c>
      <c r="M3354">
        <v>631.20000000000005</v>
      </c>
      <c r="N3354">
        <v>3</v>
      </c>
      <c r="O3354">
        <v>652.29999999999995</v>
      </c>
      <c r="P3354">
        <v>0</v>
      </c>
      <c r="Q3354">
        <v>0</v>
      </c>
      <c r="R3354">
        <v>0</v>
      </c>
      <c r="S3354">
        <v>0</v>
      </c>
      <c r="T3354">
        <v>0.30409999999999998</v>
      </c>
      <c r="U3354">
        <v>-0.94369999999999998</v>
      </c>
      <c r="V3354">
        <v>2.9999999999999997E-4</v>
      </c>
      <c r="W3354">
        <v>-1.7776000000000001</v>
      </c>
      <c r="X3354">
        <v>1.4556</v>
      </c>
      <c r="Y3354">
        <v>-2.2446000000000002</v>
      </c>
      <c r="Z3354">
        <v>2</v>
      </c>
      <c r="AA3354">
        <v>633.20000000000005</v>
      </c>
      <c r="AB3354">
        <v>1</v>
      </c>
      <c r="AC3354">
        <v>652.29999999999995</v>
      </c>
      <c r="AD3354">
        <v>0</v>
      </c>
      <c r="AE3354">
        <v>0</v>
      </c>
      <c r="AF3354">
        <v>0</v>
      </c>
      <c r="AG3354">
        <v>2</v>
      </c>
      <c r="AH3354">
        <v>0</v>
      </c>
    </row>
    <row r="3355" spans="1:34" x14ac:dyDescent="0.35">
      <c r="A3355" t="s">
        <v>34</v>
      </c>
      <c r="B3355" s="1">
        <v>46146.65625</v>
      </c>
      <c r="C3355" t="s">
        <v>34</v>
      </c>
      <c r="D3355" s="1">
        <v>46157.625</v>
      </c>
      <c r="E3355">
        <v>7860</v>
      </c>
      <c r="F3355" t="s">
        <v>36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2</v>
      </c>
      <c r="M3355">
        <v>640.79999999999995</v>
      </c>
      <c r="N3355">
        <v>1</v>
      </c>
      <c r="O3355">
        <v>661.8</v>
      </c>
      <c r="P3355">
        <v>0</v>
      </c>
      <c r="Q3355">
        <v>0</v>
      </c>
      <c r="R3355">
        <v>0</v>
      </c>
      <c r="S3355">
        <v>0</v>
      </c>
      <c r="T3355">
        <v>0.30609999999999998</v>
      </c>
      <c r="U3355">
        <v>-0.94510000000000005</v>
      </c>
      <c r="V3355">
        <v>2.9999999999999997E-4</v>
      </c>
      <c r="W3355">
        <v>-1.75</v>
      </c>
      <c r="X3355">
        <v>1.4271</v>
      </c>
      <c r="Y3355">
        <v>-2.2505999999999999</v>
      </c>
      <c r="Z3355">
        <v>3</v>
      </c>
      <c r="AA3355">
        <v>643.1</v>
      </c>
      <c r="AB3355">
        <v>1</v>
      </c>
      <c r="AC3355">
        <v>661.8</v>
      </c>
      <c r="AD3355">
        <v>0</v>
      </c>
      <c r="AE3355">
        <v>0</v>
      </c>
      <c r="AF3355">
        <v>0</v>
      </c>
      <c r="AG3355">
        <v>0</v>
      </c>
      <c r="AH3355">
        <v>0</v>
      </c>
    </row>
    <row r="3356" spans="1:34" x14ac:dyDescent="0.35">
      <c r="A3356" t="s">
        <v>34</v>
      </c>
      <c r="B3356" s="1">
        <v>46146.65625</v>
      </c>
      <c r="C3356" t="s">
        <v>34</v>
      </c>
      <c r="D3356" s="1">
        <v>46157.625</v>
      </c>
      <c r="E3356">
        <v>7870</v>
      </c>
      <c r="F3356" t="s">
        <v>36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1</v>
      </c>
      <c r="M3356">
        <v>651.20000000000005</v>
      </c>
      <c r="N3356">
        <v>1</v>
      </c>
      <c r="O3356">
        <v>672.1</v>
      </c>
      <c r="P3356">
        <v>0</v>
      </c>
      <c r="Q3356">
        <v>0</v>
      </c>
      <c r="R3356">
        <v>0</v>
      </c>
      <c r="S3356">
        <v>0</v>
      </c>
      <c r="T3356">
        <v>0.30990000000000001</v>
      </c>
      <c r="U3356">
        <v>-0.94550000000000001</v>
      </c>
      <c r="V3356">
        <v>2.9999999999999997E-4</v>
      </c>
      <c r="W3356">
        <v>-1.7588999999999999</v>
      </c>
      <c r="X3356">
        <v>1.4173</v>
      </c>
      <c r="Y3356">
        <v>-2.2545000000000002</v>
      </c>
      <c r="Z3356">
        <v>3</v>
      </c>
      <c r="AA3356">
        <v>653.1</v>
      </c>
      <c r="AB3356">
        <v>1</v>
      </c>
      <c r="AC3356">
        <v>672.1</v>
      </c>
      <c r="AD3356">
        <v>0</v>
      </c>
      <c r="AE3356">
        <v>0</v>
      </c>
      <c r="AF3356">
        <v>0</v>
      </c>
      <c r="AG3356">
        <v>0</v>
      </c>
      <c r="AH3356">
        <v>0</v>
      </c>
    </row>
    <row r="3357" spans="1:34" x14ac:dyDescent="0.35">
      <c r="A3357" t="s">
        <v>34</v>
      </c>
      <c r="B3357" s="1">
        <v>46146.65625</v>
      </c>
      <c r="C3357" t="s">
        <v>34</v>
      </c>
      <c r="D3357" s="1">
        <v>46157.625</v>
      </c>
      <c r="E3357">
        <v>7875</v>
      </c>
      <c r="F3357" t="s">
        <v>36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1</v>
      </c>
      <c r="M3357">
        <v>656.2</v>
      </c>
      <c r="N3357">
        <v>1</v>
      </c>
      <c r="O3357">
        <v>677.2</v>
      </c>
      <c r="P3357">
        <v>0</v>
      </c>
      <c r="Q3357">
        <v>0</v>
      </c>
      <c r="R3357">
        <v>0</v>
      </c>
      <c r="S3357">
        <v>0</v>
      </c>
      <c r="T3357">
        <v>0.31240000000000001</v>
      </c>
      <c r="U3357">
        <v>-0.94530000000000003</v>
      </c>
      <c r="V3357">
        <v>2.9999999999999997E-4</v>
      </c>
      <c r="W3357">
        <v>-1.7793000000000001</v>
      </c>
      <c r="X3357">
        <v>1.4211</v>
      </c>
      <c r="Y3357">
        <v>-2.2555999999999998</v>
      </c>
      <c r="Z3357">
        <v>3</v>
      </c>
      <c r="AA3357">
        <v>658.1</v>
      </c>
      <c r="AB3357">
        <v>1</v>
      </c>
      <c r="AC3357">
        <v>677.2</v>
      </c>
      <c r="AD3357">
        <v>0</v>
      </c>
      <c r="AE3357">
        <v>0</v>
      </c>
      <c r="AF3357">
        <v>0</v>
      </c>
      <c r="AG3357">
        <v>0</v>
      </c>
      <c r="AH3357">
        <v>0</v>
      </c>
    </row>
    <row r="3358" spans="1:34" x14ac:dyDescent="0.35">
      <c r="A3358" t="s">
        <v>34</v>
      </c>
      <c r="B3358" s="1">
        <v>46146.65625</v>
      </c>
      <c r="C3358" t="s">
        <v>34</v>
      </c>
      <c r="D3358" s="1">
        <v>46157.625</v>
      </c>
      <c r="E3358">
        <v>7880</v>
      </c>
      <c r="F3358" t="s">
        <v>36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1</v>
      </c>
      <c r="M3358">
        <v>661</v>
      </c>
      <c r="N3358">
        <v>1</v>
      </c>
      <c r="O3358">
        <v>682.1</v>
      </c>
      <c r="P3358">
        <v>0</v>
      </c>
      <c r="Q3358">
        <v>0</v>
      </c>
      <c r="R3358">
        <v>0</v>
      </c>
      <c r="S3358">
        <v>0</v>
      </c>
      <c r="T3358">
        <v>0.315</v>
      </c>
      <c r="U3358">
        <v>-0.94510000000000005</v>
      </c>
      <c r="V3358">
        <v>2.9999999999999997E-4</v>
      </c>
      <c r="W3358">
        <v>-1.8009999999999999</v>
      </c>
      <c r="X3358">
        <v>1.4258</v>
      </c>
      <c r="Y3358">
        <v>-2.2565</v>
      </c>
      <c r="Z3358">
        <v>3</v>
      </c>
      <c r="AA3358">
        <v>663.1</v>
      </c>
      <c r="AB3358">
        <v>1</v>
      </c>
      <c r="AC3358">
        <v>682.1</v>
      </c>
      <c r="AD3358">
        <v>0</v>
      </c>
      <c r="AE3358">
        <v>0</v>
      </c>
      <c r="AF3358">
        <v>0</v>
      </c>
      <c r="AG3358">
        <v>0</v>
      </c>
      <c r="AH3358">
        <v>0</v>
      </c>
    </row>
    <row r="3359" spans="1:34" x14ac:dyDescent="0.35">
      <c r="A3359" t="s">
        <v>34</v>
      </c>
      <c r="B3359" s="1">
        <v>46146.65625</v>
      </c>
      <c r="C3359" t="s">
        <v>34</v>
      </c>
      <c r="D3359" s="1">
        <v>46157.625</v>
      </c>
      <c r="E3359">
        <v>7890</v>
      </c>
      <c r="F3359" t="s">
        <v>36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2</v>
      </c>
      <c r="M3359">
        <v>670.8</v>
      </c>
      <c r="N3359">
        <v>1</v>
      </c>
      <c r="O3359">
        <v>692.1</v>
      </c>
      <c r="P3359">
        <v>0</v>
      </c>
      <c r="Q3359">
        <v>0</v>
      </c>
      <c r="R3359">
        <v>0</v>
      </c>
      <c r="S3359">
        <v>0</v>
      </c>
      <c r="T3359">
        <v>0.31469999999999998</v>
      </c>
      <c r="U3359">
        <v>-0.94789999999999996</v>
      </c>
      <c r="V3359">
        <v>2.9999999999999997E-4</v>
      </c>
      <c r="W3359">
        <v>-1.7175</v>
      </c>
      <c r="X3359">
        <v>1.3682000000000001</v>
      </c>
      <c r="Y3359">
        <v>-2.2654999999999998</v>
      </c>
      <c r="Z3359">
        <v>2</v>
      </c>
      <c r="AA3359">
        <v>673.1</v>
      </c>
      <c r="AB3359">
        <v>1</v>
      </c>
      <c r="AC3359">
        <v>692.1</v>
      </c>
      <c r="AD3359">
        <v>0</v>
      </c>
      <c r="AE3359">
        <v>0</v>
      </c>
      <c r="AF3359">
        <v>0</v>
      </c>
      <c r="AG3359">
        <v>0</v>
      </c>
      <c r="AH3359">
        <v>0</v>
      </c>
    </row>
    <row r="3360" spans="1:34" x14ac:dyDescent="0.35">
      <c r="A3360" t="s">
        <v>34</v>
      </c>
      <c r="B3360" s="1">
        <v>46146.65625</v>
      </c>
      <c r="C3360" t="s">
        <v>34</v>
      </c>
      <c r="D3360" s="1">
        <v>46157.625</v>
      </c>
      <c r="E3360">
        <v>7900</v>
      </c>
      <c r="F3360" t="s">
        <v>36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1</v>
      </c>
      <c r="M3360">
        <v>681.1</v>
      </c>
      <c r="N3360">
        <v>1</v>
      </c>
      <c r="O3360">
        <v>702</v>
      </c>
      <c r="P3360">
        <v>0</v>
      </c>
      <c r="Q3360">
        <v>0</v>
      </c>
      <c r="R3360">
        <v>0</v>
      </c>
      <c r="S3360">
        <v>0</v>
      </c>
      <c r="T3360">
        <v>0.31990000000000002</v>
      </c>
      <c r="U3360">
        <v>-0.94730000000000003</v>
      </c>
      <c r="V3360">
        <v>2.9999999999999997E-4</v>
      </c>
      <c r="W3360">
        <v>-1.7632000000000001</v>
      </c>
      <c r="X3360">
        <v>1.3793</v>
      </c>
      <c r="Y3360">
        <v>-2.2671999999999999</v>
      </c>
      <c r="Z3360">
        <v>3</v>
      </c>
      <c r="AA3360">
        <v>683.1</v>
      </c>
      <c r="AB3360">
        <v>1</v>
      </c>
      <c r="AC3360">
        <v>702</v>
      </c>
      <c r="AD3360">
        <v>0</v>
      </c>
      <c r="AE3360">
        <v>0</v>
      </c>
      <c r="AF3360">
        <v>0</v>
      </c>
      <c r="AG3360">
        <v>2</v>
      </c>
      <c r="AH3360">
        <v>0</v>
      </c>
    </row>
    <row r="3361" spans="1:34" x14ac:dyDescent="0.35">
      <c r="A3361" t="s">
        <v>34</v>
      </c>
      <c r="B3361" s="1">
        <v>46146.65625</v>
      </c>
      <c r="C3361" t="s">
        <v>34</v>
      </c>
      <c r="D3361" s="1">
        <v>46157.625</v>
      </c>
      <c r="E3361">
        <v>7910</v>
      </c>
      <c r="F3361" t="s">
        <v>36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1</v>
      </c>
      <c r="M3361">
        <v>690.8</v>
      </c>
      <c r="N3361">
        <v>1</v>
      </c>
      <c r="O3361">
        <v>711.6</v>
      </c>
      <c r="P3361">
        <v>0</v>
      </c>
      <c r="Q3361">
        <v>0</v>
      </c>
      <c r="R3361">
        <v>0</v>
      </c>
      <c r="S3361">
        <v>0</v>
      </c>
      <c r="T3361">
        <v>0.32019999999999998</v>
      </c>
      <c r="U3361">
        <v>-0.9496</v>
      </c>
      <c r="V3361">
        <v>2.9999999999999997E-4</v>
      </c>
      <c r="W3361">
        <v>-1.6964999999999999</v>
      </c>
      <c r="X3361">
        <v>1.3323</v>
      </c>
      <c r="Y3361">
        <v>-2.2749999999999999</v>
      </c>
      <c r="Z3361">
        <v>2</v>
      </c>
      <c r="AA3361">
        <v>693.1</v>
      </c>
      <c r="AB3361">
        <v>1</v>
      </c>
      <c r="AC3361">
        <v>711.6</v>
      </c>
      <c r="AD3361">
        <v>0</v>
      </c>
      <c r="AE3361">
        <v>0</v>
      </c>
      <c r="AF3361">
        <v>0</v>
      </c>
      <c r="AG3361">
        <v>0</v>
      </c>
      <c r="AH3361">
        <v>0</v>
      </c>
    </row>
    <row r="3362" spans="1:34" x14ac:dyDescent="0.35">
      <c r="A3362" t="s">
        <v>34</v>
      </c>
      <c r="B3362" s="1">
        <v>46146.65625</v>
      </c>
      <c r="C3362" t="s">
        <v>34</v>
      </c>
      <c r="D3362" s="1">
        <v>46157.625</v>
      </c>
      <c r="E3362">
        <v>7920</v>
      </c>
      <c r="F3362" t="s">
        <v>36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1</v>
      </c>
      <c r="M3362">
        <v>700.9</v>
      </c>
      <c r="N3362">
        <v>1</v>
      </c>
      <c r="O3362">
        <v>721.1</v>
      </c>
      <c r="P3362">
        <v>0</v>
      </c>
      <c r="Q3362">
        <v>0</v>
      </c>
      <c r="R3362">
        <v>0</v>
      </c>
      <c r="S3362">
        <v>0</v>
      </c>
      <c r="T3362">
        <v>0.31769999999999998</v>
      </c>
      <c r="U3362">
        <v>-0.95330000000000004</v>
      </c>
      <c r="V3362">
        <v>2.0000000000000001E-4</v>
      </c>
      <c r="W3362">
        <v>-1.5701000000000001</v>
      </c>
      <c r="X3362">
        <v>1.2547999999999999</v>
      </c>
      <c r="Y3362">
        <v>-2.2856999999999998</v>
      </c>
      <c r="Z3362">
        <v>1</v>
      </c>
      <c r="AA3362">
        <v>704.4</v>
      </c>
      <c r="AB3362">
        <v>2</v>
      </c>
      <c r="AC3362">
        <v>727</v>
      </c>
      <c r="AD3362">
        <v>0</v>
      </c>
      <c r="AE3362">
        <v>0</v>
      </c>
      <c r="AF3362">
        <v>0</v>
      </c>
      <c r="AG3362">
        <v>0</v>
      </c>
      <c r="AH3362">
        <v>0</v>
      </c>
    </row>
    <row r="3363" spans="1:34" x14ac:dyDescent="0.35">
      <c r="A3363" t="s">
        <v>34</v>
      </c>
      <c r="B3363" s="1">
        <v>46146.65625</v>
      </c>
      <c r="C3363" t="s">
        <v>34</v>
      </c>
      <c r="D3363" s="1">
        <v>46157.625</v>
      </c>
      <c r="E3363">
        <v>7925</v>
      </c>
      <c r="F3363" t="s">
        <v>36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2</v>
      </c>
      <c r="M3363">
        <v>706</v>
      </c>
      <c r="N3363">
        <v>1</v>
      </c>
      <c r="O3363">
        <v>726.2</v>
      </c>
      <c r="P3363">
        <v>0</v>
      </c>
      <c r="Q3363">
        <v>0</v>
      </c>
      <c r="R3363">
        <v>0</v>
      </c>
      <c r="S3363">
        <v>0</v>
      </c>
      <c r="T3363">
        <v>0.3241</v>
      </c>
      <c r="U3363">
        <v>-0.95079999999999998</v>
      </c>
      <c r="V3363">
        <v>2.9999999999999997E-4</v>
      </c>
      <c r="W3363">
        <v>-1.6783999999999999</v>
      </c>
      <c r="X3363">
        <v>1.3052999999999999</v>
      </c>
      <c r="Y3363">
        <v>-2.2820999999999998</v>
      </c>
      <c r="Z3363">
        <v>1</v>
      </c>
      <c r="AA3363">
        <v>709.5</v>
      </c>
      <c r="AB3363">
        <v>1</v>
      </c>
      <c r="AC3363">
        <v>731.7</v>
      </c>
      <c r="AD3363">
        <v>0</v>
      </c>
      <c r="AE3363">
        <v>0</v>
      </c>
      <c r="AF3363">
        <v>0</v>
      </c>
      <c r="AG3363">
        <v>0</v>
      </c>
      <c r="AH3363">
        <v>0</v>
      </c>
    </row>
    <row r="3364" spans="1:34" x14ac:dyDescent="0.35">
      <c r="A3364" t="s">
        <v>34</v>
      </c>
      <c r="B3364" s="1">
        <v>46146.65625</v>
      </c>
      <c r="C3364" t="s">
        <v>34</v>
      </c>
      <c r="D3364" s="1">
        <v>46157.625</v>
      </c>
      <c r="E3364">
        <v>7930</v>
      </c>
      <c r="F3364" t="s">
        <v>36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1</v>
      </c>
      <c r="M3364">
        <v>711.1</v>
      </c>
      <c r="N3364">
        <v>1</v>
      </c>
      <c r="O3364">
        <v>731.9</v>
      </c>
      <c r="P3364">
        <v>0</v>
      </c>
      <c r="Q3364">
        <v>0</v>
      </c>
      <c r="R3364">
        <v>0</v>
      </c>
      <c r="S3364">
        <v>0</v>
      </c>
      <c r="T3364">
        <v>0.32979999999999998</v>
      </c>
      <c r="U3364">
        <v>-0.94889999999999997</v>
      </c>
      <c r="V3364">
        <v>2.9999999999999997E-4</v>
      </c>
      <c r="W3364">
        <v>-1.7663</v>
      </c>
      <c r="X3364">
        <v>1.3433999999999999</v>
      </c>
      <c r="Y3364">
        <v>-2.2797000000000001</v>
      </c>
      <c r="Z3364">
        <v>2</v>
      </c>
      <c r="AA3364">
        <v>713</v>
      </c>
      <c r="AB3364">
        <v>1</v>
      </c>
      <c r="AC3364">
        <v>731.9</v>
      </c>
      <c r="AD3364">
        <v>0</v>
      </c>
      <c r="AE3364">
        <v>0</v>
      </c>
      <c r="AF3364">
        <v>0</v>
      </c>
      <c r="AG3364">
        <v>0</v>
      </c>
      <c r="AH3364">
        <v>0</v>
      </c>
    </row>
    <row r="3365" spans="1:34" x14ac:dyDescent="0.35">
      <c r="A3365" t="s">
        <v>34</v>
      </c>
      <c r="B3365" s="1">
        <v>46146.65625</v>
      </c>
      <c r="C3365" t="s">
        <v>34</v>
      </c>
      <c r="D3365" s="1">
        <v>46157.625</v>
      </c>
      <c r="E3365">
        <v>7940</v>
      </c>
      <c r="F3365" t="s">
        <v>36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1</v>
      </c>
      <c r="M3365">
        <v>721.1</v>
      </c>
      <c r="N3365">
        <v>1</v>
      </c>
      <c r="O3365">
        <v>742</v>
      </c>
      <c r="P3365">
        <v>0</v>
      </c>
      <c r="Q3365">
        <v>0</v>
      </c>
      <c r="R3365">
        <v>0</v>
      </c>
      <c r="S3365">
        <v>0</v>
      </c>
      <c r="T3365">
        <v>0.33410000000000001</v>
      </c>
      <c r="U3365">
        <v>-0.94889999999999997</v>
      </c>
      <c r="V3365">
        <v>2.9999999999999997E-4</v>
      </c>
      <c r="W3365">
        <v>-1.7901</v>
      </c>
      <c r="X3365">
        <v>1.3431999999999999</v>
      </c>
      <c r="Y3365">
        <v>-2.2827000000000002</v>
      </c>
      <c r="Z3365">
        <v>2</v>
      </c>
      <c r="AA3365">
        <v>723</v>
      </c>
      <c r="AB3365">
        <v>1</v>
      </c>
      <c r="AC3365">
        <v>742</v>
      </c>
      <c r="AD3365">
        <v>0</v>
      </c>
      <c r="AE3365">
        <v>0</v>
      </c>
      <c r="AF3365">
        <v>0</v>
      </c>
      <c r="AG3365">
        <v>0</v>
      </c>
      <c r="AH3365">
        <v>0</v>
      </c>
    </row>
    <row r="3366" spans="1:34" x14ac:dyDescent="0.35">
      <c r="A3366" t="s">
        <v>34</v>
      </c>
      <c r="B3366" s="1">
        <v>46146.65625</v>
      </c>
      <c r="C3366" t="s">
        <v>34</v>
      </c>
      <c r="D3366" s="1">
        <v>46157.625</v>
      </c>
      <c r="E3366">
        <v>7950</v>
      </c>
      <c r="F3366" t="s">
        <v>36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1</v>
      </c>
      <c r="M3366">
        <v>731</v>
      </c>
      <c r="N3366">
        <v>1</v>
      </c>
      <c r="O3366">
        <v>751.9</v>
      </c>
      <c r="P3366">
        <v>0</v>
      </c>
      <c r="Q3366">
        <v>0</v>
      </c>
      <c r="R3366">
        <v>0</v>
      </c>
      <c r="S3366">
        <v>0</v>
      </c>
      <c r="T3366">
        <v>0.33689999999999998</v>
      </c>
      <c r="U3366">
        <v>-0.94969999999999999</v>
      </c>
      <c r="V3366">
        <v>2.0000000000000001E-4</v>
      </c>
      <c r="W3366">
        <v>-1.7794000000000001</v>
      </c>
      <c r="X3366">
        <v>1.3263</v>
      </c>
      <c r="Y3366">
        <v>-2.2873000000000001</v>
      </c>
      <c r="Z3366">
        <v>3</v>
      </c>
      <c r="AA3366">
        <v>733</v>
      </c>
      <c r="AB3366">
        <v>1</v>
      </c>
      <c r="AC3366">
        <v>751.9</v>
      </c>
      <c r="AD3366">
        <v>0</v>
      </c>
      <c r="AE3366">
        <v>0</v>
      </c>
      <c r="AF3366">
        <v>0</v>
      </c>
      <c r="AG3366">
        <v>1</v>
      </c>
      <c r="AH3366">
        <v>0</v>
      </c>
    </row>
    <row r="3367" spans="1:34" x14ac:dyDescent="0.35">
      <c r="A3367" t="s">
        <v>34</v>
      </c>
      <c r="B3367" s="1">
        <v>46146.65625</v>
      </c>
      <c r="C3367" t="s">
        <v>34</v>
      </c>
      <c r="D3367" s="1">
        <v>46157.625</v>
      </c>
      <c r="E3367">
        <v>7960</v>
      </c>
      <c r="F3367" t="s">
        <v>36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2</v>
      </c>
      <c r="M3367">
        <v>740.9</v>
      </c>
      <c r="N3367">
        <v>1</v>
      </c>
      <c r="O3367">
        <v>761.8</v>
      </c>
      <c r="P3367">
        <v>0</v>
      </c>
      <c r="Q3367">
        <v>0</v>
      </c>
      <c r="R3367">
        <v>0</v>
      </c>
      <c r="S3367">
        <v>0</v>
      </c>
      <c r="T3367">
        <v>0.3412</v>
      </c>
      <c r="U3367">
        <v>-0.9496</v>
      </c>
      <c r="V3367">
        <v>2.0000000000000001E-4</v>
      </c>
      <c r="W3367">
        <v>-1.8048</v>
      </c>
      <c r="X3367">
        <v>1.3273999999999999</v>
      </c>
      <c r="Y3367">
        <v>-2.2902</v>
      </c>
      <c r="Z3367">
        <v>2</v>
      </c>
      <c r="AA3367">
        <v>743</v>
      </c>
      <c r="AB3367">
        <v>1</v>
      </c>
      <c r="AC3367">
        <v>761.8</v>
      </c>
      <c r="AD3367">
        <v>0</v>
      </c>
      <c r="AE3367">
        <v>0</v>
      </c>
      <c r="AF3367">
        <v>0</v>
      </c>
      <c r="AG3367">
        <v>0</v>
      </c>
      <c r="AH3367">
        <v>0</v>
      </c>
    </row>
    <row r="3368" spans="1:34" x14ac:dyDescent="0.35">
      <c r="A3368" t="s">
        <v>34</v>
      </c>
      <c r="B3368" s="1">
        <v>46146.65625</v>
      </c>
      <c r="C3368" t="s">
        <v>34</v>
      </c>
      <c r="D3368" s="1">
        <v>46157.625</v>
      </c>
      <c r="E3368">
        <v>7975</v>
      </c>
      <c r="F3368" t="s">
        <v>36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1</v>
      </c>
      <c r="M3368">
        <v>755.7</v>
      </c>
      <c r="N3368">
        <v>1</v>
      </c>
      <c r="O3368">
        <v>777</v>
      </c>
      <c r="P3368">
        <v>0</v>
      </c>
      <c r="Q3368">
        <v>0</v>
      </c>
      <c r="R3368">
        <v>0</v>
      </c>
      <c r="S3368">
        <v>0</v>
      </c>
      <c r="T3368">
        <v>0.34860000000000002</v>
      </c>
      <c r="U3368">
        <v>-0.94910000000000005</v>
      </c>
      <c r="V3368">
        <v>2.0000000000000001E-4</v>
      </c>
      <c r="W3368">
        <v>-1.8627</v>
      </c>
      <c r="X3368">
        <v>1.3382000000000001</v>
      </c>
      <c r="Y3368">
        <v>-2.2934999999999999</v>
      </c>
      <c r="Z3368">
        <v>3</v>
      </c>
      <c r="AA3368">
        <v>757.9</v>
      </c>
      <c r="AB3368">
        <v>1</v>
      </c>
      <c r="AC3368">
        <v>777</v>
      </c>
      <c r="AD3368">
        <v>0</v>
      </c>
      <c r="AE3368">
        <v>0</v>
      </c>
      <c r="AF3368">
        <v>0</v>
      </c>
      <c r="AG3368">
        <v>0</v>
      </c>
      <c r="AH3368">
        <v>0</v>
      </c>
    </row>
    <row r="3369" spans="1:34" x14ac:dyDescent="0.35">
      <c r="A3369" t="s">
        <v>34</v>
      </c>
      <c r="B3369" s="1">
        <v>46146.65625</v>
      </c>
      <c r="C3369" t="s">
        <v>34</v>
      </c>
      <c r="D3369" s="1">
        <v>46157.625</v>
      </c>
      <c r="E3369">
        <v>8000</v>
      </c>
      <c r="F3369" t="s">
        <v>36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1</v>
      </c>
      <c r="M3369">
        <v>781</v>
      </c>
      <c r="N3369">
        <v>1</v>
      </c>
      <c r="O3369">
        <v>800.7</v>
      </c>
      <c r="P3369">
        <v>0</v>
      </c>
      <c r="Q3369">
        <v>0</v>
      </c>
      <c r="R3369">
        <v>0</v>
      </c>
      <c r="S3369">
        <v>0</v>
      </c>
      <c r="T3369">
        <v>0.34420000000000001</v>
      </c>
      <c r="U3369">
        <v>-0.95640000000000003</v>
      </c>
      <c r="V3369">
        <v>2.0000000000000001E-4</v>
      </c>
      <c r="W3369">
        <v>-1.5968</v>
      </c>
      <c r="X3369">
        <v>1.1852</v>
      </c>
      <c r="Y3369">
        <v>-2.3161</v>
      </c>
      <c r="Z3369">
        <v>1</v>
      </c>
      <c r="AA3369">
        <v>783.9</v>
      </c>
      <c r="AB3369">
        <v>1</v>
      </c>
      <c r="AC3369">
        <v>806.4</v>
      </c>
      <c r="AD3369">
        <v>0</v>
      </c>
      <c r="AE3369">
        <v>0</v>
      </c>
      <c r="AF3369">
        <v>0</v>
      </c>
      <c r="AG3369">
        <v>45</v>
      </c>
      <c r="AH3369">
        <v>0</v>
      </c>
    </row>
    <row r="3370" spans="1:34" x14ac:dyDescent="0.35">
      <c r="A3370" t="s">
        <v>34</v>
      </c>
      <c r="B3370" s="1">
        <v>46146.65625</v>
      </c>
      <c r="C3370" t="s">
        <v>34</v>
      </c>
      <c r="D3370" s="1">
        <v>46157.625</v>
      </c>
      <c r="E3370">
        <v>8025</v>
      </c>
      <c r="F3370" t="s">
        <v>36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2</v>
      </c>
      <c r="M3370">
        <v>805.8</v>
      </c>
      <c r="N3370">
        <v>1</v>
      </c>
      <c r="O3370">
        <v>826.9</v>
      </c>
      <c r="P3370">
        <v>0</v>
      </c>
      <c r="Q3370">
        <v>0</v>
      </c>
      <c r="R3370">
        <v>0</v>
      </c>
      <c r="S3370">
        <v>0</v>
      </c>
      <c r="T3370">
        <v>0.36459999999999998</v>
      </c>
      <c r="U3370">
        <v>-0.95150000000000001</v>
      </c>
      <c r="V3370">
        <v>2.0000000000000001E-4</v>
      </c>
      <c r="W3370">
        <v>-1.8633999999999999</v>
      </c>
      <c r="X3370">
        <v>1.2853000000000001</v>
      </c>
      <c r="Y3370">
        <v>-2.3136000000000001</v>
      </c>
      <c r="Z3370">
        <v>2</v>
      </c>
      <c r="AA3370">
        <v>807.9</v>
      </c>
      <c r="AB3370">
        <v>1</v>
      </c>
      <c r="AC3370">
        <v>826.9</v>
      </c>
      <c r="AD3370">
        <v>0</v>
      </c>
      <c r="AE3370">
        <v>0</v>
      </c>
      <c r="AF3370">
        <v>0</v>
      </c>
      <c r="AG3370">
        <v>0</v>
      </c>
      <c r="AH3370">
        <v>0</v>
      </c>
    </row>
    <row r="3371" spans="1:34" x14ac:dyDescent="0.35">
      <c r="A3371" t="s">
        <v>34</v>
      </c>
      <c r="B3371" s="1">
        <v>46146.65625</v>
      </c>
      <c r="C3371" t="s">
        <v>34</v>
      </c>
      <c r="D3371" s="1">
        <v>46157.625</v>
      </c>
      <c r="E3371">
        <v>8050</v>
      </c>
      <c r="F3371" t="s">
        <v>36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1</v>
      </c>
      <c r="M3371">
        <v>830.9</v>
      </c>
      <c r="N3371">
        <v>1</v>
      </c>
      <c r="O3371">
        <v>850.1</v>
      </c>
      <c r="P3371">
        <v>0</v>
      </c>
      <c r="Q3371">
        <v>0</v>
      </c>
      <c r="R3371">
        <v>0</v>
      </c>
      <c r="S3371">
        <v>0</v>
      </c>
      <c r="T3371">
        <v>0.35570000000000002</v>
      </c>
      <c r="U3371">
        <v>-0.96030000000000004</v>
      </c>
      <c r="V3371">
        <v>2.0000000000000001E-4</v>
      </c>
      <c r="W3371">
        <v>-1.5123</v>
      </c>
      <c r="X3371">
        <v>1.0991</v>
      </c>
      <c r="Y3371">
        <v>-2.3391999999999999</v>
      </c>
      <c r="Z3371">
        <v>1</v>
      </c>
      <c r="AA3371">
        <v>833.3</v>
      </c>
      <c r="AB3371">
        <v>1</v>
      </c>
      <c r="AC3371">
        <v>856.3</v>
      </c>
      <c r="AD3371">
        <v>0</v>
      </c>
      <c r="AE3371">
        <v>0</v>
      </c>
      <c r="AF3371">
        <v>0</v>
      </c>
      <c r="AG3371">
        <v>0</v>
      </c>
      <c r="AH3371">
        <v>0</v>
      </c>
    </row>
    <row r="3372" spans="1:34" x14ac:dyDescent="0.35">
      <c r="A3372" t="s">
        <v>34</v>
      </c>
      <c r="B3372" s="1">
        <v>46146.65625</v>
      </c>
      <c r="C3372" t="s">
        <v>34</v>
      </c>
      <c r="D3372" s="1">
        <v>46157.625</v>
      </c>
      <c r="E3372">
        <v>8075</v>
      </c>
      <c r="F3372" t="s">
        <v>36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1</v>
      </c>
      <c r="M3372">
        <v>855.8</v>
      </c>
      <c r="N3372">
        <v>1</v>
      </c>
      <c r="O3372">
        <v>876.8</v>
      </c>
      <c r="P3372">
        <v>0</v>
      </c>
      <c r="Q3372">
        <v>0</v>
      </c>
      <c r="R3372">
        <v>0</v>
      </c>
      <c r="S3372">
        <v>0</v>
      </c>
      <c r="T3372">
        <v>0.37930000000000003</v>
      </c>
      <c r="U3372">
        <v>-0.95420000000000005</v>
      </c>
      <c r="V3372">
        <v>2.0000000000000001E-4</v>
      </c>
      <c r="W3372">
        <v>-1.8386</v>
      </c>
      <c r="X3372">
        <v>1.2266999999999999</v>
      </c>
      <c r="Y3372">
        <v>-2.3340999999999998</v>
      </c>
      <c r="Z3372">
        <v>2</v>
      </c>
      <c r="AA3372">
        <v>857.8</v>
      </c>
      <c r="AB3372">
        <v>1</v>
      </c>
      <c r="AC3372">
        <v>876.8</v>
      </c>
      <c r="AD3372">
        <v>0</v>
      </c>
      <c r="AE3372">
        <v>0</v>
      </c>
      <c r="AF3372">
        <v>0</v>
      </c>
      <c r="AG3372">
        <v>0</v>
      </c>
      <c r="AH3372">
        <v>0</v>
      </c>
    </row>
    <row r="3373" spans="1:34" x14ac:dyDescent="0.35">
      <c r="A3373" t="s">
        <v>34</v>
      </c>
      <c r="B3373" s="1">
        <v>46146.65625</v>
      </c>
      <c r="C3373" t="s">
        <v>34</v>
      </c>
      <c r="D3373" s="1">
        <v>46157.625</v>
      </c>
      <c r="E3373">
        <v>8100</v>
      </c>
      <c r="F3373" t="s">
        <v>36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2</v>
      </c>
      <c r="M3373">
        <v>880.4</v>
      </c>
      <c r="N3373">
        <v>1</v>
      </c>
      <c r="O3373">
        <v>901.8</v>
      </c>
      <c r="P3373">
        <v>0</v>
      </c>
      <c r="Q3373">
        <v>0</v>
      </c>
      <c r="R3373">
        <v>0</v>
      </c>
      <c r="S3373">
        <v>0</v>
      </c>
      <c r="T3373">
        <v>0.39019999999999999</v>
      </c>
      <c r="U3373">
        <v>-0.95379999999999998</v>
      </c>
      <c r="V3373">
        <v>2.0000000000000001E-4</v>
      </c>
      <c r="W3373">
        <v>-1.9051</v>
      </c>
      <c r="X3373">
        <v>1.2335</v>
      </c>
      <c r="Y3373">
        <v>-2.3409</v>
      </c>
      <c r="Z3373">
        <v>2</v>
      </c>
      <c r="AA3373">
        <v>882.8</v>
      </c>
      <c r="AB3373">
        <v>1</v>
      </c>
      <c r="AC3373">
        <v>901.8</v>
      </c>
      <c r="AD3373">
        <v>0</v>
      </c>
      <c r="AE3373">
        <v>0</v>
      </c>
      <c r="AF3373">
        <v>0</v>
      </c>
      <c r="AG3373">
        <v>0</v>
      </c>
      <c r="AH3373">
        <v>0</v>
      </c>
    </row>
    <row r="3374" spans="1:34" x14ac:dyDescent="0.35">
      <c r="A3374" t="s">
        <v>34</v>
      </c>
      <c r="B3374" s="1">
        <v>46146.65625</v>
      </c>
      <c r="C3374" t="s">
        <v>34</v>
      </c>
      <c r="D3374" s="1">
        <v>46157.625</v>
      </c>
      <c r="E3374">
        <v>8125</v>
      </c>
      <c r="F3374" t="s">
        <v>36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1</v>
      </c>
      <c r="M3374">
        <v>905.6</v>
      </c>
      <c r="N3374">
        <v>1</v>
      </c>
      <c r="O3374">
        <v>926.7</v>
      </c>
      <c r="P3374">
        <v>0</v>
      </c>
      <c r="Q3374">
        <v>0</v>
      </c>
      <c r="R3374">
        <v>0</v>
      </c>
      <c r="S3374">
        <v>0</v>
      </c>
      <c r="T3374">
        <v>0.39290000000000003</v>
      </c>
      <c r="U3374">
        <v>-0.95699999999999996</v>
      </c>
      <c r="V3374">
        <v>2.0000000000000001E-4</v>
      </c>
      <c r="W3374">
        <v>-1.7963</v>
      </c>
      <c r="X3374">
        <v>1.1657999999999999</v>
      </c>
      <c r="Y3374">
        <v>-2.355</v>
      </c>
      <c r="Z3374">
        <v>2</v>
      </c>
      <c r="AA3374">
        <v>907.7</v>
      </c>
      <c r="AB3374">
        <v>1</v>
      </c>
      <c r="AC3374">
        <v>926.7</v>
      </c>
      <c r="AD3374">
        <v>0</v>
      </c>
      <c r="AE3374">
        <v>0</v>
      </c>
      <c r="AF3374">
        <v>0</v>
      </c>
      <c r="AG3374">
        <v>0</v>
      </c>
      <c r="AH3374">
        <v>0</v>
      </c>
    </row>
    <row r="3375" spans="1:34" x14ac:dyDescent="0.35">
      <c r="A3375" t="s">
        <v>34</v>
      </c>
      <c r="B3375" s="1">
        <v>46146.65625</v>
      </c>
      <c r="C3375" t="s">
        <v>34</v>
      </c>
      <c r="D3375" s="1">
        <v>46157.625</v>
      </c>
      <c r="E3375">
        <v>8150</v>
      </c>
      <c r="F3375" t="s">
        <v>36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2</v>
      </c>
      <c r="M3375">
        <v>930.6</v>
      </c>
      <c r="N3375">
        <v>1</v>
      </c>
      <c r="O3375">
        <v>951.7</v>
      </c>
      <c r="P3375">
        <v>0</v>
      </c>
      <c r="Q3375">
        <v>0</v>
      </c>
      <c r="R3375">
        <v>0</v>
      </c>
      <c r="S3375">
        <v>0</v>
      </c>
      <c r="T3375">
        <v>0.40550000000000003</v>
      </c>
      <c r="U3375">
        <v>-0.95579999999999998</v>
      </c>
      <c r="V3375">
        <v>2.0000000000000001E-4</v>
      </c>
      <c r="W3375">
        <v>-1.9014</v>
      </c>
      <c r="X3375">
        <v>1.1901999999999999</v>
      </c>
      <c r="Y3375">
        <v>-2.3599000000000001</v>
      </c>
      <c r="Z3375">
        <v>3</v>
      </c>
      <c r="AA3375">
        <v>932.7</v>
      </c>
      <c r="AB3375">
        <v>1</v>
      </c>
      <c r="AC3375">
        <v>951.7</v>
      </c>
      <c r="AD3375">
        <v>0</v>
      </c>
      <c r="AE3375">
        <v>0</v>
      </c>
      <c r="AF3375">
        <v>0</v>
      </c>
      <c r="AG3375">
        <v>0</v>
      </c>
      <c r="AH3375">
        <v>0</v>
      </c>
    </row>
    <row r="3376" spans="1:34" x14ac:dyDescent="0.35">
      <c r="A3376" t="s">
        <v>34</v>
      </c>
      <c r="B3376" s="1">
        <v>46146.65625</v>
      </c>
      <c r="C3376" t="s">
        <v>34</v>
      </c>
      <c r="D3376" s="1">
        <v>46157.625</v>
      </c>
      <c r="E3376">
        <v>8200</v>
      </c>
      <c r="F3376" t="s">
        <v>36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2</v>
      </c>
      <c r="M3376">
        <v>980.3</v>
      </c>
      <c r="N3376">
        <v>1</v>
      </c>
      <c r="O3376">
        <v>1001.4</v>
      </c>
      <c r="P3376">
        <v>0</v>
      </c>
      <c r="Q3376">
        <v>0</v>
      </c>
      <c r="R3376">
        <v>0</v>
      </c>
      <c r="S3376">
        <v>0</v>
      </c>
      <c r="T3376">
        <v>0.42009999999999997</v>
      </c>
      <c r="U3376">
        <v>-0.95779999999999998</v>
      </c>
      <c r="V3376">
        <v>2.0000000000000001E-4</v>
      </c>
      <c r="W3376">
        <v>-1.8884000000000001</v>
      </c>
      <c r="X3376">
        <v>1.1468</v>
      </c>
      <c r="Y3376">
        <v>-2.379</v>
      </c>
      <c r="Z3376">
        <v>3</v>
      </c>
      <c r="AA3376">
        <v>982.6</v>
      </c>
      <c r="AB3376">
        <v>1</v>
      </c>
      <c r="AC3376">
        <v>1001.4</v>
      </c>
      <c r="AD3376">
        <v>0</v>
      </c>
      <c r="AE3376">
        <v>0</v>
      </c>
      <c r="AF3376">
        <v>0</v>
      </c>
      <c r="AG3376">
        <v>0</v>
      </c>
      <c r="AH3376">
        <v>0</v>
      </c>
    </row>
    <row r="3377" spans="1:34" x14ac:dyDescent="0.35">
      <c r="A3377" t="s">
        <v>34</v>
      </c>
      <c r="B3377" s="1">
        <v>46146.65625</v>
      </c>
      <c r="C3377" t="s">
        <v>34</v>
      </c>
      <c r="D3377" s="1">
        <v>46157.625</v>
      </c>
      <c r="E3377">
        <v>8300</v>
      </c>
      <c r="F3377" t="s">
        <v>36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2</v>
      </c>
      <c r="M3377">
        <v>1080.0999999999999</v>
      </c>
      <c r="N3377">
        <v>1</v>
      </c>
      <c r="O3377">
        <v>1099</v>
      </c>
      <c r="P3377">
        <v>0</v>
      </c>
      <c r="Q3377">
        <v>0</v>
      </c>
      <c r="R3377">
        <v>0</v>
      </c>
      <c r="S3377">
        <v>0</v>
      </c>
      <c r="T3377">
        <v>0.42080000000000001</v>
      </c>
      <c r="U3377">
        <v>-0.97060000000000002</v>
      </c>
      <c r="V3377">
        <v>1E-4</v>
      </c>
      <c r="W3377">
        <v>-1.3396999999999999</v>
      </c>
      <c r="X3377">
        <v>0.85529999999999995</v>
      </c>
      <c r="Y3377">
        <v>-2.4354</v>
      </c>
      <c r="Z3377">
        <v>3</v>
      </c>
      <c r="AA3377">
        <v>1082.4000000000001</v>
      </c>
      <c r="AB3377">
        <v>1</v>
      </c>
      <c r="AC3377">
        <v>1105.9000000000001</v>
      </c>
      <c r="AD3377">
        <v>0</v>
      </c>
      <c r="AE3377">
        <v>0</v>
      </c>
      <c r="AF3377">
        <v>0</v>
      </c>
      <c r="AG3377">
        <v>42</v>
      </c>
      <c r="AH3377">
        <v>0</v>
      </c>
    </row>
    <row r="3378" spans="1:34" x14ac:dyDescent="0.35">
      <c r="A3378" t="s">
        <v>34</v>
      </c>
      <c r="B3378" s="1">
        <v>46146.65625</v>
      </c>
      <c r="C3378" t="s">
        <v>34</v>
      </c>
      <c r="D3378" s="1">
        <v>46157.625</v>
      </c>
      <c r="E3378">
        <v>8400</v>
      </c>
      <c r="F3378" t="s">
        <v>36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1</v>
      </c>
      <c r="M3378">
        <v>1180.3</v>
      </c>
      <c r="N3378">
        <v>3</v>
      </c>
      <c r="O3378">
        <v>1201.5</v>
      </c>
      <c r="P3378">
        <v>0</v>
      </c>
      <c r="Q3378">
        <v>0</v>
      </c>
      <c r="R3378">
        <v>0</v>
      </c>
      <c r="S3378">
        <v>0</v>
      </c>
      <c r="T3378">
        <v>0.48299999999999998</v>
      </c>
      <c r="U3378">
        <v>-0.96220000000000006</v>
      </c>
      <c r="V3378">
        <v>1E-4</v>
      </c>
      <c r="W3378">
        <v>-1.9537</v>
      </c>
      <c r="X3378">
        <v>1.0427</v>
      </c>
      <c r="Y3378">
        <v>-2.4481999999999999</v>
      </c>
      <c r="Z3378">
        <v>3</v>
      </c>
      <c r="AA3378">
        <v>1182.3</v>
      </c>
      <c r="AB3378">
        <v>1</v>
      </c>
      <c r="AC3378">
        <v>1201.5</v>
      </c>
      <c r="AD3378">
        <v>0</v>
      </c>
      <c r="AE3378">
        <v>0</v>
      </c>
      <c r="AF3378">
        <v>0</v>
      </c>
      <c r="AG3378">
        <v>0</v>
      </c>
      <c r="AH3378">
        <v>0</v>
      </c>
    </row>
    <row r="3379" spans="1:34" x14ac:dyDescent="0.35">
      <c r="A3379" t="s">
        <v>34</v>
      </c>
      <c r="B3379" s="1">
        <v>46146.65625</v>
      </c>
      <c r="C3379" t="s">
        <v>34</v>
      </c>
      <c r="D3379" s="1">
        <v>46157.625</v>
      </c>
      <c r="E3379">
        <v>8500</v>
      </c>
      <c r="F3379" t="s">
        <v>36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2</v>
      </c>
      <c r="M3379">
        <v>1279.8</v>
      </c>
      <c r="N3379">
        <v>1</v>
      </c>
      <c r="O3379">
        <v>1300.5999999999999</v>
      </c>
      <c r="P3379">
        <v>0</v>
      </c>
      <c r="Q3379">
        <v>0</v>
      </c>
      <c r="R3379">
        <v>0</v>
      </c>
      <c r="S3379">
        <v>0</v>
      </c>
      <c r="T3379">
        <v>0.50780000000000003</v>
      </c>
      <c r="U3379">
        <v>-0.96560000000000001</v>
      </c>
      <c r="V3379">
        <v>1E-4</v>
      </c>
      <c r="W3379">
        <v>-1.8793</v>
      </c>
      <c r="X3379">
        <v>0.96489999999999998</v>
      </c>
      <c r="Y3379">
        <v>-2.4849999999999999</v>
      </c>
      <c r="Z3379">
        <v>1</v>
      </c>
      <c r="AA3379">
        <v>1282.2</v>
      </c>
      <c r="AB3379">
        <v>1</v>
      </c>
      <c r="AC3379">
        <v>1300.5999999999999</v>
      </c>
      <c r="AD3379">
        <v>0</v>
      </c>
      <c r="AE3379">
        <v>0</v>
      </c>
      <c r="AF3379">
        <v>0</v>
      </c>
      <c r="AG3379">
        <v>0</v>
      </c>
      <c r="AH3379">
        <v>0</v>
      </c>
    </row>
    <row r="3380" spans="1:34" x14ac:dyDescent="0.35">
      <c r="A3380" t="s">
        <v>34</v>
      </c>
      <c r="B3380" s="1">
        <v>46146.65625</v>
      </c>
      <c r="C3380" t="s">
        <v>34</v>
      </c>
      <c r="D3380" s="1">
        <v>46157.625</v>
      </c>
      <c r="E3380">
        <v>8600</v>
      </c>
      <c r="F3380" t="s">
        <v>36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1</v>
      </c>
      <c r="M3380">
        <v>1381.4</v>
      </c>
      <c r="N3380">
        <v>2</v>
      </c>
      <c r="O3380">
        <v>1401.2</v>
      </c>
      <c r="P3380">
        <v>0</v>
      </c>
      <c r="Q3380">
        <v>0</v>
      </c>
      <c r="R3380">
        <v>0</v>
      </c>
      <c r="S3380">
        <v>0</v>
      </c>
      <c r="T3380">
        <v>0.54490000000000005</v>
      </c>
      <c r="U3380">
        <v>-0.96499999999999997</v>
      </c>
      <c r="V3380">
        <v>1E-4</v>
      </c>
      <c r="W3380">
        <v>-2.044</v>
      </c>
      <c r="X3380">
        <v>0.97470000000000001</v>
      </c>
      <c r="Y3380">
        <v>-2.5139</v>
      </c>
      <c r="Z3380">
        <v>3</v>
      </c>
      <c r="AA3380">
        <v>1382</v>
      </c>
      <c r="AB3380">
        <v>1</v>
      </c>
      <c r="AC3380">
        <v>1405.4</v>
      </c>
      <c r="AD3380">
        <v>0</v>
      </c>
      <c r="AE3380">
        <v>0</v>
      </c>
      <c r="AF3380">
        <v>0</v>
      </c>
      <c r="AG3380">
        <v>0</v>
      </c>
      <c r="AH3380">
        <v>0</v>
      </c>
    </row>
    <row r="3381" spans="1:34" x14ac:dyDescent="0.35">
      <c r="A3381" t="s">
        <v>34</v>
      </c>
      <c r="B3381" s="1">
        <v>46146.65625</v>
      </c>
      <c r="C3381" t="s">
        <v>34</v>
      </c>
      <c r="D3381" s="1">
        <v>46157.625</v>
      </c>
      <c r="E3381">
        <v>8700</v>
      </c>
      <c r="F3381" t="s">
        <v>36</v>
      </c>
      <c r="G3381">
        <v>1490.84</v>
      </c>
      <c r="H3381">
        <v>1490.84</v>
      </c>
      <c r="I3381">
        <v>1490.84</v>
      </c>
      <c r="J3381">
        <v>1490.84</v>
      </c>
      <c r="K3381">
        <v>1</v>
      </c>
      <c r="L3381">
        <v>1</v>
      </c>
      <c r="M3381">
        <v>1479.6</v>
      </c>
      <c r="N3381">
        <v>1</v>
      </c>
      <c r="O3381">
        <v>1500.8</v>
      </c>
      <c r="P3381">
        <v>0</v>
      </c>
      <c r="Q3381">
        <v>0</v>
      </c>
      <c r="R3381">
        <v>0</v>
      </c>
      <c r="S3381">
        <v>0</v>
      </c>
      <c r="T3381">
        <v>0.5706</v>
      </c>
      <c r="U3381">
        <v>-0.96730000000000005</v>
      </c>
      <c r="V3381">
        <v>1E-4</v>
      </c>
      <c r="W3381">
        <v>-2.0062000000000002</v>
      </c>
      <c r="X3381">
        <v>0.92220000000000002</v>
      </c>
      <c r="Y3381">
        <v>-2.5482999999999998</v>
      </c>
      <c r="Z3381">
        <v>1</v>
      </c>
      <c r="AA3381">
        <v>1481.9</v>
      </c>
      <c r="AB3381">
        <v>1</v>
      </c>
      <c r="AC3381">
        <v>1500.8</v>
      </c>
      <c r="AD3381">
        <v>0</v>
      </c>
      <c r="AE3381">
        <v>0</v>
      </c>
      <c r="AF3381">
        <v>1490.84</v>
      </c>
      <c r="AG3381">
        <v>0</v>
      </c>
      <c r="AH3381">
        <v>0</v>
      </c>
    </row>
    <row r="3382" spans="1:34" x14ac:dyDescent="0.35">
      <c r="A3382" t="s">
        <v>34</v>
      </c>
      <c r="B3382" s="1">
        <v>46146.65625</v>
      </c>
      <c r="C3382" t="s">
        <v>34</v>
      </c>
      <c r="D3382" s="1">
        <v>46157.625</v>
      </c>
      <c r="E3382">
        <v>8800</v>
      </c>
      <c r="F3382" t="s">
        <v>36</v>
      </c>
      <c r="G3382">
        <v>1590.71</v>
      </c>
      <c r="H3382">
        <v>1590.71</v>
      </c>
      <c r="I3382">
        <v>1590.71</v>
      </c>
      <c r="J3382">
        <v>1590.71</v>
      </c>
      <c r="K3382">
        <v>1</v>
      </c>
      <c r="L3382">
        <v>1</v>
      </c>
      <c r="M3382">
        <v>1579.6</v>
      </c>
      <c r="N3382">
        <v>1</v>
      </c>
      <c r="O3382">
        <v>1600.8</v>
      </c>
      <c r="P3382">
        <v>0</v>
      </c>
      <c r="Q3382">
        <v>0</v>
      </c>
      <c r="R3382">
        <v>0</v>
      </c>
      <c r="S3382">
        <v>0</v>
      </c>
      <c r="T3382">
        <v>0.60019999999999996</v>
      </c>
      <c r="U3382">
        <v>-0.96830000000000005</v>
      </c>
      <c r="V3382">
        <v>1E-4</v>
      </c>
      <c r="W3382">
        <v>-2.0478999999999998</v>
      </c>
      <c r="X3382">
        <v>0.89890000000000003</v>
      </c>
      <c r="Y3382">
        <v>-2.5802</v>
      </c>
      <c r="Z3382">
        <v>3</v>
      </c>
      <c r="AA3382">
        <v>1581.7</v>
      </c>
      <c r="AB3382">
        <v>1</v>
      </c>
      <c r="AC3382">
        <v>1600.8</v>
      </c>
      <c r="AD3382">
        <v>0</v>
      </c>
      <c r="AE3382">
        <v>0</v>
      </c>
      <c r="AF3382">
        <v>1590.71</v>
      </c>
      <c r="AG3382">
        <v>0</v>
      </c>
      <c r="AH3382">
        <v>0</v>
      </c>
    </row>
    <row r="3383" spans="1:34" x14ac:dyDescent="0.35">
      <c r="A3383" t="s">
        <v>34</v>
      </c>
      <c r="B3383" s="1">
        <v>46146.65625</v>
      </c>
      <c r="C3383" t="s">
        <v>34</v>
      </c>
      <c r="D3383" s="1">
        <v>46157.625</v>
      </c>
      <c r="E3383">
        <v>9000</v>
      </c>
      <c r="F3383" t="s">
        <v>36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1</v>
      </c>
      <c r="M3383">
        <v>1779.3</v>
      </c>
      <c r="N3383">
        <v>1</v>
      </c>
      <c r="O3383">
        <v>1800.4</v>
      </c>
      <c r="P3383">
        <v>0</v>
      </c>
      <c r="Q3383">
        <v>0</v>
      </c>
      <c r="R3383">
        <v>0</v>
      </c>
      <c r="S3383">
        <v>0</v>
      </c>
      <c r="T3383">
        <v>0.65310000000000001</v>
      </c>
      <c r="U3383">
        <v>-0.97089999999999999</v>
      </c>
      <c r="V3383">
        <v>1E-4</v>
      </c>
      <c r="W3383">
        <v>-2.0430999999999999</v>
      </c>
      <c r="X3383">
        <v>0.83540000000000003</v>
      </c>
      <c r="Y3383">
        <v>-2.6453000000000002</v>
      </c>
      <c r="Z3383">
        <v>3</v>
      </c>
      <c r="AA3383">
        <v>1781.4</v>
      </c>
      <c r="AB3383">
        <v>1</v>
      </c>
      <c r="AC3383">
        <v>1800.4</v>
      </c>
      <c r="AD3383">
        <v>0</v>
      </c>
      <c r="AE3383">
        <v>0</v>
      </c>
      <c r="AF3383">
        <v>0</v>
      </c>
      <c r="AG3383">
        <v>1</v>
      </c>
      <c r="AH3383">
        <v>0</v>
      </c>
    </row>
    <row r="3384" spans="1:34" x14ac:dyDescent="0.35">
      <c r="A3384" t="s">
        <v>34</v>
      </c>
      <c r="B3384" s="1">
        <v>46146.65625</v>
      </c>
      <c r="C3384" t="s">
        <v>34</v>
      </c>
      <c r="D3384" s="1">
        <v>46157.625</v>
      </c>
      <c r="E3384">
        <v>9200</v>
      </c>
      <c r="F3384" t="s">
        <v>36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1</v>
      </c>
      <c r="M3384">
        <v>1979.2</v>
      </c>
      <c r="N3384">
        <v>1</v>
      </c>
      <c r="O3384">
        <v>1997.7</v>
      </c>
      <c r="P3384">
        <v>0</v>
      </c>
      <c r="Q3384">
        <v>0</v>
      </c>
      <c r="R3384">
        <v>0</v>
      </c>
      <c r="S3384">
        <v>0</v>
      </c>
      <c r="T3384">
        <v>0.66559999999999997</v>
      </c>
      <c r="U3384">
        <v>-0.97970000000000002</v>
      </c>
      <c r="V3384">
        <v>1E-4</v>
      </c>
      <c r="W3384">
        <v>-1.4383999999999999</v>
      </c>
      <c r="X3384">
        <v>0.61839999999999995</v>
      </c>
      <c r="Y3384">
        <v>-2.7227000000000001</v>
      </c>
      <c r="Z3384">
        <v>1</v>
      </c>
      <c r="AA3384">
        <v>1981.2</v>
      </c>
      <c r="AB3384">
        <v>1</v>
      </c>
      <c r="AC3384">
        <v>2004.6</v>
      </c>
      <c r="AD3384">
        <v>0</v>
      </c>
      <c r="AE3384">
        <v>0</v>
      </c>
      <c r="AF3384">
        <v>0</v>
      </c>
      <c r="AG3384">
        <v>0</v>
      </c>
      <c r="AH3384">
        <v>0</v>
      </c>
    </row>
    <row r="3385" spans="1:34" x14ac:dyDescent="0.35">
      <c r="A3385" t="s">
        <v>34</v>
      </c>
      <c r="B3385" s="1">
        <v>46146.65625</v>
      </c>
      <c r="C3385" t="s">
        <v>34</v>
      </c>
      <c r="D3385" s="1">
        <v>46157.625</v>
      </c>
      <c r="E3385">
        <v>9600</v>
      </c>
      <c r="F3385" t="s">
        <v>36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2</v>
      </c>
      <c r="M3385">
        <v>2378.1999999999998</v>
      </c>
      <c r="N3385">
        <v>1</v>
      </c>
      <c r="O3385">
        <v>2397.1</v>
      </c>
      <c r="P3385">
        <v>0</v>
      </c>
      <c r="Q3385">
        <v>0</v>
      </c>
      <c r="R3385">
        <v>0</v>
      </c>
      <c r="S3385">
        <v>0</v>
      </c>
      <c r="T3385">
        <v>0.75349999999999995</v>
      </c>
      <c r="U3385">
        <v>-0.9829</v>
      </c>
      <c r="V3385">
        <v>0</v>
      </c>
      <c r="W3385">
        <v>-1.3359000000000001</v>
      </c>
      <c r="X3385">
        <v>0.5302</v>
      </c>
      <c r="Y3385">
        <v>-2.8487</v>
      </c>
      <c r="Z3385">
        <v>3</v>
      </c>
      <c r="AA3385">
        <v>2380.6</v>
      </c>
      <c r="AB3385">
        <v>1</v>
      </c>
      <c r="AC3385">
        <v>2404.1</v>
      </c>
      <c r="AD3385">
        <v>0</v>
      </c>
      <c r="AE3385">
        <v>0</v>
      </c>
      <c r="AF3385">
        <v>0</v>
      </c>
      <c r="AG3385">
        <v>0</v>
      </c>
      <c r="AH3385">
        <v>0</v>
      </c>
    </row>
    <row r="3386" spans="1:34" x14ac:dyDescent="0.35">
      <c r="A3386" t="s">
        <v>34</v>
      </c>
      <c r="B3386" s="1">
        <v>46146.65625</v>
      </c>
      <c r="C3386" t="s">
        <v>34</v>
      </c>
      <c r="D3386" s="1">
        <v>46157.625</v>
      </c>
      <c r="E3386">
        <v>10000</v>
      </c>
      <c r="F3386" t="s">
        <v>36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1</v>
      </c>
      <c r="M3386">
        <v>2777.7</v>
      </c>
      <c r="N3386">
        <v>1</v>
      </c>
      <c r="O3386">
        <v>2799</v>
      </c>
      <c r="P3386">
        <v>0</v>
      </c>
      <c r="Q3386">
        <v>0</v>
      </c>
      <c r="R3386">
        <v>0</v>
      </c>
      <c r="S3386">
        <v>0</v>
      </c>
      <c r="T3386">
        <v>0.89729999999999999</v>
      </c>
      <c r="U3386">
        <v>-0.97809999999999997</v>
      </c>
      <c r="V3386">
        <v>1E-4</v>
      </c>
      <c r="W3386">
        <v>-2.0760999999999998</v>
      </c>
      <c r="X3386">
        <v>0.65290000000000004</v>
      </c>
      <c r="Y3386">
        <v>-2.9582999999999999</v>
      </c>
      <c r="Z3386">
        <v>3</v>
      </c>
      <c r="AA3386">
        <v>2780</v>
      </c>
      <c r="AB3386">
        <v>1</v>
      </c>
      <c r="AC3386">
        <v>2799</v>
      </c>
      <c r="AD3386">
        <v>0</v>
      </c>
      <c r="AE3386">
        <v>0</v>
      </c>
      <c r="AF3386">
        <v>0</v>
      </c>
      <c r="AG3386">
        <v>0</v>
      </c>
      <c r="AH3386">
        <v>0</v>
      </c>
    </row>
    <row r="3387" spans="1:34" x14ac:dyDescent="0.35">
      <c r="A3387" t="s">
        <v>34</v>
      </c>
      <c r="B3387" s="1">
        <v>46146.65625</v>
      </c>
      <c r="C3387" t="s">
        <v>34</v>
      </c>
      <c r="D3387" s="1">
        <v>46157.625</v>
      </c>
      <c r="E3387">
        <v>10400</v>
      </c>
      <c r="F3387" t="s">
        <v>36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1</v>
      </c>
      <c r="M3387">
        <v>3177.4</v>
      </c>
      <c r="N3387">
        <v>2</v>
      </c>
      <c r="O3387">
        <v>3198.6</v>
      </c>
      <c r="P3387">
        <v>0</v>
      </c>
      <c r="Q3387">
        <v>0</v>
      </c>
      <c r="R3387">
        <v>0</v>
      </c>
      <c r="S3387">
        <v>0</v>
      </c>
      <c r="T3387">
        <v>0.98250000000000004</v>
      </c>
      <c r="U3387">
        <v>-0.98009999999999997</v>
      </c>
      <c r="V3387">
        <v>0</v>
      </c>
      <c r="W3387">
        <v>-2.0373999999999999</v>
      </c>
      <c r="X3387">
        <v>0.60009999999999997</v>
      </c>
      <c r="Y3387">
        <v>-3.0815999999999999</v>
      </c>
      <c r="Z3387">
        <v>1</v>
      </c>
      <c r="AA3387">
        <v>3179.5</v>
      </c>
      <c r="AB3387">
        <v>1</v>
      </c>
      <c r="AC3387">
        <v>3202.9</v>
      </c>
      <c r="AD3387">
        <v>0</v>
      </c>
      <c r="AE3387">
        <v>0</v>
      </c>
      <c r="AF3387">
        <v>0</v>
      </c>
      <c r="AG3387">
        <v>5</v>
      </c>
      <c r="AH3387">
        <v>0</v>
      </c>
    </row>
    <row r="3388" spans="1:34" x14ac:dyDescent="0.35">
      <c r="A3388" t="s">
        <v>34</v>
      </c>
      <c r="B3388" s="1">
        <v>46146.65625</v>
      </c>
      <c r="C3388" t="s">
        <v>34</v>
      </c>
      <c r="D3388" s="1">
        <v>46157.625</v>
      </c>
      <c r="E3388">
        <v>10800</v>
      </c>
      <c r="F3388" t="s">
        <v>36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1</v>
      </c>
      <c r="M3388">
        <v>3576.8</v>
      </c>
      <c r="N3388">
        <v>2</v>
      </c>
      <c r="O3388">
        <v>3598</v>
      </c>
      <c r="P3388">
        <v>0</v>
      </c>
      <c r="Q3388">
        <v>0</v>
      </c>
      <c r="R3388">
        <v>0</v>
      </c>
      <c r="S3388">
        <v>0</v>
      </c>
      <c r="T3388">
        <v>1.0641</v>
      </c>
      <c r="U3388">
        <v>-0.98160000000000003</v>
      </c>
      <c r="V3388">
        <v>0</v>
      </c>
      <c r="W3388">
        <v>-2.012</v>
      </c>
      <c r="X3388">
        <v>0.55959999999999999</v>
      </c>
      <c r="Y3388">
        <v>-3.2039</v>
      </c>
      <c r="Z3388">
        <v>1</v>
      </c>
      <c r="AA3388">
        <v>3578.9</v>
      </c>
      <c r="AB3388">
        <v>1</v>
      </c>
      <c r="AC3388">
        <v>3602.4</v>
      </c>
      <c r="AD3388">
        <v>0</v>
      </c>
      <c r="AE3388">
        <v>0</v>
      </c>
      <c r="AF3388">
        <v>0</v>
      </c>
      <c r="AG3388">
        <v>9</v>
      </c>
      <c r="AH3388">
        <v>0</v>
      </c>
    </row>
    <row r="3389" spans="1:34" x14ac:dyDescent="0.35">
      <c r="A3389" t="s">
        <v>34</v>
      </c>
      <c r="B3389" s="1">
        <v>46146.65625</v>
      </c>
      <c r="C3389" t="s">
        <v>34</v>
      </c>
      <c r="D3389" s="1">
        <v>46157.625</v>
      </c>
      <c r="E3389">
        <v>11200</v>
      </c>
      <c r="F3389" t="s">
        <v>36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1</v>
      </c>
      <c r="M3389">
        <v>3976.3</v>
      </c>
      <c r="N3389">
        <v>2</v>
      </c>
      <c r="O3389">
        <v>3997.5</v>
      </c>
      <c r="P3389">
        <v>0</v>
      </c>
      <c r="Q3389">
        <v>0</v>
      </c>
      <c r="R3389">
        <v>0</v>
      </c>
      <c r="S3389">
        <v>0</v>
      </c>
      <c r="T3389">
        <v>1.1433</v>
      </c>
      <c r="U3389">
        <v>-0.98270000000000002</v>
      </c>
      <c r="V3389">
        <v>0</v>
      </c>
      <c r="W3389">
        <v>-2.0059</v>
      </c>
      <c r="X3389">
        <v>0.53010000000000002</v>
      </c>
      <c r="Y3389">
        <v>-3.3252999999999999</v>
      </c>
      <c r="Z3389">
        <v>3</v>
      </c>
      <c r="AA3389">
        <v>3978.3</v>
      </c>
      <c r="AB3389">
        <v>1</v>
      </c>
      <c r="AC3389">
        <v>4001.8</v>
      </c>
      <c r="AD3389">
        <v>0</v>
      </c>
      <c r="AE3389">
        <v>0</v>
      </c>
      <c r="AF3389">
        <v>0</v>
      </c>
      <c r="AG3389">
        <v>10</v>
      </c>
      <c r="AH3389">
        <v>0</v>
      </c>
    </row>
    <row r="3390" spans="1:34" x14ac:dyDescent="0.35">
      <c r="A3390" t="s">
        <v>34</v>
      </c>
      <c r="B3390" s="1">
        <v>46146.65625</v>
      </c>
      <c r="C3390" t="s">
        <v>34</v>
      </c>
      <c r="D3390" s="1">
        <v>46157.625</v>
      </c>
      <c r="E3390">
        <v>11600</v>
      </c>
      <c r="F3390" t="s">
        <v>36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1</v>
      </c>
      <c r="M3390">
        <v>4375.3999999999996</v>
      </c>
      <c r="N3390">
        <v>2</v>
      </c>
      <c r="O3390">
        <v>4396.8999999999996</v>
      </c>
      <c r="P3390">
        <v>0</v>
      </c>
      <c r="Q3390">
        <v>0</v>
      </c>
      <c r="R3390">
        <v>0</v>
      </c>
      <c r="S3390">
        <v>0</v>
      </c>
      <c r="T3390">
        <v>1.2223999999999999</v>
      </c>
      <c r="U3390">
        <v>-0.98329999999999995</v>
      </c>
      <c r="V3390">
        <v>0</v>
      </c>
      <c r="W3390">
        <v>-2.0451999999999999</v>
      </c>
      <c r="X3390">
        <v>0.51339999999999997</v>
      </c>
      <c r="Y3390">
        <v>-3.4457</v>
      </c>
      <c r="Z3390">
        <v>3</v>
      </c>
      <c r="AA3390">
        <v>4377.7</v>
      </c>
      <c r="AB3390">
        <v>1</v>
      </c>
      <c r="AC3390">
        <v>4401.2</v>
      </c>
      <c r="AD3390">
        <v>0</v>
      </c>
      <c r="AE3390">
        <v>0</v>
      </c>
      <c r="AF3390">
        <v>0</v>
      </c>
      <c r="AG3390">
        <v>4</v>
      </c>
      <c r="AH3390">
        <v>0</v>
      </c>
    </row>
    <row r="3391" spans="1:34" x14ac:dyDescent="0.35">
      <c r="A3391" t="s">
        <v>34</v>
      </c>
      <c r="B3391" s="1">
        <v>46146.65625</v>
      </c>
      <c r="C3391" t="s">
        <v>34</v>
      </c>
      <c r="D3391" s="1">
        <v>46157.625</v>
      </c>
      <c r="E3391">
        <v>12000</v>
      </c>
      <c r="F3391" t="s">
        <v>36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2</v>
      </c>
      <c r="M3391">
        <v>4775</v>
      </c>
      <c r="N3391">
        <v>2</v>
      </c>
      <c r="O3391">
        <v>4796.3</v>
      </c>
      <c r="P3391">
        <v>0</v>
      </c>
      <c r="Q3391">
        <v>0</v>
      </c>
      <c r="R3391">
        <v>0</v>
      </c>
      <c r="S3391">
        <v>0</v>
      </c>
      <c r="T3391">
        <v>1.2908999999999999</v>
      </c>
      <c r="U3391">
        <v>-0.98440000000000005</v>
      </c>
      <c r="V3391">
        <v>0</v>
      </c>
      <c r="W3391">
        <v>-1.9844999999999999</v>
      </c>
      <c r="X3391">
        <v>0.48499999999999999</v>
      </c>
      <c r="Y3391">
        <v>-3.5669</v>
      </c>
      <c r="Z3391">
        <v>1</v>
      </c>
      <c r="AA3391">
        <v>4777.2</v>
      </c>
      <c r="AB3391">
        <v>1</v>
      </c>
      <c r="AC3391">
        <v>4800.7</v>
      </c>
      <c r="AD3391">
        <v>0</v>
      </c>
      <c r="AE3391">
        <v>0</v>
      </c>
      <c r="AF3391">
        <v>0</v>
      </c>
      <c r="AG3391">
        <v>0</v>
      </c>
      <c r="AH3391">
        <v>0</v>
      </c>
    </row>
    <row r="3392" spans="1:34" x14ac:dyDescent="0.35">
      <c r="A3392" t="s">
        <v>34</v>
      </c>
      <c r="B3392" s="1">
        <v>46146.65625</v>
      </c>
      <c r="C3392" t="s">
        <v>34</v>
      </c>
      <c r="D3392" s="1">
        <v>46157.625</v>
      </c>
      <c r="E3392">
        <v>12400</v>
      </c>
      <c r="F3392" t="s">
        <v>36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1</v>
      </c>
      <c r="M3392">
        <v>5174.2</v>
      </c>
      <c r="N3392">
        <v>2</v>
      </c>
      <c r="O3392">
        <v>5195.8</v>
      </c>
      <c r="P3392">
        <v>0</v>
      </c>
      <c r="Q3392">
        <v>0</v>
      </c>
      <c r="R3392">
        <v>0</v>
      </c>
      <c r="S3392">
        <v>0</v>
      </c>
      <c r="T3392">
        <v>1.3615999999999999</v>
      </c>
      <c r="U3392">
        <v>-0.9849</v>
      </c>
      <c r="V3392">
        <v>0</v>
      </c>
      <c r="W3392">
        <v>-1.9894000000000001</v>
      </c>
      <c r="X3392">
        <v>0.4698</v>
      </c>
      <c r="Y3392">
        <v>-3.6871999999999998</v>
      </c>
      <c r="Z3392">
        <v>3</v>
      </c>
      <c r="AA3392">
        <v>5176.6000000000004</v>
      </c>
      <c r="AB3392">
        <v>1</v>
      </c>
      <c r="AC3392">
        <v>5200.1000000000004</v>
      </c>
      <c r="AD3392">
        <v>0</v>
      </c>
      <c r="AE3392">
        <v>0</v>
      </c>
      <c r="AF3392">
        <v>0</v>
      </c>
      <c r="AG3392">
        <v>2</v>
      </c>
      <c r="AH3392">
        <v>0</v>
      </c>
    </row>
  </sheetData>
  <autoFilter ref="A1:AH3392" xr:uid="{C253D368-BED5-485B-9E0F-A90BD662AF76}"/>
  <pageMargins left="0.7" right="0.7" top="0.75" bottom="0.75" header="0.3" footer="0.3"/>
  <pageSetup paperSize="9" orientation="portrait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6E672-9BFC-4657-96AD-55E125CFDF6B}">
  <dimension ref="A1:AC36"/>
  <sheetViews>
    <sheetView topLeftCell="A9" zoomScale="70" zoomScaleNormal="70" workbookViewId="0">
      <selection activeCell="E37" sqref="E37"/>
    </sheetView>
  </sheetViews>
  <sheetFormatPr defaultRowHeight="14.5" x14ac:dyDescent="0.35"/>
  <cols>
    <col min="5" max="5" width="12.08984375" customWidth="1"/>
    <col min="6" max="10" width="9.08984375" bestFit="1" customWidth="1"/>
    <col min="11" max="22" width="10.08984375" bestFit="1" customWidth="1"/>
  </cols>
  <sheetData>
    <row r="1" spans="1:29" x14ac:dyDescent="0.35">
      <c r="A1" s="10">
        <v>115000</v>
      </c>
      <c r="M1" t="s">
        <v>48</v>
      </c>
    </row>
    <row r="2" spans="1:29" x14ac:dyDescent="0.35">
      <c r="A2" s="11">
        <v>0.115</v>
      </c>
      <c r="F2" t="s">
        <v>47</v>
      </c>
    </row>
    <row r="3" spans="1:29" x14ac:dyDescent="0.35">
      <c r="A3" s="10">
        <f>A1*A2</f>
        <v>13225</v>
      </c>
      <c r="B3" s="15">
        <f>A3/52</f>
        <v>254.32692307692307</v>
      </c>
      <c r="C3" t="s">
        <v>53</v>
      </c>
      <c r="F3" s="5">
        <v>46146</v>
      </c>
      <c r="G3" s="5">
        <f>F3+1</f>
        <v>46147</v>
      </c>
      <c r="H3" s="5">
        <f>G3+1</f>
        <v>46148</v>
      </c>
      <c r="I3" s="5">
        <f>H3+1</f>
        <v>46149</v>
      </c>
      <c r="J3" s="5">
        <f>I3+1</f>
        <v>46150</v>
      </c>
      <c r="K3" s="5">
        <v>46153</v>
      </c>
      <c r="L3" s="5">
        <f t="shared" ref="L3:T3" si="0">K3+1</f>
        <v>46154</v>
      </c>
      <c r="M3" s="5">
        <f t="shared" si="0"/>
        <v>46155</v>
      </c>
      <c r="N3" s="5">
        <f t="shared" si="0"/>
        <v>46156</v>
      </c>
      <c r="O3" s="5">
        <f t="shared" si="0"/>
        <v>46157</v>
      </c>
      <c r="P3" s="5">
        <v>46160</v>
      </c>
      <c r="Q3" s="5">
        <f t="shared" si="0"/>
        <v>46161</v>
      </c>
      <c r="R3" s="5">
        <f t="shared" si="0"/>
        <v>46162</v>
      </c>
      <c r="S3" s="5">
        <f t="shared" si="0"/>
        <v>46163</v>
      </c>
      <c r="T3" s="5">
        <f t="shared" si="0"/>
        <v>46164</v>
      </c>
      <c r="U3" s="5"/>
      <c r="V3" s="5"/>
    </row>
    <row r="4" spans="1:29" x14ac:dyDescent="0.35">
      <c r="D4" t="s">
        <v>46</v>
      </c>
      <c r="E4" s="5">
        <f>E5+1</f>
        <v>46164</v>
      </c>
      <c r="F4" s="5"/>
      <c r="G4" s="5"/>
      <c r="H4" s="5"/>
      <c r="I4" s="5"/>
      <c r="J4" s="5"/>
      <c r="K4" s="5"/>
      <c r="L4" s="5"/>
      <c r="M4" s="5"/>
      <c r="N4" s="5"/>
      <c r="O4" s="5"/>
      <c r="P4" s="9">
        <v>1</v>
      </c>
      <c r="Q4">
        <v>1</v>
      </c>
      <c r="R4">
        <v>1</v>
      </c>
      <c r="S4">
        <v>1</v>
      </c>
      <c r="T4">
        <v>1</v>
      </c>
      <c r="U4" s="12"/>
      <c r="V4" s="12"/>
      <c r="W4" s="13"/>
      <c r="X4" s="12"/>
      <c r="Y4" s="12"/>
      <c r="Z4" s="12"/>
      <c r="AA4" s="12"/>
      <c r="AB4" s="12"/>
      <c r="AC4" s="12"/>
    </row>
    <row r="5" spans="1:29" x14ac:dyDescent="0.35">
      <c r="B5">
        <f>SUM(F19:J19)</f>
        <v>285</v>
      </c>
      <c r="E5" s="5">
        <f>E6+1</f>
        <v>46163</v>
      </c>
      <c r="Q5" s="9">
        <v>1</v>
      </c>
      <c r="T5" s="12"/>
      <c r="U5" s="12"/>
      <c r="V5" s="13"/>
      <c r="W5" s="12"/>
      <c r="X5" s="12"/>
      <c r="Y5" s="12"/>
      <c r="Z5" s="12"/>
      <c r="AA5" s="12"/>
      <c r="AB5" s="12"/>
    </row>
    <row r="6" spans="1:29" x14ac:dyDescent="0.35">
      <c r="B6">
        <f>SUM(K19:O19)</f>
        <v>250</v>
      </c>
      <c r="E6" s="5">
        <f>E7+1</f>
        <v>46162</v>
      </c>
      <c r="S6" s="12"/>
      <c r="T6" s="12"/>
      <c r="U6" s="13"/>
      <c r="V6" s="12"/>
      <c r="W6" s="12"/>
      <c r="X6" s="12"/>
      <c r="Y6" s="12"/>
      <c r="Z6" s="12"/>
      <c r="AA6" s="12"/>
    </row>
    <row r="7" spans="1:29" x14ac:dyDescent="0.35">
      <c r="E7" s="5">
        <f>E8+1</f>
        <v>46161</v>
      </c>
      <c r="M7" s="9">
        <v>1</v>
      </c>
      <c r="N7">
        <v>1</v>
      </c>
      <c r="O7">
        <v>1</v>
      </c>
      <c r="P7">
        <v>1</v>
      </c>
      <c r="Q7">
        <v>1</v>
      </c>
      <c r="R7" s="12"/>
      <c r="S7" s="12"/>
      <c r="T7" s="13"/>
      <c r="U7" s="12"/>
      <c r="V7" s="12"/>
      <c r="W7" s="12"/>
      <c r="X7" s="12"/>
      <c r="Y7" s="12"/>
      <c r="Z7" s="12"/>
    </row>
    <row r="8" spans="1:29" x14ac:dyDescent="0.35">
      <c r="E8" s="5">
        <v>46160</v>
      </c>
      <c r="N8" s="9"/>
      <c r="O8">
        <v>1</v>
      </c>
      <c r="P8">
        <v>1</v>
      </c>
      <c r="Q8" s="12"/>
      <c r="R8" s="12"/>
      <c r="S8" s="13"/>
      <c r="T8" s="12"/>
      <c r="U8" s="12"/>
      <c r="V8" s="12"/>
      <c r="W8" s="12"/>
      <c r="X8" s="12"/>
      <c r="Y8" s="12"/>
    </row>
    <row r="9" spans="1:29" x14ac:dyDescent="0.35">
      <c r="B9" t="s">
        <v>49</v>
      </c>
      <c r="E9" s="5">
        <f>E10+1</f>
        <v>46157</v>
      </c>
      <c r="K9" s="9">
        <v>1</v>
      </c>
      <c r="L9">
        <v>1</v>
      </c>
      <c r="M9">
        <v>1</v>
      </c>
      <c r="N9">
        <v>1</v>
      </c>
      <c r="O9">
        <v>1</v>
      </c>
      <c r="P9" s="12"/>
      <c r="Q9" s="12"/>
      <c r="R9" s="13"/>
      <c r="S9" s="12"/>
      <c r="T9" s="12"/>
      <c r="U9" s="12"/>
      <c r="V9" s="12"/>
      <c r="W9" s="12"/>
      <c r="X9" s="12"/>
    </row>
    <row r="10" spans="1:29" x14ac:dyDescent="0.35">
      <c r="B10">
        <v>100</v>
      </c>
      <c r="C10" t="s">
        <v>50</v>
      </c>
      <c r="E10" s="5">
        <f>E11+1</f>
        <v>46156</v>
      </c>
      <c r="L10" s="9">
        <v>1</v>
      </c>
      <c r="M10">
        <v>1</v>
      </c>
      <c r="N10">
        <v>1</v>
      </c>
      <c r="O10" s="12"/>
      <c r="P10" s="12"/>
      <c r="Q10" s="13"/>
      <c r="R10" s="12"/>
      <c r="S10" s="12"/>
      <c r="T10" s="12"/>
      <c r="U10" s="12"/>
      <c r="V10" s="12"/>
      <c r="W10" s="12"/>
    </row>
    <row r="11" spans="1:29" x14ac:dyDescent="0.35">
      <c r="B11">
        <v>50</v>
      </c>
      <c r="E11" s="5">
        <f>E12+1</f>
        <v>46155</v>
      </c>
      <c r="N11" s="12"/>
      <c r="O11" s="12"/>
      <c r="P11" s="13"/>
      <c r="Q11" s="12"/>
      <c r="R11" s="12"/>
      <c r="S11" s="12"/>
      <c r="T11" s="12"/>
      <c r="U11" s="12"/>
      <c r="V11" s="12"/>
    </row>
    <row r="12" spans="1:29" x14ac:dyDescent="0.35">
      <c r="B12">
        <v>25</v>
      </c>
      <c r="E12" s="5">
        <f>E13+1</f>
        <v>46154</v>
      </c>
      <c r="H12" s="9">
        <v>1</v>
      </c>
      <c r="I12">
        <v>1</v>
      </c>
      <c r="J12">
        <v>1</v>
      </c>
      <c r="K12">
        <v>1</v>
      </c>
      <c r="L12">
        <v>1</v>
      </c>
      <c r="M12" s="12"/>
      <c r="N12" s="12"/>
      <c r="O12" s="13"/>
      <c r="P12" s="12"/>
      <c r="Q12" s="12"/>
      <c r="R12" s="12"/>
      <c r="S12" s="12"/>
      <c r="T12" s="12"/>
      <c r="U12" s="12"/>
    </row>
    <row r="13" spans="1:29" x14ac:dyDescent="0.35">
      <c r="B13">
        <v>10</v>
      </c>
      <c r="E13" s="5">
        <v>46153</v>
      </c>
      <c r="H13" s="9"/>
      <c r="I13" s="9">
        <v>1</v>
      </c>
      <c r="J13">
        <v>1</v>
      </c>
      <c r="K13">
        <v>1</v>
      </c>
      <c r="L13" s="12"/>
      <c r="M13" s="12"/>
      <c r="N13" s="13"/>
      <c r="O13" s="12"/>
      <c r="P13" s="12"/>
      <c r="Q13" s="12"/>
      <c r="R13" s="12"/>
      <c r="S13" s="12"/>
      <c r="T13" s="12"/>
    </row>
    <row r="14" spans="1:29" x14ac:dyDescent="0.35">
      <c r="E14" s="5">
        <v>46150</v>
      </c>
      <c r="F14" s="9">
        <v>1</v>
      </c>
      <c r="G14">
        <v>1</v>
      </c>
      <c r="H14">
        <v>1</v>
      </c>
      <c r="I14">
        <v>1</v>
      </c>
      <c r="J14">
        <v>1</v>
      </c>
      <c r="K14" s="12"/>
      <c r="L14" s="12"/>
      <c r="M14" s="13"/>
      <c r="N14" s="12"/>
      <c r="O14" s="12"/>
      <c r="P14" s="12"/>
      <c r="Q14" s="12"/>
      <c r="R14" s="12"/>
      <c r="S14" s="12"/>
    </row>
    <row r="15" spans="1:29" x14ac:dyDescent="0.35">
      <c r="A15" t="s">
        <v>51</v>
      </c>
      <c r="E15" s="5">
        <f>E14-1</f>
        <v>46149</v>
      </c>
      <c r="J15" s="12"/>
      <c r="K15" s="12"/>
      <c r="L15" s="13"/>
      <c r="M15" s="12"/>
      <c r="N15" s="12"/>
      <c r="O15" s="12"/>
      <c r="P15" s="12"/>
      <c r="Q15" s="12"/>
      <c r="R15" s="12"/>
    </row>
    <row r="16" spans="1:29" x14ac:dyDescent="0.35">
      <c r="B16">
        <f>7260-500</f>
        <v>6760</v>
      </c>
      <c r="E16" s="5">
        <f>E15-1</f>
        <v>46148</v>
      </c>
      <c r="F16" s="9">
        <v>1</v>
      </c>
      <c r="G16">
        <v>1</v>
      </c>
      <c r="H16">
        <v>1</v>
      </c>
      <c r="I16" s="12"/>
      <c r="J16" s="12"/>
      <c r="K16" s="13"/>
      <c r="L16" s="12"/>
      <c r="M16" s="12"/>
      <c r="N16" s="12"/>
      <c r="O16" s="12"/>
      <c r="P16" s="12"/>
      <c r="Q16" s="12"/>
    </row>
    <row r="17" spans="2:20" x14ac:dyDescent="0.35">
      <c r="B17" t="s">
        <v>52</v>
      </c>
      <c r="E17" s="5">
        <f>E16-1</f>
        <v>46147</v>
      </c>
      <c r="F17" s="9">
        <v>1</v>
      </c>
      <c r="G17">
        <v>1</v>
      </c>
      <c r="H17" s="12"/>
      <c r="I17" s="12"/>
      <c r="J17" s="13"/>
      <c r="K17" s="12"/>
      <c r="L17" s="12"/>
      <c r="M17" s="12"/>
      <c r="N17" s="12"/>
      <c r="O17" s="12"/>
      <c r="P17" s="12"/>
    </row>
    <row r="18" spans="2:20" x14ac:dyDescent="0.35">
      <c r="E18" s="5">
        <f>E17-1</f>
        <v>46146</v>
      </c>
      <c r="G18" s="12"/>
      <c r="H18" s="12"/>
      <c r="I18" s="13"/>
      <c r="J18" s="12"/>
      <c r="K18" s="12"/>
      <c r="L18" s="12"/>
      <c r="M18" s="12"/>
      <c r="N18" s="12"/>
      <c r="O18" s="12"/>
    </row>
    <row r="19" spans="2:20" x14ac:dyDescent="0.35">
      <c r="F19">
        <f>SUMPRODUCT(F$4:F$18, F$22:F$36)</f>
        <v>135</v>
      </c>
      <c r="G19">
        <f>SUMPRODUCT(G$4:G$18, G$22:G$36)</f>
        <v>0</v>
      </c>
      <c r="H19">
        <f>SUMPRODUCT(H$4:H$18, H$22:H$36)</f>
        <v>100</v>
      </c>
      <c r="I19">
        <f t="shared" ref="I19:T19" si="1">SUMPRODUCT(I$4:I$18, I$22:I$36)</f>
        <v>50</v>
      </c>
      <c r="J19">
        <f t="shared" si="1"/>
        <v>0</v>
      </c>
      <c r="K19">
        <f t="shared" si="1"/>
        <v>100</v>
      </c>
      <c r="L19">
        <f t="shared" si="1"/>
        <v>50</v>
      </c>
      <c r="M19">
        <f t="shared" si="1"/>
        <v>100</v>
      </c>
      <c r="N19">
        <f t="shared" si="1"/>
        <v>0</v>
      </c>
      <c r="O19">
        <f t="shared" si="1"/>
        <v>0</v>
      </c>
      <c r="P19">
        <f t="shared" si="1"/>
        <v>100</v>
      </c>
      <c r="Q19">
        <f t="shared" si="1"/>
        <v>75</v>
      </c>
      <c r="R19">
        <f t="shared" si="1"/>
        <v>0</v>
      </c>
      <c r="S19">
        <f t="shared" si="1"/>
        <v>0</v>
      </c>
      <c r="T19">
        <f t="shared" si="1"/>
        <v>0</v>
      </c>
    </row>
    <row r="20" spans="2:20" x14ac:dyDescent="0.35">
      <c r="F20" s="5">
        <f>F3</f>
        <v>46146</v>
      </c>
      <c r="G20" s="5">
        <f t="shared" ref="G20:T20" si="2">G3</f>
        <v>46147</v>
      </c>
      <c r="H20" s="5">
        <f t="shared" si="2"/>
        <v>46148</v>
      </c>
      <c r="I20" s="5">
        <f t="shared" si="2"/>
        <v>46149</v>
      </c>
      <c r="J20" s="5">
        <f t="shared" si="2"/>
        <v>46150</v>
      </c>
      <c r="K20" s="5">
        <f t="shared" si="2"/>
        <v>46153</v>
      </c>
      <c r="L20" s="5">
        <f t="shared" si="2"/>
        <v>46154</v>
      </c>
      <c r="M20" s="5">
        <f t="shared" si="2"/>
        <v>46155</v>
      </c>
      <c r="N20" s="5">
        <f t="shared" si="2"/>
        <v>46156</v>
      </c>
      <c r="O20" s="5">
        <f t="shared" si="2"/>
        <v>46157</v>
      </c>
      <c r="P20" s="5">
        <f t="shared" si="2"/>
        <v>46160</v>
      </c>
      <c r="Q20" s="5">
        <f t="shared" si="2"/>
        <v>46161</v>
      </c>
      <c r="R20" s="5">
        <f t="shared" si="2"/>
        <v>46162</v>
      </c>
      <c r="S20" s="5">
        <f t="shared" si="2"/>
        <v>46163</v>
      </c>
      <c r="T20" s="5">
        <f t="shared" si="2"/>
        <v>46164</v>
      </c>
    </row>
    <row r="21" spans="2:20" x14ac:dyDescent="0.35">
      <c r="E21" s="5"/>
      <c r="Q21">
        <v>100</v>
      </c>
      <c r="R21">
        <v>50</v>
      </c>
      <c r="S21">
        <v>25</v>
      </c>
      <c r="T21">
        <v>10</v>
      </c>
    </row>
    <row r="22" spans="2:20" x14ac:dyDescent="0.35">
      <c r="E22" s="5">
        <v>46164</v>
      </c>
      <c r="P22">
        <v>100</v>
      </c>
      <c r="Q22">
        <v>50</v>
      </c>
    </row>
    <row r="23" spans="2:20" x14ac:dyDescent="0.35">
      <c r="E23" s="5">
        <v>46163</v>
      </c>
      <c r="Q23">
        <v>25</v>
      </c>
    </row>
    <row r="24" spans="2:20" x14ac:dyDescent="0.35">
      <c r="E24" s="5">
        <v>46162</v>
      </c>
      <c r="Q24">
        <v>10</v>
      </c>
    </row>
    <row r="25" spans="2:20" x14ac:dyDescent="0.35">
      <c r="E25" s="5">
        <v>46161</v>
      </c>
      <c r="M25">
        <v>100</v>
      </c>
    </row>
    <row r="26" spans="2:20" x14ac:dyDescent="0.35">
      <c r="E26" s="5">
        <v>46160</v>
      </c>
    </row>
    <row r="27" spans="2:20" x14ac:dyDescent="0.35">
      <c r="E27" s="5">
        <v>46157</v>
      </c>
      <c r="K27">
        <v>100</v>
      </c>
      <c r="L27">
        <v>50</v>
      </c>
    </row>
    <row r="28" spans="2:20" x14ac:dyDescent="0.35">
      <c r="E28" s="5">
        <v>46156</v>
      </c>
    </row>
    <row r="29" spans="2:20" x14ac:dyDescent="0.35">
      <c r="E29" s="5">
        <v>46155</v>
      </c>
    </row>
    <row r="30" spans="2:20" x14ac:dyDescent="0.35">
      <c r="E30" s="5">
        <v>46154</v>
      </c>
      <c r="H30">
        <v>100</v>
      </c>
      <c r="I30">
        <v>50</v>
      </c>
    </row>
    <row r="31" spans="2:20" x14ac:dyDescent="0.35">
      <c r="E31" s="5">
        <v>46153</v>
      </c>
    </row>
    <row r="32" spans="2:20" x14ac:dyDescent="0.35">
      <c r="E32" s="5">
        <v>46150</v>
      </c>
      <c r="F32">
        <v>100</v>
      </c>
    </row>
    <row r="33" spans="5:6" x14ac:dyDescent="0.35">
      <c r="E33" s="5">
        <v>46149</v>
      </c>
      <c r="F33">
        <v>50</v>
      </c>
    </row>
    <row r="34" spans="5:6" x14ac:dyDescent="0.35">
      <c r="E34" s="5">
        <v>46148</v>
      </c>
      <c r="F34">
        <v>25</v>
      </c>
    </row>
    <row r="35" spans="5:6" x14ac:dyDescent="0.35">
      <c r="E35" s="5">
        <v>46147</v>
      </c>
      <c r="F35">
        <v>10</v>
      </c>
    </row>
    <row r="36" spans="5:6" x14ac:dyDescent="0.35">
      <c r="E36" s="5">
        <v>46146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26F25-4A32-4622-8611-DC32A57A43E3}">
  <dimension ref="A2:M25"/>
  <sheetViews>
    <sheetView tabSelected="1" topLeftCell="A4" zoomScale="80" zoomScaleNormal="80" workbookViewId="0">
      <selection activeCell="F13" sqref="F13:H14"/>
    </sheetView>
  </sheetViews>
  <sheetFormatPr defaultRowHeight="14.5" x14ac:dyDescent="0.35"/>
  <cols>
    <col min="1" max="1" width="10.1796875" bestFit="1" customWidth="1"/>
  </cols>
  <sheetData>
    <row r="2" spans="1:12" x14ac:dyDescent="0.35">
      <c r="B2" t="s">
        <v>54</v>
      </c>
    </row>
    <row r="4" spans="1:12" x14ac:dyDescent="0.35">
      <c r="B4" t="s">
        <v>55</v>
      </c>
      <c r="C4" t="s">
        <v>56</v>
      </c>
      <c r="D4" t="s">
        <v>57</v>
      </c>
      <c r="E4" t="s">
        <v>58</v>
      </c>
      <c r="F4" t="s">
        <v>59</v>
      </c>
      <c r="G4" t="s">
        <v>55</v>
      </c>
      <c r="H4" t="s">
        <v>56</v>
      </c>
      <c r="I4" t="s">
        <v>57</v>
      </c>
      <c r="J4" t="s">
        <v>58</v>
      </c>
      <c r="K4" t="s">
        <v>59</v>
      </c>
      <c r="L4" t="s">
        <v>55</v>
      </c>
    </row>
    <row r="5" spans="1:12" x14ac:dyDescent="0.35">
      <c r="A5" t="s">
        <v>55</v>
      </c>
      <c r="B5" s="16">
        <v>4</v>
      </c>
      <c r="C5" s="16"/>
      <c r="D5" s="16"/>
      <c r="E5" s="16"/>
      <c r="F5" s="16"/>
    </row>
    <row r="7" spans="1:12" x14ac:dyDescent="0.35">
      <c r="A7" t="s">
        <v>56</v>
      </c>
      <c r="C7" s="16">
        <v>3</v>
      </c>
      <c r="D7" s="16"/>
      <c r="E7" s="16"/>
      <c r="F7" s="16"/>
    </row>
    <row r="9" spans="1:12" x14ac:dyDescent="0.35">
      <c r="A9" t="s">
        <v>57</v>
      </c>
      <c r="D9" s="16">
        <v>2</v>
      </c>
      <c r="E9" s="16"/>
      <c r="F9" s="16"/>
    </row>
    <row r="10" spans="1:12" x14ac:dyDescent="0.35">
      <c r="D10" s="17">
        <v>4</v>
      </c>
      <c r="E10" s="17"/>
      <c r="F10" s="17"/>
      <c r="G10" s="17"/>
      <c r="H10" s="17"/>
    </row>
    <row r="11" spans="1:12" x14ac:dyDescent="0.35">
      <c r="A11" t="s">
        <v>58</v>
      </c>
      <c r="E11" s="16">
        <v>1</v>
      </c>
      <c r="F11" s="16"/>
    </row>
    <row r="12" spans="1:12" x14ac:dyDescent="0.35">
      <c r="E12" s="17">
        <v>3</v>
      </c>
      <c r="F12" s="17"/>
      <c r="G12" s="17"/>
      <c r="H12" s="17"/>
    </row>
    <row r="13" spans="1:12" x14ac:dyDescent="0.35">
      <c r="A13" t="s">
        <v>59</v>
      </c>
      <c r="F13" s="16">
        <v>0</v>
      </c>
    </row>
    <row r="14" spans="1:12" x14ac:dyDescent="0.35">
      <c r="A14" s="18"/>
      <c r="B14" s="18"/>
      <c r="C14" s="18"/>
      <c r="D14" s="18"/>
      <c r="E14" s="18"/>
      <c r="F14" s="19">
        <v>2</v>
      </c>
      <c r="G14" s="19"/>
      <c r="H14" s="19"/>
      <c r="I14" s="18"/>
      <c r="J14" s="18"/>
      <c r="K14" s="18"/>
      <c r="L14" s="18"/>
    </row>
    <row r="15" spans="1:12" x14ac:dyDescent="0.35">
      <c r="A15" t="s">
        <v>55</v>
      </c>
      <c r="G15" s="16">
        <v>4</v>
      </c>
      <c r="H15" s="16"/>
      <c r="I15" s="16"/>
      <c r="J15" s="16"/>
      <c r="K15" s="16"/>
    </row>
    <row r="16" spans="1:12" x14ac:dyDescent="0.35">
      <c r="G16" s="17">
        <v>1</v>
      </c>
      <c r="H16" s="17"/>
    </row>
    <row r="17" spans="1:13" x14ac:dyDescent="0.35">
      <c r="A17" t="s">
        <v>56</v>
      </c>
      <c r="H17" s="16">
        <v>3</v>
      </c>
      <c r="I17" s="16"/>
      <c r="J17" s="16"/>
      <c r="K17" s="16"/>
    </row>
    <row r="18" spans="1:13" x14ac:dyDescent="0.35">
      <c r="H18" s="17">
        <v>0</v>
      </c>
    </row>
    <row r="19" spans="1:13" x14ac:dyDescent="0.35">
      <c r="A19" t="s">
        <v>57</v>
      </c>
      <c r="I19" s="16">
        <v>2</v>
      </c>
      <c r="J19" s="16"/>
      <c r="K19" s="16"/>
    </row>
    <row r="20" spans="1:13" x14ac:dyDescent="0.35">
      <c r="I20" s="17">
        <v>4</v>
      </c>
      <c r="J20" s="17"/>
      <c r="K20" s="17"/>
      <c r="L20" s="17"/>
      <c r="M20" s="17"/>
    </row>
    <row r="21" spans="1:13" x14ac:dyDescent="0.35">
      <c r="A21" t="s">
        <v>58</v>
      </c>
      <c r="J21" s="16">
        <v>1</v>
      </c>
      <c r="K21" s="16"/>
    </row>
    <row r="22" spans="1:13" x14ac:dyDescent="0.35">
      <c r="J22" s="17">
        <v>3</v>
      </c>
      <c r="K22" s="17"/>
      <c r="L22" s="17"/>
      <c r="M22" s="17"/>
    </row>
    <row r="23" spans="1:13" x14ac:dyDescent="0.35">
      <c r="A23" t="s">
        <v>59</v>
      </c>
      <c r="K23" s="16">
        <v>0</v>
      </c>
    </row>
    <row r="24" spans="1:13" x14ac:dyDescent="0.35">
      <c r="I24" s="18"/>
      <c r="J24" s="18"/>
      <c r="K24" s="19">
        <v>2</v>
      </c>
      <c r="L24" s="19"/>
      <c r="M24" s="19"/>
    </row>
    <row r="25" spans="1:13" x14ac:dyDescent="0.35">
      <c r="A2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OptionPivot</vt:lpstr>
      <vt:lpstr>Plan</vt:lpstr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O'Brien</dc:creator>
  <cp:lastModifiedBy>Evelyn O'Brien</cp:lastModifiedBy>
  <dcterms:created xsi:type="dcterms:W3CDTF">2026-05-06T06:06:42Z</dcterms:created>
  <dcterms:modified xsi:type="dcterms:W3CDTF">2026-06-02T19:31:45Z</dcterms:modified>
</cp:coreProperties>
</file>