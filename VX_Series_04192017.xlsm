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/>
  <workbookPr/>
  <mc:AlternateContent xmlns:mc="http://schemas.openxmlformats.org/markup-compatibility/2006">
    <mc:Choice Requires="x15">
      <x15ac:absPath xmlns:x15ac="http://schemas.microsoft.com/office/spreadsheetml/2010/11/ac" url="/Users/tomobrien/Git/Vol/"/>
    </mc:Choice>
  </mc:AlternateContent>
  <bookViews>
    <workbookView xWindow="0" yWindow="460" windowWidth="28800" windowHeight="17600" tabRatio="500"/>
  </bookViews>
  <sheets>
    <sheet name="VX_Series_04192017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09" i="1" l="1"/>
  <c r="G219" i="1"/>
  <c r="G217" i="1"/>
  <c r="O199" i="1"/>
  <c r="G212" i="1"/>
  <c r="R201" i="1"/>
  <c r="R200" i="1"/>
  <c r="Q200" i="1"/>
  <c r="N200" i="1"/>
  <c r="R153" i="1"/>
  <c r="G216" i="1"/>
  <c r="G215" i="1"/>
  <c r="N1" i="1"/>
  <c r="N208" i="1"/>
  <c r="Q153" i="1"/>
  <c r="Q152" i="1"/>
  <c r="R152" i="1"/>
  <c r="Q151" i="1"/>
  <c r="R151" i="1"/>
  <c r="Q150" i="1"/>
  <c r="R150" i="1"/>
  <c r="Q149" i="1"/>
  <c r="R149" i="1"/>
  <c r="Q148" i="1"/>
  <c r="R148" i="1"/>
  <c r="Q147" i="1"/>
  <c r="R147" i="1"/>
  <c r="Q146" i="1"/>
  <c r="R146" i="1"/>
  <c r="Q145" i="1"/>
  <c r="R145" i="1"/>
  <c r="Q144" i="1"/>
  <c r="R144" i="1"/>
  <c r="Q143" i="1"/>
  <c r="R143" i="1"/>
  <c r="Q142" i="1"/>
  <c r="R142" i="1"/>
  <c r="Q141" i="1"/>
  <c r="R141" i="1"/>
  <c r="Q140" i="1"/>
  <c r="R140" i="1"/>
  <c r="Q139" i="1"/>
  <c r="R139" i="1"/>
  <c r="Q138" i="1"/>
  <c r="R138" i="1"/>
  <c r="Q137" i="1"/>
  <c r="R137" i="1"/>
  <c r="Q136" i="1"/>
  <c r="R136" i="1"/>
  <c r="Q135" i="1"/>
  <c r="R135" i="1"/>
  <c r="Q134" i="1"/>
  <c r="R134" i="1"/>
  <c r="Q133" i="1"/>
  <c r="R133" i="1"/>
  <c r="Q132" i="1"/>
  <c r="R132" i="1"/>
  <c r="Q131" i="1"/>
  <c r="R131" i="1"/>
  <c r="Q130" i="1"/>
  <c r="R130" i="1"/>
  <c r="Q129" i="1"/>
  <c r="R129" i="1"/>
  <c r="Q128" i="1"/>
  <c r="R128" i="1"/>
  <c r="Q127" i="1"/>
  <c r="R127" i="1"/>
  <c r="Q126" i="1"/>
  <c r="R126" i="1"/>
  <c r="Q125" i="1"/>
  <c r="R125" i="1"/>
  <c r="Q124" i="1"/>
  <c r="R124" i="1"/>
  <c r="Q123" i="1"/>
  <c r="R123" i="1"/>
  <c r="Q122" i="1"/>
  <c r="R122" i="1"/>
  <c r="Q121" i="1"/>
  <c r="R121" i="1"/>
  <c r="Q120" i="1"/>
  <c r="R120" i="1"/>
  <c r="Q119" i="1"/>
  <c r="R119" i="1"/>
  <c r="Q118" i="1"/>
  <c r="R118" i="1"/>
  <c r="Q117" i="1"/>
  <c r="R117" i="1"/>
  <c r="Q116" i="1"/>
  <c r="R116" i="1"/>
  <c r="Q115" i="1"/>
  <c r="R115" i="1"/>
  <c r="Q114" i="1"/>
  <c r="R114" i="1"/>
  <c r="Q113" i="1"/>
  <c r="R113" i="1"/>
  <c r="Q112" i="1"/>
  <c r="R112" i="1"/>
  <c r="Q111" i="1"/>
  <c r="R111" i="1"/>
  <c r="Q110" i="1"/>
  <c r="R110" i="1"/>
  <c r="Q109" i="1"/>
  <c r="R109" i="1"/>
  <c r="Q108" i="1"/>
  <c r="R108" i="1"/>
  <c r="Q107" i="1"/>
  <c r="R107" i="1"/>
  <c r="Q106" i="1"/>
  <c r="R106" i="1"/>
  <c r="Q105" i="1"/>
  <c r="R105" i="1"/>
  <c r="Q104" i="1"/>
  <c r="R104" i="1"/>
  <c r="Q103" i="1"/>
  <c r="R103" i="1"/>
  <c r="Q102" i="1"/>
  <c r="R102" i="1"/>
  <c r="Q101" i="1"/>
  <c r="R101" i="1"/>
  <c r="Q100" i="1"/>
  <c r="R100" i="1"/>
  <c r="Q99" i="1"/>
  <c r="R99" i="1"/>
  <c r="Q98" i="1"/>
  <c r="R98" i="1"/>
  <c r="Q97" i="1"/>
  <c r="R97" i="1"/>
  <c r="Q96" i="1"/>
  <c r="R96" i="1"/>
  <c r="Q95" i="1"/>
  <c r="R95" i="1"/>
  <c r="Q94" i="1"/>
  <c r="R94" i="1"/>
  <c r="Q93" i="1"/>
  <c r="R93" i="1"/>
  <c r="Q92" i="1"/>
  <c r="R92" i="1"/>
  <c r="Q91" i="1"/>
  <c r="R91" i="1"/>
  <c r="Q90" i="1"/>
  <c r="R90" i="1"/>
  <c r="Q89" i="1"/>
  <c r="R89" i="1"/>
  <c r="Q88" i="1"/>
  <c r="R88" i="1"/>
  <c r="Q87" i="1"/>
  <c r="R87" i="1"/>
  <c r="Q86" i="1"/>
  <c r="R86" i="1"/>
  <c r="Q85" i="1"/>
  <c r="R85" i="1"/>
  <c r="Q84" i="1"/>
  <c r="R84" i="1"/>
  <c r="Q83" i="1"/>
  <c r="R83" i="1"/>
  <c r="Q82" i="1"/>
  <c r="R82" i="1"/>
  <c r="Q81" i="1"/>
  <c r="R81" i="1"/>
  <c r="Q80" i="1"/>
  <c r="R80" i="1"/>
  <c r="Q79" i="1"/>
  <c r="R79" i="1"/>
  <c r="Q78" i="1"/>
  <c r="R78" i="1"/>
  <c r="Q77" i="1"/>
  <c r="R77" i="1"/>
  <c r="Q76" i="1"/>
  <c r="R76" i="1"/>
  <c r="Q75" i="1"/>
  <c r="R75" i="1"/>
  <c r="Q74" i="1"/>
  <c r="R74" i="1"/>
  <c r="Q73" i="1"/>
  <c r="R73" i="1"/>
  <c r="Q72" i="1"/>
  <c r="R72" i="1"/>
  <c r="Q71" i="1"/>
  <c r="R71" i="1"/>
  <c r="Q70" i="1"/>
  <c r="R70" i="1"/>
  <c r="Q69" i="1"/>
  <c r="R69" i="1"/>
  <c r="Q68" i="1"/>
  <c r="R68" i="1"/>
  <c r="Q67" i="1"/>
  <c r="R67" i="1"/>
  <c r="Q66" i="1"/>
  <c r="R66" i="1"/>
  <c r="Q65" i="1"/>
  <c r="R65" i="1"/>
  <c r="Q64" i="1"/>
  <c r="R64" i="1"/>
  <c r="Q63" i="1"/>
  <c r="R63" i="1"/>
  <c r="Q62" i="1"/>
  <c r="R62" i="1"/>
  <c r="Q61" i="1"/>
  <c r="R61" i="1"/>
  <c r="Q60" i="1"/>
  <c r="R60" i="1"/>
  <c r="Q59" i="1"/>
  <c r="R59" i="1"/>
  <c r="Q58" i="1"/>
  <c r="R58" i="1"/>
  <c r="Q57" i="1"/>
  <c r="R57" i="1"/>
  <c r="Q56" i="1"/>
  <c r="R56" i="1"/>
  <c r="Q55" i="1"/>
  <c r="R55" i="1"/>
  <c r="Q54" i="1"/>
  <c r="R54" i="1"/>
  <c r="Q53" i="1"/>
  <c r="R53" i="1"/>
  <c r="Q52" i="1"/>
  <c r="R52" i="1"/>
  <c r="Q51" i="1"/>
  <c r="R51" i="1"/>
  <c r="Q50" i="1"/>
  <c r="R50" i="1"/>
  <c r="Q49" i="1"/>
  <c r="R49" i="1"/>
  <c r="Q48" i="1"/>
  <c r="R48" i="1"/>
  <c r="Q47" i="1"/>
  <c r="R47" i="1"/>
  <c r="Q46" i="1"/>
  <c r="R46" i="1"/>
  <c r="Q45" i="1"/>
  <c r="R45" i="1"/>
  <c r="Q44" i="1"/>
  <c r="R44" i="1"/>
  <c r="Q43" i="1"/>
  <c r="R43" i="1"/>
  <c r="Q42" i="1"/>
  <c r="R42" i="1"/>
  <c r="Q41" i="1"/>
  <c r="R41" i="1"/>
  <c r="Q40" i="1"/>
  <c r="R40" i="1"/>
  <c r="Q39" i="1"/>
  <c r="R39" i="1"/>
  <c r="Q38" i="1"/>
  <c r="R38" i="1"/>
  <c r="Q37" i="1"/>
  <c r="R37" i="1"/>
  <c r="Q36" i="1"/>
  <c r="R36" i="1"/>
  <c r="Q35" i="1"/>
  <c r="R35" i="1"/>
  <c r="Q34" i="1"/>
  <c r="R34" i="1"/>
  <c r="Q33" i="1"/>
  <c r="R33" i="1"/>
  <c r="Q32" i="1"/>
  <c r="R32" i="1"/>
  <c r="Q31" i="1"/>
  <c r="R31" i="1"/>
  <c r="Q30" i="1"/>
  <c r="R30" i="1"/>
  <c r="Q29" i="1"/>
  <c r="R29" i="1"/>
  <c r="Q28" i="1"/>
  <c r="R28" i="1"/>
  <c r="Q27" i="1"/>
  <c r="R27" i="1"/>
  <c r="Q26" i="1"/>
  <c r="R26" i="1"/>
  <c r="Q25" i="1"/>
  <c r="R25" i="1"/>
  <c r="Q24" i="1"/>
  <c r="R24" i="1"/>
  <c r="Q23" i="1"/>
  <c r="R23" i="1"/>
  <c r="Q22" i="1"/>
  <c r="R22" i="1"/>
  <c r="Q21" i="1"/>
  <c r="R21" i="1"/>
  <c r="Q20" i="1"/>
  <c r="R20" i="1"/>
  <c r="Q19" i="1"/>
  <c r="R19" i="1"/>
  <c r="Q18" i="1"/>
  <c r="R18" i="1"/>
  <c r="Q17" i="1"/>
  <c r="R17" i="1"/>
  <c r="Q16" i="1"/>
  <c r="R16" i="1"/>
  <c r="Q15" i="1"/>
  <c r="R15" i="1"/>
  <c r="Q14" i="1"/>
  <c r="R14" i="1"/>
  <c r="Q13" i="1"/>
  <c r="R13" i="1"/>
  <c r="Q12" i="1"/>
  <c r="R12" i="1"/>
  <c r="Q11" i="1"/>
  <c r="R11" i="1"/>
  <c r="Q10" i="1"/>
  <c r="R10" i="1"/>
  <c r="Q9" i="1"/>
  <c r="R9" i="1"/>
  <c r="Q8" i="1"/>
  <c r="R8" i="1"/>
  <c r="Q7" i="1"/>
  <c r="R7" i="1"/>
  <c r="Q6" i="1"/>
  <c r="R6" i="1"/>
  <c r="Q5" i="1"/>
  <c r="R5" i="1"/>
  <c r="Q4" i="1"/>
  <c r="R4" i="1"/>
  <c r="Q3" i="1"/>
  <c r="R3" i="1"/>
  <c r="Q154" i="1"/>
  <c r="R154" i="1"/>
  <c r="R155" i="1"/>
  <c r="Q155" i="1"/>
  <c r="Q196" i="1"/>
  <c r="R196" i="1"/>
  <c r="Q195" i="1"/>
  <c r="R195" i="1"/>
  <c r="Q194" i="1"/>
  <c r="R194" i="1"/>
  <c r="Q193" i="1"/>
  <c r="R193" i="1"/>
  <c r="Q192" i="1"/>
  <c r="R192" i="1"/>
  <c r="Q191" i="1"/>
  <c r="R191" i="1"/>
  <c r="Q190" i="1"/>
  <c r="R190" i="1"/>
  <c r="Q189" i="1"/>
  <c r="R189" i="1"/>
  <c r="Q188" i="1"/>
  <c r="R188" i="1"/>
  <c r="Q187" i="1"/>
  <c r="R187" i="1"/>
  <c r="Q186" i="1"/>
  <c r="R186" i="1"/>
  <c r="Q185" i="1"/>
  <c r="R185" i="1"/>
  <c r="Q184" i="1"/>
  <c r="R184" i="1"/>
  <c r="Q183" i="1"/>
  <c r="R183" i="1"/>
  <c r="Q182" i="1"/>
  <c r="R182" i="1"/>
  <c r="Q181" i="1"/>
  <c r="R181" i="1"/>
  <c r="Q180" i="1"/>
  <c r="R180" i="1"/>
  <c r="Q179" i="1"/>
  <c r="R179" i="1"/>
  <c r="Q178" i="1"/>
  <c r="R178" i="1"/>
  <c r="Q177" i="1"/>
  <c r="R177" i="1"/>
  <c r="Q176" i="1"/>
  <c r="R176" i="1"/>
  <c r="Q175" i="1"/>
  <c r="R175" i="1"/>
  <c r="Q174" i="1"/>
  <c r="R174" i="1"/>
  <c r="Q173" i="1"/>
  <c r="R173" i="1"/>
  <c r="Q172" i="1"/>
  <c r="R172" i="1"/>
  <c r="Q171" i="1"/>
  <c r="R171" i="1"/>
  <c r="Q170" i="1"/>
  <c r="R170" i="1"/>
  <c r="Q169" i="1"/>
  <c r="R169" i="1"/>
  <c r="Q168" i="1"/>
  <c r="R168" i="1"/>
  <c r="Q167" i="1"/>
  <c r="R167" i="1"/>
  <c r="Q166" i="1"/>
  <c r="R166" i="1"/>
  <c r="Q165" i="1"/>
  <c r="R165" i="1"/>
  <c r="Q164" i="1"/>
  <c r="R164" i="1"/>
  <c r="Q163" i="1"/>
  <c r="R163" i="1"/>
  <c r="Q162" i="1"/>
  <c r="R162" i="1"/>
  <c r="Q161" i="1"/>
  <c r="R161" i="1"/>
  <c r="Q160" i="1"/>
  <c r="R160" i="1"/>
  <c r="Q159" i="1"/>
  <c r="R159" i="1"/>
  <c r="Q158" i="1"/>
  <c r="R158" i="1"/>
  <c r="Q206" i="1"/>
  <c r="R206" i="1"/>
  <c r="Q205" i="1"/>
  <c r="R205" i="1"/>
  <c r="Q204" i="1"/>
  <c r="R204" i="1"/>
  <c r="Q203" i="1"/>
  <c r="R203" i="1"/>
  <c r="Q202" i="1"/>
  <c r="R202" i="1"/>
  <c r="Q201" i="1"/>
  <c r="Q199" i="1"/>
  <c r="R199" i="1"/>
  <c r="Q198" i="1"/>
  <c r="R198" i="1"/>
  <c r="Q197" i="1"/>
  <c r="R197" i="1"/>
  <c r="I200" i="1"/>
  <c r="N3" i="1"/>
  <c r="N7" i="1"/>
  <c r="M162" i="1"/>
  <c r="N162" i="1"/>
  <c r="I206" i="1"/>
  <c r="I205" i="1"/>
  <c r="I204" i="1"/>
  <c r="I203" i="1"/>
  <c r="I202" i="1"/>
  <c r="I201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J188" i="1"/>
  <c r="H211" i="1"/>
  <c r="N151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" i="1"/>
  <c r="S207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M2" i="1"/>
  <c r="N2" i="1"/>
  <c r="M206" i="1"/>
  <c r="N206" i="1"/>
  <c r="M205" i="1"/>
  <c r="N205" i="1"/>
  <c r="M204" i="1"/>
  <c r="N204" i="1"/>
  <c r="M203" i="1"/>
  <c r="N203" i="1"/>
  <c r="M202" i="1"/>
  <c r="N202" i="1"/>
  <c r="M201" i="1"/>
  <c r="N201" i="1"/>
  <c r="M200" i="1"/>
  <c r="M199" i="1"/>
  <c r="N199" i="1"/>
  <c r="M198" i="1"/>
  <c r="N198" i="1"/>
  <c r="M197" i="1"/>
  <c r="N197" i="1"/>
  <c r="M196" i="1"/>
  <c r="N196" i="1"/>
  <c r="M195" i="1"/>
  <c r="N195" i="1"/>
  <c r="M194" i="1"/>
  <c r="N194" i="1"/>
  <c r="M193" i="1"/>
  <c r="N193" i="1"/>
  <c r="M192" i="1"/>
  <c r="N192" i="1"/>
  <c r="M191" i="1"/>
  <c r="N191" i="1"/>
  <c r="M190" i="1"/>
  <c r="N190" i="1"/>
  <c r="M189" i="1"/>
  <c r="N189" i="1"/>
  <c r="M188" i="1"/>
  <c r="N188" i="1"/>
  <c r="M187" i="1"/>
  <c r="N187" i="1"/>
  <c r="M186" i="1"/>
  <c r="N186" i="1"/>
  <c r="M185" i="1"/>
  <c r="N185" i="1"/>
  <c r="M184" i="1"/>
  <c r="N184" i="1"/>
  <c r="M183" i="1"/>
  <c r="N183" i="1"/>
  <c r="M182" i="1"/>
  <c r="N182" i="1"/>
  <c r="M181" i="1"/>
  <c r="N181" i="1"/>
  <c r="M180" i="1"/>
  <c r="N180" i="1"/>
  <c r="M179" i="1"/>
  <c r="N179" i="1"/>
  <c r="M178" i="1"/>
  <c r="N178" i="1"/>
  <c r="M177" i="1"/>
  <c r="N177" i="1"/>
  <c r="M176" i="1"/>
  <c r="N176" i="1"/>
  <c r="M175" i="1"/>
  <c r="N175" i="1"/>
  <c r="M174" i="1"/>
  <c r="N174" i="1"/>
  <c r="M173" i="1"/>
  <c r="N173" i="1"/>
  <c r="M172" i="1"/>
  <c r="N172" i="1"/>
  <c r="M171" i="1"/>
  <c r="N171" i="1"/>
  <c r="M170" i="1"/>
  <c r="N170" i="1"/>
  <c r="M169" i="1"/>
  <c r="N169" i="1"/>
  <c r="M168" i="1"/>
  <c r="N168" i="1"/>
  <c r="M167" i="1"/>
  <c r="N167" i="1"/>
  <c r="M166" i="1"/>
  <c r="N166" i="1"/>
  <c r="M165" i="1"/>
  <c r="N165" i="1"/>
  <c r="M164" i="1"/>
  <c r="N164" i="1"/>
  <c r="M163" i="1"/>
  <c r="N163" i="1"/>
  <c r="M161" i="1"/>
  <c r="N161" i="1"/>
  <c r="M160" i="1"/>
  <c r="N160" i="1"/>
  <c r="M159" i="1"/>
  <c r="N159" i="1"/>
  <c r="M158" i="1"/>
  <c r="N158" i="1"/>
  <c r="M155" i="1"/>
  <c r="N155" i="1"/>
  <c r="M154" i="1"/>
  <c r="N154" i="1"/>
  <c r="M153" i="1"/>
  <c r="N153" i="1"/>
  <c r="M152" i="1"/>
  <c r="N152" i="1"/>
  <c r="M151" i="1"/>
  <c r="M150" i="1"/>
  <c r="N150" i="1"/>
  <c r="M149" i="1"/>
  <c r="N149" i="1"/>
  <c r="M148" i="1"/>
  <c r="N148" i="1"/>
  <c r="M147" i="1"/>
  <c r="N147" i="1"/>
  <c r="M146" i="1"/>
  <c r="N146" i="1"/>
  <c r="M145" i="1"/>
  <c r="N145" i="1"/>
  <c r="M144" i="1"/>
  <c r="N144" i="1"/>
  <c r="M143" i="1"/>
  <c r="N143" i="1"/>
  <c r="M142" i="1"/>
  <c r="N142" i="1"/>
  <c r="M141" i="1"/>
  <c r="N141" i="1"/>
  <c r="M140" i="1"/>
  <c r="N140" i="1"/>
  <c r="M139" i="1"/>
  <c r="N139" i="1"/>
  <c r="M138" i="1"/>
  <c r="N138" i="1"/>
  <c r="M137" i="1"/>
  <c r="N137" i="1"/>
  <c r="M136" i="1"/>
  <c r="N136" i="1"/>
  <c r="M135" i="1"/>
  <c r="N135" i="1"/>
  <c r="M134" i="1"/>
  <c r="N134" i="1"/>
  <c r="M133" i="1"/>
  <c r="N133" i="1"/>
  <c r="M132" i="1"/>
  <c r="N132" i="1"/>
  <c r="M131" i="1"/>
  <c r="N131" i="1"/>
  <c r="M130" i="1"/>
  <c r="N130" i="1"/>
  <c r="M129" i="1"/>
  <c r="N129" i="1"/>
  <c r="M128" i="1"/>
  <c r="N128" i="1"/>
  <c r="M127" i="1"/>
  <c r="N127" i="1"/>
  <c r="M126" i="1"/>
  <c r="N126" i="1"/>
  <c r="M125" i="1"/>
  <c r="N125" i="1"/>
  <c r="M124" i="1"/>
  <c r="N124" i="1"/>
  <c r="M123" i="1"/>
  <c r="N123" i="1"/>
  <c r="M122" i="1"/>
  <c r="N122" i="1"/>
  <c r="M121" i="1"/>
  <c r="N121" i="1"/>
  <c r="M120" i="1"/>
  <c r="N120" i="1"/>
  <c r="M119" i="1"/>
  <c r="N119" i="1"/>
  <c r="M118" i="1"/>
  <c r="N118" i="1"/>
  <c r="M117" i="1"/>
  <c r="N117" i="1"/>
  <c r="M116" i="1"/>
  <c r="N116" i="1"/>
  <c r="M115" i="1"/>
  <c r="N115" i="1"/>
  <c r="M114" i="1"/>
  <c r="N114" i="1"/>
  <c r="M113" i="1"/>
  <c r="N113" i="1"/>
  <c r="M112" i="1"/>
  <c r="N112" i="1"/>
  <c r="M111" i="1"/>
  <c r="N111" i="1"/>
  <c r="M110" i="1"/>
  <c r="N110" i="1"/>
  <c r="M109" i="1"/>
  <c r="N109" i="1"/>
  <c r="M108" i="1"/>
  <c r="N108" i="1"/>
  <c r="M107" i="1"/>
  <c r="N107" i="1"/>
  <c r="M106" i="1"/>
  <c r="N106" i="1"/>
  <c r="M105" i="1"/>
  <c r="N105" i="1"/>
  <c r="M104" i="1"/>
  <c r="N104" i="1"/>
  <c r="M103" i="1"/>
  <c r="N103" i="1"/>
  <c r="M102" i="1"/>
  <c r="N102" i="1"/>
  <c r="M101" i="1"/>
  <c r="N101" i="1"/>
  <c r="M100" i="1"/>
  <c r="N100" i="1"/>
  <c r="M99" i="1"/>
  <c r="N99" i="1"/>
  <c r="M98" i="1"/>
  <c r="N98" i="1"/>
  <c r="M97" i="1"/>
  <c r="N97" i="1"/>
  <c r="M96" i="1"/>
  <c r="N96" i="1"/>
  <c r="M95" i="1"/>
  <c r="N95" i="1"/>
  <c r="M94" i="1"/>
  <c r="N94" i="1"/>
  <c r="M93" i="1"/>
  <c r="N93" i="1"/>
  <c r="M92" i="1"/>
  <c r="N92" i="1"/>
  <c r="M91" i="1"/>
  <c r="N91" i="1"/>
  <c r="M90" i="1"/>
  <c r="N90" i="1"/>
  <c r="M89" i="1"/>
  <c r="N89" i="1"/>
  <c r="M88" i="1"/>
  <c r="N88" i="1"/>
  <c r="M87" i="1"/>
  <c r="N87" i="1"/>
  <c r="M86" i="1"/>
  <c r="N86" i="1"/>
  <c r="M85" i="1"/>
  <c r="N85" i="1"/>
  <c r="M84" i="1"/>
  <c r="N84" i="1"/>
  <c r="M83" i="1"/>
  <c r="N83" i="1"/>
  <c r="M82" i="1"/>
  <c r="N82" i="1"/>
  <c r="M81" i="1"/>
  <c r="N81" i="1"/>
  <c r="M80" i="1"/>
  <c r="N80" i="1"/>
  <c r="M79" i="1"/>
  <c r="N79" i="1"/>
  <c r="M78" i="1"/>
  <c r="N78" i="1"/>
  <c r="M77" i="1"/>
  <c r="N77" i="1"/>
  <c r="M76" i="1"/>
  <c r="N76" i="1"/>
  <c r="M75" i="1"/>
  <c r="N75" i="1"/>
  <c r="M74" i="1"/>
  <c r="N74" i="1"/>
  <c r="M73" i="1"/>
  <c r="N73" i="1"/>
  <c r="M72" i="1"/>
  <c r="N72" i="1"/>
  <c r="M71" i="1"/>
  <c r="N71" i="1"/>
  <c r="M70" i="1"/>
  <c r="N70" i="1"/>
  <c r="M69" i="1"/>
  <c r="N69" i="1"/>
  <c r="M68" i="1"/>
  <c r="N68" i="1"/>
  <c r="M67" i="1"/>
  <c r="N67" i="1"/>
  <c r="M66" i="1"/>
  <c r="N66" i="1"/>
  <c r="M65" i="1"/>
  <c r="N65" i="1"/>
  <c r="M64" i="1"/>
  <c r="N64" i="1"/>
  <c r="M63" i="1"/>
  <c r="N63" i="1"/>
  <c r="M62" i="1"/>
  <c r="N62" i="1"/>
  <c r="M61" i="1"/>
  <c r="N61" i="1"/>
  <c r="M60" i="1"/>
  <c r="N60" i="1"/>
  <c r="M59" i="1"/>
  <c r="N59" i="1"/>
  <c r="M58" i="1"/>
  <c r="N58" i="1"/>
  <c r="M57" i="1"/>
  <c r="N57" i="1"/>
  <c r="M56" i="1"/>
  <c r="N56" i="1"/>
  <c r="M55" i="1"/>
  <c r="N55" i="1"/>
  <c r="M54" i="1"/>
  <c r="N54" i="1"/>
  <c r="M53" i="1"/>
  <c r="N53" i="1"/>
  <c r="M52" i="1"/>
  <c r="N52" i="1"/>
  <c r="M51" i="1"/>
  <c r="N51" i="1"/>
  <c r="M50" i="1"/>
  <c r="N50" i="1"/>
  <c r="M49" i="1"/>
  <c r="N49" i="1"/>
  <c r="M48" i="1"/>
  <c r="N48" i="1"/>
  <c r="M47" i="1"/>
  <c r="N47" i="1"/>
  <c r="M46" i="1"/>
  <c r="N46" i="1"/>
  <c r="M45" i="1"/>
  <c r="N45" i="1"/>
  <c r="M44" i="1"/>
  <c r="N44" i="1"/>
  <c r="M43" i="1"/>
  <c r="N43" i="1"/>
  <c r="M42" i="1"/>
  <c r="N42" i="1"/>
  <c r="M41" i="1"/>
  <c r="N41" i="1"/>
  <c r="M40" i="1"/>
  <c r="N40" i="1"/>
  <c r="M39" i="1"/>
  <c r="N39" i="1"/>
  <c r="M38" i="1"/>
  <c r="N38" i="1"/>
  <c r="M37" i="1"/>
  <c r="N37" i="1"/>
  <c r="M36" i="1"/>
  <c r="N36" i="1"/>
  <c r="M35" i="1"/>
  <c r="N35" i="1"/>
  <c r="M34" i="1"/>
  <c r="N34" i="1"/>
  <c r="M33" i="1"/>
  <c r="N33" i="1"/>
  <c r="M32" i="1"/>
  <c r="N32" i="1"/>
  <c r="M31" i="1"/>
  <c r="N31" i="1"/>
  <c r="M30" i="1"/>
  <c r="N30" i="1"/>
  <c r="M29" i="1"/>
  <c r="N29" i="1"/>
  <c r="M28" i="1"/>
  <c r="N28" i="1"/>
  <c r="M27" i="1"/>
  <c r="N27" i="1"/>
  <c r="M26" i="1"/>
  <c r="N26" i="1"/>
  <c r="M25" i="1"/>
  <c r="N25" i="1"/>
  <c r="M24" i="1"/>
  <c r="N24" i="1"/>
  <c r="M23" i="1"/>
  <c r="N23" i="1"/>
  <c r="M22" i="1"/>
  <c r="N22" i="1"/>
  <c r="M21" i="1"/>
  <c r="N21" i="1"/>
  <c r="M20" i="1"/>
  <c r="N20" i="1"/>
  <c r="M19" i="1"/>
  <c r="N19" i="1"/>
  <c r="M18" i="1"/>
  <c r="N18" i="1"/>
  <c r="M17" i="1"/>
  <c r="N17" i="1"/>
  <c r="M16" i="1"/>
  <c r="N16" i="1"/>
  <c r="M15" i="1"/>
  <c r="N15" i="1"/>
  <c r="M14" i="1"/>
  <c r="N14" i="1"/>
  <c r="M13" i="1"/>
  <c r="N13" i="1"/>
  <c r="M12" i="1"/>
  <c r="N12" i="1"/>
  <c r="M11" i="1"/>
  <c r="N11" i="1"/>
  <c r="M10" i="1"/>
  <c r="N10" i="1"/>
  <c r="M9" i="1"/>
  <c r="N9" i="1"/>
  <c r="M8" i="1"/>
  <c r="N8" i="1"/>
  <c r="M7" i="1"/>
  <c r="M6" i="1"/>
  <c r="N6" i="1"/>
  <c r="M5" i="1"/>
  <c r="N5" i="1"/>
  <c r="M4" i="1"/>
  <c r="N4" i="1"/>
  <c r="M3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8" i="1"/>
  <c r="K207" i="1"/>
  <c r="H207" i="1"/>
  <c r="J2" i="1"/>
  <c r="J167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G207" i="1"/>
  <c r="G210" i="1"/>
  <c r="G209" i="1"/>
  <c r="G211" i="1"/>
</calcChain>
</file>

<file path=xl/sharedStrings.xml><?xml version="1.0" encoding="utf-8"?>
<sst xmlns="http://schemas.openxmlformats.org/spreadsheetml/2006/main" count="636" uniqueCount="25">
  <si>
    <t>Date</t>
  </si>
  <si>
    <t>ExpirationDate</t>
  </si>
  <si>
    <t>Strike</t>
  </si>
  <si>
    <t>P/C</t>
  </si>
  <si>
    <t>TradePrice</t>
  </si>
  <si>
    <t>Volume</t>
  </si>
  <si>
    <t>ContributionByStrike</t>
  </si>
  <si>
    <t>StrikeWeightPercent</t>
  </si>
  <si>
    <t>04-19-2017</t>
  </si>
  <si>
    <t>05-19-2017</t>
  </si>
  <si>
    <t>P</t>
  </si>
  <si>
    <t>C</t>
  </si>
  <si>
    <t>30 days in minutes</t>
  </si>
  <si>
    <t>1 year in minutes</t>
  </si>
  <si>
    <t>VIX</t>
  </si>
  <si>
    <t>Time scaler</t>
  </si>
  <si>
    <t>Difference (%)</t>
  </si>
  <si>
    <t>Difference (abs)</t>
  </si>
  <si>
    <t>F</t>
  </si>
  <si>
    <t>Contribution sum</t>
  </si>
  <si>
    <t>Future adjustment</t>
  </si>
  <si>
    <t>http://cfe.cboe.com/cfe-products/vx-cboe-volatility-index-vix-futures/settlement-information-for-vix-derivatives/vix-settlement-series</t>
  </si>
  <si>
    <t>Go to website and open each VX_Series excel file and calculate the average R</t>
  </si>
  <si>
    <t>Calculate the R for all the puts (until get 2 identical strikes beside each other)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</si>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</sst>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7" formatCode="0.000000000"/>
    <numFmt numFmtId="174" formatCode="0.0E+00"/>
    <numFmt numFmtId="176" formatCode="0.00000%"/>
  </numFmts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11" fontId="0" fillId="0" borderId="0" xfId="0" applyNumberFormat="1"/>
    <xf numFmtId="3" fontId="0" fillId="0" borderId="0" xfId="0" applyNumberFormat="1"/>
    <xf numFmtId="4" fontId="0" fillId="0" borderId="0" xfId="0" applyNumberFormat="1"/>
    <xf numFmtId="2" fontId="0" fillId="0" borderId="1" xfId="0" applyNumberFormat="1" applyBorder="1"/>
    <xf numFmtId="164" fontId="0" fillId="0" borderId="0" xfId="0" applyNumberFormat="1"/>
    <xf numFmtId="2" fontId="0" fillId="0" borderId="0" xfId="0" applyNumberFormat="1"/>
    <xf numFmtId="9" fontId="0" fillId="0" borderId="0" xfId="1" applyFont="1"/>
    <xf numFmtId="9" fontId="0" fillId="0" borderId="0" xfId="0" applyNumberFormat="1"/>
    <xf numFmtId="10" fontId="0" fillId="0" borderId="0" xfId="1" applyNumberFormat="1" applyFont="1"/>
    <xf numFmtId="167" fontId="0" fillId="0" borderId="0" xfId="0" applyNumberFormat="1"/>
    <xf numFmtId="174" fontId="0" fillId="0" borderId="0" xfId="0" applyNumberFormat="1"/>
    <xf numFmtId="176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Interest Rate Used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VX_Series_04192017!$N$3:$N$206</c:f>
              <c:numCache>
                <c:formatCode>0.00%</c:formatCode>
                <c:ptCount val="204"/>
                <c:pt idx="0">
                  <c:v>0.00757119910258394</c:v>
                </c:pt>
                <c:pt idx="1">
                  <c:v>0.00757884109316611</c:v>
                </c:pt>
                <c:pt idx="2">
                  <c:v>0.00759482015369115</c:v>
                </c:pt>
                <c:pt idx="3">
                  <c:v>0.00756051125090183</c:v>
                </c:pt>
                <c:pt idx="4">
                  <c:v>0.00756288227683087</c:v>
                </c:pt>
                <c:pt idx="5">
                  <c:v>0.00756716836098927</c:v>
                </c:pt>
                <c:pt idx="6">
                  <c:v>0.00754099586610401</c:v>
                </c:pt>
                <c:pt idx="7">
                  <c:v>0.00757777778068403</c:v>
                </c:pt>
                <c:pt idx="8">
                  <c:v>0.00758304367931087</c:v>
                </c:pt>
                <c:pt idx="9">
                  <c:v>0.0075824888196771</c:v>
                </c:pt>
                <c:pt idx="10">
                  <c:v>0.00757760743181116</c:v>
                </c:pt>
                <c:pt idx="11">
                  <c:v>0.00760753043263443</c:v>
                </c:pt>
                <c:pt idx="12">
                  <c:v>0.0075656788709196</c:v>
                </c:pt>
                <c:pt idx="13">
                  <c:v>0.00752208597553314</c:v>
                </c:pt>
                <c:pt idx="14">
                  <c:v>0.00757986999533554</c:v>
                </c:pt>
                <c:pt idx="15">
                  <c:v>0.00756664399970776</c:v>
                </c:pt>
                <c:pt idx="16">
                  <c:v>0.00758587107177592</c:v>
                </c:pt>
                <c:pt idx="17">
                  <c:v>0.00756507091573842</c:v>
                </c:pt>
                <c:pt idx="18">
                  <c:v>0.00757873774089864</c:v>
                </c:pt>
                <c:pt idx="19">
                  <c:v>0.00753762373413778</c:v>
                </c:pt>
                <c:pt idx="20">
                  <c:v>0.00757829028636856</c:v>
                </c:pt>
                <c:pt idx="21">
                  <c:v>0.00757253356349653</c:v>
                </c:pt>
                <c:pt idx="22">
                  <c:v>0.00757485277582993</c:v>
                </c:pt>
                <c:pt idx="23">
                  <c:v>0.00758251748037918</c:v>
                </c:pt>
                <c:pt idx="24">
                  <c:v>0.00753943254954496</c:v>
                </c:pt>
                <c:pt idx="25">
                  <c:v>0.00754538531052154</c:v>
                </c:pt>
                <c:pt idx="26">
                  <c:v>0.00758138819069143</c:v>
                </c:pt>
                <c:pt idx="27">
                  <c:v>0.00758660988080741</c:v>
                </c:pt>
                <c:pt idx="28">
                  <c:v>0.00757811519546241</c:v>
                </c:pt>
                <c:pt idx="29">
                  <c:v>0.00754530627621661</c:v>
                </c:pt>
                <c:pt idx="30">
                  <c:v>0.00760596017658981</c:v>
                </c:pt>
                <c:pt idx="31">
                  <c:v>0.00754734292926695</c:v>
                </c:pt>
                <c:pt idx="32">
                  <c:v>0.00753652130617147</c:v>
                </c:pt>
                <c:pt idx="33">
                  <c:v>0.00758760703409064</c:v>
                </c:pt>
                <c:pt idx="34">
                  <c:v>0.00761678752794201</c:v>
                </c:pt>
                <c:pt idx="35">
                  <c:v>0.00756288227683087</c:v>
                </c:pt>
                <c:pt idx="36">
                  <c:v>0.00761319047445125</c:v>
                </c:pt>
                <c:pt idx="37">
                  <c:v>0.00758869846358661</c:v>
                </c:pt>
                <c:pt idx="38">
                  <c:v>0.00757986610442399</c:v>
                </c:pt>
                <c:pt idx="39">
                  <c:v>0.00758205717209395</c:v>
                </c:pt>
                <c:pt idx="40">
                  <c:v>0.00758732497379427</c:v>
                </c:pt>
                <c:pt idx="41">
                  <c:v>0.00758677890942057</c:v>
                </c:pt>
                <c:pt idx="42">
                  <c:v>0.00758681964234672</c:v>
                </c:pt>
                <c:pt idx="43">
                  <c:v>0.00757823107159703</c:v>
                </c:pt>
                <c:pt idx="44">
                  <c:v>0.00758301773992796</c:v>
                </c:pt>
                <c:pt idx="45">
                  <c:v>0.00757604985210417</c:v>
                </c:pt>
                <c:pt idx="46">
                  <c:v>0.00757934958630592</c:v>
                </c:pt>
                <c:pt idx="47">
                  <c:v>0.00758329897958313</c:v>
                </c:pt>
                <c:pt idx="48">
                  <c:v>0.00757797901364028</c:v>
                </c:pt>
                <c:pt idx="49">
                  <c:v>0.00758556506818089</c:v>
                </c:pt>
                <c:pt idx="50">
                  <c:v>0.00757977418171008</c:v>
                </c:pt>
                <c:pt idx="51">
                  <c:v>0.00758279231047147</c:v>
                </c:pt>
                <c:pt idx="52">
                  <c:v>0.00758128451735937</c:v>
                </c:pt>
                <c:pt idx="53">
                  <c:v>0.00758562321070557</c:v>
                </c:pt>
                <c:pt idx="54">
                  <c:v>0.00758060139768717</c:v>
                </c:pt>
                <c:pt idx="55">
                  <c:v>0.00758711634605576</c:v>
                </c:pt>
                <c:pt idx="56">
                  <c:v>0.00758055055058679</c:v>
                </c:pt>
                <c:pt idx="57">
                  <c:v>0.00758181222175646</c:v>
                </c:pt>
                <c:pt idx="58">
                  <c:v>0.00757481967607349</c:v>
                </c:pt>
                <c:pt idx="59">
                  <c:v>0.00757804315284529</c:v>
                </c:pt>
                <c:pt idx="60">
                  <c:v>0.00757511271024023</c:v>
                </c:pt>
                <c:pt idx="61">
                  <c:v>0.0075792435590428</c:v>
                </c:pt>
                <c:pt idx="62">
                  <c:v>0.00758047218823816</c:v>
                </c:pt>
                <c:pt idx="63">
                  <c:v>0.00757862531607873</c:v>
                </c:pt>
                <c:pt idx="64">
                  <c:v>0.00757908193668169</c:v>
                </c:pt>
                <c:pt idx="65">
                  <c:v>0.00757465636785751</c:v>
                </c:pt>
                <c:pt idx="66">
                  <c:v>0.00757451367220051</c:v>
                </c:pt>
                <c:pt idx="67">
                  <c:v>0.00759382229896066</c:v>
                </c:pt>
                <c:pt idx="68">
                  <c:v>0.00762107075600193</c:v>
                </c:pt>
                <c:pt idx="69">
                  <c:v>0.00754895629261429</c:v>
                </c:pt>
                <c:pt idx="70">
                  <c:v>0.00753962188456131</c:v>
                </c:pt>
                <c:pt idx="71">
                  <c:v>0.00759338800539312</c:v>
                </c:pt>
                <c:pt idx="72">
                  <c:v>0.00756154906653296</c:v>
                </c:pt>
                <c:pt idx="73">
                  <c:v>0.00762520901972818</c:v>
                </c:pt>
                <c:pt idx="74">
                  <c:v>0.00758537660238632</c:v>
                </c:pt>
                <c:pt idx="75">
                  <c:v>0.00756820476438882</c:v>
                </c:pt>
                <c:pt idx="76">
                  <c:v>0.00755986681813473</c:v>
                </c:pt>
                <c:pt idx="77">
                  <c:v>0.00755332339178569</c:v>
                </c:pt>
                <c:pt idx="78">
                  <c:v>0.00756151119278371</c:v>
                </c:pt>
                <c:pt idx="79">
                  <c:v>0.00760755243474638</c:v>
                </c:pt>
                <c:pt idx="80">
                  <c:v>0.00755938045375934</c:v>
                </c:pt>
                <c:pt idx="81">
                  <c:v>0.0076051736890918</c:v>
                </c:pt>
                <c:pt idx="82">
                  <c:v>0.00759320387780706</c:v>
                </c:pt>
                <c:pt idx="83">
                  <c:v>0.00759837009621851</c:v>
                </c:pt>
                <c:pt idx="84">
                  <c:v>0.00754099586610401</c:v>
                </c:pt>
                <c:pt idx="85">
                  <c:v>0.00755717263984459</c:v>
                </c:pt>
                <c:pt idx="86">
                  <c:v>0.0075658166740879</c:v>
                </c:pt>
                <c:pt idx="87">
                  <c:v>0.00761285114672263</c:v>
                </c:pt>
                <c:pt idx="88">
                  <c:v>0.00755333276269402</c:v>
                </c:pt>
                <c:pt idx="89">
                  <c:v>0.00758449506878941</c:v>
                </c:pt>
                <c:pt idx="90">
                  <c:v>0.0076133294929898</c:v>
                </c:pt>
                <c:pt idx="91">
                  <c:v>0.00758343874827356</c:v>
                </c:pt>
                <c:pt idx="92">
                  <c:v>0.00760413473788903</c:v>
                </c:pt>
                <c:pt idx="93">
                  <c:v>0.00755098673138634</c:v>
                </c:pt>
                <c:pt idx="94">
                  <c:v>0.00757083780367203</c:v>
                </c:pt>
                <c:pt idx="95">
                  <c:v>0.00759070162261384</c:v>
                </c:pt>
                <c:pt idx="96">
                  <c:v>0.00757762166435066</c:v>
                </c:pt>
                <c:pt idx="97">
                  <c:v>0.00758181960223608</c:v>
                </c:pt>
                <c:pt idx="98">
                  <c:v>0.0075700460641806</c:v>
                </c:pt>
                <c:pt idx="99">
                  <c:v>0.00758044934481435</c:v>
                </c:pt>
                <c:pt idx="100">
                  <c:v>0.00755715614710253</c:v>
                </c:pt>
                <c:pt idx="101">
                  <c:v>0.00756007748791866</c:v>
                </c:pt>
                <c:pt idx="102">
                  <c:v>0.00757690444771744</c:v>
                </c:pt>
                <c:pt idx="103">
                  <c:v>0.00756492262235287</c:v>
                </c:pt>
                <c:pt idx="104">
                  <c:v>0.00758972404755836</c:v>
                </c:pt>
                <c:pt idx="105">
                  <c:v>0.00756679640300365</c:v>
                </c:pt>
                <c:pt idx="106">
                  <c:v>0.00757447224594926</c:v>
                </c:pt>
                <c:pt idx="107">
                  <c:v>0.00757168319953698</c:v>
                </c:pt>
                <c:pt idx="108">
                  <c:v>0.0075959204844883</c:v>
                </c:pt>
                <c:pt idx="109">
                  <c:v>0.00759188907954002</c:v>
                </c:pt>
                <c:pt idx="110">
                  <c:v>0.00758926822377244</c:v>
                </c:pt>
                <c:pt idx="111">
                  <c:v>0.00759153760851344</c:v>
                </c:pt>
                <c:pt idx="112">
                  <c:v>0.00757499668399873</c:v>
                </c:pt>
                <c:pt idx="113">
                  <c:v>0.00758540364034759</c:v>
                </c:pt>
                <c:pt idx="114">
                  <c:v>0.00758148569499418</c:v>
                </c:pt>
                <c:pt idx="115">
                  <c:v>0.0075864819209411</c:v>
                </c:pt>
                <c:pt idx="116">
                  <c:v>0.00757442236845147</c:v>
                </c:pt>
                <c:pt idx="117">
                  <c:v>0.00757357290187432</c:v>
                </c:pt>
                <c:pt idx="118">
                  <c:v>0.00758904864509448</c:v>
                </c:pt>
                <c:pt idx="119">
                  <c:v>0.00758543918590712</c:v>
                </c:pt>
                <c:pt idx="120">
                  <c:v>0.00759080872915053</c:v>
                </c:pt>
                <c:pt idx="121">
                  <c:v>0.00757744192921013</c:v>
                </c:pt>
                <c:pt idx="122">
                  <c:v>0.00758444789992588</c:v>
                </c:pt>
                <c:pt idx="123">
                  <c:v>0.00758025523513956</c:v>
                </c:pt>
                <c:pt idx="124">
                  <c:v>0.00757855816048741</c:v>
                </c:pt>
                <c:pt idx="125">
                  <c:v>0.00758154765269671</c:v>
                </c:pt>
                <c:pt idx="126">
                  <c:v>0.00757461015718521</c:v>
                </c:pt>
                <c:pt idx="127">
                  <c:v>0.00757292885571728</c:v>
                </c:pt>
                <c:pt idx="128">
                  <c:v>0.00757943735622761</c:v>
                </c:pt>
                <c:pt idx="129">
                  <c:v>0.00757431108982053</c:v>
                </c:pt>
                <c:pt idx="130">
                  <c:v>0.00757663296026009</c:v>
                </c:pt>
                <c:pt idx="131">
                  <c:v>0.00758611429798018</c:v>
                </c:pt>
                <c:pt idx="132">
                  <c:v>0.00758210986147237</c:v>
                </c:pt>
                <c:pt idx="133">
                  <c:v>0.0075755974766166</c:v>
                </c:pt>
                <c:pt idx="134">
                  <c:v>0.00762616681841832</c:v>
                </c:pt>
                <c:pt idx="135">
                  <c:v>0.00758908729360108</c:v>
                </c:pt>
                <c:pt idx="136">
                  <c:v>0.00755805916377809</c:v>
                </c:pt>
                <c:pt idx="137">
                  <c:v>0.00756391580080752</c:v>
                </c:pt>
                <c:pt idx="138">
                  <c:v>0.00757641756517736</c:v>
                </c:pt>
                <c:pt idx="139">
                  <c:v>0.00758131118146935</c:v>
                </c:pt>
                <c:pt idx="140">
                  <c:v>0.00761044469003427</c:v>
                </c:pt>
                <c:pt idx="141">
                  <c:v>0.00755310315590558</c:v>
                </c:pt>
                <c:pt idx="142">
                  <c:v>0.00759598994880123</c:v>
                </c:pt>
                <c:pt idx="143">
                  <c:v>0.00761123978438831</c:v>
                </c:pt>
                <c:pt idx="144">
                  <c:v>0.00755011520869313</c:v>
                </c:pt>
                <c:pt idx="145">
                  <c:v>0.00758184921410301</c:v>
                </c:pt>
                <c:pt idx="146">
                  <c:v>0.00760753043263443</c:v>
                </c:pt>
                <c:pt idx="147">
                  <c:v>0.00756400333510465</c:v>
                </c:pt>
                <c:pt idx="148">
                  <c:v>0.00755221186353371</c:v>
                </c:pt>
                <c:pt idx="149">
                  <c:v>0.00758298981906414</c:v>
                </c:pt>
                <c:pt idx="150">
                  <c:v>0.00756558272917058</c:v>
                </c:pt>
                <c:pt idx="151">
                  <c:v>0.00760282843801385</c:v>
                </c:pt>
                <c:pt idx="152">
                  <c:v>0.00757106325610986</c:v>
                </c:pt>
                <c:pt idx="155">
                  <c:v>0.00758348963026026</c:v>
                </c:pt>
                <c:pt idx="156">
                  <c:v>0.00757533385238931</c:v>
                </c:pt>
                <c:pt idx="157">
                  <c:v>0.00759753250803222</c:v>
                </c:pt>
                <c:pt idx="158">
                  <c:v>0.00760351592534597</c:v>
                </c:pt>
                <c:pt idx="159">
                  <c:v>0.00760426738223072</c:v>
                </c:pt>
                <c:pt idx="160">
                  <c:v>0.00759704171767352</c:v>
                </c:pt>
                <c:pt idx="161">
                  <c:v>0.00754850085172158</c:v>
                </c:pt>
                <c:pt idx="162">
                  <c:v>0.00757624888539618</c:v>
                </c:pt>
                <c:pt idx="163">
                  <c:v>0.00758144075923512</c:v>
                </c:pt>
                <c:pt idx="164">
                  <c:v>0.00758841741284115</c:v>
                </c:pt>
                <c:pt idx="165">
                  <c:v>0.00758185046761277</c:v>
                </c:pt>
                <c:pt idx="166">
                  <c:v>0.00757070471365601</c:v>
                </c:pt>
                <c:pt idx="167">
                  <c:v>0.00756897665654901</c:v>
                </c:pt>
                <c:pt idx="168">
                  <c:v>0.00759633300468657</c:v>
                </c:pt>
                <c:pt idx="169">
                  <c:v>0.00759576045539373</c:v>
                </c:pt>
                <c:pt idx="170">
                  <c:v>0.00755332386464293</c:v>
                </c:pt>
                <c:pt idx="171">
                  <c:v>0.00754992552643471</c:v>
                </c:pt>
                <c:pt idx="172">
                  <c:v>0.00757987995841886</c:v>
                </c:pt>
                <c:pt idx="173">
                  <c:v>0.00761555166933697</c:v>
                </c:pt>
                <c:pt idx="174">
                  <c:v>0.0075854652050981</c:v>
                </c:pt>
                <c:pt idx="175">
                  <c:v>0.00757830513325511</c:v>
                </c:pt>
                <c:pt idx="176">
                  <c:v>0.0075860816146455</c:v>
                </c:pt>
                <c:pt idx="177">
                  <c:v>0.00757971435899126</c:v>
                </c:pt>
                <c:pt idx="178">
                  <c:v>0.00758215397713579</c:v>
                </c:pt>
                <c:pt idx="179">
                  <c:v>0.00757558164595406</c:v>
                </c:pt>
                <c:pt idx="180">
                  <c:v>0.00759188171040052</c:v>
                </c:pt>
                <c:pt idx="181">
                  <c:v>0.00758157032224209</c:v>
                </c:pt>
                <c:pt idx="182">
                  <c:v>0.00757116046367522</c:v>
                </c:pt>
                <c:pt idx="183">
                  <c:v>0.00759564372829085</c:v>
                </c:pt>
                <c:pt idx="184">
                  <c:v>0.00757709079200897</c:v>
                </c:pt>
                <c:pt idx="185">
                  <c:v>0.00756379420975664</c:v>
                </c:pt>
                <c:pt idx="186">
                  <c:v>0.00756241445521245</c:v>
                </c:pt>
                <c:pt idx="187">
                  <c:v>0.00757543837130109</c:v>
                </c:pt>
                <c:pt idx="188">
                  <c:v>0.0075669128678567</c:v>
                </c:pt>
                <c:pt idx="189">
                  <c:v>0.00757750237726296</c:v>
                </c:pt>
                <c:pt idx="190">
                  <c:v>0.0075820502240456</c:v>
                </c:pt>
                <c:pt idx="191">
                  <c:v>0.00756053452691106</c:v>
                </c:pt>
                <c:pt idx="192">
                  <c:v>0.00756515064472211</c:v>
                </c:pt>
                <c:pt idx="193">
                  <c:v>0.00756858617008227</c:v>
                </c:pt>
                <c:pt idx="194">
                  <c:v>0.00759215528963442</c:v>
                </c:pt>
                <c:pt idx="195">
                  <c:v>0.00758122792233582</c:v>
                </c:pt>
                <c:pt idx="196">
                  <c:v>0.00757717683784828</c:v>
                </c:pt>
                <c:pt idx="197">
                  <c:v>0.00755301059853173</c:v>
                </c:pt>
                <c:pt idx="198">
                  <c:v>0.00755450708164372</c:v>
                </c:pt>
                <c:pt idx="199">
                  <c:v>0.00758718405003291</c:v>
                </c:pt>
                <c:pt idx="200">
                  <c:v>0.00757656994860674</c:v>
                </c:pt>
                <c:pt idx="201">
                  <c:v>0.00758340075113329</c:v>
                </c:pt>
                <c:pt idx="202">
                  <c:v>0.00758784084308937</c:v>
                </c:pt>
                <c:pt idx="203">
                  <c:v>0.00760665498017438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7680448"/>
        <c:axId val="2127683872"/>
      </c:lineChart>
      <c:catAx>
        <c:axId val="212768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683872"/>
        <c:crosses val="autoZero"/>
        <c:auto val="1"/>
        <c:lblAlgn val="ctr"/>
        <c:lblOffset val="100"/>
        <c:noMultiLvlLbl val="0"/>
      </c:catAx>
      <c:valAx>
        <c:axId val="212768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68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VX_Series_04192017!$H$1</c:f>
              <c:strCache>
                <c:ptCount val="1"/>
                <c:pt idx="0">
                  <c:v>StrikeWeightPercent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VX_Series_04192017!$H$2:$H$206</c:f>
              <c:numCache>
                <c:formatCode>0.00000</c:formatCode>
                <c:ptCount val="205"/>
                <c:pt idx="0">
                  <c:v>0.0017</c:v>
                </c:pt>
                <c:pt idx="1">
                  <c:v>0.0008</c:v>
                </c:pt>
                <c:pt idx="2">
                  <c:v>0.0008</c:v>
                </c:pt>
                <c:pt idx="3">
                  <c:v>0.0023</c:v>
                </c:pt>
                <c:pt idx="4">
                  <c:v>0.0022</c:v>
                </c:pt>
                <c:pt idx="5">
                  <c:v>0.0021</c:v>
                </c:pt>
                <c:pt idx="6">
                  <c:v>0.0027</c:v>
                </c:pt>
                <c:pt idx="7">
                  <c:v>0.0014</c:v>
                </c:pt>
                <c:pt idx="8">
                  <c:v>0.001</c:v>
                </c:pt>
                <c:pt idx="9">
                  <c:v>0.0008</c:v>
                </c:pt>
                <c:pt idx="10">
                  <c:v>0.0004</c:v>
                </c:pt>
                <c:pt idx="11">
                  <c:v>0.0009</c:v>
                </c:pt>
                <c:pt idx="12">
                  <c:v>0.0012</c:v>
                </c:pt>
                <c:pt idx="13">
                  <c:v>0.0012</c:v>
                </c:pt>
                <c:pt idx="14">
                  <c:v>0.0012</c:v>
                </c:pt>
                <c:pt idx="15">
                  <c:v>0.0009</c:v>
                </c:pt>
                <c:pt idx="16">
                  <c:v>0.0005</c:v>
                </c:pt>
                <c:pt idx="17">
                  <c:v>0.0009</c:v>
                </c:pt>
                <c:pt idx="18">
                  <c:v>0.0014</c:v>
                </c:pt>
                <c:pt idx="19">
                  <c:v>0.0012</c:v>
                </c:pt>
                <c:pt idx="20">
                  <c:v>0.0014</c:v>
                </c:pt>
                <c:pt idx="21">
                  <c:v>0.001</c:v>
                </c:pt>
                <c:pt idx="22">
                  <c:v>0.0007</c:v>
                </c:pt>
                <c:pt idx="23">
                  <c:v>0.001</c:v>
                </c:pt>
                <c:pt idx="24">
                  <c:v>0.0015</c:v>
                </c:pt>
                <c:pt idx="25">
                  <c:v>0.0015</c:v>
                </c:pt>
                <c:pt idx="26">
                  <c:v>0.0017</c:v>
                </c:pt>
                <c:pt idx="27">
                  <c:v>0.0011</c:v>
                </c:pt>
                <c:pt idx="28">
                  <c:v>0.0007</c:v>
                </c:pt>
                <c:pt idx="29">
                  <c:v>0.0011</c:v>
                </c:pt>
                <c:pt idx="30">
                  <c:v>0.0017</c:v>
                </c:pt>
                <c:pt idx="31">
                  <c:v>0.0014</c:v>
                </c:pt>
                <c:pt idx="32">
                  <c:v>0.0018</c:v>
                </c:pt>
                <c:pt idx="33">
                  <c:v>0.0012</c:v>
                </c:pt>
                <c:pt idx="34">
                  <c:v>0.0008</c:v>
                </c:pt>
                <c:pt idx="35">
                  <c:v>0.0012</c:v>
                </c:pt>
                <c:pt idx="36">
                  <c:v>0.0018</c:v>
                </c:pt>
                <c:pt idx="37">
                  <c:v>0.0015</c:v>
                </c:pt>
                <c:pt idx="38">
                  <c:v>0.0019</c:v>
                </c:pt>
                <c:pt idx="39">
                  <c:v>0.0014</c:v>
                </c:pt>
                <c:pt idx="40">
                  <c:v>0.0009</c:v>
                </c:pt>
                <c:pt idx="41">
                  <c:v>0.0009</c:v>
                </c:pt>
                <c:pt idx="42">
                  <c:v>0.0009</c:v>
                </c:pt>
                <c:pt idx="43">
                  <c:v>0.0009</c:v>
                </c:pt>
                <c:pt idx="44">
                  <c:v>0.0009</c:v>
                </c:pt>
                <c:pt idx="45">
                  <c:v>0.0009</c:v>
                </c:pt>
                <c:pt idx="46">
                  <c:v>0.0009</c:v>
                </c:pt>
                <c:pt idx="47">
                  <c:v>0.0009</c:v>
                </c:pt>
                <c:pt idx="48">
                  <c:v>0.0009</c:v>
                </c:pt>
                <c:pt idx="49">
                  <c:v>0.0009</c:v>
                </c:pt>
                <c:pt idx="50">
                  <c:v>0.0009</c:v>
                </c:pt>
                <c:pt idx="51">
                  <c:v>0.0009</c:v>
                </c:pt>
                <c:pt idx="52">
                  <c:v>0.0009</c:v>
                </c:pt>
                <c:pt idx="53">
                  <c:v>0.001</c:v>
                </c:pt>
                <c:pt idx="54">
                  <c:v>0.001</c:v>
                </c:pt>
                <c:pt idx="55">
                  <c:v>0.0009</c:v>
                </c:pt>
                <c:pt idx="56">
                  <c:v>0.0009</c:v>
                </c:pt>
                <c:pt idx="57">
                  <c:v>0.0009</c:v>
                </c:pt>
                <c:pt idx="58">
                  <c:v>0.0009</c:v>
                </c:pt>
                <c:pt idx="59">
                  <c:v>0.001</c:v>
                </c:pt>
                <c:pt idx="60">
                  <c:v>0.001</c:v>
                </c:pt>
                <c:pt idx="61">
                  <c:v>0.001</c:v>
                </c:pt>
                <c:pt idx="62">
                  <c:v>0.0011</c:v>
                </c:pt>
                <c:pt idx="63">
                  <c:v>0.0011</c:v>
                </c:pt>
                <c:pt idx="64">
                  <c:v>0.0011</c:v>
                </c:pt>
                <c:pt idx="65">
                  <c:v>0.0011</c:v>
                </c:pt>
                <c:pt idx="66">
                  <c:v>0.0011</c:v>
                </c:pt>
                <c:pt idx="67">
                  <c:v>0.0011</c:v>
                </c:pt>
                <c:pt idx="68">
                  <c:v>0.0012</c:v>
                </c:pt>
                <c:pt idx="69">
                  <c:v>0.0012</c:v>
                </c:pt>
                <c:pt idx="70">
                  <c:v>0.0013</c:v>
                </c:pt>
                <c:pt idx="71">
                  <c:v>0.0013</c:v>
                </c:pt>
                <c:pt idx="72">
                  <c:v>0.0013</c:v>
                </c:pt>
                <c:pt idx="73">
                  <c:v>0.0013</c:v>
                </c:pt>
                <c:pt idx="74">
                  <c:v>0.0014</c:v>
                </c:pt>
                <c:pt idx="75">
                  <c:v>0.0014</c:v>
                </c:pt>
                <c:pt idx="76">
                  <c:v>0.0015</c:v>
                </c:pt>
                <c:pt idx="77">
                  <c:v>0.0015</c:v>
                </c:pt>
                <c:pt idx="78">
                  <c:v>0.0015</c:v>
                </c:pt>
                <c:pt idx="79">
                  <c:v>0.0016</c:v>
                </c:pt>
                <c:pt idx="80">
                  <c:v>0.0016</c:v>
                </c:pt>
                <c:pt idx="81">
                  <c:v>0.0017</c:v>
                </c:pt>
                <c:pt idx="82">
                  <c:v>0.0017</c:v>
                </c:pt>
                <c:pt idx="83">
                  <c:v>0.0017</c:v>
                </c:pt>
                <c:pt idx="84">
                  <c:v>0.0018</c:v>
                </c:pt>
                <c:pt idx="85">
                  <c:v>0.0018</c:v>
                </c:pt>
                <c:pt idx="86">
                  <c:v>0.0019</c:v>
                </c:pt>
                <c:pt idx="87">
                  <c:v>0.002</c:v>
                </c:pt>
                <c:pt idx="88">
                  <c:v>0.002</c:v>
                </c:pt>
                <c:pt idx="89">
                  <c:v>0.0021</c:v>
                </c:pt>
                <c:pt idx="90">
                  <c:v>0.0022</c:v>
                </c:pt>
                <c:pt idx="91">
                  <c:v>0.0021</c:v>
                </c:pt>
                <c:pt idx="92">
                  <c:v>0.0023</c:v>
                </c:pt>
                <c:pt idx="93">
                  <c:v>0.0023</c:v>
                </c:pt>
                <c:pt idx="94">
                  <c:v>0.0024</c:v>
                </c:pt>
                <c:pt idx="95">
                  <c:v>0.0025</c:v>
                </c:pt>
                <c:pt idx="96">
                  <c:v>0.0026</c:v>
                </c:pt>
                <c:pt idx="97">
                  <c:v>0.0026</c:v>
                </c:pt>
                <c:pt idx="98">
                  <c:v>0.0027</c:v>
                </c:pt>
                <c:pt idx="99">
                  <c:v>0.0028</c:v>
                </c:pt>
                <c:pt idx="100">
                  <c:v>0.0029</c:v>
                </c:pt>
                <c:pt idx="101">
                  <c:v>0.0031</c:v>
                </c:pt>
                <c:pt idx="102">
                  <c:v>0.0031</c:v>
                </c:pt>
                <c:pt idx="103">
                  <c:v>0.0033</c:v>
                </c:pt>
                <c:pt idx="104">
                  <c:v>0.0034</c:v>
                </c:pt>
                <c:pt idx="105">
                  <c:v>0.0035</c:v>
                </c:pt>
                <c:pt idx="106">
                  <c:v>0.0037</c:v>
                </c:pt>
                <c:pt idx="107">
                  <c:v>0.0038</c:v>
                </c:pt>
                <c:pt idx="108">
                  <c:v>0.0039</c:v>
                </c:pt>
                <c:pt idx="109">
                  <c:v>0.0041</c:v>
                </c:pt>
                <c:pt idx="110">
                  <c:v>0.0043</c:v>
                </c:pt>
                <c:pt idx="111">
                  <c:v>0.0044</c:v>
                </c:pt>
                <c:pt idx="112">
                  <c:v>0.0045</c:v>
                </c:pt>
                <c:pt idx="113">
                  <c:v>0.0048</c:v>
                </c:pt>
                <c:pt idx="114">
                  <c:v>0.0049</c:v>
                </c:pt>
                <c:pt idx="115">
                  <c:v>0.0051</c:v>
                </c:pt>
                <c:pt idx="116">
                  <c:v>0.0053</c:v>
                </c:pt>
                <c:pt idx="117">
                  <c:v>0.0056</c:v>
                </c:pt>
                <c:pt idx="118">
                  <c:v>0.0058</c:v>
                </c:pt>
                <c:pt idx="119">
                  <c:v>0.0061</c:v>
                </c:pt>
                <c:pt idx="120">
                  <c:v>0.0064</c:v>
                </c:pt>
                <c:pt idx="121">
                  <c:v>0.0066</c:v>
                </c:pt>
                <c:pt idx="122">
                  <c:v>0.0069</c:v>
                </c:pt>
                <c:pt idx="123">
                  <c:v>0.0071</c:v>
                </c:pt>
                <c:pt idx="124">
                  <c:v>0.0075</c:v>
                </c:pt>
                <c:pt idx="125">
                  <c:v>0.0079</c:v>
                </c:pt>
                <c:pt idx="126">
                  <c:v>0.0082</c:v>
                </c:pt>
                <c:pt idx="127">
                  <c:v>0.0086</c:v>
                </c:pt>
                <c:pt idx="128">
                  <c:v>0.009</c:v>
                </c:pt>
                <c:pt idx="129">
                  <c:v>0.0093</c:v>
                </c:pt>
                <c:pt idx="130">
                  <c:v>0.0098</c:v>
                </c:pt>
                <c:pt idx="131">
                  <c:v>0.0103</c:v>
                </c:pt>
                <c:pt idx="132">
                  <c:v>0.0107</c:v>
                </c:pt>
                <c:pt idx="133">
                  <c:v>0.0113</c:v>
                </c:pt>
                <c:pt idx="134">
                  <c:v>0.0119</c:v>
                </c:pt>
                <c:pt idx="135">
                  <c:v>0.0123</c:v>
                </c:pt>
                <c:pt idx="136">
                  <c:v>0.013</c:v>
                </c:pt>
                <c:pt idx="137">
                  <c:v>0.0139</c:v>
                </c:pt>
                <c:pt idx="138">
                  <c:v>0.0145</c:v>
                </c:pt>
                <c:pt idx="139">
                  <c:v>0.0151</c:v>
                </c:pt>
                <c:pt idx="140">
                  <c:v>0.0158</c:v>
                </c:pt>
                <c:pt idx="141">
                  <c:v>0.0169</c:v>
                </c:pt>
                <c:pt idx="142">
                  <c:v>0.0176</c:v>
                </c:pt>
                <c:pt idx="143">
                  <c:v>0.0188</c:v>
                </c:pt>
                <c:pt idx="144">
                  <c:v>0.0195</c:v>
                </c:pt>
                <c:pt idx="145">
                  <c:v>0.0205</c:v>
                </c:pt>
                <c:pt idx="146">
                  <c:v>0.0215</c:v>
                </c:pt>
                <c:pt idx="147">
                  <c:v>0.0227</c:v>
                </c:pt>
                <c:pt idx="148">
                  <c:v>0.0238</c:v>
                </c:pt>
                <c:pt idx="149">
                  <c:v>0.0252</c:v>
                </c:pt>
                <c:pt idx="150">
                  <c:v>0.0265</c:v>
                </c:pt>
                <c:pt idx="151">
                  <c:v>0.028</c:v>
                </c:pt>
                <c:pt idx="152">
                  <c:v>0.0295</c:v>
                </c:pt>
                <c:pt idx="153">
                  <c:v>0.0312</c:v>
                </c:pt>
                <c:pt idx="154">
                  <c:v>0.0169</c:v>
                </c:pt>
                <c:pt idx="155">
                  <c:v>0.0169</c:v>
                </c:pt>
                <c:pt idx="156">
                  <c:v>0.0309</c:v>
                </c:pt>
                <c:pt idx="157">
                  <c:v>0.0275</c:v>
                </c:pt>
                <c:pt idx="158">
                  <c:v>0.0244</c:v>
                </c:pt>
                <c:pt idx="159">
                  <c:v>0.021</c:v>
                </c:pt>
                <c:pt idx="160">
                  <c:v>0.0185</c:v>
                </c:pt>
                <c:pt idx="161">
                  <c:v>0.0159</c:v>
                </c:pt>
                <c:pt idx="162">
                  <c:v>0.0135</c:v>
                </c:pt>
                <c:pt idx="163">
                  <c:v>0.0114</c:v>
                </c:pt>
                <c:pt idx="164">
                  <c:v>0.0095</c:v>
                </c:pt>
                <c:pt idx="165">
                  <c:v>0.0078</c:v>
                </c:pt>
                <c:pt idx="166">
                  <c:v>0.0061</c:v>
                </c:pt>
                <c:pt idx="167">
                  <c:v>0.0051</c:v>
                </c:pt>
                <c:pt idx="168">
                  <c:v>0.0042</c:v>
                </c:pt>
                <c:pt idx="169">
                  <c:v>0.0034</c:v>
                </c:pt>
                <c:pt idx="170">
                  <c:v>0.0026</c:v>
                </c:pt>
                <c:pt idx="171">
                  <c:v>0.0023</c:v>
                </c:pt>
                <c:pt idx="172">
                  <c:v>0.0017</c:v>
                </c:pt>
                <c:pt idx="173">
                  <c:v>0.0016</c:v>
                </c:pt>
                <c:pt idx="174">
                  <c:v>0.0013</c:v>
                </c:pt>
                <c:pt idx="175">
                  <c:v>0.0011</c:v>
                </c:pt>
                <c:pt idx="176">
                  <c:v>0.0009</c:v>
                </c:pt>
                <c:pt idx="177">
                  <c:v>0.0008</c:v>
                </c:pt>
                <c:pt idx="178">
                  <c:v>0.0007</c:v>
                </c:pt>
                <c:pt idx="179">
                  <c:v>0.0006</c:v>
                </c:pt>
                <c:pt idx="180">
                  <c:v>0.0006</c:v>
                </c:pt>
                <c:pt idx="181">
                  <c:v>0.0005</c:v>
                </c:pt>
                <c:pt idx="182">
                  <c:v>0.0005</c:v>
                </c:pt>
                <c:pt idx="183">
                  <c:v>0.0004</c:v>
                </c:pt>
                <c:pt idx="184">
                  <c:v>0.0004</c:v>
                </c:pt>
                <c:pt idx="185">
                  <c:v>0.0004</c:v>
                </c:pt>
                <c:pt idx="186">
                  <c:v>0.0004</c:v>
                </c:pt>
                <c:pt idx="187">
                  <c:v>0.0004</c:v>
                </c:pt>
                <c:pt idx="188">
                  <c:v>0.0004</c:v>
                </c:pt>
                <c:pt idx="189">
                  <c:v>0.0004</c:v>
                </c:pt>
                <c:pt idx="190">
                  <c:v>0.0004</c:v>
                </c:pt>
                <c:pt idx="191">
                  <c:v>0.0003</c:v>
                </c:pt>
                <c:pt idx="192">
                  <c:v>0.0003</c:v>
                </c:pt>
                <c:pt idx="193">
                  <c:v>0.0003</c:v>
                </c:pt>
                <c:pt idx="194">
                  <c:v>0.0005</c:v>
                </c:pt>
                <c:pt idx="195">
                  <c:v>0.0005</c:v>
                </c:pt>
                <c:pt idx="196">
                  <c:v>0.0005</c:v>
                </c:pt>
                <c:pt idx="197">
                  <c:v>0.0003</c:v>
                </c:pt>
                <c:pt idx="198">
                  <c:v>0.0002</c:v>
                </c:pt>
                <c:pt idx="199">
                  <c:v>0.0003</c:v>
                </c:pt>
                <c:pt idx="200">
                  <c:v>0.0004</c:v>
                </c:pt>
                <c:pt idx="201">
                  <c:v>0.0006</c:v>
                </c:pt>
                <c:pt idx="202">
                  <c:v>0.0006</c:v>
                </c:pt>
                <c:pt idx="203">
                  <c:v>0.0006</c:v>
                </c:pt>
                <c:pt idx="204">
                  <c:v>0.0012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736832"/>
        <c:axId val="2127740160"/>
      </c:lineChart>
      <c:lineChart>
        <c:grouping val="standard"/>
        <c:varyColors val="0"/>
        <c:ser>
          <c:idx val="0"/>
          <c:order val="0"/>
          <c:tx>
            <c:strRef>
              <c:f>VX_Series_04192017!$G$1</c:f>
              <c:strCache>
                <c:ptCount val="1"/>
                <c:pt idx="0">
                  <c:v>ContributionByStrike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VX_Series_04192017!$G$2:$G$206</c:f>
              <c:numCache>
                <c:formatCode>0.00E+00</c:formatCode>
                <c:ptCount val="205"/>
                <c:pt idx="0">
                  <c:v>1.42488E-6</c:v>
                </c:pt>
                <c:pt idx="1">
                  <c:v>6.86298E-7</c:v>
                </c:pt>
                <c:pt idx="2">
                  <c:v>6.61569E-7</c:v>
                </c:pt>
                <c:pt idx="3" formatCode="0.000000000">
                  <c:v>1.91446E-6</c:v>
                </c:pt>
                <c:pt idx="4" formatCode="0.000000000">
                  <c:v>1.84787E-6</c:v>
                </c:pt>
                <c:pt idx="5" formatCode="0.000000000">
                  <c:v>1.7847E-6</c:v>
                </c:pt>
                <c:pt idx="6" formatCode="0.000000000">
                  <c:v>2.29962E-6</c:v>
                </c:pt>
                <c:pt idx="7" formatCode="0.000000000">
                  <c:v>1.16739E-6</c:v>
                </c:pt>
                <c:pt idx="8" formatCode="0.000000000">
                  <c:v>8.77701E-7</c:v>
                </c:pt>
                <c:pt idx="9" formatCode="0.000000000">
                  <c:v>6.49643E-7</c:v>
                </c:pt>
                <c:pt idx="10" formatCode="0.000000000">
                  <c:v>3.22695E-7</c:v>
                </c:pt>
                <c:pt idx="11" formatCode="0.000000000">
                  <c:v>8.01473E-7</c:v>
                </c:pt>
                <c:pt idx="12" formatCode="0.000000000">
                  <c:v>1.0548E-6</c:v>
                </c:pt>
                <c:pt idx="13" formatCode="0.000000000">
                  <c:v>1.04123E-6</c:v>
                </c:pt>
                <c:pt idx="14" formatCode="0.000000000">
                  <c:v>1.02792E-6</c:v>
                </c:pt>
                <c:pt idx="15" formatCode="0.000000000">
                  <c:v>7.61154E-7</c:v>
                </c:pt>
                <c:pt idx="16" formatCode="0.000000000">
                  <c:v>4.03375E-7</c:v>
                </c:pt>
                <c:pt idx="17" formatCode="0.000000000">
                  <c:v>7.5155E-7</c:v>
                </c:pt>
                <c:pt idx="18" formatCode="0.000000000">
                  <c:v>1.1874E-6</c:v>
                </c:pt>
                <c:pt idx="19" formatCode="0.000000000">
                  <c:v>9.77171E-7</c:v>
                </c:pt>
                <c:pt idx="20" formatCode="0.000000000">
                  <c:v>1.15808E-6</c:v>
                </c:pt>
                <c:pt idx="21" formatCode="0.000000000">
                  <c:v>8.57873E-7</c:v>
                </c:pt>
                <c:pt idx="22" formatCode="0.000000000">
                  <c:v>5.68401E-7</c:v>
                </c:pt>
                <c:pt idx="23" formatCode="0.000000000">
                  <c:v>8.47379E-7</c:v>
                </c:pt>
                <c:pt idx="24" formatCode="0.000000000">
                  <c:v>1.30212E-6</c:v>
                </c:pt>
                <c:pt idx="25" formatCode="0.000000000">
                  <c:v>1.28638E-6</c:v>
                </c:pt>
                <c:pt idx="26" formatCode="0.000000000">
                  <c:v>1.45249E-6</c:v>
                </c:pt>
                <c:pt idx="27" formatCode="0.000000000">
                  <c:v>9.41818E-7</c:v>
                </c:pt>
                <c:pt idx="28" formatCode="0.000000000">
                  <c:v>6.24136E-7</c:v>
                </c:pt>
                <c:pt idx="29" formatCode="0.000000000">
                  <c:v>9.30639E-7</c:v>
                </c:pt>
                <c:pt idx="30" formatCode="0.000000000">
                  <c:v>1.40138E-6</c:v>
                </c:pt>
                <c:pt idx="31" formatCode="0.000000000">
                  <c:v>1.21183E-6</c:v>
                </c:pt>
                <c:pt idx="32" formatCode="0.000000000">
                  <c:v>1.53989E-6</c:v>
                </c:pt>
                <c:pt idx="33" formatCode="0.000000000">
                  <c:v>1.01469E-6</c:v>
                </c:pt>
                <c:pt idx="34" formatCode="0.000000000">
                  <c:v>6.72547E-7</c:v>
                </c:pt>
                <c:pt idx="35" formatCode="0.000000000">
                  <c:v>1.003E-6</c:v>
                </c:pt>
                <c:pt idx="36" formatCode="0.000000000">
                  <c:v>1.48725E-6</c:v>
                </c:pt>
                <c:pt idx="37" formatCode="0.000000000">
                  <c:v>1.30694E-6</c:v>
                </c:pt>
                <c:pt idx="38" formatCode="0.000000000">
                  <c:v>1.61516E-6</c:v>
                </c:pt>
                <c:pt idx="39" formatCode="0.000000000">
                  <c:v>1.19772E-6</c:v>
                </c:pt>
                <c:pt idx="40" formatCode="0.000000000">
                  <c:v>7.93988E-7</c:v>
                </c:pt>
                <c:pt idx="41" formatCode="0.000000000">
                  <c:v>7.89534E-7</c:v>
                </c:pt>
                <c:pt idx="42" formatCode="0.000000000">
                  <c:v>7.85117E-7</c:v>
                </c:pt>
                <c:pt idx="43" formatCode="0.000000000">
                  <c:v>7.80737E-7</c:v>
                </c:pt>
                <c:pt idx="44" formatCode="0.000000000">
                  <c:v>7.76393E-7</c:v>
                </c:pt>
                <c:pt idx="45" formatCode="0.000000000">
                  <c:v>7.72086E-7</c:v>
                </c:pt>
                <c:pt idx="46" formatCode="0.000000000">
                  <c:v>7.67814E-7</c:v>
                </c:pt>
                <c:pt idx="47" formatCode="0.000000000">
                  <c:v>7.63578E-7</c:v>
                </c:pt>
                <c:pt idx="48" formatCode="0.000000000">
                  <c:v>7.59377E-7</c:v>
                </c:pt>
                <c:pt idx="49" formatCode="0.000000000">
                  <c:v>7.5521E-7</c:v>
                </c:pt>
                <c:pt idx="50" formatCode="0.000000000">
                  <c:v>7.51078E-7</c:v>
                </c:pt>
                <c:pt idx="51" formatCode="0.000000000">
                  <c:v>7.46979E-7</c:v>
                </c:pt>
                <c:pt idx="52" formatCode="0.000000000">
                  <c:v>7.42914E-7</c:v>
                </c:pt>
                <c:pt idx="53" formatCode="0.000000000">
                  <c:v>8.1277E-7</c:v>
                </c:pt>
                <c:pt idx="54" formatCode="0.000000000">
                  <c:v>8.08371E-7</c:v>
                </c:pt>
                <c:pt idx="55" formatCode="0.000000000">
                  <c:v>8.04007E-7</c:v>
                </c:pt>
                <c:pt idx="56" formatCode="0.000000000">
                  <c:v>7.99679E-7</c:v>
                </c:pt>
                <c:pt idx="57" formatCode="0.000000000">
                  <c:v>7.95385E-7</c:v>
                </c:pt>
                <c:pt idx="58" formatCode="0.000000000">
                  <c:v>7.91126E-7</c:v>
                </c:pt>
                <c:pt idx="59" formatCode="0.000000000">
                  <c:v>8.58437E-7</c:v>
                </c:pt>
                <c:pt idx="60" formatCode="0.000000000">
                  <c:v>8.53865E-7</c:v>
                </c:pt>
                <c:pt idx="61" formatCode="0.000000000">
                  <c:v>8.49329E-7</c:v>
                </c:pt>
                <c:pt idx="62" formatCode="0.000000000">
                  <c:v>9.15232E-7</c:v>
                </c:pt>
                <c:pt idx="63" formatCode="0.000000000">
                  <c:v>9.10396E-7</c:v>
                </c:pt>
                <c:pt idx="64" formatCode="0.000000000">
                  <c:v>9.05598E-7</c:v>
                </c:pt>
                <c:pt idx="65" formatCode="0.000000000">
                  <c:v>9.00838E-7</c:v>
                </c:pt>
                <c:pt idx="66" formatCode="0.000000000">
                  <c:v>9.65047E-7</c:v>
                </c:pt>
                <c:pt idx="67" formatCode="0.000000000">
                  <c:v>9.60001E-7</c:v>
                </c:pt>
                <c:pt idx="68" formatCode="0.000000000">
                  <c:v>1.02321E-6</c:v>
                </c:pt>
                <c:pt idx="69" formatCode="0.000000000">
                  <c:v>1.01789E-6</c:v>
                </c:pt>
                <c:pt idx="70" formatCode="0.000000000">
                  <c:v>1.08011E-6</c:v>
                </c:pt>
                <c:pt idx="71" formatCode="0.000000000">
                  <c:v>1.07452E-6</c:v>
                </c:pt>
                <c:pt idx="72" formatCode="0.000000000">
                  <c:v>1.13579E-6</c:v>
                </c:pt>
                <c:pt idx="73" formatCode="0.000000000">
                  <c:v>1.12994E-6</c:v>
                </c:pt>
                <c:pt idx="74" formatCode="0.000000000">
                  <c:v>1.19027E-6</c:v>
                </c:pt>
                <c:pt idx="75" formatCode="0.000000000">
                  <c:v>1.18417E-6</c:v>
                </c:pt>
                <c:pt idx="76" formatCode="0.000000000">
                  <c:v>1.24357E-6</c:v>
                </c:pt>
                <c:pt idx="77" formatCode="0.000000000">
                  <c:v>1.30235E-6</c:v>
                </c:pt>
                <c:pt idx="78" formatCode="0.000000000">
                  <c:v>1.29573E-6</c:v>
                </c:pt>
                <c:pt idx="79" formatCode="0.000000000">
                  <c:v>1.35362E-6</c:v>
                </c:pt>
                <c:pt idx="80" formatCode="0.000000000">
                  <c:v>1.34678E-6</c:v>
                </c:pt>
                <c:pt idx="81" formatCode="0.000000000">
                  <c:v>1.40379E-6</c:v>
                </c:pt>
                <c:pt idx="82" formatCode="0.000000000">
                  <c:v>1.46022E-6</c:v>
                </c:pt>
                <c:pt idx="83" formatCode="0.000000000">
                  <c:v>1.45289E-6</c:v>
                </c:pt>
                <c:pt idx="84" formatCode="0.000000000">
                  <c:v>1.50847E-6</c:v>
                </c:pt>
                <c:pt idx="85" formatCode="0.000000000">
                  <c:v>1.50093E-6</c:v>
                </c:pt>
                <c:pt idx="86" formatCode="0.000000000">
                  <c:v>1.61791E-6</c:v>
                </c:pt>
                <c:pt idx="87" formatCode="0.000000000">
                  <c:v>1.67179E-6</c:v>
                </c:pt>
                <c:pt idx="88" formatCode="0.000000000">
                  <c:v>1.66351E-6</c:v>
                </c:pt>
                <c:pt idx="89" formatCode="0.000000000">
                  <c:v>1.77789E-6</c:v>
                </c:pt>
                <c:pt idx="90" formatCode="0.000000000">
                  <c:v>1.83013E-6</c:v>
                </c:pt>
                <c:pt idx="91" formatCode="0.000000000">
                  <c:v>1.82113E-6</c:v>
                </c:pt>
                <c:pt idx="92" formatCode="0.000000000">
                  <c:v>1.933E-6</c:v>
                </c:pt>
                <c:pt idx="93" formatCode="0.000000000">
                  <c:v>1.98365E-6</c:v>
                </c:pt>
                <c:pt idx="94" formatCode="0.000000000">
                  <c:v>2.03377E-6</c:v>
                </c:pt>
                <c:pt idx="95" formatCode="0.000000000">
                  <c:v>2.08339E-6</c:v>
                </c:pt>
                <c:pt idx="96" formatCode="0.000000000">
                  <c:v>2.19174E-6</c:v>
                </c:pt>
                <c:pt idx="97" formatCode="0.000000000">
                  <c:v>2.24006E-6</c:v>
                </c:pt>
                <c:pt idx="98" formatCode="0.000000000">
                  <c:v>2.28789E-6</c:v>
                </c:pt>
                <c:pt idx="99" formatCode="0.000000000">
                  <c:v>2.39361E-6</c:v>
                </c:pt>
                <c:pt idx="100" formatCode="0.000000000">
                  <c:v>2.49829E-6</c:v>
                </c:pt>
                <c:pt idx="101" formatCode="0.000000000">
                  <c:v>2.60193E-6</c:v>
                </c:pt>
                <c:pt idx="102" formatCode="0.000000000">
                  <c:v>2.64701E-6</c:v>
                </c:pt>
                <c:pt idx="103" formatCode="0.000000000">
                  <c:v>2.80617E-6</c:v>
                </c:pt>
                <c:pt idx="104" formatCode="0.000000000">
                  <c:v>2.90678E-6</c:v>
                </c:pt>
                <c:pt idx="105" formatCode="0.000000000">
                  <c:v>3.00641E-6</c:v>
                </c:pt>
                <c:pt idx="106" formatCode="0.000000000">
                  <c:v>3.10505E-6</c:v>
                </c:pt>
                <c:pt idx="107" formatCode="0.000000000">
                  <c:v>3.20273E-6</c:v>
                </c:pt>
                <c:pt idx="108" formatCode="0.000000000">
                  <c:v>3.29945E-6</c:v>
                </c:pt>
                <c:pt idx="109" formatCode="0.000000000">
                  <c:v>3.45089E-6</c:v>
                </c:pt>
                <c:pt idx="110" formatCode="0.000000000">
                  <c:v>3.65626E-6</c:v>
                </c:pt>
                <c:pt idx="111" formatCode="0.000000000">
                  <c:v>3.74939E-6</c:v>
                </c:pt>
                <c:pt idx="112" formatCode="0.000000000">
                  <c:v>3.84161E-6</c:v>
                </c:pt>
                <c:pt idx="113" formatCode="0.000000000">
                  <c:v>4.04217E-6</c:v>
                </c:pt>
                <c:pt idx="114" formatCode="0.000000000">
                  <c:v>4.13209E-6</c:v>
                </c:pt>
                <c:pt idx="115" formatCode="0.000000000">
                  <c:v>4.32936E-6</c:v>
                </c:pt>
                <c:pt idx="116" formatCode="0.000000000">
                  <c:v>4.52476E-6</c:v>
                </c:pt>
                <c:pt idx="117" formatCode="0.000000000">
                  <c:v>4.7183E-6</c:v>
                </c:pt>
                <c:pt idx="118" formatCode="0.000000000">
                  <c:v>4.91001E-6</c:v>
                </c:pt>
                <c:pt idx="119" formatCode="0.000000000">
                  <c:v>5.20616E-6</c:v>
                </c:pt>
                <c:pt idx="120" formatCode="0.000000000">
                  <c:v>5.39377E-6</c:v>
                </c:pt>
                <c:pt idx="121" formatCode="0.000000000">
                  <c:v>5.57961E-6</c:v>
                </c:pt>
                <c:pt idx="122" formatCode="0.000000000">
                  <c:v>5.86848E-6</c:v>
                </c:pt>
                <c:pt idx="123" formatCode="0.000000000">
                  <c:v>6.05035E-6</c:v>
                </c:pt>
                <c:pt idx="124" formatCode="0.000000000">
                  <c:v>6.33434E-6</c:v>
                </c:pt>
                <c:pt idx="125" formatCode="0.000000000">
                  <c:v>6.71906E-6</c:v>
                </c:pt>
                <c:pt idx="126" formatCode="0.000000000">
                  <c:v>6.99733E-6</c:v>
                </c:pt>
                <c:pt idx="127" formatCode="0.000000000">
                  <c:v>7.27301E-6</c:v>
                </c:pt>
                <c:pt idx="128" formatCode="0.000000000">
                  <c:v>7.64811E-6</c:v>
                </c:pt>
                <c:pt idx="129" formatCode="0.000000000">
                  <c:v>7.91825E-6</c:v>
                </c:pt>
                <c:pt idx="130" formatCode="0.000000000">
                  <c:v>8.28694E-6</c:v>
                </c:pt>
                <c:pt idx="131" formatCode="0.000000000">
                  <c:v>8.75286E-6</c:v>
                </c:pt>
                <c:pt idx="132" formatCode="0.000000000">
                  <c:v>9.11438E-6</c:v>
                </c:pt>
                <c:pt idx="133" formatCode="0.000000000">
                  <c:v>9.57229E-6</c:v>
                </c:pt>
                <c:pt idx="134" formatCode="0.000000000">
                  <c:v>1.01253E-5</c:v>
                </c:pt>
                <c:pt idx="135" formatCode="0.000000000">
                  <c:v>1.04757E-5</c:v>
                </c:pt>
                <c:pt idx="136" formatCode="0.000000000">
                  <c:v>1.10196E-5</c:v>
                </c:pt>
                <c:pt idx="137" formatCode="0.000000000">
                  <c:v>1.17545E-5</c:v>
                </c:pt>
                <c:pt idx="138" formatCode="0.000000000">
                  <c:v>1.22878E-5</c:v>
                </c:pt>
                <c:pt idx="139" formatCode="0.000000000">
                  <c:v>1.28163E-5</c:v>
                </c:pt>
                <c:pt idx="140" formatCode="0.000000000">
                  <c:v>1.34367E-5</c:v>
                </c:pt>
                <c:pt idx="141" formatCode="0.000000000">
                  <c:v>1.43403E-5</c:v>
                </c:pt>
                <c:pt idx="142" formatCode="0.000000000">
                  <c:v>1.49483E-5</c:v>
                </c:pt>
                <c:pt idx="143" formatCode="0.000000000">
                  <c:v>1.59326E-5</c:v>
                </c:pt>
                <c:pt idx="144" formatCode="0.000000000">
                  <c:v>1.65282E-5</c:v>
                </c:pt>
                <c:pt idx="145" formatCode="0.000000000">
                  <c:v>1.74021E-5</c:v>
                </c:pt>
                <c:pt idx="146" formatCode="0.000000000">
                  <c:v>1.82684E-5</c:v>
                </c:pt>
                <c:pt idx="147" formatCode="0.000000000">
                  <c:v>1.92208E-5</c:v>
                </c:pt>
                <c:pt idx="148" formatCode="0.000000000">
                  <c:v>2.01647E-5</c:v>
                </c:pt>
                <c:pt idx="149" formatCode="0.000000000">
                  <c:v>2.13792E-5</c:v>
                </c:pt>
                <c:pt idx="150" formatCode="0.000000000">
                  <c:v>2.24906E-5</c:v>
                </c:pt>
                <c:pt idx="151" formatCode="0.000000000">
                  <c:v>2.37765E-5</c:v>
                </c:pt>
                <c:pt idx="152" formatCode="0.000000000">
                  <c:v>2.50513E-5</c:v>
                </c:pt>
                <c:pt idx="153" formatCode="0.000000000">
                  <c:v>2.64976E-5</c:v>
                </c:pt>
                <c:pt idx="154" formatCode="0.000000000">
                  <c:v>1.43069E-5</c:v>
                </c:pt>
                <c:pt idx="155" formatCode="0.000000000">
                  <c:v>1.43069E-5</c:v>
                </c:pt>
                <c:pt idx="156" formatCode="0.000000000">
                  <c:v>2.6182E-5</c:v>
                </c:pt>
                <c:pt idx="157" formatCode="0.000000000">
                  <c:v>2.33646E-5</c:v>
                </c:pt>
                <c:pt idx="158" formatCode="0.000000000">
                  <c:v>2.06607E-5</c:v>
                </c:pt>
                <c:pt idx="159" formatCode="0.000000000">
                  <c:v>1.78005E-5</c:v>
                </c:pt>
                <c:pt idx="160" formatCode="0.000000000">
                  <c:v>1.56768E-5</c:v>
                </c:pt>
                <c:pt idx="161" formatCode="0.000000000">
                  <c:v>1.34821E-5</c:v>
                </c:pt>
                <c:pt idx="162" formatCode="0.000000000">
                  <c:v>1.14823E-5</c:v>
                </c:pt>
                <c:pt idx="163" formatCode="0.000000000">
                  <c:v>9.67512E-6</c:v>
                </c:pt>
                <c:pt idx="164" formatCode="0.000000000">
                  <c:v>8.0581E-6</c:v>
                </c:pt>
                <c:pt idx="165" formatCode="0.000000000">
                  <c:v>6.62893E-6</c:v>
                </c:pt>
                <c:pt idx="166" formatCode="0.000000000">
                  <c:v>5.21158E-6</c:v>
                </c:pt>
                <c:pt idx="167" formatCode="0.000000000">
                  <c:v>4.32494E-6</c:v>
                </c:pt>
                <c:pt idx="168" formatCode="0.000000000">
                  <c:v>3.53175E-6</c:v>
                </c:pt>
                <c:pt idx="169" formatCode="0.000000000">
                  <c:v>2.91666E-6</c:v>
                </c:pt>
                <c:pt idx="170" formatCode="0.000000000">
                  <c:v>2.22118E-6</c:v>
                </c:pt>
                <c:pt idx="171" formatCode="0.000000000">
                  <c:v>1.91425E-6</c:v>
                </c:pt>
                <c:pt idx="172" formatCode="0.000000000">
                  <c:v>1.48274E-6</c:v>
                </c:pt>
                <c:pt idx="173" formatCode="0.000000000">
                  <c:v>1.39228E-6</c:v>
                </c:pt>
                <c:pt idx="174" formatCode="0.000000000">
                  <c:v>1.09246E-6</c:v>
                </c:pt>
                <c:pt idx="175" formatCode="0.000000000">
                  <c:v>9.62456E-7</c:v>
                </c:pt>
                <c:pt idx="176" formatCode="0.000000000">
                  <c:v>7.9183E-7</c:v>
                </c:pt>
                <c:pt idx="177" formatCode="0.000000000">
                  <c:v>7.05597E-7</c:v>
                </c:pt>
                <c:pt idx="178" formatCode="0.000000000">
                  <c:v>6.20057E-7</c:v>
                </c:pt>
                <c:pt idx="179" formatCode="0.000000000">
                  <c:v>5.35205E-7</c:v>
                </c:pt>
                <c:pt idx="180" formatCode="0.000000000">
                  <c:v>4.92037E-7</c:v>
                </c:pt>
                <c:pt idx="181" formatCode="0.000000000">
                  <c:v>4.49214E-7</c:v>
                </c:pt>
                <c:pt idx="182" formatCode="0.000000000">
                  <c:v>4.06731E-7</c:v>
                </c:pt>
                <c:pt idx="183" formatCode="0.000000000">
                  <c:v>3.64586E-7</c:v>
                </c:pt>
                <c:pt idx="184" formatCode="0.000000000">
                  <c:v>3.63124E-7</c:v>
                </c:pt>
                <c:pt idx="185" formatCode="0.000000000">
                  <c:v>3.21484E-7</c:v>
                </c:pt>
                <c:pt idx="186" formatCode="0.000000000">
                  <c:v>3.20199E-7</c:v>
                </c:pt>
                <c:pt idx="187" formatCode="0.000000000">
                  <c:v>3.18922E-7</c:v>
                </c:pt>
                <c:pt idx="188" formatCode="0.000000000">
                  <c:v>3.17653E-7</c:v>
                </c:pt>
                <c:pt idx="189" formatCode="0.000000000">
                  <c:v>3.16391E-7</c:v>
                </c:pt>
                <c:pt idx="190" formatCode="0.000000000">
                  <c:v>3.15137E-7</c:v>
                </c:pt>
                <c:pt idx="191" formatCode="0.000000000">
                  <c:v>2.74654E-7</c:v>
                </c:pt>
                <c:pt idx="192" formatCode="0.000000000">
                  <c:v>2.73569E-7</c:v>
                </c:pt>
                <c:pt idx="193" formatCode="0.000000000">
                  <c:v>2.72491E-7</c:v>
                </c:pt>
                <c:pt idx="194" formatCode="0.000000000">
                  <c:v>4.07129E-7</c:v>
                </c:pt>
                <c:pt idx="195" formatCode="0.000000000">
                  <c:v>4.61649E-7</c:v>
                </c:pt>
                <c:pt idx="196" formatCode="0.000000000">
                  <c:v>4.58049E-7</c:v>
                </c:pt>
                <c:pt idx="197" formatCode="0.000000000">
                  <c:v>2.84057E-7</c:v>
                </c:pt>
                <c:pt idx="198" formatCode="0.000000000">
                  <c:v>1.50909E-7</c:v>
                </c:pt>
                <c:pt idx="199" formatCode="0.000000000">
                  <c:v>2.25487E-7</c:v>
                </c:pt>
                <c:pt idx="200" formatCode="0.000000000">
                  <c:v>2.98333E-7</c:v>
                </c:pt>
                <c:pt idx="201" formatCode="0.000000000">
                  <c:v>5.18074E-7</c:v>
                </c:pt>
                <c:pt idx="202" formatCode="0.000000000">
                  <c:v>5.44557E-7</c:v>
                </c:pt>
                <c:pt idx="203" formatCode="0.000000000">
                  <c:v>5.34331E-7</c:v>
                </c:pt>
                <c:pt idx="204" formatCode="0.000000000">
                  <c:v>1.02945E-6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746880"/>
        <c:axId val="2127743696"/>
      </c:lineChart>
      <c:catAx>
        <c:axId val="212773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740160"/>
        <c:crosses val="autoZero"/>
        <c:auto val="1"/>
        <c:lblAlgn val="ctr"/>
        <c:lblOffset val="100"/>
        <c:noMultiLvlLbl val="0"/>
      </c:catAx>
      <c:valAx>
        <c:axId val="21277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736832"/>
        <c:crosses val="autoZero"/>
        <c:crossBetween val="between"/>
      </c:valAx>
      <c:valAx>
        <c:axId val="2127743696"/>
        <c:scaling>
          <c:orientation val="minMax"/>
        </c:scaling>
        <c:delete val="0"/>
        <c:axPos val="r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746880"/>
        <c:crosses val="max"/>
        <c:crossBetween val="between"/>
      </c:valAx>
      <c:catAx>
        <c:axId val="2127746880"/>
        <c:scaling>
          <c:orientation val="minMax"/>
        </c:scaling>
        <c:delete val="1"/>
        <c:axPos val="b"/>
        <c:majorTickMark val="out"/>
        <c:minorTickMark val="none"/>
        <c:tickLblPos val="nextTo"/>
        <c:crossAx val="2127743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431800</xdr:colOff>
      <xdr:row>215</xdr:row>
      <xdr:rowOff>69850</xdr:rowOff>
    </xdr:from>
    <xdr:to>
      <xdr:col>13</xdr:col>
      <xdr:colOff>317500</xdr:colOff>
      <xdr:row>228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317500</xdr:colOff>
      <xdr:row>30</xdr:row>
      <xdr:rowOff>139706</xdr:rowOff>
    </xdr:from>
    <xdr:to>
      <xdr:col>14</xdr:col>
      <xdr:colOff>203200</xdr:colOff>
      <xdr:row>44</xdr:row>
      <xdr:rowOff>38106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27"/>
  <sheetViews>
    <sheetView tabSelected="1" workbookViewId="0">
      <pane ySplit="1" topLeftCell="A199" activePane="bottomLeft" state="frozen"/>
      <selection pane="bottomLeft" activeCell="C208" sqref="C208"/>
    </sheetView>
  </sheetViews>
  <sheetFormatPr baseColWidth="10" defaultRowHeight="16" x14ac:dyDescent="0.2"/>
  <cols>
    <col min="6" max="6" width="16.33203125" bestFit="1" customWidth="1"/>
    <col min="7" max="7" width="18" bestFit="1" customWidth="1"/>
    <col min="8" max="8" width="17.83203125" bestFit="1" customWidth="1"/>
    <col min="10" max="10" width="14" bestFit="1" customWidth="1"/>
    <col min="11" max="11" width="12.6640625" bestFit="1" customWidth="1"/>
    <col min="12" max="13" width="12" bestFit="1" customWidth="1"/>
    <col min="16" max="16" width="12" bestFit="1" customWidth="1"/>
    <col min="17" max="17" width="11.83203125" bestFit="1" customWidth="1"/>
    <col min="18" max="18" width="15.6640625" bestFit="1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J1" t="s">
        <v>17</v>
      </c>
      <c r="K1" t="s">
        <v>16</v>
      </c>
      <c r="M1" t="s">
        <v>18</v>
      </c>
      <c r="N1">
        <f>C156+EXP(N3*H211)*(E156-E157)</f>
        <v>2345.9005602356001</v>
      </c>
    </row>
    <row r="2" spans="1:21" x14ac:dyDescent="0.2">
      <c r="A2" t="s">
        <v>8</v>
      </c>
      <c r="B2" t="s">
        <v>9</v>
      </c>
      <c r="C2">
        <v>1325</v>
      </c>
      <c r="D2" t="s">
        <v>10</v>
      </c>
      <c r="E2">
        <v>0.1</v>
      </c>
      <c r="F2">
        <v>2545</v>
      </c>
      <c r="G2" s="1">
        <v>1.42488E-6</v>
      </c>
      <c r="H2" s="5">
        <v>1.6999999999999999E-3</v>
      </c>
      <c r="I2" s="5">
        <f>ROUND(G2/G$207, 4)</f>
        <v>1.6999999999999999E-3</v>
      </c>
      <c r="J2" s="1">
        <f>H2-I2</f>
        <v>0</v>
      </c>
      <c r="K2" s="7">
        <f>I2/H2-1</f>
        <v>0</v>
      </c>
      <c r="M2">
        <f>(C3-C2)/C2^2</f>
        <v>1.4239943040227839E-5</v>
      </c>
      <c r="N2" s="9">
        <f>1/$H$211*(LN(G2/(E2*M2)))</f>
        <v>7.5650709157357235E-3</v>
      </c>
      <c r="S2" s="6">
        <f t="shared" ref="S2:S65" si="0">100*SQRT(2*G2*G$211)</f>
        <v>0.58883002640830051</v>
      </c>
      <c r="T2">
        <f>S2/S$207</f>
        <v>3.4832910832568302E-3</v>
      </c>
      <c r="U2" s="5">
        <f>T2-H2</f>
        <v>1.7832910832568302E-3</v>
      </c>
    </row>
    <row r="3" spans="1:21" x14ac:dyDescent="0.2">
      <c r="A3" t="s">
        <v>8</v>
      </c>
      <c r="B3" t="s">
        <v>9</v>
      </c>
      <c r="C3">
        <v>1350</v>
      </c>
      <c r="D3" t="s">
        <v>10</v>
      </c>
      <c r="E3">
        <v>0.05</v>
      </c>
      <c r="F3">
        <v>2461</v>
      </c>
      <c r="G3" s="1">
        <v>6.8629800000000005E-7</v>
      </c>
      <c r="H3" s="5">
        <v>8.0000000000000004E-4</v>
      </c>
      <c r="I3" s="5">
        <f t="shared" ref="I3:I66" si="1">ROUND(G3/G$207, 4)</f>
        <v>8.0000000000000004E-4</v>
      </c>
      <c r="J3" s="1">
        <f t="shared" ref="J3:J66" si="2">H3-I3</f>
        <v>0</v>
      </c>
      <c r="K3" s="7">
        <f t="shared" ref="K3:K66" si="3">I3/H3-1</f>
        <v>0</v>
      </c>
      <c r="M3">
        <f>(C4-C2)/2/C3^2</f>
        <v>1.3717421124828532E-5</v>
      </c>
      <c r="N3" s="9">
        <f>1/$H$211*(LN(G3/(E3*M3)))</f>
        <v>7.5711991025839403E-3</v>
      </c>
      <c r="Q3" s="10">
        <f t="shared" ref="Q3:Q66" si="4">(0.5*(C4-C2))/C3^2*EXP($H$211*N3)*E3</f>
        <v>6.8629800000000005E-7</v>
      </c>
      <c r="R3" s="11">
        <f t="shared" ref="R3:R66" si="5">Q3-G3</f>
        <v>0</v>
      </c>
      <c r="S3" s="6">
        <f t="shared" si="0"/>
        <v>0.40865533154481176</v>
      </c>
      <c r="T3">
        <f t="shared" ref="T3:T66" si="6">S3/S$207</f>
        <v>2.4174471556386995E-3</v>
      </c>
      <c r="U3" s="5">
        <f t="shared" ref="U3:U66" si="7">T3-H3</f>
        <v>1.6174471556386996E-3</v>
      </c>
    </row>
    <row r="4" spans="1:21" x14ac:dyDescent="0.2">
      <c r="A4" t="s">
        <v>8</v>
      </c>
      <c r="B4" t="s">
        <v>9</v>
      </c>
      <c r="C4">
        <v>1375</v>
      </c>
      <c r="D4" t="s">
        <v>10</v>
      </c>
      <c r="E4">
        <v>0.05</v>
      </c>
      <c r="F4">
        <v>2648</v>
      </c>
      <c r="G4" s="1">
        <v>6.6156900000000004E-7</v>
      </c>
      <c r="H4" s="5">
        <v>8.0000000000000004E-4</v>
      </c>
      <c r="I4" s="5">
        <f t="shared" si="1"/>
        <v>8.0000000000000004E-4</v>
      </c>
      <c r="J4" s="1">
        <f t="shared" si="2"/>
        <v>0</v>
      </c>
      <c r="K4" s="7">
        <f t="shared" si="3"/>
        <v>0</v>
      </c>
      <c r="M4">
        <f>(C5-C3)/2/C4^2</f>
        <v>1.3223140495867768E-5</v>
      </c>
      <c r="N4" s="9">
        <f>1/$H$211*(LN(G4/(E4*M4)))</f>
        <v>7.5788410931661131E-3</v>
      </c>
      <c r="Q4" s="10">
        <f t="shared" si="4"/>
        <v>6.6156900000000004E-7</v>
      </c>
      <c r="R4" s="11">
        <f t="shared" si="5"/>
        <v>0</v>
      </c>
      <c r="S4" s="6">
        <f t="shared" si="0"/>
        <v>0.40122536061420649</v>
      </c>
      <c r="T4">
        <f t="shared" si="6"/>
        <v>2.3734943163969575E-3</v>
      </c>
      <c r="U4" s="5">
        <f t="shared" si="7"/>
        <v>1.5734943163969576E-3</v>
      </c>
    </row>
    <row r="5" spans="1:21" x14ac:dyDescent="0.2">
      <c r="A5" t="s">
        <v>8</v>
      </c>
      <c r="B5" t="s">
        <v>9</v>
      </c>
      <c r="C5">
        <v>1400</v>
      </c>
      <c r="D5" t="s">
        <v>10</v>
      </c>
      <c r="E5">
        <v>0.15</v>
      </c>
      <c r="F5">
        <v>4395</v>
      </c>
      <c r="G5" s="10">
        <v>1.9144599999999998E-6</v>
      </c>
      <c r="H5" s="5">
        <v>2.3E-3</v>
      </c>
      <c r="I5" s="5">
        <f t="shared" si="1"/>
        <v>2.3E-3</v>
      </c>
      <c r="J5" s="1">
        <f t="shared" si="2"/>
        <v>0</v>
      </c>
      <c r="K5" s="7">
        <f t="shared" si="3"/>
        <v>0</v>
      </c>
      <c r="M5">
        <f t="shared" ref="M5:M33" si="8">(C6-C4)/2/C5^2</f>
        <v>1.2755102040816327E-5</v>
      </c>
      <c r="N5" s="9">
        <f t="shared" ref="N5:N33" si="9">1/$H$211*(LN(G5/(E5*M5)))</f>
        <v>7.5948201536911496E-3</v>
      </c>
      <c r="Q5" s="10">
        <f t="shared" si="4"/>
        <v>1.9144599999999998E-6</v>
      </c>
      <c r="R5" s="11">
        <f t="shared" si="5"/>
        <v>0</v>
      </c>
      <c r="S5" s="6">
        <f t="shared" si="0"/>
        <v>0.68253346682293403</v>
      </c>
      <c r="T5">
        <f t="shared" si="6"/>
        <v>4.0376044569441528E-3</v>
      </c>
      <c r="U5" s="5">
        <f t="shared" si="7"/>
        <v>1.7376044569441529E-3</v>
      </c>
    </row>
    <row r="6" spans="1:21" x14ac:dyDescent="0.2">
      <c r="A6" t="s">
        <v>8</v>
      </c>
      <c r="B6" t="s">
        <v>9</v>
      </c>
      <c r="C6">
        <v>1425</v>
      </c>
      <c r="D6" t="s">
        <v>10</v>
      </c>
      <c r="E6">
        <v>0.15</v>
      </c>
      <c r="F6">
        <v>4257</v>
      </c>
      <c r="G6" s="10">
        <v>1.8478699999999999E-6</v>
      </c>
      <c r="H6" s="5">
        <v>2.2000000000000001E-3</v>
      </c>
      <c r="I6" s="5">
        <f t="shared" si="1"/>
        <v>2.2000000000000001E-3</v>
      </c>
      <c r="J6" s="1">
        <f t="shared" si="2"/>
        <v>0</v>
      </c>
      <c r="K6" s="7">
        <f t="shared" si="3"/>
        <v>0</v>
      </c>
      <c r="M6">
        <f t="shared" si="8"/>
        <v>1.2311480455524777E-5</v>
      </c>
      <c r="N6" s="9">
        <f t="shared" si="9"/>
        <v>7.5605112509018321E-3</v>
      </c>
      <c r="Q6" s="10">
        <f t="shared" si="4"/>
        <v>1.8478699999999997E-6</v>
      </c>
      <c r="R6" s="11">
        <f t="shared" si="5"/>
        <v>0</v>
      </c>
      <c r="S6" s="6">
        <f t="shared" si="0"/>
        <v>0.67055825001760039</v>
      </c>
      <c r="T6">
        <f t="shared" si="6"/>
        <v>3.9667636980709603E-3</v>
      </c>
      <c r="U6" s="5">
        <f t="shared" si="7"/>
        <v>1.7667636980709602E-3</v>
      </c>
    </row>
    <row r="7" spans="1:21" x14ac:dyDescent="0.2">
      <c r="A7" t="s">
        <v>8</v>
      </c>
      <c r="B7" t="s">
        <v>9</v>
      </c>
      <c r="C7">
        <v>1450</v>
      </c>
      <c r="D7" t="s">
        <v>10</v>
      </c>
      <c r="E7">
        <v>0.15</v>
      </c>
      <c r="F7">
        <v>4346</v>
      </c>
      <c r="G7" s="10">
        <v>1.7847E-6</v>
      </c>
      <c r="H7" s="5">
        <v>2.0999999999999999E-3</v>
      </c>
      <c r="I7" s="5">
        <f t="shared" si="1"/>
        <v>2.0999999999999999E-3</v>
      </c>
      <c r="J7" s="1">
        <f t="shared" si="2"/>
        <v>0</v>
      </c>
      <c r="K7" s="7">
        <f t="shared" si="3"/>
        <v>0</v>
      </c>
      <c r="M7">
        <f t="shared" si="8"/>
        <v>1.1890606420927467E-5</v>
      </c>
      <c r="N7" s="9">
        <f>1/$H$211*(LN(G7/(E7*M7)))</f>
        <v>7.5628822768308759E-3</v>
      </c>
      <c r="Q7" s="10">
        <f t="shared" si="4"/>
        <v>1.7847E-6</v>
      </c>
      <c r="R7" s="11">
        <f t="shared" si="5"/>
        <v>0</v>
      </c>
      <c r="S7" s="6">
        <f t="shared" si="0"/>
        <v>0.65899696509164585</v>
      </c>
      <c r="T7">
        <f t="shared" si="6"/>
        <v>3.8983716003730684E-3</v>
      </c>
      <c r="U7" s="5">
        <f t="shared" si="7"/>
        <v>1.7983716003730685E-3</v>
      </c>
    </row>
    <row r="8" spans="1:21" x14ac:dyDescent="0.2">
      <c r="A8" t="s">
        <v>8</v>
      </c>
      <c r="B8" t="s">
        <v>9</v>
      </c>
      <c r="C8">
        <v>1475</v>
      </c>
      <c r="D8" t="s">
        <v>10</v>
      </c>
      <c r="E8">
        <v>0.2</v>
      </c>
      <c r="F8">
        <v>4439</v>
      </c>
      <c r="G8" s="10">
        <v>2.2996200000000001E-6</v>
      </c>
      <c r="H8" s="5">
        <v>2.7000000000000001E-3</v>
      </c>
      <c r="I8" s="5">
        <f t="shared" si="1"/>
        <v>2.7000000000000001E-3</v>
      </c>
      <c r="J8" s="1">
        <f t="shared" si="2"/>
        <v>0</v>
      </c>
      <c r="K8" s="7">
        <f t="shared" si="3"/>
        <v>0</v>
      </c>
      <c r="M8">
        <f t="shared" si="8"/>
        <v>1.1490950876185005E-5</v>
      </c>
      <c r="N8" s="9">
        <f t="shared" si="9"/>
        <v>7.5671683609892749E-3</v>
      </c>
      <c r="Q8" s="10">
        <f t="shared" si="4"/>
        <v>2.2996200000000005E-6</v>
      </c>
      <c r="R8" s="11">
        <f t="shared" si="5"/>
        <v>0</v>
      </c>
      <c r="S8" s="6">
        <f t="shared" si="0"/>
        <v>0.7480469236618783</v>
      </c>
      <c r="T8">
        <f t="shared" si="6"/>
        <v>4.4251567722233135E-3</v>
      </c>
      <c r="U8" s="5">
        <f t="shared" si="7"/>
        <v>1.7251567722233133E-3</v>
      </c>
    </row>
    <row r="9" spans="1:21" x14ac:dyDescent="0.2">
      <c r="A9" t="s">
        <v>8</v>
      </c>
      <c r="B9" t="s">
        <v>9</v>
      </c>
      <c r="C9">
        <v>1500</v>
      </c>
      <c r="D9" t="s">
        <v>10</v>
      </c>
      <c r="E9">
        <v>0.15</v>
      </c>
      <c r="F9">
        <v>3355</v>
      </c>
      <c r="G9" s="10">
        <v>1.16739E-6</v>
      </c>
      <c r="H9" s="5">
        <v>1.4E-3</v>
      </c>
      <c r="I9" s="5">
        <f t="shared" si="1"/>
        <v>1.4E-3</v>
      </c>
      <c r="J9" s="1">
        <f t="shared" si="2"/>
        <v>0</v>
      </c>
      <c r="K9" s="7">
        <f t="shared" si="3"/>
        <v>0</v>
      </c>
      <c r="M9">
        <f t="shared" si="8"/>
        <v>7.7777777777777775E-6</v>
      </c>
      <c r="N9" s="9">
        <f t="shared" si="9"/>
        <v>7.5409958661040105E-3</v>
      </c>
      <c r="Q9" s="10">
        <f t="shared" si="4"/>
        <v>1.16739E-6</v>
      </c>
      <c r="R9" s="11">
        <f t="shared" si="5"/>
        <v>0</v>
      </c>
      <c r="S9" s="6">
        <f t="shared" si="0"/>
        <v>0.53297739164058355</v>
      </c>
      <c r="T9">
        <f t="shared" si="6"/>
        <v>3.1528884612141064E-3</v>
      </c>
      <c r="U9" s="5">
        <f t="shared" si="7"/>
        <v>1.7528884612141064E-3</v>
      </c>
    </row>
    <row r="10" spans="1:21" x14ac:dyDescent="0.2">
      <c r="A10" t="s">
        <v>8</v>
      </c>
      <c r="B10" t="s">
        <v>9</v>
      </c>
      <c r="C10">
        <v>1510</v>
      </c>
      <c r="D10" t="s">
        <v>10</v>
      </c>
      <c r="E10">
        <v>0.2</v>
      </c>
      <c r="F10">
        <v>1822</v>
      </c>
      <c r="G10" s="10">
        <v>8.7770100000000001E-7</v>
      </c>
      <c r="H10" s="5">
        <v>1E-3</v>
      </c>
      <c r="I10" s="5">
        <f t="shared" si="1"/>
        <v>1E-3</v>
      </c>
      <c r="J10" s="1">
        <f t="shared" si="2"/>
        <v>0</v>
      </c>
      <c r="K10" s="7">
        <f t="shared" si="3"/>
        <v>0</v>
      </c>
      <c r="M10">
        <f t="shared" si="8"/>
        <v>4.3857725538353577E-6</v>
      </c>
      <c r="N10" s="9">
        <f t="shared" si="9"/>
        <v>7.5777777806840365E-3</v>
      </c>
      <c r="Q10" s="10">
        <f t="shared" si="4"/>
        <v>8.7770100000000001E-7</v>
      </c>
      <c r="R10" s="11">
        <f t="shared" si="5"/>
        <v>0</v>
      </c>
      <c r="S10" s="6">
        <f t="shared" si="0"/>
        <v>0.46214057385172314</v>
      </c>
      <c r="T10">
        <f t="shared" si="6"/>
        <v>2.7338451979564498E-3</v>
      </c>
      <c r="U10" s="5">
        <f t="shared" si="7"/>
        <v>1.7338451979564498E-3</v>
      </c>
    </row>
    <row r="11" spans="1:21" x14ac:dyDescent="0.2">
      <c r="A11" t="s">
        <v>8</v>
      </c>
      <c r="B11" t="s">
        <v>9</v>
      </c>
      <c r="C11">
        <v>1520</v>
      </c>
      <c r="D11" t="s">
        <v>10</v>
      </c>
      <c r="E11">
        <v>0.2</v>
      </c>
      <c r="F11">
        <v>1371</v>
      </c>
      <c r="G11" s="10">
        <v>6.4964300000000002E-7</v>
      </c>
      <c r="H11" s="5">
        <v>8.0000000000000004E-4</v>
      </c>
      <c r="I11" s="5">
        <f t="shared" si="1"/>
        <v>8.0000000000000004E-4</v>
      </c>
      <c r="J11" s="1">
        <f t="shared" si="2"/>
        <v>0</v>
      </c>
      <c r="K11" s="7">
        <f t="shared" si="3"/>
        <v>0</v>
      </c>
      <c r="M11">
        <f t="shared" si="8"/>
        <v>3.2461911357340719E-6</v>
      </c>
      <c r="N11" s="9">
        <f t="shared" si="9"/>
        <v>7.5830436793108734E-3</v>
      </c>
      <c r="Q11" s="10">
        <f t="shared" si="4"/>
        <v>6.4964300000000002E-7</v>
      </c>
      <c r="R11" s="11">
        <f t="shared" si="5"/>
        <v>0</v>
      </c>
      <c r="S11" s="6">
        <f t="shared" si="0"/>
        <v>0.39759250076764108</v>
      </c>
      <c r="T11">
        <f t="shared" si="6"/>
        <v>2.3520037202270391E-3</v>
      </c>
      <c r="U11" s="5">
        <f t="shared" si="7"/>
        <v>1.5520037202270392E-3</v>
      </c>
    </row>
    <row r="12" spans="1:21" x14ac:dyDescent="0.2">
      <c r="A12" t="s">
        <v>8</v>
      </c>
      <c r="B12" t="s">
        <v>9</v>
      </c>
      <c r="C12">
        <v>1525</v>
      </c>
      <c r="D12" t="s">
        <v>10</v>
      </c>
      <c r="E12">
        <v>0.15</v>
      </c>
      <c r="F12">
        <v>926</v>
      </c>
      <c r="G12" s="10">
        <v>3.2269500000000002E-7</v>
      </c>
      <c r="H12" s="5">
        <v>4.0000000000000002E-4</v>
      </c>
      <c r="I12" s="5">
        <f t="shared" si="1"/>
        <v>4.0000000000000002E-4</v>
      </c>
      <c r="J12" s="1">
        <f t="shared" si="2"/>
        <v>0</v>
      </c>
      <c r="K12" s="7">
        <f t="shared" si="3"/>
        <v>0</v>
      </c>
      <c r="M12">
        <f t="shared" si="8"/>
        <v>2.1499596882558451E-6</v>
      </c>
      <c r="N12" s="9">
        <f t="shared" si="9"/>
        <v>7.5824888196770997E-3</v>
      </c>
      <c r="Q12" s="10">
        <f t="shared" si="4"/>
        <v>3.2269500000000007E-7</v>
      </c>
      <c r="R12" s="11">
        <f t="shared" si="5"/>
        <v>0</v>
      </c>
      <c r="S12" s="6">
        <f t="shared" si="0"/>
        <v>0.28021857540141765</v>
      </c>
      <c r="T12">
        <f t="shared" si="6"/>
        <v>1.6576648969695447E-3</v>
      </c>
      <c r="U12" s="5">
        <f t="shared" si="7"/>
        <v>1.2576648969695448E-3</v>
      </c>
    </row>
    <row r="13" spans="1:21" x14ac:dyDescent="0.2">
      <c r="A13" t="s">
        <v>8</v>
      </c>
      <c r="B13" t="s">
        <v>9</v>
      </c>
      <c r="C13">
        <v>1530</v>
      </c>
      <c r="D13" t="s">
        <v>10</v>
      </c>
      <c r="E13">
        <v>0.25</v>
      </c>
      <c r="F13">
        <v>1499</v>
      </c>
      <c r="G13" s="10">
        <v>8.0147299999999997E-7</v>
      </c>
      <c r="H13" s="5">
        <v>8.9999999999999998E-4</v>
      </c>
      <c r="I13" s="5">
        <f t="shared" si="1"/>
        <v>8.9999999999999998E-4</v>
      </c>
      <c r="J13" s="1">
        <f t="shared" si="2"/>
        <v>0</v>
      </c>
      <c r="K13" s="7">
        <f t="shared" si="3"/>
        <v>0</v>
      </c>
      <c r="M13">
        <f t="shared" si="8"/>
        <v>3.2038959374599515E-6</v>
      </c>
      <c r="N13" s="9">
        <f t="shared" si="9"/>
        <v>7.5776074318111607E-3</v>
      </c>
      <c r="Q13" s="10">
        <f t="shared" si="4"/>
        <v>8.0147299999999997E-7</v>
      </c>
      <c r="R13" s="11">
        <f t="shared" si="5"/>
        <v>0</v>
      </c>
      <c r="S13" s="6">
        <f t="shared" si="0"/>
        <v>0.44161645878144828</v>
      </c>
      <c r="T13">
        <f t="shared" si="6"/>
        <v>2.6124324577602616E-3</v>
      </c>
      <c r="U13" s="5">
        <f t="shared" si="7"/>
        <v>1.7124324577602616E-3</v>
      </c>
    </row>
    <row r="14" spans="1:21" x14ac:dyDescent="0.2">
      <c r="A14" t="s">
        <v>8</v>
      </c>
      <c r="B14" t="s">
        <v>9</v>
      </c>
      <c r="C14">
        <v>1540</v>
      </c>
      <c r="D14" t="s">
        <v>10</v>
      </c>
      <c r="E14">
        <v>0.25</v>
      </c>
      <c r="F14">
        <v>1996</v>
      </c>
      <c r="G14" s="10">
        <v>1.0548E-6</v>
      </c>
      <c r="H14" s="5">
        <v>1.1999999999999999E-3</v>
      </c>
      <c r="I14" s="5">
        <f t="shared" si="1"/>
        <v>1.1999999999999999E-3</v>
      </c>
      <c r="J14" s="1">
        <f t="shared" si="2"/>
        <v>0</v>
      </c>
      <c r="K14" s="7">
        <f t="shared" si="3"/>
        <v>0</v>
      </c>
      <c r="M14">
        <f t="shared" si="8"/>
        <v>4.2165626581210997E-6</v>
      </c>
      <c r="N14" s="9">
        <f t="shared" si="9"/>
        <v>7.6075304326344313E-3</v>
      </c>
      <c r="Q14" s="10">
        <f t="shared" si="4"/>
        <v>1.0548E-6</v>
      </c>
      <c r="R14" s="11">
        <f t="shared" si="5"/>
        <v>0</v>
      </c>
      <c r="S14" s="6">
        <f t="shared" si="0"/>
        <v>0.50662412102070309</v>
      </c>
      <c r="T14">
        <f t="shared" si="6"/>
        <v>2.9969926874798512E-3</v>
      </c>
      <c r="U14" s="5">
        <f t="shared" si="7"/>
        <v>1.7969926874798513E-3</v>
      </c>
    </row>
    <row r="15" spans="1:21" x14ac:dyDescent="0.2">
      <c r="A15" t="s">
        <v>8</v>
      </c>
      <c r="B15" t="s">
        <v>9</v>
      </c>
      <c r="C15">
        <v>1550</v>
      </c>
      <c r="D15" t="s">
        <v>10</v>
      </c>
      <c r="E15">
        <v>0.25</v>
      </c>
      <c r="F15">
        <v>1969</v>
      </c>
      <c r="G15" s="10">
        <v>1.0412300000000001E-6</v>
      </c>
      <c r="H15" s="5">
        <v>1.1999999999999999E-3</v>
      </c>
      <c r="I15" s="5">
        <f t="shared" si="1"/>
        <v>1.1999999999999999E-3</v>
      </c>
      <c r="J15" s="1">
        <f t="shared" si="2"/>
        <v>0</v>
      </c>
      <c r="K15" s="7">
        <f t="shared" si="3"/>
        <v>0</v>
      </c>
      <c r="M15">
        <f t="shared" si="8"/>
        <v>4.1623309053069721E-6</v>
      </c>
      <c r="N15" s="9">
        <f t="shared" si="9"/>
        <v>7.5656788709195979E-3</v>
      </c>
      <c r="Q15" s="10">
        <f t="shared" si="4"/>
        <v>1.0412300000000001E-6</v>
      </c>
      <c r="R15" s="11">
        <f t="shared" si="5"/>
        <v>0</v>
      </c>
      <c r="S15" s="6">
        <f t="shared" si="0"/>
        <v>0.50335471257023778</v>
      </c>
      <c r="T15">
        <f t="shared" si="6"/>
        <v>2.9776521294371579E-3</v>
      </c>
      <c r="U15" s="5">
        <f t="shared" si="7"/>
        <v>1.777652129437158E-3</v>
      </c>
    </row>
    <row r="16" spans="1:21" x14ac:dyDescent="0.2">
      <c r="A16" t="s">
        <v>8</v>
      </c>
      <c r="B16" t="s">
        <v>9</v>
      </c>
      <c r="C16">
        <v>1560</v>
      </c>
      <c r="D16" t="s">
        <v>10</v>
      </c>
      <c r="E16">
        <v>0.25</v>
      </c>
      <c r="F16">
        <v>1945</v>
      </c>
      <c r="G16" s="10">
        <v>1.0279200000000001E-6</v>
      </c>
      <c r="H16" s="5">
        <v>1.1999999999999999E-3</v>
      </c>
      <c r="I16" s="5">
        <f t="shared" si="1"/>
        <v>1.1999999999999999E-3</v>
      </c>
      <c r="J16" s="1">
        <f t="shared" si="2"/>
        <v>0</v>
      </c>
      <c r="K16" s="7">
        <f t="shared" si="3"/>
        <v>0</v>
      </c>
      <c r="M16">
        <f t="shared" si="8"/>
        <v>4.1091387245233398E-6</v>
      </c>
      <c r="N16" s="9">
        <f t="shared" si="9"/>
        <v>7.5220859755331443E-3</v>
      </c>
      <c r="Q16" s="10">
        <f t="shared" si="4"/>
        <v>1.0279200000000001E-6</v>
      </c>
      <c r="R16" s="11">
        <f t="shared" si="5"/>
        <v>0</v>
      </c>
      <c r="S16" s="6">
        <f t="shared" si="0"/>
        <v>0.5001271838242749</v>
      </c>
      <c r="T16">
        <f t="shared" si="6"/>
        <v>2.9585593155561415E-3</v>
      </c>
      <c r="U16" s="5">
        <f t="shared" si="7"/>
        <v>1.7585593155561416E-3</v>
      </c>
    </row>
    <row r="17" spans="1:21" x14ac:dyDescent="0.2">
      <c r="A17" t="s">
        <v>8</v>
      </c>
      <c r="B17" t="s">
        <v>9</v>
      </c>
      <c r="C17">
        <v>1570</v>
      </c>
      <c r="D17" t="s">
        <v>10</v>
      </c>
      <c r="E17">
        <v>0.25</v>
      </c>
      <c r="F17">
        <v>1445</v>
      </c>
      <c r="G17" s="10">
        <v>7.6115400000000001E-7</v>
      </c>
      <c r="H17" s="5">
        <v>8.9999999999999998E-4</v>
      </c>
      <c r="I17" s="5">
        <f t="shared" si="1"/>
        <v>8.9999999999999998E-4</v>
      </c>
      <c r="J17" s="1">
        <f t="shared" si="2"/>
        <v>0</v>
      </c>
      <c r="K17" s="7">
        <f t="shared" si="3"/>
        <v>0</v>
      </c>
      <c r="M17">
        <f t="shared" si="8"/>
        <v>3.042719785792527E-6</v>
      </c>
      <c r="N17" s="9">
        <f t="shared" si="9"/>
        <v>7.579869995335547E-3</v>
      </c>
      <c r="Q17" s="10">
        <f t="shared" si="4"/>
        <v>7.6115400000000012E-7</v>
      </c>
      <c r="R17" s="11">
        <f t="shared" si="5"/>
        <v>0</v>
      </c>
      <c r="S17" s="6">
        <f t="shared" si="0"/>
        <v>0.43036512405165922</v>
      </c>
      <c r="T17">
        <f t="shared" si="6"/>
        <v>2.5458739057481121E-3</v>
      </c>
      <c r="U17" s="5">
        <f t="shared" si="7"/>
        <v>1.6458739057481121E-3</v>
      </c>
    </row>
    <row r="18" spans="1:21" x14ac:dyDescent="0.2">
      <c r="A18" t="s">
        <v>8</v>
      </c>
      <c r="B18" t="s">
        <v>9</v>
      </c>
      <c r="C18">
        <v>1575</v>
      </c>
      <c r="D18" t="s">
        <v>10</v>
      </c>
      <c r="E18">
        <v>0.2</v>
      </c>
      <c r="F18">
        <v>957</v>
      </c>
      <c r="G18" s="10">
        <v>4.0337500000000002E-7</v>
      </c>
      <c r="H18" s="5">
        <v>5.0000000000000001E-4</v>
      </c>
      <c r="I18" s="5">
        <f t="shared" si="1"/>
        <v>5.0000000000000001E-4</v>
      </c>
      <c r="J18" s="1">
        <f t="shared" si="2"/>
        <v>0</v>
      </c>
      <c r="K18" s="7">
        <f t="shared" si="3"/>
        <v>0</v>
      </c>
      <c r="M18">
        <f t="shared" si="8"/>
        <v>2.0156210632401111E-6</v>
      </c>
      <c r="N18" s="9">
        <f t="shared" si="9"/>
        <v>7.5666439997077607E-3</v>
      </c>
      <c r="Q18" s="10">
        <f t="shared" si="4"/>
        <v>4.0337500000000002E-7</v>
      </c>
      <c r="R18" s="11">
        <f t="shared" si="5"/>
        <v>0</v>
      </c>
      <c r="S18" s="6">
        <f t="shared" si="0"/>
        <v>0.31329631873568725</v>
      </c>
      <c r="T18">
        <f t="shared" si="6"/>
        <v>1.8533400548980997E-3</v>
      </c>
      <c r="U18" s="5">
        <f t="shared" si="7"/>
        <v>1.3533400548980997E-3</v>
      </c>
    </row>
    <row r="19" spans="1:21" x14ac:dyDescent="0.2">
      <c r="A19" t="s">
        <v>8</v>
      </c>
      <c r="B19" t="s">
        <v>9</v>
      </c>
      <c r="C19">
        <v>1580</v>
      </c>
      <c r="D19" t="s">
        <v>10</v>
      </c>
      <c r="E19">
        <v>0.25</v>
      </c>
      <c r="F19">
        <v>1405</v>
      </c>
      <c r="G19" s="10">
        <v>7.5155000000000003E-7</v>
      </c>
      <c r="H19" s="5">
        <v>8.9999999999999998E-4</v>
      </c>
      <c r="I19" s="5">
        <f t="shared" si="1"/>
        <v>8.9999999999999998E-4</v>
      </c>
      <c r="J19" s="1">
        <f t="shared" si="2"/>
        <v>0</v>
      </c>
      <c r="K19" s="7">
        <f t="shared" si="3"/>
        <v>0</v>
      </c>
      <c r="M19">
        <f t="shared" si="8"/>
        <v>3.0043262297708702E-6</v>
      </c>
      <c r="N19" s="9">
        <f t="shared" si="9"/>
        <v>7.5858710717759204E-3</v>
      </c>
      <c r="Q19" s="10">
        <f t="shared" si="4"/>
        <v>7.5154999999999992E-7</v>
      </c>
      <c r="R19" s="11">
        <f t="shared" si="5"/>
        <v>0</v>
      </c>
      <c r="S19" s="6">
        <f t="shared" si="0"/>
        <v>0.42764139961732739</v>
      </c>
      <c r="T19">
        <f t="shared" si="6"/>
        <v>2.5297614036509822E-3</v>
      </c>
      <c r="U19" s="5">
        <f t="shared" si="7"/>
        <v>1.6297614036509822E-3</v>
      </c>
    </row>
    <row r="20" spans="1:21" x14ac:dyDescent="0.2">
      <c r="A20" t="s">
        <v>8</v>
      </c>
      <c r="B20" t="s">
        <v>9</v>
      </c>
      <c r="C20">
        <v>1590</v>
      </c>
      <c r="D20" t="s">
        <v>10</v>
      </c>
      <c r="E20">
        <v>0.3</v>
      </c>
      <c r="F20">
        <v>1747</v>
      </c>
      <c r="G20" s="10">
        <v>1.1874000000000001E-6</v>
      </c>
      <c r="H20" s="5">
        <v>1.4E-3</v>
      </c>
      <c r="I20" s="5">
        <f t="shared" si="1"/>
        <v>1.4E-3</v>
      </c>
      <c r="J20" s="1">
        <f t="shared" si="2"/>
        <v>0</v>
      </c>
      <c r="K20" s="7">
        <f t="shared" si="3"/>
        <v>0</v>
      </c>
      <c r="M20">
        <f t="shared" si="8"/>
        <v>3.955539733396622E-6</v>
      </c>
      <c r="N20" s="9">
        <f t="shared" si="9"/>
        <v>7.5650709157384227E-3</v>
      </c>
      <c r="Q20" s="10">
        <f t="shared" si="4"/>
        <v>1.1874000000000001E-6</v>
      </c>
      <c r="R20" s="11">
        <f t="shared" si="5"/>
        <v>0</v>
      </c>
      <c r="S20" s="6">
        <f t="shared" si="0"/>
        <v>0.53752581333364813</v>
      </c>
      <c r="T20">
        <f t="shared" si="6"/>
        <v>3.1797951677606192E-3</v>
      </c>
      <c r="U20" s="5">
        <f t="shared" si="7"/>
        <v>1.7797951677606192E-3</v>
      </c>
    </row>
    <row r="21" spans="1:21" x14ac:dyDescent="0.2">
      <c r="A21" t="s">
        <v>8</v>
      </c>
      <c r="B21" t="s">
        <v>9</v>
      </c>
      <c r="C21">
        <v>1600</v>
      </c>
      <c r="D21" t="s">
        <v>10</v>
      </c>
      <c r="E21">
        <v>0.25</v>
      </c>
      <c r="F21">
        <v>1654</v>
      </c>
      <c r="G21" s="10">
        <v>9.7717099999999998E-7</v>
      </c>
      <c r="H21" s="5">
        <v>1.1999999999999999E-3</v>
      </c>
      <c r="I21" s="5">
        <f t="shared" si="1"/>
        <v>1.1999999999999999E-3</v>
      </c>
      <c r="J21" s="1">
        <f t="shared" si="2"/>
        <v>0</v>
      </c>
      <c r="K21" s="7">
        <f t="shared" si="3"/>
        <v>0</v>
      </c>
      <c r="M21">
        <f t="shared" si="8"/>
        <v>3.9062500000000001E-6</v>
      </c>
      <c r="N21" s="9">
        <f t="shared" si="9"/>
        <v>7.5787377408986448E-3</v>
      </c>
      <c r="Q21" s="10">
        <f t="shared" si="4"/>
        <v>9.7717099999999998E-7</v>
      </c>
      <c r="R21" s="11">
        <f t="shared" si="5"/>
        <v>0</v>
      </c>
      <c r="S21" s="6">
        <f t="shared" si="0"/>
        <v>0.48762513949412678</v>
      </c>
      <c r="T21">
        <f t="shared" si="6"/>
        <v>2.884602048459355E-3</v>
      </c>
      <c r="U21" s="5">
        <f t="shared" si="7"/>
        <v>1.6846020484593551E-3</v>
      </c>
    </row>
    <row r="22" spans="1:21" x14ac:dyDescent="0.2">
      <c r="A22" t="s">
        <v>8</v>
      </c>
      <c r="B22" t="s">
        <v>9</v>
      </c>
      <c r="C22">
        <v>1610</v>
      </c>
      <c r="D22" t="s">
        <v>10</v>
      </c>
      <c r="E22">
        <v>0.3</v>
      </c>
      <c r="F22">
        <v>1965</v>
      </c>
      <c r="G22" s="10">
        <v>1.1580800000000001E-6</v>
      </c>
      <c r="H22" s="5">
        <v>1.4E-3</v>
      </c>
      <c r="I22" s="5">
        <f t="shared" si="1"/>
        <v>1.4E-3</v>
      </c>
      <c r="J22" s="1">
        <f t="shared" si="2"/>
        <v>0</v>
      </c>
      <c r="K22" s="7">
        <f t="shared" si="3"/>
        <v>0</v>
      </c>
      <c r="M22">
        <f t="shared" si="8"/>
        <v>3.8578758535550322E-6</v>
      </c>
      <c r="N22" s="9">
        <f t="shared" si="9"/>
        <v>7.5376237341377821E-3</v>
      </c>
      <c r="Q22" s="10">
        <f t="shared" si="4"/>
        <v>1.1580800000000001E-6</v>
      </c>
      <c r="R22" s="11">
        <f t="shared" si="5"/>
        <v>0</v>
      </c>
      <c r="S22" s="6">
        <f t="shared" si="0"/>
        <v>0.53084787525869093</v>
      </c>
      <c r="T22">
        <f t="shared" si="6"/>
        <v>3.1402910645257241E-3</v>
      </c>
      <c r="U22" s="5">
        <f t="shared" si="7"/>
        <v>1.7402910645257241E-3</v>
      </c>
    </row>
    <row r="23" spans="1:21" x14ac:dyDescent="0.2">
      <c r="A23" t="s">
        <v>8</v>
      </c>
      <c r="B23" t="s">
        <v>9</v>
      </c>
      <c r="C23">
        <v>1620</v>
      </c>
      <c r="D23" t="s">
        <v>10</v>
      </c>
      <c r="E23">
        <v>0.3</v>
      </c>
      <c r="F23">
        <v>1406</v>
      </c>
      <c r="G23" s="10">
        <v>8.5787299999999997E-7</v>
      </c>
      <c r="H23" s="5">
        <v>1E-3</v>
      </c>
      <c r="I23" s="5">
        <f t="shared" si="1"/>
        <v>1E-3</v>
      </c>
      <c r="J23" s="1">
        <f t="shared" si="2"/>
        <v>0</v>
      </c>
      <c r="K23" s="7">
        <f t="shared" si="3"/>
        <v>0</v>
      </c>
      <c r="M23">
        <f t="shared" si="8"/>
        <v>2.8577960676726109E-6</v>
      </c>
      <c r="N23" s="9">
        <f t="shared" si="9"/>
        <v>7.5782902863685622E-3</v>
      </c>
      <c r="Q23" s="10">
        <f t="shared" si="4"/>
        <v>8.5787300000000007E-7</v>
      </c>
      <c r="R23" s="11">
        <f t="shared" si="5"/>
        <v>0</v>
      </c>
      <c r="S23" s="6">
        <f t="shared" si="0"/>
        <v>0.45689068349734013</v>
      </c>
      <c r="T23">
        <f t="shared" si="6"/>
        <v>2.7027888736534189E-3</v>
      </c>
      <c r="U23" s="5">
        <f t="shared" si="7"/>
        <v>1.7027888736534189E-3</v>
      </c>
    </row>
    <row r="24" spans="1:21" x14ac:dyDescent="0.2">
      <c r="A24" t="s">
        <v>8</v>
      </c>
      <c r="B24" t="s">
        <v>9</v>
      </c>
      <c r="C24">
        <v>1625</v>
      </c>
      <c r="D24" t="s">
        <v>10</v>
      </c>
      <c r="E24">
        <v>0.3</v>
      </c>
      <c r="F24">
        <v>1039</v>
      </c>
      <c r="G24" s="10">
        <v>5.6840099999999996E-7</v>
      </c>
      <c r="H24" s="5">
        <v>6.9999999999999999E-4</v>
      </c>
      <c r="I24" s="5">
        <f t="shared" si="1"/>
        <v>6.9999999999999999E-4</v>
      </c>
      <c r="J24" s="1">
        <f t="shared" si="2"/>
        <v>0</v>
      </c>
      <c r="K24" s="7">
        <f t="shared" si="3"/>
        <v>0</v>
      </c>
      <c r="M24">
        <f t="shared" si="8"/>
        <v>1.893491124260355E-6</v>
      </c>
      <c r="N24" s="9">
        <f t="shared" si="9"/>
        <v>7.57253356349653E-3</v>
      </c>
      <c r="Q24" s="10">
        <f t="shared" si="4"/>
        <v>5.6840099999999996E-7</v>
      </c>
      <c r="R24" s="11">
        <f t="shared" si="5"/>
        <v>0</v>
      </c>
      <c r="S24" s="6">
        <f t="shared" si="0"/>
        <v>0.37190174777755475</v>
      </c>
      <c r="T24">
        <f t="shared" si="6"/>
        <v>2.2000271449861743E-3</v>
      </c>
      <c r="U24" s="5">
        <f t="shared" si="7"/>
        <v>1.5000271449861742E-3</v>
      </c>
    </row>
    <row r="25" spans="1:21" x14ac:dyDescent="0.2">
      <c r="A25" t="s">
        <v>8</v>
      </c>
      <c r="B25" t="s">
        <v>9</v>
      </c>
      <c r="C25">
        <v>1630</v>
      </c>
      <c r="D25" t="s">
        <v>10</v>
      </c>
      <c r="E25">
        <v>0.3</v>
      </c>
      <c r="F25">
        <v>1390</v>
      </c>
      <c r="G25" s="10">
        <v>8.4737899999999998E-7</v>
      </c>
      <c r="H25" s="5">
        <v>1E-3</v>
      </c>
      <c r="I25" s="5">
        <f t="shared" si="1"/>
        <v>1E-3</v>
      </c>
      <c r="J25" s="1">
        <f t="shared" si="2"/>
        <v>0</v>
      </c>
      <c r="K25" s="7">
        <f t="shared" si="3"/>
        <v>0</v>
      </c>
      <c r="M25">
        <f t="shared" si="8"/>
        <v>2.8228386465429635E-6</v>
      </c>
      <c r="N25" s="9">
        <f t="shared" si="9"/>
        <v>7.5748527758299298E-3</v>
      </c>
      <c r="Q25" s="10">
        <f t="shared" si="4"/>
        <v>8.4737899999999998E-7</v>
      </c>
      <c r="R25" s="11">
        <f t="shared" si="5"/>
        <v>0</v>
      </c>
      <c r="S25" s="6">
        <f t="shared" si="0"/>
        <v>0.45408760902128414</v>
      </c>
      <c r="T25">
        <f t="shared" si="6"/>
        <v>2.6862069673472683E-3</v>
      </c>
      <c r="U25" s="5">
        <f t="shared" si="7"/>
        <v>1.6862069673472682E-3</v>
      </c>
    </row>
    <row r="26" spans="1:21" x14ac:dyDescent="0.2">
      <c r="A26" t="s">
        <v>8</v>
      </c>
      <c r="B26" t="s">
        <v>9</v>
      </c>
      <c r="C26">
        <v>1640</v>
      </c>
      <c r="D26" t="s">
        <v>10</v>
      </c>
      <c r="E26">
        <v>0.35</v>
      </c>
      <c r="F26">
        <v>1758</v>
      </c>
      <c r="G26" s="10">
        <v>1.3021199999999999E-6</v>
      </c>
      <c r="H26" s="5">
        <v>1.5E-3</v>
      </c>
      <c r="I26" s="5">
        <f t="shared" si="1"/>
        <v>1.5E-3</v>
      </c>
      <c r="J26" s="1">
        <f t="shared" si="2"/>
        <v>0</v>
      </c>
      <c r="K26" s="7">
        <f t="shared" si="3"/>
        <v>0</v>
      </c>
      <c r="M26">
        <f t="shared" si="8"/>
        <v>3.7180249851279E-6</v>
      </c>
      <c r="N26" s="9">
        <f t="shared" si="9"/>
        <v>7.5825174803791813E-3</v>
      </c>
      <c r="Q26" s="10">
        <f t="shared" si="4"/>
        <v>1.3021199999999999E-6</v>
      </c>
      <c r="R26" s="11">
        <f t="shared" si="5"/>
        <v>0</v>
      </c>
      <c r="S26" s="6">
        <f t="shared" si="0"/>
        <v>0.56289359562887187</v>
      </c>
      <c r="T26">
        <f t="shared" si="6"/>
        <v>3.3298611730727895E-3</v>
      </c>
      <c r="U26" s="5">
        <f t="shared" si="7"/>
        <v>1.8298611730727895E-3</v>
      </c>
    </row>
    <row r="27" spans="1:21" x14ac:dyDescent="0.2">
      <c r="A27" t="s">
        <v>8</v>
      </c>
      <c r="B27" t="s">
        <v>9</v>
      </c>
      <c r="C27">
        <v>1650</v>
      </c>
      <c r="D27" t="s">
        <v>10</v>
      </c>
      <c r="E27">
        <v>0.35</v>
      </c>
      <c r="F27">
        <v>1735</v>
      </c>
      <c r="G27" s="10">
        <v>1.28638E-6</v>
      </c>
      <c r="H27" s="5">
        <v>1.5E-3</v>
      </c>
      <c r="I27" s="5">
        <f t="shared" si="1"/>
        <v>1.5E-3</v>
      </c>
      <c r="J27" s="1">
        <f t="shared" si="2"/>
        <v>0</v>
      </c>
      <c r="K27" s="7">
        <f t="shared" si="3"/>
        <v>0</v>
      </c>
      <c r="M27">
        <f t="shared" si="8"/>
        <v>3.6730945821854914E-6</v>
      </c>
      <c r="N27" s="9">
        <f t="shared" si="9"/>
        <v>7.5394325495449655E-3</v>
      </c>
      <c r="Q27" s="10">
        <f t="shared" si="4"/>
        <v>1.28638E-6</v>
      </c>
      <c r="R27" s="11">
        <f t="shared" si="5"/>
        <v>0</v>
      </c>
      <c r="S27" s="6">
        <f t="shared" si="0"/>
        <v>0.55948112866595723</v>
      </c>
      <c r="T27">
        <f t="shared" si="6"/>
        <v>3.309674336106723E-3</v>
      </c>
      <c r="U27" s="5">
        <f t="shared" si="7"/>
        <v>1.809674336106723E-3</v>
      </c>
    </row>
    <row r="28" spans="1:21" x14ac:dyDescent="0.2">
      <c r="A28" t="s">
        <v>8</v>
      </c>
      <c r="B28" t="s">
        <v>9</v>
      </c>
      <c r="C28">
        <v>1660</v>
      </c>
      <c r="D28" t="s">
        <v>10</v>
      </c>
      <c r="E28">
        <v>0.4</v>
      </c>
      <c r="F28">
        <v>1716</v>
      </c>
      <c r="G28" s="10">
        <v>1.45249E-6</v>
      </c>
      <c r="H28" s="5">
        <v>1.6999999999999999E-3</v>
      </c>
      <c r="I28" s="5">
        <f t="shared" si="1"/>
        <v>1.6999999999999999E-3</v>
      </c>
      <c r="J28" s="1">
        <f t="shared" si="2"/>
        <v>0</v>
      </c>
      <c r="K28" s="7">
        <f t="shared" si="3"/>
        <v>0</v>
      </c>
      <c r="M28">
        <f t="shared" si="8"/>
        <v>3.628973726230222E-6</v>
      </c>
      <c r="N28" s="9">
        <f t="shared" si="9"/>
        <v>7.545385310521545E-3</v>
      </c>
      <c r="Q28" s="10">
        <f t="shared" si="4"/>
        <v>1.45249E-6</v>
      </c>
      <c r="R28" s="11">
        <f t="shared" si="5"/>
        <v>0</v>
      </c>
      <c r="S28" s="6">
        <f t="shared" si="0"/>
        <v>0.59450755532064803</v>
      </c>
      <c r="T28">
        <f t="shared" si="6"/>
        <v>3.5168771521533909E-3</v>
      </c>
      <c r="U28" s="5">
        <f t="shared" si="7"/>
        <v>1.816877152153391E-3</v>
      </c>
    </row>
    <row r="29" spans="1:21" x14ac:dyDescent="0.2">
      <c r="A29" t="s">
        <v>8</v>
      </c>
      <c r="B29" t="s">
        <v>9</v>
      </c>
      <c r="C29">
        <v>1670</v>
      </c>
      <c r="D29" t="s">
        <v>10</v>
      </c>
      <c r="E29">
        <v>0.35</v>
      </c>
      <c r="F29">
        <v>1285</v>
      </c>
      <c r="G29" s="10">
        <v>9.41818E-7</v>
      </c>
      <c r="H29" s="5">
        <v>1.1000000000000001E-3</v>
      </c>
      <c r="I29" s="5">
        <f t="shared" si="1"/>
        <v>1.1000000000000001E-3</v>
      </c>
      <c r="J29" s="1">
        <f t="shared" si="2"/>
        <v>0</v>
      </c>
      <c r="K29" s="7">
        <f t="shared" si="3"/>
        <v>0</v>
      </c>
      <c r="M29">
        <f t="shared" si="8"/>
        <v>2.6892323138154829E-6</v>
      </c>
      <c r="N29" s="9">
        <f t="shared" si="9"/>
        <v>7.5813881906914302E-3</v>
      </c>
      <c r="Q29" s="10">
        <f t="shared" si="4"/>
        <v>9.4181799999999989E-7</v>
      </c>
      <c r="R29" s="11">
        <f t="shared" si="5"/>
        <v>0</v>
      </c>
      <c r="S29" s="6">
        <f t="shared" si="0"/>
        <v>0.47872300272008378</v>
      </c>
      <c r="T29">
        <f t="shared" si="6"/>
        <v>2.8319404445053221E-3</v>
      </c>
      <c r="U29" s="5">
        <f t="shared" si="7"/>
        <v>1.731940444505322E-3</v>
      </c>
    </row>
    <row r="30" spans="1:21" x14ac:dyDescent="0.2">
      <c r="A30" t="s">
        <v>8</v>
      </c>
      <c r="B30" t="s">
        <v>9</v>
      </c>
      <c r="C30">
        <v>1675</v>
      </c>
      <c r="D30" t="s">
        <v>10</v>
      </c>
      <c r="E30">
        <v>0.35</v>
      </c>
      <c r="F30">
        <v>841</v>
      </c>
      <c r="G30" s="10">
        <v>6.2413600000000002E-7</v>
      </c>
      <c r="H30" s="5">
        <v>6.9999999999999999E-4</v>
      </c>
      <c r="I30" s="5">
        <f t="shared" si="1"/>
        <v>6.9999999999999999E-4</v>
      </c>
      <c r="J30" s="1">
        <f t="shared" si="2"/>
        <v>0</v>
      </c>
      <c r="K30" s="7">
        <f t="shared" si="3"/>
        <v>0</v>
      </c>
      <c r="M30">
        <f t="shared" si="8"/>
        <v>1.7821341055914458E-6</v>
      </c>
      <c r="N30" s="9">
        <f t="shared" si="9"/>
        <v>7.586609880807409E-3</v>
      </c>
      <c r="Q30" s="10">
        <f t="shared" si="4"/>
        <v>6.2413600000000002E-7</v>
      </c>
      <c r="R30" s="11">
        <f t="shared" si="5"/>
        <v>0</v>
      </c>
      <c r="S30" s="6">
        <f t="shared" si="0"/>
        <v>0.38970898544084576</v>
      </c>
      <c r="T30">
        <f t="shared" si="6"/>
        <v>2.3053678874553197E-3</v>
      </c>
      <c r="U30" s="5">
        <f t="shared" si="7"/>
        <v>1.6053678874553196E-3</v>
      </c>
    </row>
    <row r="31" spans="1:21" x14ac:dyDescent="0.2">
      <c r="A31" t="s">
        <v>8</v>
      </c>
      <c r="B31" t="s">
        <v>9</v>
      </c>
      <c r="C31">
        <v>1680</v>
      </c>
      <c r="D31" t="s">
        <v>10</v>
      </c>
      <c r="E31">
        <v>0.35</v>
      </c>
      <c r="F31">
        <v>1242</v>
      </c>
      <c r="G31" s="10">
        <v>9.3063900000000005E-7</v>
      </c>
      <c r="H31" s="5">
        <v>1.1000000000000001E-3</v>
      </c>
      <c r="I31" s="5">
        <f t="shared" si="1"/>
        <v>1.1000000000000001E-3</v>
      </c>
      <c r="J31" s="1">
        <f t="shared" si="2"/>
        <v>0</v>
      </c>
      <c r="K31" s="7">
        <f t="shared" si="3"/>
        <v>0</v>
      </c>
      <c r="M31">
        <f t="shared" si="8"/>
        <v>2.6573129251700678E-6</v>
      </c>
      <c r="N31" s="9">
        <f t="shared" si="9"/>
        <v>7.5781151954624143E-3</v>
      </c>
      <c r="Q31" s="10">
        <f t="shared" si="4"/>
        <v>9.3063900000000005E-7</v>
      </c>
      <c r="R31" s="11">
        <f t="shared" si="5"/>
        <v>0</v>
      </c>
      <c r="S31" s="6">
        <f t="shared" si="0"/>
        <v>0.47587339702908377</v>
      </c>
      <c r="T31">
        <f t="shared" si="6"/>
        <v>2.8150832774977153E-3</v>
      </c>
      <c r="U31" s="5">
        <f t="shared" si="7"/>
        <v>1.7150832774977152E-3</v>
      </c>
    </row>
    <row r="32" spans="1:21" x14ac:dyDescent="0.2">
      <c r="A32" t="s">
        <v>8</v>
      </c>
      <c r="B32" t="s">
        <v>9</v>
      </c>
      <c r="C32">
        <v>1690</v>
      </c>
      <c r="D32" t="s">
        <v>10</v>
      </c>
      <c r="E32">
        <v>0.4</v>
      </c>
      <c r="F32">
        <v>1657</v>
      </c>
      <c r="G32" s="10">
        <v>1.4013799999999999E-6</v>
      </c>
      <c r="H32" s="5">
        <v>1.6999999999999999E-3</v>
      </c>
      <c r="I32" s="5">
        <f t="shared" si="1"/>
        <v>1.6999999999999999E-3</v>
      </c>
      <c r="J32" s="1">
        <f t="shared" si="2"/>
        <v>0</v>
      </c>
      <c r="K32" s="7">
        <f t="shared" si="3"/>
        <v>0</v>
      </c>
      <c r="M32">
        <f t="shared" si="8"/>
        <v>3.5012779664577571E-6</v>
      </c>
      <c r="N32" s="9">
        <f t="shared" si="9"/>
        <v>7.5453062762166154E-3</v>
      </c>
      <c r="Q32" s="10">
        <f t="shared" si="4"/>
        <v>1.4013799999999999E-6</v>
      </c>
      <c r="R32" s="11">
        <f t="shared" si="5"/>
        <v>0</v>
      </c>
      <c r="S32" s="6">
        <f t="shared" si="0"/>
        <v>0.58395416486798568</v>
      </c>
      <c r="T32">
        <f t="shared" si="6"/>
        <v>3.4544473690016802E-3</v>
      </c>
      <c r="U32" s="5">
        <f t="shared" si="7"/>
        <v>1.7544473690016802E-3</v>
      </c>
    </row>
    <row r="33" spans="1:21" x14ac:dyDescent="0.2">
      <c r="A33" t="s">
        <v>8</v>
      </c>
      <c r="B33" t="s">
        <v>9</v>
      </c>
      <c r="C33">
        <v>1700</v>
      </c>
      <c r="D33" t="s">
        <v>10</v>
      </c>
      <c r="E33">
        <v>0.35</v>
      </c>
      <c r="F33">
        <v>1534</v>
      </c>
      <c r="G33" s="10">
        <v>1.21183E-6</v>
      </c>
      <c r="H33" s="5">
        <v>1.4E-3</v>
      </c>
      <c r="I33" s="5">
        <f t="shared" si="1"/>
        <v>1.4E-3</v>
      </c>
      <c r="J33" s="1">
        <f t="shared" si="2"/>
        <v>0</v>
      </c>
      <c r="K33" s="7">
        <f t="shared" si="3"/>
        <v>0</v>
      </c>
      <c r="M33">
        <f t="shared" si="8"/>
        <v>3.4602076124567473E-6</v>
      </c>
      <c r="N33" s="9">
        <f t="shared" si="9"/>
        <v>7.605960176589815E-3</v>
      </c>
      <c r="Q33" s="10">
        <f t="shared" si="4"/>
        <v>1.21183E-6</v>
      </c>
      <c r="R33" s="11">
        <f t="shared" si="5"/>
        <v>0</v>
      </c>
      <c r="S33" s="6">
        <f t="shared" si="0"/>
        <v>0.54302728599337746</v>
      </c>
      <c r="T33">
        <f t="shared" si="6"/>
        <v>3.2123397558437151E-3</v>
      </c>
      <c r="U33" s="5">
        <f t="shared" si="7"/>
        <v>1.8123397558437151E-3</v>
      </c>
    </row>
    <row r="34" spans="1:21" x14ac:dyDescent="0.2">
      <c r="A34" t="s">
        <v>8</v>
      </c>
      <c r="B34" t="s">
        <v>9</v>
      </c>
      <c r="C34">
        <v>1710</v>
      </c>
      <c r="D34" t="s">
        <v>10</v>
      </c>
      <c r="E34">
        <v>0.45</v>
      </c>
      <c r="F34">
        <v>1618</v>
      </c>
      <c r="G34" s="10">
        <v>1.53989E-6</v>
      </c>
      <c r="H34" s="5">
        <v>1.8E-3</v>
      </c>
      <c r="I34" s="5">
        <f t="shared" si="1"/>
        <v>1.8E-3</v>
      </c>
      <c r="J34" s="1">
        <f t="shared" si="2"/>
        <v>0</v>
      </c>
      <c r="K34" s="7">
        <f t="shared" si="3"/>
        <v>0</v>
      </c>
      <c r="M34">
        <f t="shared" ref="M34:M97" si="10">(C35-C33)/2/C34^2</f>
        <v>3.4198556820902158E-6</v>
      </c>
      <c r="N34" s="9">
        <f t="shared" ref="N34:N97" si="11">1/$H$211*(LN(G34/(E34*M34)))</f>
        <v>7.5473429292669501E-3</v>
      </c>
      <c r="Q34" s="10">
        <f t="shared" si="4"/>
        <v>1.53989E-6</v>
      </c>
      <c r="R34" s="11">
        <f t="shared" si="5"/>
        <v>0</v>
      </c>
      <c r="S34" s="6">
        <f t="shared" si="0"/>
        <v>0.61213280149544891</v>
      </c>
      <c r="T34">
        <f t="shared" si="6"/>
        <v>3.6211413032453043E-3</v>
      </c>
      <c r="U34" s="5">
        <f t="shared" si="7"/>
        <v>1.8211413032453044E-3</v>
      </c>
    </row>
    <row r="35" spans="1:21" x14ac:dyDescent="0.2">
      <c r="A35" t="s">
        <v>8</v>
      </c>
      <c r="B35" t="s">
        <v>9</v>
      </c>
      <c r="C35">
        <v>1720</v>
      </c>
      <c r="D35" t="s">
        <v>10</v>
      </c>
      <c r="E35">
        <v>0.4</v>
      </c>
      <c r="F35">
        <v>1281</v>
      </c>
      <c r="G35" s="10">
        <v>1.0146899999999999E-6</v>
      </c>
      <c r="H35" s="5">
        <v>1.1999999999999999E-3</v>
      </c>
      <c r="I35" s="5">
        <f t="shared" si="1"/>
        <v>1.1999999999999999E-3</v>
      </c>
      <c r="J35" s="1">
        <f t="shared" si="2"/>
        <v>0</v>
      </c>
      <c r="K35" s="7">
        <f t="shared" si="3"/>
        <v>0</v>
      </c>
      <c r="M35">
        <f t="shared" si="10"/>
        <v>2.5351541373715521E-6</v>
      </c>
      <c r="N35" s="9">
        <f t="shared" si="11"/>
        <v>7.5365213061714701E-3</v>
      </c>
      <c r="Q35" s="10">
        <f t="shared" si="4"/>
        <v>1.0146899999999997E-6</v>
      </c>
      <c r="R35" s="11">
        <f t="shared" si="5"/>
        <v>0</v>
      </c>
      <c r="S35" s="6">
        <f t="shared" si="0"/>
        <v>0.49689827932887831</v>
      </c>
      <c r="T35">
        <f t="shared" si="6"/>
        <v>2.9394583632726657E-3</v>
      </c>
      <c r="U35" s="5">
        <f t="shared" si="7"/>
        <v>1.7394583632726658E-3</v>
      </c>
    </row>
    <row r="36" spans="1:21" x14ac:dyDescent="0.2">
      <c r="A36" t="s">
        <v>8</v>
      </c>
      <c r="B36" t="s">
        <v>9</v>
      </c>
      <c r="C36">
        <v>1725</v>
      </c>
      <c r="D36" t="s">
        <v>10</v>
      </c>
      <c r="E36">
        <v>0.4</v>
      </c>
      <c r="F36">
        <v>850</v>
      </c>
      <c r="G36" s="10">
        <v>6.7254700000000005E-7</v>
      </c>
      <c r="H36" s="5">
        <v>8.0000000000000004E-4</v>
      </c>
      <c r="I36" s="5">
        <f t="shared" si="1"/>
        <v>8.0000000000000004E-4</v>
      </c>
      <c r="J36" s="1">
        <f t="shared" si="2"/>
        <v>0</v>
      </c>
      <c r="K36" s="7">
        <f t="shared" si="3"/>
        <v>0</v>
      </c>
      <c r="M36">
        <f t="shared" si="10"/>
        <v>1.6803192606595253E-6</v>
      </c>
      <c r="N36" s="9">
        <f t="shared" si="11"/>
        <v>7.587607034090638E-3</v>
      </c>
      <c r="Q36" s="10">
        <f t="shared" si="4"/>
        <v>6.7254700000000015E-7</v>
      </c>
      <c r="R36" s="11">
        <f t="shared" si="5"/>
        <v>0</v>
      </c>
      <c r="S36" s="6">
        <f t="shared" si="0"/>
        <v>0.40454060776803774</v>
      </c>
      <c r="T36">
        <f t="shared" si="6"/>
        <v>2.3931060385099963E-3</v>
      </c>
      <c r="U36" s="5">
        <f t="shared" si="7"/>
        <v>1.5931060385099964E-3</v>
      </c>
    </row>
    <row r="37" spans="1:21" x14ac:dyDescent="0.2">
      <c r="A37" t="s">
        <v>8</v>
      </c>
      <c r="B37" t="s">
        <v>9</v>
      </c>
      <c r="C37">
        <v>1730</v>
      </c>
      <c r="D37" t="s">
        <v>10</v>
      </c>
      <c r="E37">
        <v>0.4</v>
      </c>
      <c r="F37">
        <v>1195</v>
      </c>
      <c r="G37" s="10">
        <v>1.003E-6</v>
      </c>
      <c r="H37" s="5">
        <v>1.1999999999999999E-3</v>
      </c>
      <c r="I37" s="5">
        <f t="shared" si="1"/>
        <v>1.1999999999999999E-3</v>
      </c>
      <c r="J37" s="1">
        <f t="shared" si="2"/>
        <v>0</v>
      </c>
      <c r="K37" s="7">
        <f t="shared" si="3"/>
        <v>0</v>
      </c>
      <c r="M37">
        <f t="shared" si="10"/>
        <v>2.5059307026629691E-6</v>
      </c>
      <c r="N37" s="9">
        <f t="shared" si="11"/>
        <v>7.616787527942012E-3</v>
      </c>
      <c r="Q37" s="10">
        <f t="shared" si="4"/>
        <v>1.003E-6</v>
      </c>
      <c r="R37" s="11">
        <f t="shared" si="5"/>
        <v>0</v>
      </c>
      <c r="S37" s="6">
        <f t="shared" si="0"/>
        <v>0.49402766454251662</v>
      </c>
      <c r="T37">
        <f t="shared" si="6"/>
        <v>2.9224769145687144E-3</v>
      </c>
      <c r="U37" s="5">
        <f t="shared" si="7"/>
        <v>1.7224769145687145E-3</v>
      </c>
    </row>
    <row r="38" spans="1:21" x14ac:dyDescent="0.2">
      <c r="A38" t="s">
        <v>8</v>
      </c>
      <c r="B38" t="s">
        <v>9</v>
      </c>
      <c r="C38">
        <v>1740</v>
      </c>
      <c r="D38" t="s">
        <v>10</v>
      </c>
      <c r="E38">
        <v>0.45</v>
      </c>
      <c r="F38">
        <v>1563</v>
      </c>
      <c r="G38" s="10">
        <v>1.48725E-6</v>
      </c>
      <c r="H38" s="5">
        <v>1.8E-3</v>
      </c>
      <c r="I38" s="5">
        <f t="shared" si="1"/>
        <v>1.8E-3</v>
      </c>
      <c r="J38" s="1">
        <f t="shared" si="2"/>
        <v>0</v>
      </c>
      <c r="K38" s="7">
        <f t="shared" si="3"/>
        <v>0</v>
      </c>
      <c r="M38">
        <f t="shared" si="10"/>
        <v>3.3029462280354074E-6</v>
      </c>
      <c r="N38" s="9">
        <f t="shared" si="11"/>
        <v>7.5628822768308759E-3</v>
      </c>
      <c r="Q38" s="10">
        <f t="shared" si="4"/>
        <v>1.4872499999999998E-6</v>
      </c>
      <c r="R38" s="11">
        <f t="shared" si="5"/>
        <v>0</v>
      </c>
      <c r="S38" s="6">
        <f t="shared" si="0"/>
        <v>0.60157917184689835</v>
      </c>
      <c r="T38">
        <f t="shared" si="6"/>
        <v>3.5587101051030748E-3</v>
      </c>
      <c r="U38" s="5">
        <f t="shared" si="7"/>
        <v>1.7587101051030748E-3</v>
      </c>
    </row>
    <row r="39" spans="1:21" x14ac:dyDescent="0.2">
      <c r="A39" t="s">
        <v>8</v>
      </c>
      <c r="B39" t="s">
        <v>9</v>
      </c>
      <c r="C39">
        <v>1750</v>
      </c>
      <c r="D39" t="s">
        <v>10</v>
      </c>
      <c r="E39">
        <v>0.4</v>
      </c>
      <c r="F39">
        <v>1482</v>
      </c>
      <c r="G39" s="10">
        <v>1.30694E-6</v>
      </c>
      <c r="H39" s="5">
        <v>1.5E-3</v>
      </c>
      <c r="I39" s="5">
        <f t="shared" si="1"/>
        <v>1.5E-3</v>
      </c>
      <c r="J39" s="1">
        <f t="shared" si="2"/>
        <v>0</v>
      </c>
      <c r="K39" s="7">
        <f t="shared" si="3"/>
        <v>0</v>
      </c>
      <c r="M39">
        <f t="shared" si="10"/>
        <v>3.2653061224489794E-6</v>
      </c>
      <c r="N39" s="9">
        <f t="shared" si="11"/>
        <v>7.6131904744512532E-3</v>
      </c>
      <c r="Q39" s="10">
        <f t="shared" si="4"/>
        <v>1.30694E-6</v>
      </c>
      <c r="R39" s="11">
        <f t="shared" si="5"/>
        <v>0</v>
      </c>
      <c r="S39" s="6">
        <f t="shared" si="0"/>
        <v>0.56393445245583873</v>
      </c>
      <c r="T39">
        <f t="shared" si="6"/>
        <v>3.3360184801762261E-3</v>
      </c>
      <c r="U39" s="5">
        <f t="shared" si="7"/>
        <v>1.8360184801762261E-3</v>
      </c>
    </row>
    <row r="40" spans="1:21" x14ac:dyDescent="0.2">
      <c r="A40" t="s">
        <v>8</v>
      </c>
      <c r="B40" t="s">
        <v>9</v>
      </c>
      <c r="C40">
        <v>1760</v>
      </c>
      <c r="D40" t="s">
        <v>10</v>
      </c>
      <c r="E40">
        <v>0.5</v>
      </c>
      <c r="F40">
        <v>1528</v>
      </c>
      <c r="G40" s="10">
        <v>1.61516E-6</v>
      </c>
      <c r="H40" s="5">
        <v>1.9E-3</v>
      </c>
      <c r="I40" s="5">
        <f t="shared" si="1"/>
        <v>1.9E-3</v>
      </c>
      <c r="J40" s="1">
        <f t="shared" si="2"/>
        <v>0</v>
      </c>
      <c r="K40" s="7">
        <f t="shared" si="3"/>
        <v>0</v>
      </c>
      <c r="M40">
        <f t="shared" si="10"/>
        <v>3.2283057851239669E-6</v>
      </c>
      <c r="N40" s="9">
        <f t="shared" si="11"/>
        <v>7.588698463586614E-3</v>
      </c>
      <c r="Q40" s="10">
        <f t="shared" si="4"/>
        <v>1.61516E-6</v>
      </c>
      <c r="R40" s="11">
        <f t="shared" si="5"/>
        <v>0</v>
      </c>
      <c r="S40" s="6">
        <f t="shared" si="0"/>
        <v>0.62691487992124306</v>
      </c>
      <c r="T40">
        <f t="shared" si="6"/>
        <v>3.7085863717086919E-3</v>
      </c>
      <c r="U40" s="5">
        <f t="shared" si="7"/>
        <v>1.8085863717086919E-3</v>
      </c>
    </row>
    <row r="41" spans="1:21" x14ac:dyDescent="0.2">
      <c r="A41" t="s">
        <v>8</v>
      </c>
      <c r="B41" t="s">
        <v>9</v>
      </c>
      <c r="C41">
        <v>1770</v>
      </c>
      <c r="D41" t="s">
        <v>10</v>
      </c>
      <c r="E41">
        <v>0.5</v>
      </c>
      <c r="F41">
        <v>1215</v>
      </c>
      <c r="G41" s="10">
        <v>1.1977199999999999E-6</v>
      </c>
      <c r="H41" s="5">
        <v>1.4E-3</v>
      </c>
      <c r="I41" s="5">
        <f t="shared" si="1"/>
        <v>1.4E-3</v>
      </c>
      <c r="J41" s="1">
        <f t="shared" si="2"/>
        <v>0</v>
      </c>
      <c r="K41" s="7">
        <f t="shared" si="3"/>
        <v>0</v>
      </c>
      <c r="M41">
        <f t="shared" si="10"/>
        <v>2.3939480992052091E-6</v>
      </c>
      <c r="N41" s="9">
        <f t="shared" si="11"/>
        <v>7.5798661044239948E-3</v>
      </c>
      <c r="Q41" s="10">
        <f t="shared" si="4"/>
        <v>1.1977199999999999E-6</v>
      </c>
      <c r="R41" s="11">
        <f t="shared" si="5"/>
        <v>0</v>
      </c>
      <c r="S41" s="6">
        <f t="shared" si="0"/>
        <v>0.539856647638982</v>
      </c>
      <c r="T41">
        <f t="shared" si="6"/>
        <v>3.1935834835532806E-3</v>
      </c>
      <c r="U41" s="5">
        <f t="shared" si="7"/>
        <v>1.7935834835532806E-3</v>
      </c>
    </row>
    <row r="42" spans="1:21" x14ac:dyDescent="0.2">
      <c r="A42" t="s">
        <v>8</v>
      </c>
      <c r="B42" t="s">
        <v>9</v>
      </c>
      <c r="C42">
        <v>1775</v>
      </c>
      <c r="D42" t="s">
        <v>10</v>
      </c>
      <c r="E42">
        <v>0.5</v>
      </c>
      <c r="F42">
        <v>796</v>
      </c>
      <c r="G42" s="10">
        <v>7.9398800000000003E-7</v>
      </c>
      <c r="H42" s="5">
        <v>8.9999999999999998E-4</v>
      </c>
      <c r="I42" s="5">
        <f t="shared" si="1"/>
        <v>8.9999999999999998E-4</v>
      </c>
      <c r="J42" s="1">
        <f t="shared" si="2"/>
        <v>0</v>
      </c>
      <c r="K42" s="7">
        <f t="shared" si="3"/>
        <v>0</v>
      </c>
      <c r="M42">
        <f t="shared" si="10"/>
        <v>1.5869867089863123E-6</v>
      </c>
      <c r="N42" s="9">
        <f t="shared" si="11"/>
        <v>7.5820571720939516E-3</v>
      </c>
      <c r="Q42" s="10">
        <f t="shared" si="4"/>
        <v>7.9398800000000003E-7</v>
      </c>
      <c r="R42" s="11">
        <f t="shared" si="5"/>
        <v>0</v>
      </c>
      <c r="S42" s="6">
        <f t="shared" si="0"/>
        <v>0.43954948147696254</v>
      </c>
      <c r="T42">
        <f t="shared" si="6"/>
        <v>2.6002050181068753E-3</v>
      </c>
      <c r="U42" s="5">
        <f t="shared" si="7"/>
        <v>1.7002050181068754E-3</v>
      </c>
    </row>
    <row r="43" spans="1:21" x14ac:dyDescent="0.2">
      <c r="A43" t="s">
        <v>8</v>
      </c>
      <c r="B43" t="s">
        <v>9</v>
      </c>
      <c r="C43">
        <v>1780</v>
      </c>
      <c r="D43" t="s">
        <v>10</v>
      </c>
      <c r="E43">
        <v>0.5</v>
      </c>
      <c r="F43">
        <v>792</v>
      </c>
      <c r="G43" s="10">
        <v>7.8953400000000001E-7</v>
      </c>
      <c r="H43" s="5">
        <v>8.9999999999999998E-4</v>
      </c>
      <c r="I43" s="5">
        <f t="shared" si="1"/>
        <v>8.9999999999999998E-4</v>
      </c>
      <c r="J43" s="1">
        <f t="shared" si="2"/>
        <v>0</v>
      </c>
      <c r="K43" s="7">
        <f t="shared" si="3"/>
        <v>0</v>
      </c>
      <c r="M43">
        <f t="shared" si="10"/>
        <v>1.5780835753061482E-6</v>
      </c>
      <c r="N43" s="9">
        <f t="shared" si="11"/>
        <v>7.5873249737942704E-3</v>
      </c>
      <c r="Q43" s="10">
        <f t="shared" si="4"/>
        <v>7.8953400000000001E-7</v>
      </c>
      <c r="R43" s="11">
        <f t="shared" si="5"/>
        <v>0</v>
      </c>
      <c r="S43" s="6">
        <f t="shared" si="0"/>
        <v>0.43831488681084052</v>
      </c>
      <c r="T43">
        <f t="shared" si="6"/>
        <v>2.592901632751052E-3</v>
      </c>
      <c r="U43" s="5">
        <f t="shared" si="7"/>
        <v>1.692901632751052E-3</v>
      </c>
    </row>
    <row r="44" spans="1:21" x14ac:dyDescent="0.2">
      <c r="A44" t="s">
        <v>8</v>
      </c>
      <c r="B44" t="s">
        <v>9</v>
      </c>
      <c r="C44">
        <v>1785</v>
      </c>
      <c r="D44" t="s">
        <v>10</v>
      </c>
      <c r="E44">
        <v>0.5</v>
      </c>
      <c r="F44">
        <v>786</v>
      </c>
      <c r="G44" s="10">
        <v>7.8511699999999995E-7</v>
      </c>
      <c r="H44" s="5">
        <v>8.9999999999999998E-4</v>
      </c>
      <c r="I44" s="5">
        <f t="shared" si="1"/>
        <v>8.9999999999999998E-4</v>
      </c>
      <c r="J44" s="1">
        <f t="shared" si="2"/>
        <v>0</v>
      </c>
      <c r="K44" s="7">
        <f t="shared" si="3"/>
        <v>0</v>
      </c>
      <c r="M44">
        <f t="shared" si="10"/>
        <v>1.5692551530416088E-6</v>
      </c>
      <c r="N44" s="9">
        <f t="shared" si="11"/>
        <v>7.5867789094205707E-3</v>
      </c>
      <c r="Q44" s="10">
        <f t="shared" si="4"/>
        <v>7.8511699999999984E-7</v>
      </c>
      <c r="R44" s="11">
        <f t="shared" si="5"/>
        <v>0</v>
      </c>
      <c r="S44" s="6">
        <f t="shared" si="0"/>
        <v>0.43708710420998081</v>
      </c>
      <c r="T44">
        <f t="shared" si="6"/>
        <v>2.5856385449431166E-3</v>
      </c>
      <c r="U44" s="5">
        <f t="shared" si="7"/>
        <v>1.6856385449431166E-3</v>
      </c>
    </row>
    <row r="45" spans="1:21" x14ac:dyDescent="0.2">
      <c r="A45" t="s">
        <v>8</v>
      </c>
      <c r="B45" t="s">
        <v>9</v>
      </c>
      <c r="C45">
        <v>1790</v>
      </c>
      <c r="D45" t="s">
        <v>10</v>
      </c>
      <c r="E45">
        <v>0.5</v>
      </c>
      <c r="F45">
        <v>784</v>
      </c>
      <c r="G45" s="10">
        <v>7.8073699999999996E-7</v>
      </c>
      <c r="H45" s="5">
        <v>8.9999999999999998E-4</v>
      </c>
      <c r="I45" s="5">
        <f t="shared" si="1"/>
        <v>8.9999999999999998E-4</v>
      </c>
      <c r="J45" s="1">
        <f t="shared" si="2"/>
        <v>0</v>
      </c>
      <c r="K45" s="7">
        <f t="shared" si="3"/>
        <v>0</v>
      </c>
      <c r="M45">
        <f t="shared" si="10"/>
        <v>1.5605006085952374E-6</v>
      </c>
      <c r="N45" s="9">
        <f t="shared" si="11"/>
        <v>7.5868196423467199E-3</v>
      </c>
      <c r="Q45" s="10">
        <f t="shared" si="4"/>
        <v>7.8073699999999996E-7</v>
      </c>
      <c r="R45" s="11">
        <f t="shared" si="5"/>
        <v>0</v>
      </c>
      <c r="S45" s="6">
        <f t="shared" si="0"/>
        <v>0.43586619124069104</v>
      </c>
      <c r="T45">
        <f t="shared" si="6"/>
        <v>2.5784160952231176E-3</v>
      </c>
      <c r="U45" s="5">
        <f t="shared" si="7"/>
        <v>1.6784160952231177E-3</v>
      </c>
    </row>
    <row r="46" spans="1:21" x14ac:dyDescent="0.2">
      <c r="A46" t="s">
        <v>8</v>
      </c>
      <c r="B46" t="s">
        <v>9</v>
      </c>
      <c r="C46">
        <v>1795</v>
      </c>
      <c r="D46" t="s">
        <v>10</v>
      </c>
      <c r="E46">
        <v>0.5</v>
      </c>
      <c r="F46">
        <v>789</v>
      </c>
      <c r="G46" s="10">
        <v>7.7639300000000001E-7</v>
      </c>
      <c r="H46" s="5">
        <v>8.9999999999999998E-4</v>
      </c>
      <c r="I46" s="5">
        <f t="shared" si="1"/>
        <v>8.9999999999999998E-4</v>
      </c>
      <c r="J46" s="1">
        <f t="shared" si="2"/>
        <v>0</v>
      </c>
      <c r="K46" s="7">
        <f t="shared" si="3"/>
        <v>0</v>
      </c>
      <c r="M46">
        <f t="shared" si="10"/>
        <v>1.5518191199633771E-6</v>
      </c>
      <c r="N46" s="9">
        <f t="shared" si="11"/>
        <v>7.5782310715970334E-3</v>
      </c>
      <c r="Q46" s="10">
        <f t="shared" si="4"/>
        <v>7.7639300000000012E-7</v>
      </c>
      <c r="R46" s="11">
        <f t="shared" si="5"/>
        <v>0</v>
      </c>
      <c r="S46" s="6">
        <f t="shared" si="0"/>
        <v>0.43465192587479312</v>
      </c>
      <c r="T46">
        <f t="shared" si="6"/>
        <v>2.5712329701580807E-3</v>
      </c>
      <c r="U46" s="5">
        <f t="shared" si="7"/>
        <v>1.6712329701580807E-3</v>
      </c>
    </row>
    <row r="47" spans="1:21" x14ac:dyDescent="0.2">
      <c r="A47" t="s">
        <v>8</v>
      </c>
      <c r="B47" t="s">
        <v>9</v>
      </c>
      <c r="C47">
        <v>1800</v>
      </c>
      <c r="D47" t="s">
        <v>10</v>
      </c>
      <c r="E47">
        <v>0.5</v>
      </c>
      <c r="F47">
        <v>820</v>
      </c>
      <c r="G47" s="10">
        <v>7.7208600000000002E-7</v>
      </c>
      <c r="H47" s="5">
        <v>8.9999999999999998E-4</v>
      </c>
      <c r="I47" s="5">
        <f t="shared" si="1"/>
        <v>8.9999999999999998E-4</v>
      </c>
      <c r="J47" s="1">
        <f t="shared" si="2"/>
        <v>0</v>
      </c>
      <c r="K47" s="7">
        <f t="shared" si="3"/>
        <v>0</v>
      </c>
      <c r="M47">
        <f t="shared" si="10"/>
        <v>1.5432098765432098E-6</v>
      </c>
      <c r="N47" s="9">
        <f t="shared" si="11"/>
        <v>7.5830177399279644E-3</v>
      </c>
      <c r="Q47" s="10">
        <f t="shared" si="4"/>
        <v>7.7208600000000002E-7</v>
      </c>
      <c r="R47" s="11">
        <f t="shared" si="5"/>
        <v>0</v>
      </c>
      <c r="S47" s="6">
        <f t="shared" si="0"/>
        <v>0.43344464467795651</v>
      </c>
      <c r="T47">
        <f t="shared" si="6"/>
        <v>2.5640911607405551E-3</v>
      </c>
      <c r="U47" s="5">
        <f t="shared" si="7"/>
        <v>1.6640911607405551E-3</v>
      </c>
    </row>
    <row r="48" spans="1:21" x14ac:dyDescent="0.2">
      <c r="A48" t="s">
        <v>8</v>
      </c>
      <c r="B48" t="s">
        <v>9</v>
      </c>
      <c r="C48">
        <v>1805</v>
      </c>
      <c r="D48" t="s">
        <v>10</v>
      </c>
      <c r="E48">
        <v>0.5</v>
      </c>
      <c r="F48">
        <v>814</v>
      </c>
      <c r="G48" s="10">
        <v>7.6781400000000005E-7</v>
      </c>
      <c r="H48" s="5">
        <v>8.9999999999999998E-4</v>
      </c>
      <c r="I48" s="5">
        <f t="shared" si="1"/>
        <v>8.9999999999999998E-4</v>
      </c>
      <c r="J48" s="1">
        <f t="shared" si="2"/>
        <v>0</v>
      </c>
      <c r="K48" s="7">
        <f t="shared" si="3"/>
        <v>0</v>
      </c>
      <c r="M48">
        <f t="shared" si="10"/>
        <v>1.5346720789435316E-6</v>
      </c>
      <c r="N48" s="9">
        <f t="shared" si="11"/>
        <v>7.5760498521041716E-3</v>
      </c>
      <c r="Q48" s="10">
        <f t="shared" si="4"/>
        <v>7.6781400000000005E-7</v>
      </c>
      <c r="R48" s="11">
        <f t="shared" si="5"/>
        <v>0</v>
      </c>
      <c r="S48" s="6">
        <f t="shared" si="0"/>
        <v>0.43224384321815396</v>
      </c>
      <c r="T48">
        <f t="shared" si="6"/>
        <v>2.5569876829454339E-3</v>
      </c>
      <c r="U48" s="5">
        <f t="shared" si="7"/>
        <v>1.6569876829454339E-3</v>
      </c>
    </row>
    <row r="49" spans="1:21" x14ac:dyDescent="0.2">
      <c r="A49" t="s">
        <v>8</v>
      </c>
      <c r="B49" t="s">
        <v>9</v>
      </c>
      <c r="C49">
        <v>1810</v>
      </c>
      <c r="D49" t="s">
        <v>10</v>
      </c>
      <c r="E49">
        <v>0.5</v>
      </c>
      <c r="F49">
        <v>811</v>
      </c>
      <c r="G49" s="10">
        <v>7.6357800000000001E-7</v>
      </c>
      <c r="H49" s="5">
        <v>8.9999999999999998E-4</v>
      </c>
      <c r="I49" s="5">
        <f t="shared" si="1"/>
        <v>8.9999999999999998E-4</v>
      </c>
      <c r="J49" s="1">
        <f t="shared" si="2"/>
        <v>0</v>
      </c>
      <c r="K49" s="7">
        <f t="shared" si="3"/>
        <v>0</v>
      </c>
      <c r="M49">
        <f t="shared" si="10"/>
        <v>1.526204938799182E-6</v>
      </c>
      <c r="N49" s="9">
        <f t="shared" si="11"/>
        <v>7.5793495863059231E-3</v>
      </c>
      <c r="Q49" s="10">
        <f t="shared" si="4"/>
        <v>7.635779999999999E-7</v>
      </c>
      <c r="R49" s="11">
        <f t="shared" si="5"/>
        <v>0</v>
      </c>
      <c r="S49" s="6">
        <f t="shared" si="0"/>
        <v>0.43104985790509204</v>
      </c>
      <c r="T49">
        <f t="shared" si="6"/>
        <v>2.5499245268426501E-3</v>
      </c>
      <c r="U49" s="5">
        <f t="shared" si="7"/>
        <v>1.6499245268426501E-3</v>
      </c>
    </row>
    <row r="50" spans="1:21" x14ac:dyDescent="0.2">
      <c r="A50" t="s">
        <v>8</v>
      </c>
      <c r="B50" t="s">
        <v>9</v>
      </c>
      <c r="C50">
        <v>1815</v>
      </c>
      <c r="D50" t="s">
        <v>10</v>
      </c>
      <c r="E50">
        <v>0.5</v>
      </c>
      <c r="F50">
        <v>809</v>
      </c>
      <c r="G50" s="10">
        <v>7.5937699999999998E-7</v>
      </c>
      <c r="H50" s="5">
        <v>8.9999999999999998E-4</v>
      </c>
      <c r="I50" s="5">
        <f t="shared" si="1"/>
        <v>8.9999999999999998E-4</v>
      </c>
      <c r="J50" s="1">
        <f t="shared" si="2"/>
        <v>0</v>
      </c>
      <c r="K50" s="7">
        <f t="shared" si="3"/>
        <v>0</v>
      </c>
      <c r="M50">
        <f t="shared" si="10"/>
        <v>1.517807678589046E-6</v>
      </c>
      <c r="N50" s="9">
        <f t="shared" si="11"/>
        <v>7.5832989795831312E-3</v>
      </c>
      <c r="Q50" s="10">
        <f t="shared" si="4"/>
        <v>7.5937699999999998E-7</v>
      </c>
      <c r="R50" s="11">
        <f t="shared" si="5"/>
        <v>0</v>
      </c>
      <c r="S50" s="6">
        <f t="shared" si="0"/>
        <v>0.4298624625001195</v>
      </c>
      <c r="T50">
        <f t="shared" si="6"/>
        <v>2.5429003540916955E-3</v>
      </c>
      <c r="U50" s="5">
        <f t="shared" si="7"/>
        <v>1.6429003540916955E-3</v>
      </c>
    </row>
    <row r="51" spans="1:21" x14ac:dyDescent="0.2">
      <c r="A51" t="s">
        <v>8</v>
      </c>
      <c r="B51" t="s">
        <v>9</v>
      </c>
      <c r="C51">
        <v>1820</v>
      </c>
      <c r="D51" t="s">
        <v>10</v>
      </c>
      <c r="E51">
        <v>0.5</v>
      </c>
      <c r="F51">
        <v>987</v>
      </c>
      <c r="G51" s="10">
        <v>7.5521000000000005E-7</v>
      </c>
      <c r="H51" s="5">
        <v>8.9999999999999998E-4</v>
      </c>
      <c r="I51" s="5">
        <f t="shared" si="1"/>
        <v>8.9999999999999998E-4</v>
      </c>
      <c r="J51" s="1">
        <f t="shared" si="2"/>
        <v>0</v>
      </c>
      <c r="K51" s="7">
        <f t="shared" si="3"/>
        <v>0</v>
      </c>
      <c r="M51">
        <f t="shared" si="10"/>
        <v>1.5094795314575535E-6</v>
      </c>
      <c r="N51" s="9">
        <f t="shared" si="11"/>
        <v>7.5779790136402811E-3</v>
      </c>
      <c r="Q51" s="10">
        <f t="shared" si="4"/>
        <v>7.5520999999999994E-7</v>
      </c>
      <c r="R51" s="11">
        <f t="shared" si="5"/>
        <v>0</v>
      </c>
      <c r="S51" s="6">
        <f t="shared" si="0"/>
        <v>0.42868142794698572</v>
      </c>
      <c r="T51">
        <f t="shared" si="6"/>
        <v>2.5359138096842327E-3</v>
      </c>
      <c r="U51" s="5">
        <f t="shared" si="7"/>
        <v>1.6359138096842328E-3</v>
      </c>
    </row>
    <row r="52" spans="1:21" x14ac:dyDescent="0.2">
      <c r="A52" t="s">
        <v>8</v>
      </c>
      <c r="B52" t="s">
        <v>9</v>
      </c>
      <c r="C52">
        <v>1825</v>
      </c>
      <c r="D52" t="s">
        <v>10</v>
      </c>
      <c r="E52">
        <v>0.5</v>
      </c>
      <c r="F52">
        <v>936</v>
      </c>
      <c r="G52" s="10">
        <v>7.5107800000000002E-7</v>
      </c>
      <c r="H52" s="5">
        <v>8.9999999999999998E-4</v>
      </c>
      <c r="I52" s="5">
        <f t="shared" si="1"/>
        <v>8.9999999999999998E-4</v>
      </c>
      <c r="J52" s="1">
        <f t="shared" si="2"/>
        <v>0</v>
      </c>
      <c r="K52" s="7">
        <f t="shared" si="3"/>
        <v>0</v>
      </c>
      <c r="M52">
        <f t="shared" si="10"/>
        <v>1.5012197410395946E-6</v>
      </c>
      <c r="N52" s="9">
        <f t="shared" si="11"/>
        <v>7.5855650681808931E-3</v>
      </c>
      <c r="Q52" s="10">
        <f t="shared" si="4"/>
        <v>7.5107800000000002E-7</v>
      </c>
      <c r="R52" s="11">
        <f t="shared" si="5"/>
        <v>0</v>
      </c>
      <c r="S52" s="6">
        <f t="shared" si="0"/>
        <v>0.42750709155911476</v>
      </c>
      <c r="T52">
        <f t="shared" si="6"/>
        <v>2.528966889036238E-3</v>
      </c>
      <c r="U52" s="5">
        <f t="shared" si="7"/>
        <v>1.628966889036238E-3</v>
      </c>
    </row>
    <row r="53" spans="1:21" x14ac:dyDescent="0.2">
      <c r="A53" t="s">
        <v>8</v>
      </c>
      <c r="B53" t="s">
        <v>9</v>
      </c>
      <c r="C53">
        <v>1830</v>
      </c>
      <c r="D53" t="s">
        <v>10</v>
      </c>
      <c r="E53">
        <v>0.5</v>
      </c>
      <c r="F53">
        <v>931</v>
      </c>
      <c r="G53" s="10">
        <v>7.4697899999999996E-7</v>
      </c>
      <c r="H53" s="5">
        <v>8.9999999999999998E-4</v>
      </c>
      <c r="I53" s="5">
        <f t="shared" si="1"/>
        <v>8.9999999999999998E-4</v>
      </c>
      <c r="J53" s="1">
        <f t="shared" si="2"/>
        <v>0</v>
      </c>
      <c r="K53" s="7">
        <f t="shared" si="3"/>
        <v>0</v>
      </c>
      <c r="M53">
        <f t="shared" si="10"/>
        <v>1.4930275612887813E-6</v>
      </c>
      <c r="N53" s="9">
        <f t="shared" si="11"/>
        <v>7.5797741817100828E-3</v>
      </c>
      <c r="Q53" s="10">
        <f t="shared" si="4"/>
        <v>7.4697899999999996E-7</v>
      </c>
      <c r="R53" s="11">
        <f t="shared" si="5"/>
        <v>0</v>
      </c>
      <c r="S53" s="6">
        <f t="shared" si="0"/>
        <v>0.42633893793553501</v>
      </c>
      <c r="T53">
        <f t="shared" si="6"/>
        <v>2.5220565432345654E-3</v>
      </c>
      <c r="U53" s="5">
        <f t="shared" si="7"/>
        <v>1.6220565432345654E-3</v>
      </c>
    </row>
    <row r="54" spans="1:21" x14ac:dyDescent="0.2">
      <c r="A54" t="s">
        <v>8</v>
      </c>
      <c r="B54" t="s">
        <v>9</v>
      </c>
      <c r="C54">
        <v>1835</v>
      </c>
      <c r="D54" t="s">
        <v>10</v>
      </c>
      <c r="E54">
        <v>0.5</v>
      </c>
      <c r="F54">
        <v>939</v>
      </c>
      <c r="G54" s="10">
        <v>7.4291399999999998E-7</v>
      </c>
      <c r="H54" s="5">
        <v>8.9999999999999998E-4</v>
      </c>
      <c r="I54" s="5">
        <f t="shared" si="1"/>
        <v>8.9999999999999998E-4</v>
      </c>
      <c r="J54" s="1">
        <f t="shared" si="2"/>
        <v>0</v>
      </c>
      <c r="K54" s="7">
        <f t="shared" si="3"/>
        <v>0</v>
      </c>
      <c r="M54">
        <f t="shared" si="10"/>
        <v>1.4849022563089784E-6</v>
      </c>
      <c r="N54" s="9">
        <f t="shared" si="11"/>
        <v>7.5827923104714676E-3</v>
      </c>
      <c r="Q54" s="10">
        <f t="shared" si="4"/>
        <v>7.4291399999999998E-7</v>
      </c>
      <c r="R54" s="11">
        <f t="shared" si="5"/>
        <v>0</v>
      </c>
      <c r="S54" s="6">
        <f t="shared" si="0"/>
        <v>0.42517730419202765</v>
      </c>
      <c r="T54">
        <f t="shared" si="6"/>
        <v>2.5151847665260121E-3</v>
      </c>
      <c r="U54" s="5">
        <f t="shared" si="7"/>
        <v>1.6151847665260121E-3</v>
      </c>
    </row>
    <row r="55" spans="1:21" x14ac:dyDescent="0.2">
      <c r="A55" t="s">
        <v>8</v>
      </c>
      <c r="B55" t="s">
        <v>9</v>
      </c>
      <c r="C55">
        <v>1840</v>
      </c>
      <c r="D55" t="s">
        <v>10</v>
      </c>
      <c r="E55">
        <v>0.55000000000000004</v>
      </c>
      <c r="F55">
        <v>934</v>
      </c>
      <c r="G55" s="10">
        <v>8.1276999999999999E-7</v>
      </c>
      <c r="H55" s="5">
        <v>1E-3</v>
      </c>
      <c r="I55" s="5">
        <f t="shared" si="1"/>
        <v>1E-3</v>
      </c>
      <c r="J55" s="1">
        <f t="shared" si="2"/>
        <v>0</v>
      </c>
      <c r="K55" s="7">
        <f t="shared" si="3"/>
        <v>0</v>
      </c>
      <c r="M55">
        <f t="shared" si="10"/>
        <v>1.476843100189036E-6</v>
      </c>
      <c r="N55" s="9">
        <f t="shared" si="11"/>
        <v>7.5812845173593678E-3</v>
      </c>
      <c r="Q55" s="10">
        <f t="shared" si="4"/>
        <v>8.1276999999999999E-7</v>
      </c>
      <c r="R55" s="11">
        <f t="shared" si="5"/>
        <v>0</v>
      </c>
      <c r="S55" s="6">
        <f t="shared" si="0"/>
        <v>0.44471792558129841</v>
      </c>
      <c r="T55">
        <f t="shared" si="6"/>
        <v>2.6307795378418129E-3</v>
      </c>
      <c r="U55" s="5">
        <f t="shared" si="7"/>
        <v>1.6307795378418129E-3</v>
      </c>
    </row>
    <row r="56" spans="1:21" x14ac:dyDescent="0.2">
      <c r="A56" t="s">
        <v>8</v>
      </c>
      <c r="B56" t="s">
        <v>9</v>
      </c>
      <c r="C56">
        <v>1845</v>
      </c>
      <c r="D56" t="s">
        <v>10</v>
      </c>
      <c r="E56">
        <v>0.55000000000000004</v>
      </c>
      <c r="F56">
        <v>933</v>
      </c>
      <c r="G56" s="10">
        <v>8.0837100000000001E-7</v>
      </c>
      <c r="H56" s="5">
        <v>1E-3</v>
      </c>
      <c r="I56" s="5">
        <f t="shared" si="1"/>
        <v>1E-3</v>
      </c>
      <c r="J56" s="1">
        <f t="shared" si="2"/>
        <v>0</v>
      </c>
      <c r="K56" s="7">
        <f t="shared" si="3"/>
        <v>0</v>
      </c>
      <c r="M56">
        <f t="shared" si="10"/>
        <v>1.4688493768406518E-6</v>
      </c>
      <c r="N56" s="9">
        <f t="shared" si="11"/>
        <v>7.5856232107055742E-3</v>
      </c>
      <c r="Q56" s="10">
        <f t="shared" si="4"/>
        <v>8.0837100000000001E-7</v>
      </c>
      <c r="R56" s="11">
        <f t="shared" si="5"/>
        <v>0</v>
      </c>
      <c r="S56" s="6">
        <f t="shared" si="0"/>
        <v>0.44351280703041712</v>
      </c>
      <c r="T56">
        <f t="shared" si="6"/>
        <v>2.6236505218027407E-3</v>
      </c>
      <c r="U56" s="5">
        <f t="shared" si="7"/>
        <v>1.6236505218027407E-3</v>
      </c>
    </row>
    <row r="57" spans="1:21" x14ac:dyDescent="0.2">
      <c r="A57" t="s">
        <v>8</v>
      </c>
      <c r="B57" t="s">
        <v>9</v>
      </c>
      <c r="C57">
        <v>1850</v>
      </c>
      <c r="D57" t="s">
        <v>10</v>
      </c>
      <c r="E57">
        <v>0.55000000000000004</v>
      </c>
      <c r="F57">
        <v>928</v>
      </c>
      <c r="G57" s="10">
        <v>8.0400700000000003E-7</v>
      </c>
      <c r="H57" s="5">
        <v>8.9999999999999998E-4</v>
      </c>
      <c r="I57" s="5">
        <f t="shared" si="1"/>
        <v>8.9999999999999998E-4</v>
      </c>
      <c r="J57" s="1">
        <f t="shared" si="2"/>
        <v>0</v>
      </c>
      <c r="K57" s="7">
        <f t="shared" si="3"/>
        <v>0</v>
      </c>
      <c r="M57">
        <f t="shared" si="10"/>
        <v>1.4609203798392987E-6</v>
      </c>
      <c r="N57" s="9">
        <f t="shared" si="11"/>
        <v>7.580601397687175E-3</v>
      </c>
      <c r="Q57" s="10">
        <f t="shared" si="4"/>
        <v>8.0400700000000014E-7</v>
      </c>
      <c r="R57" s="11">
        <f t="shared" si="5"/>
        <v>0</v>
      </c>
      <c r="S57" s="6">
        <f t="shared" si="0"/>
        <v>0.44231403248521667</v>
      </c>
      <c r="T57">
        <f t="shared" si="6"/>
        <v>2.6165590344517939E-3</v>
      </c>
      <c r="U57" s="5">
        <f t="shared" si="7"/>
        <v>1.7165590344517939E-3</v>
      </c>
    </row>
    <row r="58" spans="1:21" x14ac:dyDescent="0.2">
      <c r="A58" t="s">
        <v>8</v>
      </c>
      <c r="B58" t="s">
        <v>9</v>
      </c>
      <c r="C58">
        <v>1855</v>
      </c>
      <c r="D58" t="s">
        <v>10</v>
      </c>
      <c r="E58">
        <v>0.55000000000000004</v>
      </c>
      <c r="F58">
        <v>926</v>
      </c>
      <c r="G58" s="10">
        <v>7.99679E-7</v>
      </c>
      <c r="H58" s="5">
        <v>8.9999999999999998E-4</v>
      </c>
      <c r="I58" s="5">
        <f t="shared" si="1"/>
        <v>8.9999999999999998E-4</v>
      </c>
      <c r="J58" s="1">
        <f t="shared" si="2"/>
        <v>0</v>
      </c>
      <c r="K58" s="7">
        <f t="shared" si="3"/>
        <v>0</v>
      </c>
      <c r="M58">
        <f t="shared" si="10"/>
        <v>1.4530554122681469E-6</v>
      </c>
      <c r="N58" s="9">
        <f t="shared" si="11"/>
        <v>7.5871163460557662E-3</v>
      </c>
      <c r="Q58" s="10">
        <f t="shared" si="4"/>
        <v>7.9967899999999989E-7</v>
      </c>
      <c r="R58" s="11">
        <f t="shared" si="5"/>
        <v>0</v>
      </c>
      <c r="S58" s="6">
        <f t="shared" si="0"/>
        <v>0.44112192947830947</v>
      </c>
      <c r="T58">
        <f t="shared" si="6"/>
        <v>2.6095070133454446E-3</v>
      </c>
      <c r="U58" s="5">
        <f t="shared" si="7"/>
        <v>1.7095070133454446E-3</v>
      </c>
    </row>
    <row r="59" spans="1:21" x14ac:dyDescent="0.2">
      <c r="A59" t="s">
        <v>8</v>
      </c>
      <c r="B59" t="s">
        <v>9</v>
      </c>
      <c r="C59">
        <v>1860</v>
      </c>
      <c r="D59" t="s">
        <v>10</v>
      </c>
      <c r="E59">
        <v>0.55000000000000004</v>
      </c>
      <c r="F59">
        <v>922</v>
      </c>
      <c r="G59" s="10">
        <v>7.9538500000000005E-7</v>
      </c>
      <c r="H59" s="5">
        <v>8.9999999999999998E-4</v>
      </c>
      <c r="I59" s="5">
        <f t="shared" si="1"/>
        <v>8.9999999999999998E-4</v>
      </c>
      <c r="J59" s="1">
        <f t="shared" si="2"/>
        <v>0</v>
      </c>
      <c r="K59" s="7">
        <f t="shared" si="3"/>
        <v>0</v>
      </c>
      <c r="M59">
        <f t="shared" si="10"/>
        <v>1.4452537865649208E-6</v>
      </c>
      <c r="N59" s="9">
        <f t="shared" si="11"/>
        <v>7.5805505505867881E-3</v>
      </c>
      <c r="Q59" s="10">
        <f t="shared" si="4"/>
        <v>7.9538499999999995E-7</v>
      </c>
      <c r="R59" s="11">
        <f t="shared" si="5"/>
        <v>0</v>
      </c>
      <c r="S59" s="6">
        <f t="shared" si="0"/>
        <v>0.43993599913320725</v>
      </c>
      <c r="T59">
        <f t="shared" si="6"/>
        <v>2.6024915073230093E-3</v>
      </c>
      <c r="U59" s="5">
        <f t="shared" si="7"/>
        <v>1.7024915073230093E-3</v>
      </c>
    </row>
    <row r="60" spans="1:21" x14ac:dyDescent="0.2">
      <c r="A60" t="s">
        <v>8</v>
      </c>
      <c r="B60" t="s">
        <v>9</v>
      </c>
      <c r="C60">
        <v>1865</v>
      </c>
      <c r="D60" t="s">
        <v>10</v>
      </c>
      <c r="E60">
        <v>0.55000000000000004</v>
      </c>
      <c r="F60">
        <v>921</v>
      </c>
      <c r="G60" s="10">
        <v>7.9112600000000001E-7</v>
      </c>
      <c r="H60" s="5">
        <v>8.9999999999999998E-4</v>
      </c>
      <c r="I60" s="5">
        <f t="shared" si="1"/>
        <v>8.9999999999999998E-4</v>
      </c>
      <c r="J60" s="1">
        <f t="shared" si="2"/>
        <v>0</v>
      </c>
      <c r="K60" s="7">
        <f t="shared" si="3"/>
        <v>0</v>
      </c>
      <c r="M60">
        <f t="shared" si="10"/>
        <v>1.4375148243716264E-6</v>
      </c>
      <c r="N60" s="9">
        <f t="shared" si="11"/>
        <v>7.5818122217564642E-3</v>
      </c>
      <c r="Q60" s="10">
        <f t="shared" si="4"/>
        <v>7.9112599999999991E-7</v>
      </c>
      <c r="R60" s="11">
        <f t="shared" si="5"/>
        <v>0</v>
      </c>
      <c r="S60" s="6">
        <f t="shared" si="0"/>
        <v>0.43875656880172936</v>
      </c>
      <c r="T60">
        <f t="shared" si="6"/>
        <v>2.5955144528714571E-3</v>
      </c>
      <c r="U60" s="5">
        <f t="shared" si="7"/>
        <v>1.6955144528714571E-3</v>
      </c>
    </row>
    <row r="61" spans="1:21" x14ac:dyDescent="0.2">
      <c r="A61" t="s">
        <v>8</v>
      </c>
      <c r="B61" t="s">
        <v>9</v>
      </c>
      <c r="C61">
        <v>1870</v>
      </c>
      <c r="D61" t="s">
        <v>10</v>
      </c>
      <c r="E61">
        <v>0.6</v>
      </c>
      <c r="F61">
        <v>918</v>
      </c>
      <c r="G61" s="10">
        <v>8.5843699999999997E-7</v>
      </c>
      <c r="H61" s="5">
        <v>1E-3</v>
      </c>
      <c r="I61" s="5">
        <f t="shared" si="1"/>
        <v>1E-3</v>
      </c>
      <c r="J61" s="1">
        <f t="shared" si="2"/>
        <v>0</v>
      </c>
      <c r="K61" s="7">
        <f t="shared" si="3"/>
        <v>0</v>
      </c>
      <c r="M61">
        <f t="shared" si="10"/>
        <v>1.4298378563870857E-6</v>
      </c>
      <c r="N61" s="9">
        <f t="shared" si="11"/>
        <v>7.5748196760734897E-3</v>
      </c>
      <c r="Q61" s="10">
        <f t="shared" si="4"/>
        <v>8.5843699999999997E-7</v>
      </c>
      <c r="R61" s="11">
        <f t="shared" si="5"/>
        <v>0</v>
      </c>
      <c r="S61" s="6">
        <f t="shared" si="0"/>
        <v>0.45704084791916211</v>
      </c>
      <c r="T61">
        <f t="shared" si="6"/>
        <v>2.7036771883929803E-3</v>
      </c>
      <c r="U61" s="5">
        <f t="shared" si="7"/>
        <v>1.7036771883929803E-3</v>
      </c>
    </row>
    <row r="62" spans="1:21" x14ac:dyDescent="0.2">
      <c r="A62" t="s">
        <v>8</v>
      </c>
      <c r="B62" t="s">
        <v>9</v>
      </c>
      <c r="C62">
        <v>1875</v>
      </c>
      <c r="D62" t="s">
        <v>10</v>
      </c>
      <c r="E62">
        <v>0.6</v>
      </c>
      <c r="F62">
        <v>992</v>
      </c>
      <c r="G62" s="10">
        <v>8.5386499999999998E-7</v>
      </c>
      <c r="H62" s="5">
        <v>1E-3</v>
      </c>
      <c r="I62" s="5">
        <f t="shared" si="1"/>
        <v>1E-3</v>
      </c>
      <c r="J62" s="1">
        <f t="shared" si="2"/>
        <v>0</v>
      </c>
      <c r="K62" s="7">
        <f t="shared" si="3"/>
        <v>0</v>
      </c>
      <c r="M62">
        <f t="shared" si="10"/>
        <v>1.4222222222222223E-6</v>
      </c>
      <c r="N62" s="9">
        <f t="shared" si="11"/>
        <v>7.5780431528452924E-3</v>
      </c>
      <c r="Q62" s="10">
        <f t="shared" si="4"/>
        <v>8.5386499999999998E-7</v>
      </c>
      <c r="R62" s="11">
        <f t="shared" si="5"/>
        <v>0</v>
      </c>
      <c r="S62" s="6">
        <f t="shared" si="0"/>
        <v>0.4558221327082162</v>
      </c>
      <c r="T62">
        <f t="shared" si="6"/>
        <v>2.6964677397627677E-3</v>
      </c>
      <c r="U62" s="5">
        <f t="shared" si="7"/>
        <v>1.6964677397627677E-3</v>
      </c>
    </row>
    <row r="63" spans="1:21" x14ac:dyDescent="0.2">
      <c r="A63" t="s">
        <v>8</v>
      </c>
      <c r="B63" t="s">
        <v>9</v>
      </c>
      <c r="C63">
        <v>1880</v>
      </c>
      <c r="D63" t="s">
        <v>10</v>
      </c>
      <c r="E63">
        <v>0.6</v>
      </c>
      <c r="F63">
        <v>912</v>
      </c>
      <c r="G63" s="10">
        <v>8.4932900000000002E-7</v>
      </c>
      <c r="H63" s="5">
        <v>1E-3</v>
      </c>
      <c r="I63" s="5">
        <f t="shared" si="1"/>
        <v>1E-3</v>
      </c>
      <c r="J63" s="1">
        <f t="shared" si="2"/>
        <v>0</v>
      </c>
      <c r="K63" s="7">
        <f t="shared" si="3"/>
        <v>0</v>
      </c>
      <c r="M63">
        <f t="shared" si="10"/>
        <v>1.4146672702580353E-6</v>
      </c>
      <c r="N63" s="9">
        <f t="shared" si="11"/>
        <v>7.5751127102402366E-3</v>
      </c>
      <c r="Q63" s="10">
        <f t="shared" si="4"/>
        <v>8.4932899999999992E-7</v>
      </c>
      <c r="R63" s="11">
        <f t="shared" si="5"/>
        <v>0</v>
      </c>
      <c r="S63" s="6">
        <f t="shared" si="0"/>
        <v>0.45460978505380489</v>
      </c>
      <c r="T63">
        <f t="shared" si="6"/>
        <v>2.6892959591384388E-3</v>
      </c>
      <c r="U63" s="5">
        <f t="shared" si="7"/>
        <v>1.6892959591384388E-3</v>
      </c>
    </row>
    <row r="64" spans="1:21" x14ac:dyDescent="0.2">
      <c r="A64" t="s">
        <v>8</v>
      </c>
      <c r="B64" t="s">
        <v>9</v>
      </c>
      <c r="C64">
        <v>1885</v>
      </c>
      <c r="D64" t="s">
        <v>10</v>
      </c>
      <c r="E64">
        <v>0.65</v>
      </c>
      <c r="F64">
        <v>1012</v>
      </c>
      <c r="G64" s="10">
        <v>9.1523199999999997E-7</v>
      </c>
      <c r="H64" s="5">
        <v>1.1000000000000001E-3</v>
      </c>
      <c r="I64" s="5">
        <f t="shared" si="1"/>
        <v>1.1000000000000001E-3</v>
      </c>
      <c r="J64" s="1">
        <f t="shared" si="2"/>
        <v>0</v>
      </c>
      <c r="K64" s="7">
        <f t="shared" si="3"/>
        <v>0</v>
      </c>
      <c r="M64">
        <f t="shared" si="10"/>
        <v>1.4071723575062092E-6</v>
      </c>
      <c r="N64" s="9">
        <f t="shared" si="11"/>
        <v>7.5792435590428019E-3</v>
      </c>
      <c r="Q64" s="10">
        <f t="shared" si="4"/>
        <v>9.1523199999999997E-7</v>
      </c>
      <c r="R64" s="11">
        <f t="shared" si="5"/>
        <v>0</v>
      </c>
      <c r="S64" s="6">
        <f t="shared" si="0"/>
        <v>0.47191784595767655</v>
      </c>
      <c r="T64">
        <f t="shared" si="6"/>
        <v>2.7916837646358391E-3</v>
      </c>
      <c r="U64" s="5">
        <f t="shared" si="7"/>
        <v>1.6916837646358391E-3</v>
      </c>
    </row>
    <row r="65" spans="1:21" x14ac:dyDescent="0.2">
      <c r="A65" t="s">
        <v>8</v>
      </c>
      <c r="B65" t="s">
        <v>9</v>
      </c>
      <c r="C65">
        <v>1890</v>
      </c>
      <c r="D65" t="s">
        <v>10</v>
      </c>
      <c r="E65">
        <v>0.65</v>
      </c>
      <c r="F65">
        <v>906</v>
      </c>
      <c r="G65" s="10">
        <v>9.1039599999999999E-7</v>
      </c>
      <c r="H65" s="5">
        <v>1.1000000000000001E-3</v>
      </c>
      <c r="I65" s="5">
        <f t="shared" si="1"/>
        <v>1.1000000000000001E-3</v>
      </c>
      <c r="J65" s="1">
        <f t="shared" si="2"/>
        <v>0</v>
      </c>
      <c r="K65" s="7">
        <f t="shared" si="3"/>
        <v>0</v>
      </c>
      <c r="M65">
        <f t="shared" si="10"/>
        <v>1.3997368494722993E-6</v>
      </c>
      <c r="N65" s="9">
        <f t="shared" si="11"/>
        <v>7.5804721882381607E-3</v>
      </c>
      <c r="Q65" s="10">
        <f t="shared" si="4"/>
        <v>9.1039599999999999E-7</v>
      </c>
      <c r="R65" s="11">
        <f t="shared" si="5"/>
        <v>0</v>
      </c>
      <c r="S65" s="6">
        <f t="shared" si="0"/>
        <v>0.47066940981259164</v>
      </c>
      <c r="T65">
        <f t="shared" si="6"/>
        <v>2.784298498434801E-3</v>
      </c>
      <c r="U65" s="5">
        <f t="shared" si="7"/>
        <v>1.6842984984348009E-3</v>
      </c>
    </row>
    <row r="66" spans="1:21" x14ac:dyDescent="0.2">
      <c r="A66" t="s">
        <v>8</v>
      </c>
      <c r="B66" t="s">
        <v>9</v>
      </c>
      <c r="C66">
        <v>1895</v>
      </c>
      <c r="D66" t="s">
        <v>10</v>
      </c>
      <c r="E66">
        <v>0.65</v>
      </c>
      <c r="F66">
        <v>904</v>
      </c>
      <c r="G66" s="10">
        <v>9.0559800000000001E-7</v>
      </c>
      <c r="H66" s="5">
        <v>1.1000000000000001E-3</v>
      </c>
      <c r="I66" s="5">
        <f t="shared" si="1"/>
        <v>1.1000000000000001E-3</v>
      </c>
      <c r="J66" s="1">
        <f t="shared" si="2"/>
        <v>0</v>
      </c>
      <c r="K66" s="7">
        <f t="shared" si="3"/>
        <v>0</v>
      </c>
      <c r="M66">
        <f t="shared" si="10"/>
        <v>1.3923601200214424E-6</v>
      </c>
      <c r="N66" s="9">
        <f t="shared" si="11"/>
        <v>7.5786253160787295E-3</v>
      </c>
      <c r="Q66" s="10">
        <f t="shared" si="4"/>
        <v>9.0559800000000001E-7</v>
      </c>
      <c r="R66" s="11">
        <f t="shared" si="5"/>
        <v>0</v>
      </c>
      <c r="S66" s="6">
        <f t="shared" ref="S66:S129" si="12">100*SQRT(2*G66*G$211)</f>
        <v>0.46942750238987913</v>
      </c>
      <c r="T66">
        <f t="shared" si="6"/>
        <v>2.7769518536345144E-3</v>
      </c>
      <c r="U66" s="5">
        <f t="shared" si="7"/>
        <v>1.6769518536345143E-3</v>
      </c>
    </row>
    <row r="67" spans="1:21" x14ac:dyDescent="0.2">
      <c r="A67" t="s">
        <v>8</v>
      </c>
      <c r="B67" t="s">
        <v>9</v>
      </c>
      <c r="C67">
        <v>1900</v>
      </c>
      <c r="D67" t="s">
        <v>10</v>
      </c>
      <c r="E67">
        <v>0.65</v>
      </c>
      <c r="F67">
        <v>1109</v>
      </c>
      <c r="G67" s="10">
        <v>9.0083800000000001E-7</v>
      </c>
      <c r="H67" s="5">
        <v>1.1000000000000001E-3</v>
      </c>
      <c r="I67" s="5">
        <f t="shared" ref="I67:I130" si="13">ROUND(G67/G$207, 4)</f>
        <v>1.1000000000000001E-3</v>
      </c>
      <c r="J67" s="1">
        <f t="shared" ref="J67:J130" si="14">H67-I67</f>
        <v>0</v>
      </c>
      <c r="K67" s="7">
        <f t="shared" ref="K67:K130" si="15">I67/H67-1</f>
        <v>0</v>
      </c>
      <c r="M67">
        <f t="shared" si="10"/>
        <v>1.3850415512465373E-6</v>
      </c>
      <c r="N67" s="9">
        <f t="shared" si="11"/>
        <v>7.5790819366816876E-3</v>
      </c>
      <c r="Q67" s="10">
        <f t="shared" ref="Q67:Q130" si="16">(0.5*(C68-C66))/C67^2*EXP($H$211*N67)*E67</f>
        <v>9.0083800000000012E-7</v>
      </c>
      <c r="R67" s="11">
        <f t="shared" ref="R67:R130" si="17">Q67-G67</f>
        <v>0</v>
      </c>
      <c r="S67" s="6">
        <f t="shared" si="12"/>
        <v>0.46819217564300802</v>
      </c>
      <c r="T67">
        <f t="shared" ref="T67:T130" si="18">S67/S$207</f>
        <v>2.7696441375716432E-3</v>
      </c>
      <c r="U67" s="5">
        <f t="shared" ref="U67:U130" si="19">T67-H67</f>
        <v>1.6696441375716432E-3</v>
      </c>
    </row>
    <row r="68" spans="1:21" x14ac:dyDescent="0.2">
      <c r="A68" t="s">
        <v>8</v>
      </c>
      <c r="B68" t="s">
        <v>9</v>
      </c>
      <c r="C68">
        <v>1905</v>
      </c>
      <c r="D68" t="s">
        <v>10</v>
      </c>
      <c r="E68">
        <v>0.7</v>
      </c>
      <c r="F68">
        <v>999</v>
      </c>
      <c r="G68" s="10">
        <v>9.650470000000001E-7</v>
      </c>
      <c r="H68" s="5">
        <v>1.1000000000000001E-3</v>
      </c>
      <c r="I68" s="5">
        <f t="shared" si="13"/>
        <v>1.1000000000000001E-3</v>
      </c>
      <c r="J68" s="1">
        <f t="shared" si="14"/>
        <v>0</v>
      </c>
      <c r="K68" s="7">
        <f t="shared" si="15"/>
        <v>0</v>
      </c>
      <c r="M68">
        <f t="shared" si="10"/>
        <v>1.3777805333388445E-6</v>
      </c>
      <c r="N68" s="9">
        <f t="shared" si="11"/>
        <v>7.5746563678575109E-3</v>
      </c>
      <c r="Q68" s="10">
        <f t="shared" si="16"/>
        <v>9.6504699999999989E-7</v>
      </c>
      <c r="R68" s="11">
        <f t="shared" si="17"/>
        <v>0</v>
      </c>
      <c r="S68" s="6">
        <f t="shared" si="12"/>
        <v>0.48459065543335994</v>
      </c>
      <c r="T68">
        <f t="shared" si="18"/>
        <v>2.8666512123995363E-3</v>
      </c>
      <c r="U68" s="5">
        <f t="shared" si="19"/>
        <v>1.7666512123995363E-3</v>
      </c>
    </row>
    <row r="69" spans="1:21" x14ac:dyDescent="0.2">
      <c r="A69" t="s">
        <v>8</v>
      </c>
      <c r="B69" t="s">
        <v>9</v>
      </c>
      <c r="C69">
        <v>1910</v>
      </c>
      <c r="D69" t="s">
        <v>10</v>
      </c>
      <c r="E69">
        <v>0.7</v>
      </c>
      <c r="F69">
        <v>793</v>
      </c>
      <c r="G69" s="10">
        <v>9.6000099999999994E-7</v>
      </c>
      <c r="H69" s="5">
        <v>1.1000000000000001E-3</v>
      </c>
      <c r="I69" s="5">
        <f t="shared" si="13"/>
        <v>1.1000000000000001E-3</v>
      </c>
      <c r="J69" s="1">
        <f t="shared" si="14"/>
        <v>0</v>
      </c>
      <c r="K69" s="7">
        <f t="shared" si="15"/>
        <v>0</v>
      </c>
      <c r="M69">
        <f t="shared" si="10"/>
        <v>1.3705764644609522E-6</v>
      </c>
      <c r="N69" s="9">
        <f t="shared" si="11"/>
        <v>7.5745136722005085E-3</v>
      </c>
      <c r="Q69" s="10">
        <f t="shared" si="16"/>
        <v>9.6000099999999994E-7</v>
      </c>
      <c r="R69" s="11">
        <f t="shared" si="17"/>
        <v>0</v>
      </c>
      <c r="S69" s="6">
        <f t="shared" si="12"/>
        <v>0.4833220906738418</v>
      </c>
      <c r="T69">
        <f t="shared" si="18"/>
        <v>2.859146873087364E-3</v>
      </c>
      <c r="U69" s="5">
        <f t="shared" si="19"/>
        <v>1.759146873087364E-3</v>
      </c>
    </row>
    <row r="70" spans="1:21" x14ac:dyDescent="0.2">
      <c r="A70" t="s">
        <v>8</v>
      </c>
      <c r="B70" t="s">
        <v>9</v>
      </c>
      <c r="C70">
        <v>1915</v>
      </c>
      <c r="D70" t="s">
        <v>10</v>
      </c>
      <c r="E70">
        <v>0.75</v>
      </c>
      <c r="F70">
        <v>893</v>
      </c>
      <c r="G70" s="10">
        <v>1.0232100000000001E-6</v>
      </c>
      <c r="H70" s="5">
        <v>1.1999999999999999E-3</v>
      </c>
      <c r="I70" s="5">
        <f t="shared" si="13"/>
        <v>1.1999999999999999E-3</v>
      </c>
      <c r="J70" s="1">
        <f t="shared" si="14"/>
        <v>0</v>
      </c>
      <c r="K70" s="7">
        <f t="shared" si="15"/>
        <v>0</v>
      </c>
      <c r="M70">
        <f t="shared" si="10"/>
        <v>1.3634287506220644E-6</v>
      </c>
      <c r="N70" s="9">
        <f t="shared" si="11"/>
        <v>7.5938222989606636E-3</v>
      </c>
      <c r="Q70" s="10">
        <f t="shared" si="16"/>
        <v>1.0232100000000001E-6</v>
      </c>
      <c r="R70" s="11">
        <f t="shared" si="17"/>
        <v>0</v>
      </c>
      <c r="S70" s="6">
        <f t="shared" si="12"/>
        <v>0.49898005972182896</v>
      </c>
      <c r="T70">
        <f t="shared" si="18"/>
        <v>2.9517733722817948E-3</v>
      </c>
      <c r="U70" s="5">
        <f t="shared" si="19"/>
        <v>1.7517733722817949E-3</v>
      </c>
    </row>
    <row r="71" spans="1:21" x14ac:dyDescent="0.2">
      <c r="A71" t="s">
        <v>8</v>
      </c>
      <c r="B71" t="s">
        <v>9</v>
      </c>
      <c r="C71">
        <v>1920</v>
      </c>
      <c r="D71" t="s">
        <v>10</v>
      </c>
      <c r="E71">
        <v>0.75</v>
      </c>
      <c r="F71">
        <v>886</v>
      </c>
      <c r="G71" s="10">
        <v>1.01789E-6</v>
      </c>
      <c r="H71" s="5">
        <v>1.1999999999999999E-3</v>
      </c>
      <c r="I71" s="5">
        <f t="shared" si="13"/>
        <v>1.1999999999999999E-3</v>
      </c>
      <c r="J71" s="1">
        <f t="shared" si="14"/>
        <v>0</v>
      </c>
      <c r="K71" s="7">
        <f t="shared" si="15"/>
        <v>0</v>
      </c>
      <c r="M71">
        <f t="shared" si="10"/>
        <v>1.3563368055555556E-6</v>
      </c>
      <c r="N71" s="9">
        <f t="shared" si="11"/>
        <v>7.6210707560019353E-3</v>
      </c>
      <c r="Q71" s="10">
        <f t="shared" si="16"/>
        <v>1.0178900000000002E-6</v>
      </c>
      <c r="R71" s="11">
        <f t="shared" si="17"/>
        <v>0</v>
      </c>
      <c r="S71" s="6">
        <f t="shared" si="12"/>
        <v>0.4976811897858574</v>
      </c>
      <c r="T71">
        <f t="shared" si="18"/>
        <v>2.9440897592468459E-3</v>
      </c>
      <c r="U71" s="5">
        <f t="shared" si="19"/>
        <v>1.744089759246846E-3</v>
      </c>
    </row>
    <row r="72" spans="1:21" x14ac:dyDescent="0.2">
      <c r="A72" t="s">
        <v>8</v>
      </c>
      <c r="B72" t="s">
        <v>9</v>
      </c>
      <c r="C72">
        <v>1925</v>
      </c>
      <c r="D72" t="s">
        <v>10</v>
      </c>
      <c r="E72">
        <v>0.8</v>
      </c>
      <c r="F72">
        <v>936</v>
      </c>
      <c r="G72" s="10">
        <v>1.0801099999999999E-6</v>
      </c>
      <c r="H72" s="5">
        <v>1.2999999999999999E-3</v>
      </c>
      <c r="I72" s="5">
        <f t="shared" si="13"/>
        <v>1.2999999999999999E-3</v>
      </c>
      <c r="J72" s="1">
        <f t="shared" si="14"/>
        <v>0</v>
      </c>
      <c r="K72" s="7">
        <f t="shared" si="15"/>
        <v>0</v>
      </c>
      <c r="M72">
        <f t="shared" si="10"/>
        <v>1.3493000505987518E-6</v>
      </c>
      <c r="N72" s="9">
        <f t="shared" si="11"/>
        <v>7.5489562926142912E-3</v>
      </c>
      <c r="Q72" s="10">
        <f t="shared" si="16"/>
        <v>1.0801099999999997E-6</v>
      </c>
      <c r="R72" s="11">
        <f t="shared" si="17"/>
        <v>0</v>
      </c>
      <c r="S72" s="6">
        <f t="shared" si="12"/>
        <v>0.51266633073244294</v>
      </c>
      <c r="T72">
        <f t="shared" si="18"/>
        <v>3.0327360671788292E-3</v>
      </c>
      <c r="U72" s="5">
        <f t="shared" si="19"/>
        <v>1.7327360671788293E-3</v>
      </c>
    </row>
    <row r="73" spans="1:21" x14ac:dyDescent="0.2">
      <c r="A73" t="s">
        <v>8</v>
      </c>
      <c r="B73" t="s">
        <v>9</v>
      </c>
      <c r="C73">
        <v>1930</v>
      </c>
      <c r="D73" t="s">
        <v>10</v>
      </c>
      <c r="E73">
        <v>0.8</v>
      </c>
      <c r="F73">
        <v>883</v>
      </c>
      <c r="G73" s="10">
        <v>1.07452E-6</v>
      </c>
      <c r="H73" s="5">
        <v>1.2999999999999999E-3</v>
      </c>
      <c r="I73" s="5">
        <f t="shared" si="13"/>
        <v>1.2999999999999999E-3</v>
      </c>
      <c r="J73" s="1">
        <f t="shared" si="14"/>
        <v>0</v>
      </c>
      <c r="K73" s="7">
        <f t="shared" si="15"/>
        <v>0</v>
      </c>
      <c r="M73">
        <f t="shared" si="10"/>
        <v>1.3423179145748878E-6</v>
      </c>
      <c r="N73" s="9">
        <f t="shared" si="11"/>
        <v>7.5396218845613138E-3</v>
      </c>
      <c r="Q73" s="10">
        <f t="shared" si="16"/>
        <v>1.07452E-6</v>
      </c>
      <c r="R73" s="11">
        <f t="shared" si="17"/>
        <v>0</v>
      </c>
      <c r="S73" s="6">
        <f t="shared" si="12"/>
        <v>0.5113379834642966</v>
      </c>
      <c r="T73">
        <f t="shared" si="18"/>
        <v>3.024878077628218E-3</v>
      </c>
      <c r="U73" s="5">
        <f t="shared" si="19"/>
        <v>1.7248780776282181E-3</v>
      </c>
    </row>
    <row r="74" spans="1:21" x14ac:dyDescent="0.2">
      <c r="A74" t="s">
        <v>8</v>
      </c>
      <c r="B74" t="s">
        <v>9</v>
      </c>
      <c r="C74">
        <v>1935</v>
      </c>
      <c r="D74" t="s">
        <v>10</v>
      </c>
      <c r="E74">
        <v>0.85</v>
      </c>
      <c r="F74">
        <v>881</v>
      </c>
      <c r="G74" s="10">
        <v>1.1357899999999999E-6</v>
      </c>
      <c r="H74" s="5">
        <v>1.2999999999999999E-3</v>
      </c>
      <c r="I74" s="5">
        <f t="shared" si="13"/>
        <v>1.2999999999999999E-3</v>
      </c>
      <c r="J74" s="1">
        <f t="shared" si="14"/>
        <v>0</v>
      </c>
      <c r="K74" s="7">
        <f t="shared" si="15"/>
        <v>0</v>
      </c>
      <c r="M74">
        <f t="shared" si="10"/>
        <v>1.3353898336771963E-6</v>
      </c>
      <c r="N74" s="9">
        <f t="shared" si="11"/>
        <v>7.5933880053931247E-3</v>
      </c>
      <c r="Q74" s="10">
        <f t="shared" si="16"/>
        <v>1.1357899999999999E-6</v>
      </c>
      <c r="R74" s="11">
        <f t="shared" si="17"/>
        <v>0</v>
      </c>
      <c r="S74" s="6">
        <f t="shared" si="12"/>
        <v>0.52571433941511103</v>
      </c>
      <c r="T74">
        <f t="shared" si="18"/>
        <v>3.109923048583001E-3</v>
      </c>
      <c r="U74" s="5">
        <f t="shared" si="19"/>
        <v>1.8099230485830011E-3</v>
      </c>
    </row>
    <row r="75" spans="1:21" x14ac:dyDescent="0.2">
      <c r="A75" t="s">
        <v>8</v>
      </c>
      <c r="B75" t="s">
        <v>9</v>
      </c>
      <c r="C75">
        <v>1940</v>
      </c>
      <c r="D75" t="s">
        <v>10</v>
      </c>
      <c r="E75">
        <v>0.85</v>
      </c>
      <c r="F75">
        <v>878</v>
      </c>
      <c r="G75" s="10">
        <v>1.12994E-6</v>
      </c>
      <c r="H75" s="5">
        <v>1.2999999999999999E-3</v>
      </c>
      <c r="I75" s="5">
        <f t="shared" si="13"/>
        <v>1.2999999999999999E-3</v>
      </c>
      <c r="J75" s="1">
        <f t="shared" si="14"/>
        <v>0</v>
      </c>
      <c r="K75" s="7">
        <f t="shared" si="15"/>
        <v>0</v>
      </c>
      <c r="M75">
        <f t="shared" si="10"/>
        <v>1.3285152513550855E-6</v>
      </c>
      <c r="N75" s="9">
        <f t="shared" si="11"/>
        <v>7.561549066532963E-3</v>
      </c>
      <c r="Q75" s="10">
        <f t="shared" si="16"/>
        <v>1.12994E-6</v>
      </c>
      <c r="R75" s="11">
        <f t="shared" si="17"/>
        <v>0</v>
      </c>
      <c r="S75" s="6">
        <f t="shared" si="12"/>
        <v>0.52435871945326384</v>
      </c>
      <c r="T75">
        <f t="shared" si="18"/>
        <v>3.1019037243067067E-3</v>
      </c>
      <c r="U75" s="5">
        <f t="shared" si="19"/>
        <v>1.8019037243067067E-3</v>
      </c>
    </row>
    <row r="76" spans="1:21" x14ac:dyDescent="0.2">
      <c r="A76" t="s">
        <v>8</v>
      </c>
      <c r="B76" t="s">
        <v>9</v>
      </c>
      <c r="C76">
        <v>1945</v>
      </c>
      <c r="D76" t="s">
        <v>10</v>
      </c>
      <c r="E76">
        <v>0.9</v>
      </c>
      <c r="F76">
        <v>898</v>
      </c>
      <c r="G76" s="10">
        <v>1.1902700000000001E-6</v>
      </c>
      <c r="H76" s="5">
        <v>1.4E-3</v>
      </c>
      <c r="I76" s="5">
        <f t="shared" si="13"/>
        <v>1.4E-3</v>
      </c>
      <c r="J76" s="1">
        <f t="shared" si="14"/>
        <v>0</v>
      </c>
      <c r="K76" s="7">
        <f t="shared" si="15"/>
        <v>0</v>
      </c>
      <c r="M76">
        <f t="shared" si="10"/>
        <v>1.3216936182023646E-6</v>
      </c>
      <c r="N76" s="9">
        <f t="shared" si="11"/>
        <v>7.6252090197281861E-3</v>
      </c>
      <c r="Q76" s="10">
        <f t="shared" si="16"/>
        <v>1.1902700000000001E-6</v>
      </c>
      <c r="R76" s="11">
        <f t="shared" si="17"/>
        <v>0</v>
      </c>
      <c r="S76" s="6">
        <f t="shared" si="12"/>
        <v>0.53817503348507978</v>
      </c>
      <c r="T76">
        <f t="shared" si="18"/>
        <v>3.1836357035063025E-3</v>
      </c>
      <c r="U76" s="5">
        <f t="shared" si="19"/>
        <v>1.7836357035063025E-3</v>
      </c>
    </row>
    <row r="77" spans="1:21" x14ac:dyDescent="0.2">
      <c r="A77" t="s">
        <v>8</v>
      </c>
      <c r="B77" t="s">
        <v>9</v>
      </c>
      <c r="C77">
        <v>1950</v>
      </c>
      <c r="D77" t="s">
        <v>10</v>
      </c>
      <c r="E77">
        <v>0.9</v>
      </c>
      <c r="F77">
        <v>846</v>
      </c>
      <c r="G77" s="10">
        <v>1.18417E-6</v>
      </c>
      <c r="H77" s="5">
        <v>1.4E-3</v>
      </c>
      <c r="I77" s="5">
        <f t="shared" si="13"/>
        <v>1.4E-3</v>
      </c>
      <c r="J77" s="1">
        <f t="shared" si="14"/>
        <v>0</v>
      </c>
      <c r="K77" s="7">
        <f t="shared" si="15"/>
        <v>0</v>
      </c>
      <c r="M77">
        <f t="shared" si="10"/>
        <v>1.3149243918474687E-6</v>
      </c>
      <c r="N77" s="9">
        <f t="shared" si="11"/>
        <v>7.5853766023863192E-3</v>
      </c>
      <c r="Q77" s="10">
        <f t="shared" si="16"/>
        <v>1.18417E-6</v>
      </c>
      <c r="R77" s="11">
        <f t="shared" si="17"/>
        <v>0</v>
      </c>
      <c r="S77" s="6">
        <f t="shared" si="12"/>
        <v>0.53679421879648936</v>
      </c>
      <c r="T77">
        <f t="shared" si="18"/>
        <v>3.1754673369545228E-3</v>
      </c>
      <c r="U77" s="5">
        <f t="shared" si="19"/>
        <v>1.7754673369545229E-3</v>
      </c>
    </row>
    <row r="78" spans="1:21" x14ac:dyDescent="0.2">
      <c r="A78" t="s">
        <v>8</v>
      </c>
      <c r="B78" t="s">
        <v>9</v>
      </c>
      <c r="C78">
        <v>1955</v>
      </c>
      <c r="D78" t="s">
        <v>10</v>
      </c>
      <c r="E78">
        <v>0.95</v>
      </c>
      <c r="F78">
        <v>883</v>
      </c>
      <c r="G78" s="10">
        <v>1.2435700000000001E-6</v>
      </c>
      <c r="H78" s="5">
        <v>1.5E-3</v>
      </c>
      <c r="I78" s="5">
        <f t="shared" si="13"/>
        <v>1.5E-3</v>
      </c>
      <c r="J78" s="1">
        <f t="shared" si="14"/>
        <v>0</v>
      </c>
      <c r="K78" s="7">
        <f t="shared" si="15"/>
        <v>0</v>
      </c>
      <c r="M78">
        <f t="shared" si="10"/>
        <v>1.3082070368456512E-6</v>
      </c>
      <c r="N78" s="9">
        <f t="shared" si="11"/>
        <v>7.5682047643888242E-3</v>
      </c>
      <c r="Q78" s="10">
        <f t="shared" si="16"/>
        <v>1.2435699999999999E-6</v>
      </c>
      <c r="R78" s="11">
        <f t="shared" si="17"/>
        <v>0</v>
      </c>
      <c r="S78" s="6">
        <f t="shared" si="12"/>
        <v>0.55009274975528744</v>
      </c>
      <c r="T78">
        <f t="shared" si="18"/>
        <v>3.254136311415203E-3</v>
      </c>
      <c r="U78" s="5">
        <f t="shared" si="19"/>
        <v>1.754136311415203E-3</v>
      </c>
    </row>
    <row r="79" spans="1:21" x14ac:dyDescent="0.2">
      <c r="A79" t="s">
        <v>8</v>
      </c>
      <c r="B79" t="s">
        <v>9</v>
      </c>
      <c r="C79">
        <v>1960</v>
      </c>
      <c r="D79" t="s">
        <v>10</v>
      </c>
      <c r="E79">
        <v>1</v>
      </c>
      <c r="F79">
        <v>888</v>
      </c>
      <c r="G79" s="10">
        <v>1.3023499999999999E-6</v>
      </c>
      <c r="H79" s="5">
        <v>1.5E-3</v>
      </c>
      <c r="I79" s="5">
        <f t="shared" si="13"/>
        <v>1.5E-3</v>
      </c>
      <c r="J79" s="1">
        <f t="shared" si="14"/>
        <v>0</v>
      </c>
      <c r="K79" s="7">
        <f t="shared" si="15"/>
        <v>0</v>
      </c>
      <c r="M79">
        <f t="shared" si="10"/>
        <v>1.3015410245730946E-6</v>
      </c>
      <c r="N79" s="9">
        <f t="shared" si="11"/>
        <v>7.5598668181347294E-3</v>
      </c>
      <c r="Q79" s="10">
        <f t="shared" si="16"/>
        <v>1.3023499999999999E-6</v>
      </c>
      <c r="R79" s="11">
        <f t="shared" si="17"/>
        <v>0</v>
      </c>
      <c r="S79" s="6">
        <f t="shared" si="12"/>
        <v>0.56294330679622306</v>
      </c>
      <c r="T79">
        <f t="shared" si="18"/>
        <v>3.3301552451448762E-3</v>
      </c>
      <c r="U79" s="5">
        <f t="shared" si="19"/>
        <v>1.8301552451448762E-3</v>
      </c>
    </row>
    <row r="80" spans="1:21" x14ac:dyDescent="0.2">
      <c r="A80" t="s">
        <v>8</v>
      </c>
      <c r="B80" t="s">
        <v>9</v>
      </c>
      <c r="C80">
        <v>1965</v>
      </c>
      <c r="D80" t="s">
        <v>10</v>
      </c>
      <c r="E80">
        <v>1</v>
      </c>
      <c r="F80">
        <v>688</v>
      </c>
      <c r="G80" s="10">
        <v>1.2957299999999999E-6</v>
      </c>
      <c r="H80" s="5">
        <v>1.5E-3</v>
      </c>
      <c r="I80" s="5">
        <f t="shared" si="13"/>
        <v>1.5E-3</v>
      </c>
      <c r="J80" s="1">
        <f t="shared" si="14"/>
        <v>0</v>
      </c>
      <c r="K80" s="7">
        <f t="shared" si="15"/>
        <v>0</v>
      </c>
      <c r="M80">
        <f t="shared" si="10"/>
        <v>1.294925833122908E-6</v>
      </c>
      <c r="N80" s="9">
        <f t="shared" si="11"/>
        <v>7.5533233917856905E-3</v>
      </c>
      <c r="Q80" s="10">
        <f t="shared" si="16"/>
        <v>1.2957299999999999E-6</v>
      </c>
      <c r="R80" s="11">
        <f t="shared" si="17"/>
        <v>0</v>
      </c>
      <c r="S80" s="6">
        <f t="shared" si="12"/>
        <v>0.56151073008447483</v>
      </c>
      <c r="T80">
        <f t="shared" si="18"/>
        <v>3.3216806744499135E-3</v>
      </c>
      <c r="U80" s="5">
        <f t="shared" si="19"/>
        <v>1.8216806744499135E-3</v>
      </c>
    </row>
    <row r="81" spans="1:21" x14ac:dyDescent="0.2">
      <c r="A81" t="s">
        <v>8</v>
      </c>
      <c r="B81" t="s">
        <v>9</v>
      </c>
      <c r="C81">
        <v>1970</v>
      </c>
      <c r="D81" t="s">
        <v>10</v>
      </c>
      <c r="E81">
        <v>1.05</v>
      </c>
      <c r="F81">
        <v>873</v>
      </c>
      <c r="G81" s="10">
        <v>1.35362E-6</v>
      </c>
      <c r="H81" s="5">
        <v>1.6000000000000001E-3</v>
      </c>
      <c r="I81" s="5">
        <f t="shared" si="13"/>
        <v>1.6000000000000001E-3</v>
      </c>
      <c r="J81" s="1">
        <f t="shared" si="14"/>
        <v>0</v>
      </c>
      <c r="K81" s="7">
        <f t="shared" si="15"/>
        <v>0</v>
      </c>
      <c r="M81">
        <f t="shared" si="10"/>
        <v>1.2883609472029683E-6</v>
      </c>
      <c r="N81" s="9">
        <f t="shared" si="11"/>
        <v>7.5615111927837169E-3</v>
      </c>
      <c r="Q81" s="10">
        <f t="shared" si="16"/>
        <v>1.3536199999999998E-6</v>
      </c>
      <c r="R81" s="11">
        <f t="shared" si="17"/>
        <v>0</v>
      </c>
      <c r="S81" s="6">
        <f t="shared" si="12"/>
        <v>0.57391712525996874</v>
      </c>
      <c r="T81">
        <f t="shared" si="18"/>
        <v>3.3950721180788304E-3</v>
      </c>
      <c r="U81" s="5">
        <f t="shared" si="19"/>
        <v>1.7950721180788303E-3</v>
      </c>
    </row>
    <row r="82" spans="1:21" x14ac:dyDescent="0.2">
      <c r="A82" t="s">
        <v>8</v>
      </c>
      <c r="B82" t="s">
        <v>9</v>
      </c>
      <c r="C82">
        <v>1975</v>
      </c>
      <c r="D82" t="s">
        <v>10</v>
      </c>
      <c r="E82">
        <v>1.05</v>
      </c>
      <c r="F82">
        <v>812</v>
      </c>
      <c r="G82" s="10">
        <v>1.34678E-6</v>
      </c>
      <c r="H82" s="5">
        <v>1.6000000000000001E-3</v>
      </c>
      <c r="I82" s="5">
        <f t="shared" si="13"/>
        <v>1.6000000000000001E-3</v>
      </c>
      <c r="J82" s="1">
        <f t="shared" si="14"/>
        <v>0</v>
      </c>
      <c r="K82" s="7">
        <f t="shared" si="15"/>
        <v>0</v>
      </c>
      <c r="M82">
        <f t="shared" si="10"/>
        <v>1.2818458580355712E-6</v>
      </c>
      <c r="N82" s="9">
        <f t="shared" si="11"/>
        <v>7.6075524347463865E-3</v>
      </c>
      <c r="Q82" s="10">
        <f t="shared" si="16"/>
        <v>1.3467800000000003E-6</v>
      </c>
      <c r="R82" s="11">
        <f t="shared" si="17"/>
        <v>0</v>
      </c>
      <c r="S82" s="6">
        <f t="shared" si="12"/>
        <v>0.57246525367629664</v>
      </c>
      <c r="T82">
        <f t="shared" si="18"/>
        <v>3.3864834063715024E-3</v>
      </c>
      <c r="U82" s="5">
        <f t="shared" si="19"/>
        <v>1.7864834063715024E-3</v>
      </c>
    </row>
    <row r="83" spans="1:21" x14ac:dyDescent="0.2">
      <c r="A83" t="s">
        <v>8</v>
      </c>
      <c r="B83" t="s">
        <v>9</v>
      </c>
      <c r="C83">
        <v>1980</v>
      </c>
      <c r="D83" t="s">
        <v>10</v>
      </c>
      <c r="E83">
        <v>1.1000000000000001</v>
      </c>
      <c r="F83">
        <v>667</v>
      </c>
      <c r="G83" s="10">
        <v>1.4037899999999999E-6</v>
      </c>
      <c r="H83" s="5">
        <v>1.6999999999999999E-3</v>
      </c>
      <c r="I83" s="5">
        <f t="shared" si="13"/>
        <v>1.6999999999999999E-3</v>
      </c>
      <c r="J83" s="1">
        <f t="shared" si="14"/>
        <v>0</v>
      </c>
      <c r="K83" s="7">
        <f t="shared" si="15"/>
        <v>0</v>
      </c>
      <c r="M83">
        <f t="shared" si="10"/>
        <v>1.275380063258851E-6</v>
      </c>
      <c r="N83" s="9">
        <f t="shared" si="11"/>
        <v>7.559380453759341E-3</v>
      </c>
      <c r="Q83" s="10">
        <f t="shared" si="16"/>
        <v>1.4037899999999999E-6</v>
      </c>
      <c r="R83" s="11">
        <f t="shared" si="17"/>
        <v>0</v>
      </c>
      <c r="S83" s="6">
        <f t="shared" si="12"/>
        <v>0.58445607191644433</v>
      </c>
      <c r="T83">
        <f t="shared" si="18"/>
        <v>3.4574164573091901E-3</v>
      </c>
      <c r="U83" s="5">
        <f t="shared" si="19"/>
        <v>1.7574164573091902E-3</v>
      </c>
    </row>
    <row r="84" spans="1:21" x14ac:dyDescent="0.2">
      <c r="A84" t="s">
        <v>8</v>
      </c>
      <c r="B84" t="s">
        <v>9</v>
      </c>
      <c r="C84">
        <v>1985</v>
      </c>
      <c r="D84" t="s">
        <v>10</v>
      </c>
      <c r="E84">
        <v>1.1499999999999999</v>
      </c>
      <c r="F84">
        <v>643</v>
      </c>
      <c r="G84" s="10">
        <v>1.4602199999999999E-6</v>
      </c>
      <c r="H84" s="5">
        <v>1.6999999999999999E-3</v>
      </c>
      <c r="I84" s="5">
        <f t="shared" si="13"/>
        <v>1.6999999999999999E-3</v>
      </c>
      <c r="J84" s="1">
        <f t="shared" si="14"/>
        <v>0</v>
      </c>
      <c r="K84" s="7">
        <f t="shared" si="15"/>
        <v>0</v>
      </c>
      <c r="M84">
        <f t="shared" si="10"/>
        <v>1.2689630668299399E-6</v>
      </c>
      <c r="N84" s="9">
        <f t="shared" si="11"/>
        <v>7.6051736890918034E-3</v>
      </c>
      <c r="Q84" s="10">
        <f t="shared" si="16"/>
        <v>1.4602199999999999E-6</v>
      </c>
      <c r="R84" s="11">
        <f t="shared" si="17"/>
        <v>0</v>
      </c>
      <c r="S84" s="6">
        <f t="shared" si="12"/>
        <v>0.59608740969760465</v>
      </c>
      <c r="T84">
        <f t="shared" si="18"/>
        <v>3.5262229606503942E-3</v>
      </c>
      <c r="U84" s="5">
        <f t="shared" si="19"/>
        <v>1.8262229606503943E-3</v>
      </c>
    </row>
    <row r="85" spans="1:21" x14ac:dyDescent="0.2">
      <c r="A85" t="s">
        <v>8</v>
      </c>
      <c r="B85" t="s">
        <v>9</v>
      </c>
      <c r="C85">
        <v>1990</v>
      </c>
      <c r="D85" t="s">
        <v>10</v>
      </c>
      <c r="E85">
        <v>1.1499999999999999</v>
      </c>
      <c r="F85">
        <v>568</v>
      </c>
      <c r="G85" s="10">
        <v>1.45289E-6</v>
      </c>
      <c r="H85" s="5">
        <v>1.6999999999999999E-3</v>
      </c>
      <c r="I85" s="5">
        <f t="shared" si="13"/>
        <v>1.6999999999999999E-3</v>
      </c>
      <c r="J85" s="1">
        <f t="shared" si="14"/>
        <v>0</v>
      </c>
      <c r="K85" s="7">
        <f t="shared" si="15"/>
        <v>0</v>
      </c>
      <c r="M85">
        <f t="shared" si="10"/>
        <v>1.262594378929825E-6</v>
      </c>
      <c r="N85" s="9">
        <f t="shared" si="11"/>
        <v>7.5932038778070664E-3</v>
      </c>
      <c r="Q85" s="10">
        <f t="shared" si="16"/>
        <v>1.45289E-6</v>
      </c>
      <c r="R85" s="11">
        <f t="shared" si="17"/>
        <v>0</v>
      </c>
      <c r="S85" s="6">
        <f t="shared" si="12"/>
        <v>0.59458941015348288</v>
      </c>
      <c r="T85">
        <f t="shared" si="18"/>
        <v>3.5173613737394986E-3</v>
      </c>
      <c r="U85" s="5">
        <f t="shared" si="19"/>
        <v>1.8173613737394987E-3</v>
      </c>
    </row>
    <row r="86" spans="1:21" x14ac:dyDescent="0.2">
      <c r="A86" t="s">
        <v>8</v>
      </c>
      <c r="B86" t="s">
        <v>9</v>
      </c>
      <c r="C86">
        <v>1995</v>
      </c>
      <c r="D86" t="s">
        <v>10</v>
      </c>
      <c r="E86">
        <v>1.2</v>
      </c>
      <c r="F86">
        <v>553</v>
      </c>
      <c r="G86" s="10">
        <v>1.5084700000000001E-6</v>
      </c>
      <c r="H86" s="5">
        <v>1.8E-3</v>
      </c>
      <c r="I86" s="5">
        <f t="shared" si="13"/>
        <v>1.8E-3</v>
      </c>
      <c r="J86" s="1">
        <f t="shared" si="14"/>
        <v>0</v>
      </c>
      <c r="K86" s="7">
        <f t="shared" si="15"/>
        <v>0</v>
      </c>
      <c r="M86">
        <f t="shared" si="10"/>
        <v>1.2562735158698752E-6</v>
      </c>
      <c r="N86" s="9">
        <f t="shared" si="11"/>
        <v>7.5983700962185159E-3</v>
      </c>
      <c r="Q86" s="10">
        <f t="shared" si="16"/>
        <v>1.5084700000000001E-6</v>
      </c>
      <c r="R86" s="11">
        <f t="shared" si="17"/>
        <v>0</v>
      </c>
      <c r="S86" s="6">
        <f t="shared" si="12"/>
        <v>0.60585562086468536</v>
      </c>
      <c r="T86">
        <f t="shared" si="18"/>
        <v>3.5840079263139289E-3</v>
      </c>
      <c r="U86" s="5">
        <f t="shared" si="19"/>
        <v>1.784007926313929E-3</v>
      </c>
    </row>
    <row r="87" spans="1:21" x14ac:dyDescent="0.2">
      <c r="A87" t="s">
        <v>8</v>
      </c>
      <c r="B87" t="s">
        <v>9</v>
      </c>
      <c r="C87">
        <v>2000</v>
      </c>
      <c r="D87" t="s">
        <v>10</v>
      </c>
      <c r="E87">
        <v>1.2</v>
      </c>
      <c r="F87">
        <v>692</v>
      </c>
      <c r="G87" s="10">
        <v>1.5009300000000001E-6</v>
      </c>
      <c r="H87" s="5">
        <v>1.8E-3</v>
      </c>
      <c r="I87" s="5">
        <f t="shared" si="13"/>
        <v>1.8E-3</v>
      </c>
      <c r="J87" s="1">
        <f t="shared" si="14"/>
        <v>0</v>
      </c>
      <c r="K87" s="7">
        <f t="shared" si="15"/>
        <v>0</v>
      </c>
      <c r="M87">
        <f t="shared" si="10"/>
        <v>1.2500000000000001E-6</v>
      </c>
      <c r="N87" s="9">
        <f t="shared" si="11"/>
        <v>7.5409958661040105E-3</v>
      </c>
      <c r="Q87" s="10">
        <f t="shared" si="16"/>
        <v>1.5009300000000001E-6</v>
      </c>
      <c r="R87" s="11">
        <f t="shared" si="17"/>
        <v>0</v>
      </c>
      <c r="S87" s="6">
        <f t="shared" si="12"/>
        <v>0.60433955687179708</v>
      </c>
      <c r="T87">
        <f t="shared" si="18"/>
        <v>3.5750394770989891E-3</v>
      </c>
      <c r="U87" s="5">
        <f t="shared" si="19"/>
        <v>1.7750394770989892E-3</v>
      </c>
    </row>
    <row r="88" spans="1:21" x14ac:dyDescent="0.2">
      <c r="A88" t="s">
        <v>8</v>
      </c>
      <c r="B88" t="s">
        <v>9</v>
      </c>
      <c r="C88">
        <v>2005</v>
      </c>
      <c r="D88" t="s">
        <v>10</v>
      </c>
      <c r="E88">
        <v>1.3</v>
      </c>
      <c r="F88">
        <v>694</v>
      </c>
      <c r="G88" s="10">
        <v>1.6179100000000001E-6</v>
      </c>
      <c r="H88" s="5">
        <v>1.9E-3</v>
      </c>
      <c r="I88" s="5">
        <f t="shared" si="13"/>
        <v>1.9E-3</v>
      </c>
      <c r="J88" s="1">
        <f t="shared" si="14"/>
        <v>0</v>
      </c>
      <c r="K88" s="7">
        <f t="shared" si="15"/>
        <v>0</v>
      </c>
      <c r="M88">
        <f t="shared" si="10"/>
        <v>1.2437733596184104E-6</v>
      </c>
      <c r="N88" s="9">
        <f t="shared" si="11"/>
        <v>7.5571726398445957E-3</v>
      </c>
      <c r="Q88" s="10">
        <f t="shared" si="16"/>
        <v>1.6179100000000001E-6</v>
      </c>
      <c r="R88" s="11">
        <f t="shared" si="17"/>
        <v>0</v>
      </c>
      <c r="S88" s="6">
        <f t="shared" si="12"/>
        <v>0.62744835112806963</v>
      </c>
      <c r="T88">
        <f t="shared" si="18"/>
        <v>3.7117421813898793E-3</v>
      </c>
      <c r="U88" s="5">
        <f t="shared" si="19"/>
        <v>1.8117421813898793E-3</v>
      </c>
    </row>
    <row r="89" spans="1:21" x14ac:dyDescent="0.2">
      <c r="A89" t="s">
        <v>8</v>
      </c>
      <c r="B89" t="s">
        <v>9</v>
      </c>
      <c r="C89">
        <v>2010</v>
      </c>
      <c r="D89" t="s">
        <v>10</v>
      </c>
      <c r="E89">
        <v>1.35</v>
      </c>
      <c r="F89">
        <v>663</v>
      </c>
      <c r="G89" s="10">
        <v>1.67179E-6</v>
      </c>
      <c r="H89" s="5">
        <v>2E-3</v>
      </c>
      <c r="I89" s="5">
        <f t="shared" si="13"/>
        <v>2E-3</v>
      </c>
      <c r="J89" s="1">
        <f t="shared" si="14"/>
        <v>0</v>
      </c>
      <c r="K89" s="7">
        <f t="shared" si="15"/>
        <v>0</v>
      </c>
      <c r="M89">
        <f t="shared" si="10"/>
        <v>1.2375931288829485E-6</v>
      </c>
      <c r="N89" s="9">
        <f t="shared" si="11"/>
        <v>7.5658166740879031E-3</v>
      </c>
      <c r="Q89" s="10">
        <f t="shared" si="16"/>
        <v>1.6717899999999998E-6</v>
      </c>
      <c r="R89" s="11">
        <f t="shared" si="17"/>
        <v>0</v>
      </c>
      <c r="S89" s="6">
        <f t="shared" si="12"/>
        <v>0.63781049954773661</v>
      </c>
      <c r="T89">
        <f t="shared" si="18"/>
        <v>3.7730406505147905E-3</v>
      </c>
      <c r="U89" s="5">
        <f t="shared" si="19"/>
        <v>1.7730406505147905E-3</v>
      </c>
    </row>
    <row r="90" spans="1:21" x14ac:dyDescent="0.2">
      <c r="A90" t="s">
        <v>8</v>
      </c>
      <c r="B90" t="s">
        <v>9</v>
      </c>
      <c r="C90">
        <v>2015</v>
      </c>
      <c r="D90" t="s">
        <v>10</v>
      </c>
      <c r="E90">
        <v>1.35</v>
      </c>
      <c r="F90">
        <v>577</v>
      </c>
      <c r="G90" s="10">
        <v>1.6635100000000001E-6</v>
      </c>
      <c r="H90" s="5">
        <v>2E-3</v>
      </c>
      <c r="I90" s="5">
        <f t="shared" si="13"/>
        <v>2E-3</v>
      </c>
      <c r="J90" s="1">
        <f t="shared" si="14"/>
        <v>0</v>
      </c>
      <c r="K90" s="7">
        <f t="shared" si="15"/>
        <v>0</v>
      </c>
      <c r="M90">
        <f t="shared" si="10"/>
        <v>1.2314588477239562E-6</v>
      </c>
      <c r="N90" s="9">
        <f t="shared" si="11"/>
        <v>7.6128511467226352E-3</v>
      </c>
      <c r="Q90" s="10">
        <f t="shared" si="16"/>
        <v>1.6635100000000003E-6</v>
      </c>
      <c r="R90" s="11">
        <f t="shared" si="17"/>
        <v>0</v>
      </c>
      <c r="S90" s="6">
        <f t="shared" si="12"/>
        <v>0.63622907300227438</v>
      </c>
      <c r="T90">
        <f t="shared" si="18"/>
        <v>3.7636855416759377E-3</v>
      </c>
      <c r="U90" s="5">
        <f t="shared" si="19"/>
        <v>1.7636855416759377E-3</v>
      </c>
    </row>
    <row r="91" spans="1:21" x14ac:dyDescent="0.2">
      <c r="A91" t="s">
        <v>8</v>
      </c>
      <c r="B91" t="s">
        <v>9</v>
      </c>
      <c r="C91">
        <v>2020</v>
      </c>
      <c r="D91" t="s">
        <v>10</v>
      </c>
      <c r="E91">
        <v>1.45</v>
      </c>
      <c r="F91">
        <v>657</v>
      </c>
      <c r="G91" s="10">
        <v>1.7778900000000001E-6</v>
      </c>
      <c r="H91" s="5">
        <v>2.0999999999999999E-3</v>
      </c>
      <c r="I91" s="5">
        <f t="shared" si="13"/>
        <v>2.0999999999999999E-3</v>
      </c>
      <c r="J91" s="1">
        <f t="shared" si="14"/>
        <v>0</v>
      </c>
      <c r="K91" s="7">
        <f t="shared" si="15"/>
        <v>0</v>
      </c>
      <c r="M91">
        <f t="shared" si="10"/>
        <v>1.2253700617586511E-6</v>
      </c>
      <c r="N91" s="9">
        <f t="shared" si="11"/>
        <v>7.5533327626940245E-3</v>
      </c>
      <c r="Q91" s="10">
        <f t="shared" si="16"/>
        <v>1.7778900000000001E-6</v>
      </c>
      <c r="R91" s="11">
        <f t="shared" si="17"/>
        <v>0</v>
      </c>
      <c r="S91" s="6">
        <f t="shared" si="12"/>
        <v>0.65773847386328255</v>
      </c>
      <c r="T91">
        <f t="shared" si="18"/>
        <v>3.89092685218172E-3</v>
      </c>
      <c r="U91" s="5">
        <f t="shared" si="19"/>
        <v>1.7909268521817201E-3</v>
      </c>
    </row>
    <row r="92" spans="1:21" x14ac:dyDescent="0.2">
      <c r="A92" t="s">
        <v>8</v>
      </c>
      <c r="B92" t="s">
        <v>9</v>
      </c>
      <c r="C92">
        <v>2025</v>
      </c>
      <c r="D92" t="s">
        <v>10</v>
      </c>
      <c r="E92">
        <v>1.5</v>
      </c>
      <c r="F92">
        <v>653</v>
      </c>
      <c r="G92" s="10">
        <v>1.83013E-6</v>
      </c>
      <c r="H92" s="5">
        <v>2.2000000000000001E-3</v>
      </c>
      <c r="I92" s="5">
        <f t="shared" si="13"/>
        <v>2.2000000000000001E-3</v>
      </c>
      <c r="J92" s="1">
        <f t="shared" si="14"/>
        <v>0</v>
      </c>
      <c r="K92" s="7">
        <f t="shared" si="15"/>
        <v>0</v>
      </c>
      <c r="M92">
        <f t="shared" si="10"/>
        <v>1.2193263222069807E-6</v>
      </c>
      <c r="N92" s="9">
        <f t="shared" si="11"/>
        <v>7.5844950687894153E-3</v>
      </c>
      <c r="Q92" s="10">
        <f t="shared" si="16"/>
        <v>1.83013E-6</v>
      </c>
      <c r="R92" s="11">
        <f t="shared" si="17"/>
        <v>0</v>
      </c>
      <c r="S92" s="6">
        <f t="shared" si="12"/>
        <v>0.66733172660479234</v>
      </c>
      <c r="T92">
        <f t="shared" si="18"/>
        <v>3.9476768313527191E-3</v>
      </c>
      <c r="U92" s="5">
        <f t="shared" si="19"/>
        <v>1.747676831352719E-3</v>
      </c>
    </row>
    <row r="93" spans="1:21" x14ac:dyDescent="0.2">
      <c r="A93" t="s">
        <v>8</v>
      </c>
      <c r="B93" t="s">
        <v>9</v>
      </c>
      <c r="C93">
        <v>2030</v>
      </c>
      <c r="D93" t="s">
        <v>10</v>
      </c>
      <c r="E93">
        <v>1.5</v>
      </c>
      <c r="F93">
        <v>664</v>
      </c>
      <c r="G93" s="10">
        <v>1.82113E-6</v>
      </c>
      <c r="H93" s="5">
        <v>2.0999999999999999E-3</v>
      </c>
      <c r="I93" s="5">
        <f t="shared" si="13"/>
        <v>2.0999999999999999E-3</v>
      </c>
      <c r="J93" s="1">
        <f t="shared" si="14"/>
        <v>0</v>
      </c>
      <c r="K93" s="7">
        <f t="shared" si="15"/>
        <v>0</v>
      </c>
      <c r="M93">
        <f t="shared" si="10"/>
        <v>1.2133271858089253E-6</v>
      </c>
      <c r="N93" s="9">
        <f t="shared" si="11"/>
        <v>7.6133294929898012E-3</v>
      </c>
      <c r="Q93" s="10">
        <f t="shared" si="16"/>
        <v>1.82113E-6</v>
      </c>
      <c r="R93" s="11">
        <f t="shared" si="17"/>
        <v>0</v>
      </c>
      <c r="S93" s="6">
        <f t="shared" si="12"/>
        <v>0.66568884122638949</v>
      </c>
      <c r="T93">
        <f t="shared" si="18"/>
        <v>3.9379581557880405E-3</v>
      </c>
      <c r="U93" s="5">
        <f t="shared" si="19"/>
        <v>1.8379581557880407E-3</v>
      </c>
    </row>
    <row r="94" spans="1:21" x14ac:dyDescent="0.2">
      <c r="A94" t="s">
        <v>8</v>
      </c>
      <c r="B94" t="s">
        <v>9</v>
      </c>
      <c r="C94">
        <v>2035</v>
      </c>
      <c r="D94" t="s">
        <v>10</v>
      </c>
      <c r="E94">
        <v>1.6</v>
      </c>
      <c r="F94">
        <v>770</v>
      </c>
      <c r="G94" s="10">
        <v>1.933E-6</v>
      </c>
      <c r="H94" s="5">
        <v>2.3E-3</v>
      </c>
      <c r="I94" s="5">
        <f t="shared" si="13"/>
        <v>2.3E-3</v>
      </c>
      <c r="J94" s="1">
        <f t="shared" si="14"/>
        <v>0</v>
      </c>
      <c r="K94" s="7">
        <f t="shared" si="15"/>
        <v>0</v>
      </c>
      <c r="M94">
        <f t="shared" si="10"/>
        <v>1.2073722147432222E-6</v>
      </c>
      <c r="N94" s="9">
        <f t="shared" si="11"/>
        <v>7.583438748273566E-3</v>
      </c>
      <c r="Q94" s="10">
        <f t="shared" si="16"/>
        <v>1.933E-6</v>
      </c>
      <c r="R94" s="11">
        <f t="shared" si="17"/>
        <v>0</v>
      </c>
      <c r="S94" s="6">
        <f t="shared" si="12"/>
        <v>0.68583039691554448</v>
      </c>
      <c r="T94">
        <f t="shared" si="18"/>
        <v>4.0571078223954043E-3</v>
      </c>
      <c r="U94" s="5">
        <f t="shared" si="19"/>
        <v>1.7571078223954043E-3</v>
      </c>
    </row>
    <row r="95" spans="1:21" x14ac:dyDescent="0.2">
      <c r="A95" t="s">
        <v>8</v>
      </c>
      <c r="B95" t="s">
        <v>9</v>
      </c>
      <c r="C95">
        <v>2040</v>
      </c>
      <c r="D95" t="s">
        <v>10</v>
      </c>
      <c r="E95">
        <v>1.65</v>
      </c>
      <c r="F95">
        <v>739</v>
      </c>
      <c r="G95" s="10">
        <v>1.9836500000000001E-6</v>
      </c>
      <c r="H95" s="5">
        <v>2.3E-3</v>
      </c>
      <c r="I95" s="5">
        <f t="shared" si="13"/>
        <v>2.3E-3</v>
      </c>
      <c r="J95" s="1">
        <f t="shared" si="14"/>
        <v>0</v>
      </c>
      <c r="K95" s="7">
        <f t="shared" si="15"/>
        <v>0</v>
      </c>
      <c r="M95">
        <f t="shared" si="10"/>
        <v>1.2014609765474818E-6</v>
      </c>
      <c r="N95" s="9">
        <f t="shared" si="11"/>
        <v>7.6041347378890305E-3</v>
      </c>
      <c r="Q95" s="10">
        <f t="shared" si="16"/>
        <v>1.9836500000000001E-6</v>
      </c>
      <c r="R95" s="11">
        <f t="shared" si="17"/>
        <v>0</v>
      </c>
      <c r="S95" s="6">
        <f t="shared" si="12"/>
        <v>0.69475763160016224</v>
      </c>
      <c r="T95">
        <f t="shared" si="18"/>
        <v>4.1099178958978518E-3</v>
      </c>
      <c r="U95" s="5">
        <f t="shared" si="19"/>
        <v>1.8099178958978519E-3</v>
      </c>
    </row>
    <row r="96" spans="1:21" x14ac:dyDescent="0.2">
      <c r="A96" t="s">
        <v>8</v>
      </c>
      <c r="B96" t="s">
        <v>9</v>
      </c>
      <c r="C96">
        <v>2045</v>
      </c>
      <c r="D96" t="s">
        <v>10</v>
      </c>
      <c r="E96">
        <v>1.7</v>
      </c>
      <c r="F96">
        <v>763</v>
      </c>
      <c r="G96" s="10">
        <v>2.0337699999999999E-6</v>
      </c>
      <c r="H96" s="5">
        <v>2.3999999999999998E-3</v>
      </c>
      <c r="I96" s="5">
        <f t="shared" si="13"/>
        <v>2.3999999999999998E-3</v>
      </c>
      <c r="J96" s="1">
        <f t="shared" si="14"/>
        <v>0</v>
      </c>
      <c r="K96" s="7">
        <f t="shared" si="15"/>
        <v>0</v>
      </c>
      <c r="M96">
        <f t="shared" si="10"/>
        <v>1.1955930440396697E-6</v>
      </c>
      <c r="N96" s="9">
        <f t="shared" si="11"/>
        <v>7.5509867313863438E-3</v>
      </c>
      <c r="Q96" s="10">
        <f t="shared" si="16"/>
        <v>2.0337699999999999E-6</v>
      </c>
      <c r="R96" s="11">
        <f t="shared" si="17"/>
        <v>0</v>
      </c>
      <c r="S96" s="6">
        <f t="shared" si="12"/>
        <v>0.70347994522469037</v>
      </c>
      <c r="T96">
        <f t="shared" si="18"/>
        <v>4.1615157355308135E-3</v>
      </c>
      <c r="U96" s="5">
        <f t="shared" si="19"/>
        <v>1.7615157355308137E-3</v>
      </c>
    </row>
    <row r="97" spans="1:21" x14ac:dyDescent="0.2">
      <c r="A97" t="s">
        <v>8</v>
      </c>
      <c r="B97" t="s">
        <v>9</v>
      </c>
      <c r="C97">
        <v>2050</v>
      </c>
      <c r="D97" t="s">
        <v>10</v>
      </c>
      <c r="E97">
        <v>1.75</v>
      </c>
      <c r="F97">
        <v>736</v>
      </c>
      <c r="G97" s="10">
        <v>2.08339E-6</v>
      </c>
      <c r="H97" s="5">
        <v>2.5000000000000001E-3</v>
      </c>
      <c r="I97" s="5">
        <f t="shared" si="13"/>
        <v>2.5000000000000001E-3</v>
      </c>
      <c r="J97" s="1">
        <f t="shared" si="14"/>
        <v>0</v>
      </c>
      <c r="K97" s="7">
        <f t="shared" si="15"/>
        <v>0</v>
      </c>
      <c r="M97">
        <f t="shared" si="10"/>
        <v>1.189767995240928E-6</v>
      </c>
      <c r="N97" s="9">
        <f t="shared" si="11"/>
        <v>7.5708378036720304E-3</v>
      </c>
      <c r="Q97" s="10">
        <f t="shared" si="16"/>
        <v>2.08339E-6</v>
      </c>
      <c r="R97" s="11">
        <f t="shared" si="17"/>
        <v>0</v>
      </c>
      <c r="S97" s="6">
        <f t="shared" si="12"/>
        <v>0.71200999524819397</v>
      </c>
      <c r="T97">
        <f t="shared" si="18"/>
        <v>4.2119762179349532E-3</v>
      </c>
      <c r="U97" s="5">
        <f t="shared" si="19"/>
        <v>1.7119762179349531E-3</v>
      </c>
    </row>
    <row r="98" spans="1:21" x14ac:dyDescent="0.2">
      <c r="A98" t="s">
        <v>8</v>
      </c>
      <c r="B98" t="s">
        <v>9</v>
      </c>
      <c r="C98">
        <v>2055</v>
      </c>
      <c r="D98" t="s">
        <v>10</v>
      </c>
      <c r="E98">
        <v>1.85</v>
      </c>
      <c r="F98">
        <v>732</v>
      </c>
      <c r="G98" s="10">
        <v>2.19174E-6</v>
      </c>
      <c r="H98" s="5">
        <v>2.5999999999999999E-3</v>
      </c>
      <c r="I98" s="5">
        <f t="shared" si="13"/>
        <v>2.5999999999999999E-3</v>
      </c>
      <c r="J98" s="1">
        <f t="shared" si="14"/>
        <v>0</v>
      </c>
      <c r="K98" s="7">
        <f t="shared" si="15"/>
        <v>0</v>
      </c>
      <c r="M98">
        <f t="shared" ref="M98:M156" si="20">(C99-C97)/2/C98^2</f>
        <v>1.1839854132997081E-6</v>
      </c>
      <c r="N98" s="9">
        <f t="shared" ref="N98:N157" si="21">1/$H$211*(LN(G98/(E98*M98)))</f>
        <v>7.5907016226138407E-3</v>
      </c>
      <c r="Q98" s="10">
        <f t="shared" si="16"/>
        <v>2.1917400000000004E-6</v>
      </c>
      <c r="R98" s="11">
        <f t="shared" si="17"/>
        <v>0</v>
      </c>
      <c r="S98" s="6">
        <f t="shared" si="12"/>
        <v>0.73028994242013212</v>
      </c>
      <c r="T98">
        <f t="shared" si="18"/>
        <v>4.3201133273395361E-3</v>
      </c>
      <c r="U98" s="5">
        <f t="shared" si="19"/>
        <v>1.7201133273395362E-3</v>
      </c>
    </row>
    <row r="99" spans="1:21" x14ac:dyDescent="0.2">
      <c r="A99" t="s">
        <v>8</v>
      </c>
      <c r="B99" t="s">
        <v>9</v>
      </c>
      <c r="C99">
        <v>2060</v>
      </c>
      <c r="D99" t="s">
        <v>10</v>
      </c>
      <c r="E99">
        <v>1.9</v>
      </c>
      <c r="F99">
        <v>728</v>
      </c>
      <c r="G99" s="10">
        <v>2.2400600000000001E-6</v>
      </c>
      <c r="H99" s="5">
        <v>2.5999999999999999E-3</v>
      </c>
      <c r="I99" s="5">
        <f t="shared" si="13"/>
        <v>2.5999999999999999E-3</v>
      </c>
      <c r="J99" s="1">
        <f t="shared" si="14"/>
        <v>0</v>
      </c>
      <c r="K99" s="7">
        <f t="shared" si="15"/>
        <v>0</v>
      </c>
      <c r="M99">
        <f t="shared" si="20"/>
        <v>1.1782448864171929E-6</v>
      </c>
      <c r="N99" s="9">
        <f t="shared" si="21"/>
        <v>7.5776216643506592E-3</v>
      </c>
      <c r="Q99" s="10">
        <f t="shared" si="16"/>
        <v>2.2400600000000001E-6</v>
      </c>
      <c r="R99" s="11">
        <f t="shared" si="17"/>
        <v>0</v>
      </c>
      <c r="S99" s="6">
        <f t="shared" si="12"/>
        <v>0.73829619169183491</v>
      </c>
      <c r="T99">
        <f t="shared" si="18"/>
        <v>4.3674752067405639E-3</v>
      </c>
      <c r="U99" s="5">
        <f t="shared" si="19"/>
        <v>1.767475206740564E-3</v>
      </c>
    </row>
    <row r="100" spans="1:21" x14ac:dyDescent="0.2">
      <c r="A100" t="s">
        <v>8</v>
      </c>
      <c r="B100" t="s">
        <v>9</v>
      </c>
      <c r="C100">
        <v>2065</v>
      </c>
      <c r="D100" t="s">
        <v>10</v>
      </c>
      <c r="E100">
        <v>1.95</v>
      </c>
      <c r="F100">
        <v>653</v>
      </c>
      <c r="G100" s="10">
        <v>2.2878899999999999E-6</v>
      </c>
      <c r="H100" s="5">
        <v>2.7000000000000001E-3</v>
      </c>
      <c r="I100" s="5">
        <f t="shared" si="13"/>
        <v>2.7000000000000001E-3</v>
      </c>
      <c r="J100" s="1">
        <f t="shared" si="14"/>
        <v>0</v>
      </c>
      <c r="K100" s="7">
        <f t="shared" si="15"/>
        <v>0</v>
      </c>
      <c r="M100">
        <f t="shared" si="20"/>
        <v>1.1725460077739801E-6</v>
      </c>
      <c r="N100" s="9">
        <f t="shared" si="21"/>
        <v>7.5818196022360779E-3</v>
      </c>
      <c r="Q100" s="10">
        <f t="shared" si="16"/>
        <v>2.2878899999999995E-6</v>
      </c>
      <c r="R100" s="11">
        <f t="shared" si="17"/>
        <v>0</v>
      </c>
      <c r="S100" s="6">
        <f t="shared" si="12"/>
        <v>0.74613664968288484</v>
      </c>
      <c r="T100">
        <f t="shared" si="18"/>
        <v>4.4138563289388682E-3</v>
      </c>
      <c r="U100" s="5">
        <f t="shared" si="19"/>
        <v>1.713856328938868E-3</v>
      </c>
    </row>
    <row r="101" spans="1:21" x14ac:dyDescent="0.2">
      <c r="A101" t="s">
        <v>8</v>
      </c>
      <c r="B101" t="s">
        <v>9</v>
      </c>
      <c r="C101">
        <v>2070</v>
      </c>
      <c r="D101" t="s">
        <v>10</v>
      </c>
      <c r="E101">
        <v>2.0499999999999998</v>
      </c>
      <c r="F101">
        <v>720</v>
      </c>
      <c r="G101" s="10">
        <v>2.3936100000000001E-6</v>
      </c>
      <c r="H101" s="5">
        <v>2.8E-3</v>
      </c>
      <c r="I101" s="5">
        <f t="shared" si="13"/>
        <v>2.8E-3</v>
      </c>
      <c r="J101" s="1">
        <f t="shared" si="14"/>
        <v>0</v>
      </c>
      <c r="K101" s="7">
        <f t="shared" si="15"/>
        <v>0</v>
      </c>
      <c r="M101">
        <f t="shared" si="20"/>
        <v>1.1668883754580037E-6</v>
      </c>
      <c r="N101" s="9">
        <f t="shared" si="21"/>
        <v>7.5700460641806031E-3</v>
      </c>
      <c r="Q101" s="10">
        <f t="shared" si="16"/>
        <v>2.3936099999999997E-6</v>
      </c>
      <c r="R101" s="11">
        <f t="shared" si="17"/>
        <v>0</v>
      </c>
      <c r="S101" s="6">
        <f t="shared" si="12"/>
        <v>0.76318090909036762</v>
      </c>
      <c r="T101">
        <f t="shared" si="18"/>
        <v>4.5146835866399435E-3</v>
      </c>
      <c r="U101" s="5">
        <f t="shared" si="19"/>
        <v>1.7146835866399435E-3</v>
      </c>
    </row>
    <row r="102" spans="1:21" x14ac:dyDescent="0.2">
      <c r="A102" t="s">
        <v>8</v>
      </c>
      <c r="B102" t="s">
        <v>9</v>
      </c>
      <c r="C102">
        <v>2075</v>
      </c>
      <c r="D102" t="s">
        <v>10</v>
      </c>
      <c r="E102">
        <v>2.15</v>
      </c>
      <c r="F102">
        <v>640</v>
      </c>
      <c r="G102" s="10">
        <v>2.49829E-6</v>
      </c>
      <c r="H102" s="5">
        <v>2.8999999999999998E-3</v>
      </c>
      <c r="I102" s="5">
        <f t="shared" si="13"/>
        <v>2.8999999999999998E-3</v>
      </c>
      <c r="J102" s="1">
        <f t="shared" si="14"/>
        <v>0</v>
      </c>
      <c r="K102" s="7">
        <f t="shared" si="15"/>
        <v>0</v>
      </c>
      <c r="M102">
        <f t="shared" si="20"/>
        <v>1.1612715923936711E-6</v>
      </c>
      <c r="N102" s="9">
        <f t="shared" si="21"/>
        <v>7.5804493448143528E-3</v>
      </c>
      <c r="Q102" s="10">
        <f t="shared" si="16"/>
        <v>2.49829E-6</v>
      </c>
      <c r="R102" s="11">
        <f t="shared" si="17"/>
        <v>0</v>
      </c>
      <c r="S102" s="6">
        <f t="shared" si="12"/>
        <v>0.7796904727732239</v>
      </c>
      <c r="T102">
        <f t="shared" si="18"/>
        <v>4.6123477908853261E-3</v>
      </c>
      <c r="U102" s="5">
        <f t="shared" si="19"/>
        <v>1.7123477908853263E-3</v>
      </c>
    </row>
    <row r="103" spans="1:21" x14ac:dyDescent="0.2">
      <c r="A103" t="s">
        <v>8</v>
      </c>
      <c r="B103" t="s">
        <v>9</v>
      </c>
      <c r="C103">
        <v>2080</v>
      </c>
      <c r="D103" t="s">
        <v>10</v>
      </c>
      <c r="E103">
        <v>2.25</v>
      </c>
      <c r="F103">
        <v>637</v>
      </c>
      <c r="G103" s="10">
        <v>2.60193E-6</v>
      </c>
      <c r="H103" s="5">
        <v>3.0999999999999999E-3</v>
      </c>
      <c r="I103" s="5">
        <f t="shared" si="13"/>
        <v>3.0999999999999999E-3</v>
      </c>
      <c r="J103" s="1">
        <f t="shared" si="14"/>
        <v>0</v>
      </c>
      <c r="K103" s="7">
        <f t="shared" si="15"/>
        <v>0</v>
      </c>
      <c r="M103">
        <f t="shared" si="20"/>
        <v>1.1556952662721894E-6</v>
      </c>
      <c r="N103" s="9">
        <f t="shared" si="21"/>
        <v>7.5571561471025339E-3</v>
      </c>
      <c r="Q103" s="10">
        <f t="shared" si="16"/>
        <v>2.6019300000000004E-6</v>
      </c>
      <c r="R103" s="11">
        <f t="shared" si="17"/>
        <v>0</v>
      </c>
      <c r="S103" s="6">
        <f t="shared" si="12"/>
        <v>0.79569862385202095</v>
      </c>
      <c r="T103">
        <f t="shared" si="18"/>
        <v>4.7070458317653554E-3</v>
      </c>
      <c r="U103" s="5">
        <f t="shared" si="19"/>
        <v>1.6070458317653555E-3</v>
      </c>
    </row>
    <row r="104" spans="1:21" x14ac:dyDescent="0.2">
      <c r="A104" t="s">
        <v>8</v>
      </c>
      <c r="B104" t="s">
        <v>9</v>
      </c>
      <c r="C104">
        <v>2085</v>
      </c>
      <c r="D104" t="s">
        <v>10</v>
      </c>
      <c r="E104">
        <v>2.2999999999999998</v>
      </c>
      <c r="F104">
        <v>577</v>
      </c>
      <c r="G104" s="10">
        <v>2.6470100000000001E-6</v>
      </c>
      <c r="H104" s="5">
        <v>3.0999999999999999E-3</v>
      </c>
      <c r="I104" s="5">
        <f t="shared" si="13"/>
        <v>3.0999999999999999E-3</v>
      </c>
      <c r="J104" s="1">
        <f t="shared" si="14"/>
        <v>0</v>
      </c>
      <c r="K104" s="7">
        <f t="shared" si="15"/>
        <v>0</v>
      </c>
      <c r="M104">
        <f t="shared" si="20"/>
        <v>1.1501590094830611E-6</v>
      </c>
      <c r="N104" s="9">
        <f t="shared" si="21"/>
        <v>7.5600774879186631E-3</v>
      </c>
      <c r="Q104" s="10">
        <f t="shared" si="16"/>
        <v>2.6470100000000005E-6</v>
      </c>
      <c r="R104" s="11">
        <f t="shared" si="17"/>
        <v>0</v>
      </c>
      <c r="S104" s="6">
        <f t="shared" si="12"/>
        <v>0.80256200175853487</v>
      </c>
      <c r="T104">
        <f t="shared" si="18"/>
        <v>4.7476469254436257E-3</v>
      </c>
      <c r="U104" s="5">
        <f t="shared" si="19"/>
        <v>1.6476469254436258E-3</v>
      </c>
    </row>
    <row r="105" spans="1:21" x14ac:dyDescent="0.2">
      <c r="A105" t="s">
        <v>8</v>
      </c>
      <c r="B105" t="s">
        <v>9</v>
      </c>
      <c r="C105">
        <v>2090</v>
      </c>
      <c r="D105" t="s">
        <v>10</v>
      </c>
      <c r="E105">
        <v>2.4500000000000002</v>
      </c>
      <c r="F105">
        <v>630</v>
      </c>
      <c r="G105" s="10">
        <v>2.8061699999999999E-6</v>
      </c>
      <c r="H105" s="5">
        <v>3.3E-3</v>
      </c>
      <c r="I105" s="5">
        <f t="shared" si="13"/>
        <v>3.3E-3</v>
      </c>
      <c r="J105" s="1">
        <f t="shared" si="14"/>
        <v>0</v>
      </c>
      <c r="K105" s="7">
        <f t="shared" si="15"/>
        <v>0</v>
      </c>
      <c r="M105">
        <f t="shared" si="20"/>
        <v>1.1446624390467251E-6</v>
      </c>
      <c r="N105" s="9">
        <f t="shared" si="21"/>
        <v>7.5769044477174445E-3</v>
      </c>
      <c r="Q105" s="10">
        <f t="shared" si="16"/>
        <v>2.8061699999999999E-6</v>
      </c>
      <c r="R105" s="11">
        <f t="shared" si="17"/>
        <v>0</v>
      </c>
      <c r="S105" s="6">
        <f t="shared" si="12"/>
        <v>0.82633812691899922</v>
      </c>
      <c r="T105">
        <f t="shared" si="18"/>
        <v>4.8882973017007909E-3</v>
      </c>
      <c r="U105" s="5">
        <f t="shared" si="19"/>
        <v>1.5882973017007909E-3</v>
      </c>
    </row>
    <row r="106" spans="1:21" x14ac:dyDescent="0.2">
      <c r="A106" t="s">
        <v>8</v>
      </c>
      <c r="B106" t="s">
        <v>9</v>
      </c>
      <c r="C106">
        <v>2095</v>
      </c>
      <c r="D106" t="s">
        <v>10</v>
      </c>
      <c r="E106">
        <v>2.5499999999999998</v>
      </c>
      <c r="F106">
        <v>629</v>
      </c>
      <c r="G106" s="10">
        <v>2.9067800000000001E-6</v>
      </c>
      <c r="H106" s="5">
        <v>3.3999999999999998E-3</v>
      </c>
      <c r="I106" s="5">
        <f t="shared" si="13"/>
        <v>3.3999999999999998E-3</v>
      </c>
      <c r="J106" s="1">
        <f t="shared" si="14"/>
        <v>0</v>
      </c>
      <c r="K106" s="7">
        <f t="shared" si="15"/>
        <v>0</v>
      </c>
      <c r="M106">
        <f t="shared" si="20"/>
        <v>1.1392051765483223E-6</v>
      </c>
      <c r="N106" s="9">
        <f t="shared" si="21"/>
        <v>7.5649226223528767E-3</v>
      </c>
      <c r="Q106" s="10">
        <f t="shared" si="16"/>
        <v>2.9067800000000001E-6</v>
      </c>
      <c r="R106" s="11">
        <f t="shared" si="17"/>
        <v>0</v>
      </c>
      <c r="S106" s="6">
        <f t="shared" si="12"/>
        <v>0.8410210857443865</v>
      </c>
      <c r="T106">
        <f t="shared" si="18"/>
        <v>4.9751560168792086E-3</v>
      </c>
      <c r="U106" s="5">
        <f t="shared" si="19"/>
        <v>1.5751560168792088E-3</v>
      </c>
    </row>
    <row r="107" spans="1:21" x14ac:dyDescent="0.2">
      <c r="A107" t="s">
        <v>8</v>
      </c>
      <c r="B107" t="s">
        <v>9</v>
      </c>
      <c r="C107">
        <v>2100</v>
      </c>
      <c r="D107" t="s">
        <v>10</v>
      </c>
      <c r="E107">
        <v>2.65</v>
      </c>
      <c r="F107">
        <v>624</v>
      </c>
      <c r="G107" s="10">
        <v>3.00641E-6</v>
      </c>
      <c r="H107" s="5">
        <v>3.5000000000000001E-3</v>
      </c>
      <c r="I107" s="5">
        <f t="shared" si="13"/>
        <v>3.5000000000000001E-3</v>
      </c>
      <c r="J107" s="1">
        <f t="shared" si="14"/>
        <v>0</v>
      </c>
      <c r="K107" s="7">
        <f t="shared" si="15"/>
        <v>0</v>
      </c>
      <c r="M107">
        <f t="shared" si="20"/>
        <v>1.1337868480725623E-6</v>
      </c>
      <c r="N107" s="9">
        <f t="shared" si="21"/>
        <v>7.5897240475583643E-3</v>
      </c>
      <c r="Q107" s="10">
        <f t="shared" si="16"/>
        <v>3.0064100000000004E-6</v>
      </c>
      <c r="R107" s="11">
        <f t="shared" si="17"/>
        <v>0</v>
      </c>
      <c r="S107" s="6">
        <f t="shared" si="12"/>
        <v>0.8553126718730798</v>
      </c>
      <c r="T107">
        <f t="shared" si="18"/>
        <v>5.0596995222967718E-3</v>
      </c>
      <c r="U107" s="5">
        <f t="shared" si="19"/>
        <v>1.5596995222967717E-3</v>
      </c>
    </row>
    <row r="108" spans="1:21" x14ac:dyDescent="0.2">
      <c r="A108" t="s">
        <v>8</v>
      </c>
      <c r="B108" t="s">
        <v>9</v>
      </c>
      <c r="C108">
        <v>2105</v>
      </c>
      <c r="D108" t="s">
        <v>10</v>
      </c>
      <c r="E108">
        <v>2.75</v>
      </c>
      <c r="F108">
        <v>621</v>
      </c>
      <c r="G108" s="10">
        <v>3.10505E-6</v>
      </c>
      <c r="H108" s="5">
        <v>3.7000000000000002E-3</v>
      </c>
      <c r="I108" s="5">
        <f t="shared" si="13"/>
        <v>3.7000000000000002E-3</v>
      </c>
      <c r="J108" s="1">
        <f t="shared" si="14"/>
        <v>0</v>
      </c>
      <c r="K108" s="7">
        <f t="shared" si="15"/>
        <v>0</v>
      </c>
      <c r="M108">
        <f t="shared" si="20"/>
        <v>1.1284070841396742E-6</v>
      </c>
      <c r="N108" s="9">
        <f t="shared" si="21"/>
        <v>7.5667964030036493E-3</v>
      </c>
      <c r="Q108" s="10">
        <f t="shared" si="16"/>
        <v>3.10505E-6</v>
      </c>
      <c r="R108" s="11">
        <f t="shared" si="17"/>
        <v>0</v>
      </c>
      <c r="S108" s="6">
        <f t="shared" si="12"/>
        <v>0.86923079022010408</v>
      </c>
      <c r="T108">
        <f t="shared" si="18"/>
        <v>5.1420337365175083E-3</v>
      </c>
      <c r="U108" s="5">
        <f t="shared" si="19"/>
        <v>1.4420337365175081E-3</v>
      </c>
    </row>
    <row r="109" spans="1:21" x14ac:dyDescent="0.2">
      <c r="A109" t="s">
        <v>8</v>
      </c>
      <c r="B109" t="s">
        <v>9</v>
      </c>
      <c r="C109">
        <v>2110</v>
      </c>
      <c r="D109" t="s">
        <v>10</v>
      </c>
      <c r="E109">
        <v>2.85</v>
      </c>
      <c r="F109">
        <v>694</v>
      </c>
      <c r="G109" s="10">
        <v>3.2027299999999998E-6</v>
      </c>
      <c r="H109" s="5">
        <v>3.8E-3</v>
      </c>
      <c r="I109" s="5">
        <f t="shared" si="13"/>
        <v>3.8E-3</v>
      </c>
      <c r="J109" s="1">
        <f t="shared" si="14"/>
        <v>0</v>
      </c>
      <c r="K109" s="7">
        <f t="shared" si="15"/>
        <v>0</v>
      </c>
      <c r="M109">
        <f t="shared" si="20"/>
        <v>1.1230655196424159E-6</v>
      </c>
      <c r="N109" s="9">
        <f t="shared" si="21"/>
        <v>7.5744722459492641E-3</v>
      </c>
      <c r="Q109" s="10">
        <f t="shared" si="16"/>
        <v>3.2027299999999994E-6</v>
      </c>
      <c r="R109" s="11">
        <f t="shared" si="17"/>
        <v>0</v>
      </c>
      <c r="S109" s="6">
        <f t="shared" si="12"/>
        <v>0.88279723983860892</v>
      </c>
      <c r="T109">
        <f t="shared" si="18"/>
        <v>5.2222876143230255E-3</v>
      </c>
      <c r="U109" s="5">
        <f t="shared" si="19"/>
        <v>1.4222876143230256E-3</v>
      </c>
    </row>
    <row r="110" spans="1:21" x14ac:dyDescent="0.2">
      <c r="A110" t="s">
        <v>8</v>
      </c>
      <c r="B110" t="s">
        <v>9</v>
      </c>
      <c r="C110">
        <v>2115</v>
      </c>
      <c r="D110" t="s">
        <v>10</v>
      </c>
      <c r="E110">
        <v>2.95</v>
      </c>
      <c r="F110">
        <v>691</v>
      </c>
      <c r="G110" s="10">
        <v>3.2994499999999998E-6</v>
      </c>
      <c r="H110" s="5">
        <v>3.8999999999999998E-3</v>
      </c>
      <c r="I110" s="5">
        <f t="shared" si="13"/>
        <v>3.8999999999999998E-3</v>
      </c>
      <c r="J110" s="1">
        <f t="shared" si="14"/>
        <v>0</v>
      </c>
      <c r="K110" s="7">
        <f t="shared" si="15"/>
        <v>0</v>
      </c>
      <c r="M110">
        <f t="shared" si="20"/>
        <v>1.1177617937841267E-6</v>
      </c>
      <c r="N110" s="9">
        <f t="shared" si="21"/>
        <v>7.5716831995369773E-3</v>
      </c>
      <c r="Q110" s="10">
        <f t="shared" si="16"/>
        <v>3.2994499999999998E-6</v>
      </c>
      <c r="R110" s="11">
        <f t="shared" si="17"/>
        <v>0</v>
      </c>
      <c r="S110" s="6">
        <f t="shared" si="12"/>
        <v>0.8960279943543431</v>
      </c>
      <c r="T110">
        <f t="shared" si="18"/>
        <v>5.3005556495156802E-3</v>
      </c>
      <c r="U110" s="5">
        <f t="shared" si="19"/>
        <v>1.4005556495156803E-3</v>
      </c>
    </row>
    <row r="111" spans="1:21" x14ac:dyDescent="0.2">
      <c r="A111" t="s">
        <v>8</v>
      </c>
      <c r="B111" t="s">
        <v>9</v>
      </c>
      <c r="C111">
        <v>2120</v>
      </c>
      <c r="D111" t="s">
        <v>10</v>
      </c>
      <c r="E111">
        <v>3.1</v>
      </c>
      <c r="F111">
        <v>688</v>
      </c>
      <c r="G111" s="10">
        <v>3.45089E-6</v>
      </c>
      <c r="H111" s="5">
        <v>4.1000000000000003E-3</v>
      </c>
      <c r="I111" s="5">
        <f t="shared" si="13"/>
        <v>4.1000000000000003E-3</v>
      </c>
      <c r="J111" s="1">
        <f t="shared" si="14"/>
        <v>0</v>
      </c>
      <c r="K111" s="7">
        <f t="shared" si="15"/>
        <v>0</v>
      </c>
      <c r="M111">
        <f t="shared" si="20"/>
        <v>1.1124955500177999E-6</v>
      </c>
      <c r="N111" s="9">
        <f t="shared" si="21"/>
        <v>7.5959204844883036E-3</v>
      </c>
      <c r="Q111" s="10">
        <f t="shared" si="16"/>
        <v>3.45089E-6</v>
      </c>
      <c r="R111" s="11">
        <f t="shared" si="17"/>
        <v>0</v>
      </c>
      <c r="S111" s="6">
        <f t="shared" si="12"/>
        <v>0.91636050038544692</v>
      </c>
      <c r="T111">
        <f t="shared" si="18"/>
        <v>5.4208349046182382E-3</v>
      </c>
      <c r="U111" s="5">
        <f t="shared" si="19"/>
        <v>1.3208349046182379E-3</v>
      </c>
    </row>
    <row r="112" spans="1:21" x14ac:dyDescent="0.2">
      <c r="A112" t="s">
        <v>8</v>
      </c>
      <c r="B112" t="s">
        <v>9</v>
      </c>
      <c r="C112">
        <v>2125</v>
      </c>
      <c r="D112" t="s">
        <v>10</v>
      </c>
      <c r="E112">
        <v>3.3</v>
      </c>
      <c r="F112">
        <v>593</v>
      </c>
      <c r="G112" s="10">
        <v>3.6562600000000002E-6</v>
      </c>
      <c r="H112" s="5">
        <v>4.3E-3</v>
      </c>
      <c r="I112" s="5">
        <f t="shared" si="13"/>
        <v>4.3E-3</v>
      </c>
      <c r="J112" s="1">
        <f t="shared" si="14"/>
        <v>0</v>
      </c>
      <c r="K112" s="7">
        <f t="shared" si="15"/>
        <v>0</v>
      </c>
      <c r="M112">
        <f t="shared" si="20"/>
        <v>1.1072664359861592E-6</v>
      </c>
      <c r="N112" s="9">
        <f t="shared" si="21"/>
        <v>7.5918890795400214E-3</v>
      </c>
      <c r="Q112" s="10">
        <f t="shared" si="16"/>
        <v>3.6562600000000002E-6</v>
      </c>
      <c r="R112" s="11">
        <f t="shared" si="17"/>
        <v>0</v>
      </c>
      <c r="S112" s="6">
        <f t="shared" si="12"/>
        <v>0.94323376388535485</v>
      </c>
      <c r="T112">
        <f t="shared" si="18"/>
        <v>5.5798067554564497E-3</v>
      </c>
      <c r="U112" s="5">
        <f t="shared" si="19"/>
        <v>1.2798067554564497E-3</v>
      </c>
    </row>
    <row r="113" spans="1:21" x14ac:dyDescent="0.2">
      <c r="A113" t="s">
        <v>8</v>
      </c>
      <c r="B113" t="s">
        <v>9</v>
      </c>
      <c r="C113">
        <v>2130</v>
      </c>
      <c r="D113" t="s">
        <v>10</v>
      </c>
      <c r="E113">
        <v>3.4</v>
      </c>
      <c r="F113">
        <v>684</v>
      </c>
      <c r="G113" s="10">
        <v>3.7493900000000002E-6</v>
      </c>
      <c r="H113" s="5">
        <v>4.4000000000000003E-3</v>
      </c>
      <c r="I113" s="5">
        <f t="shared" si="13"/>
        <v>4.4000000000000003E-3</v>
      </c>
      <c r="J113" s="1">
        <f t="shared" si="14"/>
        <v>0</v>
      </c>
      <c r="K113" s="7">
        <f t="shared" si="15"/>
        <v>0</v>
      </c>
      <c r="M113">
        <f t="shared" si="20"/>
        <v>1.1020741034627169E-6</v>
      </c>
      <c r="N113" s="9">
        <f t="shared" si="21"/>
        <v>7.5892682237724387E-3</v>
      </c>
      <c r="Q113" s="10">
        <f t="shared" si="16"/>
        <v>3.7493899999999998E-6</v>
      </c>
      <c r="R113" s="11">
        <f t="shared" si="17"/>
        <v>0</v>
      </c>
      <c r="S113" s="6">
        <f t="shared" si="12"/>
        <v>0.95517096200976848</v>
      </c>
      <c r="T113">
        <f t="shared" si="18"/>
        <v>5.6504226104927002E-3</v>
      </c>
      <c r="U113" s="5">
        <f t="shared" si="19"/>
        <v>1.2504226104927E-3</v>
      </c>
    </row>
    <row r="114" spans="1:21" x14ac:dyDescent="0.2">
      <c r="A114" t="s">
        <v>8</v>
      </c>
      <c r="B114" t="s">
        <v>9</v>
      </c>
      <c r="C114">
        <v>2135</v>
      </c>
      <c r="D114" t="s">
        <v>10</v>
      </c>
      <c r="E114">
        <v>3.5</v>
      </c>
      <c r="F114">
        <v>554</v>
      </c>
      <c r="G114" s="10">
        <v>3.8416099999999996E-6</v>
      </c>
      <c r="H114" s="5">
        <v>4.4999999999999997E-3</v>
      </c>
      <c r="I114" s="5">
        <f t="shared" si="13"/>
        <v>4.4999999999999997E-3</v>
      </c>
      <c r="J114" s="1">
        <f t="shared" si="14"/>
        <v>0</v>
      </c>
      <c r="K114" s="7">
        <f t="shared" si="15"/>
        <v>0</v>
      </c>
      <c r="M114">
        <f t="shared" si="20"/>
        <v>1.0969182082937985E-6</v>
      </c>
      <c r="N114" s="9">
        <f t="shared" si="21"/>
        <v>7.5915376085134469E-3</v>
      </c>
      <c r="Q114" s="10">
        <f t="shared" si="16"/>
        <v>3.8416099999999996E-6</v>
      </c>
      <c r="R114" s="11">
        <f t="shared" si="17"/>
        <v>0</v>
      </c>
      <c r="S114" s="6">
        <f t="shared" si="12"/>
        <v>0.96684629940165068</v>
      </c>
      <c r="T114">
        <f t="shared" si="18"/>
        <v>5.7194893985422594E-3</v>
      </c>
      <c r="U114" s="5">
        <f t="shared" si="19"/>
        <v>1.2194893985422598E-3</v>
      </c>
    </row>
    <row r="115" spans="1:21" x14ac:dyDescent="0.2">
      <c r="A115" t="s">
        <v>8</v>
      </c>
      <c r="B115" t="s">
        <v>9</v>
      </c>
      <c r="C115">
        <v>2140</v>
      </c>
      <c r="D115" t="s">
        <v>10</v>
      </c>
      <c r="E115">
        <v>3.7</v>
      </c>
      <c r="F115">
        <v>677</v>
      </c>
      <c r="G115" s="10">
        <v>4.0421699999999996E-6</v>
      </c>
      <c r="H115" s="5">
        <v>4.7999999999999996E-3</v>
      </c>
      <c r="I115" s="5">
        <f t="shared" si="13"/>
        <v>4.7999999999999996E-3</v>
      </c>
      <c r="J115" s="1">
        <f t="shared" si="14"/>
        <v>0</v>
      </c>
      <c r="K115" s="7">
        <f t="shared" si="15"/>
        <v>0</v>
      </c>
      <c r="M115">
        <f t="shared" si="20"/>
        <v>1.0917984103415146E-6</v>
      </c>
      <c r="N115" s="9">
        <f t="shared" si="21"/>
        <v>7.5749966839987323E-3</v>
      </c>
      <c r="Q115" s="10">
        <f t="shared" si="16"/>
        <v>4.0421699999999988E-6</v>
      </c>
      <c r="R115" s="11">
        <f t="shared" si="17"/>
        <v>0</v>
      </c>
      <c r="S115" s="6">
        <f t="shared" si="12"/>
        <v>0.99176342945281049</v>
      </c>
      <c r="T115">
        <f t="shared" si="18"/>
        <v>5.8668895191797419E-3</v>
      </c>
      <c r="U115" s="5">
        <f t="shared" si="19"/>
        <v>1.0668895191797423E-3</v>
      </c>
    </row>
    <row r="116" spans="1:21" x14ac:dyDescent="0.2">
      <c r="A116" t="s">
        <v>8</v>
      </c>
      <c r="B116" t="s">
        <v>9</v>
      </c>
      <c r="C116">
        <v>2145</v>
      </c>
      <c r="D116" t="s">
        <v>10</v>
      </c>
      <c r="E116">
        <v>3.8</v>
      </c>
      <c r="F116">
        <v>546</v>
      </c>
      <c r="G116" s="10">
        <v>4.1320899999999999E-6</v>
      </c>
      <c r="H116" s="5">
        <v>4.8999999999999998E-3</v>
      </c>
      <c r="I116" s="5">
        <f t="shared" si="13"/>
        <v>4.8999999999999998E-3</v>
      </c>
      <c r="J116" s="1">
        <f t="shared" si="14"/>
        <v>0</v>
      </c>
      <c r="K116" s="7">
        <f t="shared" si="15"/>
        <v>0</v>
      </c>
      <c r="M116">
        <f t="shared" si="20"/>
        <v>1.0867143734276602E-6</v>
      </c>
      <c r="N116" s="9">
        <f t="shared" si="21"/>
        <v>7.5854036403475936E-3</v>
      </c>
      <c r="Q116" s="10">
        <f t="shared" si="16"/>
        <v>4.1320899999999999E-6</v>
      </c>
      <c r="R116" s="11">
        <f t="shared" si="17"/>
        <v>0</v>
      </c>
      <c r="S116" s="6">
        <f t="shared" si="12"/>
        <v>1.0027338796177845</v>
      </c>
      <c r="T116">
        <f t="shared" si="18"/>
        <v>5.9317864665586958E-3</v>
      </c>
      <c r="U116" s="5">
        <f t="shared" si="19"/>
        <v>1.031786466558696E-3</v>
      </c>
    </row>
    <row r="117" spans="1:21" x14ac:dyDescent="0.2">
      <c r="A117" t="s">
        <v>8</v>
      </c>
      <c r="B117" t="s">
        <v>9</v>
      </c>
      <c r="C117">
        <v>2150</v>
      </c>
      <c r="D117" t="s">
        <v>10</v>
      </c>
      <c r="E117">
        <v>4</v>
      </c>
      <c r="F117">
        <v>577</v>
      </c>
      <c r="G117" s="10">
        <v>4.3293600000000002E-6</v>
      </c>
      <c r="H117" s="5">
        <v>5.1000000000000004E-3</v>
      </c>
      <c r="I117" s="5">
        <f t="shared" si="13"/>
        <v>5.1000000000000004E-3</v>
      </c>
      <c r="J117" s="1">
        <f t="shared" si="14"/>
        <v>0</v>
      </c>
      <c r="K117" s="7">
        <f t="shared" si="15"/>
        <v>0</v>
      </c>
      <c r="M117">
        <f t="shared" si="20"/>
        <v>1.081665765278529E-6</v>
      </c>
      <c r="N117" s="9">
        <f t="shared" si="21"/>
        <v>7.5814856949941835E-3</v>
      </c>
      <c r="Q117" s="10">
        <f t="shared" si="16"/>
        <v>4.3293600000000002E-6</v>
      </c>
      <c r="R117" s="11">
        <f t="shared" si="17"/>
        <v>0</v>
      </c>
      <c r="S117" s="6">
        <f t="shared" si="12"/>
        <v>1.026390568935627</v>
      </c>
      <c r="T117">
        <f t="shared" si="18"/>
        <v>6.0717303064862452E-3</v>
      </c>
      <c r="U117" s="5">
        <f t="shared" si="19"/>
        <v>9.7173030648624488E-4</v>
      </c>
    </row>
    <row r="118" spans="1:21" x14ac:dyDescent="0.2">
      <c r="A118" t="s">
        <v>8</v>
      </c>
      <c r="B118" t="s">
        <v>9</v>
      </c>
      <c r="C118">
        <v>2155</v>
      </c>
      <c r="D118" t="s">
        <v>10</v>
      </c>
      <c r="E118">
        <v>4.2</v>
      </c>
      <c r="F118">
        <v>576</v>
      </c>
      <c r="G118" s="10">
        <v>4.52476E-6</v>
      </c>
      <c r="H118" s="5">
        <v>5.3E-3</v>
      </c>
      <c r="I118" s="5">
        <f t="shared" si="13"/>
        <v>5.3E-3</v>
      </c>
      <c r="J118" s="1">
        <f t="shared" si="14"/>
        <v>0</v>
      </c>
      <c r="K118" s="7">
        <f t="shared" si="15"/>
        <v>0</v>
      </c>
      <c r="M118">
        <f t="shared" si="20"/>
        <v>1.0766522574706207E-6</v>
      </c>
      <c r="N118" s="9">
        <f t="shared" si="21"/>
        <v>7.5864819209411011E-3</v>
      </c>
      <c r="Q118" s="10">
        <f t="shared" si="16"/>
        <v>4.52476E-6</v>
      </c>
      <c r="R118" s="11">
        <f t="shared" si="17"/>
        <v>0</v>
      </c>
      <c r="S118" s="6">
        <f t="shared" si="12"/>
        <v>1.0492973521997153</v>
      </c>
      <c r="T118">
        <f t="shared" si="18"/>
        <v>6.2072379917457732E-3</v>
      </c>
      <c r="U118" s="5">
        <f t="shared" si="19"/>
        <v>9.0723799174577315E-4</v>
      </c>
    </row>
    <row r="119" spans="1:21" x14ac:dyDescent="0.2">
      <c r="A119" t="s">
        <v>8</v>
      </c>
      <c r="B119" t="s">
        <v>9</v>
      </c>
      <c r="C119">
        <v>2160</v>
      </c>
      <c r="D119" t="s">
        <v>10</v>
      </c>
      <c r="E119">
        <v>4.4000000000000004</v>
      </c>
      <c r="F119">
        <v>573</v>
      </c>
      <c r="G119" s="10">
        <v>4.7183000000000002E-6</v>
      </c>
      <c r="H119" s="5">
        <v>5.5999999999999999E-3</v>
      </c>
      <c r="I119" s="5">
        <f t="shared" si="13"/>
        <v>5.5999999999999999E-3</v>
      </c>
      <c r="J119" s="1">
        <f t="shared" si="14"/>
        <v>0</v>
      </c>
      <c r="K119" s="7">
        <f t="shared" si="15"/>
        <v>0</v>
      </c>
      <c r="M119">
        <f t="shared" si="20"/>
        <v>1.0716735253772291E-6</v>
      </c>
      <c r="N119" s="9">
        <f t="shared" si="21"/>
        <v>7.5744223684514698E-3</v>
      </c>
      <c r="Q119" s="10">
        <f t="shared" si="16"/>
        <v>4.7183000000000002E-6</v>
      </c>
      <c r="R119" s="11">
        <f t="shared" si="17"/>
        <v>0</v>
      </c>
      <c r="S119" s="6">
        <f t="shared" si="12"/>
        <v>1.0715034608747964</v>
      </c>
      <c r="T119">
        <f t="shared" si="18"/>
        <v>6.3386007566739785E-3</v>
      </c>
      <c r="U119" s="5">
        <f t="shared" si="19"/>
        <v>7.3860075667397853E-4</v>
      </c>
    </row>
    <row r="120" spans="1:21" x14ac:dyDescent="0.2">
      <c r="A120" t="s">
        <v>8</v>
      </c>
      <c r="B120" t="s">
        <v>9</v>
      </c>
      <c r="C120">
        <v>2165</v>
      </c>
      <c r="D120" t="s">
        <v>10</v>
      </c>
      <c r="E120">
        <v>4.5999999999999996</v>
      </c>
      <c r="F120">
        <v>570</v>
      </c>
      <c r="G120" s="10">
        <v>4.9100100000000003E-6</v>
      </c>
      <c r="H120" s="5">
        <v>5.7999999999999996E-3</v>
      </c>
      <c r="I120" s="5">
        <f t="shared" si="13"/>
        <v>5.7999999999999996E-3</v>
      </c>
      <c r="J120" s="1">
        <f t="shared" si="14"/>
        <v>0</v>
      </c>
      <c r="K120" s="7">
        <f t="shared" si="15"/>
        <v>0</v>
      </c>
      <c r="M120">
        <f t="shared" si="20"/>
        <v>1.0667292481158895E-6</v>
      </c>
      <c r="N120" s="9">
        <f t="shared" si="21"/>
        <v>7.5735729018743181E-3</v>
      </c>
      <c r="Q120" s="10">
        <f t="shared" si="16"/>
        <v>4.9100100000000003E-6</v>
      </c>
      <c r="R120" s="11">
        <f t="shared" si="17"/>
        <v>0</v>
      </c>
      <c r="S120" s="6">
        <f t="shared" si="12"/>
        <v>1.093054939149904</v>
      </c>
      <c r="T120">
        <f t="shared" si="18"/>
        <v>6.4660909809150756E-3</v>
      </c>
      <c r="U120" s="5">
        <f t="shared" si="19"/>
        <v>6.6609098091507599E-4</v>
      </c>
    </row>
    <row r="121" spans="1:21" x14ac:dyDescent="0.2">
      <c r="A121" t="s">
        <v>8</v>
      </c>
      <c r="B121" t="s">
        <v>9</v>
      </c>
      <c r="C121">
        <v>2170</v>
      </c>
      <c r="D121" t="s">
        <v>10</v>
      </c>
      <c r="E121">
        <v>4.9000000000000004</v>
      </c>
      <c r="F121">
        <v>570</v>
      </c>
      <c r="G121" s="10">
        <v>5.20616E-6</v>
      </c>
      <c r="H121" s="5">
        <v>6.1000000000000004E-3</v>
      </c>
      <c r="I121" s="5">
        <f t="shared" si="13"/>
        <v>6.1000000000000004E-3</v>
      </c>
      <c r="J121" s="1">
        <f t="shared" si="14"/>
        <v>0</v>
      </c>
      <c r="K121" s="7">
        <f t="shared" si="15"/>
        <v>0</v>
      </c>
      <c r="M121">
        <f t="shared" si="20"/>
        <v>1.0618191084966764E-6</v>
      </c>
      <c r="N121" s="9">
        <f t="shared" si="21"/>
        <v>7.5890486450944797E-3</v>
      </c>
      <c r="Q121" s="10">
        <f t="shared" si="16"/>
        <v>5.20616E-6</v>
      </c>
      <c r="R121" s="11">
        <f t="shared" si="17"/>
        <v>0</v>
      </c>
      <c r="S121" s="6">
        <f t="shared" si="12"/>
        <v>1.1255364350684816</v>
      </c>
      <c r="T121">
        <f t="shared" si="18"/>
        <v>6.6582389693492965E-3</v>
      </c>
      <c r="U121" s="5">
        <f t="shared" si="19"/>
        <v>5.5823896934929611E-4</v>
      </c>
    </row>
    <row r="122" spans="1:21" x14ac:dyDescent="0.2">
      <c r="A122" t="s">
        <v>8</v>
      </c>
      <c r="B122" t="s">
        <v>9</v>
      </c>
      <c r="C122">
        <v>2175</v>
      </c>
      <c r="D122" t="s">
        <v>10</v>
      </c>
      <c r="E122">
        <v>5.0999999999999996</v>
      </c>
      <c r="F122">
        <v>564</v>
      </c>
      <c r="G122" s="10">
        <v>5.3937700000000004E-6</v>
      </c>
      <c r="H122" s="5">
        <v>6.4000000000000003E-3</v>
      </c>
      <c r="I122" s="5">
        <f t="shared" si="13"/>
        <v>6.4000000000000003E-3</v>
      </c>
      <c r="J122" s="1">
        <f t="shared" si="14"/>
        <v>0</v>
      </c>
      <c r="K122" s="7">
        <f t="shared" si="15"/>
        <v>0</v>
      </c>
      <c r="M122">
        <f t="shared" si="20"/>
        <v>1.0569427929713304E-6</v>
      </c>
      <c r="N122" s="9">
        <f t="shared" si="21"/>
        <v>7.5854391859071259E-3</v>
      </c>
      <c r="Q122" s="10">
        <f t="shared" si="16"/>
        <v>5.3937700000000004E-6</v>
      </c>
      <c r="R122" s="11">
        <f t="shared" si="17"/>
        <v>0</v>
      </c>
      <c r="S122" s="6">
        <f t="shared" si="12"/>
        <v>1.1456369552931387</v>
      </c>
      <c r="T122">
        <f t="shared" si="18"/>
        <v>6.7771458859928815E-3</v>
      </c>
      <c r="U122" s="5">
        <f t="shared" si="19"/>
        <v>3.7714588599288123E-4</v>
      </c>
    </row>
    <row r="123" spans="1:21" x14ac:dyDescent="0.2">
      <c r="A123" t="s">
        <v>8</v>
      </c>
      <c r="B123" t="s">
        <v>9</v>
      </c>
      <c r="C123">
        <v>2180</v>
      </c>
      <c r="D123" t="s">
        <v>10</v>
      </c>
      <c r="E123">
        <v>5.3</v>
      </c>
      <c r="F123">
        <v>562</v>
      </c>
      <c r="G123" s="10">
        <v>5.5796099999999998E-6</v>
      </c>
      <c r="H123" s="5">
        <v>6.6E-3</v>
      </c>
      <c r="I123" s="5">
        <f t="shared" si="13"/>
        <v>6.6E-3</v>
      </c>
      <c r="J123" s="1">
        <f t="shared" si="14"/>
        <v>0</v>
      </c>
      <c r="K123" s="7">
        <f t="shared" si="15"/>
        <v>0</v>
      </c>
      <c r="M123">
        <f t="shared" si="20"/>
        <v>1.0520999915832001E-6</v>
      </c>
      <c r="N123" s="9">
        <f t="shared" si="21"/>
        <v>7.5908087291505283E-3</v>
      </c>
      <c r="Q123" s="10">
        <f t="shared" si="16"/>
        <v>5.5796099999999998E-6</v>
      </c>
      <c r="R123" s="11">
        <f t="shared" si="17"/>
        <v>0</v>
      </c>
      <c r="S123" s="6">
        <f t="shared" si="12"/>
        <v>1.1652060332833845</v>
      </c>
      <c r="T123">
        <f t="shared" si="18"/>
        <v>6.8929089955726813E-3</v>
      </c>
      <c r="U123" s="5">
        <f t="shared" si="19"/>
        <v>2.929089955726813E-4</v>
      </c>
    </row>
    <row r="124" spans="1:21" x14ac:dyDescent="0.2">
      <c r="A124" t="s">
        <v>8</v>
      </c>
      <c r="B124" t="s">
        <v>9</v>
      </c>
      <c r="C124">
        <v>2185</v>
      </c>
      <c r="D124" t="s">
        <v>10</v>
      </c>
      <c r="E124">
        <v>5.6</v>
      </c>
      <c r="F124">
        <v>561</v>
      </c>
      <c r="G124" s="10">
        <v>5.8684800000000001E-6</v>
      </c>
      <c r="H124" s="5">
        <v>6.8999999999999999E-3</v>
      </c>
      <c r="I124" s="5">
        <f t="shared" si="13"/>
        <v>6.8999999999999999E-3</v>
      </c>
      <c r="J124" s="1">
        <f t="shared" si="14"/>
        <v>0</v>
      </c>
      <c r="K124" s="7">
        <f t="shared" si="15"/>
        <v>0</v>
      </c>
      <c r="M124">
        <f t="shared" si="20"/>
        <v>1.0472903979179867E-6</v>
      </c>
      <c r="N124" s="9">
        <f t="shared" si="21"/>
        <v>7.5774419292101323E-3</v>
      </c>
      <c r="Q124" s="10">
        <f t="shared" si="16"/>
        <v>5.8684800000000001E-6</v>
      </c>
      <c r="R124" s="11">
        <f t="shared" si="17"/>
        <v>0</v>
      </c>
      <c r="S124" s="6">
        <f t="shared" si="12"/>
        <v>1.1949882007785684</v>
      </c>
      <c r="T124">
        <f t="shared" si="18"/>
        <v>7.0690887992909471E-3</v>
      </c>
      <c r="U124" s="5">
        <f t="shared" si="19"/>
        <v>1.6908879929094719E-4</v>
      </c>
    </row>
    <row r="125" spans="1:21" x14ac:dyDescent="0.2">
      <c r="A125" t="s">
        <v>8</v>
      </c>
      <c r="B125" t="s">
        <v>9</v>
      </c>
      <c r="C125">
        <v>2190</v>
      </c>
      <c r="D125" t="s">
        <v>10</v>
      </c>
      <c r="E125">
        <v>5.8</v>
      </c>
      <c r="F125">
        <v>563</v>
      </c>
      <c r="G125" s="10">
        <v>6.0503499999999996E-6</v>
      </c>
      <c r="H125" s="5">
        <v>7.1000000000000004E-3</v>
      </c>
      <c r="I125" s="5">
        <f t="shared" si="13"/>
        <v>7.1000000000000004E-3</v>
      </c>
      <c r="J125" s="1">
        <f t="shared" si="14"/>
        <v>0</v>
      </c>
      <c r="K125" s="7">
        <f t="shared" si="15"/>
        <v>0</v>
      </c>
      <c r="M125">
        <f t="shared" si="20"/>
        <v>1.042513709055274E-6</v>
      </c>
      <c r="N125" s="9">
        <f t="shared" si="21"/>
        <v>7.5844478999258867E-3</v>
      </c>
      <c r="Q125" s="10">
        <f t="shared" si="16"/>
        <v>6.0503499999999996E-6</v>
      </c>
      <c r="R125" s="11">
        <f t="shared" si="17"/>
        <v>0</v>
      </c>
      <c r="S125" s="6">
        <f t="shared" si="12"/>
        <v>1.213363850348828</v>
      </c>
      <c r="T125">
        <f t="shared" si="18"/>
        <v>7.1777920471323775E-3</v>
      </c>
      <c r="U125" s="5">
        <f t="shared" si="19"/>
        <v>7.7792047132377133E-5</v>
      </c>
    </row>
    <row r="126" spans="1:21" x14ac:dyDescent="0.2">
      <c r="A126" t="s">
        <v>8</v>
      </c>
      <c r="B126" t="s">
        <v>9</v>
      </c>
      <c r="C126">
        <v>2195</v>
      </c>
      <c r="D126" t="s">
        <v>10</v>
      </c>
      <c r="E126">
        <v>6.1</v>
      </c>
      <c r="F126">
        <v>556</v>
      </c>
      <c r="G126" s="10">
        <v>6.3343399999999999E-6</v>
      </c>
      <c r="H126" s="5">
        <v>7.4999999999999997E-3</v>
      </c>
      <c r="I126" s="5">
        <f t="shared" si="13"/>
        <v>7.4999999999999997E-3</v>
      </c>
      <c r="J126" s="1">
        <f t="shared" si="14"/>
        <v>0</v>
      </c>
      <c r="K126" s="7">
        <f t="shared" si="15"/>
        <v>0</v>
      </c>
      <c r="M126">
        <f t="shared" si="20"/>
        <v>1.0377696255208307E-6</v>
      </c>
      <c r="N126" s="9">
        <f t="shared" si="21"/>
        <v>7.5802552351395599E-3</v>
      </c>
      <c r="Q126" s="10">
        <f t="shared" si="16"/>
        <v>6.3343400000000007E-6</v>
      </c>
      <c r="R126" s="11">
        <f t="shared" si="17"/>
        <v>0</v>
      </c>
      <c r="S126" s="6">
        <f t="shared" si="12"/>
        <v>1.2415136192030543</v>
      </c>
      <c r="T126">
        <f t="shared" si="18"/>
        <v>7.3443152107756596E-3</v>
      </c>
      <c r="U126" s="5">
        <f t="shared" si="19"/>
        <v>-1.5568478922434008E-4</v>
      </c>
    </row>
    <row r="127" spans="1:21" x14ac:dyDescent="0.2">
      <c r="A127" t="s">
        <v>8</v>
      </c>
      <c r="B127" t="s">
        <v>9</v>
      </c>
      <c r="C127">
        <v>2200</v>
      </c>
      <c r="D127" t="s">
        <v>10</v>
      </c>
      <c r="E127">
        <v>6.5</v>
      </c>
      <c r="F127">
        <v>554</v>
      </c>
      <c r="G127" s="10">
        <v>6.7190600000000003E-6</v>
      </c>
      <c r="H127" s="5">
        <v>7.9000000000000008E-3</v>
      </c>
      <c r="I127" s="5">
        <f t="shared" si="13"/>
        <v>7.9000000000000008E-3</v>
      </c>
      <c r="J127" s="1">
        <f t="shared" si="14"/>
        <v>0</v>
      </c>
      <c r="K127" s="7">
        <f t="shared" si="15"/>
        <v>0</v>
      </c>
      <c r="M127">
        <f t="shared" si="20"/>
        <v>1.0330578512396695E-6</v>
      </c>
      <c r="N127" s="9">
        <f t="shared" si="21"/>
        <v>7.5785581604874089E-3</v>
      </c>
      <c r="Q127" s="10">
        <f t="shared" si="16"/>
        <v>6.7190600000000003E-6</v>
      </c>
      <c r="R127" s="11">
        <f t="shared" si="17"/>
        <v>0</v>
      </c>
      <c r="S127" s="6">
        <f t="shared" si="12"/>
        <v>1.278659949582635</v>
      </c>
      <c r="T127">
        <f t="shared" si="18"/>
        <v>7.5640585587434216E-3</v>
      </c>
      <c r="U127" s="5">
        <f t="shared" si="19"/>
        <v>-3.3594144125657921E-4</v>
      </c>
    </row>
    <row r="128" spans="1:21" x14ac:dyDescent="0.2">
      <c r="A128" t="s">
        <v>8</v>
      </c>
      <c r="B128" t="s">
        <v>9</v>
      </c>
      <c r="C128">
        <v>2205</v>
      </c>
      <c r="D128" t="s">
        <v>10</v>
      </c>
      <c r="E128">
        <v>6.8</v>
      </c>
      <c r="F128">
        <v>550</v>
      </c>
      <c r="G128" s="10">
        <v>6.9973300000000003E-6</v>
      </c>
      <c r="H128" s="5">
        <v>8.2000000000000007E-3</v>
      </c>
      <c r="I128" s="5">
        <f t="shared" si="13"/>
        <v>8.2000000000000007E-3</v>
      </c>
      <c r="J128" s="1">
        <f t="shared" si="14"/>
        <v>0</v>
      </c>
      <c r="K128" s="7">
        <f t="shared" si="15"/>
        <v>0</v>
      </c>
      <c r="M128">
        <f t="shared" si="20"/>
        <v>1.0283780934898525E-6</v>
      </c>
      <c r="N128" s="9">
        <f t="shared" si="21"/>
        <v>7.5815476526967093E-3</v>
      </c>
      <c r="Q128" s="10">
        <f t="shared" si="16"/>
        <v>6.9973300000000003E-6</v>
      </c>
      <c r="R128" s="11">
        <f t="shared" si="17"/>
        <v>0</v>
      </c>
      <c r="S128" s="6">
        <f t="shared" si="12"/>
        <v>1.3048692016188186</v>
      </c>
      <c r="T128">
        <f t="shared" si="18"/>
        <v>7.719102374143496E-3</v>
      </c>
      <c r="U128" s="5">
        <f t="shared" si="19"/>
        <v>-4.8089762585650474E-4</v>
      </c>
    </row>
    <row r="129" spans="1:21" x14ac:dyDescent="0.2">
      <c r="A129" t="s">
        <v>8</v>
      </c>
      <c r="B129" t="s">
        <v>9</v>
      </c>
      <c r="C129">
        <v>2210</v>
      </c>
      <c r="D129" t="s">
        <v>10</v>
      </c>
      <c r="E129">
        <v>7.1</v>
      </c>
      <c r="F129">
        <v>547</v>
      </c>
      <c r="G129" s="10">
        <v>7.2730100000000004E-6</v>
      </c>
      <c r="H129" s="5">
        <v>8.6E-3</v>
      </c>
      <c r="I129" s="5">
        <f t="shared" si="13"/>
        <v>8.6E-3</v>
      </c>
      <c r="J129" s="1">
        <f t="shared" si="14"/>
        <v>0</v>
      </c>
      <c r="K129" s="7">
        <f t="shared" si="15"/>
        <v>0</v>
      </c>
      <c r="M129">
        <f t="shared" si="20"/>
        <v>1.0237300628570259E-6</v>
      </c>
      <c r="N129" s="9">
        <f t="shared" si="21"/>
        <v>7.5746101571852161E-3</v>
      </c>
      <c r="Q129" s="10">
        <f t="shared" si="16"/>
        <v>7.2730100000000012E-6</v>
      </c>
      <c r="R129" s="11">
        <f t="shared" si="17"/>
        <v>0</v>
      </c>
      <c r="S129" s="6">
        <f t="shared" si="12"/>
        <v>1.3303254363751249</v>
      </c>
      <c r="T129">
        <f t="shared" si="18"/>
        <v>7.8696916300630779E-3</v>
      </c>
      <c r="U129" s="5">
        <f t="shared" si="19"/>
        <v>-7.3030836993692207E-4</v>
      </c>
    </row>
    <row r="130" spans="1:21" x14ac:dyDescent="0.2">
      <c r="A130" t="s">
        <v>8</v>
      </c>
      <c r="B130" t="s">
        <v>9</v>
      </c>
      <c r="C130">
        <v>2215</v>
      </c>
      <c r="D130" t="s">
        <v>10</v>
      </c>
      <c r="E130">
        <v>7.5</v>
      </c>
      <c r="F130">
        <v>545</v>
      </c>
      <c r="G130" s="10">
        <v>7.6481099999999995E-6</v>
      </c>
      <c r="H130" s="5">
        <v>8.9999999999999993E-3</v>
      </c>
      <c r="I130" s="5">
        <f t="shared" si="13"/>
        <v>8.9999999999999993E-3</v>
      </c>
      <c r="J130" s="1">
        <f t="shared" si="14"/>
        <v>0</v>
      </c>
      <c r="K130" s="7">
        <f t="shared" si="15"/>
        <v>0</v>
      </c>
      <c r="M130">
        <f t="shared" si="20"/>
        <v>1.0191134731896722E-6</v>
      </c>
      <c r="N130" s="9">
        <f t="shared" si="21"/>
        <v>7.5729288557172805E-3</v>
      </c>
      <c r="Q130" s="10">
        <f t="shared" si="16"/>
        <v>7.6481099999999995E-6</v>
      </c>
      <c r="R130" s="11">
        <f t="shared" si="17"/>
        <v>0</v>
      </c>
      <c r="S130" s="6">
        <f t="shared" ref="S130:S155" si="22">100*SQRT(2*G130*G$211)</f>
        <v>1.3641994355665157</v>
      </c>
      <c r="T130">
        <f t="shared" si="18"/>
        <v>8.0700771302002657E-3</v>
      </c>
      <c r="U130" s="5">
        <f t="shared" si="19"/>
        <v>-9.2992286979973367E-4</v>
      </c>
    </row>
    <row r="131" spans="1:21" x14ac:dyDescent="0.2">
      <c r="A131" t="s">
        <v>8</v>
      </c>
      <c r="B131" t="s">
        <v>9</v>
      </c>
      <c r="C131">
        <v>2220</v>
      </c>
      <c r="D131" t="s">
        <v>10</v>
      </c>
      <c r="E131">
        <v>7.8</v>
      </c>
      <c r="F131">
        <v>543</v>
      </c>
      <c r="G131" s="10">
        <v>7.91825E-6</v>
      </c>
      <c r="H131" s="5">
        <v>9.2999999999999992E-3</v>
      </c>
      <c r="I131" s="5">
        <f t="shared" ref="I131:I194" si="23">ROUND(G131/G$207, 4)</f>
        <v>9.2999999999999992E-3</v>
      </c>
      <c r="J131" s="1">
        <f t="shared" ref="J131:J194" si="24">H131-I131</f>
        <v>0</v>
      </c>
      <c r="K131" s="7">
        <f t="shared" ref="K131:K194" si="25">I131/H131-1</f>
        <v>0</v>
      </c>
      <c r="M131">
        <f t="shared" si="20"/>
        <v>1.0145280415550685E-6</v>
      </c>
      <c r="N131" s="9">
        <f t="shared" si="21"/>
        <v>7.5794373562276104E-3</v>
      </c>
      <c r="Q131" s="10">
        <f t="shared" ref="Q131:Q153" si="26">(0.5*(C132-C130))/C131^2*EXP($H$211*N131)*E131</f>
        <v>7.9182499999999983E-6</v>
      </c>
      <c r="R131" s="11">
        <f t="shared" ref="R131:R153" si="27">Q131-G131</f>
        <v>0</v>
      </c>
      <c r="S131" s="6">
        <f t="shared" si="22"/>
        <v>1.3880829105880768</v>
      </c>
      <c r="T131">
        <f t="shared" ref="T131:T194" si="28">S131/S$207</f>
        <v>8.2113625467868587E-3</v>
      </c>
      <c r="U131" s="5">
        <f t="shared" ref="U131:U194" si="29">T131-H131</f>
        <v>-1.0886374532131406E-3</v>
      </c>
    </row>
    <row r="132" spans="1:21" x14ac:dyDescent="0.2">
      <c r="A132" t="s">
        <v>8</v>
      </c>
      <c r="B132" t="s">
        <v>9</v>
      </c>
      <c r="C132">
        <v>2225</v>
      </c>
      <c r="D132" t="s">
        <v>10</v>
      </c>
      <c r="E132">
        <v>8.1999999999999993</v>
      </c>
      <c r="F132">
        <v>541</v>
      </c>
      <c r="G132" s="10">
        <v>8.2869399999999996E-6</v>
      </c>
      <c r="H132" s="5">
        <v>9.7999999999999997E-3</v>
      </c>
      <c r="I132" s="5">
        <f t="shared" si="23"/>
        <v>9.7999999999999997E-3</v>
      </c>
      <c r="J132" s="1">
        <f t="shared" si="24"/>
        <v>0</v>
      </c>
      <c r="K132" s="7">
        <f t="shared" si="25"/>
        <v>0</v>
      </c>
      <c r="M132">
        <f t="shared" si="20"/>
        <v>1.0099734881959349E-6</v>
      </c>
      <c r="N132" s="9">
        <f t="shared" si="21"/>
        <v>7.5743110898205271E-3</v>
      </c>
      <c r="Q132" s="10">
        <f t="shared" si="26"/>
        <v>8.2869399999999996E-6</v>
      </c>
      <c r="R132" s="11">
        <f t="shared" si="27"/>
        <v>0</v>
      </c>
      <c r="S132" s="6">
        <f t="shared" si="22"/>
        <v>1.420031243787732</v>
      </c>
      <c r="T132">
        <f t="shared" si="28"/>
        <v>8.4003565504352229E-3</v>
      </c>
      <c r="U132" s="5">
        <f t="shared" si="29"/>
        <v>-1.3996434495647768E-3</v>
      </c>
    </row>
    <row r="133" spans="1:21" x14ac:dyDescent="0.2">
      <c r="A133" t="s">
        <v>8</v>
      </c>
      <c r="B133" t="s">
        <v>9</v>
      </c>
      <c r="C133">
        <v>2230</v>
      </c>
      <c r="D133" t="s">
        <v>10</v>
      </c>
      <c r="E133">
        <v>8.6999999999999993</v>
      </c>
      <c r="F133">
        <v>518</v>
      </c>
      <c r="G133" s="10">
        <v>8.7528599999999994E-6</v>
      </c>
      <c r="H133" s="5">
        <v>1.03E-2</v>
      </c>
      <c r="I133" s="5">
        <f t="shared" si="23"/>
        <v>1.03E-2</v>
      </c>
      <c r="J133" s="1">
        <f t="shared" si="24"/>
        <v>0</v>
      </c>
      <c r="K133" s="7">
        <f t="shared" si="25"/>
        <v>0</v>
      </c>
      <c r="M133">
        <f t="shared" si="20"/>
        <v>1.0054495364877638E-6</v>
      </c>
      <c r="N133" s="9">
        <f t="shared" si="21"/>
        <v>7.5766329602600943E-3</v>
      </c>
      <c r="Q133" s="10">
        <f t="shared" si="26"/>
        <v>8.7528600000000011E-6</v>
      </c>
      <c r="R133" s="11">
        <f t="shared" si="27"/>
        <v>0</v>
      </c>
      <c r="S133" s="6">
        <f t="shared" si="22"/>
        <v>1.4594048787091263</v>
      </c>
      <c r="T133">
        <f t="shared" si="28"/>
        <v>8.6332757720885053E-3</v>
      </c>
      <c r="U133" s="5">
        <f t="shared" si="29"/>
        <v>-1.6667242279114949E-3</v>
      </c>
    </row>
    <row r="134" spans="1:21" x14ac:dyDescent="0.2">
      <c r="A134" t="s">
        <v>8</v>
      </c>
      <c r="B134" t="s">
        <v>9</v>
      </c>
      <c r="C134">
        <v>2235</v>
      </c>
      <c r="D134" t="s">
        <v>10</v>
      </c>
      <c r="E134">
        <v>9.1</v>
      </c>
      <c r="F134">
        <v>537</v>
      </c>
      <c r="G134" s="10">
        <v>9.1143800000000006E-6</v>
      </c>
      <c r="H134" s="5">
        <v>1.0699999999999999E-2</v>
      </c>
      <c r="I134" s="5">
        <f t="shared" si="23"/>
        <v>1.0699999999999999E-2</v>
      </c>
      <c r="J134" s="1">
        <f t="shared" si="24"/>
        <v>0</v>
      </c>
      <c r="K134" s="7">
        <f t="shared" si="25"/>
        <v>0</v>
      </c>
      <c r="M134">
        <f t="shared" si="20"/>
        <v>1.0009559128968164E-6</v>
      </c>
      <c r="N134" s="9">
        <f t="shared" si="21"/>
        <v>7.586114297980181E-3</v>
      </c>
      <c r="Q134" s="10">
        <f t="shared" si="26"/>
        <v>9.1143800000000023E-6</v>
      </c>
      <c r="R134" s="11">
        <f t="shared" si="27"/>
        <v>0</v>
      </c>
      <c r="S134" s="6">
        <f t="shared" si="22"/>
        <v>1.4892388883811309</v>
      </c>
      <c r="T134">
        <f t="shared" si="28"/>
        <v>8.8097622541080754E-3</v>
      </c>
      <c r="U134" s="5">
        <f t="shared" si="29"/>
        <v>-1.8902377458919241E-3</v>
      </c>
    </row>
    <row r="135" spans="1:21" x14ac:dyDescent="0.2">
      <c r="A135" t="s">
        <v>8</v>
      </c>
      <c r="B135" t="s">
        <v>9</v>
      </c>
      <c r="C135">
        <v>2240</v>
      </c>
      <c r="D135" t="s">
        <v>10</v>
      </c>
      <c r="E135">
        <v>9.6</v>
      </c>
      <c r="F135">
        <v>532</v>
      </c>
      <c r="G135" s="10">
        <v>9.5722900000000008E-6</v>
      </c>
      <c r="H135" s="5">
        <v>1.1299999999999999E-2</v>
      </c>
      <c r="I135" s="5">
        <f t="shared" si="23"/>
        <v>1.1299999999999999E-2</v>
      </c>
      <c r="J135" s="1">
        <f t="shared" si="24"/>
        <v>0</v>
      </c>
      <c r="K135" s="7">
        <f t="shared" si="25"/>
        <v>0</v>
      </c>
      <c r="M135">
        <f t="shared" si="20"/>
        <v>9.964923469387756E-7</v>
      </c>
      <c r="N135" s="9">
        <f t="shared" si="21"/>
        <v>7.5821098614723744E-3</v>
      </c>
      <c r="Q135" s="10">
        <f t="shared" si="26"/>
        <v>9.5722900000000008E-6</v>
      </c>
      <c r="R135" s="11">
        <f t="shared" si="27"/>
        <v>0</v>
      </c>
      <c r="S135" s="6">
        <f t="shared" si="22"/>
        <v>1.5261904315429753</v>
      </c>
      <c r="T135">
        <f t="shared" si="28"/>
        <v>9.0283533161049402E-3</v>
      </c>
      <c r="U135" s="5">
        <f t="shared" si="29"/>
        <v>-2.2716466838950591E-3</v>
      </c>
    </row>
    <row r="136" spans="1:21" x14ac:dyDescent="0.2">
      <c r="A136" t="s">
        <v>8</v>
      </c>
      <c r="B136" t="s">
        <v>9</v>
      </c>
      <c r="C136">
        <v>2245</v>
      </c>
      <c r="D136" t="s">
        <v>10</v>
      </c>
      <c r="E136">
        <v>10.199999999999999</v>
      </c>
      <c r="F136">
        <v>530</v>
      </c>
      <c r="G136" s="10">
        <v>1.0125299999999999E-5</v>
      </c>
      <c r="H136" s="5">
        <v>1.1900000000000001E-2</v>
      </c>
      <c r="I136" s="5">
        <f t="shared" si="23"/>
        <v>1.1900000000000001E-2</v>
      </c>
      <c r="J136" s="1">
        <f t="shared" si="24"/>
        <v>0</v>
      </c>
      <c r="K136" s="7">
        <f t="shared" si="25"/>
        <v>0</v>
      </c>
      <c r="M136">
        <f t="shared" si="20"/>
        <v>9.9205857113804007E-7</v>
      </c>
      <c r="N136" s="9">
        <f t="shared" si="21"/>
        <v>7.5755974766166063E-3</v>
      </c>
      <c r="Q136" s="10">
        <f t="shared" si="26"/>
        <v>1.0125300000000001E-5</v>
      </c>
      <c r="R136" s="11">
        <f t="shared" si="27"/>
        <v>0</v>
      </c>
      <c r="S136" s="6">
        <f t="shared" si="22"/>
        <v>1.5696569688947961</v>
      </c>
      <c r="T136">
        <f t="shared" si="28"/>
        <v>9.2854845682273663E-3</v>
      </c>
      <c r="U136" s="5">
        <f t="shared" si="29"/>
        <v>-2.6145154317726346E-3</v>
      </c>
    </row>
    <row r="137" spans="1:21" x14ac:dyDescent="0.2">
      <c r="A137" t="s">
        <v>8</v>
      </c>
      <c r="B137" t="s">
        <v>9</v>
      </c>
      <c r="C137">
        <v>2250</v>
      </c>
      <c r="D137" t="s">
        <v>10</v>
      </c>
      <c r="E137">
        <v>10.6</v>
      </c>
      <c r="F137">
        <v>571</v>
      </c>
      <c r="G137" s="10">
        <v>1.04757E-5</v>
      </c>
      <c r="H137" s="5">
        <v>1.23E-2</v>
      </c>
      <c r="I137" s="5">
        <f t="shared" si="23"/>
        <v>1.23E-2</v>
      </c>
      <c r="J137" s="1">
        <f t="shared" si="24"/>
        <v>0</v>
      </c>
      <c r="K137" s="7">
        <f t="shared" si="25"/>
        <v>0</v>
      </c>
      <c r="M137">
        <f t="shared" si="20"/>
        <v>9.8765432098765437E-7</v>
      </c>
      <c r="N137" s="9">
        <f t="shared" si="21"/>
        <v>7.6261668184183212E-3</v>
      </c>
      <c r="Q137" s="10">
        <f t="shared" si="26"/>
        <v>1.0475700000000002E-5</v>
      </c>
      <c r="R137" s="11">
        <f t="shared" si="27"/>
        <v>0</v>
      </c>
      <c r="S137" s="6">
        <f t="shared" si="22"/>
        <v>1.5965860452853771</v>
      </c>
      <c r="T137">
        <f t="shared" si="28"/>
        <v>9.4447865865769018E-3</v>
      </c>
      <c r="U137" s="5">
        <f t="shared" si="29"/>
        <v>-2.8552134134230984E-3</v>
      </c>
    </row>
    <row r="138" spans="1:21" x14ac:dyDescent="0.2">
      <c r="A138" t="s">
        <v>8</v>
      </c>
      <c r="B138" t="s">
        <v>9</v>
      </c>
      <c r="C138">
        <v>2255</v>
      </c>
      <c r="D138" t="s">
        <v>10</v>
      </c>
      <c r="E138">
        <v>11.2</v>
      </c>
      <c r="F138">
        <v>551</v>
      </c>
      <c r="G138" s="10">
        <v>1.10196E-5</v>
      </c>
      <c r="H138" s="5">
        <v>1.2999999999999999E-2</v>
      </c>
      <c r="I138" s="5">
        <f t="shared" si="23"/>
        <v>1.2999999999999999E-2</v>
      </c>
      <c r="J138" s="1">
        <f t="shared" si="24"/>
        <v>0</v>
      </c>
      <c r="K138" s="7">
        <f t="shared" si="25"/>
        <v>0</v>
      </c>
      <c r="M138">
        <f t="shared" si="20"/>
        <v>9.8327933490985777E-7</v>
      </c>
      <c r="N138" s="9">
        <f t="shared" si="21"/>
        <v>7.5890872936010814E-3</v>
      </c>
      <c r="Q138" s="10">
        <f t="shared" si="26"/>
        <v>1.10196E-5</v>
      </c>
      <c r="R138" s="11">
        <f t="shared" si="27"/>
        <v>0</v>
      </c>
      <c r="S138" s="6">
        <f t="shared" si="22"/>
        <v>1.637509083944269</v>
      </c>
      <c r="T138">
        <f t="shared" si="28"/>
        <v>9.6868714825014343E-3</v>
      </c>
      <c r="U138" s="5">
        <f t="shared" si="29"/>
        <v>-3.3131285174985651E-3</v>
      </c>
    </row>
    <row r="139" spans="1:21" x14ac:dyDescent="0.2">
      <c r="A139" t="s">
        <v>8</v>
      </c>
      <c r="B139" t="s">
        <v>9</v>
      </c>
      <c r="C139">
        <v>2260</v>
      </c>
      <c r="D139" t="s">
        <v>10</v>
      </c>
      <c r="E139">
        <v>12</v>
      </c>
      <c r="F139">
        <v>523</v>
      </c>
      <c r="G139" s="10">
        <v>1.1754500000000001E-5</v>
      </c>
      <c r="H139" s="5">
        <v>1.3899999999999999E-2</v>
      </c>
      <c r="I139" s="5">
        <f t="shared" si="23"/>
        <v>1.3899999999999999E-2</v>
      </c>
      <c r="J139" s="1">
        <f t="shared" si="24"/>
        <v>0</v>
      </c>
      <c r="K139" s="7">
        <f t="shared" si="25"/>
        <v>0</v>
      </c>
      <c r="M139">
        <f t="shared" si="20"/>
        <v>9.7893335421724482E-7</v>
      </c>
      <c r="N139" s="9">
        <f t="shared" si="21"/>
        <v>7.5580591637780916E-3</v>
      </c>
      <c r="Q139" s="10">
        <f t="shared" si="26"/>
        <v>1.1754500000000002E-5</v>
      </c>
      <c r="R139" s="11">
        <f t="shared" si="27"/>
        <v>0</v>
      </c>
      <c r="S139" s="6">
        <f t="shared" si="22"/>
        <v>1.6912308141311367</v>
      </c>
      <c r="T139">
        <f t="shared" si="28"/>
        <v>1.0004668495806746E-2</v>
      </c>
      <c r="U139" s="5">
        <f t="shared" si="29"/>
        <v>-3.8953315041932533E-3</v>
      </c>
    </row>
    <row r="140" spans="1:21" x14ac:dyDescent="0.2">
      <c r="A140" t="s">
        <v>8</v>
      </c>
      <c r="B140" t="s">
        <v>9</v>
      </c>
      <c r="C140">
        <v>2265</v>
      </c>
      <c r="D140" t="s">
        <v>10</v>
      </c>
      <c r="E140">
        <v>12.6</v>
      </c>
      <c r="F140">
        <v>523</v>
      </c>
      <c r="G140" s="10">
        <v>1.2287799999999999E-5</v>
      </c>
      <c r="H140" s="5">
        <v>1.4500000000000001E-2</v>
      </c>
      <c r="I140" s="5">
        <f t="shared" si="23"/>
        <v>1.4500000000000001E-2</v>
      </c>
      <c r="J140" s="1">
        <f t="shared" si="24"/>
        <v>0</v>
      </c>
      <c r="K140" s="7">
        <f t="shared" si="25"/>
        <v>0</v>
      </c>
      <c r="M140">
        <f t="shared" si="20"/>
        <v>9.7461612307452396E-7</v>
      </c>
      <c r="N140" s="9">
        <f t="shared" si="21"/>
        <v>7.5639158008075262E-3</v>
      </c>
      <c r="Q140" s="10">
        <f t="shared" si="26"/>
        <v>1.2287799999999999E-5</v>
      </c>
      <c r="R140" s="11">
        <f t="shared" si="27"/>
        <v>0</v>
      </c>
      <c r="S140" s="6">
        <f t="shared" si="22"/>
        <v>1.7291707068225894</v>
      </c>
      <c r="T140">
        <f t="shared" si="28"/>
        <v>1.022910625200945E-2</v>
      </c>
      <c r="U140" s="5">
        <f t="shared" si="29"/>
        <v>-4.270893747990551E-3</v>
      </c>
    </row>
    <row r="141" spans="1:21" x14ac:dyDescent="0.2">
      <c r="A141" t="s">
        <v>8</v>
      </c>
      <c r="B141" t="s">
        <v>9</v>
      </c>
      <c r="C141">
        <v>2270</v>
      </c>
      <c r="D141" t="s">
        <v>10</v>
      </c>
      <c r="E141">
        <v>13.2</v>
      </c>
      <c r="F141">
        <v>544</v>
      </c>
      <c r="G141" s="10">
        <v>1.28163E-5</v>
      </c>
      <c r="H141" s="5">
        <v>1.5100000000000001E-2</v>
      </c>
      <c r="I141" s="5">
        <f t="shared" si="23"/>
        <v>1.5100000000000001E-2</v>
      </c>
      <c r="J141" s="1">
        <f t="shared" si="24"/>
        <v>0</v>
      </c>
      <c r="K141" s="7">
        <f t="shared" si="25"/>
        <v>0</v>
      </c>
      <c r="M141">
        <f t="shared" si="20"/>
        <v>9.7032738846086669E-7</v>
      </c>
      <c r="N141" s="9">
        <f t="shared" si="21"/>
        <v>7.5764175651773669E-3</v>
      </c>
      <c r="Q141" s="10">
        <f t="shared" si="26"/>
        <v>1.2816300000000001E-5</v>
      </c>
      <c r="R141" s="11">
        <f t="shared" si="27"/>
        <v>0</v>
      </c>
      <c r="S141" s="6">
        <f t="shared" si="22"/>
        <v>1.7659651751945733</v>
      </c>
      <c r="T141">
        <f t="shared" si="28"/>
        <v>1.0446768120197597E-2</v>
      </c>
      <c r="U141" s="5">
        <f t="shared" si="29"/>
        <v>-4.6532318798024035E-3</v>
      </c>
    </row>
    <row r="142" spans="1:21" x14ac:dyDescent="0.2">
      <c r="A142" t="s">
        <v>8</v>
      </c>
      <c r="B142" t="s">
        <v>9</v>
      </c>
      <c r="C142">
        <v>2275</v>
      </c>
      <c r="D142" t="s">
        <v>10</v>
      </c>
      <c r="E142">
        <v>13.9</v>
      </c>
      <c r="F142">
        <v>556</v>
      </c>
      <c r="G142" s="10">
        <v>1.34367E-5</v>
      </c>
      <c r="H142" s="5">
        <v>1.5800000000000002E-2</v>
      </c>
      <c r="I142" s="5">
        <f t="shared" si="23"/>
        <v>1.5800000000000002E-2</v>
      </c>
      <c r="J142" s="1">
        <f t="shared" si="24"/>
        <v>0</v>
      </c>
      <c r="K142" s="7">
        <f t="shared" si="25"/>
        <v>0</v>
      </c>
      <c r="M142">
        <f t="shared" si="20"/>
        <v>9.6606690013283419E-7</v>
      </c>
      <c r="N142" s="9">
        <f t="shared" si="21"/>
        <v>7.5813111814693477E-3</v>
      </c>
      <c r="Q142" s="10">
        <f t="shared" si="26"/>
        <v>1.34367E-5</v>
      </c>
      <c r="R142" s="11">
        <f t="shared" si="27"/>
        <v>0</v>
      </c>
      <c r="S142" s="6">
        <f t="shared" si="22"/>
        <v>1.8082026988144884</v>
      </c>
      <c r="T142">
        <f t="shared" si="28"/>
        <v>1.069662900161617E-2</v>
      </c>
      <c r="U142" s="5">
        <f t="shared" si="29"/>
        <v>-5.1033709983838316E-3</v>
      </c>
    </row>
    <row r="143" spans="1:21" x14ac:dyDescent="0.2">
      <c r="A143" t="s">
        <v>8</v>
      </c>
      <c r="B143" t="s">
        <v>9</v>
      </c>
      <c r="C143">
        <v>2280</v>
      </c>
      <c r="D143" t="s">
        <v>10</v>
      </c>
      <c r="E143">
        <v>14.9</v>
      </c>
      <c r="F143">
        <v>514</v>
      </c>
      <c r="G143" s="10">
        <v>1.4340300000000001E-5</v>
      </c>
      <c r="H143" s="5">
        <v>1.6899999999999998E-2</v>
      </c>
      <c r="I143" s="5">
        <f t="shared" si="23"/>
        <v>1.6899999999999998E-2</v>
      </c>
      <c r="J143" s="1">
        <f t="shared" si="24"/>
        <v>0</v>
      </c>
      <c r="K143" s="7">
        <f t="shared" si="25"/>
        <v>0</v>
      </c>
      <c r="M143">
        <f t="shared" si="20"/>
        <v>9.618344105878732E-7</v>
      </c>
      <c r="N143" s="9">
        <f t="shared" si="21"/>
        <v>7.610444690034272E-3</v>
      </c>
      <c r="Q143" s="10">
        <f t="shared" si="26"/>
        <v>1.4340300000000001E-5</v>
      </c>
      <c r="R143" s="11">
        <f t="shared" si="27"/>
        <v>0</v>
      </c>
      <c r="S143" s="6">
        <f t="shared" si="22"/>
        <v>1.8680131155856479</v>
      </c>
      <c r="T143">
        <f t="shared" si="28"/>
        <v>1.1050444333853307E-2</v>
      </c>
      <c r="U143" s="5">
        <f t="shared" si="29"/>
        <v>-5.849555666146691E-3</v>
      </c>
    </row>
    <row r="144" spans="1:21" x14ac:dyDescent="0.2">
      <c r="A144" t="s">
        <v>8</v>
      </c>
      <c r="B144" t="s">
        <v>9</v>
      </c>
      <c r="C144">
        <v>2285</v>
      </c>
      <c r="D144" t="s">
        <v>10</v>
      </c>
      <c r="E144">
        <v>15.6</v>
      </c>
      <c r="F144">
        <v>511</v>
      </c>
      <c r="G144" s="10">
        <v>1.4948300000000001E-5</v>
      </c>
      <c r="H144" s="5">
        <v>1.7600000000000001E-2</v>
      </c>
      <c r="I144" s="5">
        <f t="shared" si="23"/>
        <v>1.7600000000000001E-2</v>
      </c>
      <c r="J144" s="1">
        <f t="shared" si="24"/>
        <v>0</v>
      </c>
      <c r="K144" s="7">
        <f t="shared" si="25"/>
        <v>0</v>
      </c>
      <c r="M144">
        <f t="shared" si="20"/>
        <v>9.576296750283698E-7</v>
      </c>
      <c r="N144" s="9">
        <f t="shared" si="21"/>
        <v>7.5531031559055795E-3</v>
      </c>
      <c r="Q144" s="10">
        <f t="shared" si="26"/>
        <v>1.4948300000000001E-5</v>
      </c>
      <c r="R144" s="11">
        <f t="shared" si="27"/>
        <v>0</v>
      </c>
      <c r="S144" s="6">
        <f t="shared" si="22"/>
        <v>1.9072020518724981</v>
      </c>
      <c r="T144">
        <f t="shared" si="28"/>
        <v>1.1282270949698558E-2</v>
      </c>
      <c r="U144" s="5">
        <f t="shared" si="29"/>
        <v>-6.3177290503014429E-3</v>
      </c>
    </row>
    <row r="145" spans="1:21" x14ac:dyDescent="0.2">
      <c r="A145" t="s">
        <v>8</v>
      </c>
      <c r="B145" t="s">
        <v>9</v>
      </c>
      <c r="C145">
        <v>2290</v>
      </c>
      <c r="D145" t="s">
        <v>10</v>
      </c>
      <c r="E145">
        <v>16.7</v>
      </c>
      <c r="F145">
        <v>509</v>
      </c>
      <c r="G145" s="10">
        <v>1.5932600000000001E-5</v>
      </c>
      <c r="H145" s="5">
        <v>1.8800000000000001E-2</v>
      </c>
      <c r="I145" s="5">
        <f t="shared" si="23"/>
        <v>1.8800000000000001E-2</v>
      </c>
      <c r="J145" s="1">
        <f t="shared" si="24"/>
        <v>0</v>
      </c>
      <c r="K145" s="7">
        <f t="shared" si="25"/>
        <v>0</v>
      </c>
      <c r="M145">
        <f t="shared" si="20"/>
        <v>9.5345245132625237E-7</v>
      </c>
      <c r="N145" s="9">
        <f t="shared" si="21"/>
        <v>7.5959899488012347E-3</v>
      </c>
      <c r="Q145" s="10">
        <f t="shared" si="26"/>
        <v>1.5932600000000001E-5</v>
      </c>
      <c r="R145" s="11">
        <f t="shared" si="27"/>
        <v>0</v>
      </c>
      <c r="S145" s="6">
        <f t="shared" si="22"/>
        <v>1.9689928051332912</v>
      </c>
      <c r="T145">
        <f t="shared" si="28"/>
        <v>1.1647801187981272E-2</v>
      </c>
      <c r="U145" s="5">
        <f t="shared" si="29"/>
        <v>-7.1521988120187285E-3</v>
      </c>
    </row>
    <row r="146" spans="1:21" x14ac:dyDescent="0.2">
      <c r="A146" t="s">
        <v>8</v>
      </c>
      <c r="B146" t="s">
        <v>9</v>
      </c>
      <c r="C146">
        <v>2295</v>
      </c>
      <c r="D146" t="s">
        <v>10</v>
      </c>
      <c r="E146">
        <v>17.399999999999999</v>
      </c>
      <c r="F146">
        <v>507</v>
      </c>
      <c r="G146" s="10">
        <v>1.6528199999999999E-5</v>
      </c>
      <c r="H146" s="5">
        <v>1.95E-2</v>
      </c>
      <c r="I146" s="5">
        <f t="shared" si="23"/>
        <v>1.95E-2</v>
      </c>
      <c r="J146" s="1">
        <f t="shared" si="24"/>
        <v>0</v>
      </c>
      <c r="K146" s="7">
        <f t="shared" si="25"/>
        <v>0</v>
      </c>
      <c r="M146">
        <f t="shared" si="20"/>
        <v>9.4930249998813373E-7</v>
      </c>
      <c r="N146" s="9">
        <f t="shared" si="21"/>
        <v>7.6112397843883118E-3</v>
      </c>
      <c r="Q146" s="10">
        <f t="shared" si="26"/>
        <v>1.6528200000000002E-5</v>
      </c>
      <c r="R146" s="11">
        <f t="shared" si="27"/>
        <v>0</v>
      </c>
      <c r="S146" s="6">
        <f t="shared" si="22"/>
        <v>2.005458052415956</v>
      </c>
      <c r="T146">
        <f t="shared" si="28"/>
        <v>1.1863515511320458E-2</v>
      </c>
      <c r="U146" s="5">
        <f t="shared" si="29"/>
        <v>-7.636484488679542E-3</v>
      </c>
    </row>
    <row r="147" spans="1:21" x14ac:dyDescent="0.2">
      <c r="A147" t="s">
        <v>8</v>
      </c>
      <c r="B147" t="s">
        <v>9</v>
      </c>
      <c r="C147">
        <v>2300</v>
      </c>
      <c r="D147" t="s">
        <v>10</v>
      </c>
      <c r="E147">
        <v>18.399999999999999</v>
      </c>
      <c r="F147">
        <v>509</v>
      </c>
      <c r="G147" s="10">
        <v>1.7402100000000001E-5</v>
      </c>
      <c r="H147" s="5">
        <v>2.0500000000000001E-2</v>
      </c>
      <c r="I147" s="5">
        <f t="shared" si="23"/>
        <v>2.0500000000000001E-2</v>
      </c>
      <c r="J147" s="1">
        <f t="shared" si="24"/>
        <v>0</v>
      </c>
      <c r="K147" s="7">
        <f t="shared" si="25"/>
        <v>0</v>
      </c>
      <c r="M147">
        <f t="shared" si="20"/>
        <v>9.4517958412098301E-7</v>
      </c>
      <c r="N147" s="9">
        <f t="shared" si="21"/>
        <v>7.5501152086931284E-3</v>
      </c>
      <c r="Q147" s="10">
        <f t="shared" si="26"/>
        <v>1.7402100000000004E-5</v>
      </c>
      <c r="R147" s="11">
        <f t="shared" si="27"/>
        <v>0</v>
      </c>
      <c r="S147" s="6">
        <f t="shared" si="22"/>
        <v>2.0577927495255688</v>
      </c>
      <c r="T147">
        <f t="shared" si="28"/>
        <v>1.2173107372487632E-2</v>
      </c>
      <c r="U147" s="5">
        <f t="shared" si="29"/>
        <v>-8.3268926275123691E-3</v>
      </c>
    </row>
    <row r="148" spans="1:21" x14ac:dyDescent="0.2">
      <c r="A148" t="s">
        <v>8</v>
      </c>
      <c r="B148" t="s">
        <v>9</v>
      </c>
      <c r="C148">
        <v>2305</v>
      </c>
      <c r="D148" t="s">
        <v>10</v>
      </c>
      <c r="E148">
        <v>19.399999999999999</v>
      </c>
      <c r="F148">
        <v>527</v>
      </c>
      <c r="G148" s="10">
        <v>1.8268399999999999E-5</v>
      </c>
      <c r="H148" s="5">
        <v>2.1499999999999998E-2</v>
      </c>
      <c r="I148" s="5">
        <f t="shared" si="23"/>
        <v>2.1499999999999998E-2</v>
      </c>
      <c r="J148" s="1">
        <f t="shared" si="24"/>
        <v>0</v>
      </c>
      <c r="K148" s="7">
        <f t="shared" si="25"/>
        <v>0</v>
      </c>
      <c r="M148">
        <f t="shared" si="20"/>
        <v>9.4108346939831824E-7</v>
      </c>
      <c r="N148" s="9">
        <f t="shared" si="21"/>
        <v>7.5818492141030121E-3</v>
      </c>
      <c r="Q148" s="10">
        <f t="shared" si="26"/>
        <v>1.8268400000000003E-5</v>
      </c>
      <c r="R148" s="11">
        <f t="shared" si="27"/>
        <v>0</v>
      </c>
      <c r="S148" s="6">
        <f t="shared" si="22"/>
        <v>2.108390539408358</v>
      </c>
      <c r="T148">
        <f t="shared" si="28"/>
        <v>1.2472424361137614E-2</v>
      </c>
      <c r="U148" s="5">
        <f t="shared" si="29"/>
        <v>-9.0275756388623844E-3</v>
      </c>
    </row>
    <row r="149" spans="1:21" x14ac:dyDescent="0.2">
      <c r="A149" t="s">
        <v>8</v>
      </c>
      <c r="B149" t="s">
        <v>9</v>
      </c>
      <c r="C149">
        <v>2310</v>
      </c>
      <c r="D149" t="s">
        <v>10</v>
      </c>
      <c r="E149">
        <v>20.5</v>
      </c>
      <c r="F149">
        <v>503</v>
      </c>
      <c r="G149" s="10">
        <v>1.9220800000000001E-5</v>
      </c>
      <c r="H149" s="5">
        <v>2.2700000000000001E-2</v>
      </c>
      <c r="I149" s="5">
        <f t="shared" si="23"/>
        <v>2.2700000000000001E-2</v>
      </c>
      <c r="J149" s="1">
        <f t="shared" si="24"/>
        <v>0</v>
      </c>
      <c r="K149" s="7">
        <f t="shared" si="25"/>
        <v>0</v>
      </c>
      <c r="M149">
        <f t="shared" si="20"/>
        <v>9.3701392402691107E-7</v>
      </c>
      <c r="N149" s="9">
        <f t="shared" si="21"/>
        <v>7.6075304326344313E-3</v>
      </c>
      <c r="Q149" s="10">
        <f t="shared" si="26"/>
        <v>1.9220800000000004E-5</v>
      </c>
      <c r="R149" s="11">
        <f t="shared" si="27"/>
        <v>0</v>
      </c>
      <c r="S149" s="6">
        <f t="shared" si="22"/>
        <v>2.1626514590505179</v>
      </c>
      <c r="T149">
        <f t="shared" si="28"/>
        <v>1.2793411011074165E-2</v>
      </c>
      <c r="U149" s="5">
        <f t="shared" si="29"/>
        <v>-9.9065889889258362E-3</v>
      </c>
    </row>
    <row r="150" spans="1:21" x14ac:dyDescent="0.2">
      <c r="A150" t="s">
        <v>8</v>
      </c>
      <c r="B150" t="s">
        <v>9</v>
      </c>
      <c r="C150">
        <v>2315</v>
      </c>
      <c r="D150" t="s">
        <v>10</v>
      </c>
      <c r="E150">
        <v>21.6</v>
      </c>
      <c r="F150">
        <v>560</v>
      </c>
      <c r="G150" s="10">
        <v>2.01647E-5</v>
      </c>
      <c r="H150" s="5">
        <v>2.3800000000000002E-2</v>
      </c>
      <c r="I150" s="5">
        <f t="shared" si="23"/>
        <v>2.3800000000000002E-2</v>
      </c>
      <c r="J150" s="1">
        <f t="shared" si="24"/>
        <v>0</v>
      </c>
      <c r="K150" s="7">
        <f t="shared" si="25"/>
        <v>0</v>
      </c>
      <c r="M150">
        <f t="shared" si="20"/>
        <v>9.3297071871399317E-7</v>
      </c>
      <c r="N150" s="9">
        <f t="shared" si="21"/>
        <v>7.5640033351046555E-3</v>
      </c>
      <c r="Q150" s="10">
        <f t="shared" si="26"/>
        <v>2.01647E-5</v>
      </c>
      <c r="R150" s="11">
        <f t="shared" si="27"/>
        <v>0</v>
      </c>
      <c r="S150" s="6">
        <f t="shared" si="22"/>
        <v>2.2151170774175046</v>
      </c>
      <c r="T150">
        <f t="shared" si="28"/>
        <v>1.3103777351849996E-2</v>
      </c>
      <c r="U150" s="5">
        <f t="shared" si="29"/>
        <v>-1.0696222648150006E-2</v>
      </c>
    </row>
    <row r="151" spans="1:21" x14ac:dyDescent="0.2">
      <c r="A151" t="s">
        <v>8</v>
      </c>
      <c r="B151" t="s">
        <v>9</v>
      </c>
      <c r="C151">
        <v>2320</v>
      </c>
      <c r="D151" t="s">
        <v>10</v>
      </c>
      <c r="E151">
        <v>23</v>
      </c>
      <c r="F151">
        <v>534</v>
      </c>
      <c r="G151" s="10">
        <v>2.13792E-5</v>
      </c>
      <c r="H151" s="5">
        <v>2.52E-2</v>
      </c>
      <c r="I151" s="5">
        <f t="shared" si="23"/>
        <v>2.52E-2</v>
      </c>
      <c r="J151" s="1">
        <f t="shared" si="24"/>
        <v>0</v>
      </c>
      <c r="K151" s="7">
        <f t="shared" si="25"/>
        <v>0</v>
      </c>
      <c r="M151">
        <f t="shared" si="20"/>
        <v>9.2895362663495838E-7</v>
      </c>
      <c r="N151" s="9">
        <f>1/$H$211*(LN(G151/(E151*M151)))</f>
        <v>7.5522118635337095E-3</v>
      </c>
      <c r="Q151" s="10">
        <f t="shared" si="26"/>
        <v>2.13792E-5</v>
      </c>
      <c r="R151" s="11">
        <f t="shared" si="27"/>
        <v>0</v>
      </c>
      <c r="S151" s="6">
        <f t="shared" si="22"/>
        <v>2.2808489647497487</v>
      </c>
      <c r="T151">
        <f t="shared" si="28"/>
        <v>1.349262181758939E-2</v>
      </c>
      <c r="U151" s="5">
        <f t="shared" si="29"/>
        <v>-1.170737818241061E-2</v>
      </c>
    </row>
    <row r="152" spans="1:21" x14ac:dyDescent="0.2">
      <c r="A152" t="s">
        <v>8</v>
      </c>
      <c r="B152" t="s">
        <v>9</v>
      </c>
      <c r="C152">
        <v>2325</v>
      </c>
      <c r="D152" t="s">
        <v>10</v>
      </c>
      <c r="E152">
        <v>24.3</v>
      </c>
      <c r="F152">
        <v>532</v>
      </c>
      <c r="G152" s="10">
        <v>2.2490600000000001E-5</v>
      </c>
      <c r="H152" s="5">
        <v>2.6499999999999999E-2</v>
      </c>
      <c r="I152" s="5">
        <f t="shared" si="23"/>
        <v>2.6499999999999999E-2</v>
      </c>
      <c r="J152" s="1">
        <f t="shared" si="24"/>
        <v>0</v>
      </c>
      <c r="K152" s="7">
        <f t="shared" si="25"/>
        <v>0</v>
      </c>
      <c r="M152">
        <f t="shared" si="20"/>
        <v>9.249624234015493E-7</v>
      </c>
      <c r="N152" s="9">
        <f t="shared" si="21"/>
        <v>7.5829898190641464E-3</v>
      </c>
      <c r="Q152" s="10">
        <f t="shared" si="26"/>
        <v>2.2490600000000001E-5</v>
      </c>
      <c r="R152" s="11">
        <f t="shared" si="27"/>
        <v>0</v>
      </c>
      <c r="S152" s="6">
        <f t="shared" si="22"/>
        <v>2.339382967080565</v>
      </c>
      <c r="T152">
        <f t="shared" si="28"/>
        <v>1.383888637483343E-2</v>
      </c>
      <c r="U152" s="5">
        <f t="shared" si="29"/>
        <v>-1.2661113625166569E-2</v>
      </c>
    </row>
    <row r="153" spans="1:21" x14ac:dyDescent="0.2">
      <c r="A153" t="s">
        <v>8</v>
      </c>
      <c r="B153" t="s">
        <v>9</v>
      </c>
      <c r="C153">
        <v>2330</v>
      </c>
      <c r="D153" t="s">
        <v>10</v>
      </c>
      <c r="E153">
        <v>25.8</v>
      </c>
      <c r="F153">
        <v>529</v>
      </c>
      <c r="G153" s="10">
        <v>2.3776499999999998E-5</v>
      </c>
      <c r="H153" s="5">
        <v>2.8000000000000001E-2</v>
      </c>
      <c r="I153" s="5">
        <f t="shared" si="23"/>
        <v>2.8000000000000001E-2</v>
      </c>
      <c r="J153" s="1">
        <f t="shared" si="24"/>
        <v>0</v>
      </c>
      <c r="K153" s="7">
        <f t="shared" si="25"/>
        <v>0</v>
      </c>
      <c r="M153">
        <f t="shared" si="20"/>
        <v>9.2099688703052186E-7</v>
      </c>
      <c r="N153" s="9">
        <f t="shared" si="21"/>
        <v>7.5655827291705828E-3</v>
      </c>
      <c r="Q153" s="10">
        <f t="shared" si="26"/>
        <v>2.3776499999999998E-5</v>
      </c>
      <c r="R153" s="11">
        <f>Q153-G153</f>
        <v>0</v>
      </c>
      <c r="S153" s="6">
        <f t="shared" si="22"/>
        <v>2.4053305386162629</v>
      </c>
      <c r="T153">
        <f t="shared" si="28"/>
        <v>1.4229006745042697E-2</v>
      </c>
      <c r="U153" s="5">
        <f t="shared" si="29"/>
        <v>-1.3770993254957304E-2</v>
      </c>
    </row>
    <row r="154" spans="1:21" x14ac:dyDescent="0.2">
      <c r="A154" t="s">
        <v>8</v>
      </c>
      <c r="B154" t="s">
        <v>9</v>
      </c>
      <c r="C154">
        <v>2335</v>
      </c>
      <c r="D154" t="s">
        <v>10</v>
      </c>
      <c r="E154">
        <v>27.3</v>
      </c>
      <c r="F154">
        <v>491</v>
      </c>
      <c r="G154" s="10">
        <v>2.5051299999999998E-5</v>
      </c>
      <c r="H154" s="5">
        <v>2.9499999999999998E-2</v>
      </c>
      <c r="I154" s="5">
        <f t="shared" si="23"/>
        <v>2.9499999999999998E-2</v>
      </c>
      <c r="J154" s="1">
        <f t="shared" si="24"/>
        <v>0</v>
      </c>
      <c r="K154" s="7">
        <f t="shared" si="25"/>
        <v>0</v>
      </c>
      <c r="M154">
        <f t="shared" si="20"/>
        <v>9.1705679791277875E-7</v>
      </c>
      <c r="N154" s="9">
        <f t="shared" si="21"/>
        <v>7.6028284380138499E-3</v>
      </c>
      <c r="Q154" s="10">
        <f>(0.5*(C155-C153))/C154^2*EXP($H$211*N154)*E154</f>
        <v>2.5051300000000002E-5</v>
      </c>
      <c r="R154" s="11">
        <f t="shared" ref="R154" si="30">Q154-G154</f>
        <v>0</v>
      </c>
      <c r="S154" s="6">
        <f t="shared" si="22"/>
        <v>2.4689707032148704</v>
      </c>
      <c r="T154">
        <f t="shared" si="28"/>
        <v>1.4605477386724297E-2</v>
      </c>
      <c r="U154" s="5">
        <f t="shared" si="29"/>
        <v>-1.4894522613275701E-2</v>
      </c>
    </row>
    <row r="155" spans="1:21" x14ac:dyDescent="0.2">
      <c r="A155" t="s">
        <v>8</v>
      </c>
      <c r="B155" t="s">
        <v>9</v>
      </c>
      <c r="C155">
        <v>2340</v>
      </c>
      <c r="D155" t="s">
        <v>10</v>
      </c>
      <c r="E155">
        <v>29</v>
      </c>
      <c r="F155">
        <v>490</v>
      </c>
      <c r="G155" s="10">
        <v>2.6497599999999999E-5</v>
      </c>
      <c r="H155" s="5">
        <v>3.1199999999999999E-2</v>
      </c>
      <c r="I155" s="5">
        <f t="shared" si="23"/>
        <v>3.1199999999999999E-2</v>
      </c>
      <c r="J155" s="1">
        <f t="shared" si="24"/>
        <v>0</v>
      </c>
      <c r="K155" s="7">
        <f t="shared" si="25"/>
        <v>0</v>
      </c>
      <c r="M155">
        <f t="shared" si="20"/>
        <v>9.1314193878296441E-7</v>
      </c>
      <c r="N155" s="9">
        <f t="shared" si="21"/>
        <v>7.5710632561098619E-3</v>
      </c>
      <c r="Q155" s="10">
        <f t="shared" ref="Q154:Q155" si="31">(0.5*(C156-C154))/C155^2*EXP($H$211*N155)*E155</f>
        <v>2.6497599999999999E-5</v>
      </c>
      <c r="R155" s="11">
        <f t="shared" ref="R155" si="32">Q155-G155</f>
        <v>0</v>
      </c>
      <c r="S155" s="6">
        <f t="shared" si="22"/>
        <v>2.5392418816121736</v>
      </c>
      <c r="T155">
        <f t="shared" si="28"/>
        <v>1.5021174545740347E-2</v>
      </c>
      <c r="U155" s="5">
        <f t="shared" si="29"/>
        <v>-1.6178825454259652E-2</v>
      </c>
    </row>
    <row r="156" spans="1:21" x14ac:dyDescent="0.2">
      <c r="A156" t="s">
        <v>8</v>
      </c>
      <c r="B156" t="s">
        <v>9</v>
      </c>
      <c r="C156">
        <v>2345</v>
      </c>
      <c r="D156" t="s">
        <v>11</v>
      </c>
      <c r="E156">
        <v>31.9</v>
      </c>
      <c r="F156">
        <v>265</v>
      </c>
      <c r="G156" s="10">
        <v>1.43069E-5</v>
      </c>
      <c r="H156" s="5">
        <v>1.6899999999999998E-2</v>
      </c>
      <c r="I156" s="5">
        <f t="shared" si="23"/>
        <v>1.6899999999999998E-2</v>
      </c>
      <c r="J156" s="1">
        <f t="shared" si="24"/>
        <v>0</v>
      </c>
      <c r="K156" s="7">
        <f t="shared" si="25"/>
        <v>0</v>
      </c>
      <c r="N156" s="9"/>
      <c r="S156" s="6">
        <f>100*SQRT(2*G156*G$211)</f>
        <v>1.8658364522826396</v>
      </c>
      <c r="T156">
        <f t="shared" si="28"/>
        <v>1.1037568034183487E-2</v>
      </c>
      <c r="U156" s="5">
        <f t="shared" si="29"/>
        <v>-5.8624319658165114E-3</v>
      </c>
    </row>
    <row r="157" spans="1:21" x14ac:dyDescent="0.2">
      <c r="A157" t="s">
        <v>8</v>
      </c>
      <c r="B157" t="s">
        <v>9</v>
      </c>
      <c r="C157">
        <v>2345</v>
      </c>
      <c r="D157" t="s">
        <v>10</v>
      </c>
      <c r="E157">
        <v>31</v>
      </c>
      <c r="F157">
        <v>452</v>
      </c>
      <c r="G157" s="10">
        <v>1.43069E-5</v>
      </c>
      <c r="H157" s="5">
        <v>1.6899999999999998E-2</v>
      </c>
      <c r="I157" s="5">
        <f t="shared" si="23"/>
        <v>1.6899999999999998E-2</v>
      </c>
      <c r="J157" s="1">
        <f t="shared" si="24"/>
        <v>0</v>
      </c>
      <c r="K157" s="7">
        <f t="shared" si="25"/>
        <v>0</v>
      </c>
      <c r="N157" s="9"/>
      <c r="S157" s="6">
        <f t="shared" ref="S157:S206" si="33">100*SQRT(2*G157*G$211)</f>
        <v>1.8658364522826396</v>
      </c>
      <c r="T157">
        <f t="shared" si="28"/>
        <v>1.1037568034183487E-2</v>
      </c>
      <c r="U157" s="5">
        <f t="shared" si="29"/>
        <v>-5.8624319658165114E-3</v>
      </c>
    </row>
    <row r="158" spans="1:21" x14ac:dyDescent="0.2">
      <c r="A158" t="s">
        <v>8</v>
      </c>
      <c r="B158" t="s">
        <v>9</v>
      </c>
      <c r="C158">
        <v>2350</v>
      </c>
      <c r="D158" t="s">
        <v>11</v>
      </c>
      <c r="E158">
        <v>28.9</v>
      </c>
      <c r="F158">
        <v>600</v>
      </c>
      <c r="G158" s="10">
        <v>2.6182000000000001E-5</v>
      </c>
      <c r="H158" s="5">
        <v>3.09E-2</v>
      </c>
      <c r="I158" s="5">
        <f t="shared" si="23"/>
        <v>3.09E-2</v>
      </c>
      <c r="J158" s="1">
        <f t="shared" si="24"/>
        <v>0</v>
      </c>
      <c r="K158" s="7">
        <f t="shared" si="25"/>
        <v>0</v>
      </c>
      <c r="M158">
        <f t="shared" ref="M158" si="34">(C159-C157)/2/C158^2</f>
        <v>9.0538705296514257E-7</v>
      </c>
      <c r="N158" s="9">
        <f t="shared" ref="N158" si="35">1/$H$211*(LN(G158/(E158*M158)))</f>
        <v>7.5834896302602647E-3</v>
      </c>
      <c r="Q158" s="10">
        <f t="shared" ref="Q158:Q196" si="36">(0.5*(C159-C157))/C158^2*EXP($H$211*N158)*E158</f>
        <v>2.6182000000000001E-5</v>
      </c>
      <c r="R158" s="11">
        <f t="shared" ref="R158:R196" si="37">Q158-G158</f>
        <v>0</v>
      </c>
      <c r="S158" s="6">
        <f t="shared" si="33"/>
        <v>2.5240747479687151</v>
      </c>
      <c r="T158">
        <f t="shared" si="28"/>
        <v>1.4931451639282806E-2</v>
      </c>
      <c r="U158" s="5">
        <f t="shared" si="29"/>
        <v>-1.5968548360717195E-2</v>
      </c>
    </row>
    <row r="159" spans="1:21" x14ac:dyDescent="0.2">
      <c r="A159" t="s">
        <v>8</v>
      </c>
      <c r="B159" t="s">
        <v>9</v>
      </c>
      <c r="C159">
        <v>2355</v>
      </c>
      <c r="D159" t="s">
        <v>11</v>
      </c>
      <c r="E159">
        <v>25.9</v>
      </c>
      <c r="F159">
        <v>544</v>
      </c>
      <c r="G159" s="10">
        <v>2.33646E-5</v>
      </c>
      <c r="H159" s="5">
        <v>2.75E-2</v>
      </c>
      <c r="I159" s="5">
        <f t="shared" si="23"/>
        <v>2.75E-2</v>
      </c>
      <c r="J159" s="1">
        <f t="shared" si="24"/>
        <v>0</v>
      </c>
      <c r="K159" s="7">
        <f t="shared" si="25"/>
        <v>0</v>
      </c>
      <c r="M159">
        <f t="shared" ref="M159:M205" si="38">(C160-C158)/2/C159^2</f>
        <v>9.0154660319778583E-7</v>
      </c>
      <c r="N159" s="9">
        <f t="shared" ref="N159:N205" si="39">1/$H$211*(LN(G159/(E159*M159)))</f>
        <v>7.5753338523893128E-3</v>
      </c>
      <c r="Q159" s="10">
        <f t="shared" si="36"/>
        <v>2.3364599999999996E-5</v>
      </c>
      <c r="R159" s="11">
        <f t="shared" si="37"/>
        <v>0</v>
      </c>
      <c r="S159" s="6">
        <f t="shared" si="33"/>
        <v>2.3844047475208563</v>
      </c>
      <c r="T159">
        <f t="shared" si="28"/>
        <v>1.4105217844572832E-2</v>
      </c>
      <c r="U159" s="5">
        <f t="shared" si="29"/>
        <v>-1.3394782155427169E-2</v>
      </c>
    </row>
    <row r="160" spans="1:21" x14ac:dyDescent="0.2">
      <c r="A160" t="s">
        <v>8</v>
      </c>
      <c r="B160" t="s">
        <v>9</v>
      </c>
      <c r="C160">
        <v>2360</v>
      </c>
      <c r="D160" t="s">
        <v>11</v>
      </c>
      <c r="E160">
        <v>23</v>
      </c>
      <c r="F160">
        <v>542</v>
      </c>
      <c r="G160" s="10">
        <v>2.06607E-5</v>
      </c>
      <c r="H160" s="5">
        <v>2.4400000000000002E-2</v>
      </c>
      <c r="I160" s="5">
        <f t="shared" si="23"/>
        <v>2.4400000000000002E-2</v>
      </c>
      <c r="J160" s="1">
        <f t="shared" si="24"/>
        <v>0</v>
      </c>
      <c r="K160" s="7">
        <f t="shared" si="25"/>
        <v>0</v>
      </c>
      <c r="M160">
        <f t="shared" si="38"/>
        <v>8.9773053720195343E-7</v>
      </c>
      <c r="N160" s="9">
        <f t="shared" si="39"/>
        <v>7.5975325080322254E-3</v>
      </c>
      <c r="Q160" s="10">
        <f t="shared" si="36"/>
        <v>2.06607E-5</v>
      </c>
      <c r="R160" s="11">
        <f t="shared" si="37"/>
        <v>0</v>
      </c>
      <c r="S160" s="6">
        <f t="shared" si="33"/>
        <v>2.2421946837864013</v>
      </c>
      <c r="T160">
        <f t="shared" si="28"/>
        <v>1.3263958016202384E-2</v>
      </c>
      <c r="U160" s="5">
        <f t="shared" si="29"/>
        <v>-1.1136041983797617E-2</v>
      </c>
    </row>
    <row r="161" spans="1:21" x14ac:dyDescent="0.2">
      <c r="A161" t="s">
        <v>8</v>
      </c>
      <c r="B161" t="s">
        <v>9</v>
      </c>
      <c r="C161">
        <v>2365</v>
      </c>
      <c r="D161" t="s">
        <v>11</v>
      </c>
      <c r="E161">
        <v>19.899999999999999</v>
      </c>
      <c r="F161">
        <v>815</v>
      </c>
      <c r="G161" s="10">
        <v>1.78005E-5</v>
      </c>
      <c r="H161" s="5">
        <v>2.1000000000000001E-2</v>
      </c>
      <c r="I161" s="5">
        <f t="shared" si="23"/>
        <v>2.1000000000000001E-2</v>
      </c>
      <c r="J161" s="1">
        <f t="shared" si="24"/>
        <v>0</v>
      </c>
      <c r="K161" s="7">
        <f t="shared" si="25"/>
        <v>0</v>
      </c>
      <c r="M161">
        <f t="shared" si="38"/>
        <v>8.9393864899051974E-7</v>
      </c>
      <c r="N161" s="9">
        <f t="shared" si="39"/>
        <v>7.6035159253459682E-3</v>
      </c>
      <c r="Q161" s="10">
        <f t="shared" si="36"/>
        <v>1.78005E-5</v>
      </c>
      <c r="R161" s="11">
        <f t="shared" si="37"/>
        <v>0</v>
      </c>
      <c r="S161" s="6">
        <f t="shared" si="33"/>
        <v>2.0812147894919448</v>
      </c>
      <c r="T161">
        <f t="shared" si="28"/>
        <v>1.2311663117452291E-2</v>
      </c>
      <c r="U161" s="5">
        <f t="shared" si="29"/>
        <v>-8.6883368825477099E-3</v>
      </c>
    </row>
    <row r="162" spans="1:21" x14ac:dyDescent="0.2">
      <c r="A162" t="s">
        <v>8</v>
      </c>
      <c r="B162" t="s">
        <v>9</v>
      </c>
      <c r="C162">
        <v>2370</v>
      </c>
      <c r="D162" t="s">
        <v>11</v>
      </c>
      <c r="E162">
        <v>17.600000000000001</v>
      </c>
      <c r="F162">
        <v>538</v>
      </c>
      <c r="G162" s="10">
        <v>1.5676799999999999E-5</v>
      </c>
      <c r="H162" s="5">
        <v>1.8499999999999999E-2</v>
      </c>
      <c r="I162" s="5">
        <f t="shared" si="23"/>
        <v>1.8499999999999999E-2</v>
      </c>
      <c r="J162" s="1">
        <f t="shared" si="24"/>
        <v>0</v>
      </c>
      <c r="K162" s="7">
        <f t="shared" si="25"/>
        <v>0</v>
      </c>
      <c r="M162">
        <f>(C163-C161)/2/C162^2</f>
        <v>8.9017073474692445E-7</v>
      </c>
      <c r="N162" s="9">
        <f>1/$H$211*(LN(G162/(E162*M162)))</f>
        <v>7.6042673822307215E-3</v>
      </c>
      <c r="Q162" s="10">
        <f t="shared" si="36"/>
        <v>1.5676799999999995E-5</v>
      </c>
      <c r="R162" s="11">
        <f t="shared" si="37"/>
        <v>0</v>
      </c>
      <c r="S162" s="6">
        <f t="shared" si="33"/>
        <v>1.9531226279985596</v>
      </c>
      <c r="T162">
        <f t="shared" si="28"/>
        <v>1.1553919347681258E-2</v>
      </c>
      <c r="U162" s="5">
        <f t="shared" si="29"/>
        <v>-6.946080652318741E-3</v>
      </c>
    </row>
    <row r="163" spans="1:21" x14ac:dyDescent="0.2">
      <c r="A163" t="s">
        <v>8</v>
      </c>
      <c r="B163" t="s">
        <v>9</v>
      </c>
      <c r="C163">
        <v>2375</v>
      </c>
      <c r="D163" t="s">
        <v>11</v>
      </c>
      <c r="E163">
        <v>15.2</v>
      </c>
      <c r="F163">
        <v>537</v>
      </c>
      <c r="G163" s="10">
        <v>1.3482099999999999E-5</v>
      </c>
      <c r="H163" s="5">
        <v>1.5900000000000001E-2</v>
      </c>
      <c r="I163" s="5">
        <f t="shared" si="23"/>
        <v>1.5900000000000001E-2</v>
      </c>
      <c r="J163" s="1">
        <f t="shared" si="24"/>
        <v>0</v>
      </c>
      <c r="K163" s="7">
        <f t="shared" si="25"/>
        <v>0</v>
      </c>
      <c r="M163">
        <f t="shared" si="38"/>
        <v>8.8642659279778391E-7</v>
      </c>
      <c r="N163" s="9">
        <f t="shared" si="39"/>
        <v>7.5970417176735201E-3</v>
      </c>
      <c r="Q163" s="10">
        <f t="shared" si="36"/>
        <v>1.3482099999999999E-5</v>
      </c>
      <c r="R163" s="11">
        <f t="shared" si="37"/>
        <v>0</v>
      </c>
      <c r="S163" s="6">
        <f t="shared" si="33"/>
        <v>1.8112549056754361</v>
      </c>
      <c r="T163">
        <f t="shared" si="28"/>
        <v>1.0714684678918915E-2</v>
      </c>
      <c r="U163" s="5">
        <f t="shared" si="29"/>
        <v>-5.1853153210810864E-3</v>
      </c>
    </row>
    <row r="164" spans="1:21" x14ac:dyDescent="0.2">
      <c r="A164" t="s">
        <v>8</v>
      </c>
      <c r="B164" t="s">
        <v>9</v>
      </c>
      <c r="C164">
        <v>2380</v>
      </c>
      <c r="D164" t="s">
        <v>11</v>
      </c>
      <c r="E164">
        <v>13</v>
      </c>
      <c r="F164">
        <v>497</v>
      </c>
      <c r="G164" s="10">
        <v>1.14823E-5</v>
      </c>
      <c r="H164" s="5">
        <v>1.35E-2</v>
      </c>
      <c r="I164" s="5">
        <f t="shared" si="23"/>
        <v>1.35E-2</v>
      </c>
      <c r="J164" s="1">
        <f t="shared" si="24"/>
        <v>0</v>
      </c>
      <c r="K164" s="7">
        <f t="shared" si="25"/>
        <v>0</v>
      </c>
      <c r="M164">
        <f t="shared" si="38"/>
        <v>8.8270602358590494E-7</v>
      </c>
      <c r="N164" s="9">
        <f t="shared" si="39"/>
        <v>7.5485008517215792E-3</v>
      </c>
      <c r="Q164" s="10">
        <f t="shared" si="36"/>
        <v>1.14823E-5</v>
      </c>
      <c r="R164" s="11">
        <f t="shared" si="37"/>
        <v>0</v>
      </c>
      <c r="S164" s="6">
        <f t="shared" si="33"/>
        <v>1.6715341256861411</v>
      </c>
      <c r="T164">
        <f t="shared" si="28"/>
        <v>9.8881504920482772E-3</v>
      </c>
      <c r="U164" s="5">
        <f t="shared" si="29"/>
        <v>-3.6118495079517227E-3</v>
      </c>
    </row>
    <row r="165" spans="1:21" x14ac:dyDescent="0.2">
      <c r="A165" t="s">
        <v>8</v>
      </c>
      <c r="B165" t="s">
        <v>9</v>
      </c>
      <c r="C165">
        <v>2385</v>
      </c>
      <c r="D165" t="s">
        <v>11</v>
      </c>
      <c r="E165">
        <v>11</v>
      </c>
      <c r="F165">
        <v>495</v>
      </c>
      <c r="G165" s="10">
        <v>9.6751199999999996E-6</v>
      </c>
      <c r="H165" s="5">
        <v>1.14E-2</v>
      </c>
      <c r="I165" s="5">
        <f t="shared" si="23"/>
        <v>1.14E-2</v>
      </c>
      <c r="J165" s="1">
        <f t="shared" si="24"/>
        <v>0</v>
      </c>
      <c r="K165" s="7">
        <f t="shared" si="25"/>
        <v>0</v>
      </c>
      <c r="M165">
        <f t="shared" si="38"/>
        <v>8.7900882964369382E-7</v>
      </c>
      <c r="N165" s="9">
        <f t="shared" si="39"/>
        <v>7.576248885396185E-3</v>
      </c>
      <c r="Q165" s="10">
        <f t="shared" si="36"/>
        <v>9.6751199999999979E-6</v>
      </c>
      <c r="R165" s="11">
        <f t="shared" si="37"/>
        <v>0</v>
      </c>
      <c r="S165" s="6">
        <f t="shared" si="33"/>
        <v>1.5343660580187506</v>
      </c>
      <c r="T165">
        <f t="shared" si="28"/>
        <v>9.0767171656470826E-3</v>
      </c>
      <c r="U165" s="5">
        <f t="shared" si="29"/>
        <v>-2.3232828343529178E-3</v>
      </c>
    </row>
    <row r="166" spans="1:21" x14ac:dyDescent="0.2">
      <c r="A166" t="s">
        <v>8</v>
      </c>
      <c r="B166" t="s">
        <v>9</v>
      </c>
      <c r="C166">
        <v>2390</v>
      </c>
      <c r="D166" t="s">
        <v>11</v>
      </c>
      <c r="E166">
        <v>9.1999999999999993</v>
      </c>
      <c r="F166">
        <v>480</v>
      </c>
      <c r="G166" s="10">
        <v>8.0581E-6</v>
      </c>
      <c r="H166" s="5">
        <v>9.4999999999999998E-3</v>
      </c>
      <c r="I166" s="5">
        <f t="shared" si="23"/>
        <v>9.4999999999999998E-3</v>
      </c>
      <c r="J166" s="1">
        <f t="shared" si="24"/>
        <v>0</v>
      </c>
      <c r="K166" s="7">
        <f t="shared" si="25"/>
        <v>0</v>
      </c>
      <c r="M166">
        <f t="shared" si="38"/>
        <v>8.753348155669544E-7</v>
      </c>
      <c r="N166" s="9">
        <f t="shared" si="39"/>
        <v>7.5814407592351236E-3</v>
      </c>
      <c r="Q166" s="10">
        <f t="shared" si="36"/>
        <v>8.0581E-6</v>
      </c>
      <c r="R166" s="11">
        <f t="shared" si="37"/>
        <v>0</v>
      </c>
      <c r="S166" s="6">
        <f t="shared" si="33"/>
        <v>1.4002872324395925</v>
      </c>
      <c r="T166">
        <f t="shared" si="28"/>
        <v>8.2835586026535884E-3</v>
      </c>
      <c r="U166" s="5">
        <f t="shared" si="29"/>
        <v>-1.2164413973464114E-3</v>
      </c>
    </row>
    <row r="167" spans="1:21" x14ac:dyDescent="0.2">
      <c r="A167" t="s">
        <v>8</v>
      </c>
      <c r="B167" t="s">
        <v>9</v>
      </c>
      <c r="C167">
        <v>2395</v>
      </c>
      <c r="D167" t="s">
        <v>11</v>
      </c>
      <c r="E167">
        <v>7.6</v>
      </c>
      <c r="F167">
        <v>527</v>
      </c>
      <c r="G167" s="10">
        <v>6.6289299999999997E-6</v>
      </c>
      <c r="H167" s="5">
        <v>7.7999999999999996E-3</v>
      </c>
      <c r="I167" s="5">
        <f t="shared" si="23"/>
        <v>7.7999999999999996E-3</v>
      </c>
      <c r="J167" s="1">
        <f>H167-I167</f>
        <v>0</v>
      </c>
      <c r="K167" s="7">
        <f t="shared" si="25"/>
        <v>0</v>
      </c>
      <c r="M167">
        <f t="shared" si="38"/>
        <v>8.7168378798906905E-7</v>
      </c>
      <c r="N167" s="9">
        <f t="shared" si="39"/>
        <v>7.5884174128411476E-3</v>
      </c>
      <c r="Q167" s="10">
        <f t="shared" si="36"/>
        <v>6.6289299999999997E-6</v>
      </c>
      <c r="R167" s="11">
        <f t="shared" si="37"/>
        <v>0</v>
      </c>
      <c r="S167" s="6">
        <f t="shared" si="33"/>
        <v>1.2700549725635237</v>
      </c>
      <c r="T167">
        <f t="shared" si="28"/>
        <v>7.5131548371633059E-3</v>
      </c>
      <c r="U167" s="5">
        <f t="shared" si="29"/>
        <v>-2.8684516283669376E-4</v>
      </c>
    </row>
    <row r="168" spans="1:21" x14ac:dyDescent="0.2">
      <c r="A168" t="s">
        <v>8</v>
      </c>
      <c r="B168" t="s">
        <v>9</v>
      </c>
      <c r="C168">
        <v>2400</v>
      </c>
      <c r="D168" t="s">
        <v>11</v>
      </c>
      <c r="E168">
        <v>6</v>
      </c>
      <c r="F168">
        <v>531</v>
      </c>
      <c r="G168" s="10">
        <v>5.2115799999999997E-6</v>
      </c>
      <c r="H168" s="5">
        <v>6.1000000000000004E-3</v>
      </c>
      <c r="I168" s="5">
        <f t="shared" si="23"/>
        <v>6.1000000000000004E-3</v>
      </c>
      <c r="J168" s="1">
        <f t="shared" si="24"/>
        <v>0</v>
      </c>
      <c r="K168" s="7">
        <f t="shared" si="25"/>
        <v>0</v>
      </c>
      <c r="M168">
        <f t="shared" si="38"/>
        <v>8.680555555555556E-7</v>
      </c>
      <c r="N168" s="9">
        <f t="shared" si="39"/>
        <v>7.5818504676127768E-3</v>
      </c>
      <c r="Q168" s="10">
        <f t="shared" si="36"/>
        <v>5.2115799999999997E-6</v>
      </c>
      <c r="R168" s="11">
        <f t="shared" si="37"/>
        <v>0</v>
      </c>
      <c r="S168" s="6">
        <f t="shared" si="33"/>
        <v>1.1261221662561007</v>
      </c>
      <c r="T168">
        <f t="shared" si="28"/>
        <v>6.6617039288987684E-3</v>
      </c>
      <c r="U168" s="5">
        <f t="shared" si="29"/>
        <v>5.61703928898768E-4</v>
      </c>
    </row>
    <row r="169" spans="1:21" x14ac:dyDescent="0.2">
      <c r="A169" t="s">
        <v>8</v>
      </c>
      <c r="B169" t="s">
        <v>9</v>
      </c>
      <c r="C169">
        <v>2405</v>
      </c>
      <c r="D169" t="s">
        <v>11</v>
      </c>
      <c r="E169">
        <v>5</v>
      </c>
      <c r="F169">
        <v>498</v>
      </c>
      <c r="G169" s="10">
        <v>4.3249400000000001E-6</v>
      </c>
      <c r="H169" s="5">
        <v>5.1000000000000004E-3</v>
      </c>
      <c r="I169" s="5">
        <f t="shared" si="23"/>
        <v>5.1000000000000004E-3</v>
      </c>
      <c r="J169" s="1">
        <f t="shared" si="24"/>
        <v>0</v>
      </c>
      <c r="K169" s="7">
        <f t="shared" si="25"/>
        <v>0</v>
      </c>
      <c r="M169">
        <f t="shared" si="38"/>
        <v>8.6444992889899333E-7</v>
      </c>
      <c r="N169" s="9">
        <f t="shared" si="39"/>
        <v>7.5707047136560112E-3</v>
      </c>
      <c r="Q169" s="10">
        <f t="shared" si="36"/>
        <v>4.3249400000000001E-6</v>
      </c>
      <c r="R169" s="11">
        <f t="shared" si="37"/>
        <v>0</v>
      </c>
      <c r="S169" s="6">
        <f t="shared" si="33"/>
        <v>1.0258664955376342</v>
      </c>
      <c r="T169">
        <f t="shared" si="28"/>
        <v>6.0686300906135334E-3</v>
      </c>
      <c r="U169" s="5">
        <f t="shared" si="29"/>
        <v>9.6863009061353301E-4</v>
      </c>
    </row>
    <row r="170" spans="1:21" x14ac:dyDescent="0.2">
      <c r="A170" t="s">
        <v>8</v>
      </c>
      <c r="B170" t="s">
        <v>9</v>
      </c>
      <c r="C170">
        <v>2410</v>
      </c>
      <c r="D170" t="s">
        <v>11</v>
      </c>
      <c r="E170">
        <v>4.0999999999999996</v>
      </c>
      <c r="F170">
        <v>495</v>
      </c>
      <c r="G170" s="10">
        <v>3.5317500000000001E-6</v>
      </c>
      <c r="H170" s="5">
        <v>4.1999999999999997E-3</v>
      </c>
      <c r="I170" s="5">
        <f t="shared" si="23"/>
        <v>4.1999999999999997E-3</v>
      </c>
      <c r="J170" s="1">
        <f t="shared" si="24"/>
        <v>0</v>
      </c>
      <c r="K170" s="7">
        <f t="shared" si="25"/>
        <v>0</v>
      </c>
      <c r="M170">
        <f t="shared" si="38"/>
        <v>8.6086672061431453E-7</v>
      </c>
      <c r="N170" s="9">
        <f t="shared" si="39"/>
        <v>7.5689766565490094E-3</v>
      </c>
      <c r="Q170" s="10">
        <f t="shared" si="36"/>
        <v>3.5317499999999993E-6</v>
      </c>
      <c r="R170" s="11">
        <f t="shared" si="37"/>
        <v>0</v>
      </c>
      <c r="S170" s="6">
        <f t="shared" si="33"/>
        <v>0.92703424963698078</v>
      </c>
      <c r="T170">
        <f t="shared" si="28"/>
        <v>5.4839766839523754E-3</v>
      </c>
      <c r="U170" s="5">
        <f t="shared" si="29"/>
        <v>1.2839766839523757E-3</v>
      </c>
    </row>
    <row r="171" spans="1:21" x14ac:dyDescent="0.2">
      <c r="A171" t="s">
        <v>8</v>
      </c>
      <c r="B171" t="s">
        <v>9</v>
      </c>
      <c r="C171">
        <v>2415</v>
      </c>
      <c r="D171" t="s">
        <v>11</v>
      </c>
      <c r="E171">
        <v>3.4</v>
      </c>
      <c r="F171">
        <v>494</v>
      </c>
      <c r="G171" s="10">
        <v>2.9166600000000001E-6</v>
      </c>
      <c r="H171" s="5">
        <v>3.3999999999999998E-3</v>
      </c>
      <c r="I171" s="5">
        <f t="shared" si="23"/>
        <v>3.3999999999999998E-3</v>
      </c>
      <c r="J171" s="1">
        <f t="shared" si="24"/>
        <v>0</v>
      </c>
      <c r="K171" s="7">
        <f t="shared" si="25"/>
        <v>0</v>
      </c>
      <c r="M171">
        <f t="shared" si="38"/>
        <v>8.5730574523445164E-7</v>
      </c>
      <c r="N171" s="9">
        <f t="shared" si="39"/>
        <v>7.5963330046865743E-3</v>
      </c>
      <c r="Q171" s="10">
        <f t="shared" si="36"/>
        <v>2.9166600000000005E-6</v>
      </c>
      <c r="R171" s="11">
        <f t="shared" si="37"/>
        <v>0</v>
      </c>
      <c r="S171" s="6">
        <f t="shared" si="33"/>
        <v>0.84244916760597488</v>
      </c>
      <c r="T171">
        <f t="shared" si="28"/>
        <v>4.9836039977761305E-3</v>
      </c>
      <c r="U171" s="5">
        <f t="shared" si="29"/>
        <v>1.5836039977761306E-3</v>
      </c>
    </row>
    <row r="172" spans="1:21" x14ac:dyDescent="0.2">
      <c r="A172" t="s">
        <v>8</v>
      </c>
      <c r="B172" t="s">
        <v>9</v>
      </c>
      <c r="C172">
        <v>2420</v>
      </c>
      <c r="D172" t="s">
        <v>11</v>
      </c>
      <c r="E172">
        <v>2.6</v>
      </c>
      <c r="F172">
        <v>484</v>
      </c>
      <c r="G172" s="10">
        <v>2.2211799999999999E-6</v>
      </c>
      <c r="H172" s="5">
        <v>2.5999999999999999E-3</v>
      </c>
      <c r="I172" s="5">
        <f t="shared" si="23"/>
        <v>2.5999999999999999E-3</v>
      </c>
      <c r="J172" s="1">
        <f t="shared" si="24"/>
        <v>0</v>
      </c>
      <c r="K172" s="7">
        <f t="shared" si="25"/>
        <v>0</v>
      </c>
      <c r="M172">
        <f t="shared" si="38"/>
        <v>8.5376681920633839E-7</v>
      </c>
      <c r="N172" s="9">
        <f t="shared" si="39"/>
        <v>7.5957604553937279E-3</v>
      </c>
      <c r="Q172" s="10">
        <f t="shared" si="36"/>
        <v>2.2211799999999999E-6</v>
      </c>
      <c r="R172" s="11">
        <f t="shared" si="37"/>
        <v>0</v>
      </c>
      <c r="S172" s="6">
        <f t="shared" si="33"/>
        <v>0.73517830036891951</v>
      </c>
      <c r="T172">
        <f t="shared" si="28"/>
        <v>4.3490309655222258E-3</v>
      </c>
      <c r="U172" s="5">
        <f t="shared" si="29"/>
        <v>1.7490309655222259E-3</v>
      </c>
    </row>
    <row r="173" spans="1:21" x14ac:dyDescent="0.2">
      <c r="A173" t="s">
        <v>8</v>
      </c>
      <c r="B173" t="s">
        <v>9</v>
      </c>
      <c r="C173">
        <v>2425</v>
      </c>
      <c r="D173" t="s">
        <v>11</v>
      </c>
      <c r="E173">
        <v>2.25</v>
      </c>
      <c r="F173">
        <v>555</v>
      </c>
      <c r="G173" s="10">
        <v>1.9142499999999999E-6</v>
      </c>
      <c r="H173" s="5">
        <v>2.3E-3</v>
      </c>
      <c r="I173" s="5">
        <f t="shared" si="23"/>
        <v>2.3E-3</v>
      </c>
      <c r="J173" s="1">
        <f t="shared" si="24"/>
        <v>0</v>
      </c>
      <c r="K173" s="7">
        <f t="shared" si="25"/>
        <v>0</v>
      </c>
      <c r="M173">
        <f t="shared" si="38"/>
        <v>8.502497608672547E-7</v>
      </c>
      <c r="N173" s="9">
        <f t="shared" si="39"/>
        <v>7.5533238646429291E-3</v>
      </c>
      <c r="Q173" s="10">
        <f t="shared" si="36"/>
        <v>1.9142499999999999E-6</v>
      </c>
      <c r="R173" s="11">
        <f t="shared" si="37"/>
        <v>0</v>
      </c>
      <c r="S173" s="6">
        <f t="shared" si="33"/>
        <v>0.68249603173449536</v>
      </c>
      <c r="T173">
        <f t="shared" si="28"/>
        <v>4.0373830054150003E-3</v>
      </c>
      <c r="U173" s="5">
        <f t="shared" si="29"/>
        <v>1.7373830054150004E-3</v>
      </c>
    </row>
    <row r="174" spans="1:21" x14ac:dyDescent="0.2">
      <c r="A174" t="s">
        <v>8</v>
      </c>
      <c r="B174" t="s">
        <v>9</v>
      </c>
      <c r="C174">
        <v>2430</v>
      </c>
      <c r="D174" t="s">
        <v>11</v>
      </c>
      <c r="E174">
        <v>1.75</v>
      </c>
      <c r="F174">
        <v>617</v>
      </c>
      <c r="G174" s="10">
        <v>1.4827400000000001E-6</v>
      </c>
      <c r="H174" s="5">
        <v>1.6999999999999999E-3</v>
      </c>
      <c r="I174" s="5">
        <f t="shared" si="23"/>
        <v>1.6999999999999999E-3</v>
      </c>
      <c r="J174" s="1">
        <f t="shared" si="24"/>
        <v>0</v>
      </c>
      <c r="K174" s="7">
        <f t="shared" si="25"/>
        <v>0</v>
      </c>
      <c r="M174">
        <f t="shared" si="38"/>
        <v>8.4675439042151432E-7</v>
      </c>
      <c r="N174" s="9">
        <f t="shared" si="39"/>
        <v>7.5499255264347143E-3</v>
      </c>
      <c r="Q174" s="10">
        <f t="shared" si="36"/>
        <v>1.4827400000000001E-6</v>
      </c>
      <c r="R174" s="11">
        <f t="shared" si="37"/>
        <v>0</v>
      </c>
      <c r="S174" s="6">
        <f t="shared" si="33"/>
        <v>0.60066635220117559</v>
      </c>
      <c r="T174">
        <f t="shared" si="28"/>
        <v>3.5533102165274826E-3</v>
      </c>
      <c r="U174" s="5">
        <f t="shared" si="29"/>
        <v>1.8533102165274827E-3</v>
      </c>
    </row>
    <row r="175" spans="1:21" x14ac:dyDescent="0.2">
      <c r="A175" t="s">
        <v>8</v>
      </c>
      <c r="B175" t="s">
        <v>9</v>
      </c>
      <c r="C175">
        <v>2435</v>
      </c>
      <c r="D175" t="s">
        <v>11</v>
      </c>
      <c r="E175">
        <v>1.65</v>
      </c>
      <c r="F175">
        <v>406</v>
      </c>
      <c r="G175" s="10">
        <v>1.3922800000000001E-6</v>
      </c>
      <c r="H175" s="5">
        <v>1.6000000000000001E-3</v>
      </c>
      <c r="I175" s="5">
        <f t="shared" si="23"/>
        <v>1.6000000000000001E-3</v>
      </c>
      <c r="J175" s="1">
        <f t="shared" si="24"/>
        <v>0</v>
      </c>
      <c r="K175" s="7">
        <f t="shared" si="25"/>
        <v>0</v>
      </c>
      <c r="M175">
        <f t="shared" si="38"/>
        <v>8.4328052991748505E-7</v>
      </c>
      <c r="N175" s="9">
        <f t="shared" si="39"/>
        <v>7.5798799584188593E-3</v>
      </c>
      <c r="Q175" s="10">
        <f t="shared" si="36"/>
        <v>1.3922800000000001E-6</v>
      </c>
      <c r="R175" s="11">
        <f t="shared" si="37"/>
        <v>0</v>
      </c>
      <c r="S175" s="6">
        <f t="shared" si="33"/>
        <v>0.58205509475764683</v>
      </c>
      <c r="T175">
        <f t="shared" si="28"/>
        <v>3.4432132034782729E-3</v>
      </c>
      <c r="U175" s="5">
        <f t="shared" si="29"/>
        <v>1.8432132034782729E-3</v>
      </c>
    </row>
    <row r="176" spans="1:21" x14ac:dyDescent="0.2">
      <c r="A176" t="s">
        <v>8</v>
      </c>
      <c r="B176" t="s">
        <v>9</v>
      </c>
      <c r="C176">
        <v>2440</v>
      </c>
      <c r="D176" t="s">
        <v>11</v>
      </c>
      <c r="E176">
        <v>1.3</v>
      </c>
      <c r="F176">
        <v>398</v>
      </c>
      <c r="G176" s="10">
        <v>1.0924600000000001E-6</v>
      </c>
      <c r="H176" s="5">
        <v>1.2999999999999999E-3</v>
      </c>
      <c r="I176" s="5">
        <f t="shared" si="23"/>
        <v>1.2999999999999999E-3</v>
      </c>
      <c r="J176" s="1">
        <f t="shared" si="24"/>
        <v>0</v>
      </c>
      <c r="K176" s="7">
        <f t="shared" si="25"/>
        <v>0</v>
      </c>
      <c r="M176">
        <f t="shared" si="38"/>
        <v>8.3982800322493958E-7</v>
      </c>
      <c r="N176" s="9">
        <f t="shared" si="39"/>
        <v>7.6155516693369729E-3</v>
      </c>
      <c r="Q176" s="10">
        <f t="shared" si="36"/>
        <v>1.0924599999999999E-6</v>
      </c>
      <c r="R176" s="11">
        <f t="shared" si="37"/>
        <v>0</v>
      </c>
      <c r="S176" s="6">
        <f t="shared" si="33"/>
        <v>0.51558891893962711</v>
      </c>
      <c r="T176">
        <f t="shared" si="28"/>
        <v>3.0500249705729256E-3</v>
      </c>
      <c r="U176" s="5">
        <f t="shared" si="29"/>
        <v>1.7500249705729256E-3</v>
      </c>
    </row>
    <row r="177" spans="1:21" x14ac:dyDescent="0.2">
      <c r="A177" t="s">
        <v>8</v>
      </c>
      <c r="B177" t="s">
        <v>9</v>
      </c>
      <c r="C177">
        <v>2445</v>
      </c>
      <c r="D177" t="s">
        <v>11</v>
      </c>
      <c r="E177">
        <v>1.1499999999999999</v>
      </c>
      <c r="F177">
        <v>379</v>
      </c>
      <c r="G177" s="10">
        <v>9.6245599999999995E-7</v>
      </c>
      <c r="H177" s="5">
        <v>1.1000000000000001E-3</v>
      </c>
      <c r="I177" s="5">
        <f t="shared" si="23"/>
        <v>1.1000000000000001E-3</v>
      </c>
      <c r="J177" s="1">
        <f t="shared" si="24"/>
        <v>0</v>
      </c>
      <c r="K177" s="7">
        <f t="shared" si="25"/>
        <v>0</v>
      </c>
      <c r="M177">
        <f t="shared" si="38"/>
        <v>8.3639663601272998E-7</v>
      </c>
      <c r="N177" s="9">
        <f t="shared" si="39"/>
        <v>7.585465205098103E-3</v>
      </c>
      <c r="Q177" s="10">
        <f t="shared" si="36"/>
        <v>9.6245599999999995E-7</v>
      </c>
      <c r="R177" s="11">
        <f t="shared" si="37"/>
        <v>0</v>
      </c>
      <c r="S177" s="6">
        <f t="shared" si="33"/>
        <v>0.48393969321255997</v>
      </c>
      <c r="T177">
        <f t="shared" si="28"/>
        <v>2.8628003712441001E-3</v>
      </c>
      <c r="U177" s="5">
        <f t="shared" si="29"/>
        <v>1.7628003712441E-3</v>
      </c>
    </row>
    <row r="178" spans="1:21" x14ac:dyDescent="0.2">
      <c r="A178" t="s">
        <v>8</v>
      </c>
      <c r="B178" t="s">
        <v>9</v>
      </c>
      <c r="C178">
        <v>2450</v>
      </c>
      <c r="D178" t="s">
        <v>11</v>
      </c>
      <c r="E178">
        <v>0.95</v>
      </c>
      <c r="F178">
        <v>439</v>
      </c>
      <c r="G178" s="10">
        <v>7.9182999999999996E-7</v>
      </c>
      <c r="H178" s="5">
        <v>8.9999999999999998E-4</v>
      </c>
      <c r="I178" s="5">
        <f t="shared" si="23"/>
        <v>8.9999999999999998E-4</v>
      </c>
      <c r="J178" s="1">
        <f t="shared" si="24"/>
        <v>0</v>
      </c>
      <c r="K178" s="7">
        <f t="shared" si="25"/>
        <v>0</v>
      </c>
      <c r="M178">
        <f t="shared" si="38"/>
        <v>8.3298625572678054E-7</v>
      </c>
      <c r="N178" s="9">
        <f t="shared" si="39"/>
        <v>7.5783051332551166E-3</v>
      </c>
      <c r="Q178" s="10">
        <f t="shared" si="36"/>
        <v>7.9182999999999986E-7</v>
      </c>
      <c r="R178" s="11">
        <f t="shared" si="37"/>
        <v>0</v>
      </c>
      <c r="S178" s="6">
        <f t="shared" si="33"/>
        <v>0.43895174374107837</v>
      </c>
      <c r="T178">
        <f t="shared" si="28"/>
        <v>2.5966690324537118E-3</v>
      </c>
      <c r="U178" s="5">
        <f t="shared" si="29"/>
        <v>1.6966690324537119E-3</v>
      </c>
    </row>
    <row r="179" spans="1:21" x14ac:dyDescent="0.2">
      <c r="A179" t="s">
        <v>8</v>
      </c>
      <c r="B179" t="s">
        <v>9</v>
      </c>
      <c r="C179">
        <v>2455</v>
      </c>
      <c r="D179" t="s">
        <v>11</v>
      </c>
      <c r="E179">
        <v>0.85</v>
      </c>
      <c r="F179">
        <v>375</v>
      </c>
      <c r="G179" s="10">
        <v>7.0559699999999999E-7</v>
      </c>
      <c r="H179" s="5">
        <v>8.0000000000000004E-4</v>
      </c>
      <c r="I179" s="5">
        <f t="shared" si="23"/>
        <v>8.0000000000000004E-4</v>
      </c>
      <c r="J179" s="1">
        <f t="shared" si="24"/>
        <v>0</v>
      </c>
      <c r="K179" s="7">
        <f t="shared" si="25"/>
        <v>0</v>
      </c>
      <c r="M179">
        <f t="shared" si="38"/>
        <v>8.2959669156839397E-7</v>
      </c>
      <c r="N179" s="9">
        <f t="shared" si="39"/>
        <v>7.5860816146454974E-3</v>
      </c>
      <c r="Q179" s="10">
        <f t="shared" si="36"/>
        <v>7.0559699999999999E-7</v>
      </c>
      <c r="R179" s="11">
        <f t="shared" si="37"/>
        <v>0</v>
      </c>
      <c r="S179" s="6">
        <f t="shared" si="33"/>
        <v>0.41436127956168878</v>
      </c>
      <c r="T179">
        <f t="shared" si="28"/>
        <v>2.4512013409847657E-3</v>
      </c>
      <c r="U179" s="5">
        <f t="shared" si="29"/>
        <v>1.6512013409847657E-3</v>
      </c>
    </row>
    <row r="180" spans="1:21" x14ac:dyDescent="0.2">
      <c r="A180" t="s">
        <v>8</v>
      </c>
      <c r="B180" t="s">
        <v>9</v>
      </c>
      <c r="C180">
        <v>2460</v>
      </c>
      <c r="D180" t="s">
        <v>11</v>
      </c>
      <c r="E180">
        <v>0.75</v>
      </c>
      <c r="F180">
        <v>375</v>
      </c>
      <c r="G180" s="10">
        <v>6.2005699999999998E-7</v>
      </c>
      <c r="H180" s="5">
        <v>6.9999999999999999E-4</v>
      </c>
      <c r="I180" s="5">
        <f t="shared" si="23"/>
        <v>6.9999999999999999E-4</v>
      </c>
      <c r="J180" s="1">
        <f t="shared" si="24"/>
        <v>0</v>
      </c>
      <c r="K180" s="7">
        <f t="shared" si="25"/>
        <v>0</v>
      </c>
      <c r="M180">
        <f t="shared" si="38"/>
        <v>8.2622777447286671E-7</v>
      </c>
      <c r="N180" s="9">
        <f t="shared" si="39"/>
        <v>7.5797143589912607E-3</v>
      </c>
      <c r="Q180" s="10">
        <f t="shared" si="36"/>
        <v>6.2005699999999998E-7</v>
      </c>
      <c r="R180" s="11">
        <f t="shared" si="37"/>
        <v>0</v>
      </c>
      <c r="S180" s="6">
        <f t="shared" si="33"/>
        <v>0.38843343917158657</v>
      </c>
      <c r="T180">
        <f t="shared" si="28"/>
        <v>2.2978222482271477E-3</v>
      </c>
      <c r="U180" s="5">
        <f t="shared" si="29"/>
        <v>1.5978222482271476E-3</v>
      </c>
    </row>
    <row r="181" spans="1:21" x14ac:dyDescent="0.2">
      <c r="A181" t="s">
        <v>8</v>
      </c>
      <c r="B181" t="s">
        <v>9</v>
      </c>
      <c r="C181">
        <v>2465</v>
      </c>
      <c r="D181" t="s">
        <v>11</v>
      </c>
      <c r="E181">
        <v>0.65</v>
      </c>
      <c r="F181">
        <v>373</v>
      </c>
      <c r="G181" s="10">
        <v>5.3520500000000001E-7</v>
      </c>
      <c r="H181" s="5">
        <v>5.9999999999999995E-4</v>
      </c>
      <c r="I181" s="5">
        <f t="shared" si="23"/>
        <v>5.9999999999999995E-4</v>
      </c>
      <c r="J181" s="1">
        <f t="shared" si="24"/>
        <v>0</v>
      </c>
      <c r="K181" s="7">
        <f t="shared" si="25"/>
        <v>0</v>
      </c>
      <c r="M181">
        <f t="shared" si="38"/>
        <v>8.2287933708840599E-7</v>
      </c>
      <c r="N181" s="9">
        <f t="shared" si="39"/>
        <v>7.5821539771357954E-3</v>
      </c>
      <c r="Q181" s="10">
        <f t="shared" si="36"/>
        <v>5.3520500000000011E-7</v>
      </c>
      <c r="R181" s="11">
        <f t="shared" si="37"/>
        <v>0</v>
      </c>
      <c r="S181" s="6">
        <f t="shared" si="33"/>
        <v>0.36087839595446369</v>
      </c>
      <c r="T181">
        <f t="shared" si="28"/>
        <v>2.1348172518236429E-3</v>
      </c>
      <c r="U181" s="5">
        <f t="shared" si="29"/>
        <v>1.5348172518236431E-3</v>
      </c>
    </row>
    <row r="182" spans="1:21" x14ac:dyDescent="0.2">
      <c r="A182" t="s">
        <v>8</v>
      </c>
      <c r="B182" t="s">
        <v>9</v>
      </c>
      <c r="C182">
        <v>2470</v>
      </c>
      <c r="D182" t="s">
        <v>11</v>
      </c>
      <c r="E182">
        <v>0.6</v>
      </c>
      <c r="F182">
        <v>444</v>
      </c>
      <c r="G182" s="10">
        <v>4.9203699999999997E-7</v>
      </c>
      <c r="H182" s="5">
        <v>5.9999999999999995E-4</v>
      </c>
      <c r="I182" s="5">
        <f t="shared" si="23"/>
        <v>5.9999999999999995E-4</v>
      </c>
      <c r="J182" s="1">
        <f t="shared" si="24"/>
        <v>0</v>
      </c>
      <c r="K182" s="7">
        <f t="shared" si="25"/>
        <v>0</v>
      </c>
      <c r="M182">
        <f t="shared" si="38"/>
        <v>8.1955121375534757E-7</v>
      </c>
      <c r="N182" s="9">
        <f t="shared" si="39"/>
        <v>7.5755816459540598E-3</v>
      </c>
      <c r="Q182" s="10">
        <f t="shared" si="36"/>
        <v>4.9203699999999997E-7</v>
      </c>
      <c r="R182" s="11">
        <f t="shared" si="37"/>
        <v>0</v>
      </c>
      <c r="S182" s="6">
        <f t="shared" si="33"/>
        <v>0.3460187904338915</v>
      </c>
      <c r="T182">
        <f t="shared" si="28"/>
        <v>2.0469135630015105E-3</v>
      </c>
      <c r="U182" s="5">
        <f t="shared" si="29"/>
        <v>1.4469135630015106E-3</v>
      </c>
    </row>
    <row r="183" spans="1:21" x14ac:dyDescent="0.2">
      <c r="A183" t="s">
        <v>8</v>
      </c>
      <c r="B183" t="s">
        <v>9</v>
      </c>
      <c r="C183">
        <v>2475</v>
      </c>
      <c r="D183" t="s">
        <v>11</v>
      </c>
      <c r="E183">
        <v>0.55000000000000004</v>
      </c>
      <c r="F183">
        <v>433</v>
      </c>
      <c r="G183" s="10">
        <v>4.4921399999999999E-7</v>
      </c>
      <c r="H183" s="5">
        <v>5.0000000000000001E-4</v>
      </c>
      <c r="I183" s="5">
        <f t="shared" si="23"/>
        <v>5.0000000000000001E-4</v>
      </c>
      <c r="J183" s="1">
        <f t="shared" si="24"/>
        <v>0</v>
      </c>
      <c r="K183" s="7">
        <f t="shared" si="25"/>
        <v>0</v>
      </c>
      <c r="M183">
        <f t="shared" si="38"/>
        <v>8.1624324048566472E-7</v>
      </c>
      <c r="N183" s="9">
        <f t="shared" si="39"/>
        <v>7.5918817104005179E-3</v>
      </c>
      <c r="Q183" s="10">
        <f t="shared" si="36"/>
        <v>4.4921400000000004E-7</v>
      </c>
      <c r="R183" s="11">
        <f t="shared" si="37"/>
        <v>0</v>
      </c>
      <c r="S183" s="6">
        <f t="shared" si="33"/>
        <v>0.33061872300279666</v>
      </c>
      <c r="T183">
        <f t="shared" si="28"/>
        <v>1.9558127101943035E-3</v>
      </c>
      <c r="U183" s="5">
        <f t="shared" si="29"/>
        <v>1.4558127101943034E-3</v>
      </c>
    </row>
    <row r="184" spans="1:21" x14ac:dyDescent="0.2">
      <c r="A184" t="s">
        <v>8</v>
      </c>
      <c r="B184" t="s">
        <v>9</v>
      </c>
      <c r="C184">
        <v>2480</v>
      </c>
      <c r="D184" t="s">
        <v>11</v>
      </c>
      <c r="E184">
        <v>0.5</v>
      </c>
      <c r="F184">
        <v>441</v>
      </c>
      <c r="G184" s="10">
        <v>4.0673100000000002E-7</v>
      </c>
      <c r="H184" s="5">
        <v>5.0000000000000001E-4</v>
      </c>
      <c r="I184" s="5">
        <f t="shared" si="23"/>
        <v>5.0000000000000001E-4</v>
      </c>
      <c r="J184" s="1">
        <f t="shared" si="24"/>
        <v>0</v>
      </c>
      <c r="K184" s="7">
        <f t="shared" si="25"/>
        <v>0</v>
      </c>
      <c r="M184">
        <f t="shared" si="38"/>
        <v>8.1295525494276798E-7</v>
      </c>
      <c r="N184" s="9">
        <f t="shared" si="39"/>
        <v>7.5815703222420873E-3</v>
      </c>
      <c r="Q184" s="10">
        <f t="shared" si="36"/>
        <v>4.0673100000000002E-7</v>
      </c>
      <c r="R184" s="11">
        <f t="shared" si="37"/>
        <v>0</v>
      </c>
      <c r="S184" s="6">
        <f t="shared" si="33"/>
        <v>0.31459690081118091</v>
      </c>
      <c r="T184">
        <f t="shared" si="28"/>
        <v>1.8610337962893877E-3</v>
      </c>
      <c r="U184" s="5">
        <f t="shared" si="29"/>
        <v>1.3610337962893877E-3</v>
      </c>
    </row>
    <row r="185" spans="1:21" x14ac:dyDescent="0.2">
      <c r="A185" t="s">
        <v>8</v>
      </c>
      <c r="B185" t="s">
        <v>9</v>
      </c>
      <c r="C185">
        <v>2485</v>
      </c>
      <c r="D185" t="s">
        <v>11</v>
      </c>
      <c r="E185">
        <v>0.45</v>
      </c>
      <c r="F185">
        <v>362</v>
      </c>
      <c r="G185" s="10">
        <v>3.6458600000000001E-7</v>
      </c>
      <c r="H185" s="5">
        <v>4.0000000000000002E-4</v>
      </c>
      <c r="I185" s="5">
        <f t="shared" si="23"/>
        <v>4.0000000000000002E-4</v>
      </c>
      <c r="J185" s="1">
        <f t="shared" si="24"/>
        <v>0</v>
      </c>
      <c r="K185" s="7">
        <f t="shared" si="25"/>
        <v>0</v>
      </c>
      <c r="M185">
        <f t="shared" si="38"/>
        <v>8.0968709642158783E-7</v>
      </c>
      <c r="N185" s="9">
        <f t="shared" si="39"/>
        <v>7.5711604636752219E-3</v>
      </c>
      <c r="Q185" s="10">
        <f t="shared" si="36"/>
        <v>3.6458600000000006E-7</v>
      </c>
      <c r="R185" s="11">
        <f t="shared" si="37"/>
        <v>0</v>
      </c>
      <c r="S185" s="6">
        <f t="shared" si="33"/>
        <v>0.29785218929305635</v>
      </c>
      <c r="T185">
        <f t="shared" si="28"/>
        <v>1.7619785482434144E-3</v>
      </c>
      <c r="U185" s="5">
        <f t="shared" si="29"/>
        <v>1.3619785482434144E-3</v>
      </c>
    </row>
    <row r="186" spans="1:21" x14ac:dyDescent="0.2">
      <c r="A186" t="s">
        <v>8</v>
      </c>
      <c r="B186" t="s">
        <v>9</v>
      </c>
      <c r="C186">
        <v>2490</v>
      </c>
      <c r="D186" t="s">
        <v>11</v>
      </c>
      <c r="E186">
        <v>0.45</v>
      </c>
      <c r="F186">
        <v>430</v>
      </c>
      <c r="G186" s="10">
        <v>3.6312399999999999E-7</v>
      </c>
      <c r="H186" s="5">
        <v>4.0000000000000002E-4</v>
      </c>
      <c r="I186" s="5">
        <f t="shared" si="23"/>
        <v>4.0000000000000002E-4</v>
      </c>
      <c r="J186" s="1">
        <f t="shared" si="24"/>
        <v>0</v>
      </c>
      <c r="K186" s="7">
        <f t="shared" si="25"/>
        <v>0</v>
      </c>
      <c r="M186">
        <f t="shared" si="38"/>
        <v>8.0643860582893829E-7</v>
      </c>
      <c r="N186" s="9">
        <f t="shared" si="39"/>
        <v>7.5956437282908513E-3</v>
      </c>
      <c r="Q186" s="10">
        <f t="shared" si="36"/>
        <v>3.6312400000000004E-7</v>
      </c>
      <c r="R186" s="11">
        <f t="shared" si="37"/>
        <v>0</v>
      </c>
      <c r="S186" s="6">
        <f t="shared" si="33"/>
        <v>0.29725439161319944</v>
      </c>
      <c r="T186">
        <f t="shared" si="28"/>
        <v>1.7584422079848533E-3</v>
      </c>
      <c r="U186" s="5">
        <f t="shared" si="29"/>
        <v>1.3584422079848534E-3</v>
      </c>
    </row>
    <row r="187" spans="1:21" x14ac:dyDescent="0.2">
      <c r="A187" t="s">
        <v>8</v>
      </c>
      <c r="B187" t="s">
        <v>9</v>
      </c>
      <c r="C187">
        <v>2495</v>
      </c>
      <c r="D187" t="s">
        <v>11</v>
      </c>
      <c r="E187">
        <v>0.4</v>
      </c>
      <c r="F187">
        <v>357</v>
      </c>
      <c r="G187" s="10">
        <v>3.21484E-7</v>
      </c>
      <c r="H187" s="5">
        <v>4.0000000000000002E-4</v>
      </c>
      <c r="I187" s="5">
        <f t="shared" si="23"/>
        <v>4.0000000000000002E-4</v>
      </c>
      <c r="J187" s="1">
        <f t="shared" si="24"/>
        <v>0</v>
      </c>
      <c r="K187" s="7">
        <f t="shared" si="25"/>
        <v>0</v>
      </c>
      <c r="M187">
        <f t="shared" si="38"/>
        <v>8.0320962566415395E-7</v>
      </c>
      <c r="N187" s="9">
        <f t="shared" si="39"/>
        <v>7.5770907920089704E-3</v>
      </c>
      <c r="Q187" s="10">
        <f t="shared" si="36"/>
        <v>3.2148400000000005E-7</v>
      </c>
      <c r="R187" s="11">
        <f t="shared" si="37"/>
        <v>0</v>
      </c>
      <c r="S187" s="6">
        <f t="shared" si="33"/>
        <v>0.27969228329243073</v>
      </c>
      <c r="T187">
        <f t="shared" si="28"/>
        <v>1.6545515560592574E-3</v>
      </c>
      <c r="U187" s="5">
        <f t="shared" si="29"/>
        <v>1.2545515560592575E-3</v>
      </c>
    </row>
    <row r="188" spans="1:21" x14ac:dyDescent="0.2">
      <c r="A188" t="s">
        <v>8</v>
      </c>
      <c r="B188" t="s">
        <v>9</v>
      </c>
      <c r="C188">
        <v>2500</v>
      </c>
      <c r="D188" t="s">
        <v>11</v>
      </c>
      <c r="E188">
        <v>0.4</v>
      </c>
      <c r="F188">
        <v>349</v>
      </c>
      <c r="G188" s="10">
        <v>3.2019899999999999E-7</v>
      </c>
      <c r="H188" s="5">
        <v>4.0000000000000002E-4</v>
      </c>
      <c r="I188" s="5">
        <f t="shared" si="23"/>
        <v>4.0000000000000002E-4</v>
      </c>
      <c r="J188" s="1">
        <f>H188-I188</f>
        <v>0</v>
      </c>
      <c r="K188" s="7">
        <f t="shared" si="25"/>
        <v>0</v>
      </c>
      <c r="M188">
        <f t="shared" si="38"/>
        <v>7.9999999999999996E-7</v>
      </c>
      <c r="N188" s="9">
        <f t="shared" si="39"/>
        <v>7.5637942097566422E-3</v>
      </c>
      <c r="Q188" s="10">
        <f t="shared" si="36"/>
        <v>3.2019899999999999E-7</v>
      </c>
      <c r="R188" s="11">
        <f t="shared" si="37"/>
        <v>0</v>
      </c>
      <c r="S188" s="6">
        <f t="shared" si="33"/>
        <v>0.27913274619793355</v>
      </c>
      <c r="T188">
        <f t="shared" si="28"/>
        <v>1.6512415506509022E-3</v>
      </c>
      <c r="U188" s="5">
        <f t="shared" si="29"/>
        <v>1.2512415506509022E-3</v>
      </c>
    </row>
    <row r="189" spans="1:21" x14ac:dyDescent="0.2">
      <c r="A189" t="s">
        <v>8</v>
      </c>
      <c r="B189" t="s">
        <v>9</v>
      </c>
      <c r="C189">
        <v>2505</v>
      </c>
      <c r="D189" t="s">
        <v>11</v>
      </c>
      <c r="E189">
        <v>0.4</v>
      </c>
      <c r="F189">
        <v>370</v>
      </c>
      <c r="G189" s="10">
        <v>3.18922E-7</v>
      </c>
      <c r="H189" s="5">
        <v>4.0000000000000002E-4</v>
      </c>
      <c r="I189" s="5">
        <f t="shared" si="23"/>
        <v>4.0000000000000002E-4</v>
      </c>
      <c r="J189" s="1">
        <f t="shared" si="24"/>
        <v>0</v>
      </c>
      <c r="K189" s="7">
        <f t="shared" si="25"/>
        <v>0</v>
      </c>
      <c r="M189">
        <f t="shared" si="38"/>
        <v>7.9680957446384672E-7</v>
      </c>
      <c r="N189" s="9">
        <f t="shared" si="39"/>
        <v>7.5624144552124475E-3</v>
      </c>
      <c r="Q189" s="10">
        <f t="shared" si="36"/>
        <v>3.18922E-7</v>
      </c>
      <c r="R189" s="11">
        <f t="shared" si="37"/>
        <v>0</v>
      </c>
      <c r="S189" s="6">
        <f t="shared" si="33"/>
        <v>0.27857557921205756</v>
      </c>
      <c r="T189">
        <f t="shared" si="28"/>
        <v>1.6479455658900278E-3</v>
      </c>
      <c r="U189" s="5">
        <f t="shared" si="29"/>
        <v>1.2479455658900278E-3</v>
      </c>
    </row>
    <row r="190" spans="1:21" x14ac:dyDescent="0.2">
      <c r="A190" t="s">
        <v>8</v>
      </c>
      <c r="B190" t="s">
        <v>9</v>
      </c>
      <c r="C190">
        <v>2510</v>
      </c>
      <c r="D190" t="s">
        <v>11</v>
      </c>
      <c r="E190">
        <v>0.4</v>
      </c>
      <c r="F190">
        <v>420</v>
      </c>
      <c r="G190" s="10">
        <v>3.1765300000000002E-7</v>
      </c>
      <c r="H190" s="5">
        <v>4.0000000000000002E-4</v>
      </c>
      <c r="I190" s="5">
        <f t="shared" si="23"/>
        <v>4.0000000000000002E-4</v>
      </c>
      <c r="J190" s="1">
        <f t="shared" si="24"/>
        <v>0</v>
      </c>
      <c r="K190" s="7">
        <f t="shared" si="25"/>
        <v>0</v>
      </c>
      <c r="M190">
        <f t="shared" si="38"/>
        <v>7.936381962191076E-7</v>
      </c>
      <c r="N190" s="9">
        <f t="shared" si="39"/>
        <v>7.5754383713010917E-3</v>
      </c>
      <c r="Q190" s="10">
        <f t="shared" si="36"/>
        <v>3.1765299999999997E-7</v>
      </c>
      <c r="R190" s="11">
        <f t="shared" si="37"/>
        <v>0</v>
      </c>
      <c r="S190" s="6">
        <f t="shared" si="33"/>
        <v>0.2780207965842364</v>
      </c>
      <c r="T190">
        <f t="shared" si="28"/>
        <v>1.6446636860707824E-3</v>
      </c>
      <c r="U190" s="5">
        <f t="shared" si="29"/>
        <v>1.2446636860707825E-3</v>
      </c>
    </row>
    <row r="191" spans="1:21" x14ac:dyDescent="0.2">
      <c r="A191" t="s">
        <v>8</v>
      </c>
      <c r="B191" t="s">
        <v>9</v>
      </c>
      <c r="C191">
        <v>2515</v>
      </c>
      <c r="D191" t="s">
        <v>11</v>
      </c>
      <c r="E191">
        <v>0.4</v>
      </c>
      <c r="F191">
        <v>418</v>
      </c>
      <c r="G191" s="10">
        <v>3.1639100000000002E-7</v>
      </c>
      <c r="H191" s="5">
        <v>4.0000000000000002E-4</v>
      </c>
      <c r="I191" s="5">
        <f t="shared" si="23"/>
        <v>4.0000000000000002E-4</v>
      </c>
      <c r="J191" s="1">
        <f t="shared" si="24"/>
        <v>0</v>
      </c>
      <c r="K191" s="7">
        <f t="shared" si="25"/>
        <v>0</v>
      </c>
      <c r="M191">
        <f t="shared" si="38"/>
        <v>7.9048571394693471E-7</v>
      </c>
      <c r="N191" s="9">
        <f t="shared" si="39"/>
        <v>7.5669128678567052E-3</v>
      </c>
      <c r="Q191" s="10">
        <f t="shared" si="36"/>
        <v>3.1639100000000002E-7</v>
      </c>
      <c r="R191" s="11">
        <f t="shared" si="37"/>
        <v>0</v>
      </c>
      <c r="S191" s="6">
        <f t="shared" si="33"/>
        <v>0.27746797412794627</v>
      </c>
      <c r="T191">
        <f t="shared" si="28"/>
        <v>1.6413934018694731E-3</v>
      </c>
      <c r="U191" s="5">
        <f t="shared" si="29"/>
        <v>1.2413934018694732E-3</v>
      </c>
    </row>
    <row r="192" spans="1:21" x14ac:dyDescent="0.2">
      <c r="A192" t="s">
        <v>8</v>
      </c>
      <c r="B192" t="s">
        <v>9</v>
      </c>
      <c r="C192">
        <v>2520</v>
      </c>
      <c r="D192" t="s">
        <v>11</v>
      </c>
      <c r="E192">
        <v>0.4</v>
      </c>
      <c r="F192">
        <v>411</v>
      </c>
      <c r="G192" s="10">
        <v>3.1513700000000002E-7</v>
      </c>
      <c r="H192" s="5">
        <v>4.0000000000000002E-4</v>
      </c>
      <c r="I192" s="5">
        <f t="shared" si="23"/>
        <v>4.0000000000000002E-4</v>
      </c>
      <c r="J192" s="1">
        <f t="shared" si="24"/>
        <v>0</v>
      </c>
      <c r="K192" s="7">
        <f t="shared" si="25"/>
        <v>0</v>
      </c>
      <c r="M192">
        <f t="shared" si="38"/>
        <v>7.873519778281683E-7</v>
      </c>
      <c r="N192" s="9">
        <f t="shared" si="39"/>
        <v>7.5775023772629577E-3</v>
      </c>
      <c r="Q192" s="10">
        <f t="shared" si="36"/>
        <v>3.1513700000000002E-7</v>
      </c>
      <c r="R192" s="11">
        <f t="shared" si="37"/>
        <v>0</v>
      </c>
      <c r="S192" s="6">
        <f t="shared" si="33"/>
        <v>0.27691756294367942</v>
      </c>
      <c r="T192">
        <f t="shared" si="28"/>
        <v>1.6381373818224383E-3</v>
      </c>
      <c r="U192" s="5">
        <f t="shared" si="29"/>
        <v>1.2381373818224383E-3</v>
      </c>
    </row>
    <row r="193" spans="1:21" x14ac:dyDescent="0.2">
      <c r="A193" t="s">
        <v>8</v>
      </c>
      <c r="B193" t="s">
        <v>9</v>
      </c>
      <c r="C193">
        <v>2525</v>
      </c>
      <c r="D193" t="s">
        <v>11</v>
      </c>
      <c r="E193">
        <v>0.35</v>
      </c>
      <c r="F193">
        <v>350</v>
      </c>
      <c r="G193" s="10">
        <v>2.7465399999999999E-7</v>
      </c>
      <c r="H193" s="5">
        <v>2.9999999999999997E-4</v>
      </c>
      <c r="I193" s="5">
        <f t="shared" si="23"/>
        <v>2.9999999999999997E-4</v>
      </c>
      <c r="J193" s="1">
        <f t="shared" si="24"/>
        <v>0</v>
      </c>
      <c r="K193" s="7">
        <f t="shared" si="25"/>
        <v>0</v>
      </c>
      <c r="M193">
        <f t="shared" si="38"/>
        <v>7.8423683952553668E-7</v>
      </c>
      <c r="N193" s="9">
        <f t="shared" si="39"/>
        <v>7.5820502240456058E-3</v>
      </c>
      <c r="Q193" s="10">
        <f t="shared" si="36"/>
        <v>2.7465399999999999E-7</v>
      </c>
      <c r="R193" s="11">
        <f t="shared" si="37"/>
        <v>0</v>
      </c>
      <c r="S193" s="6">
        <f t="shared" si="33"/>
        <v>0.25851977358286027</v>
      </c>
      <c r="T193">
        <f t="shared" si="28"/>
        <v>1.529303163528445E-3</v>
      </c>
      <c r="U193" s="5">
        <f t="shared" si="29"/>
        <v>1.2293031635284451E-3</v>
      </c>
    </row>
    <row r="194" spans="1:21" x14ac:dyDescent="0.2">
      <c r="A194" t="s">
        <v>8</v>
      </c>
      <c r="B194" t="s">
        <v>9</v>
      </c>
      <c r="C194">
        <v>2530</v>
      </c>
      <c r="D194" t="s">
        <v>11</v>
      </c>
      <c r="E194">
        <v>0.35</v>
      </c>
      <c r="F194">
        <v>389</v>
      </c>
      <c r="G194" s="10">
        <v>2.7356900000000001E-7</v>
      </c>
      <c r="H194" s="5">
        <v>2.9999999999999997E-4</v>
      </c>
      <c r="I194" s="5">
        <f t="shared" si="23"/>
        <v>2.9999999999999997E-4</v>
      </c>
      <c r="J194" s="1">
        <f t="shared" si="24"/>
        <v>0</v>
      </c>
      <c r="K194" s="7">
        <f t="shared" si="25"/>
        <v>0</v>
      </c>
      <c r="M194">
        <f t="shared" si="38"/>
        <v>7.8114015216610167E-7</v>
      </c>
      <c r="N194" s="9">
        <f t="shared" si="39"/>
        <v>7.560534526911058E-3</v>
      </c>
      <c r="Q194" s="10">
        <f t="shared" si="36"/>
        <v>2.7356900000000001E-7</v>
      </c>
      <c r="R194" s="11">
        <f t="shared" si="37"/>
        <v>0</v>
      </c>
      <c r="S194" s="6">
        <f t="shared" si="33"/>
        <v>0.25800863680634156</v>
      </c>
      <c r="T194">
        <f t="shared" si="28"/>
        <v>1.5262794757134189E-3</v>
      </c>
      <c r="U194" s="5">
        <f t="shared" si="29"/>
        <v>1.226279475713419E-3</v>
      </c>
    </row>
    <row r="195" spans="1:21" x14ac:dyDescent="0.2">
      <c r="A195" t="s">
        <v>8</v>
      </c>
      <c r="B195" t="s">
        <v>9</v>
      </c>
      <c r="C195">
        <v>2535</v>
      </c>
      <c r="D195" t="s">
        <v>11</v>
      </c>
      <c r="E195">
        <v>0.35</v>
      </c>
      <c r="F195">
        <v>532</v>
      </c>
      <c r="G195" s="10">
        <v>2.72491E-7</v>
      </c>
      <c r="H195" s="5">
        <v>2.9999999999999997E-4</v>
      </c>
      <c r="I195" s="5">
        <f t="shared" ref="I195:I206" si="40">ROUND(G195/G$207, 4)</f>
        <v>2.9999999999999997E-4</v>
      </c>
      <c r="J195" s="1">
        <f t="shared" ref="J195:J206" si="41">H195-I195</f>
        <v>0</v>
      </c>
      <c r="K195" s="7">
        <f t="shared" ref="K195:K206" si="42">I195/H195-1</f>
        <v>0</v>
      </c>
      <c r="M195">
        <f t="shared" si="38"/>
        <v>7.7806177032394599E-7</v>
      </c>
      <c r="N195" s="9">
        <f t="shared" si="39"/>
        <v>7.565150644722113E-3</v>
      </c>
      <c r="Q195" s="10">
        <f t="shared" si="36"/>
        <v>2.7249100000000005E-7</v>
      </c>
      <c r="R195" s="11">
        <f t="shared" si="37"/>
        <v>0</v>
      </c>
      <c r="S195" s="6">
        <f t="shared" si="33"/>
        <v>0.2574997928801756</v>
      </c>
      <c r="T195">
        <f t="shared" ref="T195:T207" si="43">S195/S$207</f>
        <v>1.5232693515157881E-3</v>
      </c>
      <c r="U195" s="5">
        <f t="shared" ref="U195:U207" si="44">T195-H195</f>
        <v>1.2232693515157882E-3</v>
      </c>
    </row>
    <row r="196" spans="1:21" x14ac:dyDescent="0.2">
      <c r="A196" t="s">
        <v>8</v>
      </c>
      <c r="B196" t="s">
        <v>9</v>
      </c>
      <c r="C196">
        <v>2540</v>
      </c>
      <c r="D196" t="s">
        <v>11</v>
      </c>
      <c r="E196">
        <v>0.35</v>
      </c>
      <c r="F196">
        <v>651</v>
      </c>
      <c r="G196" s="10">
        <v>4.0712899999999999E-7</v>
      </c>
      <c r="H196" s="5">
        <v>5.0000000000000001E-4</v>
      </c>
      <c r="I196" s="5">
        <f t="shared" si="40"/>
        <v>5.0000000000000001E-4</v>
      </c>
      <c r="J196" s="1">
        <f t="shared" si="41"/>
        <v>0</v>
      </c>
      <c r="K196" s="7">
        <f t="shared" si="42"/>
        <v>0</v>
      </c>
      <c r="M196">
        <f t="shared" si="38"/>
        <v>1.1625023250046499E-6</v>
      </c>
      <c r="N196" s="9">
        <f t="shared" si="39"/>
        <v>7.5685861700822681E-3</v>
      </c>
      <c r="Q196" s="10">
        <f t="shared" si="36"/>
        <v>4.0712899999999994E-7</v>
      </c>
      <c r="R196" s="11">
        <f t="shared" si="37"/>
        <v>0</v>
      </c>
      <c r="S196" s="6">
        <f t="shared" si="33"/>
        <v>0.31475078501358289</v>
      </c>
      <c r="T196">
        <f t="shared" si="43"/>
        <v>1.8619441158146172E-3</v>
      </c>
      <c r="U196" s="5">
        <f t="shared" si="44"/>
        <v>1.3619441158146171E-3</v>
      </c>
    </row>
    <row r="197" spans="1:21" x14ac:dyDescent="0.2">
      <c r="A197" t="s">
        <v>8</v>
      </c>
      <c r="B197" t="s">
        <v>9</v>
      </c>
      <c r="C197">
        <v>2550</v>
      </c>
      <c r="D197" t="s">
        <v>11</v>
      </c>
      <c r="E197">
        <v>0.3</v>
      </c>
      <c r="F197">
        <v>615</v>
      </c>
      <c r="G197" s="10">
        <v>4.6164899999999998E-7</v>
      </c>
      <c r="H197" s="5">
        <v>5.0000000000000001E-4</v>
      </c>
      <c r="I197" s="5">
        <f t="shared" si="40"/>
        <v>5.0000000000000001E-4</v>
      </c>
      <c r="J197" s="1">
        <f t="shared" si="41"/>
        <v>0</v>
      </c>
      <c r="K197" s="7">
        <f t="shared" si="42"/>
        <v>0</v>
      </c>
      <c r="M197">
        <f t="shared" si="38"/>
        <v>1.5378700499807767E-6</v>
      </c>
      <c r="N197" s="9">
        <f t="shared" si="39"/>
        <v>7.5921552896344238E-3</v>
      </c>
      <c r="Q197" s="10">
        <f>(0.5*(C198-C196))/C197^2*EXP($H$211*N197)*E197</f>
        <v>4.6164900000000003E-7</v>
      </c>
      <c r="R197" s="11">
        <f>Q197-G197</f>
        <v>0</v>
      </c>
      <c r="S197" s="6">
        <f t="shared" si="33"/>
        <v>0.33516352725199677</v>
      </c>
      <c r="T197">
        <f t="shared" si="43"/>
        <v>1.9826980173396447E-3</v>
      </c>
      <c r="U197" s="5">
        <f t="shared" si="44"/>
        <v>1.4826980173396447E-3</v>
      </c>
    </row>
    <row r="198" spans="1:21" x14ac:dyDescent="0.2">
      <c r="A198" t="s">
        <v>8</v>
      </c>
      <c r="B198" t="s">
        <v>9</v>
      </c>
      <c r="C198">
        <v>2560</v>
      </c>
      <c r="D198" t="s">
        <v>11</v>
      </c>
      <c r="E198">
        <v>0.3</v>
      </c>
      <c r="F198">
        <v>532</v>
      </c>
      <c r="G198" s="10">
        <v>4.5804899999999997E-7</v>
      </c>
      <c r="H198" s="5">
        <v>5.0000000000000001E-4</v>
      </c>
      <c r="I198" s="5">
        <f t="shared" si="40"/>
        <v>5.0000000000000001E-4</v>
      </c>
      <c r="J198" s="1">
        <f t="shared" si="41"/>
        <v>0</v>
      </c>
      <c r="K198" s="7">
        <f t="shared" si="42"/>
        <v>0</v>
      </c>
      <c r="M198">
        <f t="shared" si="38"/>
        <v>1.5258789062500001E-6</v>
      </c>
      <c r="N198" s="9">
        <f t="shared" si="39"/>
        <v>7.5812279223358182E-3</v>
      </c>
      <c r="Q198" s="10">
        <f t="shared" ref="Q198:Q206" si="45">(0.5*(C199-C197))/C198^2*EXP($H$211*N198)*E198</f>
        <v>4.5804900000000003E-7</v>
      </c>
      <c r="R198" s="11">
        <f t="shared" ref="R198:R206" si="46">Q198-G198</f>
        <v>0</v>
      </c>
      <c r="S198" s="6">
        <f t="shared" si="33"/>
        <v>0.33385414479979125</v>
      </c>
      <c r="T198">
        <f t="shared" si="43"/>
        <v>1.9749522163176399E-3</v>
      </c>
      <c r="U198" s="5">
        <f t="shared" si="44"/>
        <v>1.4749522163176399E-3</v>
      </c>
    </row>
    <row r="199" spans="1:21" x14ac:dyDescent="0.2">
      <c r="A199" t="s">
        <v>8</v>
      </c>
      <c r="B199" t="s">
        <v>9</v>
      </c>
      <c r="C199">
        <v>2570</v>
      </c>
      <c r="D199" t="s">
        <v>11</v>
      </c>
      <c r="E199">
        <v>0.25</v>
      </c>
      <c r="F199">
        <v>516</v>
      </c>
      <c r="G199" s="10">
        <v>2.8405699999999999E-7</v>
      </c>
      <c r="H199" s="5">
        <v>2.9999999999999997E-4</v>
      </c>
      <c r="I199" s="5">
        <f t="shared" si="40"/>
        <v>2.9999999999999997E-4</v>
      </c>
      <c r="J199" s="1">
        <f t="shared" si="41"/>
        <v>0</v>
      </c>
      <c r="K199" s="7">
        <f t="shared" si="42"/>
        <v>0</v>
      </c>
      <c r="M199">
        <f t="shared" si="38"/>
        <v>1.1355205983436539E-6</v>
      </c>
      <c r="N199" s="9">
        <f t="shared" si="39"/>
        <v>7.5771768378482774E-3</v>
      </c>
      <c r="O199">
        <f>1/$H$211*(LN((G199-G216/200)/(E199*M199)))</f>
        <v>-0.38290219313643509</v>
      </c>
      <c r="Q199" s="10">
        <f t="shared" si="45"/>
        <v>2.8405699999999999E-7</v>
      </c>
      <c r="R199" s="11">
        <f t="shared" si="46"/>
        <v>0</v>
      </c>
      <c r="S199" s="6">
        <f t="shared" si="33"/>
        <v>0.26290784824091246</v>
      </c>
      <c r="T199">
        <f t="shared" si="43"/>
        <v>1.5552613189273679E-3</v>
      </c>
      <c r="U199" s="5">
        <f t="shared" si="44"/>
        <v>1.2552613189273679E-3</v>
      </c>
    </row>
    <row r="200" spans="1:21" x14ac:dyDescent="0.2">
      <c r="A200" t="s">
        <v>8</v>
      </c>
      <c r="B200" t="s">
        <v>9</v>
      </c>
      <c r="C200">
        <v>2575</v>
      </c>
      <c r="D200" t="s">
        <v>11</v>
      </c>
      <c r="E200">
        <v>0.2</v>
      </c>
      <c r="F200">
        <v>280</v>
      </c>
      <c r="G200" s="10">
        <v>1.5090899999999999E-7</v>
      </c>
      <c r="H200" s="5">
        <v>2.0000000000000001E-4</v>
      </c>
      <c r="I200" s="5">
        <f>ROUND(G200/G$207, 4)</f>
        <v>2.0000000000000001E-4</v>
      </c>
      <c r="J200" s="1">
        <f t="shared" si="41"/>
        <v>0</v>
      </c>
      <c r="K200" s="7">
        <f t="shared" si="42"/>
        <v>0</v>
      </c>
      <c r="M200">
        <f t="shared" si="38"/>
        <v>7.5407672730700346E-7</v>
      </c>
      <c r="N200" s="9">
        <f>1/$H$211*(LN(G200/(E200*M200)))</f>
        <v>7.5530105985317291E-3</v>
      </c>
      <c r="Q200" s="10">
        <f>(0.5*(C201-C199))/C200^2*EXP($H$211*N200)*E200</f>
        <v>1.5090899999999999E-7</v>
      </c>
      <c r="R200" s="11">
        <f>Q200-G200</f>
        <v>0</v>
      </c>
      <c r="S200" s="6">
        <f t="shared" si="33"/>
        <v>0.19162773807567629</v>
      </c>
      <c r="T200">
        <f t="shared" si="43"/>
        <v>1.1335957091305512E-3</v>
      </c>
      <c r="U200" s="5">
        <f t="shared" si="44"/>
        <v>9.3359570913055122E-4</v>
      </c>
    </row>
    <row r="201" spans="1:21" x14ac:dyDescent="0.2">
      <c r="A201" t="s">
        <v>8</v>
      </c>
      <c r="B201" t="s">
        <v>9</v>
      </c>
      <c r="C201">
        <v>2580</v>
      </c>
      <c r="D201" t="s">
        <v>11</v>
      </c>
      <c r="E201">
        <v>0.2</v>
      </c>
      <c r="F201">
        <v>394</v>
      </c>
      <c r="G201" s="10">
        <v>2.2548700000000001E-7</v>
      </c>
      <c r="H201" s="5">
        <v>2.9999999999999997E-4</v>
      </c>
      <c r="I201" s="5">
        <f t="shared" si="40"/>
        <v>2.9999999999999997E-4</v>
      </c>
      <c r="J201" s="1">
        <f t="shared" si="41"/>
        <v>0</v>
      </c>
      <c r="K201" s="7">
        <f t="shared" si="42"/>
        <v>0</v>
      </c>
      <c r="M201">
        <f t="shared" si="38"/>
        <v>1.1267351721651342E-6</v>
      </c>
      <c r="N201" s="9">
        <f t="shared" si="39"/>
        <v>7.5545070816437233E-3</v>
      </c>
      <c r="Q201" s="10">
        <f t="shared" si="45"/>
        <v>2.2548699999999999E-7</v>
      </c>
      <c r="R201" s="11">
        <f>Q201-G201</f>
        <v>0</v>
      </c>
      <c r="S201" s="6">
        <f t="shared" si="33"/>
        <v>0.23424026838554751</v>
      </c>
      <c r="T201">
        <f t="shared" si="43"/>
        <v>1.3856749853331913E-3</v>
      </c>
      <c r="U201" s="5">
        <f t="shared" si="44"/>
        <v>1.0856749853331914E-3</v>
      </c>
    </row>
    <row r="202" spans="1:21" x14ac:dyDescent="0.2">
      <c r="A202" t="s">
        <v>8</v>
      </c>
      <c r="B202" t="s">
        <v>9</v>
      </c>
      <c r="C202">
        <v>2590</v>
      </c>
      <c r="D202" t="s">
        <v>11</v>
      </c>
      <c r="E202">
        <v>0.2</v>
      </c>
      <c r="F202">
        <v>505</v>
      </c>
      <c r="G202" s="10">
        <v>2.9833299999999998E-7</v>
      </c>
      <c r="H202" s="5">
        <v>4.0000000000000002E-4</v>
      </c>
      <c r="I202" s="5">
        <f t="shared" si="40"/>
        <v>4.0000000000000002E-4</v>
      </c>
      <c r="J202" s="1">
        <f t="shared" si="41"/>
        <v>0</v>
      </c>
      <c r="K202" s="7">
        <f t="shared" si="42"/>
        <v>0</v>
      </c>
      <c r="M202">
        <f t="shared" si="38"/>
        <v>1.4907350814686723E-6</v>
      </c>
      <c r="N202" s="9">
        <f t="shared" si="39"/>
        <v>7.5871840500329095E-3</v>
      </c>
      <c r="Q202" s="10">
        <f t="shared" si="45"/>
        <v>2.9833299999999998E-7</v>
      </c>
      <c r="R202" s="11">
        <f t="shared" si="46"/>
        <v>0</v>
      </c>
      <c r="S202" s="6">
        <f t="shared" si="33"/>
        <v>0.26943341168706847</v>
      </c>
      <c r="T202">
        <f t="shared" si="43"/>
        <v>1.593864032691595E-3</v>
      </c>
      <c r="U202" s="5">
        <f t="shared" si="44"/>
        <v>1.1938640326915951E-3</v>
      </c>
    </row>
    <row r="203" spans="1:21" x14ac:dyDescent="0.2">
      <c r="A203" t="s">
        <v>8</v>
      </c>
      <c r="B203" t="s">
        <v>9</v>
      </c>
      <c r="C203">
        <v>2600</v>
      </c>
      <c r="D203" t="s">
        <v>11</v>
      </c>
      <c r="E203">
        <v>0.2</v>
      </c>
      <c r="F203">
        <v>915</v>
      </c>
      <c r="G203" s="10">
        <v>5.1807399999999998E-7</v>
      </c>
      <c r="H203" s="5">
        <v>5.9999999999999995E-4</v>
      </c>
      <c r="I203" s="5">
        <f t="shared" si="40"/>
        <v>5.9999999999999995E-4</v>
      </c>
      <c r="J203" s="1">
        <f t="shared" si="41"/>
        <v>0</v>
      </c>
      <c r="K203" s="7">
        <f t="shared" si="42"/>
        <v>0</v>
      </c>
      <c r="M203">
        <f t="shared" si="38"/>
        <v>2.5887573964497043E-6</v>
      </c>
      <c r="N203" s="9">
        <f t="shared" si="39"/>
        <v>7.576569948606747E-3</v>
      </c>
      <c r="Q203" s="10">
        <f t="shared" si="45"/>
        <v>5.1807399999999998E-7</v>
      </c>
      <c r="R203" s="11">
        <f t="shared" si="46"/>
        <v>0</v>
      </c>
      <c r="S203" s="6">
        <f t="shared" si="33"/>
        <v>0.3550558735372974</v>
      </c>
      <c r="T203">
        <f t="shared" si="43"/>
        <v>2.1003734573359703E-3</v>
      </c>
      <c r="U203" s="5">
        <f t="shared" si="44"/>
        <v>1.5003734573359705E-3</v>
      </c>
    </row>
    <row r="204" spans="1:21" x14ac:dyDescent="0.2">
      <c r="A204" t="s">
        <v>8</v>
      </c>
      <c r="B204" t="s">
        <v>9</v>
      </c>
      <c r="C204">
        <v>2625</v>
      </c>
      <c r="D204" t="s">
        <v>11</v>
      </c>
      <c r="E204">
        <v>0.15</v>
      </c>
      <c r="F204">
        <v>1283</v>
      </c>
      <c r="G204" s="10">
        <v>5.4455700000000002E-7</v>
      </c>
      <c r="H204" s="5">
        <v>5.9999999999999995E-4</v>
      </c>
      <c r="I204" s="5">
        <f t="shared" si="40"/>
        <v>5.9999999999999995E-4</v>
      </c>
      <c r="J204" s="1">
        <f t="shared" si="41"/>
        <v>0</v>
      </c>
      <c r="K204" s="7">
        <f t="shared" si="42"/>
        <v>0</v>
      </c>
      <c r="M204">
        <f t="shared" si="38"/>
        <v>3.6281179138321994E-6</v>
      </c>
      <c r="N204" s="9">
        <f t="shared" si="39"/>
        <v>7.5834007511332915E-3</v>
      </c>
      <c r="Q204" s="10">
        <f t="shared" si="45"/>
        <v>5.4455700000000013E-7</v>
      </c>
      <c r="R204" s="11">
        <f t="shared" si="46"/>
        <v>0</v>
      </c>
      <c r="S204" s="6">
        <f t="shared" si="33"/>
        <v>0.36401767814214736</v>
      </c>
      <c r="T204">
        <f t="shared" si="43"/>
        <v>2.15338803313873E-3</v>
      </c>
      <c r="U204" s="5">
        <f t="shared" si="44"/>
        <v>1.5533880331387302E-3</v>
      </c>
    </row>
    <row r="205" spans="1:21" x14ac:dyDescent="0.2">
      <c r="A205" t="s">
        <v>8</v>
      </c>
      <c r="B205" t="s">
        <v>9</v>
      </c>
      <c r="C205">
        <v>2650</v>
      </c>
      <c r="D205" t="s">
        <v>11</v>
      </c>
      <c r="E205">
        <v>0.1</v>
      </c>
      <c r="F205">
        <v>1464</v>
      </c>
      <c r="G205" s="10">
        <v>5.3433100000000002E-7</v>
      </c>
      <c r="H205" s="5">
        <v>5.9999999999999995E-4</v>
      </c>
      <c r="I205" s="5">
        <f t="shared" si="40"/>
        <v>5.9999999999999995E-4</v>
      </c>
      <c r="J205" s="1">
        <f t="shared" si="41"/>
        <v>0</v>
      </c>
      <c r="K205" s="7">
        <f t="shared" si="42"/>
        <v>0</v>
      </c>
      <c r="M205">
        <f t="shared" si="38"/>
        <v>5.3399786400854395E-6</v>
      </c>
      <c r="N205" s="9">
        <f t="shared" si="39"/>
        <v>7.5878408430893746E-3</v>
      </c>
      <c r="Q205" s="10">
        <f t="shared" si="45"/>
        <v>5.3433100000000002E-7</v>
      </c>
      <c r="R205" s="11">
        <f t="shared" si="46"/>
        <v>0</v>
      </c>
      <c r="S205" s="6">
        <f t="shared" si="33"/>
        <v>0.36058361489858815</v>
      </c>
      <c r="T205">
        <f t="shared" si="43"/>
        <v>2.1330734409149032E-3</v>
      </c>
      <c r="U205" s="5">
        <f t="shared" si="44"/>
        <v>1.5330734409149034E-3</v>
      </c>
    </row>
    <row r="206" spans="1:21" x14ac:dyDescent="0.2">
      <c r="A206" t="s">
        <v>8</v>
      </c>
      <c r="B206" t="s">
        <v>9</v>
      </c>
      <c r="C206">
        <v>2700</v>
      </c>
      <c r="D206" t="s">
        <v>11</v>
      </c>
      <c r="E206">
        <v>0.15</v>
      </c>
      <c r="F206">
        <v>1477</v>
      </c>
      <c r="G206" s="10">
        <v>1.0294499999999999E-6</v>
      </c>
      <c r="H206" s="5">
        <v>1.1999999999999999E-3</v>
      </c>
      <c r="I206" s="5">
        <f t="shared" si="40"/>
        <v>1.1999999999999999E-3</v>
      </c>
      <c r="J206" s="1">
        <f t="shared" si="41"/>
        <v>0</v>
      </c>
      <c r="K206" s="7">
        <f t="shared" si="42"/>
        <v>0</v>
      </c>
      <c r="M206">
        <f>(C206-C205)/C206^2</f>
        <v>6.8587105624142661E-6</v>
      </c>
      <c r="N206" s="9">
        <f>1/$H$211*(LN(G206/(E206*M206)))</f>
        <v>7.6066549801743774E-3</v>
      </c>
      <c r="Q206" s="10">
        <f t="shared" si="45"/>
        <v>-2.7280425000000002E-5</v>
      </c>
      <c r="R206" s="11">
        <f t="shared" si="46"/>
        <v>-2.8309875000000003E-5</v>
      </c>
      <c r="S206" s="6">
        <f t="shared" si="33"/>
        <v>0.50049925074868995</v>
      </c>
      <c r="T206">
        <f t="shared" si="43"/>
        <v>2.960760319822339E-3</v>
      </c>
      <c r="U206" s="5">
        <f t="shared" si="44"/>
        <v>1.7607603198223391E-3</v>
      </c>
    </row>
    <row r="207" spans="1:21" x14ac:dyDescent="0.2">
      <c r="G207" s="10">
        <f>SUM(G2:G206)</f>
        <v>8.4831748000000048E-4</v>
      </c>
      <c r="H207" s="6">
        <f>SUM(H2:H206)</f>
        <v>0.99959999999999904</v>
      </c>
      <c r="K207" s="8">
        <f>MAX(K2:K206)</f>
        <v>0</v>
      </c>
      <c r="S207" s="6">
        <f>SUM(S2:S206)</f>
        <v>169.04416321640062</v>
      </c>
      <c r="T207">
        <f t="shared" si="43"/>
        <v>1</v>
      </c>
      <c r="U207" s="5">
        <f t="shared" si="44"/>
        <v>4.0000000000095515E-4</v>
      </c>
    </row>
    <row r="208" spans="1:21" x14ac:dyDescent="0.2">
      <c r="K208" s="8">
        <f>MIN(K2:K206)</f>
        <v>0</v>
      </c>
      <c r="N208" s="12">
        <f>AVERAGE(N2:N206)</f>
        <v>7.578343763322502E-3</v>
      </c>
    </row>
    <row r="209" spans="6:14" x14ac:dyDescent="0.2">
      <c r="F209" t="s">
        <v>12</v>
      </c>
      <c r="G209" s="2">
        <f>30*24*60</f>
        <v>43200</v>
      </c>
      <c r="N209" s="12">
        <f>AVERAGE(N2:N155)</f>
        <v>7.5779800494203305E-3</v>
      </c>
    </row>
    <row r="210" spans="6:14" x14ac:dyDescent="0.2">
      <c r="F210" t="s">
        <v>13</v>
      </c>
      <c r="G210" s="2">
        <f>365*24*60</f>
        <v>525600</v>
      </c>
    </row>
    <row r="211" spans="6:14" x14ac:dyDescent="0.2">
      <c r="F211" t="s">
        <v>15</v>
      </c>
      <c r="G211" s="3">
        <f>G210/G209</f>
        <v>12.166666666666666</v>
      </c>
      <c r="H211">
        <f>G209/G210</f>
        <v>8.2191780821917804E-2</v>
      </c>
    </row>
    <row r="212" spans="6:14" ht="17" thickBot="1" x14ac:dyDescent="0.25">
      <c r="F212" t="s">
        <v>14</v>
      </c>
      <c r="G212" s="4">
        <f>100*SQRT(2*G207*G211)</f>
        <v>14.367460462215773</v>
      </c>
    </row>
    <row r="213" spans="6:14" ht="17" thickTop="1" x14ac:dyDescent="0.2"/>
    <row r="215" spans="6:14" x14ac:dyDescent="0.2">
      <c r="F215" t="s">
        <v>19</v>
      </c>
      <c r="G215" s="10">
        <f>G207</f>
        <v>8.4831748000000048E-4</v>
      </c>
    </row>
    <row r="216" spans="6:14" x14ac:dyDescent="0.2">
      <c r="F216" t="s">
        <v>20</v>
      </c>
      <c r="G216" s="10">
        <f>(1/H211)*(N1/C157-1)^2</f>
        <v>1.7943677248812168E-6</v>
      </c>
    </row>
    <row r="217" spans="6:14" x14ac:dyDescent="0.2">
      <c r="G217">
        <f>G216/200</f>
        <v>8.9718386244060838E-9</v>
      </c>
    </row>
    <row r="219" spans="6:14" x14ac:dyDescent="0.2">
      <c r="G219" s="10">
        <f>G199+G217</f>
        <v>2.9302883862440605E-7</v>
      </c>
    </row>
    <row r="222" spans="6:14" x14ac:dyDescent="0.2">
      <c r="F222" t="s">
        <v>21</v>
      </c>
    </row>
    <row r="225" spans="6:6" x14ac:dyDescent="0.2">
      <c r="F225" t="s">
        <v>22</v>
      </c>
    </row>
    <row r="226" spans="6:6" x14ac:dyDescent="0.2">
      <c r="F226" t="s">
        <v>23</v>
      </c>
    </row>
    <row r="227" spans="6:6" x14ac:dyDescent="0.2">
      <c r="F227" t="s">
        <v>24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VX_Series_04192017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2017-05-21T09:17:24Z</dcterms:created>
  <dcterms:modified xsi:type="dcterms:W3CDTF">2017-09-04T09:57:08Z</dcterms:modified>
</cp:coreProperties>
</file>